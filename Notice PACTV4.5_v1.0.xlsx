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51840" windowHeight="21120" tabRatio="846" firstSheet="0" activeTab="1" autoFilterDateGrouping="1"/>
  </bookViews>
  <sheets>
    <sheet name="Modifications" sheetId="1" state="visible" r:id="rId1"/>
    <sheet name="PACT Corp" sheetId="2" state="visible" r:id="rId2"/>
    <sheet name="Feuil1" sheetId="3" state="visible" r:id="rId3"/>
    <sheet name="Ctrl cohérence-consistency ctr " sheetId="4" state="visible" r:id="rId4"/>
  </sheets>
  <externalReferences>
    <externalReference r:id="rId5"/>
    <externalReference r:id="rId6"/>
    <externalReference r:id="rId7"/>
  </externalReferences>
  <definedNames>
    <definedName name="aaaa">#REF!</definedName>
    <definedName name="aaaaa">#REF!</definedName>
    <definedName name="anomalies">#REF!</definedName>
    <definedName name="CAP_01__02__03__04__Clientèle_de_détail___Pas_de_données_complémentaires_obligatoires_associées_à_ces_CAP__Les_expositions_sur_la_Clientèle_de_détail_sont_pondérées_à_75_.">#REF!</definedName>
    <definedName name="CAP_de_l_exposition">#REF!</definedName>
    <definedName name="CAPtest">'[1]A1 Degraded Data Entry'!#REF!</definedName>
    <definedName name="Groupe_caractéristiques">#REF!</definedName>
    <definedName name="Méthodo_CAP">#REF!</definedName>
    <definedName name="Méthodo_Conditions_réglementaires">#REF!</definedName>
    <definedName name="Méthodo_Crédit_bail">#REF!</definedName>
    <definedName name="Méthodo_DeterminationCAP">#REF!</definedName>
    <definedName name="Méthodo_douteux_impayé">#REF!</definedName>
    <definedName name="Méthodo_engagement">#REF!</definedName>
    <definedName name="Méthodo_impayé">#REF!</definedName>
    <definedName name="Méthodo_indicateur">#REF!</definedName>
    <definedName name="Méthodo_indicateur_couverture">#REF!</definedName>
    <definedName name="Méthodo_Montants">#REF!</definedName>
    <definedName name="Méthodo_NATO">#REF!</definedName>
    <definedName name="Méthodo_PNU">#REF!</definedName>
    <definedName name="Méthodo_Pond_pref">#REF!</definedName>
    <definedName name="Méthodo_provisions">#REF!</definedName>
    <definedName name="Méthodo_sûretés">#REF!</definedName>
    <definedName name="Méthodo_Tiers_Agrégat">#REF!</definedName>
    <definedName name="Méthodo_usage_bien_immo">#REF!</definedName>
    <definedName name="Objets">'[3]Liste des objets'!$A:$A</definedName>
    <definedName name="Règles_corr">#REF!</definedName>
    <definedName name="test">#REF!</definedName>
    <definedName name="Tiers_Agrégat">#REF!</definedName>
    <definedName name="Toto">#REF!</definedName>
    <definedName name="_xlnm._FilterDatabase" localSheetId="1" hidden="1">'PACT Corp'!$A$2:$BF$1504</definedName>
    <definedName name="aaaa" localSheetId="3">#REF!</definedName>
    <definedName name="aaaaa" localSheetId="3">#REF!</definedName>
    <definedName name="anomalies" localSheetId="3">#REF!</definedName>
    <definedName name="CAP_01__02__03__04__Clientèle_de_détail___Pas_de_données_complémentaires_obligatoires_associées_à_ces_CAP__Les_expositions_sur_la_Clientèle_de_détail_sont_pondérées_à_75_." localSheetId="3">#REF!</definedName>
    <definedName name="CAP_de_l_exposition" localSheetId="3">#REF!</definedName>
    <definedName name="CAPtest" localSheetId="3">'[1]A1 Degraded Data Entry'!#REF!</definedName>
    <definedName name="Groupe_caractéristiques" localSheetId="3">#REF!</definedName>
    <definedName name="Méthodo_CAP" localSheetId="3">#REF!</definedName>
    <definedName name="Méthodo_Conditions_réglementaires" localSheetId="3">#REF!</definedName>
    <definedName name="Méthodo_Crédit_bail" localSheetId="3">#REF!</definedName>
    <definedName name="Méthodo_DeterminationCAP" localSheetId="3">#REF!</definedName>
    <definedName name="Méthodo_douteux_impayé" localSheetId="3">#REF!</definedName>
    <definedName name="Méthodo_engagement" localSheetId="3">#REF!</definedName>
    <definedName name="Méthodo_impayé" localSheetId="3">#REF!</definedName>
    <definedName name="Méthodo_indicateur" localSheetId="3">#REF!</definedName>
    <definedName name="Méthodo_indicateur_couverture" localSheetId="3">[2]Méthodologie!#REF!</definedName>
    <definedName name="Méthodo_Montants" localSheetId="3">#REF!</definedName>
    <definedName name="Méthodo_NATO" localSheetId="3">#REF!</definedName>
    <definedName name="Méthodo_PNU" localSheetId="3">#REF!</definedName>
    <definedName name="Méthodo_Pond_pref" localSheetId="3">#REF!</definedName>
    <definedName name="méthodo_provisions" localSheetId="3">#REF!</definedName>
    <definedName name="Méthodo_sûretés" localSheetId="3">#REF!</definedName>
    <definedName name="Méthodo_Tiers_Agrégat" localSheetId="3">#REF!</definedName>
    <definedName name="Méthodo_usage_bien_immo" localSheetId="3">#REF!</definedName>
    <definedName name="Règles_corr" localSheetId="3">#REF!</definedName>
    <definedName name="test" localSheetId="3">#REF!</definedName>
    <definedName name="Tiers_Agrégat" localSheetId="3">#REF!</definedName>
    <definedName name="Toto" localSheetId="3">#REF!</definedName>
  </definedNames>
  <calcPr calcId="191029" fullCalcOnLoad="1"/>
</workbook>
</file>

<file path=xl/styles.xml><?xml version="1.0" encoding="utf-8"?>
<styleSheet xmlns="http://schemas.openxmlformats.org/spreadsheetml/2006/main">
  <numFmts count="1">
    <numFmt numFmtId="164" formatCode="_-* #,##0.00_-;\-* #,##0.00_-;_-* &quot;-&quot;??_-;_-@_-"/>
  </numFmts>
  <fonts count="354">
    <font>
      <name val="Arial"/>
      <sz val="10"/>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Arial"/>
      <family val="2"/>
      <sz val="10"/>
    </font>
    <font>
      <name val="Arial"/>
      <family val="2"/>
      <color indexed="12"/>
      <sz val="10"/>
      <u val="single"/>
    </font>
    <font>
      <name val="Arial"/>
      <family val="2"/>
      <sz val="10"/>
    </font>
    <font>
      <name val="Calibri"/>
      <family val="2"/>
      <sz val="11"/>
    </font>
    <font>
      <name val="Calibri"/>
      <family val="2"/>
      <sz val="11"/>
      <scheme val="minor"/>
    </font>
    <font>
      <name val="Calibri"/>
      <family val="2"/>
      <i val="1"/>
      <color theme="1"/>
      <sz val="11"/>
      <scheme val="minor"/>
    </font>
    <font>
      <name val="Calibri"/>
      <family val="2"/>
      <color theme="1"/>
      <sz val="11"/>
    </font>
    <font>
      <name val="Calibri"/>
      <family val="2"/>
      <b val="1"/>
      <color rgb="FF0070C0"/>
      <sz val="11"/>
      <scheme val="minor"/>
    </font>
    <font>
      <name val="Calibri"/>
      <family val="2"/>
      <color rgb="FF0070C0"/>
      <sz val="11"/>
      <scheme val="minor"/>
    </font>
    <font>
      <name val="Calibri"/>
      <family val="2"/>
      <color rgb="FFFF0000"/>
      <sz val="11"/>
      <scheme val="minor"/>
    </font>
    <font>
      <name val="Calibri"/>
      <family val="2"/>
      <i val="1"/>
      <color theme="0" tint="-0.499984740745262"/>
      <sz val="11"/>
      <scheme val="minor"/>
    </font>
    <font>
      <name val="Calibri"/>
      <family val="2"/>
      <b val="1"/>
      <color theme="0"/>
      <sz val="11"/>
      <scheme val="minor"/>
    </font>
    <font>
      <name val="Calibri"/>
      <family val="2"/>
      <b val="1"/>
      <color theme="1"/>
      <sz val="11"/>
      <scheme val="minor"/>
    </font>
    <font>
      <name val="Calibri"/>
      <family val="2"/>
      <sz val="11"/>
      <u val="single"/>
      <scheme val="minor"/>
    </font>
    <font>
      <name val="Calibri"/>
      <family val="2"/>
      <b val="1"/>
      <sz val="11"/>
      <scheme val="minor"/>
    </font>
    <font>
      <name val="Calibri"/>
      <family val="2"/>
      <color rgb="FF000000"/>
      <sz val="11"/>
      <scheme val="minor"/>
    </font>
    <font>
      <name val="Calibri"/>
      <family val="2"/>
      <i val="1"/>
      <sz val="11"/>
      <scheme val="minor"/>
    </font>
    <font>
      <name val="Calibri"/>
      <family val="2"/>
      <color indexed="8"/>
      <sz val="11"/>
      <scheme val="minor"/>
    </font>
    <font>
      <name val="Calibri"/>
      <family val="2"/>
      <i val="1"/>
      <color rgb="FF0070C0"/>
      <sz val="11"/>
      <scheme val="minor"/>
    </font>
    <font>
      <name val="Calibri"/>
      <family val="2"/>
      <color theme="0"/>
      <sz val="11"/>
      <scheme val="minor"/>
    </font>
    <font>
      <name val="Calibri"/>
      <family val="2"/>
      <b val="1"/>
      <color rgb="FF000000"/>
      <sz val="11"/>
      <scheme val="minor"/>
    </font>
    <font>
      <name val="Calibri"/>
      <family val="2"/>
      <b val="1"/>
      <color rgb="FFFFFFFF"/>
      <sz val="11"/>
      <scheme val="minor"/>
    </font>
    <font>
      <name val="Calibri"/>
      <family val="2"/>
      <color rgb="FF0070C0"/>
      <sz val="11"/>
      <u val="single"/>
      <scheme val="minor"/>
    </font>
    <font>
      <name val="Calibri"/>
      <family val="2"/>
      <color indexed="8"/>
      <sz val="11"/>
    </font>
    <font>
      <name val="Calibri"/>
      <family val="2"/>
      <strike val="1"/>
      <color rgb="FF0070C0"/>
      <sz val="11"/>
      <scheme val="minor"/>
    </font>
    <font>
      <name val="Calibri"/>
      <family val="2"/>
      <strike val="1"/>
      <color theme="1"/>
      <sz val="11"/>
      <scheme val="minor"/>
    </font>
    <font>
      <name val="Calibri"/>
      <family val="2"/>
      <strike val="1"/>
      <sz val="11"/>
      <scheme val="minor"/>
    </font>
    <font>
      <name val="Calibri"/>
      <family val="2"/>
      <b val="1"/>
      <i val="1"/>
      <color theme="0" tint="-0.499984740745262"/>
      <sz val="11"/>
      <scheme val="minor"/>
    </font>
    <font>
      <name val="Calibri"/>
      <family val="2"/>
      <b val="1"/>
      <color theme="1"/>
      <sz val="12"/>
      <scheme val="minor"/>
    </font>
    <font>
      <name val="Calibri"/>
      <family val="2"/>
      <b val="1"/>
      <color theme="1"/>
      <sz val="11"/>
      <u val="single"/>
      <scheme val="minor"/>
    </font>
    <font>
      <name val="Calibri"/>
      <family val="2"/>
      <color theme="1"/>
      <sz val="10"/>
      <scheme val="minor"/>
    </font>
    <font>
      <name val="Calibri"/>
      <family val="2"/>
      <sz val="10"/>
      <scheme val="minor"/>
    </font>
    <font>
      <name val="Calibri"/>
      <family val="2"/>
      <b val="1"/>
      <sz val="20"/>
      <scheme val="minor"/>
    </font>
    <font>
      <name val="Calibri"/>
      <family val="2"/>
      <b val="1"/>
      <sz val="12"/>
      <scheme val="minor"/>
    </font>
    <font>
      <name val="Calibri"/>
      <family val="2"/>
      <sz val="10"/>
    </font>
    <font>
      <name val="Calibri"/>
      <family val="2"/>
      <i val="1"/>
      <strike val="1"/>
      <color theme="0" tint="-0.499984740745262"/>
      <sz val="11"/>
      <scheme val="minor"/>
    </font>
    <font>
      <name val="Calibri"/>
      <family val="2"/>
      <b val="1"/>
      <i val="1"/>
      <color theme="2" tint="-0.749992370372631"/>
      <sz val="11"/>
      <scheme val="minor"/>
    </font>
    <font>
      <name val="Calibri"/>
      <family val="2"/>
      <b val="1"/>
      <sz val="10"/>
      <scheme val="minor"/>
    </font>
    <font>
      <name val="Calibri"/>
      <family val="2"/>
      <b val="1"/>
      <color theme="1"/>
      <sz val="10"/>
      <scheme val="minor"/>
    </font>
    <font>
      <name val="Calibri"/>
      <family val="2"/>
      <i val="1"/>
      <color theme="1"/>
      <sz val="10"/>
      <scheme val="minor"/>
    </font>
    <font>
      <name val="Calibri"/>
      <family val="2"/>
      <b val="1"/>
      <sz val="11"/>
      <u val="single"/>
      <scheme val="minor"/>
    </font>
    <font>
      <name val="Calibri"/>
      <family val="2"/>
      <color theme="0"/>
      <sz val="10"/>
      <scheme val="minor"/>
    </font>
    <font>
      <name val="Calibri"/>
      <family val="2"/>
      <color theme="5" tint="-0.249977111117893"/>
      <sz val="10"/>
      <scheme val="minor"/>
    </font>
    <font>
      <name val="Calibri"/>
      <family val="2"/>
      <b val="1"/>
      <color theme="5" tint="-0.249977111117893"/>
      <sz val="10"/>
      <scheme val="minor"/>
    </font>
    <font>
      <name val="Calibri"/>
      <family val="2"/>
      <color theme="5" tint="-0.249977111117893"/>
      <sz val="11"/>
      <scheme val="minor"/>
    </font>
    <font>
      <name val="Calibri"/>
      <family val="2"/>
      <b val="1"/>
      <color theme="0"/>
      <sz val="10"/>
      <scheme val="minor"/>
    </font>
    <font>
      <name val="Arial"/>
      <family val="2"/>
      <b val="1"/>
      <color theme="1"/>
      <sz val="10"/>
    </font>
    <font>
      <name val="Calibri"/>
      <family val="2"/>
      <b val="1"/>
      <color theme="1"/>
      <sz val="10"/>
    </font>
  </fonts>
  <fills count="26">
    <fill>
      <patternFill/>
    </fill>
    <fill>
      <patternFill patternType="gray125"/>
    </fill>
    <fill>
      <patternFill patternType="solid">
        <fgColor theme="0"/>
        <bgColor indexed="64"/>
      </patternFill>
    </fill>
    <fill>
      <patternFill patternType="solid">
        <fgColor rgb="FF92D050"/>
        <bgColor indexed="64"/>
      </patternFill>
    </fill>
    <fill>
      <patternFill patternType="solid">
        <fgColor theme="6" tint="0.5999938962981048"/>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theme="4" tint="0.5999938962981048"/>
        <bgColor indexed="64"/>
      </patternFill>
    </fill>
    <fill>
      <patternFill patternType="solid">
        <fgColor indexed="46"/>
      </patternFill>
    </fill>
    <fill>
      <patternFill patternType="solid">
        <fgColor theme="5" tint="0.5999938962981048"/>
        <bgColor indexed="64"/>
      </patternFill>
    </fill>
    <fill>
      <patternFill patternType="solid">
        <fgColor theme="8" tint="0.5999938962981048"/>
        <bgColor indexed="64"/>
      </patternFill>
    </fill>
    <fill>
      <patternFill patternType="solid">
        <fgColor theme="9" tint="0.5999938962981048"/>
        <bgColor indexed="64"/>
      </patternFill>
    </fill>
    <fill>
      <patternFill patternType="solid">
        <fgColor theme="2"/>
        <bgColor indexed="64"/>
      </patternFill>
    </fill>
    <fill>
      <patternFill patternType="solid">
        <fgColor theme="9" tint="0.7999816888943144"/>
        <bgColor indexed="64"/>
      </patternFill>
    </fill>
    <fill>
      <patternFill patternType="solid">
        <fgColor indexed="42"/>
      </patternFill>
    </fill>
    <fill>
      <patternFill patternType="solid">
        <fgColor rgb="FF92CDDC"/>
        <bgColor indexed="64"/>
      </patternFill>
    </fill>
    <fill>
      <patternFill patternType="solid">
        <fgColor theme="6" tint="0.7999816888943144"/>
        <bgColor indexed="64"/>
      </patternFill>
    </fill>
    <fill>
      <patternFill patternType="solid">
        <fgColor rgb="FFE6B8B7"/>
        <bgColor indexed="64"/>
      </patternFill>
    </fill>
    <fill>
      <patternFill patternType="solid">
        <fgColor rgb="FFD8E4BC"/>
        <bgColor indexed="64"/>
      </patternFill>
    </fill>
    <fill>
      <patternFill patternType="solid">
        <fgColor rgb="FFCCC0DA"/>
        <bgColor indexed="64"/>
      </patternFill>
    </fill>
    <fill>
      <patternFill patternType="solid">
        <fgColor rgb="FFB7DEE8"/>
        <bgColor indexed="64"/>
      </patternFill>
    </fill>
    <fill>
      <patternFill patternType="solid">
        <fgColor theme="5" tint="-0.249977111117893"/>
        <bgColor indexed="64"/>
      </patternFill>
    </fill>
    <fill>
      <patternFill patternType="solid">
        <fgColor theme="9" tint="-0.249977111117893"/>
        <bgColor indexed="64"/>
      </patternFill>
    </fill>
    <fill>
      <patternFill patternType="solid">
        <fgColor rgb="FFFFCCFF"/>
        <bgColor indexed="64"/>
      </patternFill>
    </fill>
    <fill>
      <patternFill patternType="solid">
        <fgColor theme="8" tint="0.3999755851924192"/>
        <bgColor indexed="64"/>
      </patternFill>
    </fill>
    <fill>
      <patternFill patternType="solid">
        <fgColor rgb="FFFFFF00"/>
        <bgColor indexed="64"/>
      </patternFill>
    </fill>
  </fills>
  <borders count="7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double">
        <color auto="1"/>
      </top>
      <bottom/>
      <diagonal/>
    </border>
    <border>
      <left/>
      <right style="double">
        <color auto="1"/>
      </right>
      <top style="double">
        <color auto="1"/>
      </top>
      <bottom/>
      <diagonal/>
    </border>
    <border>
      <left/>
      <right style="double">
        <color auto="1"/>
      </right>
      <top/>
      <bottom/>
      <diagonal/>
    </border>
    <border>
      <left/>
      <right/>
      <top/>
      <bottom style="double">
        <color auto="1"/>
      </bottom>
      <diagonal/>
    </border>
    <border>
      <left/>
      <right style="double">
        <color auto="1"/>
      </right>
      <top/>
      <bottom style="double">
        <color auto="1"/>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double">
        <color auto="1"/>
      </left>
      <right/>
      <top style="double">
        <color auto="1"/>
      </top>
      <bottom/>
      <diagonal/>
    </border>
    <border>
      <left style="double">
        <color auto="1"/>
      </left>
      <right/>
      <top/>
      <bottom/>
      <diagonal/>
    </border>
    <border>
      <left style="double">
        <color auto="1"/>
      </left>
      <right/>
      <top/>
      <bottom style="double">
        <color auto="1"/>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style="thin">
        <color auto="1"/>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auto="1"/>
      </top>
      <bottom style="medium">
        <color indexed="64"/>
      </bottom>
      <diagonal/>
    </border>
    <border>
      <left style="thin">
        <color theme="0"/>
      </left>
      <right style="thin">
        <color theme="0"/>
      </right>
      <top style="thin">
        <color theme="0"/>
      </top>
      <bottom style="thin">
        <color theme="0"/>
      </bottom>
      <diagonal/>
    </border>
    <border>
      <left/>
      <right/>
      <top/>
      <bottom style="thin">
        <color theme="0" tint="-0.249946592608417"/>
      </bottom>
      <diagonal/>
    </border>
    <border>
      <left style="thin">
        <color theme="0" tint="-0.249946592608417"/>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3499862666707358"/>
      </top>
      <bottom style="thin">
        <color theme="0" tint="-0.249946592608417"/>
      </bottom>
      <diagonal/>
    </border>
    <border>
      <left style="thin">
        <color theme="0" tint="-0.249946592608417"/>
      </left>
      <right style="thin">
        <color theme="0" tint="-0.3499862666707358"/>
      </right>
      <top style="thin">
        <color theme="0" tint="-0.3499862666707358"/>
      </top>
      <bottom style="thin">
        <color theme="0" tint="-0.249946592608417"/>
      </bottom>
      <diagonal/>
    </border>
    <border>
      <left style="thin">
        <color theme="0" tint="-0.249946592608417"/>
      </left>
      <right style="thin">
        <color theme="0" tint="-0.3499862666707358"/>
      </right>
      <top style="thin">
        <color theme="0" tint="-0.249946592608417"/>
      </top>
      <bottom style="thin">
        <color theme="0" tint="-0.249946592608417"/>
      </bottom>
      <diagonal/>
    </border>
    <border>
      <left/>
      <right/>
      <top/>
      <bottom style="thin">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top style="thin">
        <color indexed="64"/>
      </top>
      <bottom/>
      <diagonal/>
    </border>
    <border>
      <left style="dotted">
        <color theme="0" tint="-0.3499862666707358"/>
      </left>
      <right style="dotted">
        <color theme="0" tint="-0.3499862666707358"/>
      </right>
      <top style="thin">
        <color indexed="64"/>
      </top>
      <bottom style="thin">
        <color indexed="64"/>
      </bottom>
      <diagonal/>
    </border>
    <border>
      <left style="medium">
        <color indexed="64"/>
      </left>
      <right style="dotted">
        <color theme="0" tint="-0.3499862666707358"/>
      </right>
      <top style="thin">
        <color indexed="64"/>
      </top>
      <bottom style="thin">
        <color indexed="64"/>
      </bottom>
      <diagonal/>
    </border>
    <border>
      <left/>
      <right style="thin">
        <color indexed="64"/>
      </right>
      <top/>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top style="thin">
        <color indexed="64"/>
      </top>
      <bottom style="thin">
        <color indexed="64"/>
      </bottom>
      <diagonal/>
    </border>
    <border>
      <left style="double">
        <color auto="1"/>
      </left>
      <right style="double">
        <color auto="1"/>
      </right>
      <top style="double">
        <color auto="1"/>
      </top>
      <bottom/>
      <diagonal/>
    </border>
    <border>
      <left style="double">
        <color auto="1"/>
      </left>
      <right style="double">
        <color auto="1"/>
      </right>
      <top/>
      <bottom/>
      <diagonal/>
    </border>
  </borders>
  <cellStyleXfs count="42">
    <xf numFmtId="0" fontId="0" fillId="0" borderId="0"/>
    <xf numFmtId="44" fontId="308" fillId="0" borderId="0"/>
    <xf numFmtId="0" fontId="307" fillId="0" borderId="0" applyAlignment="1" applyProtection="1">
      <alignment vertical="top"/>
      <protection locked="0" hidden="0"/>
    </xf>
    <xf numFmtId="0" fontId="308" fillId="0" borderId="0"/>
    <xf numFmtId="0" fontId="308" fillId="0" borderId="0"/>
    <xf numFmtId="0" fontId="305" fillId="0" borderId="0"/>
    <xf numFmtId="0" fontId="305" fillId="0" borderId="0"/>
    <xf numFmtId="0" fontId="305" fillId="0" borderId="0"/>
    <xf numFmtId="0" fontId="308" fillId="0" borderId="0"/>
    <xf numFmtId="0" fontId="305" fillId="0" borderId="0"/>
    <xf numFmtId="0" fontId="305" fillId="0" borderId="0"/>
    <xf numFmtId="0" fontId="308" fillId="0" borderId="0"/>
    <xf numFmtId="0" fontId="305" fillId="0" borderId="0"/>
    <xf numFmtId="0" fontId="308" fillId="0" borderId="0"/>
    <xf numFmtId="0" fontId="308" fillId="0" borderId="0"/>
    <xf numFmtId="0" fontId="308" fillId="0" borderId="0"/>
    <xf numFmtId="9" fontId="305" fillId="0" borderId="0"/>
    <xf numFmtId="0" fontId="305" fillId="0" borderId="0"/>
    <xf numFmtId="0" fontId="308" fillId="0" borderId="0"/>
    <xf numFmtId="0" fontId="305" fillId="0" borderId="0"/>
    <xf numFmtId="0" fontId="305" fillId="0" borderId="0"/>
    <xf numFmtId="0" fontId="323" fillId="0" borderId="0"/>
    <xf numFmtId="0" fontId="329" fillId="8" borderId="0"/>
    <xf numFmtId="0" fontId="305" fillId="0" borderId="0"/>
    <xf numFmtId="0" fontId="305" fillId="0" borderId="0"/>
    <xf numFmtId="0" fontId="305" fillId="0" borderId="0"/>
    <xf numFmtId="0" fontId="305" fillId="0" borderId="0"/>
    <xf numFmtId="0" fontId="305" fillId="0" borderId="0"/>
    <xf numFmtId="43" fontId="308" fillId="0" borderId="0"/>
    <xf numFmtId="0" fontId="305" fillId="0" borderId="0"/>
    <xf numFmtId="0" fontId="305" fillId="0" borderId="0"/>
    <xf numFmtId="0" fontId="329" fillId="14" borderId="0"/>
    <xf numFmtId="0" fontId="305" fillId="0" borderId="0"/>
    <xf numFmtId="0" fontId="308" fillId="0" borderId="0"/>
    <xf numFmtId="0" fontId="305" fillId="0" borderId="0"/>
    <xf numFmtId="0" fontId="305" fillId="0" borderId="0"/>
    <xf numFmtId="0" fontId="305" fillId="0" borderId="0"/>
    <xf numFmtId="0" fontId="305" fillId="0" borderId="0"/>
    <xf numFmtId="0" fontId="305" fillId="0" borderId="0"/>
    <xf numFmtId="0" fontId="305" fillId="0" borderId="0"/>
    <xf numFmtId="0" fontId="305" fillId="0" borderId="0"/>
    <xf numFmtId="0" fontId="308" fillId="0" borderId="0"/>
  </cellStyleXfs>
  <cellXfs count="1522">
    <xf numFmtId="0" fontId="0" fillId="0" borderId="0" pivotButton="0" quotePrefix="0" xfId="0"/>
    <xf numFmtId="0" fontId="317" fillId="7" borderId="22" applyAlignment="1" pivotButton="0" quotePrefix="0" xfId="13">
      <alignment horizontal="center" vertical="center" wrapText="1"/>
    </xf>
    <xf numFmtId="0" fontId="313" fillId="7" borderId="21" applyAlignment="1" applyProtection="1" pivotButton="0" quotePrefix="0" xfId="13">
      <alignment horizontal="center" vertical="center" wrapText="1"/>
      <protection locked="0" hidden="0"/>
    </xf>
    <xf numFmtId="0" fontId="317" fillId="7" borderId="21" applyAlignment="1" applyProtection="1" pivotButton="0" quotePrefix="0" xfId="13">
      <alignment horizontal="center" vertical="center" wrapText="1"/>
      <protection locked="0" hidden="0"/>
    </xf>
    <xf numFmtId="0" fontId="317" fillId="7" borderId="23" applyAlignment="1" applyProtection="1" pivotButton="0" quotePrefix="0" xfId="13">
      <alignment horizontal="center" vertical="center" wrapText="1"/>
      <protection locked="0" hidden="0"/>
    </xf>
    <xf numFmtId="0" fontId="310" fillId="4" borderId="15" applyAlignment="1" pivotButton="0" quotePrefix="0" xfId="8">
      <alignment horizontal="left" vertical="center"/>
    </xf>
    <xf numFmtId="0" fontId="310" fillId="4" borderId="6" applyAlignment="1" pivotButton="0" quotePrefix="0" xfId="8">
      <alignment horizontal="left" vertical="center"/>
    </xf>
    <xf numFmtId="0" fontId="310" fillId="4" borderId="1" applyAlignment="1" pivotButton="0" quotePrefix="0" xfId="8">
      <alignment horizontal="center" vertical="center"/>
    </xf>
    <xf numFmtId="0" fontId="310" fillId="4" borderId="16" applyAlignment="1" pivotButton="0" quotePrefix="0" xfId="8">
      <alignment horizontal="center" vertical="center"/>
    </xf>
    <xf numFmtId="0" fontId="314" fillId="4" borderId="6" applyAlignment="1" pivotButton="0" quotePrefix="0" xfId="8">
      <alignment horizontal="left" vertical="center"/>
    </xf>
    <xf numFmtId="0" fontId="310" fillId="0" borderId="1" applyAlignment="1" pivotButton="0" quotePrefix="0" xfId="13">
      <alignment horizontal="center" vertical="center" wrapText="1"/>
    </xf>
    <xf numFmtId="0" fontId="314" fillId="0" borderId="1" applyAlignment="1" pivotButton="0" quotePrefix="0" xfId="13">
      <alignment horizontal="center" vertical="center" wrapText="1"/>
    </xf>
    <xf numFmtId="0" fontId="310" fillId="0" borderId="1" applyAlignment="1" pivotButton="0" quotePrefix="0" xfId="13">
      <alignment horizontal="left" vertical="center" wrapText="1"/>
    </xf>
    <xf numFmtId="0" fontId="314" fillId="0" borderId="11" applyAlignment="1" pivotButton="0" quotePrefix="0" xfId="13">
      <alignment horizontal="center" vertical="center"/>
    </xf>
    <xf numFmtId="0" fontId="310" fillId="0" borderId="11" applyAlignment="1" pivotButton="0" quotePrefix="0" xfId="13">
      <alignment horizontal="center" vertical="center" wrapText="1"/>
    </xf>
    <xf numFmtId="0" fontId="310" fillId="0" borderId="11" applyAlignment="1" pivotButton="0" quotePrefix="0" xfId="13">
      <alignment horizontal="left" vertical="center" wrapText="1"/>
    </xf>
    <xf numFmtId="0" fontId="314" fillId="0" borderId="11" applyAlignment="1" pivotButton="0" quotePrefix="0" xfId="13">
      <alignment horizontal="left" vertical="center" wrapText="1"/>
    </xf>
    <xf numFmtId="0" fontId="314" fillId="0" borderId="11" applyAlignment="1" pivotButton="0" quotePrefix="0" xfId="13">
      <alignment horizontal="center" vertical="center" wrapText="1"/>
    </xf>
    <xf numFmtId="0" fontId="310" fillId="0" borderId="14" applyAlignment="1" pivotButton="0" quotePrefix="0" xfId="13">
      <alignment horizontal="center" vertical="center" wrapText="1"/>
    </xf>
    <xf numFmtId="0" fontId="314" fillId="0" borderId="1" applyAlignment="1" pivotButton="0" quotePrefix="0" xfId="13">
      <alignment horizontal="center" vertical="center"/>
    </xf>
    <xf numFmtId="0" fontId="314" fillId="0" borderId="1" applyAlignment="1" pivotButton="0" quotePrefix="0" xfId="13">
      <alignment horizontal="left" vertical="center" wrapText="1"/>
    </xf>
    <xf numFmtId="0" fontId="310" fillId="0" borderId="16" applyAlignment="1" pivotButton="0" quotePrefix="0" xfId="13">
      <alignment horizontal="center" vertical="center" wrapText="1"/>
    </xf>
    <xf numFmtId="0" fontId="310" fillId="4" borderId="17" applyAlignment="1" pivotButton="0" quotePrefix="0" xfId="13">
      <alignment horizontal="center" vertical="center"/>
    </xf>
    <xf numFmtId="0" fontId="314" fillId="4" borderId="17" applyAlignment="1" pivotButton="0" quotePrefix="0" xfId="13">
      <alignment horizontal="center" vertical="center"/>
    </xf>
    <xf numFmtId="0" fontId="310" fillId="4" borderId="17" applyAlignment="1" pivotButton="0" quotePrefix="0" xfId="13">
      <alignment horizontal="left" vertical="center" wrapText="1"/>
    </xf>
    <xf numFmtId="0" fontId="314" fillId="4" borderId="17" applyAlignment="1" pivotButton="0" quotePrefix="0" xfId="13">
      <alignment horizontal="left" vertical="center" wrapText="1"/>
    </xf>
    <xf numFmtId="0" fontId="310" fillId="4" borderId="17" applyAlignment="1" pivotButton="0" quotePrefix="0" xfId="13">
      <alignment horizontal="center" vertical="center" wrapText="1"/>
    </xf>
    <xf numFmtId="0" fontId="314" fillId="4" borderId="17" applyAlignment="1" pivotButton="0" quotePrefix="0" xfId="13">
      <alignment horizontal="center" vertical="center" wrapText="1"/>
    </xf>
    <xf numFmtId="0" fontId="310" fillId="4" borderId="18" applyAlignment="1" pivotButton="0" quotePrefix="0" xfId="13">
      <alignment horizontal="center" vertical="center" wrapText="1"/>
    </xf>
    <xf numFmtId="0" fontId="314" fillId="4" borderId="17" applyAlignment="1" pivotButton="0" quotePrefix="0" xfId="24">
      <alignment horizontal="left" vertical="center"/>
    </xf>
    <xf numFmtId="0" fontId="314" fillId="4" borderId="17" applyAlignment="1" pivotButton="0" quotePrefix="0" xfId="24">
      <alignment horizontal="center" vertical="center"/>
    </xf>
    <xf numFmtId="0" fontId="317" fillId="11" borderId="22" applyAlignment="1" pivotButton="0" quotePrefix="0" xfId="13">
      <alignment horizontal="center" vertical="center" wrapText="1"/>
    </xf>
    <xf numFmtId="0" fontId="313" fillId="11" borderId="21" applyAlignment="1" applyProtection="1" pivotButton="0" quotePrefix="0" xfId="13">
      <alignment horizontal="center" vertical="center" wrapText="1"/>
      <protection locked="0" hidden="0"/>
    </xf>
    <xf numFmtId="0" fontId="317" fillId="11" borderId="21" applyAlignment="1" applyProtection="1" pivotButton="0" quotePrefix="0" xfId="13">
      <alignment horizontal="center" vertical="center" wrapText="1"/>
      <protection locked="0" hidden="0"/>
    </xf>
    <xf numFmtId="0" fontId="317" fillId="11" borderId="23" applyAlignment="1" applyProtection="1" pivotButton="0" quotePrefix="0" xfId="13">
      <alignment horizontal="center" vertical="center" wrapText="1"/>
      <protection locked="0" hidden="0"/>
    </xf>
    <xf numFmtId="0" fontId="317" fillId="3" borderId="13" applyAlignment="1" pivotButton="0" quotePrefix="0" xfId="0">
      <alignment horizontal="center" vertical="center" wrapText="1"/>
    </xf>
    <xf numFmtId="0" fontId="320" fillId="3" borderId="11" applyAlignment="1" pivotButton="0" quotePrefix="0" xfId="0">
      <alignment horizontal="center" vertical="center" wrapText="1"/>
    </xf>
    <xf numFmtId="0" fontId="317" fillId="3" borderId="11" applyAlignment="1" pivotButton="0" quotePrefix="0" xfId="0">
      <alignment horizontal="center" vertical="center" wrapText="1"/>
    </xf>
    <xf numFmtId="0" fontId="313" fillId="3" borderId="11" applyAlignment="1" pivotButton="0" quotePrefix="0" xfId="0">
      <alignment horizontal="center" vertical="center" wrapText="1"/>
    </xf>
    <xf numFmtId="0" fontId="320" fillId="3" borderId="14" applyAlignment="1" pivotButton="0" quotePrefix="0" xfId="0">
      <alignment horizontal="center" vertical="center" wrapText="1"/>
    </xf>
    <xf numFmtId="0" fontId="317" fillId="5" borderId="12" applyAlignment="1" applyProtection="1" pivotButton="0" quotePrefix="0" xfId="13">
      <alignment horizontal="center" vertical="center" wrapText="1"/>
      <protection locked="0" hidden="0"/>
    </xf>
    <xf numFmtId="0" fontId="313" fillId="5" borderId="19" applyAlignment="1" applyProtection="1" pivotButton="0" quotePrefix="0" xfId="13">
      <alignment horizontal="center" vertical="center" wrapText="1"/>
      <protection locked="0" hidden="0"/>
    </xf>
    <xf numFmtId="0" fontId="317" fillId="5" borderId="17" applyAlignment="1" applyProtection="1" pivotButton="0" quotePrefix="0" xfId="13">
      <alignment horizontal="center" vertical="center" wrapText="1"/>
      <protection locked="0" hidden="0"/>
    </xf>
    <xf numFmtId="0" fontId="317" fillId="5" borderId="18" applyAlignment="1" applyProtection="1" pivotButton="0" quotePrefix="0" xfId="13">
      <alignment horizontal="center" vertical="center" wrapText="1"/>
      <protection locked="0" hidden="0"/>
    </xf>
    <xf numFmtId="0" fontId="317" fillId="5" borderId="19" applyAlignment="1" pivotButton="0" quotePrefix="0" xfId="13">
      <alignment horizontal="center" vertical="center" wrapText="1"/>
    </xf>
    <xf numFmtId="0" fontId="313" fillId="5" borderId="19" applyAlignment="1" pivotButton="0" quotePrefix="0" xfId="13">
      <alignment horizontal="center" vertical="center" wrapText="1"/>
    </xf>
    <xf numFmtId="0" fontId="317" fillId="5" borderId="12" applyAlignment="1" pivotButton="0" quotePrefix="0" xfId="13">
      <alignment horizontal="center" vertical="center" wrapText="1"/>
    </xf>
    <xf numFmtId="0" fontId="313" fillId="5" borderId="17" applyAlignment="1" applyProtection="1" pivotButton="0" quotePrefix="0" xfId="13">
      <alignment horizontal="center" vertical="center" wrapText="1"/>
      <protection locked="0" hidden="0"/>
    </xf>
    <xf numFmtId="0" fontId="310" fillId="2" borderId="0" applyAlignment="1" pivotButton="0" quotePrefix="0" xfId="8">
      <alignment horizontal="center"/>
    </xf>
    <xf numFmtId="0" fontId="310" fillId="2" borderId="0" pivotButton="0" quotePrefix="0" xfId="8"/>
    <xf numFmtId="0" fontId="310" fillId="2" borderId="0" applyAlignment="1" pivotButton="0" quotePrefix="0" xfId="8">
      <alignment vertical="center"/>
    </xf>
    <xf numFmtId="0" fontId="310" fillId="2" borderId="0" applyAlignment="1" pivotButton="0" quotePrefix="0" xfId="8">
      <alignment vertical="center" wrapText="1"/>
    </xf>
    <xf numFmtId="0" fontId="310" fillId="2" borderId="0" applyAlignment="1" pivotButton="0" quotePrefix="0" xfId="13">
      <alignment horizontal="center"/>
    </xf>
    <xf numFmtId="0" fontId="310" fillId="2" borderId="0" applyAlignment="1" pivotButton="0" quotePrefix="0" xfId="8">
      <alignment horizontal="center" vertical="center"/>
    </xf>
    <xf numFmtId="0" fontId="316" fillId="2" borderId="0" pivotButton="0" quotePrefix="0" xfId="8"/>
    <xf numFmtId="0" fontId="316" fillId="2" borderId="0" pivotButton="0" quotePrefix="0" xfId="24"/>
    <xf numFmtId="0" fontId="316" fillId="2" borderId="0" pivotButton="0" quotePrefix="0" xfId="26"/>
    <xf numFmtId="0" fontId="316" fillId="2" borderId="0" applyAlignment="1" pivotButton="0" quotePrefix="0" xfId="24">
      <alignment vertical="center"/>
    </xf>
    <xf numFmtId="0" fontId="316" fillId="2" borderId="0" applyAlignment="1" pivotButton="0" quotePrefix="0" xfId="26">
      <alignment vertical="center"/>
    </xf>
    <xf numFmtId="0" fontId="311" fillId="2" borderId="0" pivotButton="0" quotePrefix="0" xfId="24"/>
    <xf numFmtId="0" fontId="310" fillId="2" borderId="0" pivotButton="0" quotePrefix="0" xfId="24"/>
    <xf numFmtId="0" fontId="326" fillId="2" borderId="0" applyAlignment="1" pivotButton="0" quotePrefix="0" xfId="0">
      <alignment vertical="center"/>
    </xf>
    <xf numFmtId="0" fontId="310" fillId="2" borderId="0" pivotButton="0" quotePrefix="0" xfId="0"/>
    <xf numFmtId="0" fontId="310" fillId="2" borderId="0" applyAlignment="1" pivotButton="0" quotePrefix="1" xfId="0">
      <alignment horizontal="left"/>
    </xf>
    <xf numFmtId="0" fontId="310" fillId="2" borderId="0" pivotButton="0" quotePrefix="0" xfId="10"/>
    <xf numFmtId="0" fontId="310" fillId="2" borderId="0" applyAlignment="1" pivotButton="0" quotePrefix="0" xfId="10">
      <alignment horizontal="left" vertical="center"/>
    </xf>
    <xf numFmtId="0" fontId="327" fillId="3" borderId="42" applyAlignment="1" pivotButton="0" quotePrefix="0" xfId="0">
      <alignment vertical="center" wrapText="1"/>
    </xf>
    <xf numFmtId="0" fontId="327" fillId="3" borderId="43" applyAlignment="1" pivotButton="0" quotePrefix="0" xfId="0">
      <alignment vertical="center" wrapText="1"/>
    </xf>
    <xf numFmtId="0" fontId="327" fillId="3" borderId="44" applyAlignment="1" pivotButton="0" quotePrefix="0" xfId="0">
      <alignment vertical="center" wrapText="1"/>
    </xf>
    <xf numFmtId="0" fontId="321" fillId="0" borderId="8" applyAlignment="1" pivotButton="0" quotePrefix="0" xfId="0">
      <alignment vertical="center"/>
    </xf>
    <xf numFmtId="0" fontId="310" fillId="0" borderId="42" applyAlignment="1" pivotButton="0" quotePrefix="0" xfId="2">
      <alignment vertical="center" wrapText="1"/>
    </xf>
    <xf numFmtId="0" fontId="314" fillId="0" borderId="44" applyAlignment="1" pivotButton="0" quotePrefix="0" xfId="0">
      <alignment vertical="center" wrapText="1"/>
    </xf>
    <xf numFmtId="0" fontId="321" fillId="0" borderId="44" applyAlignment="1" pivotButton="0" quotePrefix="0" xfId="0">
      <alignment vertical="center"/>
    </xf>
    <xf numFmtId="0" fontId="321" fillId="0" borderId="43" applyAlignment="1" pivotButton="0" quotePrefix="0" xfId="0">
      <alignment vertical="center" wrapText="1"/>
    </xf>
    <xf numFmtId="0" fontId="320" fillId="3" borderId="46" applyAlignment="1" pivotButton="0" quotePrefix="0" xfId="34">
      <alignment horizontal="centerContinuous"/>
    </xf>
    <xf numFmtId="0" fontId="320" fillId="3" borderId="47" applyAlignment="1" pivotButton="0" quotePrefix="0" xfId="34">
      <alignment horizontal="centerContinuous"/>
    </xf>
    <xf numFmtId="0" fontId="310" fillId="3" borderId="47" applyAlignment="1" pivotButton="0" quotePrefix="0" xfId="34">
      <alignment horizontal="centerContinuous"/>
    </xf>
    <xf numFmtId="0" fontId="310" fillId="3" borderId="48" applyAlignment="1" pivotButton="0" quotePrefix="0" xfId="34">
      <alignment horizontal="centerContinuous"/>
    </xf>
    <xf numFmtId="0" fontId="310" fillId="2" borderId="41" applyAlignment="1" pivotButton="0" quotePrefix="0" xfId="34">
      <alignment horizontal="left" vertical="center" wrapText="1"/>
    </xf>
    <xf numFmtId="0" fontId="310" fillId="2" borderId="27" applyAlignment="1" pivotButton="0" quotePrefix="0" xfId="34">
      <alignment horizontal="left" vertical="center" wrapText="1"/>
    </xf>
    <xf numFmtId="0" fontId="310" fillId="2" borderId="49" applyAlignment="1" pivotButton="0" quotePrefix="0" xfId="34">
      <alignment horizontal="left" vertical="center" wrapText="1"/>
    </xf>
    <xf numFmtId="0" fontId="317" fillId="3" borderId="13" applyAlignment="1" pivotButton="0" quotePrefix="0" xfId="0">
      <alignment horizontal="centerContinuous" vertical="center" wrapText="1"/>
    </xf>
    <xf numFmtId="0" fontId="317" fillId="3" borderId="11" applyAlignment="1" pivotButton="0" quotePrefix="0" xfId="0">
      <alignment horizontal="centerContinuous" vertical="center" wrapText="1"/>
    </xf>
    <xf numFmtId="0" fontId="317" fillId="3" borderId="14" applyAlignment="1" pivotButton="0" quotePrefix="0" xfId="0">
      <alignment horizontal="centerContinuous" vertical="center" wrapText="1"/>
    </xf>
    <xf numFmtId="0" fontId="327" fillId="3" borderId="10" applyAlignment="1" pivotButton="0" quotePrefix="0" xfId="0">
      <alignment vertical="center" wrapText="1"/>
    </xf>
    <xf numFmtId="0" fontId="310" fillId="2" borderId="19" applyAlignment="1" pivotButton="0" quotePrefix="0" xfId="34">
      <alignment horizontal="left" vertical="center" wrapText="1"/>
    </xf>
    <xf numFmtId="0" fontId="293" fillId="2" borderId="0" pivotButton="0" quotePrefix="0" xfId="0"/>
    <xf numFmtId="0" fontId="293" fillId="2" borderId="4" pivotButton="0" quotePrefix="0" xfId="0"/>
    <xf numFmtId="0" fontId="292" fillId="0" borderId="1" applyAlignment="1" pivotButton="0" quotePrefix="0" xfId="13">
      <alignment horizontal="center" vertical="center"/>
    </xf>
    <xf numFmtId="0" fontId="292" fillId="2" borderId="0" pivotButton="0" quotePrefix="0" xfId="25"/>
    <xf numFmtId="0" fontId="292" fillId="2" borderId="0" pivotButton="0" quotePrefix="0" xfId="24"/>
    <xf numFmtId="0" fontId="292" fillId="2" borderId="0" applyAlignment="1" pivotButton="0" quotePrefix="0" xfId="24">
      <alignment vertical="center"/>
    </xf>
    <xf numFmtId="0" fontId="292" fillId="2" borderId="0" applyAlignment="1" pivotButton="0" quotePrefix="0" xfId="26">
      <alignment vertical="center"/>
    </xf>
    <xf numFmtId="164" fontId="292" fillId="2" borderId="0" applyAlignment="1" pivotButton="0" quotePrefix="0" xfId="28">
      <alignment vertical="center"/>
    </xf>
    <xf numFmtId="0" fontId="292" fillId="2" borderId="0" pivotButton="0" quotePrefix="0" xfId="26"/>
    <xf numFmtId="164" fontId="292" fillId="2" borderId="0" pivotButton="0" quotePrefix="0" xfId="28"/>
    <xf numFmtId="0" fontId="292" fillId="4" borderId="12" applyAlignment="1" pivotButton="0" quotePrefix="0" xfId="24">
      <alignment horizontal="left" vertical="center"/>
    </xf>
    <xf numFmtId="0" fontId="292" fillId="4" borderId="17" applyAlignment="1" pivotButton="0" quotePrefix="0" xfId="24">
      <alignment horizontal="center" vertical="center"/>
    </xf>
    <xf numFmtId="0" fontId="292" fillId="4" borderId="18" applyAlignment="1" pivotButton="0" quotePrefix="0" xfId="24">
      <alignment horizontal="center" vertical="center"/>
    </xf>
    <xf numFmtId="0" fontId="292" fillId="4" borderId="19" applyAlignment="1" pivotButton="0" quotePrefix="0" xfId="24">
      <alignment horizontal="center" vertical="center"/>
    </xf>
    <xf numFmtId="0" fontId="292" fillId="4" borderId="19" applyAlignment="1" pivotButton="0" quotePrefix="0" xfId="24">
      <alignment horizontal="left" vertical="center"/>
    </xf>
    <xf numFmtId="0" fontId="317" fillId="3" borderId="21" applyAlignment="1" pivotButton="0" quotePrefix="0" xfId="8">
      <alignment horizontal="center" vertical="center" wrapText="1"/>
    </xf>
    <xf numFmtId="0" fontId="322" fillId="5" borderId="24" applyAlignment="1" pivotButton="0" quotePrefix="0" xfId="0">
      <alignment horizontal="left" vertical="top" wrapText="1"/>
    </xf>
    <xf numFmtId="0" fontId="322" fillId="5" borderId="25" applyAlignment="1" pivotButton="0" quotePrefix="0" xfId="0">
      <alignment horizontal="left" vertical="top" wrapText="1"/>
    </xf>
    <xf numFmtId="0" fontId="324" fillId="5" borderId="25" applyAlignment="1" pivotButton="0" quotePrefix="0" xfId="0">
      <alignment horizontal="left" vertical="top" wrapText="1"/>
    </xf>
    <xf numFmtId="0" fontId="322" fillId="5" borderId="25" applyAlignment="1" applyProtection="1" pivotButton="0" quotePrefix="0" xfId="0">
      <alignment horizontal="left" vertical="top" wrapText="1"/>
      <protection locked="0" hidden="0"/>
    </xf>
    <xf numFmtId="0" fontId="322" fillId="5" borderId="25" applyAlignment="1" pivotButton="0" quotePrefix="1" xfId="0">
      <alignment horizontal="left" vertical="top" wrapText="1"/>
    </xf>
    <xf numFmtId="0" fontId="292" fillId="0" borderId="11" applyAlignment="1" pivotButton="0" quotePrefix="0" xfId="13">
      <alignment horizontal="center" vertical="center"/>
    </xf>
    <xf numFmtId="0" fontId="292" fillId="4" borderId="25" applyAlignment="1" pivotButton="0" quotePrefix="0" xfId="13">
      <alignment horizontal="center" vertical="center"/>
    </xf>
    <xf numFmtId="0" fontId="314" fillId="4" borderId="25" applyAlignment="1" pivotButton="0" quotePrefix="0" xfId="13">
      <alignment horizontal="center" vertical="center"/>
    </xf>
    <xf numFmtId="0" fontId="310" fillId="4" borderId="25" applyAlignment="1" pivotButton="0" quotePrefix="0" xfId="13">
      <alignment horizontal="left" vertical="center" wrapText="1"/>
    </xf>
    <xf numFmtId="0" fontId="314" fillId="4" borderId="25" applyAlignment="1" pivotButton="0" quotePrefix="0" xfId="13">
      <alignment horizontal="left" vertical="center" wrapText="1"/>
    </xf>
    <xf numFmtId="0" fontId="310" fillId="4" borderId="25" applyAlignment="1" pivotButton="0" quotePrefix="0" xfId="13">
      <alignment horizontal="center" vertical="center" wrapText="1"/>
    </xf>
    <xf numFmtId="0" fontId="314" fillId="4" borderId="25" applyAlignment="1" pivotButton="0" quotePrefix="0" xfId="13">
      <alignment horizontal="center" vertical="center" wrapText="1"/>
    </xf>
    <xf numFmtId="0" fontId="310" fillId="4" borderId="26" applyAlignment="1" pivotButton="0" quotePrefix="0" xfId="13">
      <alignment horizontal="center" vertical="center" wrapText="1"/>
    </xf>
    <xf numFmtId="0" fontId="292" fillId="0" borderId="13" applyAlignment="1" pivotButton="0" quotePrefix="0" xfId="13">
      <alignment horizontal="center" vertical="center"/>
    </xf>
    <xf numFmtId="0" fontId="312" fillId="0" borderId="1" applyAlignment="1" pivotButton="0" quotePrefix="0" xfId="13">
      <alignment horizontal="center" vertical="center"/>
    </xf>
    <xf numFmtId="0" fontId="309" fillId="0" borderId="1" applyAlignment="1" pivotButton="0" quotePrefix="0" xfId="13">
      <alignment horizontal="center" vertical="center" wrapText="1"/>
    </xf>
    <xf numFmtId="0" fontId="292" fillId="0" borderId="15" applyAlignment="1" pivotButton="0" quotePrefix="0" xfId="13">
      <alignment horizontal="center" vertical="center"/>
    </xf>
    <xf numFmtId="0" fontId="292" fillId="0" borderId="1" applyAlignment="1" pivotButton="0" quotePrefix="0" xfId="13">
      <alignment horizontal="center" vertical="center" wrapText="1"/>
    </xf>
    <xf numFmtId="0" fontId="292" fillId="4" borderId="24" applyAlignment="1" pivotButton="0" quotePrefix="0" xfId="13">
      <alignment horizontal="center" vertical="center"/>
    </xf>
    <xf numFmtId="0" fontId="292" fillId="4" borderId="25" applyAlignment="1" pivotButton="0" quotePrefix="0" xfId="13">
      <alignment horizontal="center" vertical="center" wrapText="1"/>
    </xf>
    <xf numFmtId="0" fontId="310" fillId="4" borderId="12" applyAlignment="1" pivotButton="0" quotePrefix="0" xfId="13">
      <alignment horizontal="center" vertical="center"/>
    </xf>
    <xf numFmtId="0" fontId="292" fillId="4" borderId="17" applyAlignment="1" pivotButton="0" quotePrefix="0" xfId="13">
      <alignment horizontal="center" vertical="center" wrapText="1"/>
    </xf>
    <xf numFmtId="0" fontId="317" fillId="3" borderId="24" applyAlignment="1" pivotButton="0" quotePrefix="0" xfId="0">
      <alignment horizontal="center" vertical="center" wrapText="1"/>
    </xf>
    <xf numFmtId="0" fontId="317" fillId="3" borderId="25" applyAlignment="1" pivotButton="0" quotePrefix="0" xfId="23">
      <alignment horizontal="center" vertical="center" wrapText="1"/>
    </xf>
    <xf numFmtId="0" fontId="317" fillId="3" borderId="25" applyAlignment="1" pivotButton="0" quotePrefix="0" xfId="0">
      <alignment horizontal="center" vertical="center" wrapText="1"/>
    </xf>
    <xf numFmtId="0" fontId="317" fillId="3" borderId="26" applyAlignment="1" pivotButton="0" quotePrefix="0" xfId="0">
      <alignment horizontal="centerContinuous" vertical="center" wrapText="1"/>
    </xf>
    <xf numFmtId="14" fontId="310" fillId="0" borderId="13" applyAlignment="1" pivotButton="0" quotePrefix="0" xfId="0">
      <alignment horizontal="center" vertical="center" wrapText="1"/>
    </xf>
    <xf numFmtId="14" fontId="310" fillId="0" borderId="11" applyAlignment="1" pivotButton="0" quotePrefix="0" xfId="0">
      <alignment horizontal="center" vertical="center" wrapText="1"/>
    </xf>
    <xf numFmtId="0" fontId="310" fillId="0" borderId="11" applyAlignment="1" pivotButton="0" quotePrefix="1" xfId="0">
      <alignment vertical="center" wrapText="1"/>
    </xf>
    <xf numFmtId="0" fontId="310" fillId="15" borderId="14" applyAlignment="1" pivotButton="0" quotePrefix="0" xfId="0">
      <alignment horizontal="center" vertical="center" wrapText="1"/>
    </xf>
    <xf numFmtId="0" fontId="310" fillId="2" borderId="6" applyAlignment="1" pivotButton="0" quotePrefix="0" xfId="34">
      <alignment horizontal="left" vertical="center" wrapText="1"/>
    </xf>
    <xf numFmtId="0" fontId="310" fillId="2" borderId="40" applyAlignment="1" pivotButton="0" quotePrefix="0" xfId="34">
      <alignment horizontal="left" vertical="center" wrapText="1"/>
    </xf>
    <xf numFmtId="0" fontId="173" fillId="0" borderId="11" applyAlignment="1" pivotButton="0" quotePrefix="0" xfId="13">
      <alignment horizontal="center" vertical="center" wrapText="1"/>
    </xf>
    <xf numFmtId="0" fontId="342" fillId="2" borderId="0" pivotButton="0" quotePrefix="0" xfId="0"/>
    <xf numFmtId="0" fontId="313" fillId="3" borderId="50" applyAlignment="1" pivotButton="0" quotePrefix="0" xfId="10">
      <alignment horizontal="centerContinuous" vertical="center" wrapText="1"/>
    </xf>
    <xf numFmtId="0" fontId="314" fillId="16" borderId="0" applyAlignment="1" pivotButton="0" quotePrefix="0" xfId="0">
      <alignment vertical="center"/>
    </xf>
    <xf numFmtId="0" fontId="320" fillId="2" borderId="0" pivotButton="0" quotePrefix="0" xfId="0"/>
    <xf numFmtId="0" fontId="310" fillId="2" borderId="0" applyAlignment="1" pivotButton="0" quotePrefix="0" xfId="24">
      <alignment vertical="center"/>
    </xf>
    <xf numFmtId="49" fontId="310" fillId="2" borderId="0" applyAlignment="1" pivotButton="0" quotePrefix="0" xfId="8">
      <alignment vertical="center"/>
    </xf>
    <xf numFmtId="49" fontId="317" fillId="3" borderId="11" applyAlignment="1" pivotButton="0" quotePrefix="0" xfId="0">
      <alignment horizontal="center" vertical="center" wrapText="1"/>
    </xf>
    <xf numFmtId="49" fontId="313" fillId="3" borderId="11" applyAlignment="1" pivotButton="0" quotePrefix="0" xfId="0">
      <alignment horizontal="center" vertical="center" wrapText="1"/>
    </xf>
    <xf numFmtId="49" fontId="322" fillId="5" borderId="25" applyAlignment="1" pivotButton="0" quotePrefix="0" xfId="0">
      <alignment horizontal="left" vertical="top" wrapText="1"/>
    </xf>
    <xf numFmtId="49" fontId="324" fillId="5" borderId="25" applyAlignment="1" pivotButton="0" quotePrefix="0" xfId="0">
      <alignment horizontal="left" vertical="top" wrapText="1"/>
    </xf>
    <xf numFmtId="49" fontId="310" fillId="0" borderId="11" applyAlignment="1" pivotButton="0" quotePrefix="0" xfId="13">
      <alignment horizontal="center" vertical="center" wrapText="1"/>
    </xf>
    <xf numFmtId="49" fontId="314" fillId="0" borderId="11" applyAlignment="1" pivotButton="0" quotePrefix="0" xfId="13">
      <alignment horizontal="center" vertical="center" wrapText="1"/>
    </xf>
    <xf numFmtId="49" fontId="309" fillId="0" borderId="1" applyAlignment="1" pivotButton="0" quotePrefix="0" xfId="13">
      <alignment horizontal="center" vertical="center" wrapText="1"/>
    </xf>
    <xf numFmtId="49" fontId="310" fillId="0" borderId="1" applyAlignment="1" pivotButton="0" quotePrefix="0" xfId="13">
      <alignment horizontal="center" vertical="center" wrapText="1"/>
    </xf>
    <xf numFmtId="49" fontId="314" fillId="0" borderId="1" applyAlignment="1" pivotButton="0" quotePrefix="0" xfId="13">
      <alignment horizontal="center" vertical="center" wrapText="1"/>
    </xf>
    <xf numFmtId="49" fontId="310" fillId="4" borderId="25" applyAlignment="1" pivotButton="0" quotePrefix="0" xfId="13">
      <alignment horizontal="center" vertical="center" wrapText="1"/>
    </xf>
    <xf numFmtId="49" fontId="314" fillId="4" borderId="25" applyAlignment="1" pivotButton="0" quotePrefix="0" xfId="13">
      <alignment horizontal="center" vertical="center" wrapText="1"/>
    </xf>
    <xf numFmtId="49" fontId="310" fillId="4" borderId="17" applyAlignment="1" pivotButton="0" quotePrefix="0" xfId="13">
      <alignment horizontal="center" vertical="center" wrapText="1"/>
    </xf>
    <xf numFmtId="49" fontId="314" fillId="4" borderId="17" applyAlignment="1" pivotButton="0" quotePrefix="0" xfId="13">
      <alignment horizontal="center" vertical="center" wrapText="1"/>
    </xf>
    <xf numFmtId="49" fontId="310" fillId="2" borderId="0" applyAlignment="1" pivotButton="0" quotePrefix="0" xfId="8">
      <alignment vertical="center" wrapText="1"/>
    </xf>
    <xf numFmtId="49" fontId="320" fillId="3" borderId="11" applyAlignment="1" pivotButton="0" quotePrefix="0" xfId="0">
      <alignment horizontal="center" vertical="center" wrapText="1"/>
    </xf>
    <xf numFmtId="49" fontId="310" fillId="0" borderId="1" applyAlignment="1" pivotButton="0" quotePrefix="1" xfId="13">
      <alignment horizontal="center" vertical="center" wrapText="1"/>
    </xf>
    <xf numFmtId="49" fontId="310" fillId="4" borderId="25" applyAlignment="1" pivotButton="0" quotePrefix="1" xfId="13">
      <alignment horizontal="center" vertical="center" wrapText="1"/>
    </xf>
    <xf numFmtId="49" fontId="310" fillId="4" borderId="17" applyAlignment="1" pivotButton="0" quotePrefix="1" xfId="13">
      <alignment horizontal="center" vertical="center" wrapText="1"/>
    </xf>
    <xf numFmtId="0" fontId="310" fillId="2" borderId="15" applyAlignment="1" pivotButton="0" quotePrefix="0" xfId="0">
      <alignment horizontal="left" vertical="center" wrapText="1"/>
    </xf>
    <xf numFmtId="0" fontId="314" fillId="2" borderId="1" applyAlignment="1" pivotButton="0" quotePrefix="0" xfId="0">
      <alignment horizontal="left" vertical="center" wrapText="1"/>
    </xf>
    <xf numFmtId="0" fontId="310" fillId="0" borderId="0" pivotButton="0" quotePrefix="0" xfId="8"/>
    <xf numFmtId="0" fontId="310" fillId="0" borderId="0" applyAlignment="1" pivotButton="0" quotePrefix="0" xfId="8">
      <alignment horizontal="center" vertical="center"/>
    </xf>
    <xf numFmtId="0" fontId="310" fillId="0" borderId="0" applyAlignment="1" pivotButton="0" quotePrefix="0" xfId="8">
      <alignment wrapText="1"/>
    </xf>
    <xf numFmtId="0" fontId="310" fillId="0" borderId="0" applyAlignment="1" pivotButton="0" quotePrefix="0" xfId="8">
      <alignment horizontal="center"/>
    </xf>
    <xf numFmtId="0" fontId="310" fillId="0" borderId="0" applyAlignment="1" pivotButton="0" quotePrefix="0" xfId="8">
      <alignment vertical="center"/>
    </xf>
    <xf numFmtId="0" fontId="310" fillId="0" borderId="0" applyAlignment="1" pivotButton="0" quotePrefix="0" xfId="8">
      <alignment vertical="center" wrapText="1"/>
    </xf>
    <xf numFmtId="20" fontId="310" fillId="0" borderId="0" applyAlignment="1" pivotButton="0" quotePrefix="0" xfId="8">
      <alignment vertical="center" wrapText="1"/>
    </xf>
    <xf numFmtId="0" fontId="310" fillId="0" borderId="0" applyAlignment="1" pivotButton="0" quotePrefix="0" xfId="13">
      <alignment horizontal="center"/>
    </xf>
    <xf numFmtId="49" fontId="310" fillId="0" borderId="0" applyAlignment="1" pivotButton="0" quotePrefix="0" xfId="8">
      <alignment vertical="center" wrapText="1"/>
    </xf>
    <xf numFmtId="49" fontId="310" fillId="0" borderId="0" pivotButton="0" quotePrefix="0" xfId="8"/>
    <xf numFmtId="0" fontId="317" fillId="17" borderId="15" applyAlignment="1" applyProtection="1" pivotButton="0" quotePrefix="0" xfId="0">
      <alignment horizontal="center" vertical="center" wrapText="1"/>
      <protection locked="0" hidden="0"/>
    </xf>
    <xf numFmtId="0" fontId="313" fillId="17" borderId="1" applyAlignment="1" applyProtection="1" pivotButton="0" quotePrefix="0" xfId="0">
      <alignment horizontal="center" vertical="center" wrapText="1"/>
      <protection locked="0" hidden="0"/>
    </xf>
    <xf numFmtId="0" fontId="317" fillId="17" borderId="1" applyAlignment="1" applyProtection="1" pivotButton="0" quotePrefix="0" xfId="0">
      <alignment horizontal="center" vertical="center" wrapText="1"/>
      <protection locked="0" hidden="0"/>
    </xf>
    <xf numFmtId="0" fontId="317" fillId="17" borderId="16" applyAlignment="1" applyProtection="1" pivotButton="0" quotePrefix="0" xfId="0">
      <alignment horizontal="center" vertical="center" wrapText="1"/>
      <protection locked="0" hidden="0"/>
    </xf>
    <xf numFmtId="0" fontId="317" fillId="18" borderId="15" applyAlignment="1" pivotButton="0" quotePrefix="0" xfId="0">
      <alignment horizontal="center" vertical="center" wrapText="1"/>
    </xf>
    <xf numFmtId="0" fontId="313" fillId="18" borderId="1" applyAlignment="1" pivotButton="0" quotePrefix="0" xfId="0">
      <alignment horizontal="center" vertical="center" wrapText="1"/>
    </xf>
    <xf numFmtId="0" fontId="317" fillId="18" borderId="1" applyAlignment="1" applyProtection="1" pivotButton="0" quotePrefix="0" xfId="0">
      <alignment horizontal="center" vertical="center" wrapText="1"/>
      <protection locked="0" hidden="0"/>
    </xf>
    <xf numFmtId="0" fontId="317" fillId="18" borderId="16" applyAlignment="1" applyProtection="1" pivotButton="0" quotePrefix="0" xfId="0">
      <alignment horizontal="center" vertical="center" wrapText="1"/>
      <protection locked="0" hidden="0"/>
    </xf>
    <xf numFmtId="0" fontId="317" fillId="19" borderId="15" applyAlignment="1" applyProtection="1" pivotButton="0" quotePrefix="0" xfId="0">
      <alignment horizontal="center" vertical="center" wrapText="1"/>
      <protection locked="0" hidden="0"/>
    </xf>
    <xf numFmtId="0" fontId="313" fillId="19" borderId="1" applyAlignment="1" applyProtection="1" pivotButton="0" quotePrefix="0" xfId="0">
      <alignment horizontal="center" vertical="center" wrapText="1"/>
      <protection locked="0" hidden="0"/>
    </xf>
    <xf numFmtId="0" fontId="317" fillId="19" borderId="1" applyAlignment="1" applyProtection="1" pivotButton="0" quotePrefix="0" xfId="0">
      <alignment horizontal="center" vertical="center" wrapText="1"/>
      <protection locked="0" hidden="0"/>
    </xf>
    <xf numFmtId="0" fontId="317" fillId="19" borderId="16" applyAlignment="1" applyProtection="1" pivotButton="0" quotePrefix="0" xfId="0">
      <alignment horizontal="center" vertical="center" wrapText="1"/>
      <protection locked="0" hidden="0"/>
    </xf>
    <xf numFmtId="0" fontId="317" fillId="20" borderId="15" applyAlignment="1" pivotButton="0" quotePrefix="0" xfId="0">
      <alignment horizontal="center" vertical="center" wrapText="1"/>
    </xf>
    <xf numFmtId="0" fontId="313" fillId="20" borderId="1" applyAlignment="1" applyProtection="1" pivotButton="0" quotePrefix="0" xfId="0">
      <alignment horizontal="center" vertical="center" wrapText="1"/>
      <protection locked="0" hidden="0"/>
    </xf>
    <xf numFmtId="0" fontId="317" fillId="20" borderId="1" applyAlignment="1" applyProtection="1" pivotButton="0" quotePrefix="0" xfId="0">
      <alignment horizontal="center" vertical="center" wrapText="1"/>
      <protection locked="0" hidden="0"/>
    </xf>
    <xf numFmtId="0" fontId="317" fillId="20" borderId="16" applyAlignment="1" applyProtection="1" pivotButton="0" quotePrefix="0" xfId="0">
      <alignment horizontal="center" vertical="center" wrapText="1"/>
      <protection locked="0" hidden="0"/>
    </xf>
    <xf numFmtId="0" fontId="314" fillId="13" borderId="1" applyAlignment="1" pivotButton="0" quotePrefix="0" xfId="13">
      <alignment horizontal="left" vertical="center" wrapText="1"/>
    </xf>
    <xf numFmtId="0" fontId="310" fillId="4" borderId="6" applyAlignment="1" pivotButton="0" quotePrefix="0" xfId="8">
      <alignment horizontal="center" vertical="center"/>
    </xf>
    <xf numFmtId="0" fontId="314" fillId="4" borderId="6" applyAlignment="1" pivotButton="0" quotePrefix="0" xfId="8">
      <alignment horizontal="center" vertical="center"/>
    </xf>
    <xf numFmtId="0" fontId="310" fillId="4" borderId="6" applyAlignment="1" pivotButton="0" quotePrefix="0" xfId="8">
      <alignment horizontal="left" vertical="center" wrapText="1"/>
    </xf>
    <xf numFmtId="0" fontId="314" fillId="4" borderId="6" applyAlignment="1" pivotButton="0" quotePrefix="0" xfId="8">
      <alignment horizontal="left" vertical="center" wrapText="1"/>
    </xf>
    <xf numFmtId="0" fontId="310" fillId="4" borderId="16" applyAlignment="1" pivotButton="0" quotePrefix="0" xfId="8">
      <alignment horizontal="center" vertical="center" wrapText="1"/>
    </xf>
    <xf numFmtId="0" fontId="310" fillId="2" borderId="34" applyAlignment="1" pivotButton="0" quotePrefix="0" xfId="8">
      <alignment horizontal="left" vertical="center"/>
    </xf>
    <xf numFmtId="0" fontId="310" fillId="2" borderId="35" applyAlignment="1" pivotButton="0" quotePrefix="0" xfId="8">
      <alignment horizontal="left" vertical="center"/>
    </xf>
    <xf numFmtId="0" fontId="310" fillId="2" borderId="5" applyAlignment="1" pivotButton="0" quotePrefix="0" xfId="8">
      <alignment horizontal="center" vertical="center"/>
    </xf>
    <xf numFmtId="0" fontId="310" fillId="2" borderId="14" applyAlignment="1" pivotButton="0" quotePrefix="0" xfId="8">
      <alignment horizontal="center" vertical="center"/>
    </xf>
    <xf numFmtId="0" fontId="310" fillId="2" borderId="35" applyAlignment="1" pivotButton="0" quotePrefix="0" xfId="8">
      <alignment horizontal="center" vertical="center"/>
    </xf>
    <xf numFmtId="0" fontId="314" fillId="2" borderId="35" applyAlignment="1" pivotButton="0" quotePrefix="0" xfId="8">
      <alignment horizontal="center" vertical="center"/>
    </xf>
    <xf numFmtId="0" fontId="310" fillId="2" borderId="35" applyAlignment="1" pivotButton="0" quotePrefix="0" xfId="8">
      <alignment horizontal="left" vertical="center" wrapText="1"/>
    </xf>
    <xf numFmtId="0" fontId="314" fillId="2" borderId="35" applyAlignment="1" pivotButton="0" quotePrefix="0" xfId="8">
      <alignment horizontal="left" vertical="center" wrapText="1"/>
    </xf>
    <xf numFmtId="0" fontId="310" fillId="2" borderId="14" applyAlignment="1" pivotButton="0" quotePrefix="0" xfId="8">
      <alignment horizontal="center" vertical="center" wrapText="1"/>
    </xf>
    <xf numFmtId="0" fontId="314" fillId="2" borderId="35" applyAlignment="1" pivotButton="0" quotePrefix="0" xfId="8">
      <alignment horizontal="left" vertical="center"/>
    </xf>
    <xf numFmtId="0" fontId="310" fillId="2" borderId="36" applyAlignment="1" pivotButton="0" quotePrefix="0" xfId="8">
      <alignment horizontal="center" vertical="center"/>
    </xf>
    <xf numFmtId="0" fontId="310" fillId="2" borderId="15" applyAlignment="1" pivotButton="0" quotePrefix="0" xfId="8">
      <alignment horizontal="left" vertical="center"/>
    </xf>
    <xf numFmtId="0" fontId="310" fillId="2" borderId="6" applyAlignment="1" pivotButton="0" quotePrefix="0" xfId="8">
      <alignment horizontal="left" vertical="center"/>
    </xf>
    <xf numFmtId="0" fontId="310" fillId="2" borderId="1" applyAlignment="1" pivotButton="0" quotePrefix="0" xfId="8">
      <alignment horizontal="center" vertical="center"/>
    </xf>
    <xf numFmtId="0" fontId="310" fillId="2" borderId="16" applyAlignment="1" pivotButton="0" quotePrefix="0" xfId="8">
      <alignment horizontal="center" vertical="center"/>
    </xf>
    <xf numFmtId="0" fontId="310" fillId="2" borderId="6" applyAlignment="1" pivotButton="0" quotePrefix="0" xfId="8">
      <alignment horizontal="center" vertical="center"/>
    </xf>
    <xf numFmtId="0" fontId="314" fillId="2" borderId="6" applyAlignment="1" pivotButton="0" quotePrefix="0" xfId="8">
      <alignment horizontal="center" vertical="center"/>
    </xf>
    <xf numFmtId="0" fontId="310" fillId="2" borderId="6" applyAlignment="1" pivotButton="0" quotePrefix="0" xfId="8">
      <alignment horizontal="left" vertical="center" wrapText="1"/>
    </xf>
    <xf numFmtId="0" fontId="314" fillId="2" borderId="6" applyAlignment="1" pivotButton="0" quotePrefix="0" xfId="8">
      <alignment horizontal="left" vertical="center" wrapText="1"/>
    </xf>
    <xf numFmtId="0" fontId="310" fillId="2" borderId="16" applyAlignment="1" pivotButton="0" quotePrefix="0" xfId="8">
      <alignment horizontal="center" vertical="center" wrapText="1"/>
    </xf>
    <xf numFmtId="0" fontId="314" fillId="2" borderId="6" applyAlignment="1" pivotButton="0" quotePrefix="0" xfId="8">
      <alignment horizontal="left" vertical="center"/>
    </xf>
    <xf numFmtId="0" fontId="310" fillId="2" borderId="13" applyAlignment="1" pivotButton="0" quotePrefix="0" xfId="8">
      <alignment horizontal="center" vertical="center" wrapText="1"/>
    </xf>
    <xf numFmtId="0" fontId="310" fillId="2" borderId="11" applyAlignment="1" pivotButton="0" quotePrefix="0" xfId="8">
      <alignment horizontal="center" vertical="center" wrapText="1"/>
    </xf>
    <xf numFmtId="0" fontId="314" fillId="2" borderId="11" applyAlignment="1" pivotButton="0" quotePrefix="0" xfId="24">
      <alignment horizontal="left" vertical="center" wrapText="1"/>
    </xf>
    <xf numFmtId="0" fontId="310" fillId="2" borderId="11" applyAlignment="1" pivotButton="0" quotePrefix="0" xfId="8">
      <alignment horizontal="center" vertical="center"/>
    </xf>
    <xf numFmtId="0" fontId="310" fillId="2" borderId="11" applyAlignment="1" pivotButton="0" quotePrefix="0" xfId="8">
      <alignment horizontal="left" vertical="center" wrapText="1"/>
    </xf>
    <xf numFmtId="0" fontId="314" fillId="2" borderId="11" applyAlignment="1" pivotButton="0" quotePrefix="0" xfId="8">
      <alignment horizontal="left" vertical="center" wrapText="1"/>
    </xf>
    <xf numFmtId="0" fontId="314" fillId="2" borderId="11" applyAlignment="1" pivotButton="0" quotePrefix="0" xfId="8">
      <alignment horizontal="center" vertical="center" wrapText="1"/>
    </xf>
    <xf numFmtId="49" fontId="310" fillId="2" borderId="11" applyAlignment="1" pivotButton="0" quotePrefix="0" xfId="24">
      <alignment horizontal="center" vertical="center" wrapText="1"/>
    </xf>
    <xf numFmtId="49" fontId="314" fillId="2" borderId="11" applyAlignment="1" pivotButton="0" quotePrefix="0" xfId="24">
      <alignment horizontal="center" vertical="center" wrapText="1"/>
    </xf>
    <xf numFmtId="49" fontId="310" fillId="2" borderId="11" applyAlignment="1" pivotButton="0" quotePrefix="0" xfId="8">
      <alignment horizontal="center" vertical="center" wrapText="1"/>
    </xf>
    <xf numFmtId="0" fontId="310" fillId="2" borderId="13" applyAlignment="1" pivotButton="0" quotePrefix="0" xfId="8">
      <alignment horizontal="left" vertical="center" wrapText="1"/>
    </xf>
    <xf numFmtId="0" fontId="314" fillId="2" borderId="20" applyAlignment="1" pivotButton="0" quotePrefix="0" xfId="8">
      <alignment horizontal="left" vertical="center"/>
    </xf>
    <xf numFmtId="0" fontId="310" fillId="2" borderId="20" applyAlignment="1" pivotButton="0" quotePrefix="0" xfId="8">
      <alignment horizontal="left" vertical="center"/>
    </xf>
    <xf numFmtId="0" fontId="310" fillId="2" borderId="20" applyAlignment="1" pivotButton="0" quotePrefix="0" xfId="8">
      <alignment horizontal="left" vertical="center" wrapText="1"/>
    </xf>
    <xf numFmtId="0" fontId="314" fillId="2" borderId="20" applyAlignment="1" pivotButton="0" quotePrefix="0" xfId="8">
      <alignment horizontal="left" vertical="center" wrapText="1"/>
    </xf>
    <xf numFmtId="0" fontId="310" fillId="2" borderId="13" applyAlignment="1" pivotButton="0" quotePrefix="0" xfId="8">
      <alignment horizontal="left" vertical="center"/>
    </xf>
    <xf numFmtId="0" fontId="310" fillId="2" borderId="15" applyAlignment="1" pivotButton="0" quotePrefix="0" xfId="8">
      <alignment horizontal="center" vertical="center" wrapText="1"/>
    </xf>
    <xf numFmtId="0" fontId="310" fillId="2" borderId="1" applyAlignment="1" pivotButton="0" quotePrefix="0" xfId="8">
      <alignment horizontal="center" vertical="center" wrapText="1"/>
    </xf>
    <xf numFmtId="0" fontId="310" fillId="2" borderId="1" applyAlignment="1" pivotButton="0" quotePrefix="0" xfId="24">
      <alignment horizontal="left" vertical="center" wrapText="1"/>
    </xf>
    <xf numFmtId="0" fontId="314" fillId="2" borderId="1" applyAlignment="1" pivotButton="0" quotePrefix="0" xfId="24">
      <alignment horizontal="left" vertical="center" wrapText="1"/>
    </xf>
    <xf numFmtId="0" fontId="310" fillId="2" borderId="1" applyAlignment="1" pivotButton="0" quotePrefix="0" xfId="8">
      <alignment horizontal="left" vertical="center" wrapText="1"/>
    </xf>
    <xf numFmtId="0" fontId="314" fillId="2" borderId="1" applyAlignment="1" pivotButton="0" quotePrefix="0" xfId="8">
      <alignment horizontal="left" vertical="center" wrapText="1"/>
    </xf>
    <xf numFmtId="0" fontId="314" fillId="2" borderId="1" applyAlignment="1" pivotButton="0" quotePrefix="0" xfId="8">
      <alignment horizontal="center" vertical="center" wrapText="1"/>
    </xf>
    <xf numFmtId="49" fontId="310" fillId="2" borderId="1" applyAlignment="1" pivotButton="0" quotePrefix="0" xfId="24">
      <alignment horizontal="center" vertical="center" wrapText="1"/>
    </xf>
    <xf numFmtId="49" fontId="314" fillId="2" borderId="1" applyAlignment="1" pivotButton="0" quotePrefix="0" xfId="24">
      <alignment horizontal="center" vertical="center" wrapText="1"/>
    </xf>
    <xf numFmtId="49" fontId="310" fillId="2" borderId="1" applyAlignment="1" pivotButton="0" quotePrefix="0" xfId="8">
      <alignment horizontal="center" vertical="center" wrapText="1"/>
    </xf>
    <xf numFmtId="0" fontId="310" fillId="2" borderId="15" applyAlignment="1" pivotButton="0" quotePrefix="0" xfId="8">
      <alignment horizontal="left" vertical="center" wrapText="1"/>
    </xf>
    <xf numFmtId="0" fontId="292" fillId="2" borderId="1" applyAlignment="1" pivotButton="0" quotePrefix="0" xfId="24">
      <alignment horizontal="left" vertical="center" wrapText="1"/>
    </xf>
    <xf numFmtId="0" fontId="292" fillId="2" borderId="1" applyAlignment="1" pivotButton="0" quotePrefix="1" xfId="24">
      <alignment horizontal="left" vertical="center" wrapText="1"/>
    </xf>
    <xf numFmtId="0" fontId="316" fillId="2" borderId="15" applyAlignment="1" pivotButton="0" quotePrefix="0" xfId="8">
      <alignment horizontal="center" vertical="center" wrapText="1"/>
    </xf>
    <xf numFmtId="0" fontId="316" fillId="2" borderId="1" applyAlignment="1" pivotButton="0" quotePrefix="0" xfId="8">
      <alignment horizontal="center" vertical="center" wrapText="1"/>
    </xf>
    <xf numFmtId="0" fontId="316" fillId="2" borderId="1" applyAlignment="1" pivotButton="0" quotePrefix="0" xfId="24">
      <alignment horizontal="left" vertical="center" wrapText="1"/>
    </xf>
    <xf numFmtId="0" fontId="316" fillId="2" borderId="1" applyAlignment="1" pivotButton="0" quotePrefix="0" xfId="8">
      <alignment horizontal="center" vertical="center"/>
    </xf>
    <xf numFmtId="0" fontId="316" fillId="2" borderId="1" applyAlignment="1" pivotButton="0" quotePrefix="0" xfId="8">
      <alignment horizontal="left" vertical="center" wrapText="1"/>
    </xf>
    <xf numFmtId="49" fontId="316" fillId="2" borderId="1" applyAlignment="1" pivotButton="0" quotePrefix="0" xfId="24">
      <alignment horizontal="center" vertical="center" wrapText="1"/>
    </xf>
    <xf numFmtId="49" fontId="316" fillId="2" borderId="1" applyAlignment="1" pivotButton="0" quotePrefix="0" xfId="8">
      <alignment horizontal="center" vertical="center" wrapText="1"/>
    </xf>
    <xf numFmtId="0" fontId="316" fillId="2" borderId="16" applyAlignment="1" pivotButton="0" quotePrefix="0" xfId="8">
      <alignment horizontal="center" vertical="center" wrapText="1"/>
    </xf>
    <xf numFmtId="0" fontId="316" fillId="2" borderId="15" applyAlignment="1" pivotButton="0" quotePrefix="0" xfId="8">
      <alignment horizontal="left" vertical="center"/>
    </xf>
    <xf numFmtId="0" fontId="316" fillId="2" borderId="6" applyAlignment="1" pivotButton="0" quotePrefix="0" xfId="8">
      <alignment horizontal="left" vertical="center"/>
    </xf>
    <xf numFmtId="0" fontId="316" fillId="2" borderId="16" applyAlignment="1" pivotButton="0" quotePrefix="0" xfId="8">
      <alignment horizontal="center" vertical="center"/>
    </xf>
    <xf numFmtId="0" fontId="316" fillId="2" borderId="6" applyAlignment="1" pivotButton="0" quotePrefix="0" xfId="8">
      <alignment horizontal="left" vertical="center" wrapText="1"/>
    </xf>
    <xf numFmtId="0" fontId="316" fillId="2" borderId="1" applyAlignment="1" pivotButton="0" quotePrefix="0" xfId="8">
      <alignment horizontal="left" vertical="center"/>
    </xf>
    <xf numFmtId="49" fontId="316" fillId="2" borderId="1" applyAlignment="1" pivotButton="0" quotePrefix="0" xfId="26">
      <alignment horizontal="center" vertical="center" wrapText="1"/>
    </xf>
    <xf numFmtId="0" fontId="292" fillId="2" borderId="1" applyAlignment="1" pivotButton="0" quotePrefix="0" xfId="24">
      <alignment horizontal="center" vertical="center" wrapText="1"/>
    </xf>
    <xf numFmtId="0" fontId="292" fillId="2" borderId="16" applyAlignment="1" pivotButton="0" quotePrefix="0" xfId="24">
      <alignment horizontal="center" vertical="center" wrapText="1"/>
    </xf>
    <xf numFmtId="49" fontId="310" fillId="2" borderId="1" applyAlignment="1" pivotButton="0" quotePrefix="0" xfId="26">
      <alignment horizontal="center" vertical="center" wrapText="1"/>
    </xf>
    <xf numFmtId="49" fontId="314" fillId="2" borderId="1" applyAlignment="1" pivotButton="0" quotePrefix="0" xfId="26">
      <alignment horizontal="center" vertical="center" wrapText="1"/>
    </xf>
    <xf numFmtId="49" fontId="314" fillId="2" borderId="1" applyAlignment="1" pivotButton="0" quotePrefix="0" xfId="8">
      <alignment horizontal="left" vertical="center"/>
    </xf>
    <xf numFmtId="49" fontId="314" fillId="2" borderId="1" applyAlignment="1" pivotButton="0" quotePrefix="0" xfId="8">
      <alignment horizontal="left" vertical="center" wrapText="1"/>
    </xf>
    <xf numFmtId="49" fontId="314" fillId="2" borderId="1" applyAlignment="1" pivotButton="0" quotePrefix="0" xfId="8">
      <alignment horizontal="center" vertical="center" wrapText="1"/>
    </xf>
    <xf numFmtId="49" fontId="310" fillId="2" borderId="1" applyAlignment="1" pivotButton="0" quotePrefix="0" xfId="13">
      <alignment horizontal="center" vertical="center" wrapText="1"/>
    </xf>
    <xf numFmtId="49" fontId="314" fillId="2" borderId="1" applyAlignment="1" pivotButton="0" quotePrefix="0" xfId="13">
      <alignment horizontal="center" vertical="center" wrapText="1"/>
    </xf>
    <xf numFmtId="49" fontId="316" fillId="2" borderId="1" applyAlignment="1" pivotButton="0" quotePrefix="0" xfId="13">
      <alignment horizontal="center" vertical="center" wrapText="1"/>
    </xf>
    <xf numFmtId="0" fontId="310" fillId="2" borderId="1" applyAlignment="1" pivotButton="0" quotePrefix="0" xfId="8">
      <alignment horizontal="left" vertical="center"/>
    </xf>
    <xf numFmtId="0" fontId="323" fillId="2" borderId="1" applyAlignment="1" pivotButton="0" quotePrefix="0" xfId="8">
      <alignment horizontal="left" vertical="center" wrapText="1"/>
    </xf>
    <xf numFmtId="0" fontId="310" fillId="2" borderId="1" applyAlignment="1" pivotButton="0" quotePrefix="0" xfId="24">
      <alignment horizontal="center" vertical="center" wrapText="1"/>
    </xf>
    <xf numFmtId="49" fontId="310" fillId="2" borderId="1" applyAlignment="1" pivotButton="0" quotePrefix="1" xfId="8">
      <alignment horizontal="center" vertical="center" wrapText="1"/>
    </xf>
    <xf numFmtId="0" fontId="310" fillId="2" borderId="24" applyAlignment="1" pivotButton="0" quotePrefix="0" xfId="8">
      <alignment horizontal="left" vertical="center"/>
    </xf>
    <xf numFmtId="0" fontId="314" fillId="2" borderId="27" applyAlignment="1" pivotButton="0" quotePrefix="0" xfId="8">
      <alignment horizontal="left" vertical="center"/>
    </xf>
    <xf numFmtId="0" fontId="310" fillId="2" borderId="25" applyAlignment="1" pivotButton="0" quotePrefix="0" xfId="8">
      <alignment horizontal="center" vertical="center"/>
    </xf>
    <xf numFmtId="0" fontId="310" fillId="2" borderId="26" applyAlignment="1" pivotButton="0" quotePrefix="0" xfId="8">
      <alignment horizontal="center" vertical="center"/>
    </xf>
    <xf numFmtId="0" fontId="310" fillId="2" borderId="27" applyAlignment="1" pivotButton="0" quotePrefix="0" xfId="8">
      <alignment horizontal="left" vertical="center"/>
    </xf>
    <xf numFmtId="0" fontId="310" fillId="2" borderId="27" applyAlignment="1" pivotButton="0" quotePrefix="0" xfId="8">
      <alignment horizontal="left" vertical="center" wrapText="1"/>
    </xf>
    <xf numFmtId="0" fontId="314" fillId="2" borderId="27" applyAlignment="1" pivotButton="0" quotePrefix="0" xfId="8">
      <alignment horizontal="left" vertical="center" wrapText="1"/>
    </xf>
    <xf numFmtId="0" fontId="310" fillId="2" borderId="1" applyAlignment="1" pivotButton="0" quotePrefix="0" xfId="0">
      <alignment horizontal="left" vertical="center" wrapText="1"/>
    </xf>
    <xf numFmtId="49" fontId="316" fillId="2" borderId="1" applyAlignment="1" pivotButton="0" quotePrefix="1" xfId="8">
      <alignment horizontal="center" vertical="center" wrapText="1"/>
    </xf>
    <xf numFmtId="0" fontId="310" fillId="2" borderId="25" applyAlignment="1" pivotButton="0" quotePrefix="0" xfId="0">
      <alignment horizontal="left" vertical="center" wrapText="1"/>
    </xf>
    <xf numFmtId="0" fontId="67" fillId="2" borderId="1" applyAlignment="1" pivotButton="0" quotePrefix="0" xfId="24">
      <alignment horizontal="center" vertical="center" wrapText="1"/>
    </xf>
    <xf numFmtId="0" fontId="67" fillId="2" borderId="16" applyAlignment="1" pivotButton="0" quotePrefix="0" xfId="24">
      <alignment horizontal="center" vertical="center" wrapText="1"/>
    </xf>
    <xf numFmtId="49" fontId="310" fillId="2" borderId="1" applyAlignment="1" pivotButton="0" quotePrefix="1" xfId="24">
      <alignment horizontal="center" vertical="center" wrapText="1"/>
    </xf>
    <xf numFmtId="0" fontId="316" fillId="2" borderId="1" applyAlignment="1" pivotButton="0" quotePrefix="0" xfId="24">
      <alignment horizontal="center" vertical="center" wrapText="1"/>
    </xf>
    <xf numFmtId="0" fontId="316" fillId="2" borderId="16" applyAlignment="1" pivotButton="0" quotePrefix="0" xfId="24">
      <alignment horizontal="center" vertical="center" wrapText="1"/>
    </xf>
    <xf numFmtId="0" fontId="310" fillId="2" borderId="34" applyAlignment="1" pivotButton="0" quotePrefix="0" xfId="24">
      <alignment horizontal="center" vertical="center" wrapText="1"/>
    </xf>
    <xf numFmtId="0" fontId="310" fillId="2" borderId="5" applyAlignment="1" pivotButton="0" quotePrefix="0" xfId="24">
      <alignment horizontal="center" vertical="center"/>
    </xf>
    <xf numFmtId="15" fontId="292" fillId="2" borderId="5" applyAlignment="1" pivotButton="0" quotePrefix="0" xfId="24">
      <alignment horizontal="left" vertical="center" wrapText="1"/>
    </xf>
    <xf numFmtId="15" fontId="314" fillId="2" borderId="5" applyAlignment="1" pivotButton="0" quotePrefix="0" xfId="24">
      <alignment horizontal="left" vertical="center" wrapText="1"/>
    </xf>
    <xf numFmtId="0" fontId="310" fillId="2" borderId="5" applyAlignment="1" pivotButton="0" quotePrefix="0" xfId="8">
      <alignment horizontal="left" vertical="center" wrapText="1"/>
    </xf>
    <xf numFmtId="0" fontId="314" fillId="2" borderId="5" applyAlignment="1" pivotButton="0" quotePrefix="0" xfId="8">
      <alignment horizontal="left" vertical="center" wrapText="1"/>
    </xf>
    <xf numFmtId="0" fontId="310" fillId="2" borderId="5" applyAlignment="1" pivotButton="0" quotePrefix="0" xfId="24">
      <alignment horizontal="center" vertical="center" wrapText="1"/>
    </xf>
    <xf numFmtId="0" fontId="314" fillId="2" borderId="5" applyAlignment="1" pivotButton="0" quotePrefix="0" xfId="24">
      <alignment horizontal="center" vertical="center" wrapText="1"/>
    </xf>
    <xf numFmtId="0" fontId="310" fillId="2" borderId="5" applyAlignment="1" pivotButton="0" quotePrefix="0" xfId="8">
      <alignment horizontal="center" vertical="center" wrapText="1"/>
    </xf>
    <xf numFmtId="0" fontId="314" fillId="2" borderId="5" applyAlignment="1" pivotButton="0" quotePrefix="0" xfId="8">
      <alignment horizontal="center" vertical="center" wrapText="1"/>
    </xf>
    <xf numFmtId="49" fontId="310" fillId="2" borderId="5" applyAlignment="1" pivotButton="0" quotePrefix="0" xfId="24">
      <alignment horizontal="center" vertical="center" wrapText="1"/>
    </xf>
    <xf numFmtId="49" fontId="314" fillId="2" borderId="5" applyAlignment="1" pivotButton="0" quotePrefix="0" xfId="24">
      <alignment horizontal="center" vertical="center" wrapText="1"/>
    </xf>
    <xf numFmtId="0" fontId="292" fillId="2" borderId="5" applyAlignment="1" pivotButton="0" quotePrefix="0" xfId="24">
      <alignment horizontal="center" vertical="center" wrapText="1"/>
    </xf>
    <xf numFmtId="0" fontId="292" fillId="2" borderId="5" applyAlignment="1" pivotButton="0" quotePrefix="0" xfId="26">
      <alignment horizontal="center" vertical="center" wrapText="1"/>
    </xf>
    <xf numFmtId="0" fontId="292" fillId="2" borderId="36" applyAlignment="1" pivotButton="0" quotePrefix="0" xfId="24">
      <alignment horizontal="center" vertical="center" wrapText="1"/>
    </xf>
    <xf numFmtId="0" fontId="292" fillId="2" borderId="13" applyAlignment="1" pivotButton="0" quotePrefix="0" xfId="24">
      <alignment horizontal="left" vertical="center" wrapText="1"/>
    </xf>
    <xf numFmtId="0" fontId="314" fillId="2" borderId="20" applyAlignment="1" pivotButton="0" quotePrefix="0" xfId="24">
      <alignment horizontal="left" vertical="center" wrapText="1"/>
    </xf>
    <xf numFmtId="0" fontId="292" fillId="2" borderId="11" applyAlignment="1" pivotButton="0" quotePrefix="0" xfId="24">
      <alignment horizontal="center" vertical="center" wrapText="1"/>
    </xf>
    <xf numFmtId="0" fontId="292" fillId="2" borderId="14" applyAlignment="1" pivotButton="0" quotePrefix="0" xfId="24">
      <alignment horizontal="center" vertical="center" wrapText="1"/>
    </xf>
    <xf numFmtId="0" fontId="292" fillId="2" borderId="20" applyAlignment="1" pivotButton="0" quotePrefix="0" xfId="24">
      <alignment horizontal="left" vertical="center" wrapText="1"/>
    </xf>
    <xf numFmtId="0" fontId="310" fillId="2" borderId="15" applyAlignment="1" pivotButton="0" quotePrefix="0" xfId="24">
      <alignment horizontal="center" vertical="center" wrapText="1"/>
    </xf>
    <xf numFmtId="0" fontId="310" fillId="2" borderId="1" applyAlignment="1" pivotButton="0" quotePrefix="0" xfId="24">
      <alignment horizontal="center" vertical="center"/>
    </xf>
    <xf numFmtId="15" fontId="292" fillId="2" borderId="1" applyAlignment="1" pivotButton="0" quotePrefix="0" xfId="24">
      <alignment horizontal="left" vertical="center" wrapText="1"/>
    </xf>
    <xf numFmtId="15" fontId="314" fillId="2" borderId="1" applyAlignment="1" pivotButton="0" quotePrefix="0" xfId="24">
      <alignment horizontal="left" vertical="center" wrapText="1"/>
    </xf>
    <xf numFmtId="0" fontId="314" fillId="2" borderId="1" applyAlignment="1" pivotButton="0" quotePrefix="0" xfId="24">
      <alignment horizontal="center" vertical="center" wrapText="1"/>
    </xf>
    <xf numFmtId="0" fontId="292" fillId="2" borderId="1" applyAlignment="1" pivotButton="0" quotePrefix="0" xfId="26">
      <alignment horizontal="left" vertical="center" wrapText="1"/>
    </xf>
    <xf numFmtId="0" fontId="314" fillId="2" borderId="1" applyAlignment="1" pivotButton="0" quotePrefix="0" xfId="26">
      <alignment horizontal="left" vertical="center" wrapText="1"/>
    </xf>
    <xf numFmtId="0" fontId="292" fillId="2" borderId="1" applyAlignment="1" pivotButton="0" quotePrefix="0" xfId="24">
      <alignment horizontal="center" vertical="center"/>
    </xf>
    <xf numFmtId="0" fontId="310" fillId="2" borderId="1" applyAlignment="1" pivotButton="0" quotePrefix="0" xfId="26">
      <alignment horizontal="left" vertical="center" wrapText="1"/>
    </xf>
    <xf numFmtId="0" fontId="292" fillId="2" borderId="1" applyAlignment="1" pivotButton="0" quotePrefix="0" xfId="26">
      <alignment horizontal="center" vertical="center" wrapText="1"/>
    </xf>
    <xf numFmtId="0" fontId="292" fillId="2" borderId="15" applyAlignment="1" pivotButton="0" quotePrefix="0" xfId="24">
      <alignment horizontal="left" vertical="center" wrapText="1"/>
    </xf>
    <xf numFmtId="0" fontId="314" fillId="2" borderId="6" applyAlignment="1" pivotButton="0" quotePrefix="0" xfId="24">
      <alignment horizontal="left" vertical="center" wrapText="1"/>
    </xf>
    <xf numFmtId="0" fontId="292" fillId="2" borderId="6" applyAlignment="1" pivotButton="0" quotePrefix="0" xfId="24">
      <alignment horizontal="left" vertical="center" wrapText="1"/>
    </xf>
    <xf numFmtId="0" fontId="292" fillId="2" borderId="16" applyAlignment="1" pivotButton="0" quotePrefix="0" xfId="24">
      <alignment horizontal="center" vertical="center"/>
    </xf>
    <xf numFmtId="0" fontId="113" fillId="2" borderId="16" applyAlignment="1" pivotButton="0" quotePrefix="0" xfId="24">
      <alignment horizontal="center" vertical="center" wrapText="1"/>
    </xf>
    <xf numFmtId="0" fontId="314" fillId="2" borderId="6" applyAlignment="1" pivotButton="0" quotePrefix="0" xfId="24">
      <alignment horizontal="left" vertical="center"/>
    </xf>
    <xf numFmtId="0" fontId="134" fillId="2" borderId="6" applyAlignment="1" pivotButton="0" quotePrefix="0" xfId="24">
      <alignment horizontal="left" vertical="center" wrapText="1"/>
    </xf>
    <xf numFmtId="0" fontId="145" fillId="2" borderId="15" applyAlignment="1" pivotButton="0" quotePrefix="0" xfId="24">
      <alignment horizontal="left" vertical="center" wrapText="1"/>
    </xf>
    <xf numFmtId="0" fontId="145" fillId="2" borderId="6" applyAlignment="1" pivotButton="0" quotePrefix="0" xfId="24">
      <alignment horizontal="left" vertical="center" wrapText="1"/>
    </xf>
    <xf numFmtId="0" fontId="316" fillId="2" borderId="15" applyAlignment="1" pivotButton="0" quotePrefix="0" xfId="24">
      <alignment horizontal="center" vertical="center" wrapText="1"/>
    </xf>
    <xf numFmtId="0" fontId="316" fillId="2" borderId="1" applyAlignment="1" pivotButton="0" quotePrefix="0" xfId="24">
      <alignment horizontal="center" vertical="center"/>
    </xf>
    <xf numFmtId="15" fontId="316" fillId="2" borderId="1" applyAlignment="1" pivotButton="0" quotePrefix="0" xfId="24">
      <alignment horizontal="left" vertical="center" wrapText="1"/>
    </xf>
    <xf numFmtId="0" fontId="316" fillId="2" borderId="1" applyAlignment="1" pivotButton="0" quotePrefix="0" xfId="26">
      <alignment horizontal="center" vertical="center" wrapText="1"/>
    </xf>
    <xf numFmtId="0" fontId="316" fillId="2" borderId="1" applyAlignment="1" pivotButton="0" quotePrefix="0" xfId="26">
      <alignment horizontal="left" vertical="center" wrapText="1"/>
    </xf>
    <xf numFmtId="0" fontId="316" fillId="2" borderId="15" applyAlignment="1" pivotButton="0" quotePrefix="0" xfId="24">
      <alignment horizontal="left" vertical="center" wrapText="1"/>
    </xf>
    <xf numFmtId="0" fontId="316" fillId="2" borderId="6" applyAlignment="1" pivotButton="0" quotePrefix="0" xfId="24">
      <alignment horizontal="left" vertical="center" wrapText="1"/>
    </xf>
    <xf numFmtId="0" fontId="113" fillId="2" borderId="6" applyAlignment="1" pivotButton="0" quotePrefix="0" xfId="24">
      <alignment horizontal="left" vertical="center" wrapText="1"/>
    </xf>
    <xf numFmtId="0" fontId="316" fillId="2" borderId="1" applyAlignment="1" pivotButton="0" quotePrefix="0" xfId="26">
      <alignment horizontal="center" vertical="center"/>
    </xf>
    <xf numFmtId="0" fontId="316" fillId="2" borderId="16" applyAlignment="1" pivotButton="0" quotePrefix="0" xfId="26">
      <alignment horizontal="center" vertical="center" wrapText="1"/>
    </xf>
    <xf numFmtId="0" fontId="112" fillId="2" borderId="16" applyAlignment="1" pivotButton="0" quotePrefix="0" xfId="24">
      <alignment horizontal="center" vertical="center" wrapText="1"/>
    </xf>
    <xf numFmtId="0" fontId="112" fillId="2" borderId="6" applyAlignment="1" pivotButton="0" quotePrefix="0" xfId="24">
      <alignment horizontal="left" vertical="center" wrapText="1"/>
    </xf>
    <xf numFmtId="0" fontId="77" fillId="2" borderId="6" applyAlignment="1" pivotButton="0" quotePrefix="0" xfId="24">
      <alignment horizontal="left" vertical="center" wrapText="1"/>
    </xf>
    <xf numFmtId="0" fontId="77" fillId="2" borderId="16" applyAlignment="1" pivotButton="0" quotePrefix="0" xfId="24">
      <alignment horizontal="center" vertical="center" wrapText="1"/>
    </xf>
    <xf numFmtId="0" fontId="238" fillId="2" borderId="1" applyAlignment="1" pivotButton="0" quotePrefix="0" xfId="24">
      <alignment horizontal="left" vertical="center" wrapText="1"/>
    </xf>
    <xf numFmtId="0" fontId="73" fillId="2" borderId="6" applyAlignment="1" pivotButton="0" quotePrefix="0" xfId="24">
      <alignment horizontal="left" vertical="center" wrapText="1"/>
    </xf>
    <xf numFmtId="0" fontId="73" fillId="2" borderId="16" applyAlignment="1" pivotButton="0" quotePrefix="0" xfId="24">
      <alignment horizontal="center" vertical="center" wrapText="1"/>
    </xf>
    <xf numFmtId="15" fontId="179" fillId="2" borderId="1" applyAlignment="1" pivotButton="0" quotePrefix="0" xfId="24">
      <alignment horizontal="left" vertical="center" wrapText="1"/>
    </xf>
    <xf numFmtId="0" fontId="298" fillId="2" borderId="6" applyAlignment="1" pivotButton="0" quotePrefix="0" xfId="24">
      <alignment horizontal="left" vertical="center" wrapText="1"/>
    </xf>
    <xf numFmtId="0" fontId="298" fillId="2" borderId="1" applyAlignment="1" pivotButton="0" quotePrefix="0" xfId="24">
      <alignment horizontal="center" vertical="center" wrapText="1"/>
    </xf>
    <xf numFmtId="0" fontId="298" fillId="2" borderId="16" applyAlignment="1" pivotButton="0" quotePrefix="0" xfId="24">
      <alignment horizontal="center" vertical="center" wrapText="1"/>
    </xf>
    <xf numFmtId="0" fontId="331" fillId="2" borderId="6" applyAlignment="1" pivotButton="0" quotePrefix="1" xfId="24">
      <alignment horizontal="left" vertical="center" wrapText="1"/>
    </xf>
    <xf numFmtId="0" fontId="330" fillId="2" borderId="6" applyAlignment="1" pivotButton="0" quotePrefix="1" xfId="24">
      <alignment horizontal="left" vertical="center" wrapText="1"/>
    </xf>
    <xf numFmtId="0" fontId="331" fillId="2" borderId="1" applyAlignment="1" pivotButton="0" quotePrefix="0" xfId="24">
      <alignment horizontal="center" vertical="center" wrapText="1"/>
    </xf>
    <xf numFmtId="0" fontId="332" fillId="2" borderId="26" applyAlignment="1" pivotButton="0" quotePrefix="0" xfId="0">
      <alignment horizontal="center" vertical="center" wrapText="1"/>
    </xf>
    <xf numFmtId="15" fontId="71" fillId="2" borderId="1" applyAlignment="1" pivotButton="0" quotePrefix="0" xfId="24">
      <alignment horizontal="left" vertical="center" wrapText="1"/>
    </xf>
    <xf numFmtId="0" fontId="231" fillId="2" borderId="6" applyAlignment="1" pivotButton="0" quotePrefix="0" xfId="24">
      <alignment horizontal="left" vertical="center" wrapText="1"/>
    </xf>
    <xf numFmtId="0" fontId="71" fillId="2" borderId="16" applyAlignment="1" pivotButton="0" quotePrefix="0" xfId="24">
      <alignment horizontal="center" vertical="center" wrapText="1"/>
    </xf>
    <xf numFmtId="0" fontId="310" fillId="2" borderId="15" applyAlignment="1" pivotButton="0" quotePrefix="0" xfId="24">
      <alignment horizontal="left" vertical="center" wrapText="1"/>
    </xf>
    <xf numFmtId="0" fontId="310" fillId="2" borderId="6" applyAlignment="1" pivotButton="0" quotePrefix="0" xfId="24">
      <alignment horizontal="left" vertical="center" wrapText="1"/>
    </xf>
    <xf numFmtId="0" fontId="107" fillId="2" borderId="16" applyAlignment="1" pivotButton="0" quotePrefix="0" xfId="24">
      <alignment horizontal="center" vertical="center" wrapText="1"/>
    </xf>
    <xf numFmtId="0" fontId="111" fillId="2" borderId="6" applyAlignment="1" pivotButton="0" quotePrefix="0" xfId="24">
      <alignment horizontal="left" vertical="center" wrapText="1"/>
    </xf>
    <xf numFmtId="15" fontId="104" fillId="2" borderId="1" applyAlignment="1" pivotButton="0" quotePrefix="0" xfId="24">
      <alignment horizontal="left" vertical="center" wrapText="1"/>
    </xf>
    <xf numFmtId="0" fontId="104" fillId="2" borderId="6" applyAlignment="1" pivotButton="0" quotePrefix="0" xfId="24">
      <alignment horizontal="left" vertical="center" wrapText="1"/>
    </xf>
    <xf numFmtId="0" fontId="310" fillId="2" borderId="26" applyAlignment="1" pivotButton="0" quotePrefix="0" xfId="0">
      <alignment horizontal="center" vertical="center" wrapText="1"/>
    </xf>
    <xf numFmtId="0" fontId="224" fillId="2" borderId="6" applyAlignment="1" pivotButton="0" quotePrefix="0" xfId="24">
      <alignment horizontal="left" vertical="center" wrapText="1"/>
    </xf>
    <xf numFmtId="15" fontId="236" fillId="2" borderId="1" applyAlignment="1" pivotButton="0" quotePrefix="0" xfId="24">
      <alignment horizontal="left" vertical="center" wrapText="1"/>
    </xf>
    <xf numFmtId="0" fontId="76" fillId="2" borderId="6" applyAlignment="1" pivotButton="0" quotePrefix="0" xfId="24">
      <alignment horizontal="left" vertical="center" wrapText="1"/>
    </xf>
    <xf numFmtId="15" fontId="314" fillId="2" borderId="1" applyAlignment="1" pivotButton="0" quotePrefix="1" xfId="24">
      <alignment horizontal="left" vertical="center" wrapText="1"/>
    </xf>
    <xf numFmtId="0" fontId="310" fillId="2" borderId="16" applyAlignment="1" pivotButton="0" quotePrefix="0" xfId="24">
      <alignment horizontal="center" vertical="center" wrapText="1"/>
    </xf>
    <xf numFmtId="15" fontId="203" fillId="2" borderId="1" applyAlignment="1" pivotButton="0" quotePrefix="0" xfId="24">
      <alignment horizontal="left" vertical="center" wrapText="1"/>
    </xf>
    <xf numFmtId="0" fontId="111" fillId="2" borderId="16" applyAlignment="1" pivotButton="0" quotePrefix="0" xfId="24">
      <alignment horizontal="center" vertical="center" wrapText="1"/>
    </xf>
    <xf numFmtId="0" fontId="81" fillId="2" borderId="15" applyAlignment="1" pivotButton="0" quotePrefix="0" xfId="24">
      <alignment horizontal="left" vertical="center" wrapText="1"/>
    </xf>
    <xf numFmtId="15" fontId="103" fillId="2" borderId="1" applyAlignment="1" pivotButton="0" quotePrefix="0" xfId="24">
      <alignment horizontal="left" vertical="center" wrapText="1"/>
    </xf>
    <xf numFmtId="0" fontId="103" fillId="2" borderId="15" applyAlignment="1" pivotButton="0" quotePrefix="0" xfId="24">
      <alignment horizontal="left" vertical="center" wrapText="1"/>
    </xf>
    <xf numFmtId="15" fontId="310" fillId="2" borderId="1" applyAlignment="1" pivotButton="0" quotePrefix="0" xfId="24">
      <alignment horizontal="center" vertical="center" wrapText="1"/>
    </xf>
    <xf numFmtId="15" fontId="314" fillId="2" borderId="1" applyAlignment="1" pivotButton="0" quotePrefix="0" xfId="24">
      <alignment horizontal="center" vertical="center" wrapText="1"/>
    </xf>
    <xf numFmtId="0" fontId="310" fillId="2" borderId="1" applyAlignment="1" pivotButton="0" quotePrefix="0" xfId="26">
      <alignment horizontal="center" vertical="center"/>
    </xf>
    <xf numFmtId="0" fontId="93" fillId="2" borderId="6" applyAlignment="1" pivotButton="0" quotePrefix="0" xfId="24">
      <alignment horizontal="left" vertical="center" wrapText="1"/>
    </xf>
    <xf numFmtId="15" fontId="107" fillId="2" borderId="1" applyAlignment="1" pivotButton="0" quotePrefix="0" xfId="24">
      <alignment horizontal="left" vertical="center" wrapText="1"/>
    </xf>
    <xf numFmtId="15" fontId="310" fillId="2" borderId="1" applyAlignment="1" pivotButton="0" quotePrefix="0" xfId="24">
      <alignment horizontal="left" vertical="center" wrapText="1"/>
    </xf>
    <xf numFmtId="0" fontId="310" fillId="2" borderId="6" applyAlignment="1" pivotButton="0" quotePrefix="1" xfId="24">
      <alignment horizontal="left" vertical="center" wrapText="1"/>
    </xf>
    <xf numFmtId="0" fontId="314" fillId="2" borderId="6" applyAlignment="1" pivotButton="0" quotePrefix="1" xfId="24">
      <alignment horizontal="left" vertical="center" wrapText="1"/>
    </xf>
    <xf numFmtId="0" fontId="91" fillId="2" borderId="16" applyAlignment="1" pivotButton="0" quotePrefix="0" xfId="24">
      <alignment horizontal="center" vertical="center" wrapText="1"/>
    </xf>
    <xf numFmtId="15" fontId="124" fillId="2" borderId="1" applyAlignment="1" pivotButton="0" quotePrefix="0" xfId="24">
      <alignment horizontal="left" vertical="center" wrapText="1"/>
    </xf>
    <xf numFmtId="0" fontId="50" fillId="2" borderId="16" applyAlignment="1" pivotButton="0" quotePrefix="0" xfId="24">
      <alignment horizontal="center" vertical="center" wrapText="1"/>
    </xf>
    <xf numFmtId="0" fontId="107" fillId="2" borderId="6" applyAlignment="1" pivotButton="0" quotePrefix="0" xfId="24">
      <alignment horizontal="left" vertical="center" wrapText="1"/>
    </xf>
    <xf numFmtId="15" fontId="145" fillId="2" borderId="1" applyAlignment="1" pivotButton="0" quotePrefix="0" xfId="24">
      <alignment horizontal="left" vertical="center" wrapText="1"/>
    </xf>
    <xf numFmtId="0" fontId="119" fillId="2" borderId="6" applyAlignment="1" pivotButton="0" quotePrefix="1" xfId="24">
      <alignment horizontal="left" vertical="center" wrapText="1"/>
    </xf>
    <xf numFmtId="15" fontId="278" fillId="2" borderId="1" applyAlignment="1" pivotButton="0" quotePrefix="0" xfId="24">
      <alignment horizontal="left" vertical="center" wrapText="1"/>
    </xf>
    <xf numFmtId="0" fontId="278" fillId="2" borderId="15" applyAlignment="1" pivotButton="0" quotePrefix="0" xfId="24">
      <alignment horizontal="left" vertical="center" wrapText="1"/>
    </xf>
    <xf numFmtId="0" fontId="160" fillId="2" borderId="1" applyAlignment="1" pivotButton="0" quotePrefix="0" xfId="24">
      <alignment horizontal="left" vertical="center" wrapText="1"/>
    </xf>
    <xf numFmtId="15" fontId="75" fillId="2" borderId="1" applyAlignment="1" pivotButton="0" quotePrefix="0" xfId="24">
      <alignment horizontal="left" vertical="center" wrapText="1"/>
    </xf>
    <xf numFmtId="15" fontId="316" fillId="2" borderId="1" applyAlignment="1" pivotButton="0" quotePrefix="0" xfId="24">
      <alignment horizontal="center" vertical="center" wrapText="1"/>
    </xf>
    <xf numFmtId="15" fontId="233" fillId="2" borderId="1" applyAlignment="1" pivotButton="0" quotePrefix="0" xfId="24">
      <alignment horizontal="left" vertical="center" wrapText="1"/>
    </xf>
    <xf numFmtId="0" fontId="310" fillId="2" borderId="40" applyAlignment="1" applyProtection="1" pivotButton="0" quotePrefix="0" xfId="0">
      <alignment vertical="center" wrapText="1"/>
      <protection locked="0" hidden="0"/>
    </xf>
    <xf numFmtId="0" fontId="314" fillId="2" borderId="1" applyAlignment="1" applyProtection="1" pivotButton="0" quotePrefix="0" xfId="0">
      <alignment vertical="center" wrapText="1"/>
      <protection locked="0" hidden="0"/>
    </xf>
    <xf numFmtId="0" fontId="310" fillId="2" borderId="1" applyAlignment="1" applyProtection="1" pivotButton="0" quotePrefix="0" xfId="0">
      <alignment horizontal="center" vertical="center" wrapText="1"/>
      <protection locked="0" hidden="0"/>
    </xf>
    <xf numFmtId="0" fontId="310" fillId="2" borderId="16" applyAlignment="1" pivotButton="0" quotePrefix="0" xfId="0">
      <alignment horizontal="center" vertical="center" wrapText="1"/>
    </xf>
    <xf numFmtId="0" fontId="176" fillId="2" borderId="6" applyAlignment="1" pivotButton="0" quotePrefix="0" xfId="24">
      <alignment horizontal="left" vertical="center" wrapText="1"/>
    </xf>
    <xf numFmtId="0" fontId="176" fillId="2" borderId="16" applyAlignment="1" pivotButton="0" quotePrefix="0" xfId="24">
      <alignment horizontal="center" vertical="center" wrapText="1"/>
    </xf>
    <xf numFmtId="15" fontId="116" fillId="2" borderId="1" applyAlignment="1" pivotButton="0" quotePrefix="0" xfId="24">
      <alignment horizontal="left" vertical="center" wrapText="1"/>
    </xf>
    <xf numFmtId="0" fontId="321" fillId="2" borderId="1" applyAlignment="1" pivotButton="0" quotePrefix="0" xfId="24">
      <alignment horizontal="center" vertical="center" wrapText="1"/>
    </xf>
    <xf numFmtId="0" fontId="116" fillId="2" borderId="6" applyAlignment="1" pivotButton="0" quotePrefix="0" xfId="24">
      <alignment horizontal="left" vertical="center" wrapText="1"/>
    </xf>
    <xf numFmtId="0" fontId="201" fillId="2" borderId="6" applyAlignment="1" pivotButton="0" quotePrefix="0" xfId="24">
      <alignment horizontal="left" vertical="center" wrapText="1"/>
    </xf>
    <xf numFmtId="0" fontId="71" fillId="2" borderId="6" applyAlignment="1" pivotButton="0" quotePrefix="0" xfId="24">
      <alignment horizontal="left" vertical="center" wrapText="1"/>
    </xf>
    <xf numFmtId="0" fontId="58" fillId="2" borderId="15" applyAlignment="1" pivotButton="0" quotePrefix="0" xfId="24">
      <alignment horizontal="left" vertical="center" wrapText="1"/>
    </xf>
    <xf numFmtId="15" fontId="310" fillId="2" borderId="5" applyAlignment="1" pivotButton="0" quotePrefix="0" xfId="24">
      <alignment horizontal="center" vertical="center" wrapText="1"/>
    </xf>
    <xf numFmtId="15" fontId="314" fillId="2" borderId="5" applyAlignment="1" pivotButton="0" quotePrefix="0" xfId="24">
      <alignment horizontal="center" vertical="center" wrapText="1"/>
    </xf>
    <xf numFmtId="0" fontId="292" fillId="2" borderId="20" applyAlignment="1" pivotButton="0" quotePrefix="1" xfId="24">
      <alignment horizontal="left" vertical="center" wrapText="1"/>
    </xf>
    <xf numFmtId="0" fontId="314" fillId="2" borderId="20" applyAlignment="1" pivotButton="0" quotePrefix="1" xfId="24">
      <alignment horizontal="left" vertical="center" wrapText="1"/>
    </xf>
    <xf numFmtId="15" fontId="171" fillId="2" borderId="1" applyAlignment="1" pivotButton="0" quotePrefix="0" xfId="24">
      <alignment horizontal="left" vertical="center" wrapText="1"/>
    </xf>
    <xf numFmtId="0" fontId="168" fillId="2" borderId="1" applyAlignment="1" pivotButton="0" quotePrefix="0" xfId="24">
      <alignment horizontal="left" vertical="center" wrapText="1"/>
    </xf>
    <xf numFmtId="0" fontId="292" fillId="2" borderId="15" applyAlignment="1" pivotButton="0" quotePrefix="1" xfId="24">
      <alignment horizontal="left" vertical="center" wrapText="1"/>
    </xf>
    <xf numFmtId="15" fontId="183" fillId="2" borderId="1" applyAlignment="1" pivotButton="0" quotePrefix="0" xfId="24">
      <alignment horizontal="left" vertical="center" wrapText="1"/>
    </xf>
    <xf numFmtId="0" fontId="134" fillId="2" borderId="6" applyAlignment="1" pivotButton="0" quotePrefix="1" xfId="24">
      <alignment horizontal="left" vertical="center" wrapText="1"/>
    </xf>
    <xf numFmtId="0" fontId="99" fillId="2" borderId="16" applyAlignment="1" pivotButton="0" quotePrefix="0" xfId="24">
      <alignment horizontal="center" vertical="center" wrapText="1"/>
    </xf>
    <xf numFmtId="0" fontId="316" fillId="2" borderId="1" applyAlignment="1" pivotButton="0" quotePrefix="1" xfId="24">
      <alignment horizontal="left" vertical="center" wrapText="1"/>
    </xf>
    <xf numFmtId="0" fontId="83" fillId="2" borderId="6" applyAlignment="1" pivotButton="0" quotePrefix="0" xfId="24">
      <alignment horizontal="left" vertical="center" wrapText="1"/>
    </xf>
    <xf numFmtId="0" fontId="83" fillId="2" borderId="1" applyAlignment="1" pivotButton="0" quotePrefix="0" xfId="24">
      <alignment horizontal="center" vertical="center" wrapText="1"/>
    </xf>
    <xf numFmtId="15" fontId="148" fillId="2" borderId="1" applyAlignment="1" pivotButton="0" quotePrefix="0" xfId="24">
      <alignment horizontal="left" vertical="center" wrapText="1"/>
    </xf>
    <xf numFmtId="0" fontId="197" fillId="2" borderId="1" applyAlignment="1" pivotButton="0" quotePrefix="0" xfId="24">
      <alignment horizontal="left" vertical="center" wrapText="1"/>
    </xf>
    <xf numFmtId="15" fontId="119" fillId="2" borderId="1" applyAlignment="1" pivotButton="0" quotePrefix="0" xfId="24">
      <alignment horizontal="left" vertical="center" wrapText="1"/>
    </xf>
    <xf numFmtId="0" fontId="90" fillId="2" borderId="16" applyAlignment="1" pivotButton="0" quotePrefix="0" xfId="24">
      <alignment horizontal="center" vertical="center" wrapText="1"/>
    </xf>
    <xf numFmtId="0" fontId="195" fillId="2" borderId="1" applyAlignment="1" pivotButton="0" quotePrefix="0" xfId="24">
      <alignment horizontal="center" vertical="center" wrapText="1"/>
    </xf>
    <xf numFmtId="0" fontId="109" fillId="2" borderId="16" applyAlignment="1" pivotButton="0" quotePrefix="0" xfId="24">
      <alignment horizontal="center" vertical="center" wrapText="1"/>
    </xf>
    <xf numFmtId="0" fontId="331" fillId="2" borderId="6" applyAlignment="1" pivotButton="0" quotePrefix="0" xfId="24">
      <alignment horizontal="left" vertical="center" wrapText="1"/>
    </xf>
    <xf numFmtId="0" fontId="330" fillId="2" borderId="6" applyAlignment="1" pivotButton="0" quotePrefix="0" xfId="24">
      <alignment horizontal="left" vertical="center" wrapText="1"/>
    </xf>
    <xf numFmtId="0" fontId="331" fillId="2" borderId="16" applyAlignment="1" pivotButton="0" quotePrefix="0" xfId="24">
      <alignment horizontal="center" vertical="center" wrapText="1"/>
    </xf>
    <xf numFmtId="0" fontId="110" fillId="2" borderId="16" applyAlignment="1" pivotButton="0" quotePrefix="0" xfId="24">
      <alignment horizontal="center" vertical="center" wrapText="1"/>
    </xf>
    <xf numFmtId="0" fontId="66" fillId="2" borderId="15" applyAlignment="1" pivotButton="0" quotePrefix="0" xfId="24">
      <alignment horizontal="left" vertical="center" wrapText="1"/>
    </xf>
    <xf numFmtId="0" fontId="196" fillId="2" borderId="6" applyAlignment="1" pivotButton="0" quotePrefix="0" xfId="24">
      <alignment horizontal="left" vertical="center" wrapText="1"/>
    </xf>
    <xf numFmtId="15" fontId="110" fillId="2" borderId="1" applyAlignment="1" pivotButton="0" quotePrefix="0" xfId="24">
      <alignment horizontal="left" vertical="center" wrapText="1"/>
    </xf>
    <xf numFmtId="0" fontId="170" fillId="2" borderId="1" applyAlignment="1" pivotButton="0" quotePrefix="0" xfId="24">
      <alignment horizontal="left" vertical="center" wrapText="1"/>
    </xf>
    <xf numFmtId="0" fontId="170" fillId="2" borderId="1" applyAlignment="1" pivotButton="0" quotePrefix="0" xfId="24">
      <alignment horizontal="center" vertical="center" wrapText="1"/>
    </xf>
    <xf numFmtId="15" fontId="216" fillId="2" borderId="1" applyAlignment="1" pivotButton="0" quotePrefix="0" xfId="24">
      <alignment horizontal="left" vertical="center" wrapText="1"/>
    </xf>
    <xf numFmtId="0" fontId="219" fillId="2" borderId="1" applyAlignment="1" pivotButton="0" quotePrefix="0" xfId="24">
      <alignment horizontal="left" vertical="center" wrapText="1"/>
    </xf>
    <xf numFmtId="0" fontId="216" fillId="2" borderId="1" applyAlignment="1" pivotButton="0" quotePrefix="0" xfId="24">
      <alignment horizontal="center" vertical="center" wrapText="1"/>
    </xf>
    <xf numFmtId="0" fontId="156" fillId="2" borderId="24" applyAlignment="1" pivotButton="0" quotePrefix="0" xfId="24">
      <alignment horizontal="left" vertical="center" wrapText="1"/>
    </xf>
    <xf numFmtId="0" fontId="314" fillId="2" borderId="27" applyAlignment="1" pivotButton="0" quotePrefix="0" xfId="24">
      <alignment horizontal="left" vertical="center" wrapText="1"/>
    </xf>
    <xf numFmtId="0" fontId="156" fillId="2" borderId="15" applyAlignment="1" pivotButton="0" quotePrefix="0" xfId="24">
      <alignment horizontal="left" vertical="center" wrapText="1"/>
    </xf>
    <xf numFmtId="0" fontId="263" fillId="2" borderId="6" applyAlignment="1" pivotButton="0" quotePrefix="0" xfId="24">
      <alignment horizontal="left" vertical="center" wrapText="1"/>
    </xf>
    <xf numFmtId="15" fontId="178" fillId="2" borderId="1" applyAlignment="1" pivotButton="0" quotePrefix="0" xfId="24">
      <alignment horizontal="left" vertical="center" wrapText="1"/>
    </xf>
    <xf numFmtId="0" fontId="129" fillId="2" borderId="1" applyAlignment="1" pivotButton="0" quotePrefix="0" xfId="24">
      <alignment horizontal="center" vertical="center" wrapText="1"/>
    </xf>
    <xf numFmtId="0" fontId="263" fillId="2" borderId="15" applyAlignment="1" pivotButton="0" quotePrefix="0" xfId="24">
      <alignment horizontal="left" vertical="center" wrapText="1"/>
    </xf>
    <xf numFmtId="0" fontId="169" fillId="2" borderId="16" applyAlignment="1" pivotButton="0" quotePrefix="0" xfId="24">
      <alignment horizontal="center" vertical="center" wrapText="1"/>
    </xf>
    <xf numFmtId="0" fontId="129" fillId="2" borderId="6" applyAlignment="1" pivotButton="0" quotePrefix="0" xfId="24">
      <alignment horizontal="left" vertical="center" wrapText="1"/>
    </xf>
    <xf numFmtId="0" fontId="183" fillId="2" borderId="1" applyAlignment="1" pivotButton="0" quotePrefix="0" xfId="24">
      <alignment horizontal="center" vertical="center" wrapText="1"/>
    </xf>
    <xf numFmtId="0" fontId="129" fillId="2" borderId="16" applyAlignment="1" pivotButton="0" quotePrefix="0" xfId="24">
      <alignment horizontal="center" vertical="center" wrapText="1"/>
    </xf>
    <xf numFmtId="0" fontId="243" fillId="2" borderId="15" applyAlignment="1" pivotButton="0" quotePrefix="0" xfId="24">
      <alignment horizontal="left" vertical="center" wrapText="1"/>
    </xf>
    <xf numFmtId="0" fontId="135" fillId="2" borderId="6" applyAlignment="1" pivotButton="0" quotePrefix="0" xfId="24">
      <alignment horizontal="left" vertical="center" wrapText="1"/>
    </xf>
    <xf numFmtId="0" fontId="157" fillId="2" borderId="15" applyAlignment="1" pivotButton="0" quotePrefix="0" xfId="24">
      <alignment horizontal="left" vertical="center" wrapText="1"/>
    </xf>
    <xf numFmtId="0" fontId="106" fillId="2" borderId="16" applyAlignment="1" pivotButton="0" quotePrefix="0" xfId="24">
      <alignment horizontal="center" vertical="center" wrapText="1"/>
    </xf>
    <xf numFmtId="15" fontId="157" fillId="2" borderId="1" applyAlignment="1" pivotButton="0" quotePrefix="0" xfId="24">
      <alignment horizontal="left" vertical="center" wrapText="1"/>
    </xf>
    <xf numFmtId="0" fontId="264" fillId="2" borderId="1" applyAlignment="1" pivotButton="0" quotePrefix="0" xfId="24">
      <alignment horizontal="center" vertical="center" wrapText="1"/>
    </xf>
    <xf numFmtId="0" fontId="268" fillId="2" borderId="1" applyAlignment="1" pivotButton="0" quotePrefix="0" xfId="24">
      <alignment horizontal="left" vertical="center" wrapText="1"/>
    </xf>
    <xf numFmtId="0" fontId="88" fillId="2" borderId="16" applyAlignment="1" pivotButton="0" quotePrefix="0" xfId="24">
      <alignment horizontal="center" vertical="center" wrapText="1"/>
    </xf>
    <xf numFmtId="0" fontId="292" fillId="2" borderId="6" applyAlignment="1" pivotButton="0" quotePrefix="1" xfId="24">
      <alignment horizontal="left" vertical="center" wrapText="1"/>
    </xf>
    <xf numFmtId="0" fontId="119" fillId="2" borderId="15" applyAlignment="1" pivotButton="0" quotePrefix="0" xfId="24">
      <alignment horizontal="left" vertical="center" wrapText="1"/>
    </xf>
    <xf numFmtId="0" fontId="263" fillId="2" borderId="1" applyAlignment="1" pivotButton="0" quotePrefix="0" xfId="24">
      <alignment horizontal="center" vertical="center" wrapText="1"/>
    </xf>
    <xf numFmtId="0" fontId="100" fillId="2" borderId="16" applyAlignment="1" pivotButton="0" quotePrefix="0" xfId="24">
      <alignment horizontal="center" vertical="center" wrapText="1"/>
    </xf>
    <xf numFmtId="0" fontId="292" fillId="2" borderId="1" applyAlignment="1" pivotButton="0" quotePrefix="1" xfId="24">
      <alignment horizontal="center" vertical="center" wrapText="1"/>
    </xf>
    <xf numFmtId="0" fontId="82" fillId="2" borderId="1" applyAlignment="1" pivotButton="0" quotePrefix="0" xfId="24">
      <alignment horizontal="center" vertical="center" wrapText="1"/>
    </xf>
    <xf numFmtId="0" fontId="102" fillId="2" borderId="16" applyAlignment="1" pivotButton="0" quotePrefix="0" xfId="24">
      <alignment horizontal="center" vertical="center" wrapText="1"/>
    </xf>
    <xf numFmtId="0" fontId="135" fillId="2" borderId="15" applyAlignment="1" pivotButton="0" quotePrefix="0" xfId="24">
      <alignment horizontal="left" vertical="center" wrapText="1"/>
    </xf>
    <xf numFmtId="15" fontId="56" fillId="2" borderId="1" applyAlignment="1" pivotButton="0" quotePrefix="0" xfId="24">
      <alignment horizontal="left" vertical="center" wrapText="1"/>
    </xf>
    <xf numFmtId="0" fontId="120" fillId="2" borderId="15" applyAlignment="1" pivotButton="0" quotePrefix="0" xfId="24">
      <alignment horizontal="left" vertical="center" wrapText="1"/>
    </xf>
    <xf numFmtId="15" fontId="112" fillId="2" borderId="1" applyAlignment="1" pivotButton="0" quotePrefix="0" xfId="24">
      <alignment horizontal="left" vertical="center" wrapText="1"/>
    </xf>
    <xf numFmtId="0" fontId="108" fillId="2" borderId="16" applyAlignment="1" pivotButton="0" quotePrefix="0" xfId="24">
      <alignment horizontal="center" vertical="center" wrapText="1"/>
    </xf>
    <xf numFmtId="0" fontId="64" fillId="2" borderId="16" applyAlignment="1" pivotButton="0" quotePrefix="0" xfId="24">
      <alignment horizontal="center" vertical="center" wrapText="1"/>
    </xf>
    <xf numFmtId="0" fontId="292" fillId="2" borderId="1" applyAlignment="1" pivotButton="0" quotePrefix="0" xfId="24">
      <alignment vertical="center"/>
    </xf>
    <xf numFmtId="0" fontId="310" fillId="2" borderId="15" applyAlignment="1" pivotButton="0" quotePrefix="0" xfId="0">
      <alignment horizontal="left" vertical="top" wrapText="1"/>
    </xf>
    <xf numFmtId="0" fontId="314" fillId="2" borderId="1" applyAlignment="1" pivotButton="0" quotePrefix="0" xfId="0">
      <alignment horizontal="left" vertical="top" wrapText="1"/>
    </xf>
    <xf numFmtId="15" fontId="177" fillId="2" borderId="1" applyAlignment="1" pivotButton="0" quotePrefix="0" xfId="24">
      <alignment horizontal="left" vertical="center" wrapText="1"/>
    </xf>
    <xf numFmtId="0" fontId="255" fillId="2" borderId="16" applyAlignment="1" pivotButton="0" quotePrefix="0" xfId="24">
      <alignment horizontal="center" vertical="center" wrapText="1"/>
    </xf>
    <xf numFmtId="15" fontId="221" fillId="2" borderId="1" applyAlignment="1" pivotButton="0" quotePrefix="0" xfId="24">
      <alignment horizontal="left" vertical="center" wrapText="1"/>
    </xf>
    <xf numFmtId="0" fontId="261" fillId="2" borderId="1" applyAlignment="1" pivotButton="0" quotePrefix="0" xfId="24">
      <alignment horizontal="left" vertical="center" wrapText="1"/>
    </xf>
    <xf numFmtId="0" fontId="277" fillId="2" borderId="15" applyAlignment="1" pivotButton="0" quotePrefix="0" xfId="24">
      <alignment horizontal="left" vertical="center" wrapText="1"/>
    </xf>
    <xf numFmtId="0" fontId="257" fillId="2" borderId="16" applyAlignment="1" pivotButton="0" quotePrefix="0" xfId="24">
      <alignment horizontal="center" vertical="center" wrapText="1"/>
    </xf>
    <xf numFmtId="0" fontId="292" fillId="2" borderId="1" applyAlignment="1" pivotButton="0" quotePrefix="0" xfId="7">
      <alignment horizontal="center" vertical="center" wrapText="1"/>
    </xf>
    <xf numFmtId="0" fontId="152" fillId="2" borderId="1" applyAlignment="1" pivotButton="0" quotePrefix="0" xfId="24">
      <alignment horizontal="left" vertical="center" wrapText="1"/>
    </xf>
    <xf numFmtId="0" fontId="181" fillId="2" borderId="1" applyAlignment="1" pivotButton="0" quotePrefix="0" xfId="24">
      <alignment horizontal="left" vertical="center" wrapText="1"/>
    </xf>
    <xf numFmtId="0" fontId="171" fillId="2" borderId="1" applyAlignment="1" pivotButton="0" quotePrefix="0" xfId="24">
      <alignment horizontal="center" vertical="center" wrapText="1"/>
    </xf>
    <xf numFmtId="0" fontId="153" fillId="2" borderId="1" applyAlignment="1" pivotButton="0" quotePrefix="0" xfId="24">
      <alignment horizontal="center" vertical="center" wrapText="1"/>
    </xf>
    <xf numFmtId="15" fontId="291" fillId="2" borderId="1" applyAlignment="1" pivotButton="0" quotePrefix="0" xfId="24">
      <alignment horizontal="left" vertical="center" wrapText="1"/>
    </xf>
    <xf numFmtId="0" fontId="141" fillId="2" borderId="6" applyAlignment="1" pivotButton="0" quotePrefix="0" xfId="24">
      <alignment horizontal="left" vertical="center" wrapText="1"/>
    </xf>
    <xf numFmtId="0" fontId="254" fillId="2" borderId="16" applyAlignment="1" pivotButton="0" quotePrefix="0" xfId="24">
      <alignment horizontal="center" vertical="center" wrapText="1"/>
    </xf>
    <xf numFmtId="15" fontId="288" fillId="2" borderId="1" applyAlignment="1" pivotButton="0" quotePrefix="0" xfId="24">
      <alignment horizontal="left" vertical="center" wrapText="1"/>
    </xf>
    <xf numFmtId="0" fontId="288" fillId="2" borderId="15" applyAlignment="1" pivotButton="0" quotePrefix="0" xfId="24">
      <alignment horizontal="left" vertical="center" wrapText="1"/>
    </xf>
    <xf numFmtId="15" fontId="156" fillId="2" borderId="1" applyAlignment="1" pivotButton="0" quotePrefix="0" xfId="24">
      <alignment horizontal="left" vertical="center" wrapText="1"/>
    </xf>
    <xf numFmtId="0" fontId="156" fillId="2" borderId="1" applyAlignment="1" pivotButton="0" quotePrefix="0" xfId="24">
      <alignment horizontal="center" vertical="center" wrapText="1"/>
    </xf>
    <xf numFmtId="0" fontId="117" fillId="2" borderId="15" applyAlignment="1" pivotButton="0" quotePrefix="0" xfId="24">
      <alignment horizontal="left" vertical="center" wrapText="1"/>
    </xf>
    <xf numFmtId="0" fontId="124" fillId="2" borderId="15" applyAlignment="1" pivotButton="0" quotePrefix="0" xfId="24">
      <alignment horizontal="left" vertical="center" wrapText="1"/>
    </xf>
    <xf numFmtId="0" fontId="292" fillId="2" borderId="6" applyAlignment="1" pivotButton="0" quotePrefix="0" xfId="13">
      <alignment horizontal="left" vertical="center" wrapText="1"/>
    </xf>
    <xf numFmtId="0" fontId="314" fillId="2" borderId="1" applyAlignment="1" pivotButton="0" quotePrefix="0" xfId="13">
      <alignment horizontal="left" vertical="center" wrapText="1"/>
    </xf>
    <xf numFmtId="0" fontId="152" fillId="2" borderId="1" applyAlignment="1" pivotButton="0" quotePrefix="1" xfId="24">
      <alignment horizontal="left" vertical="center" wrapText="1"/>
    </xf>
    <xf numFmtId="15" fontId="60" fillId="2" borderId="1" applyAlignment="1" pivotButton="0" quotePrefix="0" xfId="24">
      <alignment horizontal="left" vertical="center" wrapText="1"/>
    </xf>
    <xf numFmtId="0" fontId="132" fillId="2" borderId="1" applyAlignment="1" pivotButton="0" quotePrefix="0" xfId="24">
      <alignment horizontal="center" vertical="center" wrapText="1"/>
    </xf>
    <xf numFmtId="0" fontId="60" fillId="2" borderId="15" applyAlignment="1" pivotButton="0" quotePrefix="0" xfId="24">
      <alignment horizontal="left" vertical="center" wrapText="1"/>
    </xf>
    <xf numFmtId="0" fontId="176" fillId="2" borderId="1" applyAlignment="1" pivotButton="0" quotePrefix="0" xfId="24">
      <alignment horizontal="center" vertical="center" wrapText="1"/>
    </xf>
    <xf numFmtId="15" fontId="182" fillId="2" borderId="1" applyAlignment="1" pivotButton="0" quotePrefix="0" xfId="24">
      <alignment horizontal="left" vertical="center" wrapText="1"/>
    </xf>
    <xf numFmtId="0" fontId="106" fillId="2" borderId="1" applyAlignment="1" pivotButton="0" quotePrefix="0" xfId="24">
      <alignment horizontal="center" vertical="center" wrapText="1"/>
    </xf>
    <xf numFmtId="0" fontId="122" fillId="2" borderId="1" applyAlignment="1" pivotButton="0" quotePrefix="0" xfId="24">
      <alignment horizontal="left" vertical="center" wrapText="1"/>
    </xf>
    <xf numFmtId="0" fontId="256" fillId="2" borderId="1" applyAlignment="1" pivotButton="0" quotePrefix="0" xfId="24">
      <alignment horizontal="left" vertical="center" wrapText="1"/>
    </xf>
    <xf numFmtId="0" fontId="267" fillId="2" borderId="15" applyAlignment="1" pivotButton="0" quotePrefix="0" xfId="24">
      <alignment horizontal="left" vertical="center" wrapText="1"/>
    </xf>
    <xf numFmtId="0" fontId="56" fillId="2" borderId="15" applyAlignment="1" pivotButton="0" quotePrefix="0" xfId="24">
      <alignment horizontal="left" vertical="center" wrapText="1"/>
    </xf>
    <xf numFmtId="0" fontId="215" fillId="2" borderId="15" applyAlignment="1" pivotButton="0" quotePrefix="0" xfId="24">
      <alignment horizontal="left" vertical="center" wrapText="1"/>
    </xf>
    <xf numFmtId="0" fontId="118" fillId="2" borderId="6" applyAlignment="1" pivotButton="0" quotePrefix="0" xfId="24">
      <alignment horizontal="left" vertical="center" wrapText="1"/>
    </xf>
    <xf numFmtId="0" fontId="101" fillId="2" borderId="16" applyAlignment="1" pivotButton="0" quotePrefix="0" xfId="24">
      <alignment horizontal="center" vertical="center" wrapText="1"/>
    </xf>
    <xf numFmtId="0" fontId="245" fillId="2" borderId="1" applyAlignment="1" pivotButton="0" quotePrefix="0" xfId="24">
      <alignment horizontal="left" vertical="center" wrapText="1"/>
    </xf>
    <xf numFmtId="0" fontId="310" fillId="2" borderId="1" applyAlignment="1" pivotButton="0" quotePrefix="0" xfId="0">
      <alignment horizontal="center" vertical="center" wrapText="1"/>
    </xf>
    <xf numFmtId="0" fontId="341" fillId="2" borderId="15" applyAlignment="1" pivotButton="0" quotePrefix="0" xfId="24">
      <alignment horizontal="left" vertical="center" wrapText="1"/>
    </xf>
    <xf numFmtId="0" fontId="341" fillId="2" borderId="6" applyAlignment="1" pivotButton="0" quotePrefix="0" xfId="24">
      <alignment horizontal="left" vertical="center" wrapText="1"/>
    </xf>
    <xf numFmtId="0" fontId="341" fillId="2" borderId="1" applyAlignment="1" pivotButton="0" quotePrefix="0" xfId="24">
      <alignment horizontal="center" vertical="center" wrapText="1"/>
    </xf>
    <xf numFmtId="0" fontId="341" fillId="2" borderId="16" applyAlignment="1" pivotButton="0" quotePrefix="0" xfId="24">
      <alignment horizontal="center" vertical="center" wrapText="1"/>
    </xf>
    <xf numFmtId="0" fontId="341" fillId="2" borderId="6" applyAlignment="1" pivotButton="0" quotePrefix="1" xfId="24">
      <alignment horizontal="left" vertical="center" wrapText="1"/>
    </xf>
    <xf numFmtId="15" fontId="232" fillId="2" borderId="1" applyAlignment="1" pivotButton="0" quotePrefix="0" xfId="24">
      <alignment horizontal="left" vertical="center" wrapText="1"/>
    </xf>
    <xf numFmtId="0" fontId="226" fillId="2" borderId="1" applyAlignment="1" pivotButton="0" quotePrefix="0" xfId="24">
      <alignment horizontal="center" vertical="center" wrapText="1"/>
    </xf>
    <xf numFmtId="0" fontId="276" fillId="2" borderId="15" applyAlignment="1" pivotButton="0" quotePrefix="0" xfId="24">
      <alignment horizontal="left" vertical="center" wrapText="1"/>
    </xf>
    <xf numFmtId="15" fontId="175" fillId="2" borderId="1" applyAlignment="1" pivotButton="0" quotePrefix="0" xfId="24">
      <alignment horizontal="left" vertical="center" wrapText="1"/>
    </xf>
    <xf numFmtId="0" fontId="292" fillId="2" borderId="1" applyAlignment="1" pivotButton="0" quotePrefix="0" xfId="24">
      <alignment horizontal="center" vertical="top" wrapText="1"/>
    </xf>
    <xf numFmtId="15" fontId="310" fillId="2" borderId="1" applyAlignment="1" pivotButton="0" quotePrefix="1" xfId="24">
      <alignment horizontal="center" vertical="center" wrapText="1"/>
    </xf>
    <xf numFmtId="15" fontId="314" fillId="2" borderId="1" applyAlignment="1" pivotButton="0" quotePrefix="1" xfId="24">
      <alignment horizontal="center" vertical="center" wrapText="1"/>
    </xf>
    <xf numFmtId="0" fontId="322" fillId="2" borderId="1" applyAlignment="1" pivotButton="0" quotePrefix="0" xfId="24">
      <alignment horizontal="center" vertical="center"/>
    </xf>
    <xf numFmtId="0" fontId="310" fillId="2" borderId="1" applyAlignment="1" pivotButton="0" quotePrefix="0" xfId="0">
      <alignment vertical="center" wrapText="1"/>
    </xf>
    <xf numFmtId="0" fontId="314" fillId="2" borderId="1" applyAlignment="1" pivotButton="0" quotePrefix="0" xfId="0">
      <alignment vertical="center" wrapText="1"/>
    </xf>
    <xf numFmtId="0" fontId="78" fillId="2" borderId="16" applyAlignment="1" pivotButton="0" quotePrefix="0" xfId="24">
      <alignment horizontal="center" vertical="center" wrapText="1"/>
    </xf>
    <xf numFmtId="0" fontId="239" fillId="2" borderId="1" applyAlignment="1" pivotButton="0" quotePrefix="0" xfId="24">
      <alignment horizontal="left" vertical="center" wrapText="1"/>
    </xf>
    <xf numFmtId="0" fontId="316" fillId="2" borderId="15" applyAlignment="1" pivotButton="0" quotePrefix="0" xfId="24">
      <alignment vertical="center"/>
    </xf>
    <xf numFmtId="15" fontId="57" fillId="2" borderId="1" applyAlignment="1" pivotButton="0" quotePrefix="0" xfId="24">
      <alignment horizontal="left" vertical="center" wrapText="1"/>
    </xf>
    <xf numFmtId="0" fontId="57" fillId="2" borderId="1" applyAlignment="1" pivotButton="0" quotePrefix="0" xfId="24">
      <alignment horizontal="left" vertical="center" wrapText="1"/>
    </xf>
    <xf numFmtId="0" fontId="292" fillId="2" borderId="15" applyAlignment="1" pivotButton="0" quotePrefix="0" xfId="24">
      <alignment vertical="center"/>
    </xf>
    <xf numFmtId="15" fontId="292" fillId="2" borderId="1" applyAlignment="1" pivotButton="0" quotePrefix="0" xfId="26">
      <alignment horizontal="left" vertical="center" wrapText="1"/>
    </xf>
    <xf numFmtId="15" fontId="314" fillId="2" borderId="1" applyAlignment="1" pivotButton="0" quotePrefix="0" xfId="26">
      <alignment horizontal="left" vertical="center" wrapText="1"/>
    </xf>
    <xf numFmtId="0" fontId="292" fillId="2" borderId="1" applyAlignment="1" pivotButton="0" quotePrefix="0" xfId="26">
      <alignment horizontal="center" vertical="center"/>
    </xf>
    <xf numFmtId="0" fontId="98" fillId="2" borderId="16" applyAlignment="1" pivotButton="0" quotePrefix="0" xfId="24">
      <alignment horizontal="center" vertical="center" wrapText="1"/>
    </xf>
    <xf numFmtId="15" fontId="235" fillId="2" borderId="1" applyAlignment="1" pivotButton="0" quotePrefix="0" xfId="24">
      <alignment horizontal="left" vertical="center" wrapText="1"/>
    </xf>
    <xf numFmtId="0" fontId="215" fillId="2" borderId="1" applyAlignment="1" pivotButton="0" quotePrefix="0" xfId="24">
      <alignment horizontal="center" vertical="center" wrapText="1"/>
    </xf>
    <xf numFmtId="0" fontId="119" fillId="2" borderId="6" applyAlignment="1" pivotButton="0" quotePrefix="0" xfId="24">
      <alignment horizontal="left" vertical="center" wrapText="1"/>
    </xf>
    <xf numFmtId="0" fontId="235" fillId="2" borderId="1" applyAlignment="1" pivotButton="0" quotePrefix="0" xfId="24">
      <alignment horizontal="center" vertical="center" wrapText="1"/>
    </xf>
    <xf numFmtId="0" fontId="103" fillId="2" borderId="16" applyAlignment="1" pivotButton="0" quotePrefix="0" xfId="24">
      <alignment horizontal="center" vertical="center" wrapText="1"/>
    </xf>
    <xf numFmtId="0" fontId="310" fillId="2" borderId="27" applyAlignment="1" pivotButton="0" quotePrefix="0" xfId="0">
      <alignment vertical="center" wrapText="1"/>
    </xf>
    <xf numFmtId="15" fontId="209" fillId="2" borderId="1" applyAlignment="1" pivotButton="0" quotePrefix="0" xfId="24">
      <alignment horizontal="left" vertical="center" wrapText="1"/>
    </xf>
    <xf numFmtId="0" fontId="209" fillId="2" borderId="1" applyAlignment="1" pivotButton="0" quotePrefix="0" xfId="24">
      <alignment horizontal="left" vertical="center" wrapText="1"/>
    </xf>
    <xf numFmtId="0" fontId="157" fillId="2" borderId="1" applyAlignment="1" pivotButton="0" quotePrefix="0" xfId="24">
      <alignment horizontal="center" vertical="center" wrapText="1"/>
    </xf>
    <xf numFmtId="15" fontId="87" fillId="2" borderId="1" applyAlignment="1" pivotButton="0" quotePrefix="0" xfId="24">
      <alignment horizontal="left" vertical="center" wrapText="1"/>
    </xf>
    <xf numFmtId="0" fontId="87" fillId="2" borderId="1" applyAlignment="1" pivotButton="0" quotePrefix="0" xfId="24">
      <alignment horizontal="left" vertical="center" wrapText="1"/>
    </xf>
    <xf numFmtId="0" fontId="157" fillId="2" borderId="15" applyAlignment="1" pivotButton="0" quotePrefix="1" xfId="24">
      <alignment horizontal="left" vertical="center" wrapText="1"/>
    </xf>
    <xf numFmtId="0" fontId="237" fillId="2" borderId="6" applyAlignment="1" pivotButton="0" quotePrefix="0" xfId="24">
      <alignment horizontal="left" vertical="center" wrapText="1"/>
    </xf>
    <xf numFmtId="0" fontId="135" fillId="2" borderId="16" applyAlignment="1" pivotButton="0" quotePrefix="0" xfId="24">
      <alignment horizontal="center" vertical="center" wrapText="1"/>
    </xf>
    <xf numFmtId="15" fontId="92" fillId="2" borderId="1" applyAlignment="1" pivotButton="0" quotePrefix="0" xfId="24">
      <alignment horizontal="left" vertical="center" wrapText="1"/>
    </xf>
    <xf numFmtId="0" fontId="92" fillId="2" borderId="6" applyAlignment="1" pivotButton="0" quotePrefix="0" xfId="24">
      <alignment horizontal="left" vertical="center" wrapText="1"/>
    </xf>
    <xf numFmtId="0" fontId="92" fillId="2" borderId="1" applyAlignment="1" pivotButton="0" quotePrefix="0" xfId="24">
      <alignment horizontal="center" vertical="center" wrapText="1"/>
    </xf>
    <xf numFmtId="0" fontId="72" fillId="2" borderId="16" applyAlignment="1" pivotButton="0" quotePrefix="0" xfId="24">
      <alignment horizontal="center" vertical="center" wrapText="1"/>
    </xf>
    <xf numFmtId="0" fontId="204" fillId="2" borderId="15" applyAlignment="1" pivotButton="0" quotePrefix="0" xfId="24">
      <alignment horizontal="left" vertical="center" wrapText="1"/>
    </xf>
    <xf numFmtId="15" fontId="137" fillId="2" borderId="1" applyAlignment="1" pivotButton="0" quotePrefix="0" xfId="24">
      <alignment horizontal="left" vertical="center" wrapText="1"/>
    </xf>
    <xf numFmtId="15" fontId="194" fillId="2" borderId="1" applyAlignment="1" pivotButton="0" quotePrefix="0" xfId="24">
      <alignment horizontal="left" vertical="center" wrapText="1"/>
    </xf>
    <xf numFmtId="0" fontId="181" fillId="2" borderId="15" applyAlignment="1" pivotButton="0" quotePrefix="0" xfId="24">
      <alignment horizontal="left" vertical="center" wrapText="1"/>
    </xf>
    <xf numFmtId="0" fontId="66" fillId="2" borderId="15" applyAlignment="1" pivotButton="0" quotePrefix="1" xfId="24">
      <alignment horizontal="left" vertical="center" wrapText="1"/>
    </xf>
    <xf numFmtId="0" fontId="61" fillId="2" borderId="16" applyAlignment="1" pivotButton="0" quotePrefix="0" xfId="24">
      <alignment horizontal="center" vertical="center" wrapText="1"/>
    </xf>
    <xf numFmtId="0" fontId="184" fillId="2" borderId="15" applyAlignment="1" pivotButton="0" quotePrefix="0" xfId="24">
      <alignment horizontal="left" vertical="center" wrapText="1"/>
    </xf>
    <xf numFmtId="15" fontId="193" fillId="2" borderId="1" applyAlignment="1" pivotButton="0" quotePrefix="0" xfId="24">
      <alignment horizontal="left" vertical="center" wrapText="1"/>
    </xf>
    <xf numFmtId="0" fontId="191" fillId="2" borderId="15" applyAlignment="1" pivotButton="0" quotePrefix="0" xfId="24">
      <alignment horizontal="left" vertical="center" wrapText="1"/>
    </xf>
    <xf numFmtId="0" fontId="156" fillId="2" borderId="1" applyAlignment="1" pivotButton="0" quotePrefix="0" xfId="24">
      <alignment horizontal="left" vertical="center" wrapText="1"/>
    </xf>
    <xf numFmtId="0" fontId="211" fillId="2" borderId="15" applyAlignment="1" pivotButton="0" quotePrefix="0" xfId="24">
      <alignment horizontal="left" vertical="center" wrapText="1"/>
    </xf>
    <xf numFmtId="15" fontId="213" fillId="2" borderId="1" applyAlignment="1" pivotButton="0" quotePrefix="0" xfId="24">
      <alignment horizontal="left" vertical="center" wrapText="1"/>
    </xf>
    <xf numFmtId="15" fontId="155" fillId="2" borderId="1" applyAlignment="1" pivotButton="0" quotePrefix="0" xfId="24">
      <alignment horizontal="left" vertical="center" wrapText="1"/>
    </xf>
    <xf numFmtId="0" fontId="213" fillId="2" borderId="1" applyAlignment="1" pivotButton="0" quotePrefix="0" xfId="24">
      <alignment horizontal="left" vertical="center" wrapText="1"/>
    </xf>
    <xf numFmtId="0" fontId="207" fillId="2" borderId="15" applyAlignment="1" pivotButton="0" quotePrefix="0" xfId="24">
      <alignment horizontal="left" vertical="center" wrapText="1"/>
    </xf>
    <xf numFmtId="15" fontId="231" fillId="2" borderId="1" applyAlignment="1" pivotButton="0" quotePrefix="0" xfId="24">
      <alignment horizontal="left" vertical="center" wrapText="1"/>
    </xf>
    <xf numFmtId="0" fontId="105" fillId="2" borderId="16" applyAlignment="1" pivotButton="0" quotePrefix="0" xfId="24">
      <alignment horizontal="center" vertical="center" wrapText="1"/>
    </xf>
    <xf numFmtId="15" fontId="189" fillId="2" borderId="1" applyAlignment="1" pivotButton="0" quotePrefix="0" xfId="24">
      <alignment horizontal="left" vertical="center" wrapText="1"/>
    </xf>
    <xf numFmtId="15" fontId="159" fillId="2" borderId="1" applyAlignment="1" pivotButton="0" quotePrefix="0" xfId="24">
      <alignment horizontal="left" vertical="center" wrapText="1"/>
    </xf>
    <xf numFmtId="15" fontId="53" fillId="2" borderId="1" applyAlignment="1" pivotButton="0" quotePrefix="0" xfId="24">
      <alignment horizontal="left" vertical="center" wrapText="1"/>
    </xf>
    <xf numFmtId="0" fontId="53" fillId="2" borderId="1" applyAlignment="1" pivotButton="0" quotePrefix="0" xfId="24">
      <alignment horizontal="center" vertical="center" wrapText="1"/>
    </xf>
    <xf numFmtId="0" fontId="68" fillId="2" borderId="15" applyAlignment="1" pivotButton="0" quotePrefix="0" xfId="24">
      <alignment horizontal="left" vertical="center" wrapText="1"/>
    </xf>
    <xf numFmtId="0" fontId="68" fillId="2" borderId="16" applyAlignment="1" pivotButton="0" quotePrefix="0" xfId="24">
      <alignment horizontal="center" vertical="center" wrapText="1"/>
    </xf>
    <xf numFmtId="0" fontId="159" fillId="2" borderId="15" applyAlignment="1" pivotButton="0" quotePrefix="0" xfId="24">
      <alignment horizontal="left" vertical="center" wrapText="1"/>
    </xf>
    <xf numFmtId="15" fontId="187" fillId="2" borderId="1" applyAlignment="1" pivotButton="0" quotePrefix="0" xfId="24">
      <alignment horizontal="left" vertical="center" wrapText="1"/>
    </xf>
    <xf numFmtId="0" fontId="110" fillId="2" borderId="1" applyAlignment="1" pivotButton="0" quotePrefix="0" xfId="24">
      <alignment horizontal="center" vertical="center" wrapText="1"/>
    </xf>
    <xf numFmtId="0" fontId="138" fillId="2" borderId="1" applyAlignment="1" pivotButton="0" quotePrefix="0" xfId="24">
      <alignment horizontal="center" vertical="center" wrapText="1"/>
    </xf>
    <xf numFmtId="0" fontId="138" fillId="2" borderId="15" applyAlignment="1" pivotButton="0" quotePrefix="0" xfId="24">
      <alignment horizontal="left" vertical="center" wrapText="1"/>
    </xf>
    <xf numFmtId="0" fontId="138" fillId="2" borderId="6" applyAlignment="1" pivotButton="0" quotePrefix="0" xfId="24">
      <alignment horizontal="left" vertical="center" wrapText="1"/>
    </xf>
    <xf numFmtId="0" fontId="98" fillId="2" borderId="6" applyAlignment="1" pivotButton="0" quotePrefix="0" xfId="24">
      <alignment horizontal="left" vertical="center" wrapText="1"/>
    </xf>
    <xf numFmtId="0" fontId="78" fillId="2" borderId="6" applyAlignment="1" pivotButton="0" quotePrefix="0" xfId="24">
      <alignment horizontal="left" vertical="center" wrapText="1"/>
    </xf>
    <xf numFmtId="0" fontId="292" fillId="2" borderId="2" applyAlignment="1" pivotButton="0" quotePrefix="0" xfId="24">
      <alignment horizontal="center" vertical="center" wrapText="1"/>
    </xf>
    <xf numFmtId="0" fontId="314" fillId="2" borderId="1" applyAlignment="1" pivotButton="0" quotePrefix="0" xfId="33">
      <alignment horizontal="left" vertical="center" wrapText="1"/>
    </xf>
    <xf numFmtId="0" fontId="148" fillId="2" borderId="40" applyAlignment="1" pivotButton="0" quotePrefix="0" xfId="13">
      <alignment horizontal="left" vertical="center" wrapText="1"/>
    </xf>
    <xf numFmtId="0" fontId="292" fillId="2" borderId="1" applyAlignment="1" pivotButton="0" quotePrefix="0" xfId="13">
      <alignment horizontal="center" vertical="center" wrapText="1"/>
    </xf>
    <xf numFmtId="0" fontId="188" fillId="2" borderId="16" applyAlignment="1" pivotButton="0" quotePrefix="0" xfId="24">
      <alignment horizontal="center" vertical="center" wrapText="1"/>
    </xf>
    <xf numFmtId="0" fontId="187" fillId="2" borderId="1" applyAlignment="1" pivotButton="0" quotePrefix="0" xfId="24">
      <alignment horizontal="left" vertical="center" wrapText="1"/>
    </xf>
    <xf numFmtId="0" fontId="247" fillId="2" borderId="15" applyAlignment="1" pivotButton="0" quotePrefix="0" xfId="24">
      <alignment horizontal="left" vertical="center" wrapText="1"/>
    </xf>
    <xf numFmtId="0" fontId="186" fillId="2" borderId="6" applyAlignment="1" pivotButton="0" quotePrefix="0" xfId="24">
      <alignment horizontal="left" vertical="center" wrapText="1"/>
    </xf>
    <xf numFmtId="0" fontId="292" fillId="2" borderId="25" applyAlignment="1" pivotButton="0" quotePrefix="0" xfId="24">
      <alignment horizontal="center" vertical="center" wrapText="1"/>
    </xf>
    <xf numFmtId="0" fontId="314" fillId="2" borderId="25" applyAlignment="1" pivotButton="0" quotePrefix="0" xfId="8">
      <alignment horizontal="center" vertical="center" wrapText="1"/>
    </xf>
    <xf numFmtId="0" fontId="0" fillId="2" borderId="1" applyAlignment="1" pivotButton="0" quotePrefix="0" xfId="0">
      <alignment horizontal="left" vertical="center" wrapText="1"/>
    </xf>
    <xf numFmtId="0" fontId="314" fillId="2" borderId="1" applyAlignment="1" pivotButton="0" quotePrefix="1" xfId="0">
      <alignment horizontal="left" vertical="center" wrapText="1"/>
    </xf>
    <xf numFmtId="0" fontId="310" fillId="2" borderId="6" applyAlignment="1" pivotButton="0" quotePrefix="0" xfId="24">
      <alignment horizontal="center" vertical="center" wrapText="1"/>
    </xf>
    <xf numFmtId="0" fontId="146" fillId="2" borderId="6" applyAlignment="1" pivotButton="0" quotePrefix="0" xfId="24">
      <alignment horizontal="left" vertical="center" wrapText="1"/>
    </xf>
    <xf numFmtId="0" fontId="74" fillId="2" borderId="5" applyAlignment="1" pivotButton="0" quotePrefix="0" xfId="24">
      <alignment horizontal="center" vertical="center" wrapText="1"/>
    </xf>
    <xf numFmtId="15" fontId="98" fillId="2" borderId="1" applyAlignment="1" pivotButton="0" quotePrefix="0" xfId="24">
      <alignment horizontal="left" vertical="center" wrapText="1"/>
    </xf>
    <xf numFmtId="15" fontId="123" fillId="2" borderId="1" applyAlignment="1" pivotButton="0" quotePrefix="0" xfId="24">
      <alignment horizontal="left" vertical="center" wrapText="1"/>
    </xf>
    <xf numFmtId="0" fontId="102" fillId="2" borderId="1" applyAlignment="1" pivotButton="0" quotePrefix="0" xfId="24">
      <alignment horizontal="center" vertical="center" wrapText="1"/>
    </xf>
    <xf numFmtId="0" fontId="123" fillId="2" borderId="1" applyAlignment="1" pivotButton="0" quotePrefix="0" xfId="24">
      <alignment horizontal="left" vertical="center" wrapText="1"/>
    </xf>
    <xf numFmtId="0" fontId="220" fillId="2" borderId="1" applyAlignment="1" pivotButton="0" quotePrefix="0" xfId="24">
      <alignment horizontal="center" vertical="center" wrapText="1"/>
    </xf>
    <xf numFmtId="0" fontId="151" fillId="2" borderId="1" applyAlignment="1" pivotButton="0" quotePrefix="0" xfId="24">
      <alignment horizontal="left" vertical="center" wrapText="1"/>
    </xf>
    <xf numFmtId="0" fontId="121" fillId="2" borderId="1" applyAlignment="1" pivotButton="0" quotePrefix="0" xfId="24">
      <alignment horizontal="center" vertical="center" wrapText="1"/>
    </xf>
    <xf numFmtId="0" fontId="127" fillId="2" borderId="1" applyAlignment="1" pivotButton="0" quotePrefix="0" xfId="24">
      <alignment horizontal="center" vertical="center" wrapText="1"/>
    </xf>
    <xf numFmtId="15" fontId="192" fillId="2" borderId="1" applyAlignment="1" pivotButton="0" quotePrefix="0" xfId="24">
      <alignment horizontal="left" vertical="center" wrapText="1"/>
    </xf>
    <xf numFmtId="0" fontId="310" fillId="2" borderId="6" applyAlignment="1" pivotButton="0" quotePrefix="0" xfId="0">
      <alignment horizontal="left" vertical="center" wrapText="1"/>
    </xf>
    <xf numFmtId="0" fontId="192" fillId="2" borderId="1" applyAlignment="1" pivotButton="0" quotePrefix="0" xfId="24">
      <alignment horizontal="left" vertical="center" wrapText="1"/>
    </xf>
    <xf numFmtId="0" fontId="66" fillId="2" borderId="16" applyAlignment="1" pivotButton="0" quotePrefix="0" xfId="24">
      <alignment horizontal="center" vertical="center" wrapText="1"/>
    </xf>
    <xf numFmtId="0" fontId="70" fillId="2" borderId="1" applyAlignment="1" pivotButton="0" quotePrefix="0" xfId="24">
      <alignment horizontal="left" vertical="center" wrapText="1"/>
    </xf>
    <xf numFmtId="0" fontId="115" fillId="2" borderId="15" applyAlignment="1" pivotButton="0" quotePrefix="0" xfId="24">
      <alignment horizontal="left" vertical="center" wrapText="1"/>
    </xf>
    <xf numFmtId="0" fontId="133" fillId="2" borderId="1" applyAlignment="1" pivotButton="0" quotePrefix="0" xfId="24">
      <alignment horizontal="left" vertical="center" wrapText="1"/>
    </xf>
    <xf numFmtId="0" fontId="133" fillId="2" borderId="1" applyAlignment="1" pivotButton="0" quotePrefix="0" xfId="24">
      <alignment horizontal="center" vertical="center" wrapText="1"/>
    </xf>
    <xf numFmtId="15" fontId="153" fillId="2" borderId="1" applyAlignment="1" pivotButton="0" quotePrefix="0" xfId="24">
      <alignment horizontal="left" vertical="center" wrapText="1"/>
    </xf>
    <xf numFmtId="0" fontId="124" fillId="2" borderId="6" applyAlignment="1" pivotButton="0" quotePrefix="0" xfId="24">
      <alignment horizontal="left" vertical="center" wrapText="1"/>
    </xf>
    <xf numFmtId="0" fontId="104" fillId="2" borderId="16" applyAlignment="1" pivotButton="0" quotePrefix="0" xfId="24">
      <alignment horizontal="center" vertical="center" wrapText="1"/>
    </xf>
    <xf numFmtId="0" fontId="331" fillId="2" borderId="15" applyAlignment="1" pivotButton="0" quotePrefix="0" xfId="24">
      <alignment horizontal="left" vertical="center" wrapText="1"/>
    </xf>
    <xf numFmtId="15" fontId="198" fillId="2" borderId="1" applyAlignment="1" pivotButton="0" quotePrefix="0" xfId="24">
      <alignment horizontal="left" vertical="center" wrapText="1"/>
    </xf>
    <xf numFmtId="0" fontId="257" fillId="2" borderId="15" applyAlignment="1" pivotButton="0" quotePrefix="0" xfId="24">
      <alignment horizontal="left" vertical="center" wrapText="1"/>
    </xf>
    <xf numFmtId="0" fontId="252" fillId="2" borderId="16" applyAlignment="1" pivotButton="0" quotePrefix="0" xfId="24">
      <alignment horizontal="center" vertical="center" wrapText="1"/>
    </xf>
    <xf numFmtId="15" fontId="287" fillId="2" borderId="1" applyAlignment="1" pivotButton="0" quotePrefix="0" xfId="24">
      <alignment horizontal="left" vertical="center" wrapText="1"/>
    </xf>
    <xf numFmtId="0" fontId="269" fillId="2" borderId="15" applyAlignment="1" pivotButton="0" quotePrefix="0" xfId="24">
      <alignment horizontal="left" vertical="center" wrapText="1"/>
    </xf>
    <xf numFmtId="0" fontId="61" fillId="2" borderId="6" applyAlignment="1" pivotButton="0" quotePrefix="0" xfId="24">
      <alignment horizontal="left" vertical="center" wrapText="1"/>
    </xf>
    <xf numFmtId="0" fontId="291" fillId="2" borderId="15" applyAlignment="1" pivotButton="0" quotePrefix="0" xfId="24">
      <alignment horizontal="left" vertical="center" wrapText="1"/>
    </xf>
    <xf numFmtId="15" fontId="86" fillId="2" borderId="1" applyAlignment="1" pivotButton="0" quotePrefix="0" xfId="24">
      <alignment horizontal="left" vertical="center" wrapText="1"/>
    </xf>
    <xf numFmtId="0" fontId="86" fillId="2" borderId="1" applyAlignment="1" pivotButton="0" quotePrefix="0" xfId="24">
      <alignment horizontal="center" vertical="center" wrapText="1"/>
    </xf>
    <xf numFmtId="0" fontId="86" fillId="2" borderId="16" applyAlignment="1" pivotButton="0" quotePrefix="0" xfId="24">
      <alignment horizontal="center" vertical="center" wrapText="1"/>
    </xf>
    <xf numFmtId="0" fontId="65" fillId="2" borderId="16" applyAlignment="1" pivotButton="0" quotePrefix="0" xfId="24">
      <alignment horizontal="center" vertical="center" wrapText="1"/>
    </xf>
    <xf numFmtId="0" fontId="263" fillId="2" borderId="16" applyAlignment="1" pivotButton="0" quotePrefix="0" xfId="24">
      <alignment horizontal="center" vertical="center" wrapText="1"/>
    </xf>
    <xf numFmtId="15" fontId="186" fillId="2" borderId="1" applyAlignment="1" pivotButton="0" quotePrefix="0" xfId="24">
      <alignment horizontal="left" vertical="center" wrapText="1"/>
    </xf>
    <xf numFmtId="0" fontId="87" fillId="2" borderId="1" applyAlignment="1" pivotButton="0" quotePrefix="0" xfId="24">
      <alignment horizontal="center" vertical="center" wrapText="1"/>
    </xf>
    <xf numFmtId="0" fontId="332" fillId="2" borderId="15" applyAlignment="1" pivotButton="0" quotePrefix="0" xfId="24">
      <alignment horizontal="left" vertical="center" wrapText="1"/>
    </xf>
    <xf numFmtId="0" fontId="332" fillId="2" borderId="1" applyAlignment="1" pivotButton="0" quotePrefix="0" xfId="24">
      <alignment horizontal="center" vertical="center" wrapText="1"/>
    </xf>
    <xf numFmtId="15" fontId="130" fillId="2" borderId="1" applyAlignment="1" pivotButton="0" quotePrefix="0" xfId="24">
      <alignment horizontal="left" vertical="center" wrapText="1"/>
    </xf>
    <xf numFmtId="0" fontId="62" fillId="2" borderId="1" applyAlignment="1" pivotButton="0" quotePrefix="1" xfId="24">
      <alignment horizontal="left" vertical="center" wrapText="1"/>
    </xf>
    <xf numFmtId="0" fontId="314" fillId="2" borderId="1" applyAlignment="1" pivotButton="0" quotePrefix="1" xfId="24">
      <alignment horizontal="left" vertical="center" wrapText="1"/>
    </xf>
    <xf numFmtId="0" fontId="130" fillId="2" borderId="15" applyAlignment="1" pivotButton="0" quotePrefix="0" xfId="24">
      <alignment horizontal="left" vertical="center" wrapText="1"/>
    </xf>
    <xf numFmtId="15" fontId="130" fillId="2" borderId="1" applyAlignment="1" pivotButton="0" quotePrefix="0" xfId="26">
      <alignment horizontal="left" vertical="center" wrapText="1"/>
    </xf>
    <xf numFmtId="0" fontId="310" fillId="2" borderId="1" applyAlignment="1" pivotButton="0" quotePrefix="0" xfId="26">
      <alignment horizontal="center" vertical="center" wrapText="1"/>
    </xf>
    <xf numFmtId="15" fontId="151" fillId="2" borderId="1" applyAlignment="1" pivotButton="0" quotePrefix="0" xfId="24">
      <alignment horizontal="left" vertical="center" wrapText="1"/>
    </xf>
    <xf numFmtId="15" fontId="95" fillId="2" borderId="1" applyAlignment="1" pivotButton="0" quotePrefix="0" xfId="24">
      <alignment horizontal="left" vertical="center" wrapText="1"/>
    </xf>
    <xf numFmtId="0" fontId="114" fillId="2" borderId="1" applyAlignment="1" pivotButton="0" quotePrefix="0" xfId="24">
      <alignment horizontal="center" vertical="center" wrapText="1"/>
    </xf>
    <xf numFmtId="0" fontId="310" fillId="2" borderId="1" applyAlignment="1" pivotButton="0" quotePrefix="1" xfId="24">
      <alignment horizontal="center" vertical="center" wrapText="1"/>
    </xf>
    <xf numFmtId="0" fontId="127" fillId="2" borderId="1" applyAlignment="1" pivotButton="0" quotePrefix="0" xfId="24">
      <alignment horizontal="left" vertical="center" wrapText="1"/>
    </xf>
    <xf numFmtId="0" fontId="95" fillId="2" borderId="6" applyAlignment="1" pivotButton="0" quotePrefix="0" xfId="24">
      <alignment horizontal="left" vertical="center" wrapText="1"/>
    </xf>
    <xf numFmtId="0" fontId="96" fillId="2" borderId="1" applyAlignment="1" pivotButton="0" quotePrefix="0" xfId="24">
      <alignment horizontal="center" vertical="center" wrapText="1"/>
    </xf>
    <xf numFmtId="0" fontId="96" fillId="2" borderId="16" applyAlignment="1" pivotButton="0" quotePrefix="0" xfId="24">
      <alignment horizontal="center" vertical="center" wrapText="1"/>
    </xf>
    <xf numFmtId="0" fontId="153" fillId="2" borderId="1" applyAlignment="1" pivotButton="0" quotePrefix="0" xfId="24">
      <alignment horizontal="left" vertical="center" wrapText="1"/>
    </xf>
    <xf numFmtId="15" fontId="240" fillId="2" borderId="1" applyAlignment="1" pivotButton="0" quotePrefix="0" xfId="24">
      <alignment horizontal="left" vertical="center" wrapText="1"/>
    </xf>
    <xf numFmtId="15" fontId="126" fillId="2" borderId="1" applyAlignment="1" pivotButton="0" quotePrefix="0" xfId="24">
      <alignment horizontal="left" vertical="center" wrapText="1"/>
    </xf>
    <xf numFmtId="0" fontId="126" fillId="2" borderId="15" applyAlignment="1" pivotButton="0" quotePrefix="0" xfId="24">
      <alignment horizontal="left" vertical="center" wrapText="1"/>
    </xf>
    <xf numFmtId="0" fontId="121" fillId="2" borderId="6" applyAlignment="1" pivotButton="0" quotePrefix="0" xfId="24">
      <alignment horizontal="left" vertical="center" wrapText="1"/>
    </xf>
    <xf numFmtId="15" fontId="167" fillId="2" borderId="1" applyAlignment="1" pivotButton="0" quotePrefix="0" xfId="24">
      <alignment horizontal="left" vertical="center" wrapText="1"/>
    </xf>
    <xf numFmtId="0" fontId="167" fillId="2" borderId="15" applyAlignment="1" pivotButton="0" quotePrefix="0" xfId="24">
      <alignment horizontal="left" vertical="center" wrapText="1"/>
    </xf>
    <xf numFmtId="15" fontId="142" fillId="2" borderId="1" applyAlignment="1" pivotButton="0" quotePrefix="0" xfId="24">
      <alignment horizontal="left" vertical="center" wrapText="1"/>
    </xf>
    <xf numFmtId="0" fontId="143" fillId="2" borderId="15" applyAlignment="1" pivotButton="0" quotePrefix="0" xfId="24">
      <alignment horizontal="left" vertical="center" wrapText="1"/>
    </xf>
    <xf numFmtId="0" fontId="69" fillId="2" borderId="1" applyAlignment="1" pivotButton="0" quotePrefix="0" xfId="24">
      <alignment horizontal="left" vertical="center" wrapText="1"/>
    </xf>
    <xf numFmtId="0" fontId="290" fillId="2" borderId="1" applyAlignment="1" pivotButton="0" quotePrefix="0" xfId="24">
      <alignment horizontal="center" vertical="center" wrapText="1"/>
    </xf>
    <xf numFmtId="0" fontId="263" fillId="2" borderId="15" applyAlignment="1" pivotButton="0" quotePrefix="0" xfId="13">
      <alignment horizontal="left" vertical="center" wrapText="1"/>
    </xf>
    <xf numFmtId="0" fontId="284" fillId="2" borderId="15" applyAlignment="1" pivotButton="0" quotePrefix="0" xfId="24">
      <alignment horizontal="left" vertical="center" wrapText="1"/>
    </xf>
    <xf numFmtId="0" fontId="245" fillId="2" borderId="15" applyAlignment="1" pivotButton="0" quotePrefix="0" xfId="24">
      <alignment horizontal="left" vertical="center" wrapText="1"/>
    </xf>
    <xf numFmtId="0" fontId="223" fillId="2" borderId="1" applyAlignment="1" pivotButton="0" quotePrefix="0" xfId="24">
      <alignment horizontal="center" vertical="center" wrapText="1"/>
    </xf>
    <xf numFmtId="15" fontId="106" fillId="2" borderId="1" applyAlignment="1" pivotButton="0" quotePrefix="0" xfId="24">
      <alignment horizontal="left" vertical="center" wrapText="1"/>
    </xf>
    <xf numFmtId="15" fontId="154" fillId="2" borderId="1" applyAlignment="1" pivotButton="0" quotePrefix="0" xfId="24">
      <alignment horizontal="left" vertical="center" wrapText="1"/>
    </xf>
    <xf numFmtId="0" fontId="154" fillId="2" borderId="1" applyAlignment="1" pivotButton="0" quotePrefix="0" xfId="24">
      <alignment horizontal="center" vertical="center" wrapText="1"/>
    </xf>
    <xf numFmtId="0" fontId="154" fillId="2" borderId="16" applyAlignment="1" pivotButton="0" quotePrefix="0" xfId="24">
      <alignment horizontal="center" vertical="center" wrapText="1"/>
    </xf>
    <xf numFmtId="15" fontId="285" fillId="2" borderId="1" applyAlignment="1" pivotButton="0" quotePrefix="0" xfId="24">
      <alignment horizontal="left" vertical="center" wrapText="1"/>
    </xf>
    <xf numFmtId="0" fontId="321" fillId="2" borderId="1" applyAlignment="1" pivotButton="0" quotePrefix="0" xfId="24">
      <alignment horizontal="left" vertical="center" wrapText="1"/>
    </xf>
    <xf numFmtId="0" fontId="85" fillId="2" borderId="1" applyAlignment="1" pivotButton="0" quotePrefix="0" xfId="24">
      <alignment horizontal="center" vertical="center" wrapText="1"/>
    </xf>
    <xf numFmtId="0" fontId="85" fillId="2" borderId="15" applyAlignment="1" pivotButton="0" quotePrefix="0" xfId="24">
      <alignment horizontal="left" vertical="center" wrapText="1"/>
    </xf>
    <xf numFmtId="0" fontId="106" fillId="2" borderId="1" applyAlignment="1" pivotButton="0" quotePrefix="0" xfId="24">
      <alignment horizontal="left" vertical="center" wrapText="1"/>
    </xf>
    <xf numFmtId="49" fontId="322" fillId="2" borderId="1" applyAlignment="1" pivotButton="0" quotePrefix="0" xfId="24">
      <alignment horizontal="center" vertical="center" wrapText="1"/>
    </xf>
    <xf numFmtId="49" fontId="324" fillId="2" borderId="1" applyAlignment="1" pivotButton="0" quotePrefix="0" xfId="24">
      <alignment horizontal="center" vertical="center" wrapText="1"/>
    </xf>
    <xf numFmtId="0" fontId="311" fillId="2" borderId="1" applyAlignment="1" pivotButton="0" quotePrefix="0" xfId="24">
      <alignment horizontal="center" vertical="center" wrapText="1"/>
    </xf>
    <xf numFmtId="0" fontId="54" fillId="2" borderId="16" applyAlignment="1" pivotButton="0" quotePrefix="0" xfId="24">
      <alignment horizontal="center" vertical="center" wrapText="1"/>
    </xf>
    <xf numFmtId="15" fontId="63" fillId="2" borderId="1" applyAlignment="1" pivotButton="0" quotePrefix="0" xfId="24">
      <alignment horizontal="left" vertical="center" wrapText="1"/>
    </xf>
    <xf numFmtId="15" fontId="63" fillId="2" borderId="1" applyAlignment="1" pivotButton="0" quotePrefix="1" xfId="24">
      <alignment horizontal="left" vertical="center" wrapText="1"/>
    </xf>
    <xf numFmtId="0" fontId="214" fillId="2" borderId="15" applyAlignment="1" pivotButton="0" quotePrefix="0" xfId="24">
      <alignment horizontal="left" vertical="center" wrapText="1"/>
    </xf>
    <xf numFmtId="15" fontId="226" fillId="2" borderId="1" applyAlignment="1" pivotButton="0" quotePrefix="0" xfId="24">
      <alignment horizontal="left" vertical="center" wrapText="1"/>
    </xf>
    <xf numFmtId="15" fontId="163" fillId="2" borderId="1" applyAlignment="1" pivotButton="0" quotePrefix="0" xfId="24">
      <alignment horizontal="left" vertical="center" wrapText="1"/>
    </xf>
    <xf numFmtId="15" fontId="152" fillId="2" borderId="1" applyAlignment="1" pivotButton="0" quotePrefix="0" xfId="24">
      <alignment horizontal="left" vertical="center" wrapText="1"/>
    </xf>
    <xf numFmtId="0" fontId="163" fillId="2" borderId="1" applyAlignment="1" pivotButton="0" quotePrefix="0" xfId="24">
      <alignment horizontal="center" vertical="center" wrapText="1"/>
    </xf>
    <xf numFmtId="0" fontId="163" fillId="2" borderId="15" applyAlignment="1" pivotButton="0" quotePrefix="0" xfId="24">
      <alignment horizontal="left" vertical="center" wrapText="1"/>
    </xf>
    <xf numFmtId="0" fontId="221" fillId="2" borderId="6" applyAlignment="1" pivotButton="0" quotePrefix="0" xfId="24">
      <alignment horizontal="left" vertical="center" wrapText="1"/>
    </xf>
    <xf numFmtId="0" fontId="292" fillId="2" borderId="6" applyAlignment="1" pivotButton="0" quotePrefix="0" xfId="24">
      <alignment horizontal="left" vertical="center"/>
    </xf>
    <xf numFmtId="15" fontId="125" fillId="2" borderId="1" applyAlignment="1" pivotButton="0" quotePrefix="0" xfId="24">
      <alignment horizontal="left" vertical="center" wrapText="1"/>
    </xf>
    <xf numFmtId="15" fontId="251" fillId="2" borderId="1" applyAlignment="1" pivotButton="0" quotePrefix="0" xfId="24">
      <alignment horizontal="left" vertical="center" wrapText="1"/>
    </xf>
    <xf numFmtId="0" fontId="248" fillId="2" borderId="15" applyAlignment="1" pivotButton="0" quotePrefix="0" xfId="24">
      <alignment horizontal="left" vertical="center" wrapText="1"/>
    </xf>
    <xf numFmtId="0" fontId="258" fillId="2" borderId="6" applyAlignment="1" pivotButton="0" quotePrefix="1" xfId="24">
      <alignment horizontal="left" vertical="center" wrapText="1"/>
    </xf>
    <xf numFmtId="0" fontId="310" fillId="2" borderId="1" applyAlignment="1" pivotButton="0" quotePrefix="0" xfId="13">
      <alignment horizontal="center" vertical="center" wrapText="1"/>
    </xf>
    <xf numFmtId="0" fontId="310" fillId="2" borderId="16" applyAlignment="1" pivotButton="0" quotePrefix="0" xfId="13">
      <alignment horizontal="center" vertical="center" wrapText="1"/>
    </xf>
    <xf numFmtId="0" fontId="228" fillId="2" borderId="15" applyAlignment="1" pivotButton="0" quotePrefix="0" xfId="24">
      <alignment horizontal="left" vertical="center" wrapText="1"/>
    </xf>
    <xf numFmtId="0" fontId="175" fillId="2" borderId="15" applyAlignment="1" pivotButton="0" quotePrefix="0" xfId="24">
      <alignment horizontal="left" vertical="center" wrapText="1"/>
    </xf>
    <xf numFmtId="0" fontId="269" fillId="2" borderId="1" applyAlignment="1" pivotButton="0" quotePrefix="0" xfId="24">
      <alignment horizontal="center" vertical="center" wrapText="1"/>
    </xf>
    <xf numFmtId="15" fontId="166" fillId="2" borderId="1" applyAlignment="1" pivotButton="0" quotePrefix="0" xfId="24">
      <alignment horizontal="left" vertical="center" wrapText="1"/>
    </xf>
    <xf numFmtId="0" fontId="310" fillId="2" borderId="1" applyAlignment="1" pivotButton="0" quotePrefix="0" xfId="13">
      <alignment horizontal="left" vertical="center" wrapText="1"/>
    </xf>
    <xf numFmtId="0" fontId="314" fillId="2" borderId="1" applyAlignment="1" pivotButton="0" quotePrefix="1" xfId="24">
      <alignment horizontal="center" vertical="center" wrapText="1"/>
    </xf>
    <xf numFmtId="15" fontId="150" fillId="2" borderId="1" applyAlignment="1" pivotButton="0" quotePrefix="0" xfId="24">
      <alignment horizontal="left" vertical="center" wrapText="1"/>
    </xf>
    <xf numFmtId="15" fontId="169" fillId="2" borderId="1" applyAlignment="1" pivotButton="0" quotePrefix="0" xfId="24">
      <alignment horizontal="left" vertical="center" wrapText="1"/>
    </xf>
    <xf numFmtId="0" fontId="169" fillId="2" borderId="1" applyAlignment="1" pivotButton="0" quotePrefix="0" xfId="24">
      <alignment horizontal="center" vertical="center" wrapText="1"/>
    </xf>
    <xf numFmtId="0" fontId="169" fillId="2" borderId="15" applyAlignment="1" pivotButton="0" quotePrefix="1" xfId="24">
      <alignment horizontal="left" vertical="center" wrapText="1"/>
    </xf>
    <xf numFmtId="164" fontId="314" fillId="2" borderId="1" applyAlignment="1" pivotButton="0" quotePrefix="0" xfId="28">
      <alignment horizontal="left" vertical="center" wrapText="1"/>
    </xf>
    <xf numFmtId="164" fontId="310" fillId="2" borderId="1" applyAlignment="1" pivotButton="0" quotePrefix="0" xfId="28">
      <alignment horizontal="center" vertical="center" wrapText="1"/>
    </xf>
    <xf numFmtId="164" fontId="314" fillId="2" borderId="1" applyAlignment="1" pivotButton="0" quotePrefix="0" xfId="28">
      <alignment horizontal="center" vertical="center" wrapText="1"/>
    </xf>
    <xf numFmtId="0" fontId="57" fillId="2" borderId="15" applyAlignment="1" pivotButton="0" quotePrefix="0" xfId="24">
      <alignment horizontal="left" vertical="center" wrapText="1"/>
    </xf>
    <xf numFmtId="0" fontId="149" fillId="2" borderId="1" applyAlignment="1" pivotButton="0" quotePrefix="0" xfId="24">
      <alignment horizontal="left" vertical="center" wrapText="1"/>
    </xf>
    <xf numFmtId="0" fontId="166" fillId="2" borderId="1" applyAlignment="1" pivotButton="0" quotePrefix="0" xfId="24">
      <alignment horizontal="center" vertical="center" wrapText="1"/>
    </xf>
    <xf numFmtId="0" fontId="166" fillId="2" borderId="15" applyAlignment="1" pivotButton="0" quotePrefix="0" xfId="24">
      <alignment horizontal="left" vertical="center" wrapText="1"/>
    </xf>
    <xf numFmtId="15" fontId="152" fillId="2" borderId="1" applyAlignment="1" pivotButton="0" quotePrefix="1" xfId="24">
      <alignment horizontal="left" vertical="center" wrapText="1"/>
    </xf>
    <xf numFmtId="0" fontId="131" fillId="2" borderId="6" applyAlignment="1" pivotButton="0" quotePrefix="0" xfId="24">
      <alignment horizontal="left" vertical="center" wrapText="1"/>
    </xf>
    <xf numFmtId="0" fontId="220" fillId="2" borderId="15" applyAlignment="1" pivotButton="0" quotePrefix="0" xfId="24">
      <alignment horizontal="left" vertical="center" wrapText="1"/>
    </xf>
    <xf numFmtId="0" fontId="56" fillId="2" borderId="1" applyAlignment="1" pivotButton="0" quotePrefix="0" xfId="24">
      <alignment horizontal="left" vertical="center" wrapText="1"/>
    </xf>
    <xf numFmtId="0" fontId="173" fillId="2" borderId="15" applyAlignment="1" pivotButton="0" quotePrefix="0" xfId="24">
      <alignment horizontal="left" vertical="center" wrapText="1"/>
    </xf>
    <xf numFmtId="0" fontId="287" fillId="2" borderId="24" applyAlignment="1" pivotButton="0" quotePrefix="0" xfId="24">
      <alignment horizontal="left" vertical="center" wrapText="1"/>
    </xf>
    <xf numFmtId="0" fontId="292" fillId="2" borderId="27" applyAlignment="1" pivotButton="0" quotePrefix="0" xfId="24">
      <alignment horizontal="left" vertical="center" wrapText="1"/>
    </xf>
    <xf numFmtId="0" fontId="292" fillId="2" borderId="26" applyAlignment="1" pivotButton="0" quotePrefix="0" xfId="24">
      <alignment horizontal="center" vertical="center" wrapText="1"/>
    </xf>
    <xf numFmtId="0" fontId="292" fillId="2" borderId="24" applyAlignment="1" pivotButton="0" quotePrefix="0" xfId="24">
      <alignment horizontal="left" vertical="center" wrapText="1"/>
    </xf>
    <xf numFmtId="0" fontId="51" fillId="2" borderId="16" applyAlignment="1" pivotButton="0" quotePrefix="0" xfId="24">
      <alignment horizontal="center" vertical="center" wrapText="1"/>
    </xf>
    <xf numFmtId="0" fontId="193" fillId="2" borderId="27" applyAlignment="1" pivotButton="0" quotePrefix="0" xfId="24">
      <alignment horizontal="left" vertical="center" wrapText="1"/>
    </xf>
    <xf numFmtId="15" fontId="241" fillId="2" borderId="1" applyAlignment="1" pivotButton="0" quotePrefix="0" xfId="24">
      <alignment horizontal="left" vertical="center" wrapText="1"/>
    </xf>
    <xf numFmtId="0" fontId="286" fillId="2" borderId="1" applyAlignment="1" pivotButton="0" quotePrefix="0" xfId="24">
      <alignment horizontal="center" vertical="center" wrapText="1"/>
    </xf>
    <xf numFmtId="15" fontId="225" fillId="2" borderId="1" applyAlignment="1" pivotButton="0" quotePrefix="0" xfId="24">
      <alignment horizontal="left" vertical="center" wrapText="1"/>
    </xf>
    <xf numFmtId="0" fontId="316" fillId="2" borderId="24" applyAlignment="1" pivotButton="0" quotePrefix="0" xfId="24">
      <alignment horizontal="left" vertical="center" wrapText="1"/>
    </xf>
    <xf numFmtId="0" fontId="316" fillId="2" borderId="27" applyAlignment="1" pivotButton="0" quotePrefix="0" xfId="24">
      <alignment horizontal="left" vertical="center" wrapText="1"/>
    </xf>
    <xf numFmtId="0" fontId="316" fillId="2" borderId="25" applyAlignment="1" pivotButton="0" quotePrefix="0" xfId="24">
      <alignment horizontal="center" vertical="center" wrapText="1"/>
    </xf>
    <xf numFmtId="0" fontId="316" fillId="2" borderId="26" applyAlignment="1" pivotButton="0" quotePrefix="0" xfId="24">
      <alignment horizontal="center" vertical="center" wrapText="1"/>
    </xf>
    <xf numFmtId="0" fontId="56" fillId="2" borderId="24" applyAlignment="1" pivotButton="0" quotePrefix="0" xfId="24">
      <alignment horizontal="left" vertical="center" wrapText="1"/>
    </xf>
    <xf numFmtId="0" fontId="272" fillId="2" borderId="1" applyAlignment="1" pivotButton="0" quotePrefix="0" xfId="24">
      <alignment horizontal="center" vertical="center" wrapText="1"/>
    </xf>
    <xf numFmtId="15" fontId="247" fillId="2" borderId="1" applyAlignment="1" pivotButton="0" quotePrefix="0" xfId="24">
      <alignment horizontal="left" vertical="center" wrapText="1"/>
    </xf>
    <xf numFmtId="15" fontId="253" fillId="2" borderId="1" applyAlignment="1" pivotButton="0" quotePrefix="0" xfId="24">
      <alignment horizontal="left" vertical="center" wrapText="1"/>
    </xf>
    <xf numFmtId="0" fontId="247" fillId="2" borderId="1" applyAlignment="1" pivotButton="0" quotePrefix="0" xfId="24">
      <alignment horizontal="center" vertical="center" wrapText="1"/>
    </xf>
    <xf numFmtId="0" fontId="247" fillId="2" borderId="26" applyAlignment="1" pivotButton="0" quotePrefix="0" xfId="24">
      <alignment horizontal="center" vertical="center" wrapText="1"/>
    </xf>
    <xf numFmtId="15" fontId="144" fillId="2" borderId="1" applyAlignment="1" pivotButton="0" quotePrefix="0" xfId="24">
      <alignment horizontal="left" vertical="center" wrapText="1"/>
    </xf>
    <xf numFmtId="0" fontId="112" fillId="2" borderId="26" applyAlignment="1" pivotButton="0" quotePrefix="0" xfId="24">
      <alignment horizontal="center" vertical="center" wrapText="1"/>
    </xf>
    <xf numFmtId="0" fontId="219" fillId="2" borderId="1" applyAlignment="1" pivotButton="0" quotePrefix="0" xfId="24">
      <alignment horizontal="center" vertical="center" wrapText="1"/>
    </xf>
    <xf numFmtId="0" fontId="141" fillId="2" borderId="24" applyAlignment="1" pivotButton="0" quotePrefix="0" xfId="24">
      <alignment horizontal="left" vertical="center" wrapText="1"/>
    </xf>
    <xf numFmtId="0" fontId="219" fillId="2" borderId="24" applyAlignment="1" pivotButton="0" quotePrefix="0" xfId="24">
      <alignment horizontal="left" vertical="center" wrapText="1"/>
    </xf>
    <xf numFmtId="15" fontId="208" fillId="2" borderId="1" applyAlignment="1" pivotButton="0" quotePrefix="0" xfId="24">
      <alignment horizontal="left" vertical="center" wrapText="1"/>
    </xf>
    <xf numFmtId="15" fontId="219" fillId="2" borderId="1" applyAlignment="1" pivotButton="0" quotePrefix="0" xfId="24">
      <alignment horizontal="left" vertical="center" wrapText="1"/>
    </xf>
    <xf numFmtId="15" fontId="149" fillId="2" borderId="1" applyAlignment="1" pivotButton="0" quotePrefix="0" xfId="24">
      <alignment horizontal="left" vertical="center" wrapText="1"/>
    </xf>
    <xf numFmtId="0" fontId="271" fillId="2" borderId="1" applyAlignment="1" pivotButton="0" quotePrefix="0" xfId="24">
      <alignment horizontal="center" vertical="center" wrapText="1"/>
    </xf>
    <xf numFmtId="15" fontId="281" fillId="2" borderId="1" applyAlignment="1" pivotButton="0" quotePrefix="0" xfId="24">
      <alignment horizontal="left" vertical="center" wrapText="1"/>
    </xf>
    <xf numFmtId="0" fontId="310" fillId="2" borderId="24" applyAlignment="1" pivotButton="0" quotePrefix="0" xfId="24">
      <alignment horizontal="left" vertical="center" wrapText="1"/>
    </xf>
    <xf numFmtId="0" fontId="111" fillId="2" borderId="26" applyAlignment="1" pivotButton="0" quotePrefix="0" xfId="24">
      <alignment horizontal="center" vertical="center" wrapText="1"/>
    </xf>
    <xf numFmtId="0" fontId="279" fillId="2" borderId="24" applyAlignment="1" pivotButton="0" quotePrefix="0" xfId="24">
      <alignment horizontal="left" vertical="center" wrapText="1"/>
    </xf>
    <xf numFmtId="0" fontId="287" fillId="2" borderId="27" applyAlignment="1" pivotButton="0" quotePrefix="0" xfId="24">
      <alignment horizontal="left" vertical="center" wrapText="1"/>
    </xf>
    <xf numFmtId="0" fontId="285" fillId="2" borderId="24" applyAlignment="1" pivotButton="0" quotePrefix="0" xfId="24">
      <alignment horizontal="left" vertical="center" wrapText="1"/>
    </xf>
    <xf numFmtId="15" fontId="285" fillId="2" borderId="5" applyAlignment="1" pivotButton="0" quotePrefix="0" xfId="24">
      <alignment horizontal="left" vertical="center" wrapText="1"/>
    </xf>
    <xf numFmtId="0" fontId="285" fillId="2" borderId="1" applyAlignment="1" pivotButton="0" quotePrefix="0" xfId="24">
      <alignment horizontal="left" vertical="center" wrapText="1"/>
    </xf>
    <xf numFmtId="15" fontId="172" fillId="2" borderId="1" applyAlignment="1" pivotButton="0" quotePrefix="0" xfId="24">
      <alignment horizontal="left" vertical="center" wrapText="1"/>
    </xf>
    <xf numFmtId="0" fontId="246" fillId="2" borderId="1" applyAlignment="1" pivotButton="0" quotePrefix="0" xfId="24">
      <alignment horizontal="center" vertical="center" wrapText="1"/>
    </xf>
    <xf numFmtId="0" fontId="231" fillId="2" borderId="24" applyAlignment="1" pivotButton="0" quotePrefix="0" xfId="24">
      <alignment horizontal="left" vertical="center" wrapText="1"/>
    </xf>
    <xf numFmtId="0" fontId="163" fillId="2" borderId="1" applyAlignment="1" pivotButton="0" quotePrefix="0" xfId="24">
      <alignment horizontal="left" vertical="center" wrapText="1"/>
    </xf>
    <xf numFmtId="0" fontId="183" fillId="2" borderId="24" applyAlignment="1" pivotButton="0" quotePrefix="0" xfId="24">
      <alignment horizontal="left" vertical="center" wrapText="1"/>
    </xf>
    <xf numFmtId="0" fontId="258" fillId="2" borderId="24" applyAlignment="1" pivotButton="0" quotePrefix="0" xfId="24">
      <alignment horizontal="left" vertical="center" wrapText="1"/>
    </xf>
    <xf numFmtId="0" fontId="291" fillId="2" borderId="26" applyAlignment="1" pivotButton="0" quotePrefix="0" xfId="24">
      <alignment horizontal="center" vertical="center" wrapText="1"/>
    </xf>
    <xf numFmtId="0" fontId="258" fillId="2" borderId="1" applyAlignment="1" pivotButton="0" quotePrefix="0" xfId="24">
      <alignment horizontal="center" vertical="center" wrapText="1"/>
    </xf>
    <xf numFmtId="15" fontId="260" fillId="2" borderId="1" applyAlignment="1" pivotButton="0" quotePrefix="0" xfId="24">
      <alignment horizontal="left" vertical="center" wrapText="1"/>
    </xf>
    <xf numFmtId="0" fontId="194" fillId="2" borderId="1" applyAlignment="1" pivotButton="0" quotePrefix="0" xfId="24">
      <alignment horizontal="center" vertical="center"/>
    </xf>
    <xf numFmtId="0" fontId="210" fillId="2" borderId="15" applyAlignment="1" pivotButton="0" quotePrefix="0" xfId="24">
      <alignment horizontal="left" vertical="center" wrapText="1"/>
    </xf>
    <xf numFmtId="0" fontId="287" fillId="2" borderId="1" applyAlignment="1" pivotButton="0" quotePrefix="0" xfId="24">
      <alignment horizontal="center" vertical="center" wrapText="1"/>
    </xf>
    <xf numFmtId="0" fontId="60" fillId="2" borderId="24" applyAlignment="1" pivotButton="0" quotePrefix="0" xfId="24">
      <alignment horizontal="left" vertical="center" wrapText="1"/>
    </xf>
    <xf numFmtId="0" fontId="60" fillId="2" borderId="16" applyAlignment="1" pivotButton="0" quotePrefix="0" xfId="24">
      <alignment horizontal="center" vertical="center" wrapText="1"/>
    </xf>
    <xf numFmtId="0" fontId="99" fillId="2" borderId="26" applyAlignment="1" pivotButton="0" quotePrefix="0" xfId="24">
      <alignment horizontal="center" vertical="center" wrapText="1"/>
    </xf>
    <xf numFmtId="0" fontId="255" fillId="2" borderId="26" applyAlignment="1" pivotButton="0" quotePrefix="0" xfId="24">
      <alignment horizontal="center" vertical="center" wrapText="1"/>
    </xf>
    <xf numFmtId="0" fontId="275" fillId="2" borderId="24" applyAlignment="1" pivotButton="0" quotePrefix="0" xfId="24">
      <alignment horizontal="left" vertical="center" wrapText="1"/>
    </xf>
    <xf numFmtId="15" fontId="181" fillId="2" borderId="1" applyAlignment="1" pivotButton="0" quotePrefix="0" xfId="24">
      <alignment horizontal="left" vertical="center" wrapText="1"/>
    </xf>
    <xf numFmtId="15" fontId="274" fillId="2" borderId="1" applyAlignment="1" pivotButton="0" quotePrefix="0" xfId="24">
      <alignment horizontal="left" vertical="center" wrapText="1"/>
    </xf>
    <xf numFmtId="15" fontId="289" fillId="2" borderId="1" applyAlignment="1" pivotButton="0" quotePrefix="0" xfId="24">
      <alignment horizontal="left" vertical="center" wrapText="1"/>
    </xf>
    <xf numFmtId="0" fontId="164" fillId="2" borderId="1" applyAlignment="1" pivotButton="0" quotePrefix="0" xfId="24">
      <alignment horizontal="center" vertical="center" wrapText="1"/>
    </xf>
    <xf numFmtId="0" fontId="310" fillId="2" borderId="24" applyAlignment="1" pivotButton="0" quotePrefix="0" xfId="0">
      <alignment horizontal="left" vertical="center" wrapText="1"/>
    </xf>
    <xf numFmtId="15" fontId="271" fillId="2" borderId="1" applyAlignment="1" pivotButton="0" quotePrefix="0" xfId="24">
      <alignment horizontal="left" vertical="center" wrapText="1"/>
    </xf>
    <xf numFmtId="0" fontId="310" fillId="2" borderId="15" applyAlignment="1" pivotButton="0" quotePrefix="0" xfId="0">
      <alignment horizontal="center" vertical="center" wrapText="1" readingOrder="1"/>
    </xf>
    <xf numFmtId="0" fontId="310" fillId="2" borderId="1" applyAlignment="1" pivotButton="0" quotePrefix="0" xfId="0">
      <alignment horizontal="center" vertical="center" wrapText="1" readingOrder="1"/>
    </xf>
    <xf numFmtId="0" fontId="314" fillId="2" borderId="1" applyAlignment="1" pivotButton="0" quotePrefix="0" xfId="0">
      <alignment horizontal="center" vertical="center" wrapText="1" readingOrder="1"/>
    </xf>
    <xf numFmtId="0" fontId="310" fillId="2" borderId="1" applyAlignment="1" pivotButton="0" quotePrefix="0" xfId="0">
      <alignment horizontal="center" vertical="center"/>
    </xf>
    <xf numFmtId="49" fontId="310" fillId="2" borderId="1" applyAlignment="1" pivotButton="0" quotePrefix="0" xfId="0">
      <alignment horizontal="center" vertical="center" wrapText="1" readingOrder="1"/>
    </xf>
    <xf numFmtId="49" fontId="314" fillId="2" borderId="1" applyAlignment="1" pivotButton="0" quotePrefix="0" xfId="0">
      <alignment horizontal="center" vertical="center" wrapText="1" readingOrder="1"/>
    </xf>
    <xf numFmtId="0" fontId="310" fillId="2" borderId="1" applyAlignment="1" pivotButton="0" quotePrefix="1" xfId="0">
      <alignment horizontal="center" vertical="center" wrapText="1" readingOrder="1"/>
    </xf>
    <xf numFmtId="49" fontId="310" fillId="2" borderId="1" applyAlignment="1" pivotButton="0" quotePrefix="1" xfId="0">
      <alignment horizontal="center" vertical="center" wrapText="1" readingOrder="1"/>
    </xf>
    <xf numFmtId="0" fontId="310" fillId="2" borderId="25" applyAlignment="1" pivotButton="0" quotePrefix="0" xfId="0">
      <alignment horizontal="center" vertical="center" wrapText="1"/>
    </xf>
    <xf numFmtId="0" fontId="314" fillId="2" borderId="25" applyAlignment="1" pivotButton="0" quotePrefix="0" xfId="0">
      <alignment horizontal="left" vertical="center" wrapText="1"/>
    </xf>
    <xf numFmtId="0" fontId="310" fillId="2" borderId="26" applyAlignment="1" pivotButton="0" quotePrefix="0" xfId="0">
      <alignment horizontal="left" vertical="center" wrapText="1"/>
    </xf>
    <xf numFmtId="0" fontId="310" fillId="2" borderId="26" applyAlignment="1" pivotButton="0" quotePrefix="0" xfId="0">
      <alignment horizontal="justify" vertical="center" wrapText="1"/>
    </xf>
    <xf numFmtId="49" fontId="316" fillId="2" borderId="1" applyAlignment="1" pivotButton="0" quotePrefix="1" xfId="24">
      <alignment horizontal="center" vertical="center" wrapText="1"/>
    </xf>
    <xf numFmtId="15" fontId="229" fillId="2" borderId="1" applyAlignment="1" pivotButton="0" quotePrefix="0" xfId="24">
      <alignment horizontal="left" vertical="center" wrapText="1"/>
    </xf>
    <xf numFmtId="0" fontId="188" fillId="2" borderId="6" applyAlignment="1" pivotButton="0" quotePrefix="0" xfId="24">
      <alignment horizontal="left" vertical="center" wrapText="1"/>
    </xf>
    <xf numFmtId="0" fontId="80" fillId="2" borderId="6" applyAlignment="1" pivotButton="0" quotePrefix="0" xfId="24">
      <alignment horizontal="left" vertical="center" wrapText="1"/>
    </xf>
    <xf numFmtId="0" fontId="109" fillId="2" borderId="6" applyAlignment="1" pivotButton="0" quotePrefix="0" xfId="24">
      <alignment horizontal="left" vertical="center" wrapText="1"/>
    </xf>
    <xf numFmtId="0" fontId="321" fillId="2" borderId="1" applyAlignment="1" pivotButton="0" quotePrefix="0" xfId="24">
      <alignment horizontal="center" vertical="center"/>
    </xf>
    <xf numFmtId="0" fontId="110" fillId="2" borderId="6" applyAlignment="1" pivotButton="0" quotePrefix="0" xfId="24">
      <alignment horizontal="left" vertical="center" wrapText="1"/>
    </xf>
    <xf numFmtId="15" fontId="84" fillId="2" borderId="1" applyAlignment="1" pivotButton="0" quotePrefix="0" xfId="24">
      <alignment horizontal="left" vertical="center" wrapText="1"/>
    </xf>
    <xf numFmtId="0" fontId="109" fillId="2" borderId="6" applyAlignment="1" pivotButton="0" quotePrefix="1" xfId="24">
      <alignment horizontal="left" vertical="center" wrapText="1"/>
    </xf>
    <xf numFmtId="0" fontId="84" fillId="2" borderId="16" applyAlignment="1" pivotButton="0" quotePrefix="0" xfId="24">
      <alignment horizontal="center" vertical="center" wrapText="1"/>
    </xf>
    <xf numFmtId="15" fontId="59" fillId="2" borderId="1" applyAlignment="1" pivotButton="0" quotePrefix="0" xfId="24">
      <alignment horizontal="left" vertical="center" wrapText="1"/>
    </xf>
    <xf numFmtId="0" fontId="59" fillId="2" borderId="16" applyAlignment="1" pivotButton="0" quotePrefix="0" xfId="24">
      <alignment horizontal="center" vertical="center" wrapText="1"/>
    </xf>
    <xf numFmtId="0" fontId="89" fillId="2" borderId="16" applyAlignment="1" pivotButton="0" quotePrefix="0" xfId="24">
      <alignment horizontal="center" vertical="center" wrapText="1"/>
    </xf>
    <xf numFmtId="0" fontId="221" fillId="2" borderId="1" applyAlignment="1" pivotButton="0" quotePrefix="0" xfId="24">
      <alignment horizontal="center" vertical="center" wrapText="1"/>
    </xf>
    <xf numFmtId="0" fontId="292" fillId="2" borderId="6" applyAlignment="1" pivotButton="0" quotePrefix="0" xfId="7">
      <alignment vertical="top" wrapText="1"/>
    </xf>
    <xf numFmtId="0" fontId="314" fillId="2" borderId="1" applyAlignment="1" pivotButton="0" quotePrefix="0" xfId="7">
      <alignment vertical="top" wrapText="1"/>
    </xf>
    <xf numFmtId="15" fontId="81" fillId="2" borderId="1" applyAlignment="1" pivotButton="0" quotePrefix="0" xfId="24">
      <alignment horizontal="left" vertical="center" wrapText="1"/>
    </xf>
    <xf numFmtId="15" fontId="222" fillId="2" borderId="1" applyAlignment="1" pivotButton="0" quotePrefix="0" xfId="24">
      <alignment horizontal="left" vertical="center" wrapText="1"/>
    </xf>
    <xf numFmtId="0" fontId="222" fillId="2" borderId="1" applyAlignment="1" pivotButton="0" quotePrefix="0" xfId="24">
      <alignment horizontal="left" vertical="center" wrapText="1"/>
    </xf>
    <xf numFmtId="0" fontId="218" fillId="2" borderId="6" applyAlignment="1" pivotButton="0" quotePrefix="0" xfId="24">
      <alignment horizontal="left" vertical="center" wrapText="1"/>
    </xf>
    <xf numFmtId="0" fontId="190" fillId="2" borderId="1" applyAlignment="1" pivotButton="0" quotePrefix="0" xfId="24">
      <alignment horizontal="left" vertical="center" wrapText="1"/>
    </xf>
    <xf numFmtId="0" fontId="202" fillId="2" borderId="16" applyAlignment="1" pivotButton="0" quotePrefix="0" xfId="24">
      <alignment horizontal="center" vertical="center" wrapText="1"/>
    </xf>
    <xf numFmtId="0" fontId="282" fillId="2" borderId="6" applyAlignment="1" pivotButton="0" quotePrefix="0" xfId="24">
      <alignment horizontal="left" vertical="center" wrapText="1"/>
    </xf>
    <xf numFmtId="0" fontId="185" fillId="2" borderId="6" applyAlignment="1" pivotButton="0" quotePrefix="0" xfId="24">
      <alignment horizontal="left" vertical="center" wrapText="1"/>
    </xf>
    <xf numFmtId="0" fontId="185" fillId="2" borderId="16" applyAlignment="1" pivotButton="0" quotePrefix="0" xfId="24">
      <alignment horizontal="center" vertical="center" wrapText="1"/>
    </xf>
    <xf numFmtId="0" fontId="158" fillId="2" borderId="15" applyAlignment="1" pivotButton="0" quotePrefix="0" xfId="24">
      <alignment horizontal="left" vertical="center" wrapText="1"/>
    </xf>
    <xf numFmtId="0" fontId="187" fillId="2" borderId="6" applyAlignment="1" pivotButton="0" quotePrefix="0" xfId="24">
      <alignment horizontal="left" vertical="center" wrapText="1"/>
    </xf>
    <xf numFmtId="15" fontId="227" fillId="2" borderId="1" applyAlignment="1" pivotButton="0" quotePrefix="0" xfId="24">
      <alignment horizontal="left" vertical="center" wrapText="1"/>
    </xf>
    <xf numFmtId="15" fontId="79" fillId="2" borderId="1" applyAlignment="1" pivotButton="0" quotePrefix="0" xfId="24">
      <alignment horizontal="left" vertical="center" wrapText="1"/>
    </xf>
    <xf numFmtId="0" fontId="79" fillId="2" borderId="6" applyAlignment="1" pivotButton="0" quotePrefix="0" xfId="24">
      <alignment horizontal="left" vertical="center" wrapText="1"/>
    </xf>
    <xf numFmtId="0" fontId="79" fillId="2" borderId="16" applyAlignment="1" pivotButton="0" quotePrefix="0" xfId="24">
      <alignment horizontal="center" vertical="center" wrapText="1"/>
    </xf>
    <xf numFmtId="0" fontId="230" fillId="2" borderId="6" applyAlignment="1" pivotButton="0" quotePrefix="0" xfId="24">
      <alignment horizontal="left" vertical="center" wrapText="1"/>
    </xf>
    <xf numFmtId="0" fontId="247" fillId="2" borderId="1" applyAlignment="1" pivotButton="0" quotePrefix="0" xfId="24">
      <alignment horizontal="left" vertical="center" wrapText="1"/>
    </xf>
    <xf numFmtId="0" fontId="230" fillId="2" borderId="15" applyAlignment="1" pivotButton="0" quotePrefix="1" xfId="24">
      <alignment horizontal="left" vertical="center" wrapText="1"/>
    </xf>
    <xf numFmtId="0" fontId="97" fillId="2" borderId="16" applyAlignment="1" pivotButton="0" quotePrefix="0" xfId="24">
      <alignment horizontal="center" vertical="center" wrapText="1"/>
    </xf>
    <xf numFmtId="15" fontId="58" fillId="2" borderId="1" applyAlignment="1" pivotButton="0" quotePrefix="0" xfId="24">
      <alignment horizontal="left" vertical="center" wrapText="1"/>
    </xf>
    <xf numFmtId="0" fontId="58" fillId="2" borderId="16" applyAlignment="1" pivotButton="0" quotePrefix="0" xfId="24">
      <alignment horizontal="center" vertical="center" wrapText="1"/>
    </xf>
    <xf numFmtId="0" fontId="58" fillId="2" borderId="6" applyAlignment="1" pivotButton="0" quotePrefix="0" xfId="24">
      <alignment horizontal="left" vertical="center" wrapText="1"/>
    </xf>
    <xf numFmtId="0" fontId="266" fillId="2" borderId="15" applyAlignment="1" pivotButton="0" quotePrefix="0" xfId="24">
      <alignment horizontal="left" vertical="center" wrapText="1"/>
    </xf>
    <xf numFmtId="0" fontId="234" fillId="2" borderId="15" applyAlignment="1" pivotButton="0" quotePrefix="0" xfId="24">
      <alignment horizontal="left" vertical="center" wrapText="1"/>
    </xf>
    <xf numFmtId="0" fontId="94" fillId="2" borderId="6" applyAlignment="1" pivotButton="0" quotePrefix="0" xfId="24">
      <alignment horizontal="left" vertical="center" wrapText="1"/>
    </xf>
    <xf numFmtId="0" fontId="94" fillId="2" borderId="1" applyAlignment="1" pivotButton="0" quotePrefix="0" xfId="24">
      <alignment horizontal="center" vertical="center" wrapText="1"/>
    </xf>
    <xf numFmtId="0" fontId="81" fillId="2" borderId="1" applyAlignment="1" pivotButton="0" quotePrefix="0" xfId="24">
      <alignment horizontal="left" vertical="center" wrapText="1"/>
    </xf>
    <xf numFmtId="0" fontId="333" fillId="2" borderId="1" applyAlignment="1" pivotButton="0" quotePrefix="0" xfId="24">
      <alignment horizontal="left" vertical="center" wrapText="1"/>
    </xf>
    <xf numFmtId="0" fontId="258" fillId="2" borderId="15" applyAlignment="1" pivotButton="0" quotePrefix="0" xfId="24">
      <alignment horizontal="left" vertical="center" wrapText="1"/>
    </xf>
    <xf numFmtId="0" fontId="217" fillId="2" borderId="15" applyAlignment="1" pivotButton="0" quotePrefix="0" xfId="24">
      <alignment horizontal="left" vertical="center" wrapText="1"/>
    </xf>
    <xf numFmtId="0" fontId="233" fillId="2" borderId="16" applyAlignment="1" pivotButton="0" quotePrefix="0" xfId="24">
      <alignment horizontal="center" vertical="center" wrapText="1"/>
    </xf>
    <xf numFmtId="0" fontId="162" fillId="2" borderId="16" applyAlignment="1" pivotButton="0" quotePrefix="0" xfId="24">
      <alignment horizontal="center" vertical="center" wrapText="1"/>
    </xf>
    <xf numFmtId="0" fontId="287" fillId="2" borderId="15" applyAlignment="1" pivotButton="0" quotePrefix="0" xfId="24">
      <alignment horizontal="left" vertical="center" wrapText="1"/>
    </xf>
    <xf numFmtId="0" fontId="257" fillId="2" borderId="26" applyAlignment="1" pivotButton="0" quotePrefix="0" xfId="24">
      <alignment horizontal="center" vertical="center" wrapText="1"/>
    </xf>
    <xf numFmtId="15" fontId="280" fillId="2" borderId="1" applyAlignment="1" pivotButton="0" quotePrefix="0" xfId="24">
      <alignment horizontal="left" vertical="center" wrapText="1"/>
    </xf>
    <xf numFmtId="0" fontId="254" fillId="2" borderId="26" applyAlignment="1" pivotButton="0" quotePrefix="0" xfId="24">
      <alignment horizontal="center" vertical="center" wrapText="1"/>
    </xf>
    <xf numFmtId="0" fontId="341" fillId="2" borderId="27" applyAlignment="1" pivotButton="0" quotePrefix="0" xfId="24">
      <alignment horizontal="left" vertical="center" wrapText="1"/>
    </xf>
    <xf numFmtId="0" fontId="341" fillId="2" borderId="25" applyAlignment="1" pivotButton="0" quotePrefix="0" xfId="24">
      <alignment horizontal="center" vertical="center" wrapText="1"/>
    </xf>
    <xf numFmtId="0" fontId="341" fillId="2" borderId="26" applyAlignment="1" pivotButton="0" quotePrefix="0" xfId="24">
      <alignment horizontal="center" vertical="center" wrapText="1"/>
    </xf>
    <xf numFmtId="0" fontId="141" fillId="2" borderId="15" applyAlignment="1" pivotButton="0" quotePrefix="0" xfId="24">
      <alignment horizontal="left" vertical="center" wrapText="1"/>
    </xf>
    <xf numFmtId="0" fontId="270" fillId="2" borderId="15" applyAlignment="1" pivotButton="0" quotePrefix="0" xfId="24">
      <alignment horizontal="left" vertical="center" wrapText="1"/>
    </xf>
    <xf numFmtId="0" fontId="220" fillId="2" borderId="1" applyAlignment="1" pivotButton="0" quotePrefix="0" xfId="24">
      <alignment horizontal="left" vertical="center" wrapText="1"/>
    </xf>
    <xf numFmtId="0" fontId="97" fillId="2" borderId="26" applyAlignment="1" pivotButton="0" quotePrefix="0" xfId="24">
      <alignment horizontal="center" vertical="center" wrapText="1"/>
    </xf>
    <xf numFmtId="0" fontId="287" fillId="2" borderId="16" applyAlignment="1" pivotButton="0" quotePrefix="0" xfId="24">
      <alignment horizontal="center" vertical="center" wrapText="1"/>
    </xf>
    <xf numFmtId="0" fontId="283" fillId="2" borderId="1" applyAlignment="1" pivotButton="0" quotePrefix="0" xfId="24">
      <alignment horizontal="center" vertical="center" wrapText="1"/>
    </xf>
    <xf numFmtId="0" fontId="167" fillId="2" borderId="1" applyAlignment="1" pivotButton="0" quotePrefix="0" xfId="24">
      <alignment horizontal="left" vertical="center" wrapText="1"/>
    </xf>
    <xf numFmtId="0" fontId="242" fillId="2" borderId="1" applyAlignment="1" pivotButton="0" quotePrefix="0" xfId="24">
      <alignment horizontal="left" vertical="center" wrapText="1"/>
    </xf>
    <xf numFmtId="15" fontId="242" fillId="2" borderId="1" applyAlignment="1" pivotButton="0" quotePrefix="0" xfId="24">
      <alignment horizontal="left" vertical="center" wrapText="1"/>
    </xf>
    <xf numFmtId="0" fontId="199" fillId="2" borderId="16" applyAlignment="1" pivotButton="0" quotePrefix="0" xfId="24">
      <alignment horizontal="center" vertical="center" wrapText="1"/>
    </xf>
    <xf numFmtId="0" fontId="161" fillId="2" borderId="1" applyAlignment="1" pivotButton="0" quotePrefix="0" xfId="24">
      <alignment horizontal="left" vertical="center" wrapText="1"/>
    </xf>
    <xf numFmtId="0" fontId="200" fillId="2" borderId="15" applyAlignment="1" pivotButton="0" quotePrefix="0" xfId="24">
      <alignment horizontal="left" vertical="center" wrapText="1"/>
    </xf>
    <xf numFmtId="0" fontId="111" fillId="2" borderId="15" applyAlignment="1" pivotButton="0" quotePrefix="0" xfId="24">
      <alignment horizontal="left" vertical="center" wrapText="1"/>
    </xf>
    <xf numFmtId="0" fontId="178" fillId="2" borderId="6" applyAlignment="1" pivotButton="0" quotePrefix="0" xfId="24">
      <alignment horizontal="left" vertical="center" wrapText="1"/>
    </xf>
    <xf numFmtId="15" fontId="120" fillId="2" borderId="1" applyAlignment="1" pivotButton="0" quotePrefix="0" xfId="24">
      <alignment horizontal="left" vertical="center" wrapText="1"/>
    </xf>
    <xf numFmtId="0" fontId="310" fillId="2" borderId="15" applyAlignment="1" pivotButton="0" quotePrefix="0" xfId="13">
      <alignment horizontal="left" vertical="center" wrapText="1"/>
    </xf>
    <xf numFmtId="0" fontId="178" fillId="2" borderId="16" applyAlignment="1" pivotButton="0" quotePrefix="0" xfId="24">
      <alignment horizontal="center" vertical="center" wrapText="1"/>
    </xf>
    <xf numFmtId="0" fontId="178" fillId="2" borderId="15" applyAlignment="1" pivotButton="0" quotePrefix="0" xfId="24">
      <alignment horizontal="left" vertical="center" wrapText="1"/>
    </xf>
    <xf numFmtId="0" fontId="112" fillId="2" borderId="15" applyAlignment="1" pivotButton="0" quotePrefix="0" xfId="24">
      <alignment horizontal="left" vertical="center" wrapText="1"/>
    </xf>
    <xf numFmtId="0" fontId="106" fillId="2" borderId="15" applyAlignment="1" pivotButton="0" quotePrefix="0" xfId="24">
      <alignment horizontal="left" vertical="center" wrapText="1"/>
    </xf>
    <xf numFmtId="0" fontId="102" fillId="2" borderId="6" applyAlignment="1" pivotButton="0" quotePrefix="0" xfId="24">
      <alignment horizontal="left" vertical="center" wrapText="1"/>
    </xf>
    <xf numFmtId="49" fontId="292" fillId="2" borderId="1" applyAlignment="1" pivotButton="0" quotePrefix="0" xfId="24">
      <alignment horizontal="center" vertical="center" wrapText="1"/>
    </xf>
    <xf numFmtId="0" fontId="324" fillId="2" borderId="6" applyAlignment="1" pivotButton="0" quotePrefix="0" xfId="24">
      <alignment horizontal="left" vertical="center" wrapText="1"/>
    </xf>
    <xf numFmtId="15" fontId="147" fillId="2" borderId="1" applyAlignment="1" pivotButton="0" quotePrefix="0" xfId="24">
      <alignment horizontal="left" vertical="center" wrapText="1"/>
    </xf>
    <xf numFmtId="0" fontId="147" fillId="2" borderId="6" applyAlignment="1" pivotButton="0" quotePrefix="0" xfId="24">
      <alignment horizontal="left" vertical="center" wrapText="1"/>
    </xf>
    <xf numFmtId="15" fontId="200" fillId="2" borderId="1" applyAlignment="1" pivotButton="0" quotePrefix="0" xfId="24">
      <alignment horizontal="left" vertical="center" wrapText="1"/>
    </xf>
    <xf numFmtId="0" fontId="264" fillId="2" borderId="1" applyAlignment="1" pivotButton="0" quotePrefix="0" xfId="24">
      <alignment horizontal="left" vertical="center" wrapText="1"/>
    </xf>
    <xf numFmtId="0" fontId="200" fillId="2" borderId="1" applyAlignment="1" pivotButton="0" quotePrefix="0" xfId="24">
      <alignment horizontal="left" vertical="center" wrapText="1"/>
    </xf>
    <xf numFmtId="0" fontId="51" fillId="2" borderId="1" applyAlignment="1" pivotButton="0" quotePrefix="0" xfId="24">
      <alignment horizontal="center" vertical="center" wrapText="1"/>
    </xf>
    <xf numFmtId="15" fontId="237" fillId="2" borderId="1" applyAlignment="1" pivotButton="0" quotePrefix="0" xfId="24">
      <alignment horizontal="left" vertical="center" wrapText="1"/>
    </xf>
    <xf numFmtId="0" fontId="237" fillId="2" borderId="16" applyAlignment="1" pivotButton="0" quotePrefix="0" xfId="24">
      <alignment horizontal="center" vertical="center" wrapText="1"/>
    </xf>
    <xf numFmtId="0" fontId="332" fillId="2" borderId="16" applyAlignment="1" pivotButton="0" quotePrefix="0" xfId="0">
      <alignment horizontal="center" vertical="center"/>
    </xf>
    <xf numFmtId="0" fontId="182" fillId="2" borderId="1" applyAlignment="1" pivotButton="0" quotePrefix="0" xfId="24">
      <alignment horizontal="left" vertical="center" wrapText="1"/>
    </xf>
    <xf numFmtId="0" fontId="179" fillId="2" borderId="1" applyAlignment="1" pivotButton="0" quotePrefix="0" xfId="24">
      <alignment horizontal="left" vertical="center" wrapText="1"/>
    </xf>
    <xf numFmtId="15" fontId="249" fillId="2" borderId="1" applyAlignment="1" pivotButton="0" quotePrefix="0" xfId="24">
      <alignment horizontal="left" vertical="center" wrapText="1"/>
    </xf>
    <xf numFmtId="15" fontId="259" fillId="2" borderId="1" applyAlignment="1" pivotButton="0" quotePrefix="0" xfId="24">
      <alignment horizontal="left" vertical="center" wrapText="1"/>
    </xf>
    <xf numFmtId="0" fontId="55" fillId="2" borderId="15" applyAlignment="1" pivotButton="0" quotePrefix="0" xfId="24">
      <alignment horizontal="left" vertical="center" wrapText="1"/>
    </xf>
    <xf numFmtId="0" fontId="246" fillId="2" borderId="1" applyAlignment="1" pivotButton="0" quotePrefix="0" xfId="24">
      <alignment horizontal="left" vertical="center" wrapText="1"/>
    </xf>
    <xf numFmtId="15" fontId="161" fillId="2" borderId="1" applyAlignment="1" pivotButton="0" quotePrefix="0" xfId="24">
      <alignment horizontal="left" vertical="center" wrapText="1"/>
    </xf>
    <xf numFmtId="15" fontId="265" fillId="2" borderId="1" applyAlignment="1" pivotButton="0" quotePrefix="0" xfId="24">
      <alignment horizontal="left" vertical="center" wrapText="1"/>
    </xf>
    <xf numFmtId="0" fontId="196" fillId="2" borderId="16" applyAlignment="1" pivotButton="0" quotePrefix="0" xfId="24">
      <alignment horizontal="center" vertical="center" wrapText="1"/>
    </xf>
    <xf numFmtId="0" fontId="206" fillId="2" borderId="15" applyAlignment="1" pivotButton="0" quotePrefix="0" xfId="24">
      <alignment horizontal="left" vertical="center" wrapText="1"/>
    </xf>
    <xf numFmtId="0" fontId="292" fillId="2" borderId="15" applyAlignment="1" pivotButton="0" quotePrefix="0" xfId="24">
      <alignment horizontal="left" vertical="center"/>
    </xf>
    <xf numFmtId="0" fontId="200" fillId="2" borderId="1" applyAlignment="1" pivotButton="0" quotePrefix="0" xfId="24">
      <alignment horizontal="center" vertical="center" wrapText="1"/>
    </xf>
    <xf numFmtId="0" fontId="200" fillId="2" borderId="24" applyAlignment="1" pivotButton="0" quotePrefix="0" xfId="24">
      <alignment horizontal="left" vertical="center" wrapText="1"/>
    </xf>
    <xf numFmtId="0" fontId="283" fillId="2" borderId="25" applyAlignment="1" pivotButton="0" quotePrefix="0" xfId="24">
      <alignment horizontal="center" vertical="center" wrapText="1"/>
    </xf>
    <xf numFmtId="15" fontId="250" fillId="2" borderId="1" applyAlignment="1" pivotButton="0" quotePrefix="0" xfId="24">
      <alignment horizontal="left" vertical="center" wrapText="1"/>
    </xf>
    <xf numFmtId="0" fontId="205" fillId="2" borderId="1" applyAlignment="1" pivotButton="0" quotePrefix="0" xfId="24">
      <alignment horizontal="center" vertical="center" wrapText="1"/>
    </xf>
    <xf numFmtId="0" fontId="52" fillId="2" borderId="1" applyAlignment="1" pivotButton="0" quotePrefix="0" xfId="24">
      <alignment horizontal="left" vertical="center" wrapText="1"/>
    </xf>
    <xf numFmtId="15" fontId="139" fillId="2" borderId="1" applyAlignment="1" pivotButton="0" quotePrefix="0" xfId="24">
      <alignment horizontal="left" vertical="center" wrapText="1"/>
    </xf>
    <xf numFmtId="0" fontId="244" fillId="2" borderId="1" applyAlignment="1" pivotButton="0" quotePrefix="0" xfId="24">
      <alignment horizontal="left" vertical="center" wrapText="1"/>
    </xf>
    <xf numFmtId="0" fontId="165" fillId="2" borderId="16" applyAlignment="1" pivotButton="0" quotePrefix="0" xfId="24">
      <alignment horizontal="center" vertical="center" wrapText="1"/>
    </xf>
    <xf numFmtId="0" fontId="103" fillId="2" borderId="6" applyAlignment="1" pivotButton="0" quotePrefix="0" xfId="24">
      <alignment horizontal="left" vertical="center" wrapText="1"/>
    </xf>
    <xf numFmtId="0" fontId="175" fillId="2" borderId="1" applyAlignment="1" pivotButton="0" quotePrefix="0" xfId="24">
      <alignment horizontal="center" vertical="center" wrapText="1"/>
    </xf>
    <xf numFmtId="0" fontId="139" fillId="2" borderId="15" applyAlignment="1" pivotButton="0" quotePrefix="0" xfId="24">
      <alignment horizontal="left" vertical="center" wrapText="1"/>
    </xf>
    <xf numFmtId="0" fontId="103" fillId="2" borderId="6" applyAlignment="1" pivotButton="0" quotePrefix="1" xfId="24">
      <alignment horizontal="left" vertical="center" wrapText="1"/>
    </xf>
    <xf numFmtId="0" fontId="103" fillId="2" borderId="1" applyAlignment="1" pivotButton="0" quotePrefix="0" xfId="24">
      <alignment horizontal="center" vertical="center" wrapText="1"/>
    </xf>
    <xf numFmtId="0" fontId="78" fillId="2" borderId="15" applyAlignment="1" pivotButton="0" quotePrefix="0" xfId="24">
      <alignment horizontal="left" vertical="center" wrapText="1"/>
    </xf>
    <xf numFmtId="0" fontId="128" fillId="2" borderId="1" applyAlignment="1" pivotButton="0" quotePrefix="0" xfId="24">
      <alignment horizontal="left" vertical="center" wrapText="1"/>
    </xf>
    <xf numFmtId="15" fontId="128" fillId="2" borderId="1" applyAlignment="1" pivotButton="0" quotePrefix="0" xfId="24">
      <alignment horizontal="left" vertical="center" wrapText="1"/>
    </xf>
    <xf numFmtId="0" fontId="128" fillId="2" borderId="15" applyAlignment="1" pivotButton="0" quotePrefix="0" xfId="24">
      <alignment horizontal="left" vertical="center" wrapText="1"/>
    </xf>
    <xf numFmtId="0" fontId="180" fillId="2" borderId="1" applyAlignment="1" pivotButton="0" quotePrefix="0" xfId="24">
      <alignment horizontal="left" vertical="center" wrapText="1"/>
    </xf>
    <xf numFmtId="15" fontId="160" fillId="2" borderId="1" applyAlignment="1" pivotButton="0" quotePrefix="0" xfId="24">
      <alignment horizontal="left" vertical="center" wrapText="1"/>
    </xf>
    <xf numFmtId="0" fontId="314" fillId="2" borderId="11" applyAlignment="1" pivotButton="0" quotePrefix="0" xfId="24">
      <alignment horizontal="left" vertical="center"/>
    </xf>
    <xf numFmtId="0" fontId="292" fillId="2" borderId="11" applyAlignment="1" pivotButton="0" quotePrefix="0" xfId="24">
      <alignment horizontal="center" vertical="center"/>
    </xf>
    <xf numFmtId="0" fontId="292" fillId="2" borderId="14" applyAlignment="1" pivotButton="0" quotePrefix="0" xfId="24">
      <alignment horizontal="center" vertical="center"/>
    </xf>
    <xf numFmtId="0" fontId="292" fillId="2" borderId="20" applyAlignment="1" pivotButton="0" quotePrefix="0" xfId="24">
      <alignment horizontal="left" vertical="center"/>
    </xf>
    <xf numFmtId="0" fontId="292" fillId="2" borderId="13" applyAlignment="1" pivotButton="0" quotePrefix="0" xfId="24">
      <alignment horizontal="left" vertical="center"/>
    </xf>
    <xf numFmtId="0" fontId="314" fillId="2" borderId="1" applyAlignment="1" pivotButton="0" quotePrefix="0" xfId="24">
      <alignment horizontal="left" vertical="center"/>
    </xf>
    <xf numFmtId="0" fontId="316" fillId="2" borderId="15" applyAlignment="1" pivotButton="0" quotePrefix="0" xfId="24">
      <alignment horizontal="left" vertical="center"/>
    </xf>
    <xf numFmtId="0" fontId="316" fillId="2" borderId="1" applyAlignment="1" pivotButton="0" quotePrefix="0" xfId="24">
      <alignment horizontal="left" vertical="center"/>
    </xf>
    <xf numFmtId="0" fontId="316" fillId="2" borderId="16" applyAlignment="1" pivotButton="0" quotePrefix="0" xfId="24">
      <alignment horizontal="center" vertical="center"/>
    </xf>
    <xf numFmtId="0" fontId="316" fillId="2" borderId="6" applyAlignment="1" pivotButton="0" quotePrefix="0" xfId="24">
      <alignment horizontal="left" vertical="center"/>
    </xf>
    <xf numFmtId="0" fontId="310" fillId="2" borderId="1" applyAlignment="1" pivotButton="0" quotePrefix="0" xfId="13">
      <alignment horizontal="center" vertical="center"/>
    </xf>
    <xf numFmtId="0" fontId="231" fillId="2" borderId="1" applyAlignment="1" pivotButton="0" quotePrefix="0" xfId="24">
      <alignment horizontal="left" vertical="center" wrapText="1"/>
    </xf>
    <xf numFmtId="0" fontId="310" fillId="2" borderId="34" applyAlignment="1" pivotButton="0" quotePrefix="0" xfId="13">
      <alignment horizontal="center" vertical="center"/>
    </xf>
    <xf numFmtId="0" fontId="310" fillId="2" borderId="5" applyAlignment="1" pivotButton="0" quotePrefix="0" xfId="13">
      <alignment horizontal="center" vertical="center"/>
    </xf>
    <xf numFmtId="0" fontId="314" fillId="2" borderId="5" applyAlignment="1" pivotButton="0" quotePrefix="0" xfId="13">
      <alignment horizontal="center" vertical="center"/>
    </xf>
    <xf numFmtId="0" fontId="310" fillId="2" borderId="5" applyAlignment="1" pivotButton="0" quotePrefix="0" xfId="13">
      <alignment horizontal="center" vertical="center" wrapText="1"/>
    </xf>
    <xf numFmtId="0" fontId="310" fillId="2" borderId="5" applyAlignment="1" pivotButton="0" quotePrefix="0" xfId="13">
      <alignment horizontal="left" vertical="center" wrapText="1"/>
    </xf>
    <xf numFmtId="0" fontId="314" fillId="2" borderId="5" applyAlignment="1" pivotButton="0" quotePrefix="0" xfId="13">
      <alignment horizontal="left" vertical="center" wrapText="1"/>
    </xf>
    <xf numFmtId="0" fontId="314" fillId="2" borderId="5" applyAlignment="1" pivotButton="0" quotePrefix="0" xfId="13">
      <alignment horizontal="center" vertical="center" wrapText="1"/>
    </xf>
    <xf numFmtId="49" fontId="310" fillId="2" borderId="5" applyAlignment="1" pivotButton="0" quotePrefix="0" xfId="13">
      <alignment horizontal="center" vertical="center" wrapText="1"/>
    </xf>
    <xf numFmtId="49" fontId="314" fillId="2" borderId="5" applyAlignment="1" pivotButton="0" quotePrefix="0" xfId="13">
      <alignment horizontal="center" vertical="center" wrapText="1"/>
    </xf>
    <xf numFmtId="0" fontId="310" fillId="2" borderId="36" applyAlignment="1" pivotButton="0" quotePrefix="0" xfId="13">
      <alignment horizontal="center" vertical="center" wrapText="1"/>
    </xf>
    <xf numFmtId="0" fontId="292" fillId="2" borderId="20" applyAlignment="1" pivotButton="0" quotePrefix="0" xfId="24">
      <alignment horizontal="center" vertical="center"/>
    </xf>
    <xf numFmtId="0" fontId="314" fillId="2" borderId="11" applyAlignment="1" pivotButton="0" quotePrefix="0" xfId="24">
      <alignment horizontal="center" vertical="center"/>
    </xf>
    <xf numFmtId="0" fontId="314" fillId="2" borderId="1" applyAlignment="1" pivotButton="0" quotePrefix="0" xfId="13">
      <alignment horizontal="center" vertical="center"/>
    </xf>
    <xf numFmtId="0" fontId="314" fillId="2" borderId="1" applyAlignment="1" pivotButton="0" quotePrefix="0" xfId="13">
      <alignment horizontal="center" vertical="center" wrapText="1"/>
    </xf>
    <xf numFmtId="0" fontId="310" fillId="2" borderId="15" applyAlignment="1" pivotButton="0" quotePrefix="0" xfId="13">
      <alignment horizontal="center" vertical="center"/>
    </xf>
    <xf numFmtId="0" fontId="292" fillId="2" borderId="6" applyAlignment="1" pivotButton="0" quotePrefix="0" xfId="24">
      <alignment horizontal="center" vertical="center"/>
    </xf>
    <xf numFmtId="0" fontId="314" fillId="2" borderId="1" applyAlignment="1" pivotButton="0" quotePrefix="0" xfId="24">
      <alignment horizontal="center" vertical="center"/>
    </xf>
    <xf numFmtId="0" fontId="48" fillId="2" borderId="16" applyAlignment="1" pivotButton="0" quotePrefix="0" xfId="24">
      <alignment horizontal="center" vertical="center" wrapText="1"/>
    </xf>
    <xf numFmtId="0" fontId="47" fillId="13" borderId="6" applyAlignment="1" pivotButton="0" quotePrefix="0" xfId="24">
      <alignment horizontal="left" vertical="center" wrapText="1"/>
    </xf>
    <xf numFmtId="0" fontId="314" fillId="13" borderId="6" applyAlignment="1" pivotButton="0" quotePrefix="0" xfId="24">
      <alignment horizontal="left" vertical="center" wrapText="1"/>
    </xf>
    <xf numFmtId="0" fontId="310" fillId="13" borderId="1" applyAlignment="1" pivotButton="0" quotePrefix="0" xfId="24">
      <alignment horizontal="center" vertical="center" wrapText="1"/>
    </xf>
    <xf numFmtId="0" fontId="47" fillId="13" borderId="16" applyAlignment="1" pivotButton="0" quotePrefix="0" xfId="24">
      <alignment horizontal="center" vertical="center" wrapText="1"/>
    </xf>
    <xf numFmtId="14" fontId="310" fillId="0" borderId="12" applyAlignment="1" pivotButton="0" quotePrefix="0" xfId="0">
      <alignment horizontal="center" vertical="center" wrapText="1"/>
    </xf>
    <xf numFmtId="14" fontId="310" fillId="0" borderId="17" applyAlignment="1" pivotButton="0" quotePrefix="0" xfId="0">
      <alignment horizontal="center" vertical="center" wrapText="1"/>
    </xf>
    <xf numFmtId="0" fontId="310" fillId="13" borderId="18" applyAlignment="1" pivotButton="0" quotePrefix="0" xfId="0">
      <alignment horizontal="center" vertical="center" wrapText="1"/>
    </xf>
    <xf numFmtId="15" fontId="46" fillId="2" borderId="1" applyAlignment="1" pivotButton="0" quotePrefix="0" xfId="24">
      <alignment horizontal="left" vertical="center" wrapText="1"/>
    </xf>
    <xf numFmtId="15" fontId="45" fillId="2" borderId="1" applyAlignment="1" pivotButton="0" quotePrefix="0" xfId="24">
      <alignment horizontal="left" vertical="center" wrapText="1"/>
    </xf>
    <xf numFmtId="0" fontId="45" fillId="2" borderId="15" applyAlignment="1" pivotButton="0" quotePrefix="1" xfId="24">
      <alignment horizontal="left" vertical="center" wrapText="1"/>
    </xf>
    <xf numFmtId="0" fontId="314" fillId="0" borderId="6" applyAlignment="1" pivotButton="0" quotePrefix="0" xfId="24">
      <alignment horizontal="left" vertical="center" wrapText="1"/>
    </xf>
    <xf numFmtId="0" fontId="322" fillId="5" borderId="25" applyAlignment="1" pivotButton="0" quotePrefix="0" xfId="0">
      <alignment horizontal="center" vertical="top" wrapText="1"/>
    </xf>
    <xf numFmtId="14" fontId="310" fillId="2" borderId="1" applyAlignment="1" pivotButton="0" quotePrefix="0" xfId="8">
      <alignment horizontal="center" vertical="center" wrapText="1"/>
    </xf>
    <xf numFmtId="14" fontId="316" fillId="2" borderId="1" applyAlignment="1" pivotButton="0" quotePrefix="0" xfId="8">
      <alignment horizontal="center" vertical="center" wrapText="1"/>
    </xf>
    <xf numFmtId="0" fontId="310" fillId="0" borderId="11" applyAlignment="1" pivotButton="0" quotePrefix="0" xfId="8">
      <alignment horizontal="center" vertical="center" wrapText="1"/>
    </xf>
    <xf numFmtId="0" fontId="310" fillId="0" borderId="1" applyAlignment="1" pivotButton="0" quotePrefix="0" xfId="8">
      <alignment horizontal="center" vertical="center" wrapText="1"/>
    </xf>
    <xf numFmtId="0" fontId="310" fillId="2" borderId="0" applyAlignment="1" pivotButton="0" quotePrefix="0" xfId="8">
      <alignment horizontal="center" vertical="center" wrapText="1"/>
    </xf>
    <xf numFmtId="0" fontId="322" fillId="5" borderId="25" applyAlignment="1" pivotButton="0" quotePrefix="0" xfId="0">
      <alignment horizontal="center" vertical="center" wrapText="1"/>
    </xf>
    <xf numFmtId="0" fontId="310" fillId="0" borderId="0" applyAlignment="1" pivotButton="0" quotePrefix="0" xfId="8">
      <alignment horizontal="center" vertical="center" wrapText="1"/>
    </xf>
    <xf numFmtId="0" fontId="322" fillId="5" borderId="26" applyAlignment="1" pivotButton="0" quotePrefix="0" xfId="0">
      <alignment horizontal="center" vertical="top" wrapText="1"/>
    </xf>
    <xf numFmtId="15" fontId="44" fillId="2" borderId="1" applyAlignment="1" pivotButton="0" quotePrefix="0" xfId="24">
      <alignment horizontal="left" vertical="center" wrapText="1"/>
    </xf>
    <xf numFmtId="0" fontId="316" fillId="13" borderId="15" applyAlignment="1" pivotButton="0" quotePrefix="0" xfId="24">
      <alignment horizontal="left" vertical="center" wrapText="1"/>
    </xf>
    <xf numFmtId="0" fontId="316" fillId="13" borderId="6" applyAlignment="1" pivotButton="0" quotePrefix="0" xfId="24">
      <alignment horizontal="left" vertical="center" wrapText="1"/>
    </xf>
    <xf numFmtId="0" fontId="316" fillId="13" borderId="1" applyAlignment="1" pivotButton="0" quotePrefix="0" xfId="24">
      <alignment horizontal="center" vertical="center" wrapText="1"/>
    </xf>
    <xf numFmtId="0" fontId="316" fillId="13" borderId="16" applyAlignment="1" pivotButton="0" quotePrefix="0" xfId="24">
      <alignment horizontal="center" vertical="center" wrapText="1"/>
    </xf>
    <xf numFmtId="0" fontId="316" fillId="13" borderId="16" applyAlignment="1" pivotButton="0" quotePrefix="0" xfId="8">
      <alignment horizontal="center" vertical="center" wrapText="1"/>
    </xf>
    <xf numFmtId="0" fontId="43" fillId="2" borderId="1" applyAlignment="1" pivotButton="0" quotePrefix="0" xfId="24">
      <alignment horizontal="center" vertical="center" wrapText="1"/>
    </xf>
    <xf numFmtId="0" fontId="43" fillId="13" borderId="15" applyAlignment="1" pivotButton="0" quotePrefix="0" xfId="24">
      <alignment horizontal="left" vertical="center" wrapText="1"/>
    </xf>
    <xf numFmtId="0" fontId="292" fillId="13" borderId="1" applyAlignment="1" pivotButton="0" quotePrefix="0" xfId="24">
      <alignment horizontal="center" vertical="center" wrapText="1"/>
    </xf>
    <xf numFmtId="0" fontId="43" fillId="13" borderId="16" applyAlignment="1" pivotButton="0" quotePrefix="0" xfId="24">
      <alignment horizontal="center" vertical="center" wrapText="1"/>
    </xf>
    <xf numFmtId="0" fontId="212" fillId="13" borderId="1" applyAlignment="1" pivotButton="0" quotePrefix="0" xfId="24">
      <alignment horizontal="center" vertical="center" wrapText="1"/>
    </xf>
    <xf numFmtId="0" fontId="43" fillId="2" borderId="6" applyAlignment="1" pivotButton="0" quotePrefix="0" xfId="24">
      <alignment horizontal="left" vertical="center" wrapText="1"/>
    </xf>
    <xf numFmtId="0" fontId="43" fillId="2" borderId="16" applyAlignment="1" pivotButton="0" quotePrefix="0" xfId="24">
      <alignment horizontal="center" vertical="center" wrapText="1"/>
    </xf>
    <xf numFmtId="0" fontId="310" fillId="13" borderId="15" applyAlignment="1" pivotButton="0" quotePrefix="0" xfId="0">
      <alignment horizontal="left" vertical="center" wrapText="1"/>
    </xf>
    <xf numFmtId="0" fontId="314" fillId="13" borderId="1" applyAlignment="1" pivotButton="0" quotePrefix="0" xfId="0">
      <alignment horizontal="left" vertical="center" wrapText="1"/>
    </xf>
    <xf numFmtId="0" fontId="310" fillId="13" borderId="1" applyAlignment="1" pivotButton="0" quotePrefix="0" xfId="0">
      <alignment horizontal="center" vertical="center" wrapText="1"/>
    </xf>
    <xf numFmtId="0" fontId="314" fillId="13" borderId="1" applyAlignment="1" pivotButton="0" quotePrefix="1" xfId="0">
      <alignment horizontal="left" vertical="center" wrapText="1"/>
    </xf>
    <xf numFmtId="0" fontId="310" fillId="13" borderId="1" applyAlignment="1" pivotButton="0" quotePrefix="0" xfId="0">
      <alignment horizontal="left" vertical="center" wrapText="1"/>
    </xf>
    <xf numFmtId="15" fontId="314" fillId="13" borderId="1" applyAlignment="1" pivotButton="0" quotePrefix="0" xfId="24">
      <alignment horizontal="left" vertical="center" wrapText="1"/>
    </xf>
    <xf numFmtId="0" fontId="43" fillId="13" borderId="1" applyAlignment="1" pivotButton="0" quotePrefix="0" xfId="24">
      <alignment horizontal="left" vertical="center" wrapText="1"/>
    </xf>
    <xf numFmtId="15" fontId="42" fillId="2" borderId="1" applyAlignment="1" pivotButton="0" quotePrefix="0" xfId="24">
      <alignment horizontal="left" vertical="center" wrapText="1"/>
    </xf>
    <xf numFmtId="0" fontId="41" fillId="2" borderId="1" applyAlignment="1" pivotButton="0" quotePrefix="0" xfId="24">
      <alignment horizontal="center" vertical="center" wrapText="1"/>
    </xf>
    <xf numFmtId="0" fontId="41" fillId="13" borderId="1" applyAlignment="1" pivotButton="0" quotePrefix="0" xfId="24">
      <alignment horizontal="center" vertical="center" wrapText="1"/>
    </xf>
    <xf numFmtId="0" fontId="314" fillId="13" borderId="6" applyAlignment="1" pivotButton="0" quotePrefix="1" xfId="24">
      <alignment horizontal="left" vertical="center" wrapText="1"/>
    </xf>
    <xf numFmtId="0" fontId="41" fillId="2" borderId="5" applyAlignment="1" pivotButton="0" quotePrefix="0" xfId="24">
      <alignment horizontal="center" vertical="center" wrapText="1"/>
    </xf>
    <xf numFmtId="0" fontId="316" fillId="0" borderId="1" applyAlignment="1" pivotButton="0" quotePrefix="0" xfId="24">
      <alignment horizontal="center" vertical="center" wrapText="1"/>
    </xf>
    <xf numFmtId="0" fontId="40" fillId="2" borderId="1" applyAlignment="1" pivotButton="0" quotePrefix="0" xfId="24">
      <alignment horizontal="left" vertical="center" wrapText="1"/>
    </xf>
    <xf numFmtId="0" fontId="40" fillId="2" borderId="15" applyAlignment="1" pivotButton="0" quotePrefix="0" xfId="24">
      <alignment horizontal="left" vertical="center" wrapText="1"/>
    </xf>
    <xf numFmtId="49" fontId="310" fillId="0" borderId="1" applyAlignment="1" pivotButton="0" quotePrefix="1" xfId="8">
      <alignment horizontal="center" vertical="center" wrapText="1"/>
    </xf>
    <xf numFmtId="0" fontId="310" fillId="13" borderId="1" applyAlignment="1" pivotButton="0" quotePrefix="1" xfId="0">
      <alignment horizontal="center" vertical="center" wrapText="1"/>
    </xf>
    <xf numFmtId="0" fontId="39" fillId="13" borderId="16" applyAlignment="1" pivotButton="0" quotePrefix="0" xfId="24">
      <alignment horizontal="center" vertical="center" wrapText="1"/>
    </xf>
    <xf numFmtId="0" fontId="39" fillId="2" borderId="1" applyAlignment="1" pivotButton="0" quotePrefix="0" xfId="24">
      <alignment horizontal="center" vertical="center" wrapText="1"/>
    </xf>
    <xf numFmtId="0" fontId="292" fillId="0" borderId="1" applyAlignment="1" pivotButton="0" quotePrefix="0" xfId="24">
      <alignment horizontal="center" vertical="center" wrapText="1"/>
    </xf>
    <xf numFmtId="0" fontId="46" fillId="0" borderId="16" applyAlignment="1" pivotButton="0" quotePrefix="0" xfId="24">
      <alignment horizontal="center" vertical="center" wrapText="1"/>
    </xf>
    <xf numFmtId="0" fontId="38" fillId="13" borderId="15" applyAlignment="1" pivotButton="0" quotePrefix="0" xfId="24">
      <alignment horizontal="left" vertical="center" wrapText="1"/>
    </xf>
    <xf numFmtId="0" fontId="38" fillId="13" borderId="6" applyAlignment="1" pivotButton="0" quotePrefix="0" xfId="24">
      <alignment horizontal="left" vertical="center" wrapText="1"/>
    </xf>
    <xf numFmtId="0" fontId="37" fillId="13" borderId="1" applyAlignment="1" pivotButton="0" quotePrefix="0" xfId="24">
      <alignment horizontal="center" vertical="center" wrapText="1"/>
    </xf>
    <xf numFmtId="15" fontId="314" fillId="13" borderId="1" applyAlignment="1" pivotButton="0" quotePrefix="0" xfId="24">
      <alignment horizontal="center" vertical="center" wrapText="1"/>
    </xf>
    <xf numFmtId="15" fontId="37" fillId="2" borderId="1" applyAlignment="1" pivotButton="0" quotePrefix="0" xfId="24">
      <alignment horizontal="left" vertical="center" wrapText="1"/>
    </xf>
    <xf numFmtId="0" fontId="45" fillId="13" borderId="15" applyAlignment="1" pivotButton="0" quotePrefix="0" xfId="24">
      <alignment horizontal="left" vertical="center" wrapText="1"/>
    </xf>
    <xf numFmtId="0" fontId="36" fillId="13" borderId="16" applyAlignment="1" pivotButton="0" quotePrefix="0" xfId="24">
      <alignment horizontal="center" vertical="center" wrapText="1"/>
    </xf>
    <xf numFmtId="0" fontId="36" fillId="2" borderId="15" applyAlignment="1" pivotButton="0" quotePrefix="1" xfId="24">
      <alignment horizontal="left" vertical="center" wrapText="1"/>
    </xf>
    <xf numFmtId="15" fontId="36" fillId="2" borderId="1" applyAlignment="1" pivotButton="0" quotePrefix="0" xfId="24">
      <alignment horizontal="left" vertical="center" wrapText="1"/>
    </xf>
    <xf numFmtId="0" fontId="310" fillId="0" borderId="15" applyAlignment="1" pivotButton="0" quotePrefix="0" xfId="24">
      <alignment horizontal="left" vertical="center" wrapText="1"/>
    </xf>
    <xf numFmtId="0" fontId="310" fillId="0" borderId="1" applyAlignment="1" pivotButton="0" quotePrefix="0" xfId="24">
      <alignment horizontal="center" vertical="center" wrapText="1"/>
    </xf>
    <xf numFmtId="0" fontId="111" fillId="0" borderId="16" applyAlignment="1" pivotButton="0" quotePrefix="0" xfId="24">
      <alignment horizontal="center" vertical="center" wrapText="1"/>
    </xf>
    <xf numFmtId="14" fontId="316" fillId="0" borderId="1" applyAlignment="1" pivotButton="0" quotePrefix="0" xfId="8">
      <alignment horizontal="center" vertical="center" wrapText="1"/>
    </xf>
    <xf numFmtId="0" fontId="36" fillId="2" borderId="1" applyAlignment="1" pivotButton="0" quotePrefix="0" xfId="24">
      <alignment horizontal="left" vertical="center" wrapText="1"/>
    </xf>
    <xf numFmtId="0" fontId="36" fillId="13" borderId="1" applyAlignment="1" pivotButton="0" quotePrefix="0" xfId="24">
      <alignment horizontal="left" vertical="center" wrapText="1"/>
    </xf>
    <xf numFmtId="0" fontId="314" fillId="13" borderId="1" applyAlignment="1" pivotButton="0" quotePrefix="0" xfId="24">
      <alignment horizontal="center" vertical="center" wrapText="1"/>
    </xf>
    <xf numFmtId="0" fontId="292" fillId="13" borderId="27" applyAlignment="1" pivotButton="0" quotePrefix="0" xfId="24">
      <alignment horizontal="left" vertical="center" wrapText="1"/>
    </xf>
    <xf numFmtId="0" fontId="314" fillId="13" borderId="27" applyAlignment="1" pivotButton="0" quotePrefix="0" xfId="24">
      <alignment horizontal="left" vertical="center" wrapText="1"/>
    </xf>
    <xf numFmtId="0" fontId="292" fillId="13" borderId="25" applyAlignment="1" pivotButton="0" quotePrefix="0" xfId="24">
      <alignment horizontal="center" vertical="center" wrapText="1"/>
    </xf>
    <xf numFmtId="0" fontId="310" fillId="13" borderId="16" applyAlignment="1" pivotButton="0" quotePrefix="0" xfId="8">
      <alignment horizontal="center" vertical="center" wrapText="1"/>
    </xf>
    <xf numFmtId="0" fontId="141" fillId="13" borderId="6" applyAlignment="1" pivotButton="0" quotePrefix="0" xfId="24">
      <alignment horizontal="left" vertical="center" wrapText="1"/>
    </xf>
    <xf numFmtId="0" fontId="316" fillId="13" borderId="6" applyAlignment="1" pivotButton="0" quotePrefix="1" xfId="24">
      <alignment horizontal="left" vertical="center" wrapText="1"/>
    </xf>
    <xf numFmtId="0" fontId="314" fillId="13" borderId="1" applyAlignment="1" pivotButton="0" quotePrefix="0" xfId="8">
      <alignment horizontal="center" vertical="center" wrapText="1"/>
    </xf>
    <xf numFmtId="0" fontId="310" fillId="13" borderId="1" applyAlignment="1" pivotButton="0" quotePrefix="0" xfId="8">
      <alignment horizontal="center" vertical="center" wrapText="1"/>
    </xf>
    <xf numFmtId="0" fontId="292" fillId="13" borderId="1" applyAlignment="1" pivotButton="0" quotePrefix="0" xfId="24">
      <alignment horizontal="left" vertical="center" wrapText="1"/>
    </xf>
    <xf numFmtId="0" fontId="314" fillId="13" borderId="1" applyAlignment="1" pivotButton="0" quotePrefix="0" xfId="24">
      <alignment horizontal="left" vertical="center" wrapText="1"/>
    </xf>
    <xf numFmtId="0" fontId="310" fillId="0" borderId="1" applyAlignment="1" pivotButton="0" quotePrefix="1" xfId="13">
      <alignment horizontal="left" vertical="center" wrapText="1"/>
    </xf>
    <xf numFmtId="0" fontId="314" fillId="0" borderId="1" applyAlignment="1" pivotButton="0" quotePrefix="1" xfId="13">
      <alignment horizontal="left" vertical="center" wrapText="1"/>
    </xf>
    <xf numFmtId="0" fontId="310" fillId="13" borderId="1" applyAlignment="1" pivotButton="0" quotePrefix="0" xfId="13">
      <alignment horizontal="left" vertical="center" wrapText="1"/>
    </xf>
    <xf numFmtId="0" fontId="115" fillId="2" borderId="1" applyAlignment="1" pivotButton="0" quotePrefix="0" xfId="24">
      <alignment horizontal="left" vertical="center" wrapText="1"/>
    </xf>
    <xf numFmtId="0" fontId="136" fillId="2" borderId="1" applyAlignment="1" pivotButton="0" quotePrefix="0" xfId="24">
      <alignment horizontal="left" vertical="center" wrapText="1"/>
    </xf>
    <xf numFmtId="0" fontId="140" fillId="2" borderId="1" applyAlignment="1" pivotButton="0" quotePrefix="0" xfId="24">
      <alignment horizontal="left" vertical="center" wrapText="1"/>
    </xf>
    <xf numFmtId="0" fontId="172" fillId="2" borderId="1" applyAlignment="1" pivotButton="0" quotePrefix="0" xfId="24">
      <alignment horizontal="left" vertical="center" wrapText="1"/>
    </xf>
    <xf numFmtId="0" fontId="174" fillId="2" borderId="1" applyAlignment="1" pivotButton="0" quotePrefix="0" xfId="24">
      <alignment horizontal="left" vertical="center" wrapText="1"/>
    </xf>
    <xf numFmtId="0" fontId="310" fillId="0" borderId="1" applyAlignment="1" pivotButton="0" quotePrefix="0" xfId="8">
      <alignment horizontal="center" vertical="center"/>
    </xf>
    <xf numFmtId="49" fontId="310" fillId="0" borderId="1" applyAlignment="1" pivotButton="0" quotePrefix="0" xfId="24">
      <alignment horizontal="center" vertical="center" wrapText="1"/>
    </xf>
    <xf numFmtId="49" fontId="310" fillId="0" borderId="1" applyAlignment="1" pivotButton="0" quotePrefix="1" xfId="24">
      <alignment horizontal="center" vertical="center" wrapText="1"/>
    </xf>
    <xf numFmtId="49" fontId="310" fillId="0" borderId="1" applyAlignment="1" pivotButton="0" quotePrefix="0" xfId="8">
      <alignment horizontal="center" vertical="center" wrapText="1"/>
    </xf>
    <xf numFmtId="0" fontId="316" fillId="0" borderId="15" applyAlignment="1" pivotButton="0" quotePrefix="0" xfId="24">
      <alignment horizontal="left" vertical="center" wrapText="1"/>
    </xf>
    <xf numFmtId="0" fontId="316" fillId="0" borderId="6" applyAlignment="1" pivotButton="0" quotePrefix="0" xfId="24">
      <alignment horizontal="left" vertical="center" wrapText="1"/>
    </xf>
    <xf numFmtId="0" fontId="316" fillId="0" borderId="16" applyAlignment="1" pivotButton="0" quotePrefix="0" xfId="24">
      <alignment horizontal="center" vertical="center" wrapText="1"/>
    </xf>
    <xf numFmtId="0" fontId="316" fillId="0" borderId="16" applyAlignment="1" pivotButton="0" quotePrefix="0" xfId="8">
      <alignment horizontal="center" vertical="center" wrapText="1"/>
    </xf>
    <xf numFmtId="15" fontId="310" fillId="13" borderId="1" applyAlignment="1" pivotButton="0" quotePrefix="0" xfId="24">
      <alignment horizontal="left" vertical="center" wrapText="1"/>
    </xf>
    <xf numFmtId="0" fontId="310" fillId="13" borderId="1" applyAlignment="1" pivotButton="0" quotePrefix="0" xfId="24">
      <alignment horizontal="left" vertical="center" wrapText="1"/>
    </xf>
    <xf numFmtId="0" fontId="292" fillId="13" borderId="6" applyAlignment="1" pivotButton="0" quotePrefix="0" xfId="24">
      <alignment horizontal="left" vertical="center" wrapText="1"/>
    </xf>
    <xf numFmtId="0" fontId="35" fillId="13" borderId="6" applyAlignment="1" pivotButton="0" quotePrefix="0" xfId="24">
      <alignment horizontal="left" vertical="center" wrapText="1"/>
    </xf>
    <xf numFmtId="0" fontId="92" fillId="13" borderId="1" applyAlignment="1" pivotButton="0" quotePrefix="0" xfId="24">
      <alignment horizontal="center" vertical="center" wrapText="1"/>
    </xf>
    <xf numFmtId="0" fontId="35" fillId="13" borderId="16" applyAlignment="1" pivotButton="0" quotePrefix="0" xfId="24">
      <alignment horizontal="center" vertical="center" wrapText="1"/>
    </xf>
    <xf numFmtId="15" fontId="35" fillId="2" borderId="1" applyAlignment="1" pivotButton="0" quotePrefix="0" xfId="24">
      <alignment horizontal="left" vertical="center" wrapText="1"/>
    </xf>
    <xf numFmtId="0" fontId="35" fillId="2" borderId="1" applyAlignment="1" pivotButton="0" quotePrefix="0" xfId="24">
      <alignment horizontal="left" vertical="center" wrapText="1"/>
    </xf>
    <xf numFmtId="0" fontId="35" fillId="2" borderId="1" applyAlignment="1" pivotButton="0" quotePrefix="0" xfId="24">
      <alignment horizontal="center" vertical="center" wrapText="1"/>
    </xf>
    <xf numFmtId="0" fontId="35" fillId="0" borderId="1" applyAlignment="1" pivotButton="0" quotePrefix="0" xfId="13">
      <alignment horizontal="center" vertical="center" wrapText="1"/>
    </xf>
    <xf numFmtId="0" fontId="310" fillId="13" borderId="6" applyAlignment="1" pivotButton="0" quotePrefix="0" xfId="8">
      <alignment horizontal="left" vertical="center" wrapText="1"/>
    </xf>
    <xf numFmtId="0" fontId="314" fillId="13" borderId="6" applyAlignment="1" pivotButton="0" quotePrefix="0" xfId="8">
      <alignment horizontal="left" vertical="center" wrapText="1"/>
    </xf>
    <xf numFmtId="0" fontId="310" fillId="13" borderId="1" applyAlignment="1" pivotButton="0" quotePrefix="0" xfId="8">
      <alignment horizontal="center" vertical="center"/>
    </xf>
    <xf numFmtId="0" fontId="292" fillId="13" borderId="15" applyAlignment="1" pivotButton="0" quotePrefix="0" xfId="24">
      <alignment horizontal="left" vertical="center" wrapText="1"/>
    </xf>
    <xf numFmtId="0" fontId="112" fillId="13" borderId="16" applyAlignment="1" pivotButton="0" quotePrefix="0" xfId="24">
      <alignment horizontal="center" vertical="center" wrapText="1"/>
    </xf>
    <xf numFmtId="0" fontId="292" fillId="0" borderId="5" applyAlignment="1" pivotButton="0" quotePrefix="0" xfId="24">
      <alignment horizontal="center" vertical="center" wrapText="1"/>
    </xf>
    <xf numFmtId="15" fontId="34" fillId="2" borderId="1" applyAlignment="1" pivotButton="0" quotePrefix="0" xfId="24">
      <alignment horizontal="left" vertical="center" wrapText="1"/>
    </xf>
    <xf numFmtId="0" fontId="33" fillId="13" borderId="1" applyAlignment="1" pivotButton="0" quotePrefix="0" xfId="24">
      <alignment horizontal="left" vertical="center" wrapText="1"/>
    </xf>
    <xf numFmtId="15" fontId="32" fillId="13" borderId="1" applyAlignment="1" pivotButton="0" quotePrefix="0" xfId="24">
      <alignment horizontal="left" vertical="center" wrapText="1"/>
    </xf>
    <xf numFmtId="0" fontId="31" fillId="13" borderId="15" applyAlignment="1" pivotButton="0" quotePrefix="0" xfId="24">
      <alignment horizontal="left" vertical="center" wrapText="1"/>
    </xf>
    <xf numFmtId="0" fontId="31" fillId="13" borderId="16" applyAlignment="1" pivotButton="0" quotePrefix="0" xfId="24">
      <alignment horizontal="center" vertical="center" wrapText="1"/>
    </xf>
    <xf numFmtId="0" fontId="314" fillId="13" borderId="6" applyAlignment="1" pivotButton="0" quotePrefix="0" xfId="6">
      <alignment horizontal="left" vertical="center" wrapText="1"/>
    </xf>
    <xf numFmtId="0" fontId="31" fillId="2" borderId="1" applyAlignment="1" pivotButton="0" quotePrefix="0" xfId="24">
      <alignment horizontal="center" vertical="center" wrapText="1"/>
    </xf>
    <xf numFmtId="0" fontId="310" fillId="13" borderId="15" applyAlignment="1" pivotButton="0" quotePrefix="0" xfId="24">
      <alignment horizontal="left" vertical="center" wrapText="1"/>
    </xf>
    <xf numFmtId="0" fontId="31" fillId="13" borderId="1" applyAlignment="1" pivotButton="0" quotePrefix="0" xfId="24">
      <alignment horizontal="center" vertical="center" wrapText="1"/>
    </xf>
    <xf numFmtId="0" fontId="31" fillId="13" borderId="6" applyAlignment="1" pivotButton="0" quotePrefix="0" xfId="24">
      <alignment horizontal="left" vertical="center" wrapText="1"/>
    </xf>
    <xf numFmtId="0" fontId="292" fillId="13" borderId="16" applyAlignment="1" pivotButton="0" quotePrefix="0" xfId="24">
      <alignment horizontal="center" vertical="center" wrapText="1"/>
    </xf>
    <xf numFmtId="0" fontId="111" fillId="13" borderId="6" applyAlignment="1" pivotButton="0" quotePrefix="0" xfId="24">
      <alignment horizontal="left" vertical="center" wrapText="1"/>
    </xf>
    <xf numFmtId="0" fontId="110" fillId="13" borderId="1" applyAlignment="1" pivotButton="0" quotePrefix="0" xfId="24">
      <alignment horizontal="center" vertical="center" wrapText="1"/>
    </xf>
    <xf numFmtId="0" fontId="298" fillId="13" borderId="16" applyAlignment="1" pivotButton="0" quotePrefix="0" xfId="24">
      <alignment horizontal="center" vertical="center" wrapText="1"/>
    </xf>
    <xf numFmtId="15" fontId="30" fillId="2" borderId="1" applyAlignment="1" pivotButton="0" quotePrefix="0" xfId="24">
      <alignment horizontal="left" vertical="center" wrapText="1"/>
    </xf>
    <xf numFmtId="0" fontId="29" fillId="2" borderId="15" applyAlignment="1" pivotButton="0" quotePrefix="0" xfId="24">
      <alignment horizontal="left" vertical="center" wrapText="1"/>
    </xf>
    <xf numFmtId="0" fontId="29" fillId="13" borderId="16" applyAlignment="1" pivotButton="0" quotePrefix="0" xfId="24">
      <alignment horizontal="center" vertical="center" wrapText="1"/>
    </xf>
    <xf numFmtId="0" fontId="29" fillId="0" borderId="6" applyAlignment="1" pivotButton="0" quotePrefix="0" xfId="24">
      <alignment horizontal="left" vertical="center" wrapText="1"/>
    </xf>
    <xf numFmtId="0" fontId="29" fillId="0" borderId="16" applyAlignment="1" pivotButton="0" quotePrefix="0" xfId="24">
      <alignment horizontal="center" vertical="center" wrapText="1"/>
    </xf>
    <xf numFmtId="0" fontId="310" fillId="13" borderId="16" applyAlignment="1" pivotButton="0" quotePrefix="0" xfId="24">
      <alignment horizontal="center" vertical="center" wrapText="1"/>
    </xf>
    <xf numFmtId="0" fontId="310" fillId="0" borderId="17" applyAlignment="1" pivotButton="0" quotePrefix="0" xfId="0">
      <alignment horizontal="justify" vertical="center" wrapText="1"/>
    </xf>
    <xf numFmtId="0" fontId="338" fillId="0" borderId="0" pivotButton="0" quotePrefix="0" xfId="39"/>
    <xf numFmtId="0" fontId="28" fillId="0" borderId="0" pivotButton="0" quotePrefix="0" xfId="39"/>
    <xf numFmtId="0" fontId="315" fillId="0" borderId="0" pivotButton="0" quotePrefix="0" xfId="39"/>
    <xf numFmtId="0" fontId="315" fillId="0" borderId="0" applyAlignment="1" pivotButton="0" quotePrefix="0" xfId="39">
      <alignment wrapText="1"/>
    </xf>
    <xf numFmtId="0" fontId="315" fillId="0" borderId="38" applyAlignment="1" pivotButton="0" quotePrefix="0" xfId="39">
      <alignment horizontal="left" wrapText="1"/>
    </xf>
    <xf numFmtId="0" fontId="315" fillId="0" borderId="0" applyAlignment="1" pivotButton="0" quotePrefix="0" xfId="39">
      <alignment horizontal="left" wrapText="1"/>
    </xf>
    <xf numFmtId="0" fontId="315" fillId="0" borderId="31" applyAlignment="1" pivotButton="0" quotePrefix="0" xfId="39">
      <alignment horizontal="left" wrapText="1"/>
    </xf>
    <xf numFmtId="0" fontId="315" fillId="0" borderId="38" pivotButton="0" quotePrefix="0" xfId="39"/>
    <xf numFmtId="0" fontId="28" fillId="0" borderId="31" pivotButton="0" quotePrefix="0" xfId="39"/>
    <xf numFmtId="0" fontId="28" fillId="0" borderId="38" pivotButton="0" quotePrefix="0" xfId="39"/>
    <xf numFmtId="0" fontId="334" fillId="0" borderId="38" pivotButton="0" quotePrefix="0" xfId="39"/>
    <xf numFmtId="0" fontId="325" fillId="21" borderId="38" applyAlignment="1" pivotButton="0" quotePrefix="0" xfId="39">
      <alignment vertical="top" wrapText="1"/>
    </xf>
    <xf numFmtId="0" fontId="325" fillId="22" borderId="38" applyAlignment="1" pivotButton="0" quotePrefix="0" xfId="39">
      <alignment vertical="top" wrapText="1"/>
    </xf>
    <xf numFmtId="0" fontId="325" fillId="0" borderId="39" pivotButton="0" quotePrefix="0" xfId="39"/>
    <xf numFmtId="0" fontId="28" fillId="0" borderId="32" pivotButton="0" quotePrefix="0" xfId="39"/>
    <xf numFmtId="0" fontId="28" fillId="0" borderId="33" pivotButton="0" quotePrefix="0" xfId="39"/>
    <xf numFmtId="0" fontId="28" fillId="0" borderId="39" pivotButton="0" quotePrefix="0" xfId="39"/>
    <xf numFmtId="0" fontId="28" fillId="0" borderId="0" applyAlignment="1" pivotButton="0" quotePrefix="0" xfId="39">
      <alignment vertical="center"/>
    </xf>
    <xf numFmtId="0" fontId="335" fillId="0" borderId="0" pivotButton="0" quotePrefix="0" xfId="39"/>
    <xf numFmtId="0" fontId="336" fillId="0" borderId="51" applyAlignment="1" pivotButton="0" quotePrefix="0" xfId="39">
      <alignment vertical="center"/>
    </xf>
    <xf numFmtId="0" fontId="336" fillId="0" borderId="0" pivotButton="0" quotePrefix="0" xfId="39"/>
    <xf numFmtId="0" fontId="347" fillId="21" borderId="52" applyAlignment="1" pivotButton="0" quotePrefix="0" xfId="39">
      <alignment horizontal="center" vertical="center" wrapText="1"/>
    </xf>
    <xf numFmtId="0" fontId="347" fillId="22" borderId="52" applyAlignment="1" pivotButton="0" quotePrefix="0" xfId="39">
      <alignment horizontal="center" vertical="center" wrapText="1"/>
    </xf>
    <xf numFmtId="0" fontId="347" fillId="22" borderId="53" applyAlignment="1" pivotButton="0" quotePrefix="0" xfId="39">
      <alignment horizontal="center" vertical="center" wrapText="1"/>
    </xf>
    <xf numFmtId="0" fontId="347" fillId="22" borderId="54" applyAlignment="1" pivotButton="0" quotePrefix="0" xfId="39">
      <alignment horizontal="center" vertical="center" wrapText="1"/>
    </xf>
    <xf numFmtId="0" fontId="347" fillId="22" borderId="53" applyAlignment="1" pivotButton="0" quotePrefix="1" xfId="39">
      <alignment horizontal="center" vertical="center" wrapText="1"/>
    </xf>
    <xf numFmtId="49" fontId="337" fillId="0" borderId="28" applyAlignment="1" pivotButton="0" quotePrefix="0" xfId="39">
      <alignment horizontal="center" vertical="center"/>
    </xf>
    <xf numFmtId="0" fontId="348" fillId="0" borderId="28" applyAlignment="1" pivotButton="0" quotePrefix="1" xfId="39">
      <alignment horizontal="center" vertical="center"/>
    </xf>
    <xf numFmtId="49" fontId="337" fillId="0" borderId="28" applyAlignment="1" pivotButton="0" quotePrefix="1" xfId="39">
      <alignment horizontal="center" vertical="center"/>
    </xf>
    <xf numFmtId="49" fontId="337" fillId="0" borderId="55" applyAlignment="1" pivotButton="0" quotePrefix="1" xfId="39">
      <alignment horizontal="center" vertical="center"/>
    </xf>
    <xf numFmtId="49" fontId="337" fillId="0" borderId="0" applyAlignment="1" pivotButton="0" quotePrefix="0" xfId="39">
      <alignment horizontal="center" vertical="center"/>
    </xf>
    <xf numFmtId="0" fontId="348" fillId="0" borderId="0" applyAlignment="1" pivotButton="0" quotePrefix="1" xfId="39">
      <alignment horizontal="center" vertical="center"/>
    </xf>
    <xf numFmtId="49" fontId="337" fillId="0" borderId="0" applyAlignment="1" pivotButton="0" quotePrefix="1" xfId="39">
      <alignment horizontal="center" vertical="center"/>
    </xf>
    <xf numFmtId="0" fontId="347" fillId="21" borderId="28" applyAlignment="1" pivotButton="0" quotePrefix="0" xfId="39">
      <alignment horizontal="center" vertical="center" wrapText="1"/>
    </xf>
    <xf numFmtId="0" fontId="347" fillId="22" borderId="28" applyAlignment="1" pivotButton="0" quotePrefix="0" xfId="39">
      <alignment horizontal="center" vertical="center" wrapText="1"/>
    </xf>
    <xf numFmtId="0" fontId="347" fillId="21" borderId="28" applyAlignment="1" pivotButton="0" quotePrefix="1" xfId="39">
      <alignment horizontal="center" vertical="center" wrapText="1"/>
    </xf>
    <xf numFmtId="0" fontId="310" fillId="0" borderId="28" applyAlignment="1" pivotButton="0" quotePrefix="0" xfId="39">
      <alignment horizontal="center"/>
    </xf>
    <xf numFmtId="0" fontId="350" fillId="0" borderId="28" applyAlignment="1" pivotButton="0" quotePrefix="1" xfId="39">
      <alignment horizontal="center"/>
    </xf>
    <xf numFmtId="49" fontId="310" fillId="0" borderId="28" applyAlignment="1" pivotButton="0" quotePrefix="1" xfId="39">
      <alignment horizontal="center"/>
    </xf>
    <xf numFmtId="49" fontId="348" fillId="0" borderId="0" applyAlignment="1" pivotButton="0" quotePrefix="1" xfId="39">
      <alignment horizontal="center" vertical="center" wrapText="1"/>
    </xf>
    <xf numFmtId="0" fontId="336" fillId="0" borderId="28" applyAlignment="1" pivotButton="0" quotePrefix="0" xfId="39">
      <alignment horizontal="center" vertical="center" wrapText="1"/>
    </xf>
    <xf numFmtId="49" fontId="348" fillId="0" borderId="28" applyAlignment="1" pivotButton="0" quotePrefix="1" xfId="39">
      <alignment horizontal="center" vertical="center" wrapText="1"/>
    </xf>
    <xf numFmtId="0" fontId="336" fillId="0" borderId="28" applyAlignment="1" pivotButton="0" quotePrefix="1" xfId="39">
      <alignment horizontal="center" vertical="center" wrapText="1"/>
    </xf>
    <xf numFmtId="0" fontId="348" fillId="0" borderId="28" applyAlignment="1" pivotButton="0" quotePrefix="1" xfId="39">
      <alignment horizontal="center" vertical="center" wrapText="1"/>
    </xf>
    <xf numFmtId="49" fontId="336" fillId="0" borderId="28" applyAlignment="1" pivotButton="0" quotePrefix="1" xfId="39">
      <alignment horizontal="center" vertical="center" wrapText="1"/>
    </xf>
    <xf numFmtId="0" fontId="336" fillId="0" borderId="28" applyAlignment="1" pivotButton="0" quotePrefix="0" xfId="39">
      <alignment horizontal="center" vertical="center"/>
    </xf>
    <xf numFmtId="0" fontId="348" fillId="0" borderId="0" applyAlignment="1" pivotButton="0" quotePrefix="0" xfId="39">
      <alignment horizontal="center" vertical="center" wrapText="1"/>
    </xf>
    <xf numFmtId="49" fontId="337" fillId="0" borderId="0" applyAlignment="1" pivotButton="0" quotePrefix="1" xfId="39">
      <alignment horizontal="center" vertical="top" wrapText="1"/>
    </xf>
    <xf numFmtId="0" fontId="337" fillId="0" borderId="0" applyAlignment="1" pivotButton="0" quotePrefix="0" xfId="39">
      <alignment horizontal="center" vertical="center"/>
    </xf>
    <xf numFmtId="0" fontId="337" fillId="0" borderId="0" applyAlignment="1" pivotButton="0" quotePrefix="1" xfId="39">
      <alignment horizontal="center" vertical="top"/>
    </xf>
    <xf numFmtId="0" fontId="336" fillId="0" borderId="0" applyAlignment="1" pivotButton="0" quotePrefix="0" xfId="39">
      <alignment horizontal="center" vertical="center"/>
    </xf>
    <xf numFmtId="0" fontId="336" fillId="0" borderId="1" applyAlignment="1" pivotButton="0" quotePrefix="0" xfId="39">
      <alignment vertical="top"/>
    </xf>
    <xf numFmtId="0" fontId="337" fillId="0" borderId="1" applyAlignment="1" pivotButton="0" quotePrefix="0" xfId="40">
      <alignment vertical="center" wrapText="1"/>
    </xf>
    <xf numFmtId="0" fontId="336" fillId="0" borderId="1" applyAlignment="1" pivotButton="0" quotePrefix="0" xfId="39">
      <alignment horizontal="center" vertical="center"/>
    </xf>
    <xf numFmtId="0" fontId="336" fillId="0" borderId="1" applyAlignment="1" pivotButton="0" quotePrefix="0" xfId="39">
      <alignment vertical="center"/>
    </xf>
    <xf numFmtId="0" fontId="336" fillId="0" borderId="1" applyAlignment="1" pivotButton="0" quotePrefix="0" xfId="40">
      <alignment vertical="center" wrapText="1"/>
    </xf>
    <xf numFmtId="0" fontId="337" fillId="0" borderId="1" applyAlignment="1" pivotButton="0" quotePrefix="0" xfId="39">
      <alignment horizontal="center" vertical="center"/>
    </xf>
    <xf numFmtId="0" fontId="337" fillId="0" borderId="0" applyAlignment="1" pivotButton="0" quotePrefix="0" xfId="39">
      <alignment horizontal="center"/>
    </xf>
    <xf numFmtId="49" fontId="337" fillId="0" borderId="0" applyAlignment="1" pivotButton="0" quotePrefix="0" xfId="39">
      <alignment horizontal="center"/>
    </xf>
    <xf numFmtId="0" fontId="347" fillId="21" borderId="0" applyAlignment="1" pivotButton="0" quotePrefix="0" xfId="39">
      <alignment vertical="top" wrapText="1"/>
    </xf>
    <xf numFmtId="0" fontId="347" fillId="22" borderId="0" applyAlignment="1" pivotButton="0" quotePrefix="0" xfId="39">
      <alignment vertical="top" wrapText="1"/>
    </xf>
    <xf numFmtId="49" fontId="337" fillId="0" borderId="1" applyAlignment="1" pivotButton="0" quotePrefix="0" xfId="40">
      <alignment horizontal="center" vertical="center"/>
    </xf>
    <xf numFmtId="0" fontId="337" fillId="0" borderId="1" applyAlignment="1" pivotButton="0" quotePrefix="0" xfId="40">
      <alignment horizontal="center" vertical="center"/>
    </xf>
    <xf numFmtId="0" fontId="336" fillId="0" borderId="28" applyAlignment="1" pivotButton="0" quotePrefix="0" xfId="39">
      <alignment horizontal="center" vertical="top"/>
    </xf>
    <xf numFmtId="0" fontId="28" fillId="0" borderId="0" applyAlignment="1" pivotButton="0" quotePrefix="0" xfId="39">
      <alignment vertical="top"/>
    </xf>
    <xf numFmtId="0" fontId="337" fillId="0" borderId="28" applyAlignment="1" pivotButton="0" quotePrefix="0" xfId="39">
      <alignment horizontal="center" vertical="top"/>
    </xf>
    <xf numFmtId="0" fontId="28" fillId="0" borderId="0" applyAlignment="1" pivotButton="0" quotePrefix="0" xfId="39">
      <alignment horizontal="center" vertical="top"/>
    </xf>
    <xf numFmtId="0" fontId="335" fillId="0" borderId="0" applyAlignment="1" pivotButton="0" quotePrefix="0" xfId="39">
      <alignment horizontal="left" vertical="center"/>
    </xf>
    <xf numFmtId="0" fontId="337" fillId="0" borderId="0" applyAlignment="1" pivotButton="0" quotePrefix="0" xfId="39">
      <alignment horizontal="center" vertical="top"/>
    </xf>
    <xf numFmtId="0" fontId="310" fillId="0" borderId="0" applyAlignment="1" pivotButton="0" quotePrefix="0" xfId="39">
      <alignment vertical="top"/>
    </xf>
    <xf numFmtId="0" fontId="325" fillId="21" borderId="0" applyAlignment="1" pivotButton="0" quotePrefix="0" xfId="39">
      <alignment vertical="top" wrapText="1"/>
    </xf>
    <xf numFmtId="0" fontId="325" fillId="22" borderId="0" applyAlignment="1" pivotButton="0" quotePrefix="0" xfId="39">
      <alignment vertical="top" wrapText="1"/>
    </xf>
    <xf numFmtId="0" fontId="337" fillId="0" borderId="1" applyAlignment="1" pivotButton="0" quotePrefix="1" xfId="40">
      <alignment horizontal="center" vertical="center"/>
    </xf>
    <xf numFmtId="0" fontId="337" fillId="0" borderId="1" applyAlignment="1" pivotButton="0" quotePrefix="1" xfId="40">
      <alignment horizontal="center" vertical="center" wrapText="1"/>
    </xf>
    <xf numFmtId="49" fontId="337" fillId="0" borderId="1" applyAlignment="1" pivotButton="0" quotePrefix="1" xfId="40">
      <alignment horizontal="center" vertical="center" wrapText="1"/>
    </xf>
    <xf numFmtId="49" fontId="337" fillId="0" borderId="1" applyAlignment="1" pivotButton="0" quotePrefix="1" xfId="40">
      <alignment horizontal="center" vertical="center"/>
    </xf>
    <xf numFmtId="0" fontId="336" fillId="0" borderId="1" applyAlignment="1" pivotButton="0" quotePrefix="1" xfId="40">
      <alignment horizontal="center" vertical="center"/>
    </xf>
    <xf numFmtId="49" fontId="336" fillId="0" borderId="1" applyAlignment="1" pivotButton="0" quotePrefix="0" xfId="40">
      <alignment horizontal="center" vertical="center"/>
    </xf>
    <xf numFmtId="0" fontId="336" fillId="0" borderId="1" applyAlignment="1" pivotButton="0" quotePrefix="0" xfId="40">
      <alignment horizontal="center" vertical="center"/>
    </xf>
    <xf numFmtId="49" fontId="336" fillId="0" borderId="1" applyAlignment="1" pivotButton="0" quotePrefix="1" xfId="40">
      <alignment horizontal="center" vertical="center"/>
    </xf>
    <xf numFmtId="0" fontId="336" fillId="0" borderId="1" applyAlignment="1" pivotButton="0" quotePrefix="1" xfId="40">
      <alignment horizontal="center" vertical="center" wrapText="1"/>
    </xf>
    <xf numFmtId="49" fontId="336" fillId="0" borderId="1" applyAlignment="1" pivotButton="0" quotePrefix="1" xfId="40">
      <alignment horizontal="center" vertical="center" wrapText="1"/>
    </xf>
    <xf numFmtId="49" fontId="340" fillId="0" borderId="1" applyAlignment="1" pivotButton="0" quotePrefix="1" xfId="40">
      <alignment horizontal="center" vertical="center" wrapText="1"/>
    </xf>
    <xf numFmtId="0" fontId="0" fillId="0" borderId="28" applyAlignment="1" pivotButton="0" quotePrefix="1" xfId="39">
      <alignment horizontal="center" vertical="center"/>
    </xf>
    <xf numFmtId="49" fontId="0" fillId="0" borderId="28" applyAlignment="1" pivotButton="0" quotePrefix="1" xfId="39">
      <alignment horizontal="left" vertical="top" wrapText="1"/>
    </xf>
    <xf numFmtId="0" fontId="0" fillId="0" borderId="0" applyAlignment="1" pivotButton="0" quotePrefix="1" xfId="39">
      <alignment horizontal="center" vertical="center"/>
    </xf>
    <xf numFmtId="49" fontId="0" fillId="0" borderId="0" applyAlignment="1" pivotButton="0" quotePrefix="1" xfId="39">
      <alignment horizontal="left" vertical="top" wrapText="1"/>
    </xf>
    <xf numFmtId="0" fontId="28" fillId="0" borderId="28" applyAlignment="1" pivotButton="0" quotePrefix="1" xfId="39">
      <alignment horizontal="center" vertical="top"/>
    </xf>
    <xf numFmtId="49" fontId="0" fillId="0" borderId="28" applyAlignment="1" pivotButton="0" quotePrefix="1" xfId="39">
      <alignment horizontal="center" vertical="top" wrapText="1"/>
    </xf>
    <xf numFmtId="49" fontId="28" fillId="0" borderId="28" applyAlignment="1" pivotButton="0" quotePrefix="1" xfId="39">
      <alignment horizontal="center" vertical="top" wrapText="1"/>
    </xf>
    <xf numFmtId="0" fontId="325" fillId="22" borderId="0" applyAlignment="1" pivotButton="0" quotePrefix="1" xfId="39">
      <alignment vertical="top" wrapText="1"/>
    </xf>
    <xf numFmtId="0" fontId="28" fillId="0" borderId="0" applyAlignment="1" pivotButton="0" quotePrefix="1" xfId="39">
      <alignment horizontal="center" vertical="top"/>
    </xf>
    <xf numFmtId="49" fontId="28" fillId="0" borderId="0" applyAlignment="1" pivotButton="0" quotePrefix="1" xfId="39">
      <alignment horizontal="center" vertical="top" wrapText="1"/>
    </xf>
    <xf numFmtId="0" fontId="28" fillId="0" borderId="28" applyAlignment="1" pivotButton="0" quotePrefix="0" xfId="39">
      <alignment horizontal="center"/>
    </xf>
    <xf numFmtId="0" fontId="28" fillId="0" borderId="28" applyAlignment="1" pivotButton="0" quotePrefix="1" xfId="39">
      <alignment horizontal="center"/>
    </xf>
    <xf numFmtId="49" fontId="28" fillId="0" borderId="28" applyAlignment="1" pivotButton="0" quotePrefix="0" xfId="39">
      <alignment horizontal="center"/>
    </xf>
    <xf numFmtId="0" fontId="28" fillId="0" borderId="28" applyAlignment="1" pivotButton="0" quotePrefix="0" xfId="39">
      <alignment horizontal="center" wrapText="1"/>
    </xf>
    <xf numFmtId="0" fontId="336" fillId="0" borderId="1" applyAlignment="1" pivotButton="0" quotePrefix="0" xfId="39">
      <alignment vertical="center" wrapText="1"/>
    </xf>
    <xf numFmtId="0" fontId="337" fillId="0" borderId="1" applyAlignment="1" pivotButton="0" quotePrefix="0" xfId="39">
      <alignment vertical="center" wrapText="1"/>
    </xf>
    <xf numFmtId="0" fontId="337" fillId="0" borderId="1" applyAlignment="1" pivotButton="0" quotePrefix="0" xfId="39">
      <alignment vertical="center"/>
    </xf>
    <xf numFmtId="0" fontId="336" fillId="0" borderId="1" applyAlignment="1" pivotButton="0" quotePrefix="1" xfId="40">
      <alignment horizontal="center" vertical="top"/>
    </xf>
    <xf numFmtId="49" fontId="336" fillId="0" borderId="1" applyAlignment="1" pivotButton="0" quotePrefix="1" xfId="40">
      <alignment horizontal="center" vertical="top"/>
    </xf>
    <xf numFmtId="0" fontId="336" fillId="0" borderId="1" applyAlignment="1" pivotButton="0" quotePrefix="1" xfId="40">
      <alignment horizontal="center" vertical="top" wrapText="1"/>
    </xf>
    <xf numFmtId="0" fontId="336" fillId="0" borderId="1" applyAlignment="1" pivotButton="0" quotePrefix="0" xfId="40">
      <alignment horizontal="center" vertical="top" wrapText="1"/>
    </xf>
    <xf numFmtId="0" fontId="345" fillId="0" borderId="1" applyAlignment="1" pivotButton="0" quotePrefix="0" xfId="40">
      <alignment horizontal="center" vertical="top" wrapText="1"/>
    </xf>
    <xf numFmtId="49" fontId="336" fillId="0" borderId="1" applyAlignment="1" pivotButton="0" quotePrefix="0" xfId="39">
      <alignment horizontal="center" vertical="center" wrapText="1"/>
    </xf>
    <xf numFmtId="49" fontId="337" fillId="0" borderId="1" applyAlignment="1" pivotButton="0" quotePrefix="0" xfId="39">
      <alignment horizontal="center" vertical="center" wrapText="1"/>
    </xf>
    <xf numFmtId="49" fontId="336" fillId="0" borderId="1" applyAlignment="1" pivotButton="0" quotePrefix="0" xfId="39">
      <alignment horizontal="center" vertical="center"/>
    </xf>
    <xf numFmtId="0" fontId="345" fillId="0" borderId="1" applyAlignment="1" pivotButton="0" quotePrefix="0" xfId="39">
      <alignment horizontal="center" vertical="center"/>
    </xf>
    <xf numFmtId="15" fontId="28" fillId="13" borderId="1" applyAlignment="1" pivotButton="0" quotePrefix="0" xfId="24">
      <alignment horizontal="left" vertical="center" wrapText="1"/>
    </xf>
    <xf numFmtId="0" fontId="28" fillId="13" borderId="1" applyAlignment="1" pivotButton="0" quotePrefix="0" xfId="24">
      <alignment horizontal="left" vertical="center" wrapText="1"/>
    </xf>
    <xf numFmtId="0" fontId="28" fillId="2" borderId="1" applyAlignment="1" pivotButton="0" quotePrefix="0" xfId="24">
      <alignment horizontal="center" vertical="center" wrapText="1"/>
    </xf>
    <xf numFmtId="0" fontId="28" fillId="13" borderId="1" applyAlignment="1" pivotButton="0" quotePrefix="0" xfId="24">
      <alignment horizontal="center" vertical="center" wrapText="1"/>
    </xf>
    <xf numFmtId="0" fontId="310" fillId="13" borderId="1" applyAlignment="1" applyProtection="1" pivotButton="0" quotePrefix="0" xfId="0">
      <alignment horizontal="left" vertical="center" wrapText="1"/>
      <protection locked="0" hidden="0"/>
    </xf>
    <xf numFmtId="0" fontId="27" fillId="2" borderId="6" applyAlignment="1" pivotButton="0" quotePrefix="0" xfId="24">
      <alignment horizontal="left" vertical="center" wrapText="1"/>
    </xf>
    <xf numFmtId="0" fontId="27" fillId="2" borderId="16" applyAlignment="1" pivotButton="0" quotePrefix="0" xfId="24">
      <alignment horizontal="center" vertical="center" wrapText="1"/>
    </xf>
    <xf numFmtId="0" fontId="27" fillId="2" borderId="1" applyAlignment="1" pivotButton="0" quotePrefix="0" xfId="24">
      <alignment horizontal="center" vertical="center" wrapText="1"/>
    </xf>
    <xf numFmtId="0" fontId="27" fillId="13" borderId="6" applyAlignment="1" pivotButton="0" quotePrefix="0" xfId="24">
      <alignment horizontal="left" vertical="center" wrapText="1"/>
    </xf>
    <xf numFmtId="0" fontId="27" fillId="13" borderId="1" applyAlignment="1" pivotButton="0" quotePrefix="0" xfId="24">
      <alignment horizontal="center" vertical="center" wrapText="1"/>
    </xf>
    <xf numFmtId="0" fontId="27" fillId="13" borderId="16" applyAlignment="1" pivotButton="0" quotePrefix="0" xfId="24">
      <alignment horizontal="center" vertical="center" wrapText="1"/>
    </xf>
    <xf numFmtId="0" fontId="27" fillId="13" borderId="27" applyAlignment="1" pivotButton="0" quotePrefix="0" xfId="24">
      <alignment horizontal="left" vertical="center" wrapText="1"/>
    </xf>
    <xf numFmtId="0" fontId="310" fillId="4" borderId="12" applyAlignment="1" pivotButton="0" quotePrefix="0" xfId="8">
      <alignment horizontal="center" vertical="center" wrapText="1"/>
    </xf>
    <xf numFmtId="0" fontId="310" fillId="4" borderId="17" applyAlignment="1" pivotButton="0" quotePrefix="0" xfId="8">
      <alignment horizontal="center" vertical="center" wrapText="1"/>
    </xf>
    <xf numFmtId="0" fontId="310" fillId="4" borderId="17" applyAlignment="1" pivotButton="0" quotePrefix="0" xfId="8">
      <alignment horizontal="left" vertical="center" wrapText="1"/>
    </xf>
    <xf numFmtId="0" fontId="310" fillId="4" borderId="17" applyAlignment="1" pivotButton="0" quotePrefix="0" xfId="8">
      <alignment horizontal="center" vertical="center"/>
    </xf>
    <xf numFmtId="49" fontId="310" fillId="4" borderId="17" applyAlignment="1" pivotButton="0" quotePrefix="0" xfId="24">
      <alignment horizontal="center" vertical="center" wrapText="1"/>
    </xf>
    <xf numFmtId="49" fontId="310" fillId="4" borderId="17" applyAlignment="1" pivotButton="0" quotePrefix="0" xfId="8">
      <alignment horizontal="center" vertical="center" wrapText="1"/>
    </xf>
    <xf numFmtId="49" fontId="310" fillId="4" borderId="17" applyAlignment="1" pivotButton="0" quotePrefix="1" xfId="8">
      <alignment horizontal="center" vertical="center" wrapText="1"/>
    </xf>
    <xf numFmtId="0" fontId="310" fillId="4" borderId="18" applyAlignment="1" pivotButton="0" quotePrefix="0" xfId="8">
      <alignment horizontal="center" vertical="center" wrapText="1"/>
    </xf>
    <xf numFmtId="0" fontId="310" fillId="4" borderId="12" applyAlignment="1" pivotButton="0" quotePrefix="0" xfId="8">
      <alignment horizontal="left" vertical="center"/>
    </xf>
    <xf numFmtId="0" fontId="310" fillId="4" borderId="19" applyAlignment="1" pivotButton="0" quotePrefix="0" xfId="8">
      <alignment horizontal="left" vertical="center"/>
    </xf>
    <xf numFmtId="0" fontId="310" fillId="4" borderId="18" applyAlignment="1" pivotButton="0" quotePrefix="0" xfId="8">
      <alignment horizontal="center" vertical="center"/>
    </xf>
    <xf numFmtId="0" fontId="310" fillId="4" borderId="19" applyAlignment="1" pivotButton="0" quotePrefix="0" xfId="8">
      <alignment horizontal="left" vertical="center" wrapText="1"/>
    </xf>
    <xf numFmtId="0" fontId="310" fillId="4" borderId="12" applyAlignment="1" pivotButton="0" quotePrefix="0" xfId="24">
      <alignment horizontal="center" vertical="center" wrapText="1"/>
    </xf>
    <xf numFmtId="0" fontId="310" fillId="4" borderId="17" applyAlignment="1" pivotButton="0" quotePrefix="0" xfId="24">
      <alignment horizontal="center" vertical="center"/>
    </xf>
    <xf numFmtId="15" fontId="310" fillId="4" borderId="17" applyAlignment="1" pivotButton="0" quotePrefix="0" xfId="24">
      <alignment horizontal="left" vertical="center" wrapText="1"/>
    </xf>
    <xf numFmtId="15" fontId="310" fillId="4" borderId="17" applyAlignment="1" pivotButton="0" quotePrefix="0" xfId="24">
      <alignment horizontal="center" vertical="center" wrapText="1"/>
    </xf>
    <xf numFmtId="0" fontId="310" fillId="4" borderId="17" applyAlignment="1" pivotButton="0" quotePrefix="0" xfId="26">
      <alignment horizontal="center" vertical="center" wrapText="1"/>
    </xf>
    <xf numFmtId="0" fontId="310" fillId="4" borderId="17" applyAlignment="1" pivotButton="0" quotePrefix="0" xfId="24">
      <alignment horizontal="center" vertical="center" wrapText="1"/>
    </xf>
    <xf numFmtId="15" fontId="310" fillId="4" borderId="17" applyAlignment="1" pivotButton="0" quotePrefix="0" xfId="24">
      <alignment horizontal="center" vertical="center"/>
    </xf>
    <xf numFmtId="0" fontId="310" fillId="4" borderId="18" applyAlignment="1" pivotButton="0" quotePrefix="0" xfId="24">
      <alignment horizontal="center" vertical="center" wrapText="1"/>
    </xf>
    <xf numFmtId="0" fontId="310" fillId="4" borderId="12" applyAlignment="1" pivotButton="0" quotePrefix="0" xfId="24">
      <alignment horizontal="left" vertical="center" wrapText="1"/>
    </xf>
    <xf numFmtId="0" fontId="310" fillId="4" borderId="19" applyAlignment="1" pivotButton="0" quotePrefix="0" xfId="24">
      <alignment horizontal="left" vertical="center" wrapText="1"/>
    </xf>
    <xf numFmtId="0" fontId="310" fillId="4" borderId="17" applyAlignment="1" pivotButton="0" quotePrefix="0" xfId="24">
      <alignment horizontal="left" vertical="center" wrapText="1"/>
    </xf>
    <xf numFmtId="0" fontId="310" fillId="4" borderId="24" applyAlignment="1" pivotButton="0" quotePrefix="0" xfId="24">
      <alignment horizontal="left" vertical="center" wrapText="1"/>
    </xf>
    <xf numFmtId="0" fontId="310" fillId="4" borderId="27" applyAlignment="1" pivotButton="0" quotePrefix="0" xfId="24">
      <alignment horizontal="left" vertical="center" wrapText="1"/>
    </xf>
    <xf numFmtId="0" fontId="310" fillId="4" borderId="25" applyAlignment="1" pivotButton="0" quotePrefix="0" xfId="24">
      <alignment horizontal="center" vertical="center" wrapText="1"/>
    </xf>
    <xf numFmtId="0" fontId="310" fillId="4" borderId="26" applyAlignment="1" pivotButton="0" quotePrefix="0" xfId="24">
      <alignment horizontal="center" vertical="center" wrapText="1"/>
    </xf>
    <xf numFmtId="0" fontId="310" fillId="4" borderId="12" applyAlignment="1" pivotButton="0" quotePrefix="0" xfId="24">
      <alignment horizontal="left" vertical="center"/>
    </xf>
    <xf numFmtId="0" fontId="310" fillId="4" borderId="17" applyAlignment="1" pivotButton="0" quotePrefix="0" xfId="24">
      <alignment horizontal="left" vertical="center"/>
    </xf>
    <xf numFmtId="0" fontId="310" fillId="4" borderId="18" applyAlignment="1" pivotButton="0" quotePrefix="0" xfId="24">
      <alignment horizontal="center" vertical="center"/>
    </xf>
    <xf numFmtId="0" fontId="310" fillId="4" borderId="19" applyAlignment="1" pivotButton="0" quotePrefix="0" xfId="24">
      <alignment horizontal="left" vertical="center"/>
    </xf>
    <xf numFmtId="0" fontId="310" fillId="13" borderId="17" applyAlignment="1" pivotButton="0" quotePrefix="0" xfId="8">
      <alignment horizontal="center" vertical="center" wrapText="1"/>
    </xf>
    <xf numFmtId="0" fontId="310" fillId="13" borderId="17" applyAlignment="1" pivotButton="0" quotePrefix="0" xfId="24">
      <alignment horizontal="center" vertical="center" wrapText="1"/>
    </xf>
    <xf numFmtId="14" fontId="310" fillId="0" borderId="57" applyAlignment="1" pivotButton="0" quotePrefix="0" xfId="0">
      <alignment horizontal="center" vertical="center" wrapText="1"/>
    </xf>
    <xf numFmtId="14" fontId="310" fillId="0" borderId="58" applyAlignment="1" pivotButton="0" quotePrefix="0" xfId="0">
      <alignment horizontal="center" vertical="center" wrapText="1"/>
    </xf>
    <xf numFmtId="0" fontId="310" fillId="0" borderId="58" applyAlignment="1" pivotButton="0" quotePrefix="1" xfId="0">
      <alignment vertical="center" wrapText="1"/>
    </xf>
    <xf numFmtId="0" fontId="310" fillId="2" borderId="59" applyAlignment="1" pivotButton="0" quotePrefix="0" xfId="0">
      <alignment horizontal="center" vertical="center" wrapText="1"/>
    </xf>
    <xf numFmtId="0" fontId="26" fillId="13" borderId="1" applyAlignment="1" pivotButton="0" quotePrefix="0" xfId="24">
      <alignment horizontal="center" vertical="center" wrapText="1"/>
    </xf>
    <xf numFmtId="0" fontId="26" fillId="13" borderId="15" applyAlignment="1" pivotButton="0" quotePrefix="0" xfId="24">
      <alignment horizontal="left" vertical="center" wrapText="1"/>
    </xf>
    <xf numFmtId="0" fontId="26" fillId="2" borderId="1" applyAlignment="1" pivotButton="0" quotePrefix="0" xfId="24">
      <alignment horizontal="left" vertical="center" wrapText="1"/>
    </xf>
    <xf numFmtId="0" fontId="26" fillId="13" borderId="1" applyAlignment="1" pivotButton="0" quotePrefix="0" xfId="24">
      <alignment horizontal="left" vertical="center" wrapText="1"/>
    </xf>
    <xf numFmtId="0" fontId="310" fillId="13" borderId="16" applyAlignment="1" pivotButton="0" quotePrefix="0" xfId="0">
      <alignment horizontal="center" vertical="center" wrapText="1"/>
    </xf>
    <xf numFmtId="0" fontId="25" fillId="13" borderId="15" applyAlignment="1" pivotButton="0" quotePrefix="0" xfId="24">
      <alignment horizontal="left" vertical="center" wrapText="1"/>
    </xf>
    <xf numFmtId="0" fontId="25" fillId="13" borderId="16" applyAlignment="1" pivotButton="0" quotePrefix="0" xfId="24">
      <alignment horizontal="center" vertical="center" wrapText="1"/>
    </xf>
    <xf numFmtId="0" fontId="25" fillId="13" borderId="15" applyAlignment="1" pivotButton="0" quotePrefix="0" xfId="6">
      <alignment horizontal="left" vertical="center" wrapText="1"/>
    </xf>
    <xf numFmtId="0" fontId="25" fillId="13" borderId="16" applyAlignment="1" pivotButton="0" quotePrefix="0" xfId="6">
      <alignment horizontal="center" vertical="center" wrapText="1"/>
    </xf>
    <xf numFmtId="0" fontId="292" fillId="13" borderId="1" applyAlignment="1" pivotButton="0" quotePrefix="0" xfId="6">
      <alignment horizontal="center" vertical="center" wrapText="1"/>
    </xf>
    <xf numFmtId="0" fontId="25" fillId="13" borderId="15" applyAlignment="1" pivotButton="0" quotePrefix="1" xfId="6">
      <alignment horizontal="left" vertical="center" wrapText="1"/>
    </xf>
    <xf numFmtId="0" fontId="314" fillId="13" borderId="6" applyAlignment="1" pivotButton="0" quotePrefix="1" xfId="6">
      <alignment horizontal="left" vertical="center" wrapText="1"/>
    </xf>
    <xf numFmtId="0" fontId="24" fillId="13" borderId="15" applyAlignment="1" pivotButton="0" quotePrefix="0" xfId="24">
      <alignment horizontal="left" vertical="center" wrapText="1"/>
    </xf>
    <xf numFmtId="0" fontId="24" fillId="13" borderId="16" applyAlignment="1" pivotButton="0" quotePrefix="0" xfId="24">
      <alignment horizontal="center" vertical="center" wrapText="1"/>
    </xf>
    <xf numFmtId="0" fontId="310" fillId="13" borderId="15" applyAlignment="1" applyProtection="1" pivotButton="0" quotePrefix="0" xfId="0">
      <alignment horizontal="left" vertical="center" wrapText="1"/>
      <protection locked="0" hidden="0"/>
    </xf>
    <xf numFmtId="0" fontId="314" fillId="13" borderId="1" applyAlignment="1" applyProtection="1" pivotButton="0" quotePrefix="0" xfId="0">
      <alignment horizontal="left" vertical="center" wrapText="1"/>
      <protection locked="0" hidden="0"/>
    </xf>
    <xf numFmtId="0" fontId="23" fillId="2" borderId="1" applyAlignment="1" pivotButton="0" quotePrefix="0" xfId="24">
      <alignment horizontal="left" vertical="center" wrapText="1"/>
    </xf>
    <xf numFmtId="0" fontId="22" fillId="13" borderId="16" applyAlignment="1" pivotButton="0" quotePrefix="0" xfId="24">
      <alignment horizontal="center" vertical="center" wrapText="1"/>
    </xf>
    <xf numFmtId="0" fontId="22" fillId="13" borderId="1" applyAlignment="1" pivotButton="0" quotePrefix="0" xfId="24">
      <alignment horizontal="center" vertical="center" wrapText="1"/>
    </xf>
    <xf numFmtId="0" fontId="22" fillId="13" borderId="6" applyAlignment="1" pivotButton="0" quotePrefix="0" xfId="24">
      <alignment horizontal="left" vertical="center" wrapText="1"/>
    </xf>
    <xf numFmtId="0" fontId="21" fillId="2" borderId="6" applyAlignment="1" pivotButton="0" quotePrefix="0" xfId="24">
      <alignment horizontal="left" vertical="center" wrapText="1"/>
    </xf>
    <xf numFmtId="15" fontId="21" fillId="2" borderId="1" applyAlignment="1" pivotButton="0" quotePrefix="0" xfId="24">
      <alignment horizontal="left" vertical="center" wrapText="1"/>
    </xf>
    <xf numFmtId="0" fontId="21" fillId="13" borderId="6" applyAlignment="1" pivotButton="0" quotePrefix="0" xfId="24">
      <alignment horizontal="left" vertical="center" wrapText="1"/>
    </xf>
    <xf numFmtId="0" fontId="21" fillId="13" borderId="16" applyAlignment="1" pivotButton="0" quotePrefix="0" xfId="24">
      <alignment horizontal="center" vertical="center" wrapText="1"/>
    </xf>
    <xf numFmtId="0" fontId="310" fillId="2" borderId="1" applyAlignment="1" pivotButton="0" quotePrefix="0" xfId="0">
      <alignment horizontal="left" vertical="top" wrapText="1"/>
    </xf>
    <xf numFmtId="0" fontId="0" fillId="2" borderId="25" applyAlignment="1" pivotButton="0" quotePrefix="0" xfId="0">
      <alignment horizontal="left" vertical="center" wrapText="1"/>
    </xf>
    <xf numFmtId="0" fontId="20" fillId="2" borderId="6" applyAlignment="1" pivotButton="0" quotePrefix="0" xfId="24">
      <alignment horizontal="left" vertical="center" wrapText="1"/>
    </xf>
    <xf numFmtId="15" fontId="20" fillId="2" borderId="1" applyAlignment="1" pivotButton="0" quotePrefix="0" xfId="24">
      <alignment horizontal="left" vertical="center" wrapText="1"/>
    </xf>
    <xf numFmtId="0" fontId="20" fillId="2" borderId="1" applyAlignment="1" pivotButton="0" quotePrefix="0" xfId="24">
      <alignment horizontal="left" vertical="center" wrapText="1"/>
    </xf>
    <xf numFmtId="0" fontId="20" fillId="2" borderId="1" applyAlignment="1" pivotButton="0" quotePrefix="0" xfId="26">
      <alignment horizontal="left" vertical="center" wrapText="1"/>
    </xf>
    <xf numFmtId="15" fontId="19" fillId="2" borderId="1" applyAlignment="1" pivotButton="0" quotePrefix="0" xfId="24">
      <alignment horizontal="left" vertical="center" wrapText="1"/>
    </xf>
    <xf numFmtId="15" fontId="18" fillId="2" borderId="1" applyAlignment="1" pivotButton="0" quotePrefix="0" xfId="24">
      <alignment horizontal="left" vertical="center" wrapText="1"/>
    </xf>
    <xf numFmtId="15" fontId="17" fillId="2" borderId="1" applyAlignment="1" pivotButton="0" quotePrefix="0" xfId="24">
      <alignment horizontal="left" vertical="center" wrapText="1"/>
    </xf>
    <xf numFmtId="0" fontId="17" fillId="2" borderId="1" applyAlignment="1" pivotButton="0" quotePrefix="0" xfId="24">
      <alignment horizontal="left" vertical="center" wrapText="1"/>
    </xf>
    <xf numFmtId="0" fontId="16" fillId="13" borderId="1" applyAlignment="1" pivotButton="0" quotePrefix="0" xfId="24">
      <alignment horizontal="center" vertical="center" wrapText="1"/>
    </xf>
    <xf numFmtId="0" fontId="16" fillId="13" borderId="16" applyAlignment="1" pivotButton="0" quotePrefix="0" xfId="24">
      <alignment horizontal="center" vertical="center" wrapText="1"/>
    </xf>
    <xf numFmtId="15" fontId="16" fillId="2" borderId="1" applyAlignment="1" pivotButton="0" quotePrefix="0" xfId="24">
      <alignment horizontal="left" vertical="center" wrapText="1"/>
    </xf>
    <xf numFmtId="20" fontId="16" fillId="13" borderId="1" applyAlignment="1" pivotButton="0" quotePrefix="0" xfId="0">
      <alignment vertical="center" wrapText="1"/>
    </xf>
    <xf numFmtId="20" fontId="314" fillId="13" borderId="1" applyAlignment="1" pivotButton="0" quotePrefix="0" xfId="0">
      <alignment vertical="center" wrapText="1"/>
    </xf>
    <xf numFmtId="0" fontId="15" fillId="13" borderId="15" applyAlignment="1" pivotButton="0" quotePrefix="0" xfId="24">
      <alignment horizontal="left" vertical="center" wrapText="1"/>
    </xf>
    <xf numFmtId="0" fontId="15" fillId="13" borderId="1" applyAlignment="1" pivotButton="0" quotePrefix="0" xfId="24">
      <alignment horizontal="center" vertical="center" wrapText="1"/>
    </xf>
    <xf numFmtId="0" fontId="15" fillId="13" borderId="16" applyAlignment="1" pivotButton="0" quotePrefix="0" xfId="24">
      <alignment horizontal="center" vertical="center" wrapText="1"/>
    </xf>
    <xf numFmtId="15" fontId="14" fillId="2" borderId="1" applyAlignment="1" pivotButton="0" quotePrefix="0" xfId="24">
      <alignment horizontal="left" vertical="center" wrapText="1"/>
    </xf>
    <xf numFmtId="15" fontId="13" fillId="13" borderId="1" applyAlignment="1" pivotButton="0" quotePrefix="0" xfId="24">
      <alignment horizontal="left" vertical="center" wrapText="1"/>
    </xf>
    <xf numFmtId="0" fontId="13" fillId="2" borderId="1" applyAlignment="1" pivotButton="0" quotePrefix="0" xfId="24">
      <alignment horizontal="center" vertical="center" wrapText="1"/>
    </xf>
    <xf numFmtId="15" fontId="13" fillId="2" borderId="1" applyAlignment="1" pivotButton="0" quotePrefix="0" xfId="24">
      <alignment horizontal="left" vertical="center" wrapText="1"/>
    </xf>
    <xf numFmtId="0" fontId="12" fillId="2" borderId="1" applyAlignment="1" pivotButton="0" quotePrefix="0" xfId="24">
      <alignment horizontal="left" vertical="center" wrapText="1"/>
    </xf>
    <xf numFmtId="15" fontId="12" fillId="13" borderId="1" applyAlignment="1" pivotButton="0" quotePrefix="0" xfId="24">
      <alignment horizontal="left" vertical="center" wrapText="1"/>
    </xf>
    <xf numFmtId="15" fontId="292" fillId="13" borderId="1" applyAlignment="1" pivotButton="0" quotePrefix="0" xfId="24">
      <alignment horizontal="left" vertical="center" wrapText="1"/>
    </xf>
    <xf numFmtId="15" fontId="11" fillId="2" borderId="1" applyAlignment="1" pivotButton="0" quotePrefix="0" xfId="24">
      <alignment horizontal="left" vertical="center" wrapText="1"/>
    </xf>
    <xf numFmtId="0" fontId="11" fillId="13" borderId="1" applyAlignment="1" pivotButton="0" quotePrefix="0" xfId="24">
      <alignment horizontal="center" vertical="center" wrapText="1"/>
    </xf>
    <xf numFmtId="15" fontId="10" fillId="2" borderId="1" applyAlignment="1" pivotButton="0" quotePrefix="0" xfId="24">
      <alignment horizontal="left" vertical="center" wrapText="1"/>
    </xf>
    <xf numFmtId="0" fontId="10" fillId="13" borderId="16" applyAlignment="1" pivotButton="0" quotePrefix="0" xfId="24">
      <alignment horizontal="center" vertical="center" wrapText="1"/>
    </xf>
    <xf numFmtId="0" fontId="10" fillId="13" borderId="15" applyAlignment="1" pivotButton="0" quotePrefix="0" xfId="24">
      <alignment horizontal="left" vertical="center" wrapText="1"/>
    </xf>
    <xf numFmtId="0" fontId="10" fillId="2" borderId="1" applyAlignment="1" pivotButton="0" quotePrefix="0" xfId="24">
      <alignment horizontal="center" vertical="center" wrapText="1"/>
    </xf>
    <xf numFmtId="0" fontId="10" fillId="2" borderId="1" applyAlignment="1" pivotButton="0" quotePrefix="0" xfId="24">
      <alignment horizontal="left" vertical="center" wrapText="1"/>
    </xf>
    <xf numFmtId="0" fontId="10" fillId="13" borderId="1" applyAlignment="1" pivotButton="0" quotePrefix="0" xfId="24">
      <alignment horizontal="left" vertical="center" wrapText="1"/>
    </xf>
    <xf numFmtId="0" fontId="9" fillId="13" borderId="1" applyAlignment="1" pivotButton="0" quotePrefix="0" xfId="24">
      <alignment horizontal="center" vertical="center" wrapText="1"/>
    </xf>
    <xf numFmtId="0" fontId="9" fillId="2" borderId="24" applyAlignment="1" pivotButton="0" quotePrefix="0" xfId="24">
      <alignment horizontal="left" vertical="center" wrapText="1"/>
    </xf>
    <xf numFmtId="0" fontId="8" fillId="2" borderId="6" applyAlignment="1" pivotButton="0" quotePrefix="0" xfId="24">
      <alignment horizontal="left" vertical="center" wrapText="1"/>
    </xf>
    <xf numFmtId="0" fontId="7" fillId="2" borderId="24" applyAlignment="1" pivotButton="0" quotePrefix="0" xfId="24">
      <alignment horizontal="left" vertical="center" wrapText="1"/>
    </xf>
    <xf numFmtId="15" fontId="7" fillId="2" borderId="1" applyAlignment="1" pivotButton="0" quotePrefix="0" xfId="24">
      <alignment horizontal="left" vertical="center" wrapText="1"/>
    </xf>
    <xf numFmtId="0" fontId="7" fillId="13" borderId="27" applyAlignment="1" pivotButton="0" quotePrefix="0" xfId="24">
      <alignment horizontal="left" vertical="center" wrapText="1"/>
    </xf>
    <xf numFmtId="0" fontId="7" fillId="13" borderId="26" applyAlignment="1" pivotButton="0" quotePrefix="0" xfId="24">
      <alignment horizontal="center" vertical="center" wrapText="1"/>
    </xf>
    <xf numFmtId="0" fontId="310" fillId="0" borderId="27" applyAlignment="1" pivotButton="0" quotePrefix="0" xfId="8">
      <alignment horizontal="left" vertical="center"/>
    </xf>
    <xf numFmtId="14" fontId="310" fillId="0" borderId="1" applyAlignment="1" pivotButton="0" quotePrefix="0" xfId="8">
      <alignment horizontal="center" vertical="center" wrapText="1"/>
    </xf>
    <xf numFmtId="0" fontId="310" fillId="0" borderId="1" applyAlignment="1" pivotButton="0" quotePrefix="0" xfId="26">
      <alignment horizontal="center" vertical="center" wrapText="1"/>
    </xf>
    <xf numFmtId="0" fontId="310" fillId="0" borderId="5" applyAlignment="1" pivotButton="0" quotePrefix="0" xfId="24">
      <alignment horizontal="center" vertical="center" wrapText="1"/>
    </xf>
    <xf numFmtId="0" fontId="310" fillId="0" borderId="5" applyAlignment="1" pivotButton="0" quotePrefix="0" xfId="13">
      <alignment horizontal="center" vertical="center" wrapText="1"/>
    </xf>
    <xf numFmtId="0" fontId="310" fillId="24" borderId="1" applyAlignment="1" pivotButton="0" quotePrefix="0" xfId="0">
      <alignment horizontal="center" vertical="center"/>
    </xf>
    <xf numFmtId="0" fontId="310" fillId="24" borderId="1" applyAlignment="1" pivotButton="0" quotePrefix="0" xfId="0">
      <alignment horizontal="center" vertical="center" wrapText="1"/>
    </xf>
    <xf numFmtId="0" fontId="314" fillId="24" borderId="1" applyAlignment="1" pivotButton="0" quotePrefix="0" xfId="0">
      <alignment horizontal="center" vertical="center" wrapText="1"/>
    </xf>
    <xf numFmtId="0" fontId="310" fillId="24" borderId="1" applyAlignment="1" pivotButton="0" quotePrefix="0" xfId="0">
      <alignment vertical="center" wrapText="1"/>
    </xf>
    <xf numFmtId="0" fontId="314" fillId="24" borderId="1" applyAlignment="1" pivotButton="0" quotePrefix="0" xfId="0">
      <alignment vertical="center" wrapText="1"/>
    </xf>
    <xf numFmtId="0" fontId="314" fillId="24" borderId="1" applyAlignment="1" pivotButton="0" quotePrefix="0" xfId="0">
      <alignment horizontal="center" vertical="center"/>
    </xf>
    <xf numFmtId="14" fontId="310" fillId="24" borderId="1" applyAlignment="1" pivotButton="0" quotePrefix="1" xfId="0">
      <alignment horizontal="center" vertical="center"/>
    </xf>
    <xf numFmtId="0" fontId="310" fillId="24" borderId="16" applyAlignment="1" pivotButton="0" quotePrefix="0" xfId="0">
      <alignment horizontal="center" vertical="center"/>
    </xf>
    <xf numFmtId="0" fontId="310" fillId="15" borderId="15" applyAlignment="1" pivotButton="0" quotePrefix="0" xfId="0">
      <alignment vertical="center" wrapText="1"/>
    </xf>
    <xf numFmtId="0" fontId="310" fillId="24" borderId="16" applyAlignment="1" pivotButton="0" quotePrefix="0" xfId="0">
      <alignment vertical="center"/>
    </xf>
    <xf numFmtId="0" fontId="310" fillId="24" borderId="15" applyAlignment="1" pivotButton="0" quotePrefix="0" xfId="0">
      <alignment vertical="center" wrapText="1"/>
    </xf>
    <xf numFmtId="0" fontId="310" fillId="15" borderId="15" applyAlignment="1" pivotButton="0" quotePrefix="0" xfId="0">
      <alignment horizontal="left" vertical="center" wrapText="1"/>
    </xf>
    <xf numFmtId="0" fontId="314" fillId="15" borderId="1" applyAlignment="1" pivotButton="0" quotePrefix="0" xfId="0">
      <alignment horizontal="left" vertical="center" wrapText="1"/>
    </xf>
    <xf numFmtId="0" fontId="310" fillId="15" borderId="1" applyAlignment="1" pivotButton="0" quotePrefix="0" xfId="0">
      <alignment horizontal="center" vertical="center" wrapText="1"/>
    </xf>
    <xf numFmtId="0" fontId="310" fillId="15" borderId="16" applyAlignment="1" pivotButton="0" quotePrefix="0" xfId="0">
      <alignment horizontal="left" vertical="center" wrapText="1"/>
    </xf>
    <xf numFmtId="0" fontId="310" fillId="15" borderId="15" applyAlignment="1" pivotButton="0" quotePrefix="0" xfId="0">
      <alignment horizontal="center" vertical="center" wrapText="1"/>
    </xf>
    <xf numFmtId="0" fontId="314" fillId="15" borderId="1" applyAlignment="1" pivotButton="0" quotePrefix="0" xfId="0">
      <alignment vertical="center" wrapText="1"/>
    </xf>
    <xf numFmtId="0" fontId="310" fillId="15" borderId="1" applyAlignment="1" pivotButton="0" quotePrefix="0" xfId="0">
      <alignment horizontal="left" vertical="center" wrapText="1"/>
    </xf>
    <xf numFmtId="0" fontId="310" fillId="15" borderId="1" applyAlignment="1" pivotButton="0" quotePrefix="0" xfId="0">
      <alignment vertical="center" wrapText="1"/>
    </xf>
    <xf numFmtId="0" fontId="314" fillId="15" borderId="1" applyAlignment="1" pivotButton="0" quotePrefix="0" xfId="0">
      <alignment horizontal="center" vertical="center" wrapText="1"/>
    </xf>
    <xf numFmtId="0" fontId="314" fillId="15" borderId="1" applyAlignment="1" pivotButton="0" quotePrefix="1" xfId="0">
      <alignment horizontal="left" vertical="center" wrapText="1"/>
    </xf>
    <xf numFmtId="0" fontId="310" fillId="15" borderId="1" applyAlignment="1" pivotButton="0" quotePrefix="0" xfId="0">
      <alignment horizontal="center" vertical="center"/>
    </xf>
    <xf numFmtId="0" fontId="310" fillId="15" borderId="1" applyAlignment="1" pivotButton="0" quotePrefix="0" xfId="0">
      <alignment horizontal="center" vertical="center" wrapText="1" readingOrder="1"/>
    </xf>
    <xf numFmtId="0" fontId="314" fillId="15" borderId="1" applyAlignment="1" pivotButton="0" quotePrefix="0" xfId="0">
      <alignment horizontal="center" vertical="center" wrapText="1" readingOrder="1"/>
    </xf>
    <xf numFmtId="0" fontId="310" fillId="15" borderId="1" applyAlignment="1" pivotButton="0" quotePrefix="1" xfId="0">
      <alignment horizontal="center" vertical="center" wrapText="1" readingOrder="1"/>
    </xf>
    <xf numFmtId="0" fontId="310" fillId="15" borderId="1" applyAlignment="1" pivotButton="0" quotePrefix="1" xfId="0">
      <alignment horizontal="center" vertical="center" wrapText="1"/>
    </xf>
    <xf numFmtId="0" fontId="310" fillId="15" borderId="16" applyAlignment="1" pivotButton="0" quotePrefix="0" xfId="0">
      <alignment horizontal="center" vertical="center" wrapText="1"/>
    </xf>
    <xf numFmtId="0" fontId="310" fillId="15" borderId="15" applyAlignment="1" pivotButton="0" quotePrefix="0" xfId="0">
      <alignment horizontal="center" vertical="center"/>
    </xf>
    <xf numFmtId="0" fontId="314" fillId="15" borderId="1" applyAlignment="1" pivotButton="0" quotePrefix="0" xfId="0">
      <alignment horizontal="center" vertical="center"/>
    </xf>
    <xf numFmtId="0" fontId="310" fillId="15" borderId="16" applyAlignment="1" pivotButton="0" quotePrefix="0" xfId="0">
      <alignment horizontal="center" vertical="center"/>
    </xf>
    <xf numFmtId="0" fontId="310" fillId="15" borderId="1" applyAlignment="1" pivotButton="0" quotePrefix="0" xfId="8">
      <alignment horizontal="center" vertical="center" wrapText="1"/>
    </xf>
    <xf numFmtId="0" fontId="310" fillId="15" borderId="6" applyAlignment="1" pivotButton="0" quotePrefix="0" xfId="8">
      <alignment horizontal="left" vertical="center" wrapText="1"/>
    </xf>
    <xf numFmtId="0" fontId="314" fillId="15" borderId="6" applyAlignment="1" pivotButton="0" quotePrefix="0" xfId="8">
      <alignment horizontal="left" vertical="center" wrapText="1"/>
    </xf>
    <xf numFmtId="0" fontId="310" fillId="15" borderId="1" applyAlignment="1" applyProtection="1" pivotButton="0" quotePrefix="0" xfId="0">
      <alignment horizontal="center" vertical="center" wrapText="1"/>
      <protection locked="0" hidden="0"/>
    </xf>
    <xf numFmtId="0" fontId="310" fillId="15" borderId="16" applyAlignment="1" pivotButton="0" quotePrefix="0" xfId="8">
      <alignment horizontal="center" vertical="center" wrapText="1"/>
    </xf>
    <xf numFmtId="0" fontId="310" fillId="24" borderId="15" applyAlignment="1" pivotButton="0" quotePrefix="0" xfId="0">
      <alignment vertical="center"/>
    </xf>
    <xf numFmtId="0" fontId="310" fillId="24" borderId="1" applyAlignment="1" pivotButton="0" quotePrefix="0" xfId="0">
      <alignment vertical="center"/>
    </xf>
    <xf numFmtId="0" fontId="314" fillId="24" borderId="1" applyAlignment="1" pivotButton="0" quotePrefix="0" xfId="0">
      <alignment vertical="center"/>
    </xf>
    <xf numFmtId="0" fontId="6" fillId="15" borderId="24" applyAlignment="1" pivotButton="0" quotePrefix="0" xfId="13">
      <alignment horizontal="center" vertical="center"/>
    </xf>
    <xf numFmtId="0" fontId="6" fillId="15" borderId="25" applyAlignment="1" pivotButton="0" quotePrefix="0" xfId="13">
      <alignment horizontal="center" vertical="center" wrapText="1"/>
    </xf>
    <xf numFmtId="0" fontId="314" fillId="15" borderId="25" applyAlignment="1" pivotButton="0" quotePrefix="0" xfId="13">
      <alignment horizontal="center" vertical="center" wrapText="1"/>
    </xf>
    <xf numFmtId="0" fontId="310" fillId="15" borderId="25" applyAlignment="1" pivotButton="0" quotePrefix="0" xfId="0">
      <alignment horizontal="center" vertical="center" wrapText="1"/>
    </xf>
    <xf numFmtId="0" fontId="310" fillId="15" borderId="25" applyAlignment="1" pivotButton="0" quotePrefix="0" xfId="0">
      <alignment vertical="center" wrapText="1"/>
    </xf>
    <xf numFmtId="0" fontId="314" fillId="15" borderId="25" applyAlignment="1" pivotButton="0" quotePrefix="0" xfId="0">
      <alignment vertical="center" wrapText="1"/>
    </xf>
    <xf numFmtId="0" fontId="310" fillId="15" borderId="25" applyAlignment="1" pivotButton="0" quotePrefix="0" xfId="13">
      <alignment horizontal="center" vertical="center" wrapText="1"/>
    </xf>
    <xf numFmtId="0" fontId="6" fillId="15" borderId="1" applyAlignment="1" pivotButton="0" quotePrefix="0" xfId="24">
      <alignment horizontal="left" vertical="center" wrapText="1"/>
    </xf>
    <xf numFmtId="0" fontId="314" fillId="15" borderId="1" applyAlignment="1" pivotButton="0" quotePrefix="0" xfId="24">
      <alignment horizontal="left" vertical="center" wrapText="1"/>
    </xf>
    <xf numFmtId="0" fontId="310" fillId="15" borderId="25" applyAlignment="1" pivotButton="0" quotePrefix="0" xfId="0">
      <alignment horizontal="center" vertical="center"/>
    </xf>
    <xf numFmtId="0" fontId="314" fillId="15" borderId="25" applyAlignment="1" pivotButton="0" quotePrefix="0" xfId="0">
      <alignment horizontal="center" vertical="center"/>
    </xf>
    <xf numFmtId="0" fontId="310" fillId="15" borderId="25" applyAlignment="1" pivotButton="0" quotePrefix="1" xfId="13">
      <alignment horizontal="center" vertical="center" wrapText="1"/>
    </xf>
    <xf numFmtId="0" fontId="310" fillId="15" borderId="26" applyAlignment="1" pivotButton="0" quotePrefix="0" xfId="13">
      <alignment horizontal="center" vertical="center" wrapText="1"/>
    </xf>
    <xf numFmtId="0" fontId="6" fillId="0" borderId="0" pivotButton="0" quotePrefix="0" xfId="25"/>
    <xf numFmtId="0" fontId="310" fillId="15" borderId="15" applyAlignment="1" pivotButton="0" quotePrefix="0" xfId="8">
      <alignment horizontal="left" vertical="center" wrapText="1"/>
    </xf>
    <xf numFmtId="0" fontId="314" fillId="15" borderId="1" applyAlignment="1" pivotButton="0" quotePrefix="0" xfId="8">
      <alignment horizontal="left" vertical="center" wrapText="1"/>
    </xf>
    <xf numFmtId="0" fontId="310" fillId="15" borderId="1" applyAlignment="1" pivotButton="0" quotePrefix="0" xfId="8">
      <alignment horizontal="center" vertical="center"/>
    </xf>
    <xf numFmtId="0" fontId="310" fillId="15" borderId="26" applyAlignment="1" pivotButton="0" quotePrefix="0" xfId="8">
      <alignment horizontal="center" vertical="center" wrapText="1"/>
    </xf>
    <xf numFmtId="0" fontId="6" fillId="15" borderId="6" applyAlignment="1" pivotButton="0" quotePrefix="0" xfId="24">
      <alignment horizontal="left" vertical="center" wrapText="1"/>
    </xf>
    <xf numFmtId="0" fontId="314" fillId="15" borderId="6" applyAlignment="1" pivotButton="0" quotePrefix="0" xfId="24">
      <alignment horizontal="left" vertical="center" wrapText="1"/>
    </xf>
    <xf numFmtId="0" fontId="6" fillId="15" borderId="1" applyAlignment="1" pivotButton="0" quotePrefix="0" xfId="24">
      <alignment horizontal="center" vertical="center" wrapText="1"/>
    </xf>
    <xf numFmtId="0" fontId="314" fillId="15" borderId="1" applyAlignment="1" pivotButton="0" quotePrefix="0" xfId="8">
      <alignment horizontal="left" vertical="top" wrapText="1"/>
    </xf>
    <xf numFmtId="0" fontId="316" fillId="15" borderId="1" applyAlignment="1" pivotButton="0" quotePrefix="0" xfId="8">
      <alignment horizontal="left" vertical="center"/>
    </xf>
    <xf numFmtId="0" fontId="6" fillId="2" borderId="0" pivotButton="0" quotePrefix="0" xfId="25"/>
    <xf numFmtId="0" fontId="310" fillId="15" borderId="60" applyAlignment="1" pivotButton="0" quotePrefix="0" xfId="0">
      <alignment vertical="center" wrapText="1"/>
    </xf>
    <xf numFmtId="0" fontId="314" fillId="15" borderId="25" applyAlignment="1" pivotButton="0" quotePrefix="0" xfId="0">
      <alignment horizontal="center" vertical="center" wrapText="1"/>
    </xf>
    <xf numFmtId="0" fontId="310" fillId="15" borderId="1" applyAlignment="1" pivotButton="0" quotePrefix="0" xfId="24">
      <alignment horizontal="center" vertical="center" wrapText="1"/>
    </xf>
    <xf numFmtId="0" fontId="6" fillId="15" borderId="24" applyAlignment="1" pivotButton="0" quotePrefix="0" xfId="13">
      <alignment horizontal="center" vertical="center" wrapText="1"/>
    </xf>
    <xf numFmtId="0" fontId="310" fillId="15" borderId="25" applyAlignment="1" pivotButton="0" quotePrefix="0" xfId="0">
      <alignment vertical="top" wrapText="1"/>
    </xf>
    <xf numFmtId="0" fontId="314" fillId="15" borderId="25" applyAlignment="1" pivotButton="0" quotePrefix="0" xfId="0">
      <alignment vertical="top" wrapText="1"/>
    </xf>
    <xf numFmtId="0" fontId="310" fillId="15" borderId="25" applyAlignment="1" pivotButton="0" quotePrefix="0" xfId="0">
      <alignment horizontal="left" vertical="center" wrapText="1"/>
    </xf>
    <xf numFmtId="0" fontId="314" fillId="15" borderId="25" applyAlignment="1" pivotButton="0" quotePrefix="0" xfId="0">
      <alignment horizontal="left" vertical="center" wrapText="1"/>
    </xf>
    <xf numFmtId="0" fontId="310" fillId="2" borderId="0" pivotButton="0" quotePrefix="0" xfId="25"/>
    <xf numFmtId="0" fontId="67" fillId="2" borderId="0" pivotButton="0" quotePrefix="0" xfId="25"/>
    <xf numFmtId="0" fontId="316" fillId="2" borderId="0" pivotButton="0" quotePrefix="0" xfId="25"/>
    <xf numFmtId="0" fontId="271" fillId="2" borderId="0" pivotButton="0" quotePrefix="0" xfId="25"/>
    <xf numFmtId="0" fontId="283" fillId="2" borderId="0" pivotButton="0" quotePrefix="0" xfId="25"/>
    <xf numFmtId="0" fontId="6" fillId="15" borderId="15" applyAlignment="1" pivotButton="0" quotePrefix="0" xfId="41">
      <alignment horizontal="center" vertical="center"/>
    </xf>
    <xf numFmtId="0" fontId="310" fillId="15" borderId="1" applyAlignment="1" pivotButton="0" quotePrefix="1" xfId="13">
      <alignment horizontal="left" vertical="center" wrapText="1"/>
    </xf>
    <xf numFmtId="0" fontId="314" fillId="15" borderId="1" applyAlignment="1" pivotButton="0" quotePrefix="0" xfId="13">
      <alignment horizontal="left" vertical="center" wrapText="1"/>
    </xf>
    <xf numFmtId="0" fontId="310" fillId="15" borderId="1" applyAlignment="1" pivotButton="0" quotePrefix="0" xfId="13">
      <alignment horizontal="left" vertical="center" wrapText="1"/>
    </xf>
    <xf numFmtId="0" fontId="6" fillId="15" borderId="1" applyAlignment="1" pivotButton="0" quotePrefix="0" xfId="41">
      <alignment horizontal="center" vertical="center"/>
    </xf>
    <xf numFmtId="0" fontId="314" fillId="15" borderId="1" applyAlignment="1" pivotButton="0" quotePrefix="0" xfId="41">
      <alignment horizontal="center" vertical="center"/>
    </xf>
    <xf numFmtId="0" fontId="310" fillId="15" borderId="1" applyAlignment="1" pivotButton="0" quotePrefix="0" xfId="13">
      <alignment horizontal="center" vertical="center" wrapText="1"/>
    </xf>
    <xf numFmtId="49" fontId="310" fillId="15" borderId="1" applyAlignment="1" pivotButton="0" quotePrefix="0" xfId="13">
      <alignment horizontal="center" vertical="center" wrapText="1"/>
    </xf>
    <xf numFmtId="49" fontId="314" fillId="15" borderId="1" applyAlignment="1" pivotButton="0" quotePrefix="0" xfId="13">
      <alignment horizontal="center" vertical="center" wrapText="1"/>
    </xf>
    <xf numFmtId="0" fontId="0" fillId="15" borderId="1" applyAlignment="1" pivotButton="0" quotePrefix="0" xfId="0">
      <alignment horizontal="center" vertical="center"/>
    </xf>
    <xf numFmtId="49" fontId="6" fillId="15" borderId="1" applyAlignment="1" pivotButton="0" quotePrefix="0" xfId="41">
      <alignment horizontal="center" vertical="center"/>
    </xf>
    <xf numFmtId="49" fontId="6" fillId="15" borderId="1" applyAlignment="1" pivotButton="0" quotePrefix="1" xfId="41">
      <alignment horizontal="center" vertical="center"/>
    </xf>
    <xf numFmtId="0" fontId="6" fillId="15" borderId="1" applyAlignment="1" pivotButton="0" quotePrefix="0" xfId="41">
      <alignment horizontal="center" vertical="center" wrapText="1"/>
    </xf>
    <xf numFmtId="0" fontId="6" fillId="15" borderId="16" applyAlignment="1" pivotButton="0" quotePrefix="0" xfId="41">
      <alignment horizontal="center" vertical="center"/>
    </xf>
    <xf numFmtId="0" fontId="0" fillId="2" borderId="0" pivotButton="0" quotePrefix="0" xfId="0"/>
    <xf numFmtId="0" fontId="310" fillId="15" borderId="15" applyAlignment="1" applyProtection="1" pivotButton="0" quotePrefix="0" xfId="0">
      <alignment vertical="top" wrapText="1"/>
      <protection locked="0" hidden="0"/>
    </xf>
    <xf numFmtId="0" fontId="314" fillId="15" borderId="1" applyAlignment="1" applyProtection="1" pivotButton="0" quotePrefix="0" xfId="0">
      <alignment horizontal="left" vertical="top" wrapText="1"/>
      <protection locked="0" hidden="0"/>
    </xf>
    <xf numFmtId="0" fontId="6" fillId="15" borderId="1" applyAlignment="1" pivotButton="0" quotePrefix="0" xfId="0">
      <alignment horizontal="center" vertical="center" wrapText="1"/>
    </xf>
    <xf numFmtId="0" fontId="0" fillId="15" borderId="40" applyAlignment="1" pivotButton="0" quotePrefix="1" xfId="0">
      <alignment horizontal="left" vertical="center"/>
    </xf>
    <xf numFmtId="0" fontId="314" fillId="15" borderId="1" applyAlignment="1" pivotButton="0" quotePrefix="1" xfId="0">
      <alignment horizontal="left" vertical="center"/>
    </xf>
    <xf numFmtId="0" fontId="0" fillId="15" borderId="1" applyAlignment="1" pivotButton="0" quotePrefix="0" xfId="0">
      <alignment horizontal="left" vertical="center"/>
    </xf>
    <xf numFmtId="0" fontId="0" fillId="15" borderId="16" applyAlignment="1" pivotButton="0" quotePrefix="0" xfId="0">
      <alignment horizontal="left" vertical="center"/>
    </xf>
    <xf numFmtId="0" fontId="310" fillId="15" borderId="61" applyAlignment="1" pivotButton="0" quotePrefix="0" xfId="0">
      <alignment horizontal="left" vertical="center" wrapText="1"/>
    </xf>
    <xf numFmtId="0" fontId="0" fillId="15" borderId="5" applyAlignment="1" pivotButton="0" quotePrefix="0" xfId="0">
      <alignment horizontal="left" vertical="center"/>
    </xf>
    <xf numFmtId="0" fontId="0" fillId="15" borderId="36" applyAlignment="1" pivotButton="0" quotePrefix="0" xfId="0">
      <alignment horizontal="left" vertical="center"/>
    </xf>
    <xf numFmtId="0" fontId="310" fillId="15" borderId="62" applyAlignment="1" pivotButton="0" quotePrefix="0" xfId="0">
      <alignment horizontal="left" vertical="center" wrapText="1"/>
    </xf>
    <xf numFmtId="0" fontId="310" fillId="15" borderId="15" applyAlignment="1" applyProtection="1" pivotButton="0" quotePrefix="0" xfId="0">
      <alignment vertical="center" wrapText="1"/>
      <protection locked="0" hidden="0"/>
    </xf>
    <xf numFmtId="0" fontId="314" fillId="15" borderId="1" applyAlignment="1" applyProtection="1" pivotButton="0" quotePrefix="0" xfId="0">
      <alignment horizontal="left" vertical="center" wrapText="1"/>
      <protection locked="0" hidden="0"/>
    </xf>
    <xf numFmtId="0" fontId="314" fillId="15" borderId="1" applyAlignment="1" pivotButton="0" quotePrefix="0" xfId="41">
      <alignment horizontal="center" vertical="center" wrapText="1"/>
    </xf>
    <xf numFmtId="0" fontId="310" fillId="15" borderId="1" applyAlignment="1" pivotButton="0" quotePrefix="0" xfId="8">
      <alignment horizontal="left" vertical="center" wrapText="1"/>
    </xf>
    <xf numFmtId="0" fontId="332" fillId="2" borderId="6" applyAlignment="1" pivotButton="0" quotePrefix="0" xfId="24">
      <alignment horizontal="left" vertical="center" wrapText="1"/>
    </xf>
    <xf numFmtId="0" fontId="320" fillId="5" borderId="19" applyAlignment="1" pivotButton="0" quotePrefix="0" xfId="13">
      <alignment horizontal="center" vertical="center" wrapText="1"/>
    </xf>
    <xf numFmtId="0" fontId="320" fillId="5" borderId="17" applyAlignment="1" applyProtection="1" pivotButton="0" quotePrefix="0" xfId="13">
      <alignment horizontal="center" vertical="center" wrapText="1"/>
      <protection locked="0" hidden="0"/>
    </xf>
    <xf numFmtId="0" fontId="320" fillId="5" borderId="18" applyAlignment="1" applyProtection="1" pivotButton="0" quotePrefix="0" xfId="13">
      <alignment horizontal="center" vertical="center" wrapText="1"/>
      <protection locked="0" hidden="0"/>
    </xf>
    <xf numFmtId="0" fontId="6" fillId="2" borderId="24" applyAlignment="1" pivotButton="0" quotePrefix="0" xfId="0">
      <alignment horizontal="left" vertical="center" wrapText="1"/>
    </xf>
    <xf numFmtId="0" fontId="6" fillId="15" borderId="15" applyAlignment="1" pivotButton="0" quotePrefix="0" xfId="0">
      <alignment horizontal="left" vertical="center" wrapText="1"/>
    </xf>
    <xf numFmtId="0" fontId="6" fillId="2" borderId="1" applyAlignment="1" pivotButton="0" quotePrefix="0" xfId="24">
      <alignment horizontal="center" vertical="center" wrapText="1"/>
    </xf>
    <xf numFmtId="0" fontId="111" fillId="13" borderId="16" applyAlignment="1" pivotButton="0" quotePrefix="0" xfId="24">
      <alignment horizontal="center" vertical="center" wrapText="1"/>
    </xf>
    <xf numFmtId="0" fontId="111" fillId="13" borderId="15" applyAlignment="1" pivotButton="0" quotePrefix="0" xfId="24">
      <alignment horizontal="left" vertical="center" wrapText="1"/>
    </xf>
    <xf numFmtId="0" fontId="120" fillId="13" borderId="15" applyAlignment="1" pivotButton="0" quotePrefix="0" xfId="24">
      <alignment horizontal="left" vertical="center" wrapText="1"/>
    </xf>
    <xf numFmtId="0" fontId="316" fillId="13" borderId="26" applyAlignment="1" pivotButton="0" quotePrefix="0" xfId="24">
      <alignment horizontal="center" vertical="center" wrapText="1"/>
    </xf>
    <xf numFmtId="0" fontId="5" fillId="13" borderId="1" applyAlignment="1" pivotButton="0" quotePrefix="0" xfId="24">
      <alignment horizontal="center" vertical="center" wrapText="1"/>
    </xf>
    <xf numFmtId="0" fontId="5" fillId="2" borderId="24" applyAlignment="1" pivotButton="0" quotePrefix="0" xfId="24">
      <alignment horizontal="left" vertical="center" wrapText="1"/>
    </xf>
    <xf numFmtId="0" fontId="316" fillId="2" borderId="1" applyAlignment="1" pivotButton="0" quotePrefix="0" xfId="8">
      <alignment vertical="center" wrapText="1"/>
    </xf>
    <xf numFmtId="0" fontId="310" fillId="4" borderId="17" applyAlignment="1" pivotButton="0" quotePrefix="0" xfId="8">
      <alignment vertical="center" wrapText="1"/>
    </xf>
    <xf numFmtId="0" fontId="310" fillId="2" borderId="11" applyAlignment="1" pivotButton="0" quotePrefix="0" xfId="24">
      <alignment horizontal="center" vertical="center" wrapText="1"/>
    </xf>
    <xf numFmtId="0" fontId="314" fillId="2" borderId="11" applyAlignment="1" pivotButton="0" quotePrefix="0" xfId="24">
      <alignment horizontal="center" vertical="center" wrapText="1"/>
    </xf>
    <xf numFmtId="0" fontId="310" fillId="0" borderId="11" applyAlignment="1" pivotButton="0" quotePrefix="0" xfId="13">
      <alignment vertical="center" wrapText="1"/>
    </xf>
    <xf numFmtId="0" fontId="310" fillId="0" borderId="1" applyAlignment="1" pivotButton="0" quotePrefix="0" xfId="13">
      <alignment vertical="center" wrapText="1"/>
    </xf>
    <xf numFmtId="49" fontId="310" fillId="0" borderId="1" applyAlignment="1" pivotButton="0" quotePrefix="0" xfId="13">
      <alignment vertical="center" wrapText="1"/>
    </xf>
    <xf numFmtId="0" fontId="310" fillId="4" borderId="25" applyAlignment="1" pivotButton="0" quotePrefix="0" xfId="13">
      <alignment vertical="center" wrapText="1"/>
    </xf>
    <xf numFmtId="0" fontId="310" fillId="2" borderId="11" applyAlignment="1" pivotButton="0" quotePrefix="0" xfId="8">
      <alignment vertical="center" wrapText="1"/>
    </xf>
    <xf numFmtId="0" fontId="310" fillId="2" borderId="1" applyAlignment="1" pivotButton="0" quotePrefix="0" xfId="8">
      <alignment vertical="center" wrapText="1"/>
    </xf>
    <xf numFmtId="49" fontId="292" fillId="2" borderId="1" applyAlignment="1" pivotButton="0" quotePrefix="0" xfId="8">
      <alignment vertical="center"/>
    </xf>
    <xf numFmtId="15" fontId="292" fillId="2" borderId="5" applyAlignment="1" pivotButton="0" quotePrefix="0" xfId="24">
      <alignment vertical="center" wrapText="1"/>
    </xf>
    <xf numFmtId="15" fontId="292" fillId="2" borderId="1" applyAlignment="1" pivotButton="0" quotePrefix="0" xfId="24">
      <alignment vertical="center" wrapText="1"/>
    </xf>
    <xf numFmtId="15" fontId="316" fillId="2" borderId="1" applyAlignment="1" pivotButton="0" quotePrefix="0" xfId="24">
      <alignment vertical="center" wrapText="1"/>
    </xf>
    <xf numFmtId="15" fontId="310" fillId="4" borderId="17" applyAlignment="1" pivotButton="0" quotePrefix="0" xfId="24">
      <alignment vertical="center" wrapText="1"/>
    </xf>
    <xf numFmtId="0" fontId="310" fillId="2" borderId="1" applyAlignment="1" pivotButton="0" quotePrefix="0" xfId="27">
      <alignment vertical="center" wrapText="1"/>
    </xf>
    <xf numFmtId="15" fontId="310" fillId="2" borderId="1" applyAlignment="1" pivotButton="0" quotePrefix="0" xfId="24">
      <alignment vertical="center" wrapText="1"/>
    </xf>
    <xf numFmtId="15" fontId="115" fillId="2" borderId="1" applyAlignment="1" pivotButton="0" quotePrefix="0" xfId="24">
      <alignment vertical="center" wrapText="1"/>
    </xf>
    <xf numFmtId="0" fontId="310" fillId="15" borderId="25" applyAlignment="1" pivotButton="0" quotePrefix="0" xfId="13">
      <alignment vertical="center" wrapText="1"/>
    </xf>
    <xf numFmtId="0" fontId="310" fillId="15" borderId="1" applyAlignment="1" applyProtection="1" pivotButton="0" quotePrefix="0" xfId="0">
      <alignment vertical="center" wrapText="1"/>
      <protection locked="0" hidden="0"/>
    </xf>
    <xf numFmtId="0" fontId="310" fillId="2" borderId="5" applyAlignment="1" pivotButton="0" quotePrefix="0" xfId="13">
      <alignment vertical="center" wrapText="1"/>
    </xf>
    <xf numFmtId="0" fontId="310" fillId="2" borderId="1" applyAlignment="1" pivotButton="0" quotePrefix="0" xfId="13">
      <alignment vertical="center" wrapText="1"/>
    </xf>
    <xf numFmtId="0" fontId="310" fillId="4" borderId="17" applyAlignment="1" pivotButton="0" quotePrefix="0" xfId="13">
      <alignment vertical="center" wrapText="1"/>
    </xf>
    <xf numFmtId="15" fontId="4" fillId="2" borderId="1" applyAlignment="1" pivotButton="0" quotePrefix="0" xfId="24">
      <alignment horizontal="left" vertical="center" wrapText="1"/>
    </xf>
    <xf numFmtId="0" fontId="4" fillId="13" borderId="24" applyAlignment="1" pivotButton="0" quotePrefix="0" xfId="24">
      <alignment horizontal="left" vertical="center" wrapText="1"/>
    </xf>
    <xf numFmtId="0" fontId="4" fillId="13" borderId="26" applyAlignment="1" pivotButton="0" quotePrefix="0" xfId="24">
      <alignment horizontal="center" vertical="center" wrapText="1"/>
    </xf>
    <xf numFmtId="0" fontId="4" fillId="2" borderId="1" applyAlignment="1" pivotButton="0" quotePrefix="0" xfId="24">
      <alignment horizontal="left" vertical="center" wrapText="1"/>
    </xf>
    <xf numFmtId="0" fontId="3" fillId="13" borderId="1" applyAlignment="1" pivotButton="0" quotePrefix="0" xfId="24">
      <alignment horizontal="center" vertical="center" wrapText="1"/>
    </xf>
    <xf numFmtId="0" fontId="2" fillId="2" borderId="1" applyAlignment="1" pivotButton="0" quotePrefix="0" xfId="24">
      <alignment horizontal="center" vertical="center" wrapText="1"/>
    </xf>
    <xf numFmtId="0" fontId="2" fillId="13" borderId="1" applyAlignment="1" pivotButton="0" quotePrefix="0" xfId="24">
      <alignment horizontal="center" vertical="center" wrapText="1"/>
    </xf>
    <xf numFmtId="0" fontId="2" fillId="13" borderId="6" applyAlignment="1" pivotButton="0" quotePrefix="0" xfId="24">
      <alignment horizontal="left" vertical="center" wrapText="1"/>
    </xf>
    <xf numFmtId="0" fontId="2" fillId="13" borderId="15" applyAlignment="1" pivotButton="0" quotePrefix="1" xfId="24">
      <alignment horizontal="left" vertical="center" wrapText="1"/>
    </xf>
    <xf numFmtId="0" fontId="318" fillId="11" borderId="7" applyAlignment="1" pivotButton="0" quotePrefix="0" xfId="13">
      <alignment horizontal="center" vertical="center" wrapText="1"/>
    </xf>
    <xf numFmtId="0" fontId="318" fillId="11" borderId="9" applyAlignment="1" pivotButton="0" quotePrefix="0" xfId="13">
      <alignment horizontal="center" vertical="center" wrapText="1"/>
    </xf>
    <xf numFmtId="0" fontId="318" fillId="11" borderId="9" applyAlignment="1" pivotButton="0" quotePrefix="0" xfId="13">
      <alignment horizontal="center" vertical="center"/>
    </xf>
    <xf numFmtId="0" fontId="318" fillId="11" borderId="8" applyAlignment="1" pivotButton="0" quotePrefix="0" xfId="13">
      <alignment horizontal="center" vertical="center"/>
    </xf>
    <xf numFmtId="0" fontId="318" fillId="7" borderId="7" applyAlignment="1" pivotButton="0" quotePrefix="0" xfId="13">
      <alignment horizontal="center" vertical="center" wrapText="1"/>
    </xf>
    <xf numFmtId="0" fontId="318" fillId="7" borderId="9" applyAlignment="1" pivotButton="0" quotePrefix="0" xfId="13">
      <alignment horizontal="center" vertical="center" wrapText="1"/>
    </xf>
    <xf numFmtId="0" fontId="318" fillId="7" borderId="9" applyAlignment="1" pivotButton="0" quotePrefix="0" xfId="13">
      <alignment horizontal="center" vertical="center"/>
    </xf>
    <xf numFmtId="0" fontId="318" fillId="7" borderId="8" applyAlignment="1" pivotButton="0" quotePrefix="0" xfId="13">
      <alignment horizontal="center" vertical="center"/>
    </xf>
    <xf numFmtId="0" fontId="318" fillId="9" borderId="7" applyAlignment="1" pivotButton="0" quotePrefix="0" xfId="13">
      <alignment horizontal="center" vertical="center" wrapText="1"/>
    </xf>
    <xf numFmtId="0" fontId="318" fillId="9" borderId="9" applyAlignment="1" pivotButton="0" quotePrefix="0" xfId="13">
      <alignment horizontal="center" vertical="center" wrapText="1"/>
    </xf>
    <xf numFmtId="0" fontId="318" fillId="9" borderId="9" applyAlignment="1" pivotButton="0" quotePrefix="0" xfId="13">
      <alignment horizontal="center" vertical="center"/>
    </xf>
    <xf numFmtId="0" fontId="318" fillId="9" borderId="8" applyAlignment="1" pivotButton="0" quotePrefix="0" xfId="13">
      <alignment horizontal="center" vertical="center"/>
    </xf>
    <xf numFmtId="0" fontId="318" fillId="4" borderId="7" applyAlignment="1" pivotButton="0" quotePrefix="0" xfId="13">
      <alignment horizontal="center" vertical="center" wrapText="1"/>
    </xf>
    <xf numFmtId="0" fontId="318" fillId="4" borderId="9" applyAlignment="1" pivotButton="0" quotePrefix="0" xfId="13">
      <alignment horizontal="center" vertical="center" wrapText="1"/>
    </xf>
    <xf numFmtId="0" fontId="318" fillId="4" borderId="9" applyAlignment="1" pivotButton="0" quotePrefix="0" xfId="13">
      <alignment horizontal="center" vertical="center"/>
    </xf>
    <xf numFmtId="0" fontId="318" fillId="4" borderId="8" applyAlignment="1" pivotButton="0" quotePrefix="0" xfId="13">
      <alignment horizontal="center" vertical="center"/>
    </xf>
    <xf numFmtId="0" fontId="318" fillId="10" borderId="7" applyAlignment="1" pivotButton="0" quotePrefix="0" xfId="13">
      <alignment horizontal="center" vertical="center" wrapText="1"/>
    </xf>
    <xf numFmtId="0" fontId="318" fillId="10" borderId="9" applyAlignment="1" pivotButton="0" quotePrefix="0" xfId="13">
      <alignment horizontal="center" vertical="center" wrapText="1"/>
    </xf>
    <xf numFmtId="0" fontId="318" fillId="10" borderId="9" applyAlignment="1" pivotButton="0" quotePrefix="0" xfId="13">
      <alignment horizontal="center" vertical="center"/>
    </xf>
    <xf numFmtId="0" fontId="318" fillId="10" borderId="8" applyAlignment="1" pivotButton="0" quotePrefix="0" xfId="13">
      <alignment horizontal="center" vertical="center"/>
    </xf>
    <xf numFmtId="0" fontId="318" fillId="6" borderId="7" applyAlignment="1" pivotButton="0" quotePrefix="0" xfId="13">
      <alignment horizontal="center" vertical="center" wrapText="1"/>
    </xf>
    <xf numFmtId="0" fontId="318" fillId="6" borderId="9" applyAlignment="1" pivotButton="0" quotePrefix="0" xfId="13">
      <alignment horizontal="center" vertical="center" wrapText="1"/>
    </xf>
    <xf numFmtId="0" fontId="318" fillId="6" borderId="9" applyAlignment="1" pivotButton="0" quotePrefix="0" xfId="13">
      <alignment horizontal="center" vertical="center"/>
    </xf>
    <xf numFmtId="0" fontId="318" fillId="6" borderId="8" applyAlignment="1" pivotButton="0" quotePrefix="0" xfId="13">
      <alignment horizontal="center" vertical="center"/>
    </xf>
    <xf numFmtId="0" fontId="327" fillId="3" borderId="10" applyAlignment="1" pivotButton="0" quotePrefix="0" xfId="0">
      <alignment vertical="center" wrapText="1"/>
    </xf>
    <xf numFmtId="0" fontId="327" fillId="3" borderId="45" applyAlignment="1" pivotButton="0" quotePrefix="0" xfId="0">
      <alignment vertical="center" wrapText="1"/>
    </xf>
    <xf numFmtId="0" fontId="327" fillId="3" borderId="3" applyAlignment="1" pivotButton="0" quotePrefix="0" xfId="0">
      <alignment vertical="center" wrapText="1"/>
    </xf>
    <xf numFmtId="0" fontId="310" fillId="2" borderId="35" applyAlignment="1" pivotButton="0" quotePrefix="0" xfId="34">
      <alignment horizontal="left" vertical="center" wrapText="1"/>
    </xf>
    <xf numFmtId="0" fontId="310" fillId="2" borderId="36" applyAlignment="1" pivotButton="0" quotePrefix="0" xfId="34">
      <alignment horizontal="left" vertical="center" wrapText="1"/>
    </xf>
    <xf numFmtId="0" fontId="310" fillId="2" borderId="6" applyAlignment="1" pivotButton="0" quotePrefix="0" xfId="34">
      <alignment horizontal="left" vertical="center" wrapText="1"/>
    </xf>
    <xf numFmtId="0" fontId="310" fillId="2" borderId="16" applyAlignment="1" pivotButton="0" quotePrefix="0" xfId="34">
      <alignment horizontal="left" vertical="center"/>
    </xf>
    <xf numFmtId="0" fontId="310" fillId="2" borderId="19" applyAlignment="1" pivotButton="0" quotePrefix="0" xfId="34">
      <alignment horizontal="left" vertical="center" wrapText="1"/>
    </xf>
    <xf numFmtId="0" fontId="310" fillId="2" borderId="18" applyAlignment="1" pivotButton="0" quotePrefix="0" xfId="34">
      <alignment horizontal="left" vertical="center"/>
    </xf>
    <xf numFmtId="0" fontId="310" fillId="0" borderId="37" applyAlignment="1" pivotButton="0" quotePrefix="0" xfId="39">
      <alignment horizontal="left" wrapText="1"/>
    </xf>
    <xf numFmtId="0" fontId="310" fillId="0" borderId="29" applyAlignment="1" pivotButton="0" quotePrefix="0" xfId="39">
      <alignment horizontal="left" wrapText="1"/>
    </xf>
    <xf numFmtId="0" fontId="310" fillId="0" borderId="30" applyAlignment="1" pivotButton="0" quotePrefix="0" xfId="39">
      <alignment horizontal="left" wrapText="1"/>
    </xf>
    <xf numFmtId="0" fontId="310" fillId="0" borderId="38" applyAlignment="1" pivotButton="0" quotePrefix="0" xfId="39">
      <alignment horizontal="left" wrapText="1"/>
    </xf>
    <xf numFmtId="0" fontId="310" fillId="0" borderId="0" applyAlignment="1" pivotButton="0" quotePrefix="0" xfId="39">
      <alignment horizontal="left" wrapText="1"/>
    </xf>
    <xf numFmtId="0" fontId="310" fillId="0" borderId="31" applyAlignment="1" pivotButton="0" quotePrefix="0" xfId="39">
      <alignment horizontal="left" wrapText="1"/>
    </xf>
    <xf numFmtId="0" fontId="0" fillId="0" borderId="38" applyAlignment="1" pivotButton="0" quotePrefix="0" xfId="39">
      <alignment horizontal="left" wrapText="1"/>
    </xf>
    <xf numFmtId="0" fontId="0" fillId="0" borderId="0" applyAlignment="1" pivotButton="0" quotePrefix="0" xfId="39">
      <alignment horizontal="left" wrapText="1"/>
    </xf>
    <xf numFmtId="0" fontId="0" fillId="0" borderId="31" applyAlignment="1" pivotButton="0" quotePrefix="0" xfId="39">
      <alignment horizontal="left" wrapText="1"/>
    </xf>
    <xf numFmtId="0" fontId="28" fillId="12" borderId="1" applyAlignment="1" pivotButton="0" quotePrefix="0" xfId="39">
      <alignment horizontal="left" wrapText="1"/>
    </xf>
    <xf numFmtId="0" fontId="0" fillId="12" borderId="1" applyAlignment="1" pivotButton="0" quotePrefix="0" xfId="39">
      <alignment horizontal="left" vertical="center" wrapText="1"/>
    </xf>
    <xf numFmtId="0" fontId="28" fillId="12" borderId="1" applyAlignment="1" pivotButton="0" quotePrefix="0" xfId="39">
      <alignment horizontal="left" vertical="center" wrapText="1"/>
    </xf>
    <xf numFmtId="0" fontId="344" fillId="23" borderId="51" applyAlignment="1" pivotButton="0" quotePrefix="0" xfId="39">
      <alignment horizontal="center" vertical="center"/>
    </xf>
    <xf numFmtId="0" fontId="334" fillId="12" borderId="1" applyAlignment="1" pivotButton="0" quotePrefix="0" xfId="39">
      <alignment horizontal="center" vertical="center"/>
    </xf>
    <xf numFmtId="0" fontId="318" fillId="12" borderId="1" applyAlignment="1" pivotButton="0" quotePrefix="0" xfId="39">
      <alignment horizontal="left"/>
    </xf>
    <xf numFmtId="0" fontId="344" fillId="23" borderId="56" applyAlignment="1" pivotButton="0" quotePrefix="0" xfId="39">
      <alignment horizontal="center" vertical="center"/>
    </xf>
    <xf numFmtId="0" fontId="352" fillId="23" borderId="56" applyAlignment="1" pivotButton="0" quotePrefix="0" xfId="39">
      <alignment horizontal="center" vertical="center"/>
    </xf>
    <xf numFmtId="0" fontId="353" fillId="23" borderId="56" applyAlignment="1" pivotButton="0" quotePrefix="0" xfId="39">
      <alignment horizontal="center" vertical="center"/>
    </xf>
    <xf numFmtId="0" fontId="28" fillId="23" borderId="56" pivotButton="0" quotePrefix="0" xfId="39"/>
    <xf numFmtId="15" fontId="314" fillId="2" borderId="25" applyAlignment="1" pivotButton="0" quotePrefix="0" xfId="24">
      <alignment horizontal="left" vertical="center" wrapText="1"/>
    </xf>
    <xf numFmtId="15" fontId="314" fillId="25" borderId="1" applyAlignment="1" pivotButton="0" quotePrefix="0" xfId="24">
      <alignment horizontal="left" vertical="center" wrapText="1"/>
    </xf>
    <xf numFmtId="0" fontId="0" fillId="0" borderId="45" pivotButton="0" quotePrefix="0" xfId="0"/>
    <xf numFmtId="0" fontId="327" fillId="3" borderId="7" applyAlignment="1" pivotButton="0" quotePrefix="0" xfId="0">
      <alignment vertical="center" wrapText="1"/>
    </xf>
    <xf numFmtId="0" fontId="0" fillId="0" borderId="3" pivotButton="0" quotePrefix="0" xfId="0"/>
    <xf numFmtId="0" fontId="0" fillId="0" borderId="35" pivotButton="0" quotePrefix="0" xfId="0"/>
    <xf numFmtId="0" fontId="0" fillId="0" borderId="6" pivotButton="0" quotePrefix="0" xfId="0"/>
    <xf numFmtId="0" fontId="0" fillId="0" borderId="19" pivotButton="0" quotePrefix="0" xfId="0"/>
    <xf numFmtId="0" fontId="318" fillId="9" borderId="65" applyAlignment="1" pivotButton="0" quotePrefix="0" xfId="13">
      <alignment horizontal="center" vertical="center" wrapText="1"/>
    </xf>
    <xf numFmtId="0" fontId="0" fillId="0" borderId="9" pivotButton="0" quotePrefix="0" xfId="0"/>
    <xf numFmtId="0" fontId="0" fillId="0" borderId="8" pivotButton="0" quotePrefix="0" xfId="0"/>
    <xf numFmtId="0" fontId="318" fillId="4" borderId="65" applyAlignment="1" pivotButton="0" quotePrefix="0" xfId="13">
      <alignment horizontal="center" vertical="center" wrapText="1"/>
    </xf>
    <xf numFmtId="0" fontId="318" fillId="6" borderId="65" applyAlignment="1" pivotButton="0" quotePrefix="0" xfId="13">
      <alignment horizontal="center" vertical="center" wrapText="1"/>
    </xf>
    <xf numFmtId="0" fontId="318" fillId="10" borderId="65" applyAlignment="1" pivotButton="0" quotePrefix="0" xfId="13">
      <alignment horizontal="center" vertical="center" wrapText="1"/>
    </xf>
    <xf numFmtId="0" fontId="318" fillId="7" borderId="65" applyAlignment="1" pivotButton="0" quotePrefix="0" xfId="13">
      <alignment horizontal="center" vertical="center" wrapText="1"/>
    </xf>
    <xf numFmtId="0" fontId="318" fillId="11" borderId="65" applyAlignment="1" pivotButton="0" quotePrefix="0" xfId="13">
      <alignment horizontal="center" vertical="center" wrapText="1"/>
    </xf>
    <xf numFmtId="164" fontId="292" fillId="2" borderId="0" applyAlignment="1" pivotButton="0" quotePrefix="0" xfId="28">
      <alignment vertical="center"/>
    </xf>
    <xf numFmtId="164" fontId="314" fillId="2" borderId="1" applyAlignment="1" pivotButton="0" quotePrefix="0" xfId="28">
      <alignment horizontal="left" vertical="center" wrapText="1"/>
    </xf>
    <xf numFmtId="164" fontId="310" fillId="2" borderId="1" applyAlignment="1" pivotButton="0" quotePrefix="0" xfId="28">
      <alignment horizontal="center" vertical="center" wrapText="1"/>
    </xf>
    <xf numFmtId="164" fontId="314" fillId="2" borderId="1" applyAlignment="1" pivotButton="0" quotePrefix="0" xfId="28">
      <alignment horizontal="center" vertical="center" wrapText="1"/>
    </xf>
    <xf numFmtId="164" fontId="292" fillId="2" borderId="0" pivotButton="0" quotePrefix="0" xfId="28"/>
    <xf numFmtId="0" fontId="310" fillId="0" borderId="68" applyAlignment="1" pivotButton="0" quotePrefix="0" xfId="39">
      <alignment horizontal="left" wrapText="1"/>
    </xf>
    <xf numFmtId="0" fontId="0" fillId="0" borderId="29" pivotButton="0" quotePrefix="0" xfId="0"/>
    <xf numFmtId="0" fontId="0" fillId="0" borderId="30" pivotButton="0" quotePrefix="0" xfId="0"/>
    <xf numFmtId="0" fontId="310" fillId="0" borderId="69" applyAlignment="1" pivotButton="0" quotePrefix="0" xfId="39">
      <alignment horizontal="left" wrapText="1"/>
    </xf>
    <xf numFmtId="0" fontId="0" fillId="0" borderId="31" pivotButton="0" quotePrefix="0" xfId="0"/>
    <xf numFmtId="0" fontId="0" fillId="0" borderId="69" applyAlignment="1" pivotButton="0" quotePrefix="0" xfId="39">
      <alignment horizontal="left" wrapText="1"/>
    </xf>
    <xf numFmtId="0" fontId="0" fillId="0" borderId="67" pivotButton="0" quotePrefix="0" xfId="0"/>
    <xf numFmtId="0" fontId="0" fillId="0" borderId="51" pivotButton="0" quotePrefix="0" xfId="0"/>
    <xf numFmtId="0" fontId="0" fillId="0" borderId="56" pivotButton="0" quotePrefix="0" xfId="0"/>
  </cellXfs>
  <cellStyles count="42">
    <cellStyle name="Normal" xfId="0" builtinId="0"/>
    <cellStyle name="Euro" xfId="1"/>
    <cellStyle name="Lien hypertexte" xfId="2" builtinId="8"/>
    <cellStyle name="Normal 2" xfId="3"/>
    <cellStyle name="Normal 2 2" xfId="4"/>
    <cellStyle name="Normal 4" xfId="5"/>
    <cellStyle name="Normal 3" xfId="6"/>
    <cellStyle name="Normal 4 2" xfId="7"/>
    <cellStyle name="Normal 2 3" xfId="8"/>
    <cellStyle name="Normal 3 2" xfId="9"/>
    <cellStyle name="Normal 5" xfId="10"/>
    <cellStyle name="Style 1" xfId="11"/>
    <cellStyle name="Normal 6" xfId="12"/>
    <cellStyle name="Normal 2 2 2" xfId="13"/>
    <cellStyle name="Normal 61" xfId="14"/>
    <cellStyle name="Normal 86" xfId="15"/>
    <cellStyle name="Pourcentage 2" xfId="16"/>
    <cellStyle name="Normal 3 3" xfId="17"/>
    <cellStyle name="Normal 3 4" xfId="18"/>
    <cellStyle name="Normal 4 2 2" xfId="19"/>
    <cellStyle name="Normal 7" xfId="20"/>
    <cellStyle name="Normal 85" xfId="21"/>
    <cellStyle name="20 % - Accent4 2" xfId="22"/>
    <cellStyle name="Normal 10" xfId="23"/>
    <cellStyle name="Normal 3 5" xfId="24"/>
    <cellStyle name="Normal 8" xfId="25"/>
    <cellStyle name="Normal 4 2 3" xfId="26"/>
    <cellStyle name="Normal 6 2" xfId="27"/>
    <cellStyle name="Milliers 2" xfId="28"/>
    <cellStyle name="Normal 9" xfId="29"/>
    <cellStyle name="Normal 9 2" xfId="30"/>
    <cellStyle name="20 % - Accent3 2" xfId="31"/>
    <cellStyle name="Normal 9 3" xfId="32"/>
    <cellStyle name="Normal 26" xfId="33"/>
    <cellStyle name="Normal 5 2" xfId="34"/>
    <cellStyle name="Normal 9 4" xfId="35"/>
    <cellStyle name="Normal 9 5" xfId="36"/>
    <cellStyle name="Normal 9 5 2" xfId="37"/>
    <cellStyle name="Normal 9 3 2" xfId="38"/>
    <cellStyle name="Normal 9 5 3" xfId="39"/>
    <cellStyle name="Normal 9 3 3" xfId="40"/>
    <cellStyle name="Normal 11" xfId="41"/>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externalLink" Target="/xl/externalLinks/externalLink2.xml" Id="rId6" /><Relationship Type="http://schemas.openxmlformats.org/officeDocument/2006/relationships/externalLink" Target="/xl/externalLinks/externalLink3.xml" Id="rId7" /><Relationship Type="http://schemas.openxmlformats.org/officeDocument/2006/relationships/styles" Target="styles.xml" Id="rId8" /><Relationship Type="http://schemas.openxmlformats.org/officeDocument/2006/relationships/theme" Target="theme/theme1.xml" Id="rId9" /></Relationships>
</file>

<file path=xl/externalLinks/_rels/externalLink1.xml.rels><Relationships xmlns="http://schemas.openxmlformats.org/package/2006/relationships"><Relationship Type="http://schemas.openxmlformats.org/officeDocument/2006/relationships/externalLinkPath" Target="file:///\\casnas100\dfs_root\Projets05\CFR\2-D&#233;ploiement%20Groupe\Structure%20collecte%20actuelle\Flux%20ZP\@CRR\CRRV4.3&amp;C3RDV2.0\Notices\CRRV4.3\OLD\Notices%20EN\Draft_CRRv4.3%20%20-%20Degraded%20Data%20Entry_v1.0.xlsx" TargetMode="External" Id="rId1" /></Relationships>
</file>

<file path=xl/externalLinks/_rels/externalLink2.xml.rels><Relationships xmlns="http://schemas.openxmlformats.org/package/2006/relationships"><Relationship Type="http://schemas.openxmlformats.org/officeDocument/2006/relationships/externalLinkPath" Target="file:///\\casnas100\dfs_root\Projets02\SEP\Projets%20transverses\CRRV4.2\1_Cahier%20des%20Charges%20&amp;%20Notices\1_Version%20en%20cours%20ne%20pas%20diffuser\NOTICES\Notices%20FR\Notice%20Client&#232;le%20de%20D&#233;tail%20CRRV4.2_v1.0.xlsx" TargetMode="External" Id="rId1" /></Relationships>
</file>

<file path=xl/externalLinks/_rels/externalLink3.xml.rels><Relationships xmlns="http://schemas.openxmlformats.org/package/2006/relationships"><Relationship Type="http://schemas.openxmlformats.org/officeDocument/2006/relationships/externalLinkPath" Target="file:///\\smb11-nas1.par.emea.cib\HomeDir21\Users\MC186089\Documents\1.%20Projets\Cr&#233;dit%20agricole\CASA%20-%20Zone%20de%20partage\3.%20Pilote\4.%20Conception\3.%20Mapping\CASA%20-%20ZP%20-%20Mapping%20v%207.0.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CONTENTS"/>
      <sheetName val="Methodology"/>
      <sheetName val="Format CRR v4.3"/>
      <sheetName val="A1 Degraded Data Entry"/>
      <sheetName val="(CAP) - new"/>
    </sheetNames>
    <sheetDataSet>
      <sheetData sheetId="0" refreshError="1"/>
      <sheetData sheetId="1" refreshError="1"/>
      <sheetData sheetId="2" refreshError="1"/>
      <sheetData sheetId="3"/>
      <sheetData sheetId="4"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SOMMAIRE"/>
      <sheetName val="Méthodologie"/>
      <sheetName val="Format CRR V4.2"/>
      <sheetName val="C5 Tiers Agrégats"/>
      <sheetName val="C1 Tiers"/>
      <sheetName val="P5 (hors Crédit-bail, SIG)"/>
      <sheetName val="P5 Crédit-Bail"/>
      <sheetName val="P5 Signature"/>
      <sheetName val="P6 Ventilations Bâloises"/>
      <sheetName val="M5 Sûretés Agrégées"/>
      <sheetName val="P8 Provisions Agrégées"/>
      <sheetName val="Familles de risques"/>
      <sheetName val="Périmètres des sûretés"/>
      <sheetName val="Critères d'agrég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Sommaire"/>
      <sheetName val="Mapping - Notice"/>
      <sheetName val="Mapping"/>
      <sheetName val="Liste des objets"/>
      <sheetName val="Mapping - Complément contrat"/>
      <sheetName val="Mapping - Complément tiers"/>
      <sheetName val="LOV"/>
      <sheetName val="Règles de contrôle"/>
      <sheetName val="Criticité des anomalies"/>
      <sheetName val="Sorties"/>
      <sheetName val="Sorties - Complément OMP"/>
      <sheetName val="Tables de transcodification"/>
      <sheetName val="REF"/>
      <sheetName val="Export DM"/>
      <sheetName val="Tables START"/>
      <sheetName val="Contrôles"/>
    </sheetNames>
    <sheetDataSet>
      <sheetData sheetId="0"/>
      <sheetData sheetId="1"/>
      <sheetData sheetId="2"/>
      <sheetData sheetId="3">
        <row r="1">
          <cell r="A1" t="str">
            <v>Libellé</v>
          </cell>
        </row>
        <row r="2">
          <cell r="A2" t="str">
            <v>&gt;&gt; DOMAINE CONTRAT</v>
          </cell>
        </row>
        <row r="3">
          <cell r="A3" t="str">
            <v>Agreement</v>
          </cell>
        </row>
        <row r="4">
          <cell r="A4" t="str">
            <v>Agreement balance type metric</v>
          </cell>
        </row>
        <row r="5">
          <cell r="A5" t="str">
            <v>Exposure agreement</v>
          </cell>
        </row>
        <row r="6">
          <cell r="A6" t="str">
            <v>Securitization feature</v>
          </cell>
        </row>
        <row r="7">
          <cell r="A7" t="str">
            <v>Syndication feature</v>
          </cell>
        </row>
        <row r="8">
          <cell r="A8" t="str">
            <v>Investment agreement</v>
          </cell>
        </row>
        <row r="9">
          <cell r="A9" t="str">
            <v>Credit agreement</v>
          </cell>
        </row>
        <row r="10">
          <cell r="A10" t="str">
            <v>Risk mitigant agreement</v>
          </cell>
        </row>
        <row r="11">
          <cell r="A11" t="str">
            <v>Collateral agreement</v>
          </cell>
        </row>
        <row r="12">
          <cell r="A12" t="str">
            <v>Third party guarantee agreement</v>
          </cell>
        </row>
        <row r="13">
          <cell r="A13" t="str">
            <v>Discount</v>
          </cell>
        </row>
        <row r="14">
          <cell r="A14" t="str">
            <v>Agreement asset</v>
          </cell>
        </row>
        <row r="15">
          <cell r="A15" t="str">
            <v>Agreement related</v>
          </cell>
        </row>
        <row r="16">
          <cell r="A16" t="str">
            <v>Agreement risk metric</v>
          </cell>
        </row>
        <row r="17">
          <cell r="A17" t="str">
            <v>Schedule</v>
          </cell>
        </row>
        <row r="18">
          <cell r="A18" t="str">
            <v>Schedule Stage</v>
          </cell>
        </row>
        <row r="19">
          <cell r="A19" t="str">
            <v>Depreciation</v>
          </cell>
        </row>
        <row r="20">
          <cell r="A20" t="str">
            <v>Agreement Depreciation</v>
          </cell>
        </row>
        <row r="21">
          <cell r="A21" t="str">
            <v>Provision</v>
          </cell>
        </row>
        <row r="22">
          <cell r="A22" t="str">
            <v>&gt;&gt; DOMAINE TRANCHES</v>
          </cell>
        </row>
        <row r="23">
          <cell r="A23" t="str">
            <v>Allocated Risk Mitigant Agreement</v>
          </cell>
        </row>
        <row r="24">
          <cell r="A24" t="str">
            <v>Basel Tranche</v>
          </cell>
        </row>
        <row r="25">
          <cell r="A25" t="str">
            <v>Basel Tranche Metric</v>
          </cell>
        </row>
        <row r="26">
          <cell r="A26" t="str">
            <v>&gt;&gt; DOMAINE TIERS</v>
          </cell>
        </row>
        <row r="27">
          <cell r="A27" t="str">
            <v>Party</v>
          </cell>
        </row>
        <row r="28">
          <cell r="A28" t="str">
            <v>Party identification</v>
          </cell>
        </row>
        <row r="29">
          <cell r="A29" t="str">
            <v>Party Agreement</v>
          </cell>
        </row>
        <row r="30">
          <cell r="A30" t="str">
            <v>Individual</v>
          </cell>
        </row>
        <row r="31">
          <cell r="A31" t="str">
            <v>Organization</v>
          </cell>
        </row>
        <row r="32">
          <cell r="A32" t="str">
            <v>Party locator</v>
          </cell>
        </row>
        <row r="33">
          <cell r="A33" t="str">
            <v>Party risk grade</v>
          </cell>
        </row>
        <row r="34">
          <cell r="A34" t="str">
            <v>Party metric</v>
          </cell>
        </row>
        <row r="35">
          <cell r="A35" t="str">
            <v>Party To Party Group</v>
          </cell>
        </row>
        <row r="36">
          <cell r="A36" t="str">
            <v>Entity</v>
          </cell>
        </row>
      </sheetData>
      <sheetData sheetId="4"/>
      <sheetData sheetId="5"/>
      <sheetData sheetId="6"/>
      <sheetData sheetId="7">
        <row r="1">
          <cell r="A1" t="str">
            <v>Ref. règle</v>
          </cell>
        </row>
      </sheetData>
      <sheetData sheetId="8"/>
      <sheetData sheetId="9"/>
      <sheetData sheetId="10"/>
      <sheetData sheetId="11"/>
      <sheetData sheetId="12"/>
      <sheetData sheetId="13"/>
      <sheetData sheetId="14"/>
      <sheetData sheetId="1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file://\\casnas100\Projets02\SEP\ZIZISOF\AppData\Local\Microsoft\Windows\AppData\AppData\Local\Microsoft\Windows\AppData\lefevan\AppData\Local\Microsoft\Windows\Temporary%20Internet%20Files\BANHDAN\AppData\Local\Microsoft\Windows\Temporary%20Internet%20Files\Content.MSO\5AA93B56.xls" TargetMode="External" Id="rId1" /></Relationships>
</file>

<file path=xl/worksheets/sheet1.xml><?xml version="1.0" encoding="utf-8"?>
<worksheet xmlns="http://schemas.openxmlformats.org/spreadsheetml/2006/main">
  <sheetPr codeName="Feuil3">
    <outlinePr summaryBelow="1" summaryRight="1"/>
    <pageSetUpPr/>
  </sheetPr>
  <dimension ref="A1:L22"/>
  <sheetViews>
    <sheetView topLeftCell="A19" zoomScale="80" zoomScaleNormal="80" workbookViewId="0">
      <selection activeCell="A1" sqref="A1"/>
    </sheetView>
  </sheetViews>
  <sheetFormatPr baseColWidth="10" defaultColWidth="11.42578125" defaultRowHeight="15"/>
  <cols>
    <col width="26.28515625" customWidth="1" style="62" min="1" max="1"/>
    <col width="11.28515625" customWidth="1" style="62" min="2" max="2"/>
    <col width="97.5703125" customWidth="1" style="62" min="3" max="3"/>
    <col width="16.5703125" customWidth="1" style="62" min="4" max="4"/>
    <col width="11.42578125" customWidth="1" style="62" min="5" max="16384"/>
  </cols>
  <sheetData>
    <row r="1">
      <c r="A1" s="61" t="inlineStr">
        <is>
          <t>Modifications</t>
        </is>
      </c>
      <c r="B1" s="86" t="n"/>
    </row>
    <row r="2" ht="15.75" customHeight="1" thickBot="1">
      <c r="A2" s="87" t="n"/>
      <c r="B2" s="86" t="n"/>
      <c r="H2" s="135" t="inlineStr">
        <is>
          <t>Nombre de contrôles par type et sévérité</t>
        </is>
      </c>
    </row>
    <row r="3" ht="15.75" customHeight="1" thickBot="1">
      <c r="A3" s="1464" t="inlineStr">
        <is>
          <t>Emetteur / Issuer</t>
        </is>
      </c>
      <c r="B3" s="66" t="n"/>
      <c r="C3" s="69" t="inlineStr">
        <is>
          <t>Crédit Agricole SA : Programme Convergence Finances Risques (Crédit Agricole SA/FIG/DOP/CFR)</t>
        </is>
      </c>
      <c r="H3" s="136" t="n">
        <v>7</v>
      </c>
      <c r="I3" s="136" t="n">
        <v>6</v>
      </c>
      <c r="J3" s="136" t="n">
        <v>5</v>
      </c>
      <c r="K3" s="136" t="inlineStr">
        <is>
          <t>Mix</t>
        </is>
      </c>
      <c r="L3" s="136" t="inlineStr">
        <is>
          <t>total</t>
        </is>
      </c>
    </row>
    <row r="4" ht="30" customHeight="1">
      <c r="A4" s="1464" t="inlineStr">
        <is>
          <t xml:space="preserve">Date de diffusion  / Publication date </t>
        </is>
      </c>
      <c r="B4" s="66" t="n"/>
      <c r="C4" s="70" t="inlineStr">
        <is>
          <t>Lorsque cette date est renseignée, cela signifie que la notice est publiée dans https://service.ca-mocca.com/maia-collab/CFR/SitePages/Notices.aspx qui reprend l'ensemble des versions publiées.</t>
        </is>
      </c>
      <c r="G4" s="137" t="inlineStr">
        <is>
          <t>Présence</t>
        </is>
      </c>
      <c r="H4" s="62">
        <f>COUNTIF('PACT Corp'!$AK$4:$AK$1503,Modifications!H$3)</f>
        <v/>
      </c>
      <c r="I4" s="62">
        <f>COUNTIF('PACT Corp'!$AK$4:$AK$1503,Modifications!I$3)</f>
        <v/>
      </c>
      <c r="J4" s="62">
        <f>COUNTIF('PACT Corp'!$AK$4:$AK$1503,Modifications!J$3)</f>
        <v/>
      </c>
      <c r="K4" s="62">
        <f>L4-SUM(H4:J4)</f>
        <v/>
      </c>
      <c r="L4" s="138">
        <f>COUNTA('PACT Corp'!$AK$4:$AK$1503)</f>
        <v/>
      </c>
    </row>
    <row r="5" ht="30.75" customHeight="1" thickBot="1">
      <c r="A5" s="1494" t="n"/>
      <c r="B5" s="67" t="n"/>
      <c r="C5" s="71" t="inlineStr">
        <is>
          <t>You can find all the published versions on https://service.ca-mocca.com/maia-collab/CFR/SitePages/Notices_EN.aspx</t>
        </is>
      </c>
      <c r="G5" s="137" t="inlineStr">
        <is>
          <t>Référentiel</t>
        </is>
      </c>
      <c r="H5" s="62">
        <f>COUNTIF('PACT Corp'!$AO$4:$AO$1503,Modifications!H$3)</f>
        <v/>
      </c>
      <c r="I5" s="62">
        <f>COUNTIF('PACT Corp'!$AO$4:$AO$1503,Modifications!I$3)</f>
        <v/>
      </c>
      <c r="J5" s="62">
        <f>COUNTIF('PACT Corp'!$AO$4:$AO$1503,Modifications!J$3)</f>
        <v/>
      </c>
      <c r="K5" s="62">
        <f>L5-SUM(H5:J5)</f>
        <v/>
      </c>
      <c r="L5" s="138">
        <f>COUNTA('PACT Corp'!$AO$4:$AO$1503)</f>
        <v/>
      </c>
    </row>
    <row r="6" ht="30.75" customHeight="1" thickBot="1">
      <c r="A6" s="1464" t="inlineStr">
        <is>
          <t xml:space="preserve">Descriptif de la Mise à jour / Modifications </t>
        </is>
      </c>
      <c r="B6" s="66" t="n"/>
      <c r="C6" s="72" t="inlineStr">
        <is>
          <t>Descriptif de la modification / Modification description</t>
        </is>
      </c>
      <c r="G6" s="137" t="inlineStr">
        <is>
          <t>Valeur</t>
        </is>
      </c>
      <c r="H6" s="62">
        <f>COUNTIF('PACT Corp'!$AS$4:$AS$1503,Modifications!H$3)</f>
        <v/>
      </c>
      <c r="I6" s="62">
        <f>COUNTIF('PACT Corp'!$AS$4:$AS$1503,Modifications!I$3)</f>
        <v/>
      </c>
      <c r="J6" s="62">
        <f>COUNTIF('PACT Corp'!$AS$4:$AS$1503,Modifications!J$3)</f>
        <v/>
      </c>
      <c r="K6" s="62">
        <f>L6-SUM(H6:J6)</f>
        <v/>
      </c>
      <c r="L6" s="138">
        <f>COUNTA('PACT Corp'!$AS$4:$AS$1503)</f>
        <v/>
      </c>
    </row>
    <row r="7">
      <c r="A7" s="1495" t="inlineStr">
        <is>
          <t>Couleur / Color</t>
        </is>
      </c>
      <c r="B7" s="66" t="n"/>
      <c r="C7" s="73" t="inlineStr">
        <is>
          <t>Permet d'identifier les zones ajoutées/modifiées</t>
        </is>
      </c>
      <c r="G7" s="137" t="inlineStr">
        <is>
          <t>Intra-objet</t>
        </is>
      </c>
      <c r="H7" s="62">
        <f>COUNTIF('PACT Corp'!$AW$4:$AW$1503,Modifications!H$3)</f>
        <v/>
      </c>
      <c r="I7" s="62">
        <f>COUNTIF('PACT Corp'!$AW$4:$AW$1503,Modifications!I$3)</f>
        <v/>
      </c>
      <c r="J7" s="62">
        <f>COUNTIF('PACT Corp'!$AW$4:$AW$1503,Modifications!J$3)</f>
        <v/>
      </c>
      <c r="K7" s="62">
        <f>L7-SUM(H7:J7)</f>
        <v/>
      </c>
      <c r="L7" s="138">
        <f>COUNTA('PACT Corp'!$AW$4:$AW$1503)</f>
        <v/>
      </c>
    </row>
    <row r="8" ht="15.75" customHeight="1" thickBot="1">
      <c r="A8" s="1496" t="n"/>
      <c r="B8" s="68" t="n"/>
      <c r="C8" s="71" t="inlineStr">
        <is>
          <t>The color code enables identification of the different kinds of evolutions</t>
        </is>
      </c>
      <c r="G8" s="137" t="inlineStr">
        <is>
          <t>Inter-objet</t>
        </is>
      </c>
      <c r="H8" s="62">
        <f>COUNTIF('PACT Corp'!$BA$4:$BA$1503,Modifications!H$3)</f>
        <v/>
      </c>
      <c r="I8" s="62">
        <f>COUNTIF('PACT Corp'!$BA$4:$BA$1503,Modifications!I$3)</f>
        <v/>
      </c>
      <c r="J8" s="62">
        <f>COUNTIF('PACT Corp'!$BA$4:$BA$1503,Modifications!J$3)</f>
        <v/>
      </c>
      <c r="K8" s="62">
        <f>L8-SUM(H8:J8)</f>
        <v/>
      </c>
      <c r="L8" s="138">
        <f>COUNTA('PACT Corp'!$BA$4:$BA$1503)</f>
        <v/>
      </c>
    </row>
    <row r="9">
      <c r="B9" s="63" t="n"/>
      <c r="G9" s="137" t="inlineStr">
        <is>
          <t>Cohérence</t>
        </is>
      </c>
      <c r="H9" s="62">
        <f>COUNTIF('PACT Corp'!$BE$4:$BE$1503,Modifications!H$3)</f>
        <v/>
      </c>
      <c r="I9" s="62">
        <f>COUNTIF('PACT Corp'!$BE$4:$BE$1503,Modifications!I$3)</f>
        <v/>
      </c>
      <c r="J9" s="62">
        <f>COUNTIF('PACT Corp'!$BE$4:$BE$1503,Modifications!J$3)</f>
        <v/>
      </c>
      <c r="K9" s="62">
        <f>L9-SUM(H9:J9)</f>
        <v/>
      </c>
      <c r="L9" s="138">
        <f>COUNTA('PACT Corp'!$BE$4:$BE$1503)</f>
        <v/>
      </c>
    </row>
    <row r="10">
      <c r="B10" s="63" t="n"/>
    </row>
    <row r="11" ht="15.75" customHeight="1" thickBot="1"/>
    <row r="12">
      <c r="A12" s="81" t="inlineStr">
        <is>
          <t>Suivi des versions / Version tracking</t>
        </is>
      </c>
      <c r="B12" s="82" t="n"/>
      <c r="C12" s="82" t="n"/>
      <c r="D12" s="83" t="n"/>
    </row>
    <row r="13" ht="30.75" customHeight="1" thickBot="1">
      <c r="A13" s="124" t="inlineStr">
        <is>
          <t>Date de diffusion / Publication date</t>
        </is>
      </c>
      <c r="B13" s="125" t="inlineStr">
        <is>
          <t>Publication mocca n°</t>
        </is>
      </c>
      <c r="C13" s="126" t="inlineStr">
        <is>
          <t>Descriptif de la mise à jour / Modifications</t>
        </is>
      </c>
      <c r="D13" s="127" t="inlineStr">
        <is>
          <t>Couleur / Color</t>
        </is>
      </c>
    </row>
    <row r="14">
      <c r="A14" s="128" t="n">
        <v>46014</v>
      </c>
      <c r="B14" s="129" t="inlineStr">
        <is>
          <t>45.00</t>
        </is>
      </c>
      <c r="C14" s="130" t="inlineStr">
        <is>
          <t>Ajout de nouvelles données / New data addition</t>
        </is>
      </c>
      <c r="D14" s="131" t="n"/>
    </row>
    <row r="15">
      <c r="A15" s="1217" t="n">
        <v>46014</v>
      </c>
      <c r="B15" s="1218" t="inlineStr">
        <is>
          <t>45.00</t>
        </is>
      </c>
      <c r="C15" s="1219" t="inlineStr">
        <is>
          <t>Ajouter des séparateurs ';' entre chaque donnée / Semicolon ';' to be added between each data</t>
        </is>
      </c>
      <c r="D15" s="1220" t="n"/>
    </row>
    <row r="16" ht="45.75" customHeight="1" thickBot="1">
      <c r="A16" s="934" t="n">
        <v>46014</v>
      </c>
      <c r="B16" s="935" t="inlineStr">
        <is>
          <t>45.00</t>
        </is>
      </c>
      <c r="C16" s="1062" t="inlineStr">
        <is>
          <t>Modifications / Modifications
Changement de longueur en passant de 5 à 50 caractères sur P1 21.65 / Length change from 5 to 50 characters on P1 21.65</t>
        </is>
      </c>
      <c r="D16" s="936" t="n"/>
    </row>
    <row r="18" ht="15.75" customHeight="1" thickBot="1"/>
    <row r="19" customFormat="1" s="64">
      <c r="A19" s="74" t="inlineStr">
        <is>
          <t>Liens utiles / Useful Links</t>
        </is>
      </c>
      <c r="B19" s="75" t="n"/>
      <c r="C19" s="76" t="n"/>
      <c r="D19" s="77" t="n"/>
    </row>
    <row r="20" ht="59.65" customFormat="1" customHeight="1" s="65">
      <c r="A20" s="133" t="inlineStr">
        <is>
          <t>Langages Communs / Common Languages</t>
        </is>
      </c>
      <c r="B20" s="1469" t="n"/>
      <c r="C20" s="1467" t="inlineStr">
        <is>
          <t>https://service.ca-mocca.com/maia-collab/CFR/SitePages/Langages_Communs.aspx
https://service.ca-mocca.com/maia-collab/CFR/SitePages/Common_Languages.aspx</t>
        </is>
      </c>
      <c r="D20" s="1497" t="n"/>
    </row>
    <row r="21" ht="60" customFormat="1" customHeight="1" s="65">
      <c r="A21" s="78" t="inlineStr">
        <is>
          <t>Manuel des Echanges Entités-Zone de Partage et Notices / Exchange Manual ZP-entities and Notices</t>
        </is>
      </c>
      <c r="B21" s="79" t="n"/>
      <c r="C21" s="1469" t="inlineStr">
        <is>
          <t>https://service.ca-mocca.com/maia-collab/CFR/SitePages/Notices.aspx
https://service.ca-mocca.com/maia-collab/CFR/SitePages/Notices_EN.aspx</t>
        </is>
      </c>
      <c r="D21" s="1498" t="n"/>
    </row>
    <row r="22" ht="60.75" customFormat="1" customHeight="1" s="65" thickBot="1">
      <c r="A22" s="80" t="inlineStr">
        <is>
          <t>Guide Méthodologique - Alimentation PACT (ex CRR) / Methodological Guide - PACT (ex CRR) Feeding</t>
        </is>
      </c>
      <c r="B22" s="1471" t="n"/>
      <c r="C22" s="1471" t="inlineStr">
        <is>
          <t>https://service.ca-mocca.com/maia-collab/CFR/SitePages/Notices.aspx
https://service.ca-mocca.com/maia-collab/CFR/SitePages/Notices_EN.aspx</t>
        </is>
      </c>
      <c r="D22" s="1499" t="n"/>
    </row>
  </sheetData>
  <mergeCells count="5">
    <mergeCell ref="C20:D20"/>
    <mergeCell ref="C21:D21"/>
    <mergeCell ref="A4:A5"/>
    <mergeCell ref="A7:A8"/>
    <mergeCell ref="C22:D22"/>
  </mergeCells>
  <pageMargins left="0.7" right="0.7" top="0.75" bottom="0.75" header="0.3" footer="0.3"/>
  <pageSetup orientation="portrait" paperSize="9"/>
</worksheet>
</file>

<file path=xl/worksheets/sheet2.xml><?xml version="1.0" encoding="utf-8"?>
<worksheet xmlns="http://schemas.openxmlformats.org/spreadsheetml/2006/main">
  <sheetPr codeName="Feuil1">
    <tabColor rgb="FF92D050"/>
    <outlinePr summaryBelow="1" summaryRight="1"/>
    <pageSetUpPr fitToPage="1"/>
  </sheetPr>
  <dimension ref="A1:BI1511"/>
  <sheetViews>
    <sheetView showGridLines="0" tabSelected="1" zoomScale="80" zoomScaleNormal="80" workbookViewId="0">
      <pane xSplit="7" ySplit="2" topLeftCell="H885" activePane="bottomRight" state="frozen"/>
      <selection pane="topRight" activeCell="H1" sqref="H1"/>
      <selection pane="bottomLeft" activeCell="A3" sqref="A3"/>
      <selection pane="bottomRight" activeCell="I888" sqref="I888"/>
    </sheetView>
  </sheetViews>
  <sheetFormatPr baseColWidth="10" defaultColWidth="11.42578125" defaultRowHeight="15"/>
  <cols>
    <col width="11.5703125" customWidth="1" style="164" min="1" max="2"/>
    <col width="22.5703125" customWidth="1" style="161" min="3" max="4"/>
    <col width="19.42578125" customWidth="1" style="165" min="5" max="5"/>
    <col width="31.5703125" customWidth="1" style="166" min="6" max="7"/>
    <col width="53.42578125" customWidth="1" style="166" min="8" max="8"/>
    <col collapsed="1" width="36.5703125" customWidth="1" style="166" min="9" max="9"/>
    <col width="36.5703125" customWidth="1" style="166" min="10" max="10"/>
    <col width="15.5703125" customWidth="1" style="166" min="11" max="13"/>
    <col width="11.5703125" customWidth="1" style="165" min="14" max="15"/>
    <col width="15.5703125" customWidth="1" style="168" min="16" max="17"/>
    <col width="36.5703125" customWidth="1" style="166" min="18" max="19"/>
    <col collapsed="1" width="11.5703125" customWidth="1" style="165" min="20" max="20"/>
    <col width="11.5703125" customWidth="1" style="169" min="21" max="22"/>
    <col collapsed="1" width="11.5703125" customWidth="1" style="165" min="23" max="23"/>
    <col width="11.5703125" customWidth="1" style="165" min="24" max="24"/>
    <col width="11.5703125" customWidth="1" style="170" min="25" max="25"/>
    <col width="11.5703125" customWidth="1" style="161" min="26" max="26"/>
    <col width="14.28515625" customWidth="1" style="161" min="27" max="27"/>
    <col width="19.28515625" customWidth="1" style="164" min="28" max="28"/>
    <col width="18.5703125" customWidth="1" style="164" min="29" max="30"/>
    <col width="26.7109375" customWidth="1" style="162" min="31" max="33"/>
    <col width="5.28515625" customWidth="1" style="53" min="34" max="34"/>
    <col width="26.7109375" customWidth="1" style="161" min="35" max="35"/>
    <col width="21.5703125" customWidth="1" style="161" min="36" max="36"/>
    <col width="11.42578125" customWidth="1" style="162" min="37" max="38"/>
    <col width="21.5703125" customWidth="1" style="161" min="39" max="40"/>
    <col width="11.42578125" customWidth="1" style="162" min="41" max="41"/>
    <col width="11.42578125" customWidth="1" style="161" min="42" max="42"/>
    <col width="21.5703125" customWidth="1" style="161" min="43" max="44"/>
    <col width="11.42578125" customWidth="1" style="161" min="45" max="46"/>
    <col width="21.5703125" customWidth="1" style="161" min="47" max="47"/>
    <col width="21.5703125" customWidth="1" style="163" min="48" max="48"/>
    <col width="11.42578125" customWidth="1" style="162" min="49" max="50"/>
    <col width="21.5703125" customWidth="1" style="161" min="51" max="52"/>
    <col width="11.42578125" customWidth="1" style="161" min="53" max="54"/>
    <col width="21.5703125" customWidth="1" style="161" min="55" max="56"/>
    <col width="11.42578125" customWidth="1" style="161" min="57" max="58"/>
    <col width="11.42578125" customWidth="1" style="49" min="59" max="16384"/>
  </cols>
  <sheetData>
    <row r="1" ht="54" customHeight="1" thickBot="1">
      <c r="A1" s="48" t="n"/>
      <c r="B1" s="48" t="n"/>
      <c r="C1" s="49" t="n"/>
      <c r="D1" s="49" t="n"/>
      <c r="E1" s="50" t="n"/>
      <c r="F1" s="51" t="n"/>
      <c r="G1" s="51" t="n"/>
      <c r="H1" s="51" t="n"/>
      <c r="I1" s="51" t="n"/>
      <c r="J1" s="51" t="n"/>
      <c r="K1" s="51" t="n"/>
      <c r="L1" s="51" t="n"/>
      <c r="M1" s="51" t="n"/>
      <c r="N1" s="50" t="n"/>
      <c r="O1" s="50" t="n"/>
      <c r="P1" s="52" t="n"/>
      <c r="Q1" s="52" t="n"/>
      <c r="R1" s="51" t="n"/>
      <c r="S1" s="51" t="n"/>
      <c r="T1" s="50" t="n"/>
      <c r="U1" s="140" t="n"/>
      <c r="V1" s="140" t="n"/>
      <c r="W1" s="50" t="n"/>
      <c r="X1" s="50" t="n"/>
      <c r="Y1" s="154" t="n"/>
      <c r="Z1" s="946" t="n"/>
      <c r="AA1" s="946" t="n"/>
      <c r="AB1" s="946" t="n"/>
      <c r="AC1" s="946" t="n"/>
      <c r="AD1" s="48" t="n"/>
      <c r="AE1" s="946" t="n"/>
      <c r="AF1" s="53" t="n"/>
      <c r="AG1" s="53" t="n"/>
      <c r="AI1" s="1500" t="inlineStr">
        <is>
          <t>CTRL PRESENCE / PRESENCE CTRL</t>
        </is>
      </c>
      <c r="AJ1" s="1501" t="n"/>
      <c r="AK1" s="1501" t="n"/>
      <c r="AL1" s="1502" t="n"/>
      <c r="AM1" s="1503" t="inlineStr">
        <is>
          <t>CTRL REFERENTIEL / REFERENTIEL CTRL</t>
        </is>
      </c>
      <c r="AN1" s="1501" t="n"/>
      <c r="AO1" s="1501" t="n"/>
      <c r="AP1" s="1502" t="n"/>
      <c r="AQ1" s="1504" t="inlineStr">
        <is>
          <t>CTRL VALEUR / VALUE CTRL</t>
        </is>
      </c>
      <c r="AR1" s="1501" t="n"/>
      <c r="AS1" s="1501" t="n"/>
      <c r="AT1" s="1502" t="n"/>
      <c r="AU1" s="1505" t="inlineStr">
        <is>
          <t>CTRL INTRA-OBJET / INTRA-OBJECT CTRL</t>
        </is>
      </c>
      <c r="AV1" s="1501" t="n"/>
      <c r="AW1" s="1501" t="n"/>
      <c r="AX1" s="1502" t="n"/>
      <c r="AY1" s="1506" t="inlineStr">
        <is>
          <t>CTRL INTER-OBJET / INTER-OBJECT CTRL</t>
        </is>
      </c>
      <c r="AZ1" s="1501" t="n"/>
      <c r="BA1" s="1501" t="n"/>
      <c r="BB1" s="1502" t="n"/>
      <c r="BC1" s="1507" t="inlineStr">
        <is>
          <t>CTRL COHERENCE (cf. onglet dédié) / CONSISTENCY CTRL (cf. dedicated tab)</t>
        </is>
      </c>
      <c r="BD1" s="1501" t="n"/>
      <c r="BE1" s="1501" t="n"/>
      <c r="BF1" s="1502" t="n"/>
    </row>
    <row r="2" ht="54" customHeight="1">
      <c r="A2" s="35" t="inlineStr">
        <is>
          <t>OBJET DE COLLECTE / COLLECTION OBJECT</t>
        </is>
      </c>
      <c r="B2" s="36" t="inlineStr">
        <is>
          <t>N° D'ORDRE TECHNIQUE DE LA DONNEE / TECHNICAL ORDER NUMBER OF THE DATA IN THE FILE</t>
        </is>
      </c>
      <c r="C2" s="37" t="inlineStr">
        <is>
          <t>BLOC DE DONNEES</t>
        </is>
      </c>
      <c r="D2" s="38" t="inlineStr">
        <is>
          <t>DATA BLOCK</t>
        </is>
      </c>
      <c r="E2" s="36" t="inlineStr">
        <is>
          <t>REFERENCE DE COLLECTE / COLLECTION REFERENCE</t>
        </is>
      </c>
      <c r="F2" s="37" t="inlineStr">
        <is>
          <t>NOM DE LA DONNEE</t>
        </is>
      </c>
      <c r="G2" s="38" t="inlineStr">
        <is>
          <t>DATA NAME</t>
        </is>
      </c>
      <c r="H2" s="38" t="n"/>
      <c r="I2" s="37" t="inlineStr">
        <is>
          <t>DEFINITION</t>
        </is>
      </c>
      <c r="J2" s="38" t="inlineStr">
        <is>
          <t>DEFINITION</t>
        </is>
      </c>
      <c r="K2" s="37" t="inlineStr">
        <is>
          <t>TERME METIER</t>
        </is>
      </c>
      <c r="L2" s="38" t="inlineStr">
        <is>
          <t>BUSINESS TERM</t>
        </is>
      </c>
      <c r="M2" s="36" t="inlineStr">
        <is>
          <t>CODE TECHNIQUE / TECHNICAL CODE</t>
        </is>
      </c>
      <c r="N2" s="37" t="inlineStr">
        <is>
          <t>EXIGENCE D'ALIMENTATION</t>
        </is>
      </c>
      <c r="O2" s="38" t="inlineStr">
        <is>
          <t>SUPPLY REQUIREMENT</t>
        </is>
      </c>
      <c r="P2" s="36" t="inlineStr">
        <is>
          <t>REFERENCE DE LANGAGE COMMUN / COMMON LANGUAGE REFERENCE</t>
        </is>
      </c>
      <c r="Q2" s="36" t="inlineStr">
        <is>
          <t>TABLE START / START Table</t>
        </is>
      </c>
      <c r="R2" s="37" t="inlineStr">
        <is>
          <t>REGLE DE GESTION</t>
        </is>
      </c>
      <c r="S2" s="38" t="inlineStr">
        <is>
          <t>MANAGEMENT RULE</t>
        </is>
      </c>
      <c r="T2" s="36" t="inlineStr">
        <is>
          <t>FORMAT</t>
        </is>
      </c>
      <c r="U2" s="141" t="inlineStr">
        <is>
          <t>REGLE DE FORMATAGE</t>
        </is>
      </c>
      <c r="V2" s="142" t="inlineStr">
        <is>
          <t>FORMATTING RULE</t>
        </is>
      </c>
      <c r="W2" s="36" t="inlineStr">
        <is>
          <t>LONGUEUR / LENGTH</t>
        </is>
      </c>
      <c r="X2" s="101" t="inlineStr">
        <is>
          <t>POSITION / POSITION</t>
        </is>
      </c>
      <c r="Y2" s="155" t="inlineStr">
        <is>
          <t>VERSION DE CREATION / FIRST APPEARANCE VERSION</t>
        </is>
      </c>
      <c r="Z2" s="36" t="inlineStr">
        <is>
          <t>VERSION DE DERNIERE APPARITION / LAST APPEARANCE VERSION</t>
        </is>
      </c>
      <c r="AA2" s="36" t="inlineStr">
        <is>
          <t>VERSION DE MODIFICATION / MODIFICATION VERSION</t>
        </is>
      </c>
      <c r="AB2" s="36" t="inlineStr">
        <is>
          <t>USAGE(S) DECLARE(S) / DECLARED USAGE</t>
        </is>
      </c>
      <c r="AC2" s="36" t="inlineStr">
        <is>
          <t>DONNEE CRITIQUE POUR / CRITICAL DATA FOR</t>
        </is>
      </c>
      <c r="AD2" s="36" t="inlineStr">
        <is>
          <t>DONNEE A CARACTERE PERSONNEL / PERSONNAL DATA</t>
        </is>
      </c>
      <c r="AE2" s="36" t="inlineStr">
        <is>
          <t>PERIMETRE DE COLLECTE / COLLECTION SCOPE</t>
        </is>
      </c>
      <c r="AF2" s="36" t="inlineStr">
        <is>
          <t>APPLICATION REMETTANTE / REMITTING APPLICATION</t>
        </is>
      </c>
      <c r="AG2" s="39" t="inlineStr">
        <is>
          <t>REFERENCE DE LA DONNEE DANS L'APPLICATION REMETTANTE / DATA REFERENCE IN REMITTING APPLICATION</t>
        </is>
      </c>
      <c r="AI2" s="171" t="inlineStr">
        <is>
          <t>CTRL PRESENCE</t>
        </is>
      </c>
      <c r="AJ2" s="172" t="inlineStr">
        <is>
          <t>PRESENCE CTRL</t>
        </is>
      </c>
      <c r="AK2" s="173" t="inlineStr">
        <is>
          <t>PRESENCE
SCORE
CONSEQUENCE</t>
        </is>
      </c>
      <c r="AL2" s="174" t="inlineStr">
        <is>
          <t>PRESENCE Code CTRL ZP</t>
        </is>
      </c>
      <c r="AM2" s="175" t="inlineStr">
        <is>
          <t>CTRL REFERENTIEL</t>
        </is>
      </c>
      <c r="AN2" s="176" t="inlineStr">
        <is>
          <t>REFERENTIEL CTRL</t>
        </is>
      </c>
      <c r="AO2" s="177" t="inlineStr">
        <is>
          <t>REFERENTIEL 
SCORE
CONSEQUENCE</t>
        </is>
      </c>
      <c r="AP2" s="178" t="inlineStr">
        <is>
          <t>REFERENTIEL Code CTRL ZP</t>
        </is>
      </c>
      <c r="AQ2" s="179" t="inlineStr">
        <is>
          <t>CTRL VALEUR</t>
        </is>
      </c>
      <c r="AR2" s="180" t="inlineStr">
        <is>
          <t>VALUE CTRL</t>
        </is>
      </c>
      <c r="AS2" s="181" t="inlineStr">
        <is>
          <t>VALEUR 
SCORE
CONSEQUENCE</t>
        </is>
      </c>
      <c r="AT2" s="182" t="inlineStr">
        <is>
          <t>VALEUR Code CTRL ZP</t>
        </is>
      </c>
      <c r="AU2" s="183" t="inlineStr">
        <is>
          <t>CTRL INTRA-OBJET</t>
        </is>
      </c>
      <c r="AV2" s="184" t="inlineStr">
        <is>
          <t>INTRA-OBJECT CTRL</t>
        </is>
      </c>
      <c r="AW2" s="185" t="inlineStr">
        <is>
          <t>COHERENCE
SCORE
CONSEQUENCE</t>
        </is>
      </c>
      <c r="AX2" s="186" t="inlineStr">
        <is>
          <t>COHERENCE
Code CTRL ZP</t>
        </is>
      </c>
      <c r="AY2" s="1" t="inlineStr">
        <is>
          <t>CTRL INTER-OBJECT</t>
        </is>
      </c>
      <c r="AZ2" s="2" t="inlineStr">
        <is>
          <t>INTER-OBJET CTRL</t>
        </is>
      </c>
      <c r="BA2" s="3" t="inlineStr">
        <is>
          <t>Score
Consequence</t>
        </is>
      </c>
      <c r="BB2" s="4" t="inlineStr">
        <is>
          <t>Code CTRL ZP</t>
        </is>
      </c>
      <c r="BC2" s="31" t="inlineStr">
        <is>
          <t>CTRL COHERENCE</t>
        </is>
      </c>
      <c r="BD2" s="32" t="inlineStr">
        <is>
          <t>CONSISTENCY CTRL</t>
        </is>
      </c>
      <c r="BE2" s="33" t="inlineStr">
        <is>
          <t>Score
Consequence</t>
        </is>
      </c>
      <c r="BF2" s="34" t="inlineStr">
        <is>
          <t>Code CTRL ZP</t>
        </is>
      </c>
    </row>
    <row r="3" ht="54" customHeight="1" thickBot="1">
      <c r="A3" s="102" t="inlineStr">
        <is>
          <t>Famille de flux et Objet de Collecte véhiculant la donnée / Flow family and data collection object</t>
        </is>
      </c>
      <c r="B3" s="103" t="inlineStr">
        <is>
          <t>Numéro séquentiel correspondant au numéro d'ordre de la donnée dans le fichier physique. 
Invariant dans le temps (toute nouvelle donnée sera ajoutée en fin de fichier) / Sequential number corresponding to the order number of the data in the physical file.
Invariant in time (any new data will be added at the end of the file)</t>
        </is>
      </c>
      <c r="C3" s="103" t="inlineStr">
        <is>
          <t>Classification de la donnée dans un des blocs structurant l'Objet de Collecte</t>
        </is>
      </c>
      <c r="D3" s="104" t="inlineStr">
        <is>
          <t>Classification of the data in one of the blocks structuring the Collection Object.</t>
        </is>
      </c>
      <c r="E3" s="105" t="inlineStr">
        <is>
          <t>Référence de la donnée collectée via l'Objet de Collecte. Attribut communément appelé 'Etiquette' / Reference of the data collected via the Collection Object. Attribute commonly referred to as 'Label'</t>
        </is>
      </c>
      <c r="F3" s="103" t="inlineStr">
        <is>
          <t>Libellé Métier de la donnée</t>
        </is>
      </c>
      <c r="G3" s="104" t="inlineStr">
        <is>
          <t>Data business name</t>
        </is>
      </c>
      <c r="H3" s="104" t="n"/>
      <c r="I3" s="103" t="inlineStr">
        <is>
          <t xml:space="preserve">Définition métier de la donnée </t>
        </is>
      </c>
      <c r="J3" s="104" t="inlineStr">
        <is>
          <t>Business data definition</t>
        </is>
      </c>
      <c r="K3" s="103" t="inlineStr">
        <is>
          <t>Terme métier parent du glossaire métier auquel se rapporte la donnée</t>
        </is>
      </c>
      <c r="L3" s="104" t="inlineStr">
        <is>
          <t>Term parent business of the business glossary to which the data relates</t>
        </is>
      </c>
      <c r="M3" s="105" t="inlineStr">
        <is>
          <t>Nom technique de la donnée / Technical name of the data</t>
        </is>
      </c>
      <c r="N3" s="103" t="inlineStr">
        <is>
          <t xml:space="preserve">Exigence de présence de la donnée sur le périmètre de Collecte défini. 
L'information prend la valeur : 
- Obligatoire si la donnée est exigée
- Obligatoire Si si la donnée est exigée dans des conditions définies dans la Règle de Gestion
- Facultatif si la donnée n'est pas exigée
- NA si la donnée est devenue obsolète et n'est plus collectée sur le domaine de Collecte 
- A renseigner si l'information n'est pas encore disponible </t>
        </is>
      </c>
      <c r="O3" s="104" t="inlineStr">
        <is>
          <t xml:space="preserve">Requirement to have the data on the defined Collection perimeter.
Information is valued:
- Mandatory if data is required
- Mandatory If the data is required under conditions defined in the Management Rule
- Optional if data is not required
- NA if the data has become obsolete and is no longer collected on the Collection domain
- To be filled if the information is not yet available
</t>
        </is>
      </c>
      <c r="P3" s="103" t="inlineStr">
        <is>
          <t>Référence du Langage Commun structurant le format autorisé et la nomenclature autorisée. 
L'information prend la valeur : 
- LC.NNNN si la donnée s'adosse au LC.NNNN
- LC à référencer si la donnée s'adosse à un LC en cours de référencement
- NA si la donnée ne s'adosse à aucun LC 
/A reference to the Common Language structuring the allowed format and the allowed nomenclature.
Information is valued:
- LC.NNNN if the data is based on LC.NNNN
- LC to be referenced if the data is against an LC being referenced
- NA if the data does not support any LC.</t>
        </is>
      </c>
      <c r="Q3" s="103" t="inlineStr">
        <is>
          <t>Table(s)/Rubrique(s) Start porteuse(s) de la nomenclature du Langage Commun lorsque celui ci est référencé. Il peut être multiple. 
L'information prend la valeur : 
- TA XXXXX si la donnée s'adosse à la table TA XXXXX
- RB XXXXX si la donnée s'adosse à la rubrique RB XXXXX
- NA si la donnée ne s'adosse à aucun référentiel Start 
/Table(s)/Topic(s) Start carrying the nomenclature of the Common Language when it is referenced. It can be multiple.
Information is valued:
- TA XXXXX if the data is based on the table TA XXXXX
- RB XXXXX if the data is based on RB XXXXX
- NA if the data does not support any Start referential</t>
        </is>
      </c>
      <c r="R3" s="103" t="inlineStr">
        <is>
          <t>Précisions sur les exigences posées sur la donnée (de type seuils, formules, calculs, règles d'alimentation hors LC...) ou commentaires.
En particulier, les exigences posées sur la donnée peuvent porter sur :
- sa présence (dans le contrôle) (ne pas reprendre les conditions du contrôle de présence si assez explicite)
Nota Bene sur le domaine de valeurs : 
-- si la donnée peut s'inscrire dans toute la nomenclature d'un Langage Commun, le LC est directement renseigné dans le champ dédié "Référence LC"
-- si la donnée s'inscrit dans un domaine de valeurs plus restreint lié au périmètre fonctionnel de l'objet collecté, ce domaine de valeurs strictement autorisé est indiqué ici (contrôle de valeur).
L'information prend la valeur NA sans exigences particulières</t>
        </is>
      </c>
      <c r="S3" s="104" t="inlineStr">
        <is>
          <t>Details on the requirements of the data (of the threshold type, formulas, calculations, rules of supply excluding LC...) or comments.
In particular, the data requirements may relate to:
- its presence (in the control) (do not take over the presence control conditions so explicitly)
Note Bene on the value domain:
— if the data can be inscribed in the entire nomenclature of a Common Language, the LC is directly filled in the dedicated field "LC Reference"
— if the data falls within a narrower value domain related to the functional scope of the collected object, this strictly authorized value domain is indicated here (value control).
Information is set to NA without any special requirements</t>
        </is>
      </c>
      <c r="T3" s="103" t="inlineStr">
        <is>
          <t>Format de la donnée. 
L'information prend la valeur :
- DATE
- ALPHA
- NUM
- A renseigner si l'information n'est pas encore disponible 
Data format.
Information is valued:
- DATE
- ALPHA
- NUM
- To be filled if the information is not yet available</t>
        </is>
      </c>
      <c r="U3" s="143" t="inlineStr">
        <is>
          <t>Structure de présentation des données de type date, montant et taux. 
L'information prend la valeur :
- "NA" en l'absence de règle de formatage.
- "A renseigner" si l'information n'est pas disponible</t>
        </is>
      </c>
      <c r="V3" s="144" t="inlineStr">
        <is>
          <t>Date, amount and rate data presentation structure.
Information is valued:
- "NA" in the absence of a formatting rule.
- "To be filled" if the information is not available</t>
        </is>
      </c>
      <c r="W3" s="103" t="inlineStr">
        <is>
          <t>Longueur de la donnée 
La valeur 8 est attendue sur les formats DATE/
Data length
Value 8 is expected on DATE formats</t>
        </is>
      </c>
      <c r="X3" s="103" t="inlineStr">
        <is>
          <t xml:space="preserve">Numéro correspondant à la position de la donnée dans la chaine de caractères du fichier physique. 
Nécessaire que pour les fichiers plats sans séparateurs (PACT par exemple).
Elle prend la valeur NA dans les autres cas. / 
The number that corresponds to the position of the data item in the character string of the physical file.
Required only for flat files without separators.
It is set to NA in other cases.
</t>
        </is>
      </c>
      <c r="Y3" s="143" t="inlineStr">
        <is>
          <t>Version de la notice dans laquelle la donnée est apparue. 
L'information prend la valeur:
- De la donnée Verbloc figurant dans l'en-tête de la notice
- A renseigner si l'information n'est pas encore disponible./
The version of the notice in which the data appeared.
Information takes value:
- Verbloc data in the header of the notice
- To be filled if the information is not yet available.</t>
        </is>
      </c>
      <c r="Z3" s="103" t="inlineStr">
        <is>
          <t>Version de la notice dans laquelle la donnée apparaît pour la dernière fois. 
L'information prend la valeur:
- De la donnée Verbloc figurant dans l'en-tête de la notice quand la donnée est devenue obsolète
- NA quand la donnée est toujours collectée/ 
The version of the notice in which the data last appears.
Information takes value:
- Verbloc data in the header of the record when the data has become obsolete
- NA when data is still collected</t>
        </is>
      </c>
      <c r="AA3" s="106" t="inlineStr">
        <is>
          <t>Dernière version de publication de la notice présentant la MAJ de la donnée / 
Latest publication version of the notice where the data was updated</t>
        </is>
      </c>
      <c r="AB3" s="941" t="inlineStr">
        <is>
          <t>Liste des usages industriels déclarant exploiter la donnée.
L'information prend la valeur : 
- Usage1, Usage2, Usage3, ..., UsageN si plusieurs usages sont déclarés
- NA en l'absence d'usage déclaré
- A renseigner si l'information n'est pas encore disponible 
/List of industrial uses declaring to exploit the data.
Information is valued:
- Use1, Use2, Use3, ..., UseN if more than one use is declared
- NA in the absence of declared use
- To be filled if the information is not yet available</t>
        </is>
      </c>
      <c r="AC3" s="941" t="inlineStr">
        <is>
          <t>Liste des usages signalant que la donnée est indispensable pour leur fonctionnement.
Le processus de production de reporting de ce(s) usage(s) est compromis par l'absence de cette donnée ou par sa non qualité.
L'information prend la valeur : 
- Usage1, Usage2, Usage3, ..., UsageN si plusieurs usages ont déclaré la donnée critique
- NA en l'absence de criticité de la donnée quel que soit l'usage 
- A renseigner si l'information n'est pas encore disponible/
List of uses indicating that the data is essential for their operation.
The reporting production process of this use(s) is compromised by the absence of this data or by its non-quality.
Information is valued:
- Usage1, Usage2, Usage3, ..., UsageN if several uses have declared critical data
- NA in the absence of criticality of the data whatever the use
- To be filled if the information is not yet available</t>
        </is>
      </c>
      <c r="AD3" s="941" t="inlineStr">
        <is>
          <t>Indicateur signalant que la donnée est à caractère personnel. Une donnée à caractère personnel au sens RGPD est une information se rapportant à une personne physique identifiée ou identifiable. Elle peut permettre d'identifier une personne physique directement (exemple : nom et prénom) ou indirectement (exemple : par un numéro de téléphone ou de plaque d'immatriculation, un identifiant tel que le numéro de sécurité sociale, une adresse postale ou courriel).
L'information prend la valeur : 
- Y si la donnée est une donnée à caractère personnel
- N dans le cas contraire
- A renseigner si l'information n'est pas encore disponible/
Indicator indicating that the data is personal. Personal data in the sense of GDPR is information relating to an identified or identifiable natural person. It can identify a natural person directly (example: first and last names) or indirectly (example: by a telephone or license plate number, an identifier such as a social security number, a postal or email address).
Information is valued:
- Y if the data is personal data
- N otherwise
- To be filled if the information is not yet available</t>
        </is>
      </c>
      <c r="AE3" s="947" t="inlineStr">
        <is>
          <t xml:space="preserve">Information concernant les données du P1, M1 et flux passifs seulement. 
Le périmètre de Collecte précise le domaine fonctionnel auquel se rapporte la Collecte de la donnée. La nature du domaine fonctionnel varie suivant les objets de collecte.
L'information peut être de nature:
- Type de risque
- Nature juridique de la sûreté 
- NA dans les autres cas/
Information on P1, M1 and liability flow data only.
The Collection scope specifies the functional area to which the Data Collection relates. The nature of the functional area varies according to the collection objects.
The information may be of a nature:
- Risk type
- Legal nature of security interest
- NA in other cases
</t>
        </is>
      </c>
      <c r="AF3" s="941" t="inlineStr">
        <is>
          <t>Application en central qui met la donnée à disposition / Central application that makes data available</t>
        </is>
      </c>
      <c r="AG3" s="949" t="inlineStr">
        <is>
          <t>Référence de la donnée en provenance de l'application remettante / Reference of data from remitting application</t>
        </is>
      </c>
      <c r="AI3" s="40" t="n"/>
      <c r="AJ3" s="41" t="n"/>
      <c r="AK3" s="42" t="n"/>
      <c r="AL3" s="43" t="n"/>
      <c r="AM3" s="44" t="n"/>
      <c r="AN3" s="45" t="n"/>
      <c r="AO3" s="42" t="n"/>
      <c r="AP3" s="43" t="n"/>
      <c r="AQ3" s="1396" t="n"/>
      <c r="AR3" s="45" t="n"/>
      <c r="AS3" s="1397" t="n"/>
      <c r="AT3" s="1398" t="n"/>
      <c r="AU3" s="44" t="n"/>
      <c r="AV3" s="45" t="n"/>
      <c r="AW3" s="42" t="n"/>
      <c r="AX3" s="43" t="n"/>
      <c r="AY3" s="46" t="n"/>
      <c r="AZ3" s="41" t="n"/>
      <c r="BA3" s="42" t="n"/>
      <c r="BB3" s="43" t="n"/>
      <c r="BC3" s="46" t="n"/>
      <c r="BD3" s="47" t="n"/>
      <c r="BE3" s="42" t="n"/>
      <c r="BF3" s="43" t="n"/>
      <c r="BH3" t="inlineStr">
        <is>
          <t>DDL ENG_CORP_P1_BIS</t>
        </is>
      </c>
      <c r="BI3" t="inlineStr">
        <is>
          <t>ORIGEM V44 / V45</t>
        </is>
      </c>
    </row>
    <row r="4" ht="54" customFormat="1" customHeight="1" s="89">
      <c r="A4" s="115" t="inlineStr">
        <is>
          <t>CRRC</t>
        </is>
      </c>
      <c r="B4" s="107" t="n">
        <v>1</v>
      </c>
      <c r="C4" s="107" t="inlineStr">
        <is>
          <t>00 - En-tête du flux</t>
        </is>
      </c>
      <c r="D4" s="13" t="inlineStr">
        <is>
          <t>00 - File header</t>
        </is>
      </c>
      <c r="E4" s="134" t="inlineStr">
        <is>
          <t>CRRC H.ENREG</t>
        </is>
      </c>
      <c r="F4" s="15" t="inlineStr">
        <is>
          <t>Type d'enregistrement</t>
        </is>
      </c>
      <c r="G4" s="16" t="inlineStr">
        <is>
          <t>Type of record</t>
        </is>
      </c>
      <c r="H4" s="16" t="n"/>
      <c r="I4" s="15" t="inlineStr">
        <is>
          <t>Type d'enregistrement correspondant au bloc En-tête</t>
        </is>
      </c>
      <c r="J4" s="16" t="inlineStr">
        <is>
          <t>Type of record corresponding to Header block</t>
        </is>
      </c>
      <c r="K4" s="14" t="inlineStr">
        <is>
          <t>ND</t>
        </is>
      </c>
      <c r="L4" s="17" t="inlineStr">
        <is>
          <t>ND</t>
        </is>
      </c>
      <c r="M4" s="1412" t="inlineStr">
        <is>
          <t>ENREG</t>
        </is>
      </c>
      <c r="N4" s="14" t="inlineStr">
        <is>
          <t>Obligatoire</t>
        </is>
      </c>
      <c r="O4" s="17" t="inlineStr">
        <is>
          <t>Mandatory</t>
        </is>
      </c>
      <c r="P4" s="14" t="inlineStr">
        <is>
          <t>NA</t>
        </is>
      </c>
      <c r="Q4" s="14" t="inlineStr">
        <is>
          <t>NA</t>
        </is>
      </c>
      <c r="R4" s="15" t="inlineStr">
        <is>
          <t>A alimenter à "00"</t>
        </is>
      </c>
      <c r="S4" s="16" t="inlineStr">
        <is>
          <t>To be filled with "00"</t>
        </is>
      </c>
      <c r="T4" s="14" t="inlineStr">
        <is>
          <t>ALPHA</t>
        </is>
      </c>
      <c r="U4" s="145" t="inlineStr">
        <is>
          <t>NA</t>
        </is>
      </c>
      <c r="V4" s="146" t="inlineStr">
        <is>
          <t>NA</t>
        </is>
      </c>
      <c r="W4" s="14" t="n">
        <v>2</v>
      </c>
      <c r="X4" s="14" t="inlineStr">
        <is>
          <t>NA</t>
        </is>
      </c>
      <c r="Y4" s="145" t="n">
        <v>43</v>
      </c>
      <c r="Z4" s="145" t="inlineStr">
        <is>
          <t>NA</t>
        </is>
      </c>
      <c r="AA4" s="145" t="inlineStr">
        <is>
          <t>NA</t>
        </is>
      </c>
      <c r="AB4" s="14" t="inlineStr">
        <is>
          <t>USAGE ZP</t>
        </is>
      </c>
      <c r="AC4" s="944" t="inlineStr">
        <is>
          <t>NA</t>
        </is>
      </c>
      <c r="AD4" s="14" t="inlineStr">
        <is>
          <t>NA</t>
        </is>
      </c>
      <c r="AE4" s="14" t="inlineStr">
        <is>
          <t>NA</t>
        </is>
      </c>
      <c r="AF4" s="14" t="inlineStr">
        <is>
          <t>NA</t>
        </is>
      </c>
      <c r="AG4" s="18" t="inlineStr">
        <is>
          <t>NA</t>
        </is>
      </c>
      <c r="AI4" s="193" t="n"/>
      <c r="AJ4" s="194" t="n"/>
      <c r="AK4" s="195" t="n"/>
      <c r="AL4" s="196" t="n"/>
      <c r="AM4" s="197" t="n"/>
      <c r="AN4" s="198" t="n"/>
      <c r="AO4" s="195" t="n"/>
      <c r="AP4" s="196" t="n"/>
      <c r="AQ4" s="199" t="n"/>
      <c r="AR4" s="200" t="n"/>
      <c r="AS4" s="195" t="n"/>
      <c r="AT4" s="201" t="n"/>
      <c r="AU4" s="199" t="n"/>
      <c r="AV4" s="200" t="n"/>
      <c r="AW4" s="195" t="n"/>
      <c r="AX4" s="201" t="n"/>
      <c r="AY4" s="194" t="n"/>
      <c r="AZ4" s="202" t="n"/>
      <c r="BA4" s="195" t="n"/>
      <c r="BB4" s="203" t="n"/>
      <c r="BC4" s="193" t="n"/>
      <c r="BD4" s="195" t="n"/>
      <c r="BE4" s="195" t="n"/>
      <c r="BF4" s="203" t="n"/>
      <c r="BH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
        <f>_xlfn.LET(r,ROW(),oc,INDEX($A:$A,r),cv,TRIM(INDEX($Y:$Y,r)&amp;""),IF(oc&lt;&gt;"P1","",IF(cv="45","V45 - novo, nao alimentado pelo spool atual","V44 - alimentado pelo spool atual")))</f>
        <v/>
      </c>
    </row>
    <row r="5" ht="54" customFormat="1" customHeight="1" s="89">
      <c r="A5" s="118" t="inlineStr">
        <is>
          <t>CRRC</t>
        </is>
      </c>
      <c r="B5" s="88" t="n">
        <v>2</v>
      </c>
      <c r="C5" s="88" t="inlineStr">
        <is>
          <t>00 - En-tête du flux</t>
        </is>
      </c>
      <c r="D5" s="19" t="inlineStr">
        <is>
          <t>00 - File header</t>
        </is>
      </c>
      <c r="E5" s="119" t="inlineStr">
        <is>
          <t>CRRC H.IDFICHIER</t>
        </is>
      </c>
      <c r="F5" s="12" t="inlineStr">
        <is>
          <t>Identifiant du fichier</t>
        </is>
      </c>
      <c r="G5" s="20" t="inlineStr">
        <is>
          <t>File's identifier</t>
        </is>
      </c>
      <c r="H5" s="20" t="n"/>
      <c r="I5" s="12" t="inlineStr">
        <is>
          <t>Identifiant caractérisant le contenu véhiculé par le fichier et servant à référencer chaque type de fichier échangé dans le Référentiel des Echanges du Groupe afin de favoriser la réutilisation</t>
        </is>
      </c>
      <c r="J5" s="20" t="inlineStr">
        <is>
          <t>Identifier characterising the content reported by the file and serving to reference each type of file exchanged in the Group's Exchange Referential to facilitate re-use</t>
        </is>
      </c>
      <c r="K5" s="10" t="inlineStr">
        <is>
          <t>ND</t>
        </is>
      </c>
      <c r="L5" s="11" t="inlineStr">
        <is>
          <t>ND</t>
        </is>
      </c>
      <c r="M5" s="1413" t="inlineStr">
        <is>
          <t>IDFICHIER</t>
        </is>
      </c>
      <c r="N5" s="10" t="inlineStr">
        <is>
          <t>Obligatoire</t>
        </is>
      </c>
      <c r="O5" s="11" t="inlineStr">
        <is>
          <t>Mandatory</t>
        </is>
      </c>
      <c r="P5" s="10" t="inlineStr">
        <is>
          <t>NA</t>
        </is>
      </c>
      <c r="Q5" s="10" t="inlineStr">
        <is>
          <t>NA</t>
        </is>
      </c>
      <c r="R5" s="12" t="inlineStr">
        <is>
          <t>A alimenter à "00000533"</t>
        </is>
      </c>
      <c r="S5" s="20" t="inlineStr">
        <is>
          <t xml:space="preserve"> To be filled with "00000533"</t>
        </is>
      </c>
      <c r="T5" s="10" t="inlineStr">
        <is>
          <t>ALPHA</t>
        </is>
      </c>
      <c r="U5" s="148" t="inlineStr">
        <is>
          <t>NA</t>
        </is>
      </c>
      <c r="V5" s="149" t="inlineStr">
        <is>
          <t>NA</t>
        </is>
      </c>
      <c r="W5" s="10" t="n">
        <v>8</v>
      </c>
      <c r="X5" s="117" t="inlineStr">
        <is>
          <t>NA</t>
        </is>
      </c>
      <c r="Y5" s="148" t="n">
        <v>43</v>
      </c>
      <c r="Z5" s="148" t="inlineStr">
        <is>
          <t>NA</t>
        </is>
      </c>
      <c r="AA5" s="147" t="inlineStr">
        <is>
          <t>NA</t>
        </is>
      </c>
      <c r="AB5" s="10" t="inlineStr">
        <is>
          <t>USAGE ZP</t>
        </is>
      </c>
      <c r="AC5" s="945" t="inlineStr">
        <is>
          <t>NA</t>
        </is>
      </c>
      <c r="AD5" s="10" t="inlineStr">
        <is>
          <t>NA</t>
        </is>
      </c>
      <c r="AE5" s="10" t="inlineStr">
        <is>
          <t>NA</t>
        </is>
      </c>
      <c r="AF5" s="10" t="inlineStr">
        <is>
          <t>NA</t>
        </is>
      </c>
      <c r="AG5" s="21" t="inlineStr">
        <is>
          <t>NA</t>
        </is>
      </c>
      <c r="AI5" s="204" t="n"/>
      <c r="AJ5" s="205" t="n"/>
      <c r="AK5" s="206" t="n"/>
      <c r="AL5" s="207" t="n"/>
      <c r="AM5" s="208" t="n"/>
      <c r="AN5" s="209" t="n"/>
      <c r="AO5" s="206" t="n"/>
      <c r="AP5" s="207" t="n"/>
      <c r="AQ5" s="210" t="n"/>
      <c r="AR5" s="211" t="n"/>
      <c r="AS5" s="206" t="n"/>
      <c r="AT5" s="212" t="n"/>
      <c r="AU5" s="210" t="n"/>
      <c r="AV5" s="211" t="n"/>
      <c r="AW5" s="206" t="n"/>
      <c r="AX5" s="212" t="n"/>
      <c r="AY5" s="205" t="n"/>
      <c r="AZ5" s="213" t="n"/>
      <c r="BA5" s="206" t="n"/>
      <c r="BB5" s="207" t="n"/>
      <c r="BC5" s="204" t="n"/>
      <c r="BD5" s="206" t="n"/>
      <c r="BE5" s="206" t="n"/>
      <c r="BF5" s="207" t="n"/>
      <c r="BH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
        <f>_xlfn.LET(r,ROW(),oc,INDEX($A:$A,r),cv,TRIM(INDEX($Y:$Y,r)&amp;""),IF(oc&lt;&gt;"P1","",IF(cv="45","V45 - novo, nao alimentado pelo spool atual","V44 - alimentado pelo spool atual")))</f>
        <v/>
      </c>
    </row>
    <row r="6" ht="54" customFormat="1" customHeight="1" s="89">
      <c r="A6" s="118" t="inlineStr">
        <is>
          <t>CRRC</t>
        </is>
      </c>
      <c r="B6" s="116" t="n">
        <v>3</v>
      </c>
      <c r="C6" s="88" t="inlineStr">
        <is>
          <t>00 - En-tête du flux</t>
        </is>
      </c>
      <c r="D6" s="19" t="inlineStr">
        <is>
          <t>00 - File header</t>
        </is>
      </c>
      <c r="E6" s="119" t="inlineStr">
        <is>
          <t>CRRC H.VERFICHIER</t>
        </is>
      </c>
      <c r="F6" s="12" t="inlineStr">
        <is>
          <t>Version technique du fichier</t>
        </is>
      </c>
      <c r="G6" s="20" t="inlineStr">
        <is>
          <t>File's technical version</t>
        </is>
      </c>
      <c r="H6" s="20" t="n"/>
      <c r="I6" s="12" t="inlineStr">
        <is>
          <t>Qualifie les modalités techniques de constitution du fichier (positionnel, XML, …)</t>
        </is>
      </c>
      <c r="J6" s="20" t="inlineStr">
        <is>
          <t>Characterises the technical modalities for producing the file (positional, XML, etc.)</t>
        </is>
      </c>
      <c r="K6" s="10" t="inlineStr">
        <is>
          <t>ND</t>
        </is>
      </c>
      <c r="L6" s="11" t="inlineStr">
        <is>
          <t>ND</t>
        </is>
      </c>
      <c r="M6" s="1413" t="inlineStr">
        <is>
          <t>VERFICHIER</t>
        </is>
      </c>
      <c r="N6" s="10" t="inlineStr">
        <is>
          <t>Obligatoire</t>
        </is>
      </c>
      <c r="O6" s="11" t="inlineStr">
        <is>
          <t>Mandatory</t>
        </is>
      </c>
      <c r="P6" s="10" t="inlineStr">
        <is>
          <t>NA</t>
        </is>
      </c>
      <c r="Q6" s="10" t="inlineStr">
        <is>
          <t>NA</t>
        </is>
      </c>
      <c r="R6" s="12" t="inlineStr">
        <is>
          <t>A alimenter à "001"</t>
        </is>
      </c>
      <c r="S6" s="20" t="inlineStr">
        <is>
          <t>To be filled with "001"</t>
        </is>
      </c>
      <c r="T6" s="10" t="inlineStr">
        <is>
          <t>ALPHA</t>
        </is>
      </c>
      <c r="U6" s="148" t="inlineStr">
        <is>
          <t>NA</t>
        </is>
      </c>
      <c r="V6" s="149" t="inlineStr">
        <is>
          <t>NA</t>
        </is>
      </c>
      <c r="W6" s="10" t="n">
        <v>3</v>
      </c>
      <c r="X6" s="117" t="inlineStr">
        <is>
          <t>NA</t>
        </is>
      </c>
      <c r="Y6" s="148" t="n">
        <v>43</v>
      </c>
      <c r="Z6" s="148" t="inlineStr">
        <is>
          <t>NA</t>
        </is>
      </c>
      <c r="AA6" s="148" t="inlineStr">
        <is>
          <t>NA</t>
        </is>
      </c>
      <c r="AB6" s="10" t="inlineStr">
        <is>
          <t>USAGE ZP</t>
        </is>
      </c>
      <c r="AC6" s="945" t="inlineStr">
        <is>
          <t>NA</t>
        </is>
      </c>
      <c r="AD6" s="10" t="inlineStr">
        <is>
          <t>NA</t>
        </is>
      </c>
      <c r="AE6" s="10" t="inlineStr">
        <is>
          <t>NA</t>
        </is>
      </c>
      <c r="AF6" s="10" t="inlineStr">
        <is>
          <t>NA</t>
        </is>
      </c>
      <c r="AG6" s="21" t="inlineStr">
        <is>
          <t>NA</t>
        </is>
      </c>
      <c r="AI6" s="204" t="n"/>
      <c r="AJ6" s="205" t="n"/>
      <c r="AK6" s="206" t="n"/>
      <c r="AL6" s="207" t="n"/>
      <c r="AM6" s="208" t="n"/>
      <c r="AN6" s="209" t="n"/>
      <c r="AO6" s="206" t="n"/>
      <c r="AP6" s="207" t="n"/>
      <c r="AQ6" s="210" t="n"/>
      <c r="AR6" s="211" t="n"/>
      <c r="AS6" s="206" t="n"/>
      <c r="AT6" s="212" t="n"/>
      <c r="AU6" s="210" t="n"/>
      <c r="AV6" s="211" t="n"/>
      <c r="AW6" s="206" t="n"/>
      <c r="AX6" s="212" t="n"/>
      <c r="AY6" s="205" t="n"/>
      <c r="AZ6" s="213" t="n"/>
      <c r="BA6" s="206" t="n"/>
      <c r="BB6" s="207" t="n"/>
      <c r="BC6" s="204" t="n"/>
      <c r="BD6" s="206" t="n"/>
      <c r="BE6" s="206" t="n"/>
      <c r="BF6" s="207" t="n"/>
      <c r="BH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
        <f>_xlfn.LET(r,ROW(),oc,INDEX($A:$A,r),cv,TRIM(INDEX($Y:$Y,r)&amp;""),IF(oc&lt;&gt;"P1","",IF(cv="45","V45 - novo, nao alimentado pelo spool atual","V44 - alimentado pelo spool atual")))</f>
        <v/>
      </c>
    </row>
    <row r="7" ht="54" customFormat="1" customHeight="1" s="89">
      <c r="A7" s="118" t="inlineStr">
        <is>
          <t>CRRC</t>
        </is>
      </c>
      <c r="B7" s="88" t="n">
        <v>4</v>
      </c>
      <c r="C7" s="88" t="inlineStr">
        <is>
          <t>00 - En-tête du flux</t>
        </is>
      </c>
      <c r="D7" s="19" t="inlineStr">
        <is>
          <t>00 - File header</t>
        </is>
      </c>
      <c r="E7" s="119" t="inlineStr">
        <is>
          <t>CRRC H.TIMESTAMP</t>
        </is>
      </c>
      <c r="F7" s="12" t="inlineStr">
        <is>
          <t>Horodatage</t>
        </is>
      </c>
      <c r="G7" s="20" t="inlineStr">
        <is>
          <t>Timestamp</t>
        </is>
      </c>
      <c r="H7" s="20" t="n"/>
      <c r="I7" s="12" t="inlineStr">
        <is>
          <t>Date et heure de production du fichier (norme ISO 8601 : séparateur normalisé « T » entre la date et l'heure)</t>
        </is>
      </c>
      <c r="J7" s="20" t="inlineStr">
        <is>
          <t>Date and time of the file's production (ISO 8601 standard: normalised separator “T” between the date and time)</t>
        </is>
      </c>
      <c r="K7" s="10" t="inlineStr">
        <is>
          <t>ND</t>
        </is>
      </c>
      <c r="L7" s="11" t="inlineStr">
        <is>
          <t>ND</t>
        </is>
      </c>
      <c r="M7" s="1413" t="inlineStr">
        <is>
          <t>TIMESTAMP</t>
        </is>
      </c>
      <c r="N7" s="10" t="inlineStr">
        <is>
          <t>Obligatoire</t>
        </is>
      </c>
      <c r="O7" s="11" t="inlineStr">
        <is>
          <t>Mandatory</t>
        </is>
      </c>
      <c r="P7" s="10" t="inlineStr">
        <is>
          <t>NA</t>
        </is>
      </c>
      <c r="Q7" s="10" t="inlineStr">
        <is>
          <t>NA</t>
        </is>
      </c>
      <c r="R7" s="12" t="inlineStr">
        <is>
          <t>NA</t>
        </is>
      </c>
      <c r="S7" s="20" t="inlineStr">
        <is>
          <t>NA</t>
        </is>
      </c>
      <c r="T7" s="10" t="inlineStr">
        <is>
          <t>ALPHA</t>
        </is>
      </c>
      <c r="U7" s="148" t="inlineStr">
        <is>
          <t>AAAAMMJJTHHMMSS</t>
        </is>
      </c>
      <c r="V7" s="149" t="inlineStr">
        <is>
          <t>YYYYMMDDTHHMMSS</t>
        </is>
      </c>
      <c r="W7" s="10" t="n">
        <v>15</v>
      </c>
      <c r="X7" s="117" t="inlineStr">
        <is>
          <t>NA</t>
        </is>
      </c>
      <c r="Y7" s="148" t="n">
        <v>43</v>
      </c>
      <c r="Z7" s="148" t="inlineStr">
        <is>
          <t>NA</t>
        </is>
      </c>
      <c r="AA7" s="148" t="inlineStr">
        <is>
          <t>NA</t>
        </is>
      </c>
      <c r="AB7" s="10" t="inlineStr">
        <is>
          <t>USAGE ZP</t>
        </is>
      </c>
      <c r="AC7" s="945" t="inlineStr">
        <is>
          <t>NA</t>
        </is>
      </c>
      <c r="AD7" s="10" t="inlineStr">
        <is>
          <t>NA</t>
        </is>
      </c>
      <c r="AE7" s="10" t="inlineStr">
        <is>
          <t>NA</t>
        </is>
      </c>
      <c r="AF7" s="10" t="inlineStr">
        <is>
          <t>NA</t>
        </is>
      </c>
      <c r="AG7" s="21" t="inlineStr">
        <is>
          <t>NA</t>
        </is>
      </c>
      <c r="AI7" s="204" t="n"/>
      <c r="AJ7" s="205" t="n"/>
      <c r="AK7" s="206" t="n"/>
      <c r="AL7" s="207" t="n"/>
      <c r="AM7" s="208" t="n"/>
      <c r="AN7" s="209" t="n"/>
      <c r="AO7" s="206" t="n"/>
      <c r="AP7" s="207" t="n"/>
      <c r="AQ7" s="210" t="n"/>
      <c r="AR7" s="211" t="n"/>
      <c r="AS7" s="206" t="n"/>
      <c r="AT7" s="212" t="n"/>
      <c r="AU7" s="210" t="n"/>
      <c r="AV7" s="211" t="n"/>
      <c r="AW7" s="206" t="n"/>
      <c r="AX7" s="212" t="n"/>
      <c r="AY7" s="205" t="n"/>
      <c r="AZ7" s="213" t="n"/>
      <c r="BA7" s="206" t="n"/>
      <c r="BB7" s="207" t="n"/>
      <c r="BC7" s="204" t="n"/>
      <c r="BD7" s="206" t="n"/>
      <c r="BE7" s="206" t="n"/>
      <c r="BF7" s="207" t="n"/>
      <c r="BH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
        <f>_xlfn.LET(r,ROW(),oc,INDEX($A:$A,r),cv,TRIM(INDEX($Y:$Y,r)&amp;""),IF(oc&lt;&gt;"P1","",IF(cv="45","V45 - novo, nao alimentado pelo spool atual","V44 - alimentado pelo spool atual")))</f>
        <v/>
      </c>
    </row>
    <row r="8" ht="54" customFormat="1" customHeight="1" s="89">
      <c r="A8" s="118" t="inlineStr">
        <is>
          <t>CRRC</t>
        </is>
      </c>
      <c r="B8" s="116" t="n">
        <v>5</v>
      </c>
      <c r="C8" s="88" t="inlineStr">
        <is>
          <t>00 - En-tête du flux</t>
        </is>
      </c>
      <c r="D8" s="19" t="inlineStr">
        <is>
          <t>00 - File header</t>
        </is>
      </c>
      <c r="E8" s="1035" t="inlineStr">
        <is>
          <t>CRRC H.UOE</t>
        </is>
      </c>
      <c r="F8" s="12" t="inlineStr">
        <is>
          <t>Entité émettrice</t>
        </is>
      </c>
      <c r="G8" s="20" t="inlineStr">
        <is>
          <t>Issuing entity</t>
        </is>
      </c>
      <c r="H8" s="20" t="n"/>
      <c r="I8" s="12" t="inlineStr">
        <is>
          <t>Identifiant national de l'entité produisant le fichier (pour son propre compte ou en cas de sous-traitance pour le compte de l'entité déclarante)</t>
        </is>
      </c>
      <c r="J8" s="20" t="inlineStr">
        <is>
          <t>National identifier of the entity producing the file (for its own account or, in the event of subcontracting, on behalf of the issuing entity)</t>
        </is>
      </c>
      <c r="K8" s="10" t="inlineStr">
        <is>
          <t>ND</t>
        </is>
      </c>
      <c r="L8" s="11" t="inlineStr">
        <is>
          <t>ND</t>
        </is>
      </c>
      <c r="M8" s="1413" t="inlineStr">
        <is>
          <t>UOE</t>
        </is>
      </c>
      <c r="N8" s="10" t="inlineStr">
        <is>
          <t>Obligatoire</t>
        </is>
      </c>
      <c r="O8" s="11" t="inlineStr">
        <is>
          <t>Mandatory</t>
        </is>
      </c>
      <c r="P8" s="10" t="inlineStr">
        <is>
          <t>LC.0003</t>
        </is>
      </c>
      <c r="Q8" s="10" t="inlineStr">
        <is>
          <t>RB NM281</t>
        </is>
      </c>
      <c r="R8" s="1010" t="inlineStr">
        <is>
          <t>NA</t>
        </is>
      </c>
      <c r="S8" s="1011" t="inlineStr">
        <is>
          <t>NA</t>
        </is>
      </c>
      <c r="T8" s="10" t="inlineStr">
        <is>
          <t>ALPHA</t>
        </is>
      </c>
      <c r="U8" s="148" t="inlineStr">
        <is>
          <t>NA</t>
        </is>
      </c>
      <c r="V8" s="149" t="inlineStr">
        <is>
          <t>NA</t>
        </is>
      </c>
      <c r="W8" s="10" t="n">
        <v>5</v>
      </c>
      <c r="X8" s="117" t="inlineStr">
        <is>
          <t>NA</t>
        </is>
      </c>
      <c r="Y8" s="148" t="n">
        <v>43</v>
      </c>
      <c r="Z8" s="148" t="inlineStr">
        <is>
          <t>NA</t>
        </is>
      </c>
      <c r="AA8" s="147" t="inlineStr">
        <is>
          <t>45.00</t>
        </is>
      </c>
      <c r="AB8" s="10" t="inlineStr">
        <is>
          <t>USAGE ZP</t>
        </is>
      </c>
      <c r="AC8" s="945" t="inlineStr">
        <is>
          <t>NA</t>
        </is>
      </c>
      <c r="AD8" s="10" t="inlineStr">
        <is>
          <t>NA</t>
        </is>
      </c>
      <c r="AE8" s="10" t="inlineStr">
        <is>
          <t>NA</t>
        </is>
      </c>
      <c r="AF8" s="10" t="inlineStr">
        <is>
          <t>NA</t>
        </is>
      </c>
      <c r="AG8" s="21" t="inlineStr">
        <is>
          <t>NA</t>
        </is>
      </c>
      <c r="AI8" s="204" t="n"/>
      <c r="AJ8" s="205" t="n"/>
      <c r="AK8" s="206" t="n"/>
      <c r="AL8" s="207" t="n"/>
      <c r="AM8" s="1036" t="n"/>
      <c r="AN8" s="1037" t="n"/>
      <c r="AO8" s="1038" t="n"/>
      <c r="AP8" s="1003" t="n"/>
      <c r="AQ8" s="210" t="n"/>
      <c r="AR8" s="211" t="n"/>
      <c r="AS8" s="206" t="n"/>
      <c r="AT8" s="212" t="n"/>
      <c r="AU8" s="210" t="n"/>
      <c r="AV8" s="211" t="n"/>
      <c r="AW8" s="206" t="n"/>
      <c r="AX8" s="212" t="n"/>
      <c r="AY8" s="205" t="n"/>
      <c r="AZ8" s="213" t="n"/>
      <c r="BA8" s="206" t="n"/>
      <c r="BB8" s="207" t="n"/>
      <c r="BC8" s="204" t="n"/>
      <c r="BD8" s="206" t="n"/>
      <c r="BE8" s="206" t="n"/>
      <c r="BF8" s="207" t="n"/>
      <c r="BH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
        <f>_xlfn.LET(r,ROW(),oc,INDEX($A:$A,r),cv,TRIM(INDEX($Y:$Y,r)&amp;""),IF(oc&lt;&gt;"P1","",IF(cv="45","V45 - novo, nao alimentado pelo spool atual","V44 - alimentado pelo spool atual")))</f>
        <v/>
      </c>
    </row>
    <row r="9" ht="54" customFormat="1" customHeight="1" s="89">
      <c r="A9" s="118" t="inlineStr">
        <is>
          <t>CRRC</t>
        </is>
      </c>
      <c r="B9" s="88" t="n">
        <v>6</v>
      </c>
      <c r="C9" s="88" t="inlineStr">
        <is>
          <t>00 - En-tête du flux</t>
        </is>
      </c>
      <c r="D9" s="19" t="inlineStr">
        <is>
          <t>00 - File header</t>
        </is>
      </c>
      <c r="E9" s="119" t="inlineStr">
        <is>
          <t>CRRC H.UOD</t>
        </is>
      </c>
      <c r="F9" s="12" t="inlineStr">
        <is>
          <t>Entité déclarante</t>
        </is>
      </c>
      <c r="G9" s="20" t="inlineStr">
        <is>
          <t>Reporting entity</t>
        </is>
      </c>
      <c r="H9" s="20" t="n"/>
      <c r="I9" s="12" t="inlineStr">
        <is>
          <t>Identifiant national de l'entité à laquelle se rapporte le contenu du fichier (entité porteuse du risque)</t>
        </is>
      </c>
      <c r="J9" s="20" t="inlineStr">
        <is>
          <t>National identifier of the entity to which the file's content relates (entity carrying the risk)</t>
        </is>
      </c>
      <c r="K9" s="10" t="inlineStr">
        <is>
          <t>ND</t>
        </is>
      </c>
      <c r="L9" s="11" t="inlineStr">
        <is>
          <t>ND</t>
        </is>
      </c>
      <c r="M9" s="1413" t="inlineStr">
        <is>
          <t>UOD</t>
        </is>
      </c>
      <c r="N9" s="10" t="inlineStr">
        <is>
          <t>Obligatoire</t>
        </is>
      </c>
      <c r="O9" s="11" t="inlineStr">
        <is>
          <t>Mandatory</t>
        </is>
      </c>
      <c r="P9" s="10" t="inlineStr">
        <is>
          <t>LC.0003</t>
        </is>
      </c>
      <c r="Q9" s="10" t="inlineStr">
        <is>
          <t>RB NM281</t>
        </is>
      </c>
      <c r="R9" s="1010" t="inlineStr">
        <is>
          <t>NA</t>
        </is>
      </c>
      <c r="S9" s="1011" t="inlineStr">
        <is>
          <t>NA</t>
        </is>
      </c>
      <c r="T9" s="10" t="inlineStr">
        <is>
          <t>ALPHA</t>
        </is>
      </c>
      <c r="U9" s="148" t="inlineStr">
        <is>
          <t>NA</t>
        </is>
      </c>
      <c r="V9" s="149" t="inlineStr">
        <is>
          <t>NA</t>
        </is>
      </c>
      <c r="W9" s="10" t="n">
        <v>5</v>
      </c>
      <c r="X9" s="117" t="inlineStr">
        <is>
          <t>NA</t>
        </is>
      </c>
      <c r="Y9" s="148" t="n">
        <v>43</v>
      </c>
      <c r="Z9" s="148" t="inlineStr">
        <is>
          <t>NA</t>
        </is>
      </c>
      <c r="AA9" s="148" t="inlineStr">
        <is>
          <t>NA</t>
        </is>
      </c>
      <c r="AB9" s="10" t="inlineStr">
        <is>
          <t>USAGE ZP</t>
        </is>
      </c>
      <c r="AC9" s="945" t="inlineStr">
        <is>
          <t>NA</t>
        </is>
      </c>
      <c r="AD9" s="10" t="inlineStr">
        <is>
          <t>NA</t>
        </is>
      </c>
      <c r="AE9" s="10" t="inlineStr">
        <is>
          <t>NA</t>
        </is>
      </c>
      <c r="AF9" s="10" t="inlineStr">
        <is>
          <t>NA</t>
        </is>
      </c>
      <c r="AG9" s="21" t="inlineStr">
        <is>
          <t>NA</t>
        </is>
      </c>
      <c r="AI9" s="204" t="n"/>
      <c r="AJ9" s="205" t="n"/>
      <c r="AK9" s="206" t="n"/>
      <c r="AL9" s="207" t="n"/>
      <c r="AM9" s="208" t="n"/>
      <c r="AN9" s="209" t="n"/>
      <c r="AO9" s="206" t="n"/>
      <c r="AP9" s="207" t="n"/>
      <c r="AQ9" s="210" t="n"/>
      <c r="AR9" s="211" t="n"/>
      <c r="AS9" s="206" t="n"/>
      <c r="AT9" s="212" t="n"/>
      <c r="AU9" s="210" t="n"/>
      <c r="AV9" s="211" t="n"/>
      <c r="AW9" s="206" t="n"/>
      <c r="AX9" s="212" t="n"/>
      <c r="AY9" s="205" t="n"/>
      <c r="AZ9" s="213" t="n"/>
      <c r="BA9" s="206" t="n"/>
      <c r="BB9" s="207" t="n"/>
      <c r="BC9" s="204" t="n"/>
      <c r="BD9" s="206" t="n"/>
      <c r="BE9" s="206" t="n"/>
      <c r="BF9" s="207" t="n"/>
      <c r="BH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
        <f>_xlfn.LET(r,ROW(),oc,INDEX($A:$A,r),cv,TRIM(INDEX($Y:$Y,r)&amp;""),IF(oc&lt;&gt;"P1","",IF(cv="45","V45 - novo, nao alimentado pelo spool atual","V44 - alimentado pelo spool atual")))</f>
        <v/>
      </c>
    </row>
    <row r="10" ht="54" customFormat="1" customHeight="1" s="89">
      <c r="A10" s="118" t="inlineStr">
        <is>
          <t>CRRC</t>
        </is>
      </c>
      <c r="B10" s="116" t="n">
        <v>7</v>
      </c>
      <c r="C10" s="88" t="inlineStr">
        <is>
          <t>00 - En-tête du flux</t>
        </is>
      </c>
      <c r="D10" s="19" t="inlineStr">
        <is>
          <t>00 - File header</t>
        </is>
      </c>
      <c r="E10" s="119" t="inlineStr">
        <is>
          <t>CRRC H.NMAPPU</t>
        </is>
      </c>
      <c r="F10" s="12" t="inlineStr">
        <is>
          <t>Application émettrice</t>
        </is>
      </c>
      <c r="G10" s="20" t="inlineStr">
        <is>
          <t>Issuing application</t>
        </is>
      </c>
      <c r="H10" s="20" t="n"/>
      <c r="I10" s="12" t="inlineStr">
        <is>
          <t>Code ou nom de l'application ou du job utilisés pour produire le fichier dans le SI de l'entité</t>
        </is>
      </c>
      <c r="J10" s="20" t="inlineStr">
        <is>
          <t>Code or name of the application or job used to produce the file in the entity's IT system</t>
        </is>
      </c>
      <c r="K10" s="10" t="inlineStr">
        <is>
          <t>ND</t>
        </is>
      </c>
      <c r="L10" s="11" t="inlineStr">
        <is>
          <t>ND</t>
        </is>
      </c>
      <c r="M10" s="1413" t="inlineStr">
        <is>
          <t>NMAPPU</t>
        </is>
      </c>
      <c r="N10" s="10" t="inlineStr">
        <is>
          <t>Facultatif</t>
        </is>
      </c>
      <c r="O10" s="11" t="inlineStr">
        <is>
          <t>Optional</t>
        </is>
      </c>
      <c r="P10" s="10" t="inlineStr">
        <is>
          <t>NA</t>
        </is>
      </c>
      <c r="Q10" s="10" t="inlineStr">
        <is>
          <t>NA</t>
        </is>
      </c>
      <c r="R10" s="12" t="inlineStr">
        <is>
          <t>NA</t>
        </is>
      </c>
      <c r="S10" s="20" t="inlineStr">
        <is>
          <t>NA</t>
        </is>
      </c>
      <c r="T10" s="10" t="inlineStr">
        <is>
          <t>ALPHA</t>
        </is>
      </c>
      <c r="U10" s="148" t="inlineStr">
        <is>
          <t>NA</t>
        </is>
      </c>
      <c r="V10" s="149" t="inlineStr">
        <is>
          <t>NA</t>
        </is>
      </c>
      <c r="W10" s="10" t="n">
        <v>32</v>
      </c>
      <c r="X10" s="117" t="inlineStr">
        <is>
          <t>NA</t>
        </is>
      </c>
      <c r="Y10" s="148" t="n">
        <v>43</v>
      </c>
      <c r="Z10" s="148" t="inlineStr">
        <is>
          <t>NA</t>
        </is>
      </c>
      <c r="AA10" s="148" t="inlineStr">
        <is>
          <t>NA</t>
        </is>
      </c>
      <c r="AB10" s="10" t="inlineStr">
        <is>
          <t>USAGE ZP</t>
        </is>
      </c>
      <c r="AC10" s="945" t="inlineStr">
        <is>
          <t>NA</t>
        </is>
      </c>
      <c r="AD10" s="10" t="inlineStr">
        <is>
          <t>NA</t>
        </is>
      </c>
      <c r="AE10" s="10" t="inlineStr">
        <is>
          <t>NA</t>
        </is>
      </c>
      <c r="AF10" s="10" t="inlineStr">
        <is>
          <t>NA</t>
        </is>
      </c>
      <c r="AG10" s="21" t="inlineStr">
        <is>
          <t>NA</t>
        </is>
      </c>
      <c r="AI10" s="204" t="n"/>
      <c r="AJ10" s="205" t="n"/>
      <c r="AK10" s="206" t="n"/>
      <c r="AL10" s="207" t="n"/>
      <c r="AM10" s="208" t="n"/>
      <c r="AN10" s="209" t="n"/>
      <c r="AO10" s="206" t="n"/>
      <c r="AP10" s="207" t="n"/>
      <c r="AQ10" s="210" t="n"/>
      <c r="AR10" s="211" t="n"/>
      <c r="AS10" s="206" t="n"/>
      <c r="AT10" s="212" t="n"/>
      <c r="AU10" s="210" t="n"/>
      <c r="AV10" s="211" t="n"/>
      <c r="AW10" s="206" t="n"/>
      <c r="AX10" s="212" t="n"/>
      <c r="AY10" s="205" t="n"/>
      <c r="AZ10" s="213" t="n"/>
      <c r="BA10" s="206" t="n"/>
      <c r="BB10" s="207" t="n"/>
      <c r="BC10" s="204" t="n"/>
      <c r="BD10" s="206" t="n"/>
      <c r="BE10" s="206" t="n"/>
      <c r="BF10" s="207" t="n"/>
      <c r="BH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
        <f>_xlfn.LET(r,ROW(),oc,INDEX($A:$A,r),cv,TRIM(INDEX($Y:$Y,r)&amp;""),IF(oc&lt;&gt;"P1","",IF(cv="45","V45 - novo, nao alimentado pelo spool atual","V44 - alimentado pelo spool atual")))</f>
        <v/>
      </c>
    </row>
    <row r="11" ht="54" customFormat="1" customHeight="1" s="89">
      <c r="A11" s="118" t="inlineStr">
        <is>
          <t>CRRC</t>
        </is>
      </c>
      <c r="B11" s="88" t="n">
        <v>8</v>
      </c>
      <c r="C11" s="88" t="inlineStr">
        <is>
          <t>00 - En-tête du flux</t>
        </is>
      </c>
      <c r="D11" s="19" t="inlineStr">
        <is>
          <t>00 - File header</t>
        </is>
      </c>
      <c r="E11" s="119" t="inlineStr">
        <is>
          <t>CRRC H.CDBLOC</t>
        </is>
      </c>
      <c r="F11" s="12" t="inlineStr">
        <is>
          <t>Code du flux</t>
        </is>
      </c>
      <c r="G11" s="20" t="inlineStr">
        <is>
          <t>Flow code</t>
        </is>
      </c>
      <c r="H11" s="20" t="n"/>
      <c r="I11" s="12" t="inlineStr">
        <is>
          <t>Code du flux correspondant aux objets métier véhiculés par le fichier</t>
        </is>
      </c>
      <c r="J11" s="20" t="inlineStr">
        <is>
          <t>Flow code corresponding to the business objects reported by the file</t>
        </is>
      </c>
      <c r="K11" s="10" t="inlineStr">
        <is>
          <t>ND</t>
        </is>
      </c>
      <c r="L11" s="11" t="inlineStr">
        <is>
          <t>ND</t>
        </is>
      </c>
      <c r="M11" s="1413" t="inlineStr">
        <is>
          <t>CDBLOC</t>
        </is>
      </c>
      <c r="N11" s="10" t="inlineStr">
        <is>
          <t>Obligatoire</t>
        </is>
      </c>
      <c r="O11" s="11" t="inlineStr">
        <is>
          <t>Mandatory</t>
        </is>
      </c>
      <c r="P11" s="10" t="inlineStr">
        <is>
          <t>NA</t>
        </is>
      </c>
      <c r="Q11" s="10" t="inlineStr">
        <is>
          <t>NA</t>
        </is>
      </c>
      <c r="R11" s="12" t="inlineStr">
        <is>
          <t>A alimenter à "CRRC"</t>
        </is>
      </c>
      <c r="S11" s="20" t="inlineStr">
        <is>
          <t>To filled filled with "CRRC"</t>
        </is>
      </c>
      <c r="T11" s="10" t="inlineStr">
        <is>
          <t>ALPHA</t>
        </is>
      </c>
      <c r="U11" s="148" t="inlineStr">
        <is>
          <t>NA</t>
        </is>
      </c>
      <c r="V11" s="149" t="inlineStr">
        <is>
          <t>NA</t>
        </is>
      </c>
      <c r="W11" s="10" t="n">
        <v>4</v>
      </c>
      <c r="X11" s="117" t="inlineStr">
        <is>
          <t>NA</t>
        </is>
      </c>
      <c r="Y11" s="148" t="n">
        <v>43</v>
      </c>
      <c r="Z11" s="148" t="inlineStr">
        <is>
          <t>NA</t>
        </is>
      </c>
      <c r="AA11" s="147" t="inlineStr">
        <is>
          <t>NA</t>
        </is>
      </c>
      <c r="AB11" s="10" t="inlineStr">
        <is>
          <t>USAGE ZP</t>
        </is>
      </c>
      <c r="AC11" s="945" t="inlineStr">
        <is>
          <t>NA</t>
        </is>
      </c>
      <c r="AD11" s="10" t="inlineStr">
        <is>
          <t>NA</t>
        </is>
      </c>
      <c r="AE11" s="10" t="inlineStr">
        <is>
          <t>NA</t>
        </is>
      </c>
      <c r="AF11" s="10" t="inlineStr">
        <is>
          <t>NA</t>
        </is>
      </c>
      <c r="AG11" s="21" t="inlineStr">
        <is>
          <t>NA</t>
        </is>
      </c>
      <c r="AI11" s="204" t="n"/>
      <c r="AJ11" s="205" t="n"/>
      <c r="AK11" s="206" t="n"/>
      <c r="AL11" s="207" t="n"/>
      <c r="AM11" s="208" t="n"/>
      <c r="AN11" s="209" t="n"/>
      <c r="AO11" s="206" t="n"/>
      <c r="AP11" s="207" t="n"/>
      <c r="AQ11" s="210" t="n"/>
      <c r="AR11" s="211" t="n"/>
      <c r="AS11" s="206" t="n"/>
      <c r="AT11" s="212" t="n"/>
      <c r="AU11" s="210" t="n"/>
      <c r="AV11" s="211" t="n"/>
      <c r="AW11" s="206" t="n"/>
      <c r="AX11" s="212" t="n"/>
      <c r="AY11" s="205" t="n"/>
      <c r="AZ11" s="213" t="n"/>
      <c r="BA11" s="206" t="n"/>
      <c r="BB11" s="207" t="n"/>
      <c r="BC11" s="204" t="n"/>
      <c r="BD11" s="206" t="n"/>
      <c r="BE11" s="206" t="n"/>
      <c r="BF11" s="207" t="n"/>
      <c r="BH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
        <f>_xlfn.LET(r,ROW(),oc,INDEX($A:$A,r),cv,TRIM(INDEX($Y:$Y,r)&amp;""),IF(oc&lt;&gt;"P1","",IF(cv="45","V45 - novo, nao alimentado pelo spool atual","V44 - alimentado pelo spool atual")))</f>
        <v/>
      </c>
    </row>
    <row r="12" ht="54" customFormat="1" customHeight="1" s="89">
      <c r="A12" s="118" t="inlineStr">
        <is>
          <t>CRRC</t>
        </is>
      </c>
      <c r="B12" s="116" t="n">
        <v>9</v>
      </c>
      <c r="C12" s="88" t="inlineStr">
        <is>
          <t>00 - En-tête du flux</t>
        </is>
      </c>
      <c r="D12" s="19" t="inlineStr">
        <is>
          <t>00 - File header</t>
        </is>
      </c>
      <c r="E12" s="119" t="inlineStr">
        <is>
          <t>CRRC H.VERBLOC</t>
        </is>
      </c>
      <c r="F12" s="12" t="inlineStr">
        <is>
          <t>Version du flux</t>
        </is>
      </c>
      <c r="G12" s="20" t="inlineStr">
        <is>
          <t>Flow version</t>
        </is>
      </c>
      <c r="H12" s="20" t="n"/>
      <c r="I12" s="12" t="inlineStr">
        <is>
          <t>Version du flux correspondant aux objets métier véhiculés par le fichier</t>
        </is>
      </c>
      <c r="J12" s="20" t="inlineStr">
        <is>
          <t>Version of flow corresponding to the business objects reported by the file</t>
        </is>
      </c>
      <c r="K12" s="10" t="inlineStr">
        <is>
          <t>ND</t>
        </is>
      </c>
      <c r="L12" s="11" t="inlineStr">
        <is>
          <t>ND</t>
        </is>
      </c>
      <c r="M12" s="1413" t="inlineStr">
        <is>
          <t>VERBLOC</t>
        </is>
      </c>
      <c r="N12" s="10" t="inlineStr">
        <is>
          <t>Obligatoire</t>
        </is>
      </c>
      <c r="O12" s="11" t="inlineStr">
        <is>
          <t>Mandatory</t>
        </is>
      </c>
      <c r="P12" s="10" t="inlineStr">
        <is>
          <t>NA</t>
        </is>
      </c>
      <c r="Q12" s="10" t="inlineStr">
        <is>
          <t>NA</t>
        </is>
      </c>
      <c r="R12" s="1012" t="inlineStr">
        <is>
          <t>A alimenter à "45"</t>
        </is>
      </c>
      <c r="S12" s="187" t="inlineStr">
        <is>
          <t>To filled filled with "45"</t>
        </is>
      </c>
      <c r="T12" s="10" t="inlineStr">
        <is>
          <t>ALPHA</t>
        </is>
      </c>
      <c r="U12" s="148" t="inlineStr">
        <is>
          <t>NA</t>
        </is>
      </c>
      <c r="V12" s="149" t="inlineStr">
        <is>
          <t>NA</t>
        </is>
      </c>
      <c r="W12" s="10" t="n">
        <v>2</v>
      </c>
      <c r="X12" s="117" t="inlineStr">
        <is>
          <t>NA</t>
        </is>
      </c>
      <c r="Y12" s="148" t="n">
        <v>43</v>
      </c>
      <c r="Z12" s="148" t="inlineStr">
        <is>
          <t>NA</t>
        </is>
      </c>
      <c r="AA12" s="156" t="inlineStr">
        <is>
          <t>45.00</t>
        </is>
      </c>
      <c r="AB12" s="10" t="inlineStr">
        <is>
          <t>USAGE ZP</t>
        </is>
      </c>
      <c r="AC12" s="945" t="inlineStr">
        <is>
          <t>NA</t>
        </is>
      </c>
      <c r="AD12" s="10" t="inlineStr">
        <is>
          <t>NA</t>
        </is>
      </c>
      <c r="AE12" s="10" t="inlineStr">
        <is>
          <t>NA</t>
        </is>
      </c>
      <c r="AF12" s="10" t="inlineStr">
        <is>
          <t>NA</t>
        </is>
      </c>
      <c r="AG12" s="21" t="inlineStr">
        <is>
          <t>NA</t>
        </is>
      </c>
      <c r="AI12" s="204" t="n"/>
      <c r="AJ12" s="205" t="n"/>
      <c r="AK12" s="206" t="n"/>
      <c r="AL12" s="207" t="n"/>
      <c r="AM12" s="208" t="n"/>
      <c r="AN12" s="209" t="n"/>
      <c r="AO12" s="206" t="n"/>
      <c r="AP12" s="207" t="n"/>
      <c r="AQ12" s="210" t="n"/>
      <c r="AR12" s="211" t="n"/>
      <c r="AS12" s="206" t="n"/>
      <c r="AT12" s="212" t="n"/>
      <c r="AU12" s="210" t="n"/>
      <c r="AV12" s="211" t="n"/>
      <c r="AW12" s="206" t="n"/>
      <c r="AX12" s="212" t="n"/>
      <c r="AY12" s="205" t="n"/>
      <c r="AZ12" s="213" t="n"/>
      <c r="BA12" s="206" t="n"/>
      <c r="BB12" s="207" t="n"/>
      <c r="BC12" s="204" t="n"/>
      <c r="BD12" s="206" t="n"/>
      <c r="BE12" s="206" t="n"/>
      <c r="BF12" s="207" t="n"/>
      <c r="BH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
        <f>_xlfn.LET(r,ROW(),oc,INDEX($A:$A,r),cv,TRIM(INDEX($Y:$Y,r)&amp;""),IF(oc&lt;&gt;"P1","",IF(cv="45","V45 - novo, nao alimentado pelo spool atual","V44 - alimentado pelo spool atual")))</f>
        <v/>
      </c>
    </row>
    <row r="13" ht="54" customFormat="1" customHeight="1" s="89">
      <c r="A13" s="118" t="inlineStr">
        <is>
          <t>CRRC</t>
        </is>
      </c>
      <c r="B13" s="88" t="n">
        <v>10</v>
      </c>
      <c r="C13" s="88" t="inlineStr">
        <is>
          <t>00 - En-tête du flux</t>
        </is>
      </c>
      <c r="D13" s="19" t="inlineStr">
        <is>
          <t>00 - File header</t>
        </is>
      </c>
      <c r="E13" s="119" t="inlineStr">
        <is>
          <t>CRRC H.NUMENV</t>
        </is>
      </c>
      <c r="F13" s="12" t="inlineStr">
        <is>
          <t>Numéro d'envoi du fichier</t>
        </is>
      </c>
      <c r="G13" s="20" t="inlineStr">
        <is>
          <t>File's dispatch number</t>
        </is>
      </c>
      <c r="H13" s="20" t="n"/>
      <c r="I13" s="12" t="inlineStr">
        <is>
          <t>Permet de gérer les réemissions</t>
        </is>
      </c>
      <c r="J13" s="20" t="inlineStr">
        <is>
          <t>Serves to manage re-issues</t>
        </is>
      </c>
      <c r="K13" s="10" t="inlineStr">
        <is>
          <t>ND</t>
        </is>
      </c>
      <c r="L13" s="11" t="inlineStr">
        <is>
          <t>ND</t>
        </is>
      </c>
      <c r="M13" s="1413" t="inlineStr">
        <is>
          <t>NUMENV</t>
        </is>
      </c>
      <c r="N13" s="10" t="inlineStr">
        <is>
          <t>Obligatoire</t>
        </is>
      </c>
      <c r="O13" s="11" t="inlineStr">
        <is>
          <t>Mandatory</t>
        </is>
      </c>
      <c r="P13" s="10" t="inlineStr">
        <is>
          <t>NA</t>
        </is>
      </c>
      <c r="Q13" s="10" t="inlineStr">
        <is>
          <t>NA</t>
        </is>
      </c>
      <c r="R13" s="12" t="inlineStr">
        <is>
          <t>A alimenter à "00001" et à incrémenter de +1 à chaque réémission</t>
        </is>
      </c>
      <c r="S13" s="20" t="inlineStr">
        <is>
          <t>To be filled with "00001"and incrementing by +1 at each reissue</t>
        </is>
      </c>
      <c r="T13" s="10" t="inlineStr">
        <is>
          <t>ALPHA</t>
        </is>
      </c>
      <c r="U13" s="148" t="inlineStr">
        <is>
          <t>NA</t>
        </is>
      </c>
      <c r="V13" s="149" t="inlineStr">
        <is>
          <t>NA</t>
        </is>
      </c>
      <c r="W13" s="10" t="n">
        <v>5</v>
      </c>
      <c r="X13" s="117" t="inlineStr">
        <is>
          <t>NA</t>
        </is>
      </c>
      <c r="Y13" s="148" t="n">
        <v>43</v>
      </c>
      <c r="Z13" s="148" t="inlineStr">
        <is>
          <t>NA</t>
        </is>
      </c>
      <c r="AA13" s="148" t="inlineStr">
        <is>
          <t>NA</t>
        </is>
      </c>
      <c r="AB13" s="10" t="inlineStr">
        <is>
          <t>USAGE ZP</t>
        </is>
      </c>
      <c r="AC13" s="945" t="inlineStr">
        <is>
          <t>NA</t>
        </is>
      </c>
      <c r="AD13" s="10" t="inlineStr">
        <is>
          <t>NA</t>
        </is>
      </c>
      <c r="AE13" s="10" t="inlineStr">
        <is>
          <t>NA</t>
        </is>
      </c>
      <c r="AF13" s="10" t="inlineStr">
        <is>
          <t>NA</t>
        </is>
      </c>
      <c r="AG13" s="21" t="inlineStr">
        <is>
          <t>NA</t>
        </is>
      </c>
      <c r="AI13" s="204" t="n"/>
      <c r="AJ13" s="205" t="n"/>
      <c r="AK13" s="206" t="n"/>
      <c r="AL13" s="207" t="n"/>
      <c r="AM13" s="208" t="n"/>
      <c r="AN13" s="209" t="n"/>
      <c r="AO13" s="206" t="n"/>
      <c r="AP13" s="207" t="n"/>
      <c r="AQ13" s="210" t="n"/>
      <c r="AR13" s="211" t="n"/>
      <c r="AS13" s="206" t="n"/>
      <c r="AT13" s="212" t="n"/>
      <c r="AU13" s="210" t="n"/>
      <c r="AV13" s="211" t="n"/>
      <c r="AW13" s="206" t="n"/>
      <c r="AX13" s="212" t="n"/>
      <c r="AY13" s="205" t="n"/>
      <c r="AZ13" s="213" t="n"/>
      <c r="BA13" s="206" t="n"/>
      <c r="BB13" s="207" t="n"/>
      <c r="BC13" s="204" t="n"/>
      <c r="BD13" s="206" t="n"/>
      <c r="BE13" s="206" t="n"/>
      <c r="BF13" s="207" t="n"/>
      <c r="BH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
        <f>_xlfn.LET(r,ROW(),oc,INDEX($A:$A,r),cv,TRIM(INDEX($Y:$Y,r)&amp;""),IF(oc&lt;&gt;"P1","",IF(cv="45","V45 - novo, nao alimentado pelo spool atual","V44 - alimentado pelo spool atual")))</f>
        <v/>
      </c>
    </row>
    <row r="14" ht="54" customFormat="1" customHeight="1" s="89">
      <c r="A14" s="118" t="inlineStr">
        <is>
          <t>CRRC</t>
        </is>
      </c>
      <c r="B14" s="116" t="n">
        <v>11</v>
      </c>
      <c r="C14" s="88" t="inlineStr">
        <is>
          <t>00 - En-tête du flux</t>
        </is>
      </c>
      <c r="D14" s="19" t="inlineStr">
        <is>
          <t>00 - File header</t>
        </is>
      </c>
      <c r="E14" s="119" t="inlineStr">
        <is>
          <t>CRRC H.CRARRETE</t>
        </is>
      </c>
      <c r="F14" s="12" t="inlineStr">
        <is>
          <t xml:space="preserve">Type d'arrêté </t>
        </is>
      </c>
      <c r="G14" s="20" t="inlineStr">
        <is>
          <t xml:space="preserve">Reporting type </t>
        </is>
      </c>
      <c r="H14" s="20" t="n"/>
      <c r="I14" s="12" t="inlineStr">
        <is>
          <t>Périodicité de l'arrêté</t>
        </is>
      </c>
      <c r="J14" s="20" t="inlineStr">
        <is>
          <t>Reporting frequency</t>
        </is>
      </c>
      <c r="K14" s="10" t="inlineStr">
        <is>
          <t>ND</t>
        </is>
      </c>
      <c r="L14" s="11" t="inlineStr">
        <is>
          <t>ND</t>
        </is>
      </c>
      <c r="M14" s="1413" t="inlineStr">
        <is>
          <t>CRARRETE</t>
        </is>
      </c>
      <c r="N14" s="10" t="inlineStr">
        <is>
          <t>Obligatoire</t>
        </is>
      </c>
      <c r="O14" s="11" t="inlineStr">
        <is>
          <t>Mandatory</t>
        </is>
      </c>
      <c r="P14" s="10" t="inlineStr">
        <is>
          <t>LC.0056</t>
        </is>
      </c>
      <c r="Q14" s="10" t="inlineStr">
        <is>
          <t>TA KVFREQU</t>
        </is>
      </c>
      <c r="R14" s="1010" t="inlineStr">
        <is>
          <t>NA</t>
        </is>
      </c>
      <c r="S14" s="1011" t="inlineStr">
        <is>
          <t>NA</t>
        </is>
      </c>
      <c r="T14" s="10" t="inlineStr">
        <is>
          <t>ALPHA</t>
        </is>
      </c>
      <c r="U14" s="148" t="inlineStr">
        <is>
          <t>NA</t>
        </is>
      </c>
      <c r="V14" s="149" t="inlineStr">
        <is>
          <t>NA</t>
        </is>
      </c>
      <c r="W14" s="10" t="n">
        <v>1</v>
      </c>
      <c r="X14" s="117" t="inlineStr">
        <is>
          <t>NA</t>
        </is>
      </c>
      <c r="Y14" s="148" t="n">
        <v>43</v>
      </c>
      <c r="Z14" s="148" t="inlineStr">
        <is>
          <t>NA</t>
        </is>
      </c>
      <c r="AA14" s="148" t="inlineStr">
        <is>
          <t>NA</t>
        </is>
      </c>
      <c r="AB14" s="10" t="inlineStr">
        <is>
          <t>USAGE ZP</t>
        </is>
      </c>
      <c r="AC14" s="945" t="inlineStr">
        <is>
          <t>NA</t>
        </is>
      </c>
      <c r="AD14" s="10" t="inlineStr">
        <is>
          <t>NA</t>
        </is>
      </c>
      <c r="AE14" s="10" t="inlineStr">
        <is>
          <t>NA</t>
        </is>
      </c>
      <c r="AF14" s="10" t="inlineStr">
        <is>
          <t>NA</t>
        </is>
      </c>
      <c r="AG14" s="21" t="inlineStr">
        <is>
          <t>NA</t>
        </is>
      </c>
      <c r="AI14" s="204" t="n"/>
      <c r="AJ14" s="205" t="n"/>
      <c r="AK14" s="206" t="n"/>
      <c r="AL14" s="207" t="n"/>
      <c r="AM14" s="208" t="n"/>
      <c r="AN14" s="209" t="n"/>
      <c r="AO14" s="206" t="n"/>
      <c r="AP14" s="207" t="n"/>
      <c r="AQ14" s="210" t="n"/>
      <c r="AR14" s="211" t="n"/>
      <c r="AS14" s="206" t="n"/>
      <c r="AT14" s="212" t="n"/>
      <c r="AU14" s="210" t="n"/>
      <c r="AV14" s="211" t="n"/>
      <c r="AW14" s="206" t="n"/>
      <c r="AX14" s="212" t="n"/>
      <c r="AY14" s="205" t="n"/>
      <c r="AZ14" s="213" t="n"/>
      <c r="BA14" s="206" t="n"/>
      <c r="BB14" s="207" t="n"/>
      <c r="BC14" s="204" t="n"/>
      <c r="BD14" s="206" t="n"/>
      <c r="BE14" s="206" t="n"/>
      <c r="BF14" s="207" t="n"/>
      <c r="BH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
        <f>_xlfn.LET(r,ROW(),oc,INDEX($A:$A,r),cv,TRIM(INDEX($Y:$Y,r)&amp;""),IF(oc&lt;&gt;"P1","",IF(cv="45","V45 - novo, nao alimentado pelo spool atual","V44 - alimentado pelo spool atual")))</f>
        <v/>
      </c>
    </row>
    <row r="15" ht="54" customFormat="1" customHeight="1" s="89">
      <c r="A15" s="118" t="inlineStr">
        <is>
          <t>CRRC</t>
        </is>
      </c>
      <c r="B15" s="88" t="n">
        <v>12</v>
      </c>
      <c r="C15" s="88" t="inlineStr">
        <is>
          <t>00 - En-tête du flux</t>
        </is>
      </c>
      <c r="D15" s="19" t="inlineStr">
        <is>
          <t>00 - File header</t>
        </is>
      </c>
      <c r="E15" s="119" t="inlineStr">
        <is>
          <t>CRRC H.DTARRETE</t>
        </is>
      </c>
      <c r="F15" s="12" t="inlineStr">
        <is>
          <t>Date d'arrêté</t>
        </is>
      </c>
      <c r="G15" s="20" t="inlineStr">
        <is>
          <t>Closing date</t>
        </is>
      </c>
      <c r="H15" s="20" t="n"/>
      <c r="I15" s="12" t="inlineStr">
        <is>
          <t>Date d'arrêté correspondant au contenu du fichier (norme ISO 8601)</t>
        </is>
      </c>
      <c r="J15" s="20" t="inlineStr">
        <is>
          <t>Closing date corresponding to the file's content (ISO 8601 standard)</t>
        </is>
      </c>
      <c r="K15" s="10" t="inlineStr">
        <is>
          <t>ND</t>
        </is>
      </c>
      <c r="L15" s="11" t="inlineStr">
        <is>
          <t>ND</t>
        </is>
      </c>
      <c r="M15" s="1413" t="inlineStr">
        <is>
          <t>DTARRETE</t>
        </is>
      </c>
      <c r="N15" s="10" t="inlineStr">
        <is>
          <t>Obligatoire</t>
        </is>
      </c>
      <c r="O15" s="11" t="inlineStr">
        <is>
          <t>Mandatory</t>
        </is>
      </c>
      <c r="P15" s="10" t="inlineStr">
        <is>
          <t>NA</t>
        </is>
      </c>
      <c r="Q15" s="10" t="inlineStr">
        <is>
          <t>NA</t>
        </is>
      </c>
      <c r="R15" s="1010" t="inlineStr">
        <is>
          <t>NA</t>
        </is>
      </c>
      <c r="S15" s="1011" t="inlineStr">
        <is>
          <t>NA</t>
        </is>
      </c>
      <c r="T15" s="10" t="inlineStr">
        <is>
          <t>DATE</t>
        </is>
      </c>
      <c r="U15" s="148" t="inlineStr">
        <is>
          <t>AAAAMMJJ</t>
        </is>
      </c>
      <c r="V15" s="149" t="inlineStr">
        <is>
          <t>YYYYMMDD</t>
        </is>
      </c>
      <c r="W15" s="10" t="n">
        <v>8</v>
      </c>
      <c r="X15" s="117" t="inlineStr">
        <is>
          <t>NA</t>
        </is>
      </c>
      <c r="Y15" s="148" t="n">
        <v>43</v>
      </c>
      <c r="Z15" s="148" t="inlineStr">
        <is>
          <t>NA</t>
        </is>
      </c>
      <c r="AA15" s="148" t="inlineStr">
        <is>
          <t>NA</t>
        </is>
      </c>
      <c r="AB15" s="10" t="inlineStr">
        <is>
          <t>USAGE ZP</t>
        </is>
      </c>
      <c r="AC15" s="945" t="inlineStr">
        <is>
          <t>NA</t>
        </is>
      </c>
      <c r="AD15" s="10" t="inlineStr">
        <is>
          <t>NA</t>
        </is>
      </c>
      <c r="AE15" s="10" t="inlineStr">
        <is>
          <t>NA</t>
        </is>
      </c>
      <c r="AF15" s="10" t="inlineStr">
        <is>
          <t>NA</t>
        </is>
      </c>
      <c r="AG15" s="21" t="inlineStr">
        <is>
          <t>NA</t>
        </is>
      </c>
      <c r="AI15" s="204" t="n"/>
      <c r="AJ15" s="205" t="n"/>
      <c r="AK15" s="206" t="n"/>
      <c r="AL15" s="207" t="n"/>
      <c r="AM15" s="208" t="n"/>
      <c r="AN15" s="209" t="n"/>
      <c r="AO15" s="206" t="n"/>
      <c r="AP15" s="207" t="n"/>
      <c r="AQ15" s="210" t="n"/>
      <c r="AR15" s="211" t="n"/>
      <c r="AS15" s="206" t="n"/>
      <c r="AT15" s="212" t="n"/>
      <c r="AU15" s="210" t="n"/>
      <c r="AV15" s="211" t="n"/>
      <c r="AW15" s="206" t="n"/>
      <c r="AX15" s="212" t="n"/>
      <c r="AY15" s="205" t="n"/>
      <c r="AZ15" s="213" t="n"/>
      <c r="BA15" s="206" t="n"/>
      <c r="BB15" s="207" t="n"/>
      <c r="BC15" s="204" t="n"/>
      <c r="BD15" s="206" t="n"/>
      <c r="BE15" s="206" t="n"/>
      <c r="BF15" s="207" t="n"/>
      <c r="BH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
        <f>_xlfn.LET(r,ROW(),oc,INDEX($A:$A,r),cv,TRIM(INDEX($Y:$Y,r)&amp;""),IF(oc&lt;&gt;"P1","",IF(cv="45","V45 - novo, nao alimentado pelo spool atual","V44 - alimentado pelo spool atual")))</f>
        <v/>
      </c>
    </row>
    <row r="16" ht="54" customFormat="1" customHeight="1" s="89">
      <c r="A16" s="118" t="inlineStr">
        <is>
          <t>CRRC</t>
        </is>
      </c>
      <c r="B16" s="116" t="n">
        <v>13</v>
      </c>
      <c r="C16" s="88" t="inlineStr">
        <is>
          <t>00 - En-tête du flux</t>
        </is>
      </c>
      <c r="D16" s="19" t="inlineStr">
        <is>
          <t>00 - File header</t>
        </is>
      </c>
      <c r="E16" s="119" t="inlineStr">
        <is>
          <t>CRRC H.NUMSEQ</t>
        </is>
      </c>
      <c r="F16" s="12" t="inlineStr">
        <is>
          <t>Numéro de séquence du fichier</t>
        </is>
      </c>
      <c r="G16" s="20" t="inlineStr">
        <is>
          <t>File sequence number</t>
        </is>
      </c>
      <c r="H16" s="20" t="n"/>
      <c r="I16" s="12" t="inlineStr">
        <is>
          <t>Permet d'identifier un lot</t>
        </is>
      </c>
      <c r="J16" s="20" t="inlineStr">
        <is>
          <t>Allows to identify a batch</t>
        </is>
      </c>
      <c r="K16" s="10" t="inlineStr">
        <is>
          <t>ND</t>
        </is>
      </c>
      <c r="L16" s="11" t="inlineStr">
        <is>
          <t>ND</t>
        </is>
      </c>
      <c r="M16" s="1414" t="inlineStr">
        <is>
          <t>NUMSEQ</t>
        </is>
      </c>
      <c r="N16" s="10" t="inlineStr">
        <is>
          <t>Obligatoire</t>
        </is>
      </c>
      <c r="O16" s="11" t="inlineStr">
        <is>
          <t>Mandatory</t>
        </is>
      </c>
      <c r="P16" s="10" t="inlineStr">
        <is>
          <t>NA</t>
        </is>
      </c>
      <c r="Q16" s="10" t="inlineStr">
        <is>
          <t>NA</t>
        </is>
      </c>
      <c r="R16" s="12" t="inlineStr">
        <is>
          <t>A alimenter avec une valeur comprise entre "00001" et "99999" en fonction des lots définis par l'entité</t>
        </is>
      </c>
      <c r="S16" s="20" t="inlineStr">
        <is>
          <t>To be filled with a value between "00001" and "99999" depending   of batches defined by entity</t>
        </is>
      </c>
      <c r="T16" s="10" t="inlineStr">
        <is>
          <t>ALPHA</t>
        </is>
      </c>
      <c r="U16" s="148" t="inlineStr">
        <is>
          <t>NA</t>
        </is>
      </c>
      <c r="V16" s="149" t="inlineStr">
        <is>
          <t>NA</t>
        </is>
      </c>
      <c r="W16" s="10" t="n">
        <v>5</v>
      </c>
      <c r="X16" s="117" t="inlineStr">
        <is>
          <t>NA</t>
        </is>
      </c>
      <c r="Y16" s="148" t="n">
        <v>43</v>
      </c>
      <c r="Z16" s="148" t="inlineStr">
        <is>
          <t>NA</t>
        </is>
      </c>
      <c r="AA16" s="148" t="inlineStr">
        <is>
          <t>NA</t>
        </is>
      </c>
      <c r="AB16" s="10" t="inlineStr">
        <is>
          <t>USAGE ZP</t>
        </is>
      </c>
      <c r="AC16" s="945" t="inlineStr">
        <is>
          <t>NA</t>
        </is>
      </c>
      <c r="AD16" s="10" t="inlineStr">
        <is>
          <t>NA</t>
        </is>
      </c>
      <c r="AE16" s="10" t="inlineStr">
        <is>
          <t>NA</t>
        </is>
      </c>
      <c r="AF16" s="10" t="inlineStr">
        <is>
          <t>NA</t>
        </is>
      </c>
      <c r="AG16" s="21" t="inlineStr">
        <is>
          <t>NA</t>
        </is>
      </c>
      <c r="AI16" s="204" t="n"/>
      <c r="AJ16" s="205" t="n"/>
      <c r="AK16" s="206" t="n"/>
      <c r="AL16" s="207" t="n"/>
      <c r="AM16" s="208" t="n"/>
      <c r="AN16" s="209" t="n"/>
      <c r="AO16" s="206" t="n"/>
      <c r="AP16" s="207" t="n"/>
      <c r="AQ16" s="210" t="n"/>
      <c r="AR16" s="211" t="n"/>
      <c r="AS16" s="206" t="n"/>
      <c r="AT16" s="212" t="n"/>
      <c r="AU16" s="210" t="n"/>
      <c r="AV16" s="211" t="n"/>
      <c r="AW16" s="206" t="n"/>
      <c r="AX16" s="212" t="n"/>
      <c r="AY16" s="205" t="n"/>
      <c r="AZ16" s="213" t="n"/>
      <c r="BA16" s="206" t="n"/>
      <c r="BB16" s="207" t="n"/>
      <c r="BC16" s="204" t="n"/>
      <c r="BD16" s="206" t="n"/>
      <c r="BE16" s="206" t="n"/>
      <c r="BF16" s="207" t="n"/>
      <c r="BH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6">
        <f>_xlfn.LET(r,ROW(),oc,INDEX($A:$A,r),cv,TRIM(INDEX($Y:$Y,r)&amp;""),IF(oc&lt;&gt;"P1","",IF(cv="45","V45 - novo, nao alimentado pelo spool atual","V44 - alimentado pelo spool atual")))</f>
        <v/>
      </c>
    </row>
    <row r="17" ht="54" customFormat="1" customHeight="1" s="89">
      <c r="A17" s="118" t="inlineStr">
        <is>
          <t>CRRC</t>
        </is>
      </c>
      <c r="B17" s="88" t="n">
        <v>14</v>
      </c>
      <c r="C17" s="88" t="inlineStr">
        <is>
          <t>00 - En-tête du flux</t>
        </is>
      </c>
      <c r="D17" s="19" t="inlineStr">
        <is>
          <t>00 - File header</t>
        </is>
      </c>
      <c r="E17" s="119" t="inlineStr">
        <is>
          <t>CRRC H.NMAPPFIN</t>
        </is>
      </c>
      <c r="F17" s="12" t="inlineStr">
        <is>
          <t>Application émettrice Finance</t>
        </is>
      </c>
      <c r="G17" s="20" t="inlineStr">
        <is>
          <t>Issuing Finance application code</t>
        </is>
      </c>
      <c r="H17" s="20" t="n"/>
      <c r="I17" s="12" t="inlineStr">
        <is>
          <t>Code de l'application émettrice spécifique à PALMA</t>
        </is>
      </c>
      <c r="J17" s="20" t="inlineStr">
        <is>
          <t>Issuing application code specific to PALMA</t>
        </is>
      </c>
      <c r="K17" s="10" t="inlineStr">
        <is>
          <t>ND</t>
        </is>
      </c>
      <c r="L17" s="11" t="inlineStr">
        <is>
          <t>ND</t>
        </is>
      </c>
      <c r="M17" s="1413" t="inlineStr">
        <is>
          <t>NMAPPFIN</t>
        </is>
      </c>
      <c r="N17" s="10" t="inlineStr">
        <is>
          <t>Facultatif</t>
        </is>
      </c>
      <c r="O17" s="11" t="inlineStr">
        <is>
          <t>Optional</t>
        </is>
      </c>
      <c r="P17" s="10" t="inlineStr">
        <is>
          <t>NA</t>
        </is>
      </c>
      <c r="Q17" s="10" t="inlineStr">
        <is>
          <t>NA</t>
        </is>
      </c>
      <c r="R17" s="12" t="inlineStr">
        <is>
          <t>NA</t>
        </is>
      </c>
      <c r="S17" s="20" t="inlineStr">
        <is>
          <t>NA</t>
        </is>
      </c>
      <c r="T17" s="10" t="inlineStr">
        <is>
          <t>ALPHA</t>
        </is>
      </c>
      <c r="U17" s="148" t="inlineStr">
        <is>
          <t>NA</t>
        </is>
      </c>
      <c r="V17" s="149" t="inlineStr">
        <is>
          <t>NA</t>
        </is>
      </c>
      <c r="W17" s="10" t="n">
        <v>5</v>
      </c>
      <c r="X17" s="117" t="inlineStr">
        <is>
          <t>NA</t>
        </is>
      </c>
      <c r="Y17" s="148" t="n">
        <v>43</v>
      </c>
      <c r="Z17" s="148" t="inlineStr">
        <is>
          <t>NA</t>
        </is>
      </c>
      <c r="AA17" s="148" t="inlineStr">
        <is>
          <t>NA</t>
        </is>
      </c>
      <c r="AB17" s="10" t="inlineStr">
        <is>
          <t>USAGE ZP</t>
        </is>
      </c>
      <c r="AC17" s="945" t="inlineStr">
        <is>
          <t>NA</t>
        </is>
      </c>
      <c r="AD17" s="10" t="inlineStr">
        <is>
          <t>NA</t>
        </is>
      </c>
      <c r="AE17" s="10" t="inlineStr">
        <is>
          <t>NA</t>
        </is>
      </c>
      <c r="AF17" s="10" t="inlineStr">
        <is>
          <t>NA</t>
        </is>
      </c>
      <c r="AG17" s="21" t="inlineStr">
        <is>
          <t>NA</t>
        </is>
      </c>
      <c r="AI17" s="204" t="n"/>
      <c r="AJ17" s="205" t="n"/>
      <c r="AK17" s="206" t="n"/>
      <c r="AL17" s="207" t="n"/>
      <c r="AM17" s="208" t="n"/>
      <c r="AN17" s="209" t="n"/>
      <c r="AO17" s="206" t="n"/>
      <c r="AP17" s="207" t="n"/>
      <c r="AQ17" s="210" t="n"/>
      <c r="AR17" s="211" t="n"/>
      <c r="AS17" s="206" t="n"/>
      <c r="AT17" s="212" t="n"/>
      <c r="AU17" s="210" t="n"/>
      <c r="AV17" s="211" t="n"/>
      <c r="AW17" s="206" t="n"/>
      <c r="AX17" s="212" t="n"/>
      <c r="AY17" s="205" t="n"/>
      <c r="AZ17" s="213" t="n"/>
      <c r="BA17" s="206" t="n"/>
      <c r="BB17" s="207" t="n"/>
      <c r="BC17" s="204" t="n"/>
      <c r="BD17" s="206" t="n"/>
      <c r="BE17" s="206" t="n"/>
      <c r="BF17" s="207" t="n"/>
      <c r="BH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7">
        <f>_xlfn.LET(r,ROW(),oc,INDEX($A:$A,r),cv,TRIM(INDEX($Y:$Y,r)&amp;""),IF(oc&lt;&gt;"P1","",IF(cv="45","V45 - novo, nao alimentado pelo spool atual","V44 - alimentado pelo spool atual")))</f>
        <v/>
      </c>
    </row>
    <row r="18" ht="54" customFormat="1" customHeight="1" s="89" thickBot="1">
      <c r="A18" s="120" t="inlineStr">
        <is>
          <t>CRRC</t>
        </is>
      </c>
      <c r="B18" s="108" t="n">
        <v>15</v>
      </c>
      <c r="C18" s="108" t="inlineStr">
        <is>
          <t>00 - En-tête du flux</t>
        </is>
      </c>
      <c r="D18" s="109" t="inlineStr">
        <is>
          <t>00 - File header</t>
        </is>
      </c>
      <c r="E18" s="121" t="inlineStr">
        <is>
          <t>CRRC H.FILLER</t>
        </is>
      </c>
      <c r="F18" s="110" t="inlineStr">
        <is>
          <t>Filler</t>
        </is>
      </c>
      <c r="G18" s="111" t="inlineStr">
        <is>
          <t>Filler</t>
        </is>
      </c>
      <c r="H18" s="111" t="n"/>
      <c r="I18" s="110" t="inlineStr">
        <is>
          <t>Filler pour évolutions futures</t>
        </is>
      </c>
      <c r="J18" s="111" t="inlineStr">
        <is>
          <t>Filler for future evolution</t>
        </is>
      </c>
      <c r="K18" s="112" t="inlineStr">
        <is>
          <t>ND</t>
        </is>
      </c>
      <c r="L18" s="113" t="inlineStr">
        <is>
          <t>ND</t>
        </is>
      </c>
      <c r="M18" s="1415" t="inlineStr">
        <is>
          <t>FILLER</t>
        </is>
      </c>
      <c r="N18" s="112" t="inlineStr">
        <is>
          <t>Facultatif</t>
        </is>
      </c>
      <c r="O18" s="113" t="inlineStr">
        <is>
          <t>Optional</t>
        </is>
      </c>
      <c r="P18" s="112" t="inlineStr">
        <is>
          <t>NA</t>
        </is>
      </c>
      <c r="Q18" s="112" t="inlineStr">
        <is>
          <t>NA</t>
        </is>
      </c>
      <c r="R18" s="110" t="inlineStr">
        <is>
          <t>NA</t>
        </is>
      </c>
      <c r="S18" s="111" t="inlineStr">
        <is>
          <t>NA</t>
        </is>
      </c>
      <c r="T18" s="112" t="inlineStr">
        <is>
          <t>ALPHA</t>
        </is>
      </c>
      <c r="U18" s="150" t="inlineStr">
        <is>
          <t>NA</t>
        </is>
      </c>
      <c r="V18" s="151" t="inlineStr">
        <is>
          <t>NA</t>
        </is>
      </c>
      <c r="W18" s="112">
        <f>8000-(SUM(W4:W17)+COUNT(W4:W17))</f>
        <v/>
      </c>
      <c r="X18" s="112" t="inlineStr">
        <is>
          <t>NA</t>
        </is>
      </c>
      <c r="Y18" s="150" t="n">
        <v>43</v>
      </c>
      <c r="Z18" s="150" t="inlineStr">
        <is>
          <t>NA</t>
        </is>
      </c>
      <c r="AA18" s="157" t="inlineStr">
        <is>
          <t>NA</t>
        </is>
      </c>
      <c r="AB18" s="112" t="inlineStr">
        <is>
          <t>USAGE ZP</t>
        </is>
      </c>
      <c r="AC18" s="112" t="inlineStr">
        <is>
          <t>NA</t>
        </is>
      </c>
      <c r="AD18" s="112" t="inlineStr">
        <is>
          <t>NA</t>
        </is>
      </c>
      <c r="AE18" s="112" t="inlineStr">
        <is>
          <t>NA</t>
        </is>
      </c>
      <c r="AF18" s="112" t="inlineStr">
        <is>
          <t>NA</t>
        </is>
      </c>
      <c r="AG18" s="114" t="inlineStr">
        <is>
          <t>NA</t>
        </is>
      </c>
      <c r="AI18" s="5" t="n"/>
      <c r="AJ18" s="6" t="n"/>
      <c r="AK18" s="7" t="n"/>
      <c r="AL18" s="8" t="n"/>
      <c r="AM18" s="188" t="n"/>
      <c r="AN18" s="189" t="n"/>
      <c r="AO18" s="7" t="n"/>
      <c r="AP18" s="8" t="n"/>
      <c r="AQ18" s="190" t="n"/>
      <c r="AR18" s="191" t="n"/>
      <c r="AS18" s="7" t="n"/>
      <c r="AT18" s="192" t="n"/>
      <c r="AU18" s="190" t="n"/>
      <c r="AV18" s="191" t="n"/>
      <c r="AW18" s="7" t="n"/>
      <c r="AX18" s="192" t="n"/>
      <c r="AY18" s="6" t="n"/>
      <c r="AZ18" s="9" t="n"/>
      <c r="BA18" s="7" t="n"/>
      <c r="BB18" s="8" t="n"/>
      <c r="BC18" s="5" t="n"/>
      <c r="BD18" s="7" t="n"/>
      <c r="BE18" s="7" t="n"/>
      <c r="BF18" s="8" t="n"/>
      <c r="BH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8">
        <f>_xlfn.LET(r,ROW(),oc,INDEX($A:$A,r),cv,TRIM(INDEX($Y:$Y,r)&amp;""),IF(oc&lt;&gt;"P1","",IF(cv="45","V45 - novo, nao alimentado pelo spool atual","V44 - alimentado pelo spool atual")))</f>
        <v/>
      </c>
    </row>
    <row r="19" ht="54" customHeight="1">
      <c r="A19" s="214" t="inlineStr">
        <is>
          <t>C1</t>
        </is>
      </c>
      <c r="B19" s="215" t="n">
        <v>1</v>
      </c>
      <c r="C19" s="1410" t="inlineStr">
        <is>
          <t>02 - Caractéristiques d'identification fonctionnelles</t>
        </is>
      </c>
      <c r="D19" s="1411" t="inlineStr">
        <is>
          <t>02 - Functional identification characteristics</t>
        </is>
      </c>
      <c r="E19" s="217" t="inlineStr">
        <is>
          <t>0.1 (C1)</t>
        </is>
      </c>
      <c r="F19" s="218" t="inlineStr">
        <is>
          <t xml:space="preserve">Date d'arrêté </t>
        </is>
      </c>
      <c r="G19" s="219" t="inlineStr">
        <is>
          <t>Closing date</t>
        </is>
      </c>
      <c r="H19" s="219" t="n"/>
      <c r="I19" s="218" t="inlineStr">
        <is>
          <t>Correspond à la date d'arrêté des données transmises (dernier jour calendaire du mois)</t>
        </is>
      </c>
      <c r="J19" s="219" t="inlineStr">
        <is>
          <t>Represents the cut-off date of the data transmitted (final calendar day of the month)</t>
        </is>
      </c>
      <c r="K19" s="215" t="inlineStr">
        <is>
          <t>ND</t>
        </is>
      </c>
      <c r="L19" s="220" t="inlineStr">
        <is>
          <t>ND</t>
        </is>
      </c>
      <c r="M19" s="1416" t="inlineStr">
        <is>
          <t>NA</t>
        </is>
      </c>
      <c r="N19" s="215" t="inlineStr">
        <is>
          <t>Obligatoire</t>
        </is>
      </c>
      <c r="O19" s="220" t="inlineStr">
        <is>
          <t>Mandatory</t>
        </is>
      </c>
      <c r="P19" s="217" t="inlineStr">
        <is>
          <t>NA</t>
        </is>
      </c>
      <c r="Q19" s="217" t="inlineStr">
        <is>
          <t>NA</t>
        </is>
      </c>
      <c r="R19" s="218" t="inlineStr">
        <is>
          <t>Il doit y avoir unicité de la date d'arrêté au sein du flux</t>
        </is>
      </c>
      <c r="S19" s="219" t="inlineStr">
        <is>
          <t>The cut-off date must be the same across the flow</t>
        </is>
      </c>
      <c r="T19" s="217" t="inlineStr">
        <is>
          <t>DATE</t>
        </is>
      </c>
      <c r="U19" s="221" t="inlineStr">
        <is>
          <t>AAAAMMJJ</t>
        </is>
      </c>
      <c r="V19" s="222" t="inlineStr">
        <is>
          <t>YYYYMMDD</t>
        </is>
      </c>
      <c r="W19" s="215" t="n">
        <v>8</v>
      </c>
      <c r="X19" s="215" t="inlineStr">
        <is>
          <t>NA</t>
        </is>
      </c>
      <c r="Y19" s="223" t="n">
        <v>40</v>
      </c>
      <c r="Z19" s="223" t="inlineStr">
        <is>
          <t>NA</t>
        </is>
      </c>
      <c r="AA19" s="223" t="inlineStr">
        <is>
          <t>NA</t>
        </is>
      </c>
      <c r="AB19" s="215" t="inlineStr">
        <is>
          <t>TIGRE</t>
        </is>
      </c>
      <c r="AC19" s="215" t="inlineStr">
        <is>
          <t>ND</t>
        </is>
      </c>
      <c r="AD19" s="215" t="inlineStr">
        <is>
          <t>N</t>
        </is>
      </c>
      <c r="AE19" s="215" t="inlineStr">
        <is>
          <t>NA</t>
        </is>
      </c>
      <c r="AF19" s="215" t="inlineStr">
        <is>
          <t>NA</t>
        </is>
      </c>
      <c r="AG19" s="201" t="inlineStr">
        <is>
          <t>NA</t>
        </is>
      </c>
      <c r="AH19" s="89" t="n"/>
      <c r="AI19" s="224" t="inlineStr">
        <is>
          <t>La donnée est obligatoire</t>
        </is>
      </c>
      <c r="AJ19" s="225" t="inlineStr">
        <is>
          <t>The data is mandatory</t>
        </is>
      </c>
      <c r="AK19" s="217" t="n"/>
      <c r="AL19" s="196" t="inlineStr">
        <is>
          <t>EN0011</t>
        </is>
      </c>
      <c r="AM19" s="226" t="n"/>
      <c r="AN19" s="225" t="n"/>
      <c r="AO19" s="217" t="n"/>
      <c r="AP19" s="196" t="n"/>
      <c r="AQ19" s="227"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9" s="228"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9" s="217" t="n"/>
      <c r="AT19" s="201" t="inlineStr">
        <is>
          <t>EN0017
EN0019</t>
        </is>
      </c>
      <c r="AU19" s="227"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9" s="228"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9" s="217" t="n"/>
      <c r="AX19" s="196" t="inlineStr">
        <is>
          <t>EN001B</t>
        </is>
      </c>
      <c r="AY19" s="226" t="n"/>
      <c r="AZ19" s="225" t="n"/>
      <c r="BA19" s="217" t="n"/>
      <c r="BB19" s="196" t="n"/>
      <c r="BC19" s="229" t="n"/>
      <c r="BD19" s="225" t="n"/>
      <c r="BE19" s="217" t="n"/>
      <c r="BF19" s="196" t="n"/>
      <c r="BH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9">
        <f>_xlfn.LET(r,ROW(),oc,INDEX($A:$A,r),cv,TRIM(INDEX($Y:$Y,r)&amp;""),IF(oc&lt;&gt;"P1","",IF(cv="45","V45 - novo, nao alimentado pelo spool atual","V44 - alimentado pelo spool atual")))</f>
        <v/>
      </c>
    </row>
    <row r="20" ht="54" customHeight="1">
      <c r="A20" s="230" t="inlineStr">
        <is>
          <t>C1</t>
        </is>
      </c>
      <c r="B20" s="231" t="n">
        <v>2</v>
      </c>
      <c r="C20" s="269" t="inlineStr">
        <is>
          <t>02 - Caractéristiques d'identification fonctionnelles</t>
        </is>
      </c>
      <c r="D20" s="310" t="inlineStr">
        <is>
          <t>02 - Functional identification characteristics</t>
        </is>
      </c>
      <c r="E20" s="206" t="inlineStr">
        <is>
          <t>0.2 (C1)</t>
        </is>
      </c>
      <c r="F20" s="234" t="inlineStr">
        <is>
          <t>Entité Porteuse de Risques</t>
        </is>
      </c>
      <c r="G20" s="235" t="inlineStr">
        <is>
          <t>Risk taker entity</t>
        </is>
      </c>
      <c r="H20" s="235" t="n"/>
      <c r="I20" s="234" t="inlineStr">
        <is>
          <t xml:space="preserve">Correspond au code consolidation comptable de l'Entité porteuse de risque dans les comptes de Crédit Agricole S.A. </t>
        </is>
      </c>
      <c r="J20" s="235" t="inlineStr">
        <is>
          <t xml:space="preserve">Represents the accounting consolidation code of the Entity in the financial statements of Crédit Agricole S.A. </t>
        </is>
      </c>
      <c r="K20" s="231" t="inlineStr">
        <is>
          <t>ND</t>
        </is>
      </c>
      <c r="L20" s="236" t="inlineStr">
        <is>
          <t>ND</t>
        </is>
      </c>
      <c r="M20" s="1417" t="inlineStr">
        <is>
          <t>NA</t>
        </is>
      </c>
      <c r="N20" s="231" t="inlineStr">
        <is>
          <t>Obligatoire</t>
        </is>
      </c>
      <c r="O20" s="236" t="inlineStr">
        <is>
          <t>Mandatory</t>
        </is>
      </c>
      <c r="P20" s="206" t="inlineStr">
        <is>
          <t>LC.0003</t>
        </is>
      </c>
      <c r="Q20" s="231" t="inlineStr">
        <is>
          <t>TA FI59</t>
        </is>
      </c>
      <c r="R20" s="234" t="inlineStr">
        <is>
          <t>NA</t>
        </is>
      </c>
      <c r="S20" s="235" t="inlineStr">
        <is>
          <t>NA</t>
        </is>
      </c>
      <c r="T20" s="206" t="inlineStr">
        <is>
          <t>ALPHA</t>
        </is>
      </c>
      <c r="U20" s="237" t="inlineStr">
        <is>
          <t>NA</t>
        </is>
      </c>
      <c r="V20" s="238" t="inlineStr">
        <is>
          <t>NA</t>
        </is>
      </c>
      <c r="W20" s="231" t="n">
        <v>5</v>
      </c>
      <c r="X20" s="231" t="inlineStr">
        <is>
          <t>NA</t>
        </is>
      </c>
      <c r="Y20" s="239" t="n">
        <v>40</v>
      </c>
      <c r="Z20" s="239" t="inlineStr">
        <is>
          <t>NA</t>
        </is>
      </c>
      <c r="AA20" s="239" t="inlineStr">
        <is>
          <t>NA</t>
        </is>
      </c>
      <c r="AB20" s="231" t="inlineStr">
        <is>
          <t>TIGRE</t>
        </is>
      </c>
      <c r="AC20" s="231" t="inlineStr">
        <is>
          <t>ND</t>
        </is>
      </c>
      <c r="AD20" s="231" t="inlineStr">
        <is>
          <t>N</t>
        </is>
      </c>
      <c r="AE20" s="231" t="inlineStr">
        <is>
          <t>NA</t>
        </is>
      </c>
      <c r="AF20" s="231" t="inlineStr">
        <is>
          <t>NA</t>
        </is>
      </c>
      <c r="AG20" s="212" t="inlineStr">
        <is>
          <t>NA</t>
        </is>
      </c>
      <c r="AH20" s="89" t="n"/>
      <c r="AI20" s="240" t="inlineStr">
        <is>
          <t>La donnée est obligatoire</t>
        </is>
      </c>
      <c r="AJ20" s="213" t="inlineStr">
        <is>
          <t>The data is mandatory</t>
        </is>
      </c>
      <c r="AK20" s="206" t="n"/>
      <c r="AL20" s="207" t="inlineStr">
        <is>
          <t>EN0021</t>
        </is>
      </c>
      <c r="AM20" s="210"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20" s="211"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20" s="206" t="n"/>
      <c r="AP20" s="207" t="inlineStr">
        <is>
          <t>EN0023</t>
        </is>
      </c>
      <c r="AQ20" s="205" t="n"/>
      <c r="AR20" s="213" t="n"/>
      <c r="AS20" s="206" t="n"/>
      <c r="AT20" s="207" t="n"/>
      <c r="AU20" s="210" t="n"/>
      <c r="AV20" s="211" t="n"/>
      <c r="AW20" s="206" t="n"/>
      <c r="AX20" s="207" t="n"/>
      <c r="AY20" s="205" t="n"/>
      <c r="AZ20" s="213" t="n"/>
      <c r="BA20" s="206" t="n"/>
      <c r="BB20" s="207" t="n"/>
      <c r="BC20" s="204" t="n"/>
      <c r="BD20" s="213" t="n"/>
      <c r="BE20" s="206" t="n"/>
      <c r="BF20" s="207" t="n"/>
      <c r="BH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0">
        <f>_xlfn.LET(r,ROW(),oc,INDEX($A:$A,r),cv,TRIM(INDEX($Y:$Y,r)&amp;""),IF(oc&lt;&gt;"P1","",IF(cv="45","V45 - novo, nao alimentado pelo spool atual","V44 - alimentado pelo spool atual")))</f>
        <v/>
      </c>
    </row>
    <row r="21" ht="54" customHeight="1">
      <c r="A21" s="230" t="inlineStr">
        <is>
          <t>C1</t>
        </is>
      </c>
      <c r="B21" s="231" t="n">
        <v>3</v>
      </c>
      <c r="C21" s="269" t="inlineStr">
        <is>
          <t>02 - Caractéristiques d'identification fonctionnelles</t>
        </is>
      </c>
      <c r="D21" s="310" t="inlineStr">
        <is>
          <t>02 - Functional identification characteristics</t>
        </is>
      </c>
      <c r="E21" s="206" t="inlineStr">
        <is>
          <t>0.3 (C1)</t>
        </is>
      </c>
      <c r="F21" s="234" t="inlineStr">
        <is>
          <t>Application source</t>
        </is>
      </c>
      <c r="G21" s="235" t="inlineStr">
        <is>
          <t>Source application</t>
        </is>
      </c>
      <c r="H21" s="235" t="n"/>
      <c r="I21" s="241" t="inlineStr">
        <is>
          <t>Correspond au code du Système d'Information utilisé en local pour générer le flux
Dans le flux Grande Clientèle, il faut préfixer par la lettre ‘C' le code application source</t>
        </is>
      </c>
      <c r="J21" s="233" t="inlineStr">
        <is>
          <t xml:space="preserve">Represents the code of the Information System used locally to generate the flow
In Corporate flow, the source application code must be prefix with the letter 'C' </t>
        </is>
      </c>
      <c r="K21" s="231" t="inlineStr">
        <is>
          <t>ND</t>
        </is>
      </c>
      <c r="L21" s="236" t="inlineStr">
        <is>
          <t>ND</t>
        </is>
      </c>
      <c r="M21" s="1417" t="inlineStr">
        <is>
          <t>NA</t>
        </is>
      </c>
      <c r="N21" s="231" t="inlineStr">
        <is>
          <t>Obligatoire</t>
        </is>
      </c>
      <c r="O21" s="236" t="inlineStr">
        <is>
          <t>Mandatory</t>
        </is>
      </c>
      <c r="P21" s="1018" t="inlineStr">
        <is>
          <t>NA</t>
        </is>
      </c>
      <c r="Q21" s="206" t="inlineStr">
        <is>
          <t>TA KVAPPBK</t>
        </is>
      </c>
      <c r="R21"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21"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21" s="206" t="inlineStr">
        <is>
          <t>ALPHA</t>
        </is>
      </c>
      <c r="U21" s="237" t="inlineStr">
        <is>
          <t>NA</t>
        </is>
      </c>
      <c r="V21" s="238" t="inlineStr">
        <is>
          <t>NA</t>
        </is>
      </c>
      <c r="W21" s="231" t="n">
        <v>12</v>
      </c>
      <c r="X21" s="231" t="inlineStr">
        <is>
          <t>NA</t>
        </is>
      </c>
      <c r="Y21" s="239" t="n">
        <v>40</v>
      </c>
      <c r="Z21" s="239" t="inlineStr">
        <is>
          <t>NA</t>
        </is>
      </c>
      <c r="AA21" s="239" t="inlineStr">
        <is>
          <t>NA</t>
        </is>
      </c>
      <c r="AB21" s="231" t="inlineStr">
        <is>
          <t>TIGRE</t>
        </is>
      </c>
      <c r="AC21" s="231" t="inlineStr">
        <is>
          <t>ND</t>
        </is>
      </c>
      <c r="AD21" s="231" t="inlineStr">
        <is>
          <t>N</t>
        </is>
      </c>
      <c r="AE21" s="231" t="inlineStr">
        <is>
          <t>NA</t>
        </is>
      </c>
      <c r="AF21" s="231" t="inlineStr">
        <is>
          <t>NA</t>
        </is>
      </c>
      <c r="AG21" s="212" t="inlineStr">
        <is>
          <t>NA</t>
        </is>
      </c>
      <c r="AH21" s="89" t="n"/>
      <c r="AI21" s="240" t="inlineStr">
        <is>
          <t>La donnée est obligatoire</t>
        </is>
      </c>
      <c r="AJ21" s="213" t="inlineStr">
        <is>
          <t>The data is mandatory</t>
        </is>
      </c>
      <c r="AK21" s="206" t="n"/>
      <c r="AL21" s="207" t="inlineStr">
        <is>
          <t>EN0031</t>
        </is>
      </c>
      <c r="AM21" s="210" t="inlineStr">
        <is>
          <t>Si elle est renseignée, la valeur doit être connue du Langage Commun associé</t>
        </is>
      </c>
      <c r="AN21" s="211" t="inlineStr">
        <is>
          <t>If specified, the value must be known to the associated Common Language</t>
        </is>
      </c>
      <c r="AO21" s="206" t="n"/>
      <c r="AP21" s="212" t="inlineStr">
        <is>
          <t>EN0035</t>
        </is>
      </c>
      <c r="AQ21" s="205" t="n"/>
      <c r="AR21" s="213" t="n"/>
      <c r="AS21" s="206" t="n"/>
      <c r="AT21" s="207" t="n"/>
      <c r="AU21" s="210" t="n"/>
      <c r="AV21" s="211" t="n"/>
      <c r="AW21" s="206" t="n"/>
      <c r="AX21" s="207" t="n"/>
      <c r="AY21" s="205" t="n"/>
      <c r="AZ21" s="213" t="n"/>
      <c r="BA21" s="206" t="n"/>
      <c r="BB21" s="207" t="n"/>
      <c r="BC21" s="204" t="n"/>
      <c r="BD21" s="213" t="n"/>
      <c r="BE21" s="206" t="n"/>
      <c r="BF21" s="207" t="n"/>
      <c r="BH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1">
        <f>_xlfn.LET(r,ROW(),oc,INDEX($A:$A,r),cv,TRIM(INDEX($Y:$Y,r)&amp;""),IF(oc&lt;&gt;"P1","",IF(cv="45","V45 - novo, nao alimentado pelo spool atual","V44 - alimentado pelo spool atual")))</f>
        <v/>
      </c>
    </row>
    <row r="22" ht="54" customHeight="1">
      <c r="A22" s="230" t="inlineStr">
        <is>
          <t>C1</t>
        </is>
      </c>
      <c r="B22" s="231" t="n">
        <v>4</v>
      </c>
      <c r="C22" s="269" t="inlineStr">
        <is>
          <t>01 - Caractéristiques d'identification techniques</t>
        </is>
      </c>
      <c r="D22" s="310" t="inlineStr">
        <is>
          <t>01 - Technical identification characteristics</t>
        </is>
      </c>
      <c r="E22" s="206" t="inlineStr">
        <is>
          <t>0.4 (C1)</t>
        </is>
      </c>
      <c r="F22" s="234" t="inlineStr">
        <is>
          <t>Fréquence de transmission</t>
        </is>
      </c>
      <c r="G22" s="235" t="inlineStr">
        <is>
          <t>Transmission frequency</t>
        </is>
      </c>
      <c r="H22" s="235" t="n"/>
      <c r="I22" s="234" t="inlineStr">
        <is>
          <t>Permet d'identifier le flux dans les traitements</t>
        </is>
      </c>
      <c r="J22" s="235" t="inlineStr">
        <is>
          <t>Makes it possible to identify the flow in the treatments</t>
        </is>
      </c>
      <c r="K22" s="231" t="inlineStr">
        <is>
          <t>ND</t>
        </is>
      </c>
      <c r="L22" s="236" t="inlineStr">
        <is>
          <t>ND</t>
        </is>
      </c>
      <c r="M22" s="1417" t="inlineStr">
        <is>
          <t>NA</t>
        </is>
      </c>
      <c r="N22" s="231" t="inlineStr">
        <is>
          <t>Obligatoire</t>
        </is>
      </c>
      <c r="O22" s="236" t="inlineStr">
        <is>
          <t>Mandatory</t>
        </is>
      </c>
      <c r="P22" s="206" t="inlineStr">
        <is>
          <t>NA</t>
        </is>
      </c>
      <c r="Q22" s="206" t="inlineStr">
        <is>
          <t>NA</t>
        </is>
      </c>
      <c r="R22" s="234" t="inlineStr">
        <is>
          <t>La seule valeur admise est 'M' pour mensuel</t>
        </is>
      </c>
      <c r="S22" s="235" t="inlineStr">
        <is>
          <t>The only permitted value is 'M' for month</t>
        </is>
      </c>
      <c r="T22" s="206" t="inlineStr">
        <is>
          <t>ALPHA</t>
        </is>
      </c>
      <c r="U22" s="237" t="inlineStr">
        <is>
          <t>NA</t>
        </is>
      </c>
      <c r="V22" s="238" t="inlineStr">
        <is>
          <t>NA</t>
        </is>
      </c>
      <c r="W22" s="231" t="n">
        <v>1</v>
      </c>
      <c r="X22" s="231" t="inlineStr">
        <is>
          <t>NA</t>
        </is>
      </c>
      <c r="Y22" s="239" t="n">
        <v>40</v>
      </c>
      <c r="Z22" s="239" t="inlineStr">
        <is>
          <t>NA</t>
        </is>
      </c>
      <c r="AA22" s="239" t="inlineStr">
        <is>
          <t>NA</t>
        </is>
      </c>
      <c r="AB22" s="231" t="inlineStr">
        <is>
          <t>TIGRE</t>
        </is>
      </c>
      <c r="AC22" s="231" t="inlineStr">
        <is>
          <t>ND</t>
        </is>
      </c>
      <c r="AD22" s="231" t="inlineStr">
        <is>
          <t>N</t>
        </is>
      </c>
      <c r="AE22" s="231" t="inlineStr">
        <is>
          <t>NA</t>
        </is>
      </c>
      <c r="AF22" s="231" t="inlineStr">
        <is>
          <t>NA</t>
        </is>
      </c>
      <c r="AG22" s="212" t="inlineStr">
        <is>
          <t>NA</t>
        </is>
      </c>
      <c r="AH22" s="89" t="n"/>
      <c r="AI22" s="240" t="inlineStr">
        <is>
          <t>La donnée est obligatoire</t>
        </is>
      </c>
      <c r="AJ22" s="211" t="inlineStr">
        <is>
          <t>The data is mandatory</t>
        </is>
      </c>
      <c r="AK22" s="206" t="n"/>
      <c r="AL22" s="207" t="inlineStr">
        <is>
          <t>EN0041</t>
        </is>
      </c>
      <c r="AM22" s="205" t="n"/>
      <c r="AN22" s="213" t="n"/>
      <c r="AO22" s="206" t="n"/>
      <c r="AP22" s="207" t="n"/>
      <c r="AQ22" s="210" t="inlineStr">
        <is>
          <t>Si renseignée, la donnée doit être égale à 'M' ou 'C'.</t>
        </is>
      </c>
      <c r="AR22" s="211" t="inlineStr">
        <is>
          <t>If filled, the data must be equal to 'M' or 'C'.</t>
        </is>
      </c>
      <c r="AS22" s="206" t="n"/>
      <c r="AT22" s="207" t="inlineStr">
        <is>
          <t>EN0043</t>
        </is>
      </c>
      <c r="AU22" s="210" t="n"/>
      <c r="AV22" s="211" t="n"/>
      <c r="AW22" s="206" t="n"/>
      <c r="AX22" s="207" t="n"/>
      <c r="AY22" s="205" t="n"/>
      <c r="AZ22" s="213" t="n"/>
      <c r="BA22" s="206" t="n"/>
      <c r="BB22" s="207" t="n"/>
      <c r="BC22" s="204" t="n"/>
      <c r="BD22" s="213" t="n"/>
      <c r="BE22" s="206" t="n"/>
      <c r="BF22" s="207" t="n"/>
      <c r="BH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2">
        <f>_xlfn.LET(r,ROW(),oc,INDEX($A:$A,r),cv,TRIM(INDEX($Y:$Y,r)&amp;""),IF(oc&lt;&gt;"P1","",IF(cv="45","V45 - novo, nao alimentado pelo spool atual","V44 - alimentado pelo spool atual")))</f>
        <v/>
      </c>
    </row>
    <row r="23" ht="54" customHeight="1">
      <c r="A23" s="230" t="inlineStr">
        <is>
          <t>C1</t>
        </is>
      </c>
      <c r="B23" s="231" t="n">
        <v>5</v>
      </c>
      <c r="C23" s="269" t="inlineStr">
        <is>
          <t>01 - Caractéristiques d'identification techniques</t>
        </is>
      </c>
      <c r="D23" s="310" t="inlineStr">
        <is>
          <t>01 - Technical identification characteristics</t>
        </is>
      </c>
      <c r="E23" s="206" t="inlineStr">
        <is>
          <t>0.5 (C1)</t>
        </is>
      </c>
      <c r="F23" s="234" t="inlineStr">
        <is>
          <t>Date et Heure de traitement</t>
        </is>
      </c>
      <c r="G23" s="235" t="inlineStr">
        <is>
          <t>Date and time of processing</t>
        </is>
      </c>
      <c r="H23" s="235" t="n"/>
      <c r="I23" s="234" t="inlineStr">
        <is>
          <t>Correspond à la date et heure du début du traitement ayant produit le flux</t>
        </is>
      </c>
      <c r="J23" s="235" t="inlineStr">
        <is>
          <t>Represents the date and time at which treatment began</t>
        </is>
      </c>
      <c r="K23" s="231" t="inlineStr">
        <is>
          <t>ND</t>
        </is>
      </c>
      <c r="L23" s="236" t="inlineStr">
        <is>
          <t>ND</t>
        </is>
      </c>
      <c r="M23" s="1417" t="inlineStr">
        <is>
          <t>NA</t>
        </is>
      </c>
      <c r="N23" s="231" t="inlineStr">
        <is>
          <t>Obligatoire</t>
        </is>
      </c>
      <c r="O23" s="236" t="inlineStr">
        <is>
          <t>Mandatory</t>
        </is>
      </c>
      <c r="P23" s="206" t="inlineStr">
        <is>
          <t>NA</t>
        </is>
      </c>
      <c r="Q23" s="206" t="inlineStr">
        <is>
          <t>NA</t>
        </is>
      </c>
      <c r="R23" s="234" t="inlineStr">
        <is>
          <t>Unicité obligatoire au sein d'un Lot déterminé</t>
        </is>
      </c>
      <c r="S23" s="235" t="inlineStr">
        <is>
          <t>Has to be unique within a specific Batch</t>
        </is>
      </c>
      <c r="T23" s="206" t="inlineStr">
        <is>
          <t>ALPHA</t>
        </is>
      </c>
      <c r="U23" s="237" t="inlineStr">
        <is>
          <t>NA</t>
        </is>
      </c>
      <c r="V23" s="238" t="inlineStr">
        <is>
          <t>NA</t>
        </is>
      </c>
      <c r="W23" s="231" t="n">
        <v>12</v>
      </c>
      <c r="X23" s="231" t="inlineStr">
        <is>
          <t>NA</t>
        </is>
      </c>
      <c r="Y23" s="239" t="n">
        <v>40</v>
      </c>
      <c r="Z23" s="239" t="inlineStr">
        <is>
          <t>NA</t>
        </is>
      </c>
      <c r="AA23" s="239" t="inlineStr">
        <is>
          <t>NA</t>
        </is>
      </c>
      <c r="AB23" s="231" t="inlineStr">
        <is>
          <t>TIGRE</t>
        </is>
      </c>
      <c r="AC23" s="231" t="inlineStr">
        <is>
          <t>ND</t>
        </is>
      </c>
      <c r="AD23" s="231" t="inlineStr">
        <is>
          <t>N</t>
        </is>
      </c>
      <c r="AE23" s="231" t="inlineStr">
        <is>
          <t>NA</t>
        </is>
      </c>
      <c r="AF23" s="231" t="inlineStr">
        <is>
          <t>NA</t>
        </is>
      </c>
      <c r="AG23" s="212" t="inlineStr">
        <is>
          <t>NA</t>
        </is>
      </c>
      <c r="AH23" s="89" t="n"/>
      <c r="AI23" s="240" t="inlineStr">
        <is>
          <t>La donnée est obligatoire</t>
        </is>
      </c>
      <c r="AJ23" s="211" t="inlineStr">
        <is>
          <t>The data is mandatory</t>
        </is>
      </c>
      <c r="AK23" s="206" t="n"/>
      <c r="AL23" s="212" t="inlineStr">
        <is>
          <t>EN0051</t>
        </is>
      </c>
      <c r="AM23" s="205" t="n"/>
      <c r="AN23" s="213" t="n"/>
      <c r="AO23" s="206" t="n"/>
      <c r="AP23" s="207" t="n"/>
      <c r="AQ23" s="205" t="n"/>
      <c r="AR23" s="213" t="n"/>
      <c r="AS23" s="206" t="n"/>
      <c r="AT23" s="207" t="n"/>
      <c r="AU23" s="210"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23" s="211"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23" s="206" t="n"/>
      <c r="AX23" s="207" t="inlineStr">
        <is>
          <t>EN0056</t>
        </is>
      </c>
      <c r="AY23" s="205" t="n"/>
      <c r="AZ23" s="213" t="n"/>
      <c r="BA23" s="206" t="n"/>
      <c r="BB23" s="207" t="n"/>
      <c r="BC23" s="204" t="n"/>
      <c r="BD23" s="213" t="n"/>
      <c r="BE23" s="206" t="n"/>
      <c r="BF23" s="207" t="n"/>
      <c r="BH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3">
        <f>_xlfn.LET(r,ROW(),oc,INDEX($A:$A,r),cv,TRIM(INDEX($Y:$Y,r)&amp;""),IF(oc&lt;&gt;"P1","",IF(cv="45","V45 - novo, nao alimentado pelo spool atual","V44 - alimentado pelo spool atual")))</f>
        <v/>
      </c>
    </row>
    <row r="24" ht="54" customHeight="1">
      <c r="A24" s="230" t="inlineStr">
        <is>
          <t>C1</t>
        </is>
      </c>
      <c r="B24" s="231" t="n">
        <v>6</v>
      </c>
      <c r="C24" s="269" t="inlineStr">
        <is>
          <t>01 - Caractéristiques d'identification techniques</t>
        </is>
      </c>
      <c r="D24" s="310" t="inlineStr">
        <is>
          <t>01 - Technical identification characteristics</t>
        </is>
      </c>
      <c r="E24" s="206" t="inlineStr">
        <is>
          <t>0.6 (C1)</t>
        </is>
      </c>
      <c r="F24" s="234" t="inlineStr">
        <is>
          <t>Type d'enregistrement</t>
        </is>
      </c>
      <c r="G24" s="235" t="inlineStr">
        <is>
          <t>Record type</t>
        </is>
      </c>
      <c r="H24" s="235" t="n"/>
      <c r="I24" s="242" t="inlineStr">
        <is>
          <t>Caractérise le type d'enregistrement remonté par l'entité</t>
        </is>
      </c>
      <c r="J24" s="235" t="inlineStr">
        <is>
          <t>Represents the record type reported by the entity</t>
        </is>
      </c>
      <c r="K24" s="231" t="inlineStr">
        <is>
          <t>ND</t>
        </is>
      </c>
      <c r="L24" s="236" t="inlineStr">
        <is>
          <t>ND</t>
        </is>
      </c>
      <c r="M24" s="1417" t="inlineStr">
        <is>
          <t>NA</t>
        </is>
      </c>
      <c r="N24" s="231" t="inlineStr">
        <is>
          <t>Obligatoire</t>
        </is>
      </c>
      <c r="O24" s="236" t="inlineStr">
        <is>
          <t>Mandatory</t>
        </is>
      </c>
      <c r="P24" s="206" t="inlineStr">
        <is>
          <t>NA</t>
        </is>
      </c>
      <c r="Q24" s="206" t="inlineStr">
        <is>
          <t>NA</t>
        </is>
      </c>
      <c r="R24" s="234" t="inlineStr">
        <is>
          <t>La valeur admise est 'C1' pour le domaine Tiers</t>
        </is>
      </c>
      <c r="S24" s="235" t="inlineStr">
        <is>
          <t>The permitted value is 'C1' for the External Counterparty section</t>
        </is>
      </c>
      <c r="T24" s="206" t="inlineStr">
        <is>
          <t>ALPHA</t>
        </is>
      </c>
      <c r="U24" s="237" t="inlineStr">
        <is>
          <t>NA</t>
        </is>
      </c>
      <c r="V24" s="238" t="inlineStr">
        <is>
          <t>NA</t>
        </is>
      </c>
      <c r="W24" s="231" t="n">
        <v>2</v>
      </c>
      <c r="X24" s="231" t="inlineStr">
        <is>
          <t>NA</t>
        </is>
      </c>
      <c r="Y24" s="239" t="n">
        <v>40</v>
      </c>
      <c r="Z24" s="239" t="inlineStr">
        <is>
          <t>NA</t>
        </is>
      </c>
      <c r="AA24" s="239" t="inlineStr">
        <is>
          <t>NA</t>
        </is>
      </c>
      <c r="AB24" s="231" t="inlineStr">
        <is>
          <t>TIGRE</t>
        </is>
      </c>
      <c r="AC24" s="231" t="inlineStr">
        <is>
          <t>ND</t>
        </is>
      </c>
      <c r="AD24" s="231" t="inlineStr">
        <is>
          <t>N</t>
        </is>
      </c>
      <c r="AE24" s="231" t="inlineStr">
        <is>
          <t>NA</t>
        </is>
      </c>
      <c r="AF24" s="231" t="inlineStr">
        <is>
          <t>NA</t>
        </is>
      </c>
      <c r="AG24" s="212" t="inlineStr">
        <is>
          <t>NA</t>
        </is>
      </c>
      <c r="AH24" s="89" t="n"/>
      <c r="AI24" s="240" t="inlineStr">
        <is>
          <t>La donnée est obligatoire</t>
        </is>
      </c>
      <c r="AJ24" s="211" t="inlineStr">
        <is>
          <t>The data is mandatory</t>
        </is>
      </c>
      <c r="AK24" s="206" t="n"/>
      <c r="AL24" s="212" t="inlineStr">
        <is>
          <t>EN0061</t>
        </is>
      </c>
      <c r="AM24" s="205" t="n"/>
      <c r="AN24" s="213" t="n"/>
      <c r="AO24" s="206" t="n"/>
      <c r="AP24" s="207" t="n"/>
      <c r="AQ24" s="210" t="inlineStr">
        <is>
          <t>Si renseignée, la donnée doit être égale à 'C1'</t>
        </is>
      </c>
      <c r="AR24" s="211" t="inlineStr">
        <is>
          <t>If filled in, the data must be equal to 'C1'</t>
        </is>
      </c>
      <c r="AS24" s="206" t="n"/>
      <c r="AT24" s="212" t="inlineStr">
        <is>
          <t>EN0061</t>
        </is>
      </c>
      <c r="AU24" s="210" t="n"/>
      <c r="AV24" s="211" t="n"/>
      <c r="AW24" s="206" t="n"/>
      <c r="AX24" s="207" t="n"/>
      <c r="AY24" s="205" t="n"/>
      <c r="AZ24" s="213" t="n"/>
      <c r="BA24" s="206" t="n"/>
      <c r="BB24" s="207" t="n"/>
      <c r="BC24" s="204" t="n"/>
      <c r="BD24" s="213" t="n"/>
      <c r="BE24" s="206" t="n"/>
      <c r="BF24" s="207" t="n"/>
      <c r="BH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4">
        <f>_xlfn.LET(r,ROW(),oc,INDEX($A:$A,r),cv,TRIM(INDEX($Y:$Y,r)&amp;""),IF(oc&lt;&gt;"P1","",IF(cv="45","V45 - novo, nao alimentado pelo spool atual","V44 - alimentado pelo spool atual")))</f>
        <v/>
      </c>
    </row>
    <row r="25" ht="54" customFormat="1" customHeight="1" s="54">
      <c r="A25" s="243" t="inlineStr">
        <is>
          <t>C1</t>
        </is>
      </c>
      <c r="B25" s="244" t="n">
        <v>7</v>
      </c>
      <c r="C25" s="284" t="inlineStr">
        <is>
          <t>NA</t>
        </is>
      </c>
      <c r="D25" s="284" t="inlineStr">
        <is>
          <t>NA</t>
        </is>
      </c>
      <c r="E25" s="246" t="inlineStr">
        <is>
          <t>0.7 (C1)</t>
        </is>
      </c>
      <c r="F25" s="247" t="inlineStr">
        <is>
          <t>Nature de flux (Zone réservée DRG)</t>
        </is>
      </c>
      <c r="G25" s="247" t="inlineStr">
        <is>
          <t>Nature of flow (Zone reserved for Group Risk Management Division)</t>
        </is>
      </c>
      <c r="H25" s="247" t="n"/>
      <c r="I25" s="247" t="inlineStr">
        <is>
          <t>Nature de flux (Zone réservée DRG)</t>
        </is>
      </c>
      <c r="J25" s="247" t="inlineStr">
        <is>
          <t>Nature of flow (Zone reserved for Group Risk Management Division)</t>
        </is>
      </c>
      <c r="K25" s="244" t="inlineStr">
        <is>
          <t>NA</t>
        </is>
      </c>
      <c r="L25" s="244" t="inlineStr">
        <is>
          <t>NA</t>
        </is>
      </c>
      <c r="M25" s="1408" t="inlineStr">
        <is>
          <t>NA</t>
        </is>
      </c>
      <c r="N25" s="244" t="inlineStr">
        <is>
          <t>NA</t>
        </is>
      </c>
      <c r="O25" s="244" t="inlineStr">
        <is>
          <t>NA</t>
        </is>
      </c>
      <c r="P25" s="246" t="inlineStr">
        <is>
          <t>NA</t>
        </is>
      </c>
      <c r="Q25" s="246" t="inlineStr">
        <is>
          <t>NA</t>
        </is>
      </c>
      <c r="R25" s="247" t="inlineStr">
        <is>
          <t>(Zone réservée DRG)</t>
        </is>
      </c>
      <c r="S25" s="247" t="inlineStr">
        <is>
          <t>(Zone reserved for the Group Risk Management Division)</t>
        </is>
      </c>
      <c r="T25" s="246" t="inlineStr">
        <is>
          <t>ALPHA</t>
        </is>
      </c>
      <c r="U25" s="248" t="inlineStr">
        <is>
          <t>NA</t>
        </is>
      </c>
      <c r="V25" s="248" t="inlineStr">
        <is>
          <t>NA</t>
        </is>
      </c>
      <c r="W25" s="244" t="n">
        <v>1</v>
      </c>
      <c r="X25" s="244" t="inlineStr">
        <is>
          <t>NA</t>
        </is>
      </c>
      <c r="Y25" s="249" t="inlineStr">
        <is>
          <t>NA</t>
        </is>
      </c>
      <c r="Z25" s="249" t="n">
        <v>42</v>
      </c>
      <c r="AA25" s="249" t="inlineStr">
        <is>
          <t>NA</t>
        </is>
      </c>
      <c r="AB25" s="244" t="inlineStr">
        <is>
          <t>NA</t>
        </is>
      </c>
      <c r="AC25" s="244" t="inlineStr">
        <is>
          <t>NA</t>
        </is>
      </c>
      <c r="AD25" s="244" t="inlineStr">
        <is>
          <t>N</t>
        </is>
      </c>
      <c r="AE25" s="244" t="inlineStr">
        <is>
          <t>NA</t>
        </is>
      </c>
      <c r="AF25" s="244" t="inlineStr">
        <is>
          <t>NA</t>
        </is>
      </c>
      <c r="AG25" s="250" t="inlineStr">
        <is>
          <t>NA</t>
        </is>
      </c>
      <c r="AH25" s="89" t="n"/>
      <c r="AI25" s="251" t="n"/>
      <c r="AJ25" s="252" t="n"/>
      <c r="AK25" s="246" t="n"/>
      <c r="AL25" s="253" t="n"/>
      <c r="AM25" s="252" t="n"/>
      <c r="AN25" s="252" t="n"/>
      <c r="AO25" s="246" t="n"/>
      <c r="AP25" s="253" t="n"/>
      <c r="AQ25" s="254" t="n"/>
      <c r="AR25" s="254" t="n"/>
      <c r="AS25" s="246" t="n"/>
      <c r="AT25" s="250" t="n"/>
      <c r="AU25" s="254" t="n"/>
      <c r="AV25" s="254" t="n"/>
      <c r="AW25" s="246" t="n"/>
      <c r="AX25" s="250" t="n"/>
      <c r="AY25" s="252" t="n"/>
      <c r="AZ25" s="252" t="n"/>
      <c r="BA25" s="246" t="n"/>
      <c r="BB25" s="253" t="n"/>
      <c r="BC25" s="251" t="n"/>
      <c r="BD25" s="252" t="n"/>
      <c r="BE25" s="246" t="n"/>
      <c r="BF25" s="253" t="n"/>
      <c r="BH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5">
        <f>_xlfn.LET(r,ROW(),oc,INDEX($A:$A,r),cv,TRIM(INDEX($Y:$Y,r)&amp;""),IF(oc&lt;&gt;"P1","",IF(cv="45","V45 - novo, nao alimentado pelo spool atual","V44 - alimentado pelo spool atual")))</f>
        <v/>
      </c>
    </row>
    <row r="26" ht="54" customFormat="1" customHeight="1" s="54">
      <c r="A26" s="243" t="inlineStr">
        <is>
          <t>C1</t>
        </is>
      </c>
      <c r="B26" s="244" t="n">
        <v>8</v>
      </c>
      <c r="C26" s="284" t="inlineStr">
        <is>
          <t>NA</t>
        </is>
      </c>
      <c r="D26" s="284" t="inlineStr">
        <is>
          <t>NA</t>
        </is>
      </c>
      <c r="E26" s="246" t="inlineStr">
        <is>
          <t>0.99 (C1)</t>
        </is>
      </c>
      <c r="F26" s="255" t="inlineStr">
        <is>
          <t>Filler</t>
        </is>
      </c>
      <c r="G26" s="247" t="inlineStr">
        <is>
          <t>Filler</t>
        </is>
      </c>
      <c r="H26" s="247" t="n"/>
      <c r="I26" s="247" t="inlineStr">
        <is>
          <t>Zone libre</t>
        </is>
      </c>
      <c r="J26" s="247" t="inlineStr">
        <is>
          <t>Free zone</t>
        </is>
      </c>
      <c r="K26" s="244" t="inlineStr">
        <is>
          <t>NA</t>
        </is>
      </c>
      <c r="L26" s="244" t="inlineStr">
        <is>
          <t>NA</t>
        </is>
      </c>
      <c r="M26" s="1408" t="inlineStr">
        <is>
          <t>NA</t>
        </is>
      </c>
      <c r="N26" s="244" t="inlineStr">
        <is>
          <t>NA</t>
        </is>
      </c>
      <c r="O26" s="244" t="inlineStr">
        <is>
          <t>NA</t>
        </is>
      </c>
      <c r="P26" s="246" t="inlineStr">
        <is>
          <t>NA</t>
        </is>
      </c>
      <c r="Q26" s="246" t="inlineStr">
        <is>
          <t>NA</t>
        </is>
      </c>
      <c r="R26" s="247" t="inlineStr">
        <is>
          <t>Laisser à vide</t>
        </is>
      </c>
      <c r="S26" s="247" t="inlineStr">
        <is>
          <t>Leave empty</t>
        </is>
      </c>
      <c r="T26" s="246" t="inlineStr">
        <is>
          <t>ALPHA</t>
        </is>
      </c>
      <c r="U26" s="248" t="inlineStr">
        <is>
          <t>NA</t>
        </is>
      </c>
      <c r="V26" s="248" t="inlineStr">
        <is>
          <t>NA</t>
        </is>
      </c>
      <c r="W26" s="244" t="n">
        <v>9</v>
      </c>
      <c r="X26" s="244" t="inlineStr">
        <is>
          <t>NA</t>
        </is>
      </c>
      <c r="Y26" s="249" t="inlineStr">
        <is>
          <t>NA</t>
        </is>
      </c>
      <c r="Z26" s="249" t="inlineStr">
        <is>
          <t>NA</t>
        </is>
      </c>
      <c r="AA26" s="249" t="inlineStr">
        <is>
          <t>NA</t>
        </is>
      </c>
      <c r="AB26" s="244" t="inlineStr">
        <is>
          <t>NA</t>
        </is>
      </c>
      <c r="AC26" s="244" t="inlineStr">
        <is>
          <t>NA</t>
        </is>
      </c>
      <c r="AD26" s="244" t="inlineStr">
        <is>
          <t>N</t>
        </is>
      </c>
      <c r="AE26" s="244" t="inlineStr">
        <is>
          <t>NA</t>
        </is>
      </c>
      <c r="AF26" s="244" t="inlineStr">
        <is>
          <t>NA</t>
        </is>
      </c>
      <c r="AG26" s="250" t="inlineStr">
        <is>
          <t>NA</t>
        </is>
      </c>
      <c r="AH26" s="89" t="n"/>
      <c r="AI26" s="251" t="n"/>
      <c r="AJ26" s="252" t="n"/>
      <c r="AK26" s="246" t="n"/>
      <c r="AL26" s="253" t="n"/>
      <c r="AM26" s="252" t="n"/>
      <c r="AN26" s="252" t="n"/>
      <c r="AO26" s="246" t="n"/>
      <c r="AP26" s="253" t="n"/>
      <c r="AQ26" s="252" t="n"/>
      <c r="AR26" s="252" t="n"/>
      <c r="AS26" s="246" t="n"/>
      <c r="AT26" s="253" t="n"/>
      <c r="AU26" s="254" t="n"/>
      <c r="AV26" s="254" t="n"/>
      <c r="AW26" s="246" t="n"/>
      <c r="AX26" s="253" t="n"/>
      <c r="AY26" s="252" t="n"/>
      <c r="AZ26" s="252" t="n"/>
      <c r="BA26" s="246" t="n"/>
      <c r="BB26" s="253" t="n"/>
      <c r="BC26" s="251" t="n"/>
      <c r="BD26" s="252" t="n"/>
      <c r="BE26" s="246" t="n"/>
      <c r="BF26" s="253" t="n"/>
      <c r="BH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6">
        <f>_xlfn.LET(r,ROW(),oc,INDEX($A:$A,r),cv,TRIM(INDEX($Y:$Y,r)&amp;""),IF(oc&lt;&gt;"P1","",IF(cv="45","V45 - novo, nao alimentado pelo spool atual","V44 - alimentado pelo spool atual")))</f>
        <v/>
      </c>
    </row>
    <row r="27" ht="54" customHeight="1">
      <c r="A27" s="230" t="inlineStr">
        <is>
          <t>C1</t>
        </is>
      </c>
      <c r="B27" s="231" t="n">
        <v>9</v>
      </c>
      <c r="C27" s="269" t="inlineStr">
        <is>
          <t>16 - Identification Tiers</t>
        </is>
      </c>
      <c r="D27" s="236" t="inlineStr">
        <is>
          <t>16 - Third party identification</t>
        </is>
      </c>
      <c r="E27" s="206" t="inlineStr">
        <is>
          <t>1.1 (C1)</t>
        </is>
      </c>
      <c r="F27" s="234" t="inlineStr">
        <is>
          <t>Identifiant local du tiers</t>
        </is>
      </c>
      <c r="G27" s="235" t="inlineStr">
        <is>
          <t>Local identifier for the counterparty</t>
        </is>
      </c>
      <c r="H27" s="235" t="n"/>
      <c r="I27" s="234" t="inlineStr">
        <is>
          <t>Identifiant du tiers dans le système utilisé pour générer le flux</t>
        </is>
      </c>
      <c r="J27" s="235" t="inlineStr">
        <is>
          <t>ID of external counterparty in the system used to generate the flow</t>
        </is>
      </c>
      <c r="K27" s="231" t="inlineStr">
        <is>
          <t>ND</t>
        </is>
      </c>
      <c r="L27" s="236" t="inlineStr">
        <is>
          <t>ND</t>
        </is>
      </c>
      <c r="M27" s="1417" t="inlineStr">
        <is>
          <t>NA</t>
        </is>
      </c>
      <c r="N27" s="231" t="inlineStr">
        <is>
          <t>Obligatoire</t>
        </is>
      </c>
      <c r="O27" s="236" t="inlineStr">
        <is>
          <t>Mandatory</t>
        </is>
      </c>
      <c r="P27" s="206" t="inlineStr">
        <is>
          <t>NA</t>
        </is>
      </c>
      <c r="Q27" s="206" t="inlineStr">
        <is>
          <t>NA</t>
        </is>
      </c>
      <c r="R27" s="234" t="inlineStr">
        <is>
          <t>La codification est à discrétion de chaque entité mais il est nécessaire d'utiliser un identifiant stable
Pour un lot déterminé, l'identifiant local doit être unique</t>
        </is>
      </c>
      <c r="S27" s="235" t="inlineStr">
        <is>
          <t>The coding is at the discretion of each entity but IDs must be permanent
For a given batch, the local ID must be unique</t>
        </is>
      </c>
      <c r="T27" s="206" t="inlineStr">
        <is>
          <t>ALPHA</t>
        </is>
      </c>
      <c r="U27" s="237" t="inlineStr">
        <is>
          <t>NA</t>
        </is>
      </c>
      <c r="V27" s="238" t="inlineStr">
        <is>
          <t>NA</t>
        </is>
      </c>
      <c r="W27" s="231" t="n">
        <v>20</v>
      </c>
      <c r="X27" s="231" t="inlineStr">
        <is>
          <t>NA</t>
        </is>
      </c>
      <c r="Y27" s="239" t="n">
        <v>40</v>
      </c>
      <c r="Z27" s="239" t="inlineStr">
        <is>
          <t>NA</t>
        </is>
      </c>
      <c r="AA27" s="239" t="inlineStr">
        <is>
          <t>NA</t>
        </is>
      </c>
      <c r="AB27" s="231" t="inlineStr">
        <is>
          <t>TIGRE</t>
        </is>
      </c>
      <c r="AC27" s="231" t="inlineStr">
        <is>
          <t>ND</t>
        </is>
      </c>
      <c r="AD27" s="231" t="inlineStr">
        <is>
          <t>N</t>
        </is>
      </c>
      <c r="AE27" s="231" t="inlineStr">
        <is>
          <t>NA</t>
        </is>
      </c>
      <c r="AF27" s="231" t="inlineStr">
        <is>
          <t>NA</t>
        </is>
      </c>
      <c r="AG27" s="212" t="inlineStr">
        <is>
          <t>NA</t>
        </is>
      </c>
      <c r="AH27" s="89" t="n"/>
      <c r="AI27" s="204" t="n"/>
      <c r="AJ27" s="205" t="n"/>
      <c r="AK27" s="206" t="n"/>
      <c r="AL27" s="207" t="n"/>
      <c r="AM27" s="205" t="n"/>
      <c r="AN27" s="213" t="n"/>
      <c r="AO27" s="206" t="n"/>
      <c r="AP27" s="207" t="n"/>
      <c r="AQ27" s="205" t="n"/>
      <c r="AR27" s="213" t="n"/>
      <c r="AS27" s="206" t="n"/>
      <c r="AT27" s="207" t="n"/>
      <c r="AU27" s="210" t="n"/>
      <c r="AV27" s="211" t="n"/>
      <c r="AW27" s="206" t="n"/>
      <c r="AX27" s="207" t="n"/>
      <c r="AY27" s="205" t="n"/>
      <c r="AZ27" s="213" t="n"/>
      <c r="BA27" s="206" t="n"/>
      <c r="BB27" s="207" t="n"/>
      <c r="BC27" s="204" t="n"/>
      <c r="BD27" s="213" t="n"/>
      <c r="BE27" s="206" t="n"/>
      <c r="BF27" s="207" t="n"/>
      <c r="BH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7">
        <f>_xlfn.LET(r,ROW(),oc,INDEX($A:$A,r),cv,TRIM(INDEX($Y:$Y,r)&amp;""),IF(oc&lt;&gt;"P1","",IF(cv="45","V45 - novo, nao alimentado pelo spool atual","V44 - alimentado pelo spool atual")))</f>
        <v/>
      </c>
    </row>
    <row r="28" ht="54" customHeight="1">
      <c r="A28" s="230" t="inlineStr">
        <is>
          <t>C1</t>
        </is>
      </c>
      <c r="B28" s="231" t="n">
        <v>10</v>
      </c>
      <c r="C28" s="269" t="inlineStr">
        <is>
          <t>16 - Identification Tiers</t>
        </is>
      </c>
      <c r="D28" s="236" t="inlineStr">
        <is>
          <t>16 - Third party identification</t>
        </is>
      </c>
      <c r="E28" s="206" t="inlineStr">
        <is>
          <t>1.2 (C1)</t>
        </is>
      </c>
      <c r="F28" s="234" t="inlineStr">
        <is>
          <t>Identifiant interne du tiers Crédit Agricole</t>
        </is>
      </c>
      <c r="G28" s="235" t="inlineStr">
        <is>
          <t>Central identifier for the counterparty</t>
        </is>
      </c>
      <c r="H28" s="235" t="n"/>
      <c r="I28" s="234" t="inlineStr">
        <is>
          <t xml:space="preserve">Identifiant du tiers dans le SI DRG IDTCA – (i.e. Identifiant Tiers Central CASA) </t>
        </is>
      </c>
      <c r="J28" s="235" t="inlineStr">
        <is>
          <t xml:space="preserve">ID of the external counterparty in the Group Risk Management Division IT System IDTCA – (i.e. Identifier Central CASA counterparty) </t>
        </is>
      </c>
      <c r="K28" s="231" t="inlineStr">
        <is>
          <t>ND</t>
        </is>
      </c>
      <c r="L28" s="236" t="inlineStr">
        <is>
          <t>ND</t>
        </is>
      </c>
      <c r="M28" s="1417" t="inlineStr">
        <is>
          <t>NA</t>
        </is>
      </c>
      <c r="N28" s="231" t="inlineStr">
        <is>
          <t>Facultatif</t>
        </is>
      </c>
      <c r="O28" s="236" t="inlineStr">
        <is>
          <t>Optional</t>
        </is>
      </c>
      <c r="P28" s="206" t="inlineStr">
        <is>
          <t>NA</t>
        </is>
      </c>
      <c r="Q28" s="206" t="inlineStr">
        <is>
          <t>NA</t>
        </is>
      </c>
      <c r="R28" s="234" t="inlineStr">
        <is>
          <t>Identifiant central fourni par la DRG dans le flux diffusion Tiers (DTG) transmis aux entités émettrices du flux
A la première remontée d'un tiers nouvellement créé via le flux , cet identifiant doit être à vide
L'identifiant interne est déterminé en central et communiqué aux entités via le flux diffusion Tiers (DTG) et doit être fourni dans le flux du mois suivant (si toujours des engagements sur ce Tiers)</t>
        </is>
      </c>
      <c r="S28" s="235" t="inlineStr">
        <is>
          <t>Central ID provided by the Group Risk Management Division in the External Counterparty distribution flow (DTG) sent out to entities issuing flows.
When first reporting an external counterparty that has just been added via the flow, this ID must be left empty.
The internal ID is determined centrally and sent out to the entities via the External Counterparty distribution flow (DTG) and must be provided in the subsequent month's flow (if there are still commitments vis-à-vis this External Counterparty)</t>
        </is>
      </c>
      <c r="T28" s="206" t="inlineStr">
        <is>
          <t>ALPHA</t>
        </is>
      </c>
      <c r="U28" s="237" t="inlineStr">
        <is>
          <t>NA</t>
        </is>
      </c>
      <c r="V28" s="238" t="inlineStr">
        <is>
          <t>NA</t>
        </is>
      </c>
      <c r="W28" s="231" t="n">
        <v>10</v>
      </c>
      <c r="X28" s="231" t="inlineStr">
        <is>
          <t>NA</t>
        </is>
      </c>
      <c r="Y28" s="239" t="n">
        <v>40</v>
      </c>
      <c r="Z28" s="239" t="inlineStr">
        <is>
          <t>NA</t>
        </is>
      </c>
      <c r="AA28" s="239" t="inlineStr">
        <is>
          <t>NA</t>
        </is>
      </c>
      <c r="AB28" s="231" t="inlineStr">
        <is>
          <t>TIGRE</t>
        </is>
      </c>
      <c r="AC28" s="231" t="inlineStr">
        <is>
          <t>ND</t>
        </is>
      </c>
      <c r="AD28" s="231" t="inlineStr">
        <is>
          <t>N</t>
        </is>
      </c>
      <c r="AE28" s="231" t="inlineStr">
        <is>
          <t>NA</t>
        </is>
      </c>
      <c r="AF28" s="231" t="inlineStr">
        <is>
          <t>NA</t>
        </is>
      </c>
      <c r="AG28" s="212" t="inlineStr">
        <is>
          <t>NA</t>
        </is>
      </c>
      <c r="AH28" s="89" t="n"/>
      <c r="AI28" s="204" t="n"/>
      <c r="AJ28" s="205" t="n"/>
      <c r="AK28" s="206" t="n"/>
      <c r="AL28" s="207" t="n"/>
      <c r="AM28" s="205" t="n"/>
      <c r="AN28" s="213" t="n"/>
      <c r="AO28" s="206" t="n"/>
      <c r="AP28" s="207" t="n"/>
      <c r="AQ28" s="205" t="n"/>
      <c r="AR28" s="213" t="n"/>
      <c r="AS28" s="206" t="n"/>
      <c r="AT28" s="207" t="n"/>
      <c r="AU28" s="210" t="n"/>
      <c r="AV28" s="211" t="n"/>
      <c r="AW28" s="206" t="n"/>
      <c r="AX28" s="207" t="n"/>
      <c r="AY28" s="205" t="n"/>
      <c r="AZ28" s="213" t="n"/>
      <c r="BA28" s="206" t="n"/>
      <c r="BB28" s="207" t="n"/>
      <c r="BC28" s="204" t="n"/>
      <c r="BD28" s="213" t="n"/>
      <c r="BE28" s="206" t="n"/>
      <c r="BF28" s="207" t="n"/>
      <c r="BH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8">
        <f>_xlfn.LET(r,ROW(),oc,INDEX($A:$A,r),cv,TRIM(INDEX($Y:$Y,r)&amp;""),IF(oc&lt;&gt;"P1","",IF(cv="45","V45 - novo, nao alimentado pelo spool atual","V44 - alimentado pelo spool atual")))</f>
        <v/>
      </c>
    </row>
    <row r="29" ht="54" customFormat="1" customHeight="1" s="54">
      <c r="A29" s="243" t="inlineStr">
        <is>
          <t>C1</t>
        </is>
      </c>
      <c r="B29" s="244" t="n">
        <v>11</v>
      </c>
      <c r="C29" s="284" t="inlineStr">
        <is>
          <t>NA</t>
        </is>
      </c>
      <c r="D29" s="244" t="inlineStr">
        <is>
          <t>NA</t>
        </is>
      </c>
      <c r="E29" s="246" t="inlineStr">
        <is>
          <t>1.4 (C1)</t>
        </is>
      </c>
      <c r="F29" s="247" t="inlineStr">
        <is>
          <t xml:space="preserve">Référence de l'Autorisation Mise En Place </t>
        </is>
      </c>
      <c r="G29" s="247" t="inlineStr">
        <is>
          <t xml:space="preserve">Overall facility reference </t>
        </is>
      </c>
      <c r="H29" s="247" t="n"/>
      <c r="I29" s="247" t="inlineStr">
        <is>
          <t xml:space="preserve">Référence de l'Autorisation Mise En Place </t>
        </is>
      </c>
      <c r="J29" s="247" t="inlineStr">
        <is>
          <t xml:space="preserve">Reference code of Arranged facility </t>
        </is>
      </c>
      <c r="K29" s="244" t="inlineStr">
        <is>
          <t>NA</t>
        </is>
      </c>
      <c r="L29" s="244" t="inlineStr">
        <is>
          <t>NA</t>
        </is>
      </c>
      <c r="M29" s="1408" t="inlineStr">
        <is>
          <t>NA</t>
        </is>
      </c>
      <c r="N29" s="244" t="inlineStr">
        <is>
          <t>NA</t>
        </is>
      </c>
      <c r="O29" s="244" t="inlineStr">
        <is>
          <t>NA</t>
        </is>
      </c>
      <c r="P29" s="246" t="inlineStr">
        <is>
          <t>NA</t>
        </is>
      </c>
      <c r="Q29" s="246" t="inlineStr">
        <is>
          <t>NA</t>
        </is>
      </c>
      <c r="R29" s="247" t="inlineStr">
        <is>
          <t>NA</t>
        </is>
      </c>
      <c r="S29" s="247" t="inlineStr">
        <is>
          <t>NA</t>
        </is>
      </c>
      <c r="T29" s="246" t="inlineStr">
        <is>
          <t>ALPHA</t>
        </is>
      </c>
      <c r="U29" s="248" t="inlineStr">
        <is>
          <t>NA</t>
        </is>
      </c>
      <c r="V29" s="248" t="inlineStr">
        <is>
          <t>NA</t>
        </is>
      </c>
      <c r="W29" s="244" t="n">
        <v>30</v>
      </c>
      <c r="X29" s="244" t="inlineStr">
        <is>
          <t>NA</t>
        </is>
      </c>
      <c r="Y29" s="249" t="inlineStr">
        <is>
          <t>NA</t>
        </is>
      </c>
      <c r="Z29" s="249" t="n">
        <v>42</v>
      </c>
      <c r="AA29" s="249" t="inlineStr">
        <is>
          <t>NA</t>
        </is>
      </c>
      <c r="AB29" s="244" t="inlineStr">
        <is>
          <t>NA</t>
        </is>
      </c>
      <c r="AC29" s="244" t="inlineStr">
        <is>
          <t>NA</t>
        </is>
      </c>
      <c r="AD29" s="244" t="inlineStr">
        <is>
          <t>N</t>
        </is>
      </c>
      <c r="AE29" s="244" t="inlineStr">
        <is>
          <t>NA</t>
        </is>
      </c>
      <c r="AF29" s="244" t="inlineStr">
        <is>
          <t>NA</t>
        </is>
      </c>
      <c r="AG29" s="250" t="inlineStr">
        <is>
          <t>NA</t>
        </is>
      </c>
      <c r="AH29" s="89" t="n"/>
      <c r="AI29" s="251" t="n"/>
      <c r="AJ29" s="252" t="n"/>
      <c r="AK29" s="246" t="n"/>
      <c r="AL29" s="253" t="n"/>
      <c r="AM29" s="252" t="n"/>
      <c r="AN29" s="252" t="n"/>
      <c r="AO29" s="246" t="n"/>
      <c r="AP29" s="253" t="n"/>
      <c r="AQ29" s="252" t="n"/>
      <c r="AR29" s="252" t="n"/>
      <c r="AS29" s="246" t="n"/>
      <c r="AT29" s="253" t="n"/>
      <c r="AU29" s="254" t="n"/>
      <c r="AV29" s="254" t="n"/>
      <c r="AW29" s="246" t="n"/>
      <c r="AX29" s="253" t="n"/>
      <c r="AY29" s="252" t="n"/>
      <c r="AZ29" s="252" t="n"/>
      <c r="BA29" s="246" t="n"/>
      <c r="BB29" s="253" t="n"/>
      <c r="BC29" s="251" t="n"/>
      <c r="BD29" s="252" t="n"/>
      <c r="BE29" s="246" t="n"/>
      <c r="BF29" s="253" t="n"/>
      <c r="BH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9">
        <f>_xlfn.LET(r,ROW(),oc,INDEX($A:$A,r),cv,TRIM(INDEX($Y:$Y,r)&amp;""),IF(oc&lt;&gt;"P1","",IF(cv="45","V45 - novo, nao alimentado pelo spool atual","V44 - alimentado pelo spool atual")))</f>
        <v/>
      </c>
    </row>
    <row r="30" ht="54" customFormat="1" customHeight="1" s="54">
      <c r="A30" s="243" t="inlineStr">
        <is>
          <t>C1</t>
        </is>
      </c>
      <c r="B30" s="244" t="n">
        <v>12</v>
      </c>
      <c r="C30" s="284" t="inlineStr">
        <is>
          <t>NA</t>
        </is>
      </c>
      <c r="D30" s="244" t="inlineStr">
        <is>
          <t>NA</t>
        </is>
      </c>
      <c r="E30" s="246" t="inlineStr">
        <is>
          <t>1.6 (C1)</t>
        </is>
      </c>
      <c r="F30" s="247" t="inlineStr">
        <is>
          <t>Référence de la ligne de détail de l'Autorisation Mise En Place</t>
        </is>
      </c>
      <c r="G30" s="247" t="inlineStr">
        <is>
          <t>Facility detail line reference</t>
        </is>
      </c>
      <c r="H30" s="247" t="n"/>
      <c r="I30" s="247" t="inlineStr">
        <is>
          <t>Référence de la ligne de détail de l'Autorisation Mise En Place</t>
        </is>
      </c>
      <c r="J30" s="247" t="inlineStr">
        <is>
          <t>Reference code of the line of the Arranged facility</t>
        </is>
      </c>
      <c r="K30" s="244" t="inlineStr">
        <is>
          <t>NA</t>
        </is>
      </c>
      <c r="L30" s="244" t="inlineStr">
        <is>
          <t>NA</t>
        </is>
      </c>
      <c r="M30" s="1408" t="inlineStr">
        <is>
          <t>NA</t>
        </is>
      </c>
      <c r="N30" s="244" t="inlineStr">
        <is>
          <t>NA</t>
        </is>
      </c>
      <c r="O30" s="244" t="inlineStr">
        <is>
          <t>NA</t>
        </is>
      </c>
      <c r="P30" s="246" t="inlineStr">
        <is>
          <t>NA</t>
        </is>
      </c>
      <c r="Q30" s="246" t="inlineStr">
        <is>
          <t>NA</t>
        </is>
      </c>
      <c r="R30" s="247" t="inlineStr">
        <is>
          <t>NA</t>
        </is>
      </c>
      <c r="S30" s="247" t="inlineStr">
        <is>
          <t>NA</t>
        </is>
      </c>
      <c r="T30" s="246" t="inlineStr">
        <is>
          <t>ALPHA</t>
        </is>
      </c>
      <c r="U30" s="248" t="inlineStr">
        <is>
          <t>NA</t>
        </is>
      </c>
      <c r="V30" s="248" t="inlineStr">
        <is>
          <t>NA</t>
        </is>
      </c>
      <c r="W30" s="244" t="n">
        <v>30</v>
      </c>
      <c r="X30" s="244" t="inlineStr">
        <is>
          <t>NA</t>
        </is>
      </c>
      <c r="Y30" s="249" t="inlineStr">
        <is>
          <t>NA</t>
        </is>
      </c>
      <c r="Z30" s="249" t="n">
        <v>42</v>
      </c>
      <c r="AA30" s="249" t="inlineStr">
        <is>
          <t>NA</t>
        </is>
      </c>
      <c r="AB30" s="244" t="inlineStr">
        <is>
          <t>NA</t>
        </is>
      </c>
      <c r="AC30" s="244" t="inlineStr">
        <is>
          <t>NA</t>
        </is>
      </c>
      <c r="AD30" s="244" t="inlineStr">
        <is>
          <t>N</t>
        </is>
      </c>
      <c r="AE30" s="244" t="inlineStr">
        <is>
          <t>NA</t>
        </is>
      </c>
      <c r="AF30" s="244" t="inlineStr">
        <is>
          <t>NA</t>
        </is>
      </c>
      <c r="AG30" s="250" t="inlineStr">
        <is>
          <t>NA</t>
        </is>
      </c>
      <c r="AH30" s="89" t="n"/>
      <c r="AI30" s="251" t="n"/>
      <c r="AJ30" s="252" t="n"/>
      <c r="AK30" s="246" t="n"/>
      <c r="AL30" s="253" t="n"/>
      <c r="AM30" s="252" t="n"/>
      <c r="AN30" s="252" t="n"/>
      <c r="AO30" s="246" t="n"/>
      <c r="AP30" s="253" t="n"/>
      <c r="AQ30" s="252" t="n"/>
      <c r="AR30" s="252" t="n"/>
      <c r="AS30" s="246" t="n"/>
      <c r="AT30" s="253" t="n"/>
      <c r="AU30" s="254" t="n"/>
      <c r="AV30" s="254" t="n"/>
      <c r="AW30" s="246" t="n"/>
      <c r="AX30" s="253" t="n"/>
      <c r="AY30" s="252" t="n"/>
      <c r="AZ30" s="252" t="n"/>
      <c r="BA30" s="246" t="n"/>
      <c r="BB30" s="253" t="n"/>
      <c r="BC30" s="251" t="n"/>
      <c r="BD30" s="252" t="n"/>
      <c r="BE30" s="246" t="n"/>
      <c r="BF30" s="253" t="n"/>
      <c r="BH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0">
        <f>_xlfn.LET(r,ROW(),oc,INDEX($A:$A,r),cv,TRIM(INDEX($Y:$Y,r)&amp;""),IF(oc&lt;&gt;"P1","",IF(cv="45","V45 - novo, nao alimentado pelo spool atual","V44 - alimentado pelo spool atual")))</f>
        <v/>
      </c>
    </row>
    <row r="31" ht="54" customFormat="1" customHeight="1" s="54">
      <c r="A31" s="243" t="inlineStr">
        <is>
          <t>C1</t>
        </is>
      </c>
      <c r="B31" s="244" t="n">
        <v>13</v>
      </c>
      <c r="C31" s="284" t="inlineStr">
        <is>
          <t>NA</t>
        </is>
      </c>
      <c r="D31" s="244" t="inlineStr">
        <is>
          <t>NA</t>
        </is>
      </c>
      <c r="E31" s="246" t="inlineStr">
        <is>
          <t>1.8 (C1)</t>
        </is>
      </c>
      <c r="F31" s="247" t="inlineStr">
        <is>
          <t>Identifiant de la sûreté reçue</t>
        </is>
      </c>
      <c r="G31" s="247" t="inlineStr">
        <is>
          <t>Mitigant identifier</t>
        </is>
      </c>
      <c r="H31" s="247" t="n"/>
      <c r="I31" s="247" t="inlineStr">
        <is>
          <t>Identifiant de la sûreté reçue</t>
        </is>
      </c>
      <c r="J31" s="247" t="inlineStr">
        <is>
          <t>ID of Mitigant received</t>
        </is>
      </c>
      <c r="K31" s="244" t="inlineStr">
        <is>
          <t>NA</t>
        </is>
      </c>
      <c r="L31" s="244" t="inlineStr">
        <is>
          <t>NA</t>
        </is>
      </c>
      <c r="M31" s="1408" t="inlineStr">
        <is>
          <t>NA</t>
        </is>
      </c>
      <c r="N31" s="244" t="inlineStr">
        <is>
          <t>NA</t>
        </is>
      </c>
      <c r="O31" s="244" t="inlineStr">
        <is>
          <t>NA</t>
        </is>
      </c>
      <c r="P31" s="246" t="inlineStr">
        <is>
          <t>NA</t>
        </is>
      </c>
      <c r="Q31" s="246" t="inlineStr">
        <is>
          <t>NA</t>
        </is>
      </c>
      <c r="R31" s="247" t="inlineStr">
        <is>
          <t>NA</t>
        </is>
      </c>
      <c r="S31" s="247" t="inlineStr">
        <is>
          <t>NA</t>
        </is>
      </c>
      <c r="T31" s="246" t="inlineStr">
        <is>
          <t>ALPHA</t>
        </is>
      </c>
      <c r="U31" s="248" t="inlineStr">
        <is>
          <t>NA</t>
        </is>
      </c>
      <c r="V31" s="248" t="inlineStr">
        <is>
          <t>NA</t>
        </is>
      </c>
      <c r="W31" s="244" t="n">
        <v>40</v>
      </c>
      <c r="X31" s="244" t="inlineStr">
        <is>
          <t>NA</t>
        </is>
      </c>
      <c r="Y31" s="249" t="inlineStr">
        <is>
          <t>NA</t>
        </is>
      </c>
      <c r="Z31" s="249" t="n">
        <v>42</v>
      </c>
      <c r="AA31" s="249" t="inlineStr">
        <is>
          <t>NA</t>
        </is>
      </c>
      <c r="AB31" s="244" t="inlineStr">
        <is>
          <t>NA</t>
        </is>
      </c>
      <c r="AC31" s="244" t="inlineStr">
        <is>
          <t>NA</t>
        </is>
      </c>
      <c r="AD31" s="244" t="inlineStr">
        <is>
          <t>N</t>
        </is>
      </c>
      <c r="AE31" s="244" t="inlineStr">
        <is>
          <t>NA</t>
        </is>
      </c>
      <c r="AF31" s="244" t="inlineStr">
        <is>
          <t>NA</t>
        </is>
      </c>
      <c r="AG31" s="250" t="inlineStr">
        <is>
          <t>NA</t>
        </is>
      </c>
      <c r="AH31" s="89" t="n"/>
      <c r="AI31" s="251" t="n"/>
      <c r="AJ31" s="252" t="n"/>
      <c r="AK31" s="246" t="n"/>
      <c r="AL31" s="253" t="n"/>
      <c r="AM31" s="252" t="n"/>
      <c r="AN31" s="252" t="n"/>
      <c r="AO31" s="246" t="n"/>
      <c r="AP31" s="253" t="n"/>
      <c r="AQ31" s="252" t="n"/>
      <c r="AR31" s="252" t="n"/>
      <c r="AS31" s="246" t="n"/>
      <c r="AT31" s="253" t="n"/>
      <c r="AU31" s="254" t="n"/>
      <c r="AV31" s="254" t="n"/>
      <c r="AW31" s="246" t="n"/>
      <c r="AX31" s="253" t="n"/>
      <c r="AY31" s="252" t="n"/>
      <c r="AZ31" s="252" t="n"/>
      <c r="BA31" s="246" t="n"/>
      <c r="BB31" s="253" t="n"/>
      <c r="BC31" s="251" t="n"/>
      <c r="BD31" s="252" t="n"/>
      <c r="BE31" s="246" t="n"/>
      <c r="BF31" s="253" t="n"/>
      <c r="BH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1">
        <f>_xlfn.LET(r,ROW(),oc,INDEX($A:$A,r),cv,TRIM(INDEX($Y:$Y,r)&amp;""),IF(oc&lt;&gt;"P1","",IF(cv="45","V45 - novo, nao alimentado pelo spool atual","V44 - alimentado pelo spool atual")))</f>
        <v/>
      </c>
    </row>
    <row r="32" ht="54" customFormat="1" customHeight="1" s="54">
      <c r="A32" s="243" t="inlineStr">
        <is>
          <t>C1</t>
        </is>
      </c>
      <c r="B32" s="244" t="n">
        <v>14</v>
      </c>
      <c r="C32" s="284" t="inlineStr">
        <is>
          <t>NA</t>
        </is>
      </c>
      <c r="D32" s="244" t="inlineStr">
        <is>
          <t>NA</t>
        </is>
      </c>
      <c r="E32" s="246" t="inlineStr">
        <is>
          <t>1.11 (C1)</t>
        </is>
      </c>
      <c r="F32" s="247" t="inlineStr">
        <is>
          <t>Identifiant de l'engagement</t>
        </is>
      </c>
      <c r="G32" s="247" t="inlineStr">
        <is>
          <t>Product identifier</t>
        </is>
      </c>
      <c r="H32" s="247" t="n"/>
      <c r="I32" s="247" t="inlineStr">
        <is>
          <t>Identifiant de l'engagement</t>
        </is>
      </c>
      <c r="J32" s="247" t="inlineStr">
        <is>
          <t>ID of commitment</t>
        </is>
      </c>
      <c r="K32" s="244" t="inlineStr">
        <is>
          <t>NA</t>
        </is>
      </c>
      <c r="L32" s="244" t="inlineStr">
        <is>
          <t>NA</t>
        </is>
      </c>
      <c r="M32" s="1408" t="inlineStr">
        <is>
          <t>NA</t>
        </is>
      </c>
      <c r="N32" s="244" t="inlineStr">
        <is>
          <t>NA</t>
        </is>
      </c>
      <c r="O32" s="244" t="inlineStr">
        <is>
          <t>NA</t>
        </is>
      </c>
      <c r="P32" s="246" t="inlineStr">
        <is>
          <t>NA</t>
        </is>
      </c>
      <c r="Q32" s="246" t="inlineStr">
        <is>
          <t>NA</t>
        </is>
      </c>
      <c r="R32" s="247" t="inlineStr">
        <is>
          <t>NA</t>
        </is>
      </c>
      <c r="S32" s="247" t="inlineStr">
        <is>
          <t>NA</t>
        </is>
      </c>
      <c r="T32" s="246" t="inlineStr">
        <is>
          <t>ALPHA</t>
        </is>
      </c>
      <c r="U32" s="248" t="inlineStr">
        <is>
          <t>NA</t>
        </is>
      </c>
      <c r="V32" s="248" t="inlineStr">
        <is>
          <t>NA</t>
        </is>
      </c>
      <c r="W32" s="244" t="n">
        <v>40</v>
      </c>
      <c r="X32" s="244" t="inlineStr">
        <is>
          <t>NA</t>
        </is>
      </c>
      <c r="Y32" s="249" t="inlineStr">
        <is>
          <t>NA</t>
        </is>
      </c>
      <c r="Z32" s="249" t="n">
        <v>42</v>
      </c>
      <c r="AA32" s="249" t="inlineStr">
        <is>
          <t>NA</t>
        </is>
      </c>
      <c r="AB32" s="244" t="inlineStr">
        <is>
          <t>NA</t>
        </is>
      </c>
      <c r="AC32" s="244" t="inlineStr">
        <is>
          <t>NA</t>
        </is>
      </c>
      <c r="AD32" s="244" t="inlineStr">
        <is>
          <t>N</t>
        </is>
      </c>
      <c r="AE32" s="244" t="inlineStr">
        <is>
          <t>NA</t>
        </is>
      </c>
      <c r="AF32" s="244" t="inlineStr">
        <is>
          <t>NA</t>
        </is>
      </c>
      <c r="AG32" s="250" t="inlineStr">
        <is>
          <t>NA</t>
        </is>
      </c>
      <c r="AH32" s="89" t="n"/>
      <c r="AI32" s="251" t="n"/>
      <c r="AJ32" s="252" t="n"/>
      <c r="AK32" s="246" t="n"/>
      <c r="AL32" s="253" t="n"/>
      <c r="AM32" s="252" t="n"/>
      <c r="AN32" s="252" t="n"/>
      <c r="AO32" s="246" t="n"/>
      <c r="AP32" s="253" t="n"/>
      <c r="AQ32" s="252" t="n"/>
      <c r="AR32" s="252" t="n"/>
      <c r="AS32" s="246" t="n"/>
      <c r="AT32" s="253" t="n"/>
      <c r="AU32" s="254" t="n"/>
      <c r="AV32" s="254" t="n"/>
      <c r="AW32" s="246" t="n"/>
      <c r="AX32" s="253" t="n"/>
      <c r="AY32" s="252" t="n"/>
      <c r="AZ32" s="252" t="n"/>
      <c r="BA32" s="246" t="n"/>
      <c r="BB32" s="253" t="n"/>
      <c r="BC32" s="251" t="n"/>
      <c r="BD32" s="252" t="n"/>
      <c r="BE32" s="246" t="n"/>
      <c r="BF32" s="253" t="n"/>
      <c r="BH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2">
        <f>_xlfn.LET(r,ROW(),oc,INDEX($A:$A,r),cv,TRIM(INDEX($Y:$Y,r)&amp;""),IF(oc&lt;&gt;"P1","",IF(cv="45","V45 - novo, nao alimentado pelo spool atual","V44 - alimentado pelo spool atual")))</f>
        <v/>
      </c>
    </row>
    <row r="33" ht="54" customFormat="1" customHeight="1" s="54">
      <c r="A33" s="243" t="inlineStr">
        <is>
          <t>C1</t>
        </is>
      </c>
      <c r="B33" s="244" t="n">
        <v>15</v>
      </c>
      <c r="C33" s="284" t="inlineStr">
        <is>
          <t>NA</t>
        </is>
      </c>
      <c r="D33" s="244" t="inlineStr">
        <is>
          <t>NA</t>
        </is>
      </c>
      <c r="E33" s="246" t="inlineStr">
        <is>
          <t>1.16 (C1)</t>
        </is>
      </c>
      <c r="F33" s="247" t="inlineStr">
        <is>
          <t>Référence de la provision sur tiers</t>
        </is>
      </c>
      <c r="G33" s="247" t="inlineStr">
        <is>
          <t>Reference for the counterparty provision</t>
        </is>
      </c>
      <c r="H33" s="247" t="n"/>
      <c r="I33" s="247" t="inlineStr">
        <is>
          <t>Référence de la provision sur tiers</t>
        </is>
      </c>
      <c r="J33" s="247" t="inlineStr">
        <is>
          <t>Reference code of the provision for external counterparties</t>
        </is>
      </c>
      <c r="K33" s="244" t="inlineStr">
        <is>
          <t>NA</t>
        </is>
      </c>
      <c r="L33" s="244" t="inlineStr">
        <is>
          <t>NA</t>
        </is>
      </c>
      <c r="M33" s="1408" t="inlineStr">
        <is>
          <t>NA</t>
        </is>
      </c>
      <c r="N33" s="244" t="inlineStr">
        <is>
          <t>NA</t>
        </is>
      </c>
      <c r="O33" s="244" t="inlineStr">
        <is>
          <t>NA</t>
        </is>
      </c>
      <c r="P33" s="246" t="inlineStr">
        <is>
          <t>NA</t>
        </is>
      </c>
      <c r="Q33" s="246" t="inlineStr">
        <is>
          <t>NA</t>
        </is>
      </c>
      <c r="R33" s="247" t="inlineStr">
        <is>
          <t>NA</t>
        </is>
      </c>
      <c r="S33" s="247" t="inlineStr">
        <is>
          <t>NA</t>
        </is>
      </c>
      <c r="T33" s="246" t="inlineStr">
        <is>
          <t>ALPHA</t>
        </is>
      </c>
      <c r="U33" s="248" t="inlineStr">
        <is>
          <t>NA</t>
        </is>
      </c>
      <c r="V33" s="248" t="inlineStr">
        <is>
          <t>NA</t>
        </is>
      </c>
      <c r="W33" s="244" t="n">
        <v>40</v>
      </c>
      <c r="X33" s="244" t="inlineStr">
        <is>
          <t>NA</t>
        </is>
      </c>
      <c r="Y33" s="249" t="inlineStr">
        <is>
          <t>NA</t>
        </is>
      </c>
      <c r="Z33" s="249" t="n">
        <v>42</v>
      </c>
      <c r="AA33" s="249" t="inlineStr">
        <is>
          <t>NA</t>
        </is>
      </c>
      <c r="AB33" s="244" t="inlineStr">
        <is>
          <t>NA</t>
        </is>
      </c>
      <c r="AC33" s="244" t="inlineStr">
        <is>
          <t>NA</t>
        </is>
      </c>
      <c r="AD33" s="244" t="inlineStr">
        <is>
          <t>N</t>
        </is>
      </c>
      <c r="AE33" s="244" t="inlineStr">
        <is>
          <t>NA</t>
        </is>
      </c>
      <c r="AF33" s="244" t="inlineStr">
        <is>
          <t>NA</t>
        </is>
      </c>
      <c r="AG33" s="250" t="inlineStr">
        <is>
          <t>NA</t>
        </is>
      </c>
      <c r="AH33" s="89" t="n"/>
      <c r="AI33" s="251" t="n"/>
      <c r="AJ33" s="252" t="n"/>
      <c r="AK33" s="246" t="n"/>
      <c r="AL33" s="253" t="n"/>
      <c r="AM33" s="252" t="n"/>
      <c r="AN33" s="252" t="n"/>
      <c r="AO33" s="246" t="n"/>
      <c r="AP33" s="253" t="n"/>
      <c r="AQ33" s="252" t="n"/>
      <c r="AR33" s="252" t="n"/>
      <c r="AS33" s="246" t="n"/>
      <c r="AT33" s="253" t="n"/>
      <c r="AU33" s="254" t="n"/>
      <c r="AV33" s="254" t="n"/>
      <c r="AW33" s="246" t="n"/>
      <c r="AX33" s="253" t="n"/>
      <c r="AY33" s="252" t="n"/>
      <c r="AZ33" s="252" t="n"/>
      <c r="BA33" s="246" t="n"/>
      <c r="BB33" s="253" t="n"/>
      <c r="BC33" s="251" t="n"/>
      <c r="BD33" s="252" t="n"/>
      <c r="BE33" s="246" t="n"/>
      <c r="BF33" s="253" t="n"/>
      <c r="BH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3">
        <f>_xlfn.LET(r,ROW(),oc,INDEX($A:$A,r),cv,TRIM(INDEX($Y:$Y,r)&amp;""),IF(oc&lt;&gt;"P1","",IF(cv="45","V45 - novo, nao alimentado pelo spool atual","V44 - alimentado pelo spool atual")))</f>
        <v/>
      </c>
    </row>
    <row r="34" ht="54" customFormat="1" customHeight="1" s="54">
      <c r="A34" s="243" t="inlineStr">
        <is>
          <t>C1</t>
        </is>
      </c>
      <c r="B34" s="244" t="n">
        <v>16</v>
      </c>
      <c r="C34" s="284" t="inlineStr">
        <is>
          <t>NA</t>
        </is>
      </c>
      <c r="D34" s="244" t="inlineStr">
        <is>
          <t>NA</t>
        </is>
      </c>
      <c r="E34" s="246" t="inlineStr">
        <is>
          <t>1.99 (C1)</t>
        </is>
      </c>
      <c r="F34" s="247" t="inlineStr">
        <is>
          <t>Filler</t>
        </is>
      </c>
      <c r="G34" s="247" t="inlineStr">
        <is>
          <t>Filler</t>
        </is>
      </c>
      <c r="H34" s="247" t="n"/>
      <c r="I34" s="247" t="inlineStr">
        <is>
          <t>Zone libre</t>
        </is>
      </c>
      <c r="J34" s="247" t="inlineStr">
        <is>
          <t>Free zone</t>
        </is>
      </c>
      <c r="K34" s="244" t="inlineStr">
        <is>
          <t>NA</t>
        </is>
      </c>
      <c r="L34" s="244" t="inlineStr">
        <is>
          <t>NA</t>
        </is>
      </c>
      <c r="M34" s="1408" t="inlineStr">
        <is>
          <t>NA</t>
        </is>
      </c>
      <c r="N34" s="244" t="inlineStr">
        <is>
          <t>NA</t>
        </is>
      </c>
      <c r="O34" s="244" t="inlineStr">
        <is>
          <t>NA</t>
        </is>
      </c>
      <c r="P34" s="246" t="inlineStr">
        <is>
          <t>NA</t>
        </is>
      </c>
      <c r="Q34" s="246" t="inlineStr">
        <is>
          <t>NA</t>
        </is>
      </c>
      <c r="R34" s="247" t="inlineStr">
        <is>
          <t>Laisser à vide</t>
        </is>
      </c>
      <c r="S34" s="247" t="inlineStr">
        <is>
          <t>Leave empty</t>
        </is>
      </c>
      <c r="T34" s="246" t="inlineStr">
        <is>
          <t>ALPHA</t>
        </is>
      </c>
      <c r="U34" s="256" t="inlineStr">
        <is>
          <t>NA</t>
        </is>
      </c>
      <c r="V34" s="256" t="inlineStr">
        <is>
          <t>NA</t>
        </is>
      </c>
      <c r="W34" s="244" t="n">
        <v>20</v>
      </c>
      <c r="X34" s="244" t="inlineStr">
        <is>
          <t>NA</t>
        </is>
      </c>
      <c r="Y34" s="249" t="inlineStr">
        <is>
          <t>NA</t>
        </is>
      </c>
      <c r="Z34" s="249" t="inlineStr">
        <is>
          <t>NA</t>
        </is>
      </c>
      <c r="AA34" s="249" t="inlineStr">
        <is>
          <t>NA</t>
        </is>
      </c>
      <c r="AB34" s="244" t="inlineStr">
        <is>
          <t>NA</t>
        </is>
      </c>
      <c r="AC34" s="244" t="inlineStr">
        <is>
          <t>NA</t>
        </is>
      </c>
      <c r="AD34" s="244" t="inlineStr">
        <is>
          <t>N</t>
        </is>
      </c>
      <c r="AE34" s="244" t="inlineStr">
        <is>
          <t>NA</t>
        </is>
      </c>
      <c r="AF34" s="244" t="inlineStr">
        <is>
          <t>NA</t>
        </is>
      </c>
      <c r="AG34" s="250" t="inlineStr">
        <is>
          <t>NA</t>
        </is>
      </c>
      <c r="AH34" s="89" t="n"/>
      <c r="AI34" s="251" t="n"/>
      <c r="AJ34" s="252" t="n"/>
      <c r="AK34" s="246" t="n"/>
      <c r="AL34" s="253" t="n"/>
      <c r="AM34" s="252" t="n"/>
      <c r="AN34" s="252" t="n"/>
      <c r="AO34" s="246" t="n"/>
      <c r="AP34" s="253" t="n"/>
      <c r="AQ34" s="252" t="n"/>
      <c r="AR34" s="252" t="n"/>
      <c r="AS34" s="246" t="n"/>
      <c r="AT34" s="253" t="n"/>
      <c r="AU34" s="254" t="n"/>
      <c r="AV34" s="254" t="n"/>
      <c r="AW34" s="246" t="n"/>
      <c r="AX34" s="253" t="n"/>
      <c r="AY34" s="252" t="n"/>
      <c r="AZ34" s="252" t="n"/>
      <c r="BA34" s="246" t="n"/>
      <c r="BB34" s="253" t="n"/>
      <c r="BC34" s="251" t="n"/>
      <c r="BD34" s="252" t="n"/>
      <c r="BE34" s="246" t="n"/>
      <c r="BF34" s="253" t="n"/>
      <c r="BH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4">
        <f>_xlfn.LET(r,ROW(),oc,INDEX($A:$A,r),cv,TRIM(INDEX($Y:$Y,r)&amp;""),IF(oc&lt;&gt;"P1","",IF(cv="45","V45 - novo, nao alimentado pelo spool atual","V44 - alimentado pelo spool atual")))</f>
        <v/>
      </c>
    </row>
    <row r="35" ht="54" customHeight="1">
      <c r="A35" s="230" t="inlineStr">
        <is>
          <t>C1</t>
        </is>
      </c>
      <c r="B35" s="231" t="n">
        <v>17</v>
      </c>
      <c r="C35" s="269" t="inlineStr">
        <is>
          <t>16 - Identification Tiers</t>
        </is>
      </c>
      <c r="D35" s="236" t="inlineStr">
        <is>
          <t>16 - Third party identification</t>
        </is>
      </c>
      <c r="E35" s="206" t="inlineStr">
        <is>
          <t>C1 2.1</t>
        </is>
      </c>
      <c r="F35" s="234" t="inlineStr">
        <is>
          <t>Dénomination sociale INSEE</t>
        </is>
      </c>
      <c r="G35" s="235" t="inlineStr">
        <is>
          <t>Counterparty name</t>
        </is>
      </c>
      <c r="H35" s="235" t="n"/>
      <c r="I35" s="234" t="inlineStr">
        <is>
          <t>Dénomination sociale INSEE pour les tiers français</t>
        </is>
      </c>
      <c r="J35" s="235" t="inlineStr">
        <is>
          <t>Corporate name INSEE for French counterparties
National's corporate name for other counterparties when it exists; corporate name otherwise</t>
        </is>
      </c>
      <c r="K35" s="231" t="inlineStr">
        <is>
          <t>ND</t>
        </is>
      </c>
      <c r="L35" s="236" t="inlineStr">
        <is>
          <t>ND</t>
        </is>
      </c>
      <c r="M35" s="1417" t="inlineStr">
        <is>
          <t>NA</t>
        </is>
      </c>
      <c r="N35" s="231" t="inlineStr">
        <is>
          <t>Obligatoire</t>
        </is>
      </c>
      <c r="O35" s="236" t="inlineStr">
        <is>
          <t>Mandatory</t>
        </is>
      </c>
      <c r="P35" s="206" t="inlineStr">
        <is>
          <t>NA</t>
        </is>
      </c>
      <c r="Q35" s="206" t="inlineStr">
        <is>
          <t>NA</t>
        </is>
      </c>
      <c r="R35" s="234" t="inlineStr">
        <is>
          <t>Obligatoire pour les tiers français (c'est-à-dire siréné), valoriser le champ avec la dénomination officielle INSEE sinon à vide
Donnée sous responsabilité du RUN.</t>
        </is>
      </c>
      <c r="S35" s="235" t="inlineStr">
        <is>
          <t>Mandatory for French external counterparties (i.e. those with SIREN numbers). Input the official INSEE corporate name, otherwise leave empty
Data owned by the «RUN».</t>
        </is>
      </c>
      <c r="T35" s="206" t="inlineStr">
        <is>
          <t>ALPHA</t>
        </is>
      </c>
      <c r="U35" s="237" t="inlineStr">
        <is>
          <t>NA</t>
        </is>
      </c>
      <c r="V35" s="238" t="inlineStr">
        <is>
          <t>NA</t>
        </is>
      </c>
      <c r="W35" s="231" t="n">
        <v>40</v>
      </c>
      <c r="X35" s="231" t="inlineStr">
        <is>
          <t>NA</t>
        </is>
      </c>
      <c r="Y35" s="239" t="n">
        <v>40</v>
      </c>
      <c r="Z35" s="239" t="inlineStr">
        <is>
          <t>NA</t>
        </is>
      </c>
      <c r="AA35" s="239" t="inlineStr">
        <is>
          <t>NA</t>
        </is>
      </c>
      <c r="AB35" s="231" t="inlineStr">
        <is>
          <t>TIGRE</t>
        </is>
      </c>
      <c r="AC35" s="231" t="inlineStr">
        <is>
          <t>ND</t>
        </is>
      </c>
      <c r="AD35" s="231" t="inlineStr">
        <is>
          <t>N</t>
        </is>
      </c>
      <c r="AE35" s="257" t="inlineStr">
        <is>
          <t>NA</t>
        </is>
      </c>
      <c r="AF35" s="257" t="inlineStr">
        <is>
          <t>NA</t>
        </is>
      </c>
      <c r="AG35" s="258" t="inlineStr">
        <is>
          <t>NA</t>
        </is>
      </c>
      <c r="AH35" s="89" t="n"/>
      <c r="AI35" s="204" t="n"/>
      <c r="AJ35" s="205" t="n"/>
      <c r="AK35" s="206" t="n"/>
      <c r="AL35" s="207" t="n"/>
      <c r="AM35" s="205" t="n"/>
      <c r="AN35" s="213" t="n"/>
      <c r="AO35" s="206" t="n"/>
      <c r="AP35" s="207" t="n"/>
      <c r="AQ35" s="205" t="n"/>
      <c r="AR35" s="213" t="n"/>
      <c r="AS35" s="206" t="n"/>
      <c r="AT35" s="207" t="n"/>
      <c r="AU35" s="210" t="n"/>
      <c r="AV35" s="211" t="n"/>
      <c r="AW35" s="206" t="n"/>
      <c r="AX35" s="207" t="n"/>
      <c r="AY35" s="205" t="n"/>
      <c r="AZ35" s="213" t="n"/>
      <c r="BA35" s="206" t="n"/>
      <c r="BB35" s="207" t="n"/>
      <c r="BC35" s="204" t="n"/>
      <c r="BD35" s="213" t="n"/>
      <c r="BE35" s="206" t="n"/>
      <c r="BF35" s="207" t="n"/>
      <c r="BH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5">
        <f>_xlfn.LET(r,ROW(),oc,INDEX($A:$A,r),cv,TRIM(INDEX($Y:$Y,r)&amp;""),IF(oc&lt;&gt;"P1","",IF(cv="45","V45 - novo, nao alimentado pelo spool atual","V44 - alimentado pelo spool atual")))</f>
        <v/>
      </c>
    </row>
    <row r="36" ht="54" customHeight="1">
      <c r="A36" s="230" t="inlineStr">
        <is>
          <t>C1</t>
        </is>
      </c>
      <c r="B36" s="231" t="n">
        <v>18</v>
      </c>
      <c r="C36" s="269" t="inlineStr">
        <is>
          <t>16 - Identification Tiers</t>
        </is>
      </c>
      <c r="D36" s="236" t="inlineStr">
        <is>
          <t>16 - Third party identification</t>
        </is>
      </c>
      <c r="E36" s="206" t="inlineStr">
        <is>
          <t>C1 4.22</t>
        </is>
      </c>
      <c r="F36" s="234" t="inlineStr">
        <is>
          <t xml:space="preserve">Date de génération du CRE ANADEFI </t>
        </is>
      </c>
      <c r="G36" s="235" t="inlineStr">
        <is>
          <t>CRE ANADEFI processing Date</t>
        </is>
      </c>
      <c r="H36" s="235" t="n"/>
      <c r="I36" s="234" t="inlineStr">
        <is>
          <t xml:space="preserve">Date de génération du CRE ANADEFI </t>
        </is>
      </c>
      <c r="J36" s="235" t="inlineStr">
        <is>
          <t>CRE ANADEFI processing Date</t>
        </is>
      </c>
      <c r="K36" s="231" t="inlineStr">
        <is>
          <t>ND</t>
        </is>
      </c>
      <c r="L36" s="236" t="inlineStr">
        <is>
          <t>ND</t>
        </is>
      </c>
      <c r="M36" s="1417" t="inlineStr">
        <is>
          <t>NA</t>
        </is>
      </c>
      <c r="N36" s="231" t="inlineStr">
        <is>
          <t>Obligatoire</t>
        </is>
      </c>
      <c r="O36" s="236" t="inlineStr">
        <is>
          <t>Mandatory</t>
        </is>
      </c>
      <c r="P36" s="206" t="inlineStr">
        <is>
          <t>NA</t>
        </is>
      </c>
      <c r="Q36" s="206" t="inlineStr">
        <is>
          <t>NA</t>
        </is>
      </c>
      <c r="R36" s="234" t="inlineStr">
        <is>
          <t>Obligatoire si le tiers est noté (la note finale retenue du tiers (C1 4.1) est renseignée et différente de 'ND' )</t>
        </is>
      </c>
      <c r="S36" s="235" t="inlineStr">
        <is>
          <t>Mandatory where the assigned rating (C1 4.1) &lt;&gt; ‘ND' or equals spaces</t>
        </is>
      </c>
      <c r="T36" s="206" t="inlineStr">
        <is>
          <t>ALPHA</t>
        </is>
      </c>
      <c r="U36" s="237" t="inlineStr">
        <is>
          <t>AAAAMMJJHHMMSS</t>
        </is>
      </c>
      <c r="V36" s="238" t="inlineStr">
        <is>
          <t>SSAAMMJJHHMMSS</t>
        </is>
      </c>
      <c r="W36" s="231" t="n">
        <v>14</v>
      </c>
      <c r="X36" s="231" t="inlineStr">
        <is>
          <t>NA</t>
        </is>
      </c>
      <c r="Y36" s="239" t="n">
        <v>40</v>
      </c>
      <c r="Z36" s="239" t="inlineStr">
        <is>
          <t>NA</t>
        </is>
      </c>
      <c r="AA36" s="239" t="inlineStr">
        <is>
          <t>NA</t>
        </is>
      </c>
      <c r="AB36" s="942" t="inlineStr">
        <is>
          <t>TIGRE</t>
        </is>
      </c>
      <c r="AC36" s="231" t="inlineStr">
        <is>
          <t>ND</t>
        </is>
      </c>
      <c r="AD36" s="231" t="inlineStr">
        <is>
          <t>N</t>
        </is>
      </c>
      <c r="AE36" s="231" t="inlineStr">
        <is>
          <t>NA</t>
        </is>
      </c>
      <c r="AF36" s="231" t="inlineStr">
        <is>
          <t>NA</t>
        </is>
      </c>
      <c r="AG36" s="212" t="inlineStr">
        <is>
          <t>NA</t>
        </is>
      </c>
      <c r="AH36" s="89" t="n"/>
      <c r="AI36" s="204" t="n"/>
      <c r="AJ36" s="205" t="n"/>
      <c r="AK36" s="206" t="n"/>
      <c r="AL36" s="207" t="n"/>
      <c r="AM36" s="205" t="n"/>
      <c r="AN36" s="213" t="n"/>
      <c r="AO36" s="206" t="n"/>
      <c r="AP36" s="207" t="n"/>
      <c r="AQ36" s="205" t="n"/>
      <c r="AR36" s="213" t="n"/>
      <c r="AS36" s="206" t="n"/>
      <c r="AT36" s="207" t="n"/>
      <c r="AU36" s="210" t="n"/>
      <c r="AV36" s="211" t="n"/>
      <c r="AW36" s="206" t="n"/>
      <c r="AX36" s="207" t="n"/>
      <c r="AY36" s="205" t="n"/>
      <c r="AZ36" s="213" t="n"/>
      <c r="BA36" s="206" t="n"/>
      <c r="BB36" s="207" t="n"/>
      <c r="BC36" s="204" t="n"/>
      <c r="BD36" s="213" t="n"/>
      <c r="BE36" s="206" t="n"/>
      <c r="BF36" s="207" t="n"/>
      <c r="BH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6">
        <f>_xlfn.LET(r,ROW(),oc,INDEX($A:$A,r),cv,TRIM(INDEX($Y:$Y,r)&amp;""),IF(oc&lt;&gt;"P1","",IF(cv="45","V45 - novo, nao alimentado pelo spool atual","V44 - alimentado pelo spool atual")))</f>
        <v/>
      </c>
    </row>
    <row r="37" ht="54" customHeight="1">
      <c r="A37" s="230" t="inlineStr">
        <is>
          <t>C1</t>
        </is>
      </c>
      <c r="B37" s="231" t="n">
        <v>19</v>
      </c>
      <c r="C37" s="269" t="inlineStr">
        <is>
          <t>16 - Identification Tiers</t>
        </is>
      </c>
      <c r="D37" s="236" t="inlineStr">
        <is>
          <t>16 - Third party identification</t>
        </is>
      </c>
      <c r="E37" s="206" t="inlineStr">
        <is>
          <t>C1 4.30</t>
        </is>
      </c>
      <c r="F37" s="234" t="inlineStr">
        <is>
          <t>Identifiant de l'entreprise mère immédiate</t>
        </is>
      </c>
      <c r="G37" s="235" t="inlineStr">
        <is>
          <t>Immediate parent undertaking identifier</t>
        </is>
      </c>
      <c r="H37" s="235" t="n"/>
      <c r="I37" s="234" t="inlineStr">
        <is>
          <t>Permet d'identifier la maison mère immédiate</t>
        </is>
      </c>
      <c r="J37" s="235" t="inlineStr">
        <is>
          <t>Enable the identification of the immediate mother entity</t>
        </is>
      </c>
      <c r="K37" s="231" t="inlineStr">
        <is>
          <t>ND</t>
        </is>
      </c>
      <c r="L37" s="236" t="inlineStr">
        <is>
          <t>ND</t>
        </is>
      </c>
      <c r="M37" s="1417" t="inlineStr">
        <is>
          <t>NA</t>
        </is>
      </c>
      <c r="N37" s="231" t="inlineStr">
        <is>
          <t>Facultatif</t>
        </is>
      </c>
      <c r="O37" s="236" t="inlineStr">
        <is>
          <t>Optional</t>
        </is>
      </c>
      <c r="P37" s="206" t="inlineStr">
        <is>
          <t>NA</t>
        </is>
      </c>
      <c r="Q37" s="206" t="inlineStr">
        <is>
          <t>NA</t>
        </is>
      </c>
      <c r="R37" s="234" t="inlineStr">
        <is>
          <t xml:space="preserve">Identifiant de l'entreprise mère immédiate correspondant à l'Identifiant Central du Tiers (IDTCA) présent dans le référentiel Tiers &amp; Groupes
- Si le tiers représente une succursale d'un établissement dont le siège social à l'étranger (et connu de Tiers et Groupe) alors :
    C1 4.30 = identifiant IDTCA du siège social (ou maison mère) à l'étranger 
    C1 4.31 = 1
- Si le tiers appartient à un groupe dont le parent immédiat existe (et connu de Tiers et Groupe) alors on renseigne :
    C1 4.30 = identifiant IDTCA du parent immédiat 
    C1 4.31 = 0
Remarque : dans certains cas, le parent immédiat peut être l'ECU
- Sinon, ne pas renseigner l'Identifiant de l'entreprise mère immédiate et l'Indicateur Maison mère identifiée
</t>
        </is>
      </c>
      <c r="S37" s="235" t="inlineStr">
        <is>
          <t xml:space="preserve">The Immediate parent undertaking identifier corresponding to the IDTCA of the counterparty in the referential ‘Counterparties &amp; Groups'
- If the client of the FTCA represents a branch of a credit insititution whose head office is abroad (and known of the process T&amp;G), then:
    C10430 = Identifier IDTCA of the head office (or mother entity) abroad
    C10431 = 1
- If the client of the FTCA is part of a Groupe whose immediate parent exists (and known of the process T&amp;G) then:
    C10430 = Identifier IDTCA of the immediate parent 
    C10431 = 0
Note : in some cases, the immediate parent may be the ECU
- If none of the mis known, the field C10430 remains empty
</t>
        </is>
      </c>
      <c r="T37" s="206" t="inlineStr">
        <is>
          <t>ALPHA</t>
        </is>
      </c>
      <c r="U37" s="259" t="inlineStr">
        <is>
          <t>NA</t>
        </is>
      </c>
      <c r="V37" s="260" t="inlineStr">
        <is>
          <t>NA</t>
        </is>
      </c>
      <c r="W37" s="231" t="n">
        <v>10</v>
      </c>
      <c r="X37" s="231" t="inlineStr">
        <is>
          <t>NA</t>
        </is>
      </c>
      <c r="Y37" s="239" t="n">
        <v>42</v>
      </c>
      <c r="Z37" s="239" t="inlineStr">
        <is>
          <t>NA</t>
        </is>
      </c>
      <c r="AA37" s="239" t="inlineStr">
        <is>
          <t>NA</t>
        </is>
      </c>
      <c r="AB37" s="231" t="inlineStr">
        <is>
          <t>ANACREDIT</t>
        </is>
      </c>
      <c r="AC37" s="231" t="inlineStr">
        <is>
          <t>ND</t>
        </is>
      </c>
      <c r="AD37" s="231" t="inlineStr">
        <is>
          <t>N</t>
        </is>
      </c>
      <c r="AE37" s="231" t="inlineStr">
        <is>
          <t>NA</t>
        </is>
      </c>
      <c r="AF37" s="231" t="inlineStr">
        <is>
          <t>NA</t>
        </is>
      </c>
      <c r="AG37" s="212" t="inlineStr">
        <is>
          <t>NA</t>
        </is>
      </c>
      <c r="AH37" s="89" t="n"/>
      <c r="AI37" s="204" t="n"/>
      <c r="AJ37" s="205" t="n"/>
      <c r="AK37" s="206" t="n"/>
      <c r="AL37" s="207" t="n"/>
      <c r="AM37" s="205" t="n"/>
      <c r="AN37" s="213" t="n"/>
      <c r="AO37" s="206" t="n"/>
      <c r="AP37" s="207" t="n"/>
      <c r="AQ37" s="205" t="n"/>
      <c r="AR37" s="213" t="n"/>
      <c r="AS37" s="206" t="n"/>
      <c r="AT37" s="207" t="n"/>
      <c r="AU37" s="210" t="n"/>
      <c r="AV37" s="211" t="n"/>
      <c r="AW37" s="206" t="n"/>
      <c r="AX37" s="207" t="n"/>
      <c r="AY37" s="205" t="n"/>
      <c r="AZ37" s="213" t="n"/>
      <c r="BA37" s="206" t="n"/>
      <c r="BB37" s="207" t="n"/>
      <c r="BC37" s="204" t="n"/>
      <c r="BD37" s="213" t="n"/>
      <c r="BE37" s="206" t="n"/>
      <c r="BF37" s="207" t="n"/>
      <c r="BH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7">
        <f>_xlfn.LET(r,ROW(),oc,INDEX($A:$A,r),cv,TRIM(INDEX($Y:$Y,r)&amp;""),IF(oc&lt;&gt;"P1","",IF(cv="45","V45 - novo, nao alimentado pelo spool atual","V44 - alimentado pelo spool atual")))</f>
        <v/>
      </c>
    </row>
    <row r="38" ht="54" customHeight="1">
      <c r="A38" s="230" t="inlineStr">
        <is>
          <t>C1</t>
        </is>
      </c>
      <c r="B38" s="231" t="n">
        <v>20</v>
      </c>
      <c r="C38" s="269" t="inlineStr">
        <is>
          <t>16 - Identification Tiers</t>
        </is>
      </c>
      <c r="D38" s="236" t="inlineStr">
        <is>
          <t>16 - Third party identification</t>
        </is>
      </c>
      <c r="E38" s="206" t="inlineStr">
        <is>
          <t>C1 4.31</t>
        </is>
      </c>
      <c r="F38" s="234" t="inlineStr">
        <is>
          <t>Maison Mère Identifiée</t>
        </is>
      </c>
      <c r="G38" s="235" t="inlineStr">
        <is>
          <t>Head Office Identifier</t>
        </is>
      </c>
      <c r="H38" s="235" t="n"/>
      <c r="I38" s="234" t="inlineStr">
        <is>
          <t>Permet d'identifier si le tiers est la maison mère</t>
        </is>
      </c>
      <c r="J38" s="235" t="inlineStr">
        <is>
          <t>Enable the identification of the mother entity</t>
        </is>
      </c>
      <c r="K38" s="231" t="inlineStr">
        <is>
          <t>ND</t>
        </is>
      </c>
      <c r="L38" s="236" t="inlineStr">
        <is>
          <t>ND</t>
        </is>
      </c>
      <c r="M38" s="1417" t="inlineStr">
        <is>
          <t>NA</t>
        </is>
      </c>
      <c r="N38" s="231" t="inlineStr">
        <is>
          <t>Facultatif</t>
        </is>
      </c>
      <c r="O38" s="236" t="inlineStr">
        <is>
          <t>Optional</t>
        </is>
      </c>
      <c r="P38" s="206" t="inlineStr">
        <is>
          <t>LC.0302</t>
        </is>
      </c>
      <c r="Q38" s="206" t="inlineStr">
        <is>
          <t>TA KVMAMEID</t>
        </is>
      </c>
      <c r="R38" s="234" t="inlineStr">
        <is>
          <t>Indicateur 0 ou 1 permettant de préciser que le tiers déclaré est maison mère</t>
        </is>
      </c>
      <c r="S38" s="235" t="inlineStr">
        <is>
          <t>Value 0 or 1 aiming at precising if the counterparty is the mother entity</t>
        </is>
      </c>
      <c r="T38" s="206" t="inlineStr">
        <is>
          <t>ALPHA</t>
        </is>
      </c>
      <c r="U38" s="259" t="inlineStr">
        <is>
          <t>NA</t>
        </is>
      </c>
      <c r="V38" s="260" t="inlineStr">
        <is>
          <t>NA</t>
        </is>
      </c>
      <c r="W38" s="231" t="n">
        <v>1</v>
      </c>
      <c r="X38" s="231" t="inlineStr">
        <is>
          <t>NA</t>
        </is>
      </c>
      <c r="Y38" s="239" t="n">
        <v>42</v>
      </c>
      <c r="Z38" s="239" t="inlineStr">
        <is>
          <t>NA</t>
        </is>
      </c>
      <c r="AA38" s="239" t="inlineStr">
        <is>
          <t>NA</t>
        </is>
      </c>
      <c r="AB38" s="231" t="inlineStr">
        <is>
          <t>ANACREDIT</t>
        </is>
      </c>
      <c r="AC38" s="231" t="inlineStr">
        <is>
          <t>ND</t>
        </is>
      </c>
      <c r="AD38" s="231" t="inlineStr">
        <is>
          <t>N</t>
        </is>
      </c>
      <c r="AE38" s="231" t="inlineStr">
        <is>
          <t>NA</t>
        </is>
      </c>
      <c r="AF38" s="231" t="inlineStr">
        <is>
          <t>NA</t>
        </is>
      </c>
      <c r="AG38" s="212" t="inlineStr">
        <is>
          <t>NA</t>
        </is>
      </c>
      <c r="AH38" s="89" t="n"/>
      <c r="AI38" s="204" t="n"/>
      <c r="AJ38" s="205" t="n"/>
      <c r="AK38" s="206" t="n"/>
      <c r="AL38" s="207" t="n"/>
      <c r="AM38" s="205" t="n"/>
      <c r="AN38" s="213" t="n"/>
      <c r="AO38" s="206" t="n"/>
      <c r="AP38" s="207" t="n"/>
      <c r="AQ38" s="205" t="n"/>
      <c r="AR38" s="213" t="n"/>
      <c r="AS38" s="206" t="n"/>
      <c r="AT38" s="207" t="n"/>
      <c r="AU38" s="210" t="n"/>
      <c r="AV38" s="211" t="n"/>
      <c r="AW38" s="206" t="n"/>
      <c r="AX38" s="207" t="n"/>
      <c r="AY38" s="205" t="n"/>
      <c r="AZ38" s="213" t="n"/>
      <c r="BA38" s="206" t="n"/>
      <c r="BB38" s="207" t="n"/>
      <c r="BC38" s="204" t="n"/>
      <c r="BD38" s="213" t="n"/>
      <c r="BE38" s="206" t="n"/>
      <c r="BF38" s="207" t="n"/>
      <c r="BH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8">
        <f>_xlfn.LET(r,ROW(),oc,INDEX($A:$A,r),cv,TRIM(INDEX($Y:$Y,r)&amp;""),IF(oc&lt;&gt;"P1","",IF(cv="45","V45 - novo, nao alimentado pelo spool atual","V44 - alimentado pelo spool atual")))</f>
        <v/>
      </c>
    </row>
    <row r="39" ht="54" customHeight="1">
      <c r="A39" s="230" t="inlineStr">
        <is>
          <t>C1</t>
        </is>
      </c>
      <c r="B39" s="231" t="n">
        <v>21</v>
      </c>
      <c r="C39" s="269" t="inlineStr">
        <is>
          <t>16 - Identification Tiers</t>
        </is>
      </c>
      <c r="D39" s="236" t="inlineStr">
        <is>
          <t>16 - Third party identification</t>
        </is>
      </c>
      <c r="E39" s="206" t="inlineStr">
        <is>
          <t>C1 4.32</t>
        </is>
      </c>
      <c r="F39" s="234" t="inlineStr">
        <is>
          <t>Adresse : département/division administrative (NUTS)</t>
        </is>
      </c>
      <c r="G39" s="235" t="inlineStr">
        <is>
          <t>Address: department/administrative division (NUTS)</t>
        </is>
      </c>
      <c r="H39" s="235" t="n"/>
      <c r="I39" s="234" t="inlineStr">
        <is>
          <t>Permet d'identifier le département du tiers</t>
        </is>
      </c>
      <c r="J39" s="235" t="inlineStr">
        <is>
          <t>Enable the identification of the administrative area of the counterparty</t>
        </is>
      </c>
      <c r="K39" s="231" t="inlineStr">
        <is>
          <t>ND</t>
        </is>
      </c>
      <c r="L39" s="236" t="inlineStr">
        <is>
          <t>ND</t>
        </is>
      </c>
      <c r="M39" s="1417" t="inlineStr">
        <is>
          <t>NA</t>
        </is>
      </c>
      <c r="N39" s="231" t="inlineStr">
        <is>
          <t>Facultatif</t>
        </is>
      </c>
      <c r="O39" s="236" t="inlineStr">
        <is>
          <t>Optional</t>
        </is>
      </c>
      <c r="P39" s="206" t="inlineStr">
        <is>
          <t>LC.0265</t>
        </is>
      </c>
      <c r="Q39" s="206" t="inlineStr">
        <is>
          <t>TA NMNUTS</t>
        </is>
      </c>
      <c r="R39" s="234" t="inlineStr">
        <is>
          <t>NA</t>
        </is>
      </c>
      <c r="S39" s="235" t="inlineStr">
        <is>
          <t>NA</t>
        </is>
      </c>
      <c r="T39" s="206" t="inlineStr">
        <is>
          <t>ALPHA</t>
        </is>
      </c>
      <c r="U39" s="259" t="inlineStr">
        <is>
          <t>NA</t>
        </is>
      </c>
      <c r="V39" s="260" t="inlineStr">
        <is>
          <t>NA</t>
        </is>
      </c>
      <c r="W39" s="231" t="n">
        <v>5</v>
      </c>
      <c r="X39" s="231" t="inlineStr">
        <is>
          <t>NA</t>
        </is>
      </c>
      <c r="Y39" s="239" t="n">
        <v>42</v>
      </c>
      <c r="Z39" s="239" t="inlineStr">
        <is>
          <t>NA</t>
        </is>
      </c>
      <c r="AA39" s="239" t="inlineStr">
        <is>
          <t>NA</t>
        </is>
      </c>
      <c r="AB39" s="231" t="inlineStr">
        <is>
          <t>ANACREDIT</t>
        </is>
      </c>
      <c r="AC39" s="231" t="inlineStr">
        <is>
          <t>ND</t>
        </is>
      </c>
      <c r="AD39" s="231" t="inlineStr">
        <is>
          <t>N</t>
        </is>
      </c>
      <c r="AE39" s="231" t="inlineStr">
        <is>
          <t>NA</t>
        </is>
      </c>
      <c r="AF39" s="231" t="inlineStr">
        <is>
          <t>NA</t>
        </is>
      </c>
      <c r="AG39" s="212" t="inlineStr">
        <is>
          <t>NA</t>
        </is>
      </c>
      <c r="AH39" s="89" t="n"/>
      <c r="AI39" s="204" t="n"/>
      <c r="AJ39" s="205" t="n"/>
      <c r="AK39" s="206" t="n"/>
      <c r="AL39" s="207" t="n"/>
      <c r="AM39" s="205" t="n"/>
      <c r="AN39" s="213" t="n"/>
      <c r="AO39" s="206" t="n"/>
      <c r="AP39" s="207" t="n"/>
      <c r="AQ39" s="205" t="n"/>
      <c r="AR39" s="213" t="n"/>
      <c r="AS39" s="206" t="n"/>
      <c r="AT39" s="207" t="n"/>
      <c r="AU39" s="210" t="n"/>
      <c r="AV39" s="211" t="n"/>
      <c r="AW39" s="206" t="n"/>
      <c r="AX39" s="207" t="n"/>
      <c r="AY39" s="205" t="n"/>
      <c r="AZ39" s="213" t="n"/>
      <c r="BA39" s="206" t="n"/>
      <c r="BB39" s="207" t="n"/>
      <c r="BC39" s="204" t="n"/>
      <c r="BD39" s="213" t="n"/>
      <c r="BE39" s="206" t="n"/>
      <c r="BF39" s="207" t="n"/>
      <c r="BH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9">
        <f>_xlfn.LET(r,ROW(),oc,INDEX($A:$A,r),cv,TRIM(INDEX($Y:$Y,r)&amp;""),IF(oc&lt;&gt;"P1","",IF(cv="45","V45 - novo, nao alimentado pelo spool atual","V44 - alimentado pelo spool atual")))</f>
        <v/>
      </c>
    </row>
    <row r="40" ht="54" customHeight="1">
      <c r="A40" s="230" t="inlineStr">
        <is>
          <t>C1</t>
        </is>
      </c>
      <c r="B40" s="231" t="n">
        <v>22</v>
      </c>
      <c r="C40" s="269" t="inlineStr">
        <is>
          <t>16 - Identification Tiers</t>
        </is>
      </c>
      <c r="D40" s="236" t="inlineStr">
        <is>
          <t>16 - Third party identification</t>
        </is>
      </c>
      <c r="E40" s="206" t="inlineStr">
        <is>
          <t>C1 4.33</t>
        </is>
      </c>
      <c r="F40" s="234" t="inlineStr">
        <is>
          <t>État d'avancement des procédures judiciaires</t>
        </is>
      </c>
      <c r="G40" s="235" t="inlineStr">
        <is>
          <t>Status of legal Proceeding</t>
        </is>
      </c>
      <c r="H40" s="235" t="n"/>
      <c r="I40" s="234" t="inlineStr">
        <is>
          <t>Permet d'identifier si une procédure judiciaire est en cours</t>
        </is>
      </c>
      <c r="J40" s="235" t="inlineStr">
        <is>
          <t>Enable to indicate if a legal procedure is ongoing</t>
        </is>
      </c>
      <c r="K40" s="231" t="inlineStr">
        <is>
          <t>ND</t>
        </is>
      </c>
      <c r="L40" s="236" t="inlineStr">
        <is>
          <t>ND</t>
        </is>
      </c>
      <c r="M40" s="1417" t="inlineStr">
        <is>
          <t>NA</t>
        </is>
      </c>
      <c r="N40" s="231" t="inlineStr">
        <is>
          <t>Facultatif</t>
        </is>
      </c>
      <c r="O40" s="236" t="inlineStr">
        <is>
          <t>Optional</t>
        </is>
      </c>
      <c r="P40" s="206" t="inlineStr">
        <is>
          <t>LC.0226</t>
        </is>
      </c>
      <c r="Q40" s="206" t="inlineStr">
        <is>
          <t>TA KVINPROC</t>
        </is>
      </c>
      <c r="R40" s="234" t="inlineStr">
        <is>
          <t>NA</t>
        </is>
      </c>
      <c r="S40" s="235" t="inlineStr">
        <is>
          <t>NA</t>
        </is>
      </c>
      <c r="T40" s="206" t="inlineStr">
        <is>
          <t>ALPHA</t>
        </is>
      </c>
      <c r="U40" s="259" t="inlineStr">
        <is>
          <t>NA</t>
        </is>
      </c>
      <c r="V40" s="260" t="inlineStr">
        <is>
          <t>NA</t>
        </is>
      </c>
      <c r="W40" s="231" t="n">
        <v>1</v>
      </c>
      <c r="X40" s="231" t="inlineStr">
        <is>
          <t>NA</t>
        </is>
      </c>
      <c r="Y40" s="239" t="n">
        <v>42</v>
      </c>
      <c r="Z40" s="239" t="inlineStr">
        <is>
          <t>NA</t>
        </is>
      </c>
      <c r="AA40" s="239" t="inlineStr">
        <is>
          <t>NA</t>
        </is>
      </c>
      <c r="AB40" s="231" t="inlineStr">
        <is>
          <t>ANACREDIT</t>
        </is>
      </c>
      <c r="AC40" s="231" t="inlineStr">
        <is>
          <t>ND</t>
        </is>
      </c>
      <c r="AD40" s="231" t="inlineStr">
        <is>
          <t>N</t>
        </is>
      </c>
      <c r="AE40" s="231" t="inlineStr">
        <is>
          <t>NA</t>
        </is>
      </c>
      <c r="AF40" s="231" t="inlineStr">
        <is>
          <t>NA</t>
        </is>
      </c>
      <c r="AG40" s="212" t="inlineStr">
        <is>
          <t>NA</t>
        </is>
      </c>
      <c r="AH40" s="89" t="n"/>
      <c r="AI40" s="204" t="n"/>
      <c r="AJ40" s="205" t="n"/>
      <c r="AK40" s="206" t="n"/>
      <c r="AL40" s="207" t="n"/>
      <c r="AM40" s="205" t="n"/>
      <c r="AN40" s="213" t="n"/>
      <c r="AO40" s="206" t="n"/>
      <c r="AP40" s="207" t="n"/>
      <c r="AQ40" s="205" t="n"/>
      <c r="AR40" s="213" t="n"/>
      <c r="AS40" s="206" t="n"/>
      <c r="AT40" s="207" t="n"/>
      <c r="AU40" s="210" t="n"/>
      <c r="AV40" s="211" t="n"/>
      <c r="AW40" s="206" t="n"/>
      <c r="AX40" s="207" t="n"/>
      <c r="AY40" s="205" t="n"/>
      <c r="AZ40" s="213" t="n"/>
      <c r="BA40" s="206" t="n"/>
      <c r="BB40" s="207" t="n"/>
      <c r="BC40" s="204" t="n"/>
      <c r="BD40" s="213" t="n"/>
      <c r="BE40" s="206" t="n"/>
      <c r="BF40" s="207" t="n"/>
      <c r="BH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0">
        <f>_xlfn.LET(r,ROW(),oc,INDEX($A:$A,r),cv,TRIM(INDEX($Y:$Y,r)&amp;""),IF(oc&lt;&gt;"P1","",IF(cv="45","V45 - novo, nao alimentado pelo spool atual","V44 - alimentado pelo spool atual")))</f>
        <v/>
      </c>
    </row>
    <row r="41" ht="54" customHeight="1">
      <c r="A41" s="230" t="inlineStr">
        <is>
          <t>C1</t>
        </is>
      </c>
      <c r="B41" s="231" t="n">
        <v>23</v>
      </c>
      <c r="C41" s="269" t="inlineStr">
        <is>
          <t>16 - Identification Tiers</t>
        </is>
      </c>
      <c r="D41" s="236" t="inlineStr">
        <is>
          <t>16 - Third party identification</t>
        </is>
      </c>
      <c r="E41" s="206" t="inlineStr">
        <is>
          <t>C1 4.34</t>
        </is>
      </c>
      <c r="F41" s="234" t="inlineStr">
        <is>
          <t>Date d'ouverture de la procédure judiciaire</t>
        </is>
      </c>
      <c r="G41" s="235" t="inlineStr">
        <is>
          <t>Date of initiation of legal proceedings</t>
        </is>
      </c>
      <c r="H41" s="235" t="n"/>
      <c r="I41" s="234" t="inlineStr">
        <is>
          <t>Informe sur la date de début de cette procédure</t>
        </is>
      </c>
      <c r="J41" s="235" t="inlineStr">
        <is>
          <t>Indicate the original date of the legal procedure</t>
        </is>
      </c>
      <c r="K41" s="231" t="inlineStr">
        <is>
          <t>ND</t>
        </is>
      </c>
      <c r="L41" s="236" t="inlineStr">
        <is>
          <t>ND</t>
        </is>
      </c>
      <c r="M41" s="1417" t="inlineStr">
        <is>
          <t>NA</t>
        </is>
      </c>
      <c r="N41" s="231" t="inlineStr">
        <is>
          <t>Obligatoire</t>
        </is>
      </c>
      <c r="O41" s="236" t="inlineStr">
        <is>
          <t>Mandatory</t>
        </is>
      </c>
      <c r="P41" s="206" t="inlineStr">
        <is>
          <t>NA</t>
        </is>
      </c>
      <c r="Q41" s="206" t="inlineStr">
        <is>
          <t>NA</t>
        </is>
      </c>
      <c r="R41" s="234" t="inlineStr">
        <is>
          <t xml:space="preserve">Si la valeur du champ « Etat d'avancement des procédures judiciaires » est différente de 0 ou 1 alors date obligatoire sinon le champ doit rester à vide
</t>
        </is>
      </c>
      <c r="S41" s="235" t="inlineStr">
        <is>
          <t xml:space="preserve">Mandatory where status of legal proceeding different from 0 or 1 </t>
        </is>
      </c>
      <c r="T41" s="206" t="inlineStr">
        <is>
          <t>DATE</t>
        </is>
      </c>
      <c r="U41" s="237" t="inlineStr">
        <is>
          <t>AAAAMMJJ</t>
        </is>
      </c>
      <c r="V41" s="238" t="inlineStr">
        <is>
          <t>YYYYMMDD</t>
        </is>
      </c>
      <c r="W41" s="231" t="n">
        <v>8</v>
      </c>
      <c r="X41" s="231" t="inlineStr">
        <is>
          <t>NA</t>
        </is>
      </c>
      <c r="Y41" s="239" t="n">
        <v>42</v>
      </c>
      <c r="Z41" s="239" t="inlineStr">
        <is>
          <t>NA</t>
        </is>
      </c>
      <c r="AA41" s="237" t="inlineStr">
        <is>
          <t>NA</t>
        </is>
      </c>
      <c r="AB41" s="231" t="inlineStr">
        <is>
          <t>ANACREDIT</t>
        </is>
      </c>
      <c r="AC41" s="231" t="inlineStr">
        <is>
          <t>ND</t>
        </is>
      </c>
      <c r="AD41" s="231" t="inlineStr">
        <is>
          <t>N</t>
        </is>
      </c>
      <c r="AE41" s="231" t="inlineStr">
        <is>
          <t>NA</t>
        </is>
      </c>
      <c r="AF41" s="231" t="inlineStr">
        <is>
          <t>NA</t>
        </is>
      </c>
      <c r="AG41" s="212" t="inlineStr">
        <is>
          <t>NA</t>
        </is>
      </c>
      <c r="AH41" s="89" t="n"/>
      <c r="AI41" s="204" t="n"/>
      <c r="AJ41" s="205" t="n"/>
      <c r="AK41" s="206" t="n"/>
      <c r="AL41" s="207" t="n"/>
      <c r="AM41" s="205" t="n"/>
      <c r="AN41" s="213" t="n"/>
      <c r="AO41" s="206" t="n"/>
      <c r="AP41" s="207" t="n"/>
      <c r="AQ41" s="205" t="n"/>
      <c r="AR41" s="213" t="n"/>
      <c r="AS41" s="206" t="n"/>
      <c r="AT41" s="207" t="n"/>
      <c r="AU41" s="210" t="n"/>
      <c r="AV41" s="211" t="n"/>
      <c r="AW41" s="206" t="n"/>
      <c r="AX41" s="207" t="n"/>
      <c r="AY41" s="205" t="n"/>
      <c r="AZ41" s="213" t="n"/>
      <c r="BA41" s="206" t="n"/>
      <c r="BB41" s="207" t="n"/>
      <c r="BC41" s="204" t="n"/>
      <c r="BD41" s="213" t="n"/>
      <c r="BE41" s="206" t="n"/>
      <c r="BF41" s="207" t="n"/>
      <c r="BH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1">
        <f>_xlfn.LET(r,ROW(),oc,INDEX($A:$A,r),cv,TRIM(INDEX($Y:$Y,r)&amp;""),IF(oc&lt;&gt;"P1","",IF(cv="45","V45 - novo, nao alimentado pelo spool atual","V44 - alimentado pelo spool atual")))</f>
        <v/>
      </c>
    </row>
    <row r="42" ht="54" customHeight="1">
      <c r="A42" s="230" t="inlineStr">
        <is>
          <t>C1</t>
        </is>
      </c>
      <c r="B42" s="231" t="n">
        <v>24</v>
      </c>
      <c r="C42" s="269" t="inlineStr">
        <is>
          <t>16 - Identification Tiers</t>
        </is>
      </c>
      <c r="D42" s="236" t="inlineStr">
        <is>
          <t>16 - Third party identification</t>
        </is>
      </c>
      <c r="E42" s="206" t="inlineStr">
        <is>
          <t>C1 4.35</t>
        </is>
      </c>
      <c r="F42" s="234" t="inlineStr">
        <is>
          <t>Nombre de salariés</t>
        </is>
      </c>
      <c r="G42" s="235" t="inlineStr">
        <is>
          <t>Number of employees</t>
        </is>
      </c>
      <c r="H42" s="235" t="n"/>
      <c r="I42" s="234" t="inlineStr">
        <is>
          <t>Informe sur le nombre de salariés de l'entreprise</t>
        </is>
      </c>
      <c r="J42" s="235" t="inlineStr">
        <is>
          <t>Indicate the number of employees</t>
        </is>
      </c>
      <c r="K42" s="231" t="inlineStr">
        <is>
          <t>ND</t>
        </is>
      </c>
      <c r="L42" s="236" t="inlineStr">
        <is>
          <t>ND</t>
        </is>
      </c>
      <c r="M42" s="1417" t="inlineStr">
        <is>
          <t>NA</t>
        </is>
      </c>
      <c r="N42" s="231" t="inlineStr">
        <is>
          <t>Facultatif</t>
        </is>
      </c>
      <c r="O42" s="236" t="inlineStr">
        <is>
          <t>Optional</t>
        </is>
      </c>
      <c r="P42" s="206" t="inlineStr">
        <is>
          <t>NA</t>
        </is>
      </c>
      <c r="Q42" s="206" t="inlineStr">
        <is>
          <t>NA</t>
        </is>
      </c>
      <c r="R42" s="234" t="inlineStr">
        <is>
          <t>NA</t>
        </is>
      </c>
      <c r="S42" s="235" t="inlineStr">
        <is>
          <t>NA</t>
        </is>
      </c>
      <c r="T42" s="206" t="inlineStr">
        <is>
          <t>ALPHA</t>
        </is>
      </c>
      <c r="U42" s="259" t="inlineStr">
        <is>
          <t>NA</t>
        </is>
      </c>
      <c r="V42" s="260" t="inlineStr">
        <is>
          <t>NA</t>
        </is>
      </c>
      <c r="W42" s="231" t="n">
        <v>6</v>
      </c>
      <c r="X42" s="231" t="inlineStr">
        <is>
          <t>NA</t>
        </is>
      </c>
      <c r="Y42" s="239" t="n">
        <v>42</v>
      </c>
      <c r="Z42" s="239" t="inlineStr">
        <is>
          <t>NA</t>
        </is>
      </c>
      <c r="AA42" s="239" t="inlineStr">
        <is>
          <t>NA</t>
        </is>
      </c>
      <c r="AB42" s="231" t="inlineStr">
        <is>
          <t>ANACREDIT</t>
        </is>
      </c>
      <c r="AC42" s="231" t="inlineStr">
        <is>
          <t>ND</t>
        </is>
      </c>
      <c r="AD42" s="231" t="inlineStr">
        <is>
          <t>N</t>
        </is>
      </c>
      <c r="AE42" s="231" t="inlineStr">
        <is>
          <t>NA</t>
        </is>
      </c>
      <c r="AF42" s="231" t="inlineStr">
        <is>
          <t>NA</t>
        </is>
      </c>
      <c r="AG42" s="212" t="inlineStr">
        <is>
          <t>NA</t>
        </is>
      </c>
      <c r="AH42" s="89" t="n"/>
      <c r="AI42" s="204" t="n"/>
      <c r="AJ42" s="205" t="n"/>
      <c r="AK42" s="206" t="n"/>
      <c r="AL42" s="207" t="n"/>
      <c r="AM42" s="205" t="n"/>
      <c r="AN42" s="213" t="n"/>
      <c r="AO42" s="206" t="n"/>
      <c r="AP42" s="207" t="n"/>
      <c r="AQ42" s="205" t="n"/>
      <c r="AR42" s="213" t="n"/>
      <c r="AS42" s="206" t="n"/>
      <c r="AT42" s="207" t="n"/>
      <c r="AU42" s="210" t="n"/>
      <c r="AV42" s="211" t="n"/>
      <c r="AW42" s="206" t="n"/>
      <c r="AX42" s="207" t="n"/>
      <c r="AY42" s="205" t="n"/>
      <c r="AZ42" s="213" t="n"/>
      <c r="BA42" s="206" t="n"/>
      <c r="BB42" s="207" t="n"/>
      <c r="BC42" s="204" t="n"/>
      <c r="BD42" s="213" t="n"/>
      <c r="BE42" s="206" t="n"/>
      <c r="BF42" s="207" t="n"/>
      <c r="BH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2">
        <f>_xlfn.LET(r,ROW(),oc,INDEX($A:$A,r),cv,TRIM(INDEX($Y:$Y,r)&amp;""),IF(oc&lt;&gt;"P1","",IF(cv="45","V45 - novo, nao alimentado pelo spool atual","V44 - alimentado pelo spool atual")))</f>
        <v/>
      </c>
    </row>
    <row r="43" ht="54" customHeight="1">
      <c r="A43" s="230" t="inlineStr">
        <is>
          <t>C1</t>
        </is>
      </c>
      <c r="B43" s="231" t="n">
        <v>25</v>
      </c>
      <c r="C43" s="269" t="inlineStr">
        <is>
          <t>16 - Identification Tiers</t>
        </is>
      </c>
      <c r="D43" s="236" t="inlineStr">
        <is>
          <t>16 - Third party identification</t>
        </is>
      </c>
      <c r="E43" s="206" t="inlineStr">
        <is>
          <t>C1 4.40</t>
        </is>
      </c>
      <c r="F43" s="234" t="inlineStr">
        <is>
          <t>Indicateur CEL (Corporate Leveraged)</t>
        </is>
      </c>
      <c r="G43" s="261" t="inlineStr">
        <is>
          <t>Corporate Leveraged indicator</t>
        </is>
      </c>
      <c r="H43" s="261" t="n"/>
      <c r="I43" s="234" t="inlineStr">
        <is>
          <t>Cette valeur permet d'identifier un tiers pour lequel un financement à effet de levier est en place</t>
        </is>
      </c>
      <c r="J43" s="262" t="inlineStr">
        <is>
          <t>This criteria identifies the counterpart leveraged</t>
        </is>
      </c>
      <c r="K43" s="239" t="inlineStr">
        <is>
          <t>ND</t>
        </is>
      </c>
      <c r="L43" s="263" t="inlineStr">
        <is>
          <t>ND</t>
        </is>
      </c>
      <c r="M43" s="1418" t="inlineStr">
        <is>
          <t>NA</t>
        </is>
      </c>
      <c r="N43" s="231" t="inlineStr">
        <is>
          <t>Obligatoire</t>
        </is>
      </c>
      <c r="O43" s="236" t="inlineStr">
        <is>
          <t>Mandatory</t>
        </is>
      </c>
      <c r="P43" s="206" t="inlineStr">
        <is>
          <t>NA</t>
        </is>
      </c>
      <c r="Q43" s="206" t="inlineStr">
        <is>
          <t>NA</t>
        </is>
      </c>
      <c r="R43" s="234" t="inlineStr">
        <is>
          <t>Donnée sous responsabilité du RUN.
Si renseigné, les valeurs autorisées sont : 
- 0 : " Pas de financements à effet de levier pour ce tiers" 
- 1 : " Tiers déclaré à effet de levier"</t>
        </is>
      </c>
      <c r="S43" s="235" t="inlineStr">
        <is>
          <t>Data owned by the «RUN»
Value 0 or 1 aiming at precising if the counterparty is leveraged : 
- 0: "No leveraged transaction for this counterparty"
- 1: "Leveraged counterparty"</t>
        </is>
      </c>
      <c r="T43" s="206" t="inlineStr">
        <is>
          <t>ALPHA</t>
        </is>
      </c>
      <c r="U43" s="264" t="inlineStr">
        <is>
          <t>NA</t>
        </is>
      </c>
      <c r="V43" s="265" t="inlineStr">
        <is>
          <t>NA</t>
        </is>
      </c>
      <c r="W43" s="231" t="n">
        <v>1</v>
      </c>
      <c r="X43" s="231" t="inlineStr">
        <is>
          <t>NA</t>
        </is>
      </c>
      <c r="Y43" s="239" t="n">
        <v>43</v>
      </c>
      <c r="Z43" s="239" t="inlineStr">
        <is>
          <t>NA</t>
        </is>
      </c>
      <c r="AA43" s="239" t="inlineStr">
        <is>
          <t>NA</t>
        </is>
      </c>
      <c r="AB43" s="231" t="inlineStr">
        <is>
          <t>FEL</t>
        </is>
      </c>
      <c r="AC43" s="231" t="inlineStr">
        <is>
          <t>ND</t>
        </is>
      </c>
      <c r="AD43" s="231" t="inlineStr">
        <is>
          <t>N</t>
        </is>
      </c>
      <c r="AE43" s="257" t="inlineStr">
        <is>
          <t>NA</t>
        </is>
      </c>
      <c r="AF43" s="257" t="inlineStr">
        <is>
          <t>NA</t>
        </is>
      </c>
      <c r="AG43" s="258" t="inlineStr">
        <is>
          <t>NA</t>
        </is>
      </c>
      <c r="AH43" s="89" t="n"/>
      <c r="AI43" s="204" t="n"/>
      <c r="AJ43" s="205" t="n"/>
      <c r="AK43" s="206" t="n"/>
      <c r="AL43" s="207" t="n"/>
      <c r="AM43" s="205" t="n"/>
      <c r="AN43" s="213" t="n"/>
      <c r="AO43" s="206" t="n"/>
      <c r="AP43" s="207" t="n"/>
      <c r="AQ43" s="205" t="n"/>
      <c r="AR43" s="213" t="n"/>
      <c r="AS43" s="206" t="n"/>
      <c r="AT43" s="207" t="n"/>
      <c r="AU43" s="210" t="n"/>
      <c r="AV43" s="211" t="n"/>
      <c r="AW43" s="206" t="n"/>
      <c r="AX43" s="207" t="n"/>
      <c r="AY43" s="205" t="n"/>
      <c r="AZ43" s="213" t="n"/>
      <c r="BA43" s="206" t="n"/>
      <c r="BB43" s="207" t="n"/>
      <c r="BC43" s="204" t="n"/>
      <c r="BD43" s="213" t="n"/>
      <c r="BE43" s="206" t="n"/>
      <c r="BF43" s="207" t="n"/>
      <c r="BH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3">
        <f>_xlfn.LET(r,ROW(),oc,INDEX($A:$A,r),cv,TRIM(INDEX($Y:$Y,r)&amp;""),IF(oc&lt;&gt;"P1","",IF(cv="45","V45 - novo, nao alimentado pelo spool atual","V44 - alimentado pelo spool atual")))</f>
        <v/>
      </c>
    </row>
    <row r="44" ht="54" customHeight="1">
      <c r="A44" s="230" t="inlineStr">
        <is>
          <t>C1</t>
        </is>
      </c>
      <c r="B44" s="231" t="n">
        <v>26</v>
      </c>
      <c r="C44" s="269" t="inlineStr">
        <is>
          <t>16 - Identification Tiers</t>
        </is>
      </c>
      <c r="D44" s="236" t="inlineStr">
        <is>
          <t>16 - Third party identification</t>
        </is>
      </c>
      <c r="E44" s="206" t="inlineStr">
        <is>
          <t>C1 4.41</t>
        </is>
      </c>
      <c r="F44" s="234" t="inlineStr">
        <is>
          <t>Niveau d'intégration groupe du tiers</t>
        </is>
      </c>
      <c r="G44" s="235" t="inlineStr">
        <is>
          <t>Group Integration degree</t>
        </is>
      </c>
      <c r="H44" s="235" t="n"/>
      <c r="I44" s="234" t="inlineStr">
        <is>
          <t>Cette donnée permet de définir le soutien financier de la maison mère à sa filiale</t>
        </is>
      </c>
      <c r="J44" s="235" t="inlineStr">
        <is>
          <t xml:space="preserve">This criteria defines the support of the group to the subsidiary </t>
        </is>
      </c>
      <c r="K44" s="231" t="inlineStr">
        <is>
          <t>ND</t>
        </is>
      </c>
      <c r="L44" s="236" t="inlineStr">
        <is>
          <t>ND</t>
        </is>
      </c>
      <c r="M44" s="1417" t="inlineStr">
        <is>
          <t>NA</t>
        </is>
      </c>
      <c r="N44" s="231" t="inlineStr">
        <is>
          <t>Obligatoire</t>
        </is>
      </c>
      <c r="O44" s="236" t="inlineStr">
        <is>
          <t>Mandatory</t>
        </is>
      </c>
      <c r="P44" s="206" t="inlineStr">
        <is>
          <t>LC.0304</t>
        </is>
      </c>
      <c r="Q44" s="206" t="inlineStr">
        <is>
          <t>TA KVNIVITG</t>
        </is>
      </c>
      <c r="R44" s="234" t="inlineStr">
        <is>
          <t>Donnée sous responsabilité du RUN</t>
        </is>
      </c>
      <c r="S44" s="235" t="inlineStr">
        <is>
          <t>Data owned by the «RUN»</t>
        </is>
      </c>
      <c r="T44" s="206" t="inlineStr">
        <is>
          <t>ALPHA</t>
        </is>
      </c>
      <c r="U44" s="264" t="inlineStr">
        <is>
          <t>NA</t>
        </is>
      </c>
      <c r="V44" s="265" t="inlineStr">
        <is>
          <t>NA</t>
        </is>
      </c>
      <c r="W44" s="231" t="n">
        <v>1</v>
      </c>
      <c r="X44" s="231" t="inlineStr">
        <is>
          <t>NA</t>
        </is>
      </c>
      <c r="Y44" s="239" t="n">
        <v>43</v>
      </c>
      <c r="Z44" s="239" t="inlineStr">
        <is>
          <t>NA</t>
        </is>
      </c>
      <c r="AA44" s="237" t="inlineStr">
        <is>
          <t>NA</t>
        </is>
      </c>
      <c r="AB44" s="231" t="inlineStr">
        <is>
          <t>FEL</t>
        </is>
      </c>
      <c r="AC44" s="231" t="inlineStr">
        <is>
          <t>ND</t>
        </is>
      </c>
      <c r="AD44" s="231" t="inlineStr">
        <is>
          <t>N</t>
        </is>
      </c>
      <c r="AE44" s="257" t="inlineStr">
        <is>
          <t>NA</t>
        </is>
      </c>
      <c r="AF44" s="257" t="inlineStr">
        <is>
          <t>NA</t>
        </is>
      </c>
      <c r="AG44" s="258" t="inlineStr">
        <is>
          <t>NA</t>
        </is>
      </c>
      <c r="AH44" s="89" t="n"/>
      <c r="AI44" s="204" t="n"/>
      <c r="AJ44" s="205" t="n"/>
      <c r="AK44" s="206" t="n"/>
      <c r="AL44" s="207" t="n"/>
      <c r="AM44" s="205" t="n"/>
      <c r="AN44" s="213" t="n"/>
      <c r="AO44" s="206" t="n"/>
      <c r="AP44" s="207" t="n"/>
      <c r="AQ44" s="205" t="n"/>
      <c r="AR44" s="213" t="n"/>
      <c r="AS44" s="206" t="n"/>
      <c r="AT44" s="207" t="n"/>
      <c r="AU44" s="210" t="n"/>
      <c r="AV44" s="211" t="n"/>
      <c r="AW44" s="206" t="n"/>
      <c r="AX44" s="207" t="n"/>
      <c r="AY44" s="205" t="n"/>
      <c r="AZ44" s="213" t="n"/>
      <c r="BA44" s="206" t="n"/>
      <c r="BB44" s="207" t="n"/>
      <c r="BC44" s="204" t="n"/>
      <c r="BD44" s="213" t="n"/>
      <c r="BE44" s="206" t="n"/>
      <c r="BF44" s="207" t="n"/>
      <c r="BH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4">
        <f>_xlfn.LET(r,ROW(),oc,INDEX($A:$A,r),cv,TRIM(INDEX($Y:$Y,r)&amp;""),IF(oc&lt;&gt;"P1","",IF(cv="45","V45 - novo, nao alimentado pelo spool atual","V44 - alimentado pelo spool atual")))</f>
        <v/>
      </c>
    </row>
    <row r="45" ht="54" customHeight="1">
      <c r="A45" s="230" t="inlineStr">
        <is>
          <t>C1</t>
        </is>
      </c>
      <c r="B45" s="231" t="n">
        <v>27</v>
      </c>
      <c r="C45" s="269" t="inlineStr">
        <is>
          <t>16 - Identification Tiers</t>
        </is>
      </c>
      <c r="D45" s="236" t="inlineStr">
        <is>
          <t>16 - Third party identification</t>
        </is>
      </c>
      <c r="E45" s="206" t="inlineStr">
        <is>
          <t>C1 4.42</t>
        </is>
      </c>
      <c r="F45" s="234" t="inlineStr">
        <is>
          <t>Indicateur OPCVM à effet de levier</t>
        </is>
      </c>
      <c r="G45" s="235" t="inlineStr">
        <is>
          <t>Leveraged FUNDS indicator</t>
        </is>
      </c>
      <c r="H45" s="235" t="n"/>
      <c r="I45" s="234" t="inlineStr">
        <is>
          <t>Permet d'identifier les fonds à effet de levier</t>
        </is>
      </c>
      <c r="J45" s="235" t="inlineStr">
        <is>
          <t xml:space="preserve">This criteria identifies the leveraged FUNDS </t>
        </is>
      </c>
      <c r="K45" s="231" t="inlineStr">
        <is>
          <t>ND</t>
        </is>
      </c>
      <c r="L45" s="236" t="inlineStr">
        <is>
          <t>ND</t>
        </is>
      </c>
      <c r="M45" s="1417" t="inlineStr">
        <is>
          <t>NA</t>
        </is>
      </c>
      <c r="N45" s="231" t="inlineStr">
        <is>
          <t>Obligatoire</t>
        </is>
      </c>
      <c r="O45" s="236" t="inlineStr">
        <is>
          <t>Mandatory</t>
        </is>
      </c>
      <c r="P45" s="206" t="inlineStr">
        <is>
          <t>LC.0321</t>
        </is>
      </c>
      <c r="Q45" s="206" t="inlineStr">
        <is>
          <t>TA KVIOPCEL</t>
        </is>
      </c>
      <c r="R45" s="234" t="inlineStr">
        <is>
          <t>La donnée concerne les catégories de contreparties MCG31, MCG32, MCG41, MCG42, MCG43 et MCG44
Donnée sous responsabilité du RUN</t>
        </is>
      </c>
      <c r="S45" s="235" t="inlineStr">
        <is>
          <t>This data aims to precising if the FUNDS is leveraged for the following counterparties categories MCG31, MGC32, MCG41, MCG42, MCG43 and MCG44
Data owned by the «RUN»</t>
        </is>
      </c>
      <c r="T45" s="206" t="inlineStr">
        <is>
          <t>ALPHA</t>
        </is>
      </c>
      <c r="U45" s="264" t="inlineStr">
        <is>
          <t>NA</t>
        </is>
      </c>
      <c r="V45" s="265" t="inlineStr">
        <is>
          <t>NA</t>
        </is>
      </c>
      <c r="W45" s="231" t="n">
        <v>1</v>
      </c>
      <c r="X45" s="231" t="inlineStr">
        <is>
          <t>NA</t>
        </is>
      </c>
      <c r="Y45" s="239" t="n">
        <v>43</v>
      </c>
      <c r="Z45" s="239" t="inlineStr">
        <is>
          <t>NA</t>
        </is>
      </c>
      <c r="AA45" s="237" t="inlineStr">
        <is>
          <t>NA</t>
        </is>
      </c>
      <c r="AB45" s="231" t="inlineStr">
        <is>
          <t>FEL</t>
        </is>
      </c>
      <c r="AC45" s="231" t="inlineStr">
        <is>
          <t>ND</t>
        </is>
      </c>
      <c r="AD45" s="231" t="inlineStr">
        <is>
          <t>N</t>
        </is>
      </c>
      <c r="AE45" s="257" t="inlineStr">
        <is>
          <t>NA</t>
        </is>
      </c>
      <c r="AF45" s="257" t="inlineStr">
        <is>
          <t>NA</t>
        </is>
      </c>
      <c r="AG45" s="258" t="inlineStr">
        <is>
          <t>NA</t>
        </is>
      </c>
      <c r="AH45" s="89" t="n"/>
      <c r="AI45" s="204" t="n"/>
      <c r="AJ45" s="205" t="n"/>
      <c r="AK45" s="206" t="n"/>
      <c r="AL45" s="207" t="n"/>
      <c r="AM45" s="205" t="n"/>
      <c r="AN45" s="213" t="n"/>
      <c r="AO45" s="206" t="n"/>
      <c r="AP45" s="207" t="n"/>
      <c r="AQ45" s="205" t="n"/>
      <c r="AR45" s="213" t="n"/>
      <c r="AS45" s="206" t="n"/>
      <c r="AT45" s="207" t="n"/>
      <c r="AU45" s="210" t="n"/>
      <c r="AV45" s="211" t="n"/>
      <c r="AW45" s="206" t="n"/>
      <c r="AX45" s="207" t="n"/>
      <c r="AY45" s="205" t="n"/>
      <c r="AZ45" s="213" t="n"/>
      <c r="BA45" s="206" t="n"/>
      <c r="BB45" s="207" t="n"/>
      <c r="BC45" s="204" t="n"/>
      <c r="BD45" s="213" t="n"/>
      <c r="BE45" s="206" t="n"/>
      <c r="BF45" s="207" t="n"/>
      <c r="BH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5">
        <f>_xlfn.LET(r,ROW(),oc,INDEX($A:$A,r),cv,TRIM(INDEX($Y:$Y,r)&amp;""),IF(oc&lt;&gt;"P1","",IF(cv="45","V45 - novo, nao alimentado pelo spool atual","V44 - alimentado pelo spool atual")))</f>
        <v/>
      </c>
    </row>
    <row r="46" ht="54" customHeight="1">
      <c r="A46" s="230" t="inlineStr">
        <is>
          <t>C1</t>
        </is>
      </c>
      <c r="B46" s="231" t="n">
        <v>28</v>
      </c>
      <c r="C46" s="269" t="inlineStr">
        <is>
          <t>16 - Identification Tiers</t>
        </is>
      </c>
      <c r="D46" s="236" t="inlineStr">
        <is>
          <t>16 - Third party identification</t>
        </is>
      </c>
      <c r="E46" s="206" t="inlineStr">
        <is>
          <t>C1 4.43</t>
        </is>
      </c>
      <c r="F46" s="234" t="inlineStr">
        <is>
          <t>Typologie du fonds OPCVM</t>
        </is>
      </c>
      <c r="G46" s="235" t="inlineStr">
        <is>
          <t>FUNDS categories</t>
        </is>
      </c>
      <c r="H46" s="235" t="n"/>
      <c r="I46" s="234" t="inlineStr">
        <is>
          <t>Permet de renseigner la typologie du fonds</t>
        </is>
      </c>
      <c r="J46" s="235" t="inlineStr">
        <is>
          <t>This criteria identifies the FUNDS categories</t>
        </is>
      </c>
      <c r="K46" s="231" t="inlineStr">
        <is>
          <t>ND</t>
        </is>
      </c>
      <c r="L46" s="236" t="inlineStr">
        <is>
          <t>ND</t>
        </is>
      </c>
      <c r="M46" s="1417" t="inlineStr">
        <is>
          <t>NA</t>
        </is>
      </c>
      <c r="N46" s="231" t="inlineStr">
        <is>
          <t>Obligatoire</t>
        </is>
      </c>
      <c r="O46" s="236" t="inlineStr">
        <is>
          <t>Mandatory</t>
        </is>
      </c>
      <c r="P46" s="206" t="inlineStr">
        <is>
          <t>LC.0320</t>
        </is>
      </c>
      <c r="Q46" s="206" t="inlineStr">
        <is>
          <t>TA KVCLASFD</t>
        </is>
      </c>
      <c r="R46" s="234" t="inlineStr">
        <is>
          <t>Obligatoire si l'entité est RUN du tiers et si la catégorie de contrepartie du fonds est MCG31, MCG32, MCG41, MCG42, MCG43 et MCG44
Donnée sous responsabilité du RUN</t>
        </is>
      </c>
      <c r="S46" s="235" t="inlineStr">
        <is>
          <t>Mandatory if the entity is the RUN of the counterparty and the fund's counterparty category is MCG31, MCG32, MCG41, MCG42, MCG43 and MCG44
Data owned by the «RUN»</t>
        </is>
      </c>
      <c r="T46" s="206" t="inlineStr">
        <is>
          <t>ALPHA</t>
        </is>
      </c>
      <c r="U46" s="264" t="inlineStr">
        <is>
          <t>NA</t>
        </is>
      </c>
      <c r="V46" s="265" t="inlineStr">
        <is>
          <t>NA</t>
        </is>
      </c>
      <c r="W46" s="231" t="n">
        <v>4</v>
      </c>
      <c r="X46" s="231" t="inlineStr">
        <is>
          <t>NA</t>
        </is>
      </c>
      <c r="Y46" s="239" t="n">
        <v>43</v>
      </c>
      <c r="Z46" s="239" t="inlineStr">
        <is>
          <t>NA</t>
        </is>
      </c>
      <c r="AA46" s="237" t="inlineStr">
        <is>
          <t>NA</t>
        </is>
      </c>
      <c r="AB46" s="231" t="inlineStr">
        <is>
          <t>TIGRE</t>
        </is>
      </c>
      <c r="AC46" s="231" t="inlineStr">
        <is>
          <t>ND</t>
        </is>
      </c>
      <c r="AD46" s="231" t="inlineStr">
        <is>
          <t>N</t>
        </is>
      </c>
      <c r="AE46" s="257" t="inlineStr">
        <is>
          <t>NA</t>
        </is>
      </c>
      <c r="AF46" s="257" t="inlineStr">
        <is>
          <t>NA</t>
        </is>
      </c>
      <c r="AG46" s="258" t="inlineStr">
        <is>
          <t>NA</t>
        </is>
      </c>
      <c r="AH46" s="89" t="n"/>
      <c r="AI46" s="204" t="n"/>
      <c r="AJ46" s="205" t="n"/>
      <c r="AK46" s="206" t="n"/>
      <c r="AL46" s="207" t="n"/>
      <c r="AM46" s="205" t="n"/>
      <c r="AN46" s="213" t="n"/>
      <c r="AO46" s="206" t="n"/>
      <c r="AP46" s="207" t="n"/>
      <c r="AQ46" s="205" t="n"/>
      <c r="AR46" s="213" t="n"/>
      <c r="AS46" s="206" t="n"/>
      <c r="AT46" s="207" t="n"/>
      <c r="AU46" s="210" t="n"/>
      <c r="AV46" s="211" t="n"/>
      <c r="AW46" s="206" t="n"/>
      <c r="AX46" s="207" t="n"/>
      <c r="AY46" s="205" t="n"/>
      <c r="AZ46" s="213" t="n"/>
      <c r="BA46" s="206" t="n"/>
      <c r="BB46" s="207" t="n"/>
      <c r="BC46" s="204" t="n"/>
      <c r="BD46" s="213" t="n"/>
      <c r="BE46" s="206" t="n"/>
      <c r="BF46" s="207" t="n"/>
      <c r="BH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6">
        <f>_xlfn.LET(r,ROW(),oc,INDEX($A:$A,r),cv,TRIM(INDEX($Y:$Y,r)&amp;""),IF(oc&lt;&gt;"P1","",IF(cv="45","V45 - novo, nao alimentado pelo spool atual","V44 - alimentado pelo spool atual")))</f>
        <v/>
      </c>
    </row>
    <row r="47" ht="54" customHeight="1">
      <c r="A47" s="230" t="inlineStr">
        <is>
          <t>C1</t>
        </is>
      </c>
      <c r="B47" s="231" t="n">
        <v>29</v>
      </c>
      <c r="C47" s="269" t="inlineStr">
        <is>
          <t>16 - Identification Tiers</t>
        </is>
      </c>
      <c r="D47" s="236" t="inlineStr">
        <is>
          <t>16 - Third party identification</t>
        </is>
      </c>
      <c r="E47" s="206" t="inlineStr">
        <is>
          <t>C1 4.44</t>
        </is>
      </c>
      <c r="F47" s="234" t="inlineStr">
        <is>
          <t>Agent économique</t>
        </is>
      </c>
      <c r="G47" s="235" t="inlineStr">
        <is>
          <t>Economic Agent</t>
        </is>
      </c>
      <c r="H47" s="235" t="n"/>
      <c r="I47" s="234" t="inlineStr">
        <is>
          <t>Identifie le code de l'agent économique FINREP</t>
        </is>
      </c>
      <c r="J47" s="235" t="inlineStr">
        <is>
          <t>Relates to the FINREP Economic Agent codes</t>
        </is>
      </c>
      <c r="K47" s="231" t="inlineStr">
        <is>
          <t>ND</t>
        </is>
      </c>
      <c r="L47" s="236" t="inlineStr">
        <is>
          <t>ND</t>
        </is>
      </c>
      <c r="M47" s="1417" t="inlineStr">
        <is>
          <t>NA</t>
        </is>
      </c>
      <c r="N47" s="231" t="inlineStr">
        <is>
          <t>Obligatoire</t>
        </is>
      </c>
      <c r="O47" s="236" t="inlineStr">
        <is>
          <t>Mandatory</t>
        </is>
      </c>
      <c r="P47" s="206" t="inlineStr">
        <is>
          <t>LC.0323</t>
        </is>
      </c>
      <c r="Q47" s="206" t="inlineStr">
        <is>
          <t>TA H8AESTAT</t>
        </is>
      </c>
      <c r="R47" s="234" t="inlineStr">
        <is>
          <t>Donnée sous responsabilité du RUN</t>
        </is>
      </c>
      <c r="S47" s="235" t="inlineStr">
        <is>
          <t>Data owned by the «RUN»</t>
        </is>
      </c>
      <c r="T47" s="206" t="inlineStr">
        <is>
          <t>ALPHA</t>
        </is>
      </c>
      <c r="U47" s="264" t="inlineStr">
        <is>
          <t>NA</t>
        </is>
      </c>
      <c r="V47" s="265" t="inlineStr">
        <is>
          <t>NA</t>
        </is>
      </c>
      <c r="W47" s="231" t="n">
        <v>6</v>
      </c>
      <c r="X47" s="231" t="inlineStr">
        <is>
          <t>NA</t>
        </is>
      </c>
      <c r="Y47" s="239" t="n">
        <v>43</v>
      </c>
      <c r="Z47" s="239" t="inlineStr">
        <is>
          <t>NA</t>
        </is>
      </c>
      <c r="AA47" s="237" t="inlineStr">
        <is>
          <t>NA</t>
        </is>
      </c>
      <c r="AB47" s="942" t="inlineStr">
        <is>
          <t>TIGRE</t>
        </is>
      </c>
      <c r="AC47" s="231" t="inlineStr">
        <is>
          <t>ND</t>
        </is>
      </c>
      <c r="AD47" s="231" t="inlineStr">
        <is>
          <t>N</t>
        </is>
      </c>
      <c r="AE47" s="257" t="inlineStr">
        <is>
          <t>NA</t>
        </is>
      </c>
      <c r="AF47" s="257" t="inlineStr">
        <is>
          <t>NA</t>
        </is>
      </c>
      <c r="AG47" s="258" t="inlineStr">
        <is>
          <t>NA</t>
        </is>
      </c>
      <c r="AH47" s="89" t="n"/>
      <c r="AI47" s="204" t="n"/>
      <c r="AJ47" s="205" t="n"/>
      <c r="AK47" s="206" t="n"/>
      <c r="AL47" s="207" t="n"/>
      <c r="AM47" s="205" t="n"/>
      <c r="AN47" s="213" t="n"/>
      <c r="AO47" s="206" t="n"/>
      <c r="AP47" s="207" t="n"/>
      <c r="AQ47" s="205" t="n"/>
      <c r="AR47" s="213" t="n"/>
      <c r="AS47" s="206" t="n"/>
      <c r="AT47" s="207" t="n"/>
      <c r="AU47" s="210" t="n"/>
      <c r="AV47" s="211" t="n"/>
      <c r="AW47" s="206" t="n"/>
      <c r="AX47" s="207" t="n"/>
      <c r="AY47" s="205" t="n"/>
      <c r="AZ47" s="213" t="n"/>
      <c r="BA47" s="206" t="n"/>
      <c r="BB47" s="207" t="n"/>
      <c r="BC47" s="204" t="n"/>
      <c r="BD47" s="213" t="n"/>
      <c r="BE47" s="206" t="n"/>
      <c r="BF47" s="207" t="n"/>
      <c r="BH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7">
        <f>_xlfn.LET(r,ROW(),oc,INDEX($A:$A,r),cv,TRIM(INDEX($Y:$Y,r)&amp;""),IF(oc&lt;&gt;"P1","",IF(cv="45","V45 - novo, nao alimentado pelo spool atual","V44 - alimentado pelo spool atual")))</f>
        <v/>
      </c>
    </row>
    <row r="48" ht="54" customFormat="1" customHeight="1" s="54">
      <c r="A48" s="243" t="inlineStr">
        <is>
          <t>C1</t>
        </is>
      </c>
      <c r="B48" s="244" t="n">
        <v>30</v>
      </c>
      <c r="C48" s="284" t="inlineStr">
        <is>
          <t>NA</t>
        </is>
      </c>
      <c r="D48" s="244" t="inlineStr">
        <is>
          <t>NA</t>
        </is>
      </c>
      <c r="E48" s="246" t="inlineStr">
        <is>
          <t>C1 4.45</t>
        </is>
      </c>
      <c r="F48" s="247" t="inlineStr">
        <is>
          <t>Type d'identifiant national BCE</t>
        </is>
      </c>
      <c r="G48" s="247" t="inlineStr">
        <is>
          <t>Type d'identifiant national BCE</t>
        </is>
      </c>
      <c r="H48" s="247" t="n"/>
      <c r="I48" s="247" t="inlineStr">
        <is>
          <t>Identification du type d'identifiant National selon la norme BCE</t>
        </is>
      </c>
      <c r="J48" s="247" t="inlineStr">
        <is>
          <t>Identification of the National identifier type according to the BCE standard</t>
        </is>
      </c>
      <c r="K48" s="244" t="inlineStr">
        <is>
          <t>NA</t>
        </is>
      </c>
      <c r="L48" s="244" t="inlineStr">
        <is>
          <t>NA</t>
        </is>
      </c>
      <c r="M48" s="1408" t="inlineStr">
        <is>
          <t>NA</t>
        </is>
      </c>
      <c r="N48" s="244" t="inlineStr">
        <is>
          <t>NA</t>
        </is>
      </c>
      <c r="O48" s="244" t="inlineStr">
        <is>
          <t>NA</t>
        </is>
      </c>
      <c r="P48" s="246" t="inlineStr">
        <is>
          <t>LC.0356</t>
        </is>
      </c>
      <c r="Q48" s="246" t="inlineStr">
        <is>
          <t>TA Z8TIDBCE</t>
        </is>
      </c>
      <c r="R48" s="247" t="inlineStr">
        <is>
          <t>Concerne tous les tiers dont le pays de résidence fiscal est hors de France. Des types d'identifiants nationaux sont donnés pour 41 pays hors de France (AT, BE, BG, BR, CA, CH, CN, CY, CZ, DE, DK, EE, ES, FI, GB, GR, HK, IE, IN, IT, JP, LT, LU, LV, MC, MH, MT, MX, NL, NO, PL, PT, RO, RU, SE, SI, SK, TR, US,HR, HU) et pour les autres un code générique est prévu</t>
        </is>
      </c>
      <c r="S48" s="247" t="inlineStr">
        <is>
          <t>Concerns all third parties whose country of tax residence is outside France. National identifier types are given for 41 countries outside of France (AT, BE, BG, BR, CA, CH, CN, CY, CZ, DE, DK, EE, ES, FI, GB, GR, HK, IE , IN, IT, JP, LT, LU, LV, MC, MH, MT, MX, NL, NO, PL, PT, RO, RU, SE, SI, SK, TR, US, HR, HU) and for others a generic code is provided</t>
        </is>
      </c>
      <c r="T48" s="246" t="inlineStr">
        <is>
          <t>ALPHA</t>
        </is>
      </c>
      <c r="U48" s="266" t="inlineStr">
        <is>
          <t>NA</t>
        </is>
      </c>
      <c r="V48" s="266" t="inlineStr">
        <is>
          <t>NA</t>
        </is>
      </c>
      <c r="W48" s="244" t="n">
        <v>4</v>
      </c>
      <c r="X48" s="244" t="inlineStr">
        <is>
          <t>NA</t>
        </is>
      </c>
      <c r="Y48" s="249" t="inlineStr">
        <is>
          <t>NA</t>
        </is>
      </c>
      <c r="Z48" s="249" t="n">
        <v>43</v>
      </c>
      <c r="AA48" s="249" t="inlineStr">
        <is>
          <t>NA</t>
        </is>
      </c>
      <c r="AB48" s="244" t="inlineStr">
        <is>
          <t>ANACREDIT</t>
        </is>
      </c>
      <c r="AC48" s="244" t="inlineStr">
        <is>
          <t>NA</t>
        </is>
      </c>
      <c r="AD48" s="244" t="inlineStr">
        <is>
          <t>N</t>
        </is>
      </c>
      <c r="AE48" s="244" t="inlineStr">
        <is>
          <t>NA</t>
        </is>
      </c>
      <c r="AF48" s="244" t="inlineStr">
        <is>
          <t>NA</t>
        </is>
      </c>
      <c r="AG48" s="250" t="inlineStr">
        <is>
          <t>NA</t>
        </is>
      </c>
      <c r="AH48" s="89" t="n"/>
      <c r="AI48" s="251" t="n"/>
      <c r="AJ48" s="252" t="n"/>
      <c r="AK48" s="246" t="n"/>
      <c r="AL48" s="253" t="n"/>
      <c r="AM48" s="252" t="n"/>
      <c r="AN48" s="252" t="n"/>
      <c r="AO48" s="246" t="n"/>
      <c r="AP48" s="253" t="n"/>
      <c r="AQ48" s="252" t="n"/>
      <c r="AR48" s="252" t="n"/>
      <c r="AS48" s="246" t="n"/>
      <c r="AT48" s="253" t="n"/>
      <c r="AU48" s="254" t="n"/>
      <c r="AV48" s="254" t="n"/>
      <c r="AW48" s="246" t="n"/>
      <c r="AX48" s="253" t="n"/>
      <c r="AY48" s="252" t="n"/>
      <c r="AZ48" s="252" t="n"/>
      <c r="BA48" s="246" t="n"/>
      <c r="BB48" s="253" t="n"/>
      <c r="BC48" s="251" t="n"/>
      <c r="BD48" s="252" t="n"/>
      <c r="BE48" s="246" t="n"/>
      <c r="BF48" s="253" t="n"/>
      <c r="BH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8">
        <f>_xlfn.LET(r,ROW(),oc,INDEX($A:$A,r),cv,TRIM(INDEX($Y:$Y,r)&amp;""),IF(oc&lt;&gt;"P1","",IF(cv="45","V45 - novo, nao alimentado pelo spool atual","V44 - alimentado pelo spool atual")))</f>
        <v/>
      </c>
    </row>
    <row r="49" ht="54" customFormat="1" customHeight="1" s="54">
      <c r="A49" s="243" t="inlineStr">
        <is>
          <t>C1</t>
        </is>
      </c>
      <c r="B49" s="244" t="n">
        <v>31</v>
      </c>
      <c r="C49" s="284" t="inlineStr">
        <is>
          <t>NA</t>
        </is>
      </c>
      <c r="D49" s="244" t="inlineStr">
        <is>
          <t>NA</t>
        </is>
      </c>
      <c r="E49" s="246" t="inlineStr">
        <is>
          <t>C1 4.46</t>
        </is>
      </c>
      <c r="F49" s="247" t="inlineStr">
        <is>
          <t>Valeur de l'identifiant national BCE</t>
        </is>
      </c>
      <c r="G49" s="247" t="inlineStr">
        <is>
          <t>Valeur de l'identifiant national BCE</t>
        </is>
      </c>
      <c r="H49" s="247" t="n"/>
      <c r="I49" s="247" t="inlineStr">
        <is>
          <t>Valeur de l'identifiant national associé au type d'identifiant national</t>
        </is>
      </c>
      <c r="J49" s="247" t="inlineStr">
        <is>
          <t>Value of the national identifier associated with the type of national identifier</t>
        </is>
      </c>
      <c r="K49" s="244" t="inlineStr">
        <is>
          <t>NA</t>
        </is>
      </c>
      <c r="L49" s="244" t="inlineStr">
        <is>
          <t>NA</t>
        </is>
      </c>
      <c r="M49" s="1408" t="inlineStr">
        <is>
          <t>NA</t>
        </is>
      </c>
      <c r="N49" s="244" t="inlineStr">
        <is>
          <t>NA</t>
        </is>
      </c>
      <c r="O49" s="244" t="inlineStr">
        <is>
          <t>NA</t>
        </is>
      </c>
      <c r="P49" s="246" t="inlineStr">
        <is>
          <t>NA</t>
        </is>
      </c>
      <c r="Q49" s="246" t="inlineStr">
        <is>
          <t>NA</t>
        </is>
      </c>
      <c r="R49" s="247" t="inlineStr">
        <is>
          <t>Concerne tous les tiers dont le pays de résidence fiscal est hors de France</t>
        </is>
      </c>
      <c r="S49" s="247" t="inlineStr">
        <is>
          <t>Concerns all third parties whose country of tax residence is outside France</t>
        </is>
      </c>
      <c r="T49" s="246" t="inlineStr">
        <is>
          <t>ALPHA</t>
        </is>
      </c>
      <c r="U49" s="266" t="inlineStr">
        <is>
          <t>NA</t>
        </is>
      </c>
      <c r="V49" s="266" t="inlineStr">
        <is>
          <t>NA</t>
        </is>
      </c>
      <c r="W49" s="244" t="n">
        <v>21</v>
      </c>
      <c r="X49" s="244" t="inlineStr">
        <is>
          <t>NA</t>
        </is>
      </c>
      <c r="Y49" s="249" t="inlineStr">
        <is>
          <t>NA</t>
        </is>
      </c>
      <c r="Z49" s="249" t="n">
        <v>43</v>
      </c>
      <c r="AA49" s="249" t="inlineStr">
        <is>
          <t>NA</t>
        </is>
      </c>
      <c r="AB49" s="244" t="inlineStr">
        <is>
          <t>ANACREDIT</t>
        </is>
      </c>
      <c r="AC49" s="244" t="inlineStr">
        <is>
          <t>NA</t>
        </is>
      </c>
      <c r="AD49" s="244" t="inlineStr">
        <is>
          <t>N</t>
        </is>
      </c>
      <c r="AE49" s="244" t="inlineStr">
        <is>
          <t>NA</t>
        </is>
      </c>
      <c r="AF49" s="244" t="inlineStr">
        <is>
          <t>NA</t>
        </is>
      </c>
      <c r="AG49" s="250" t="inlineStr">
        <is>
          <t>NA</t>
        </is>
      </c>
      <c r="AH49" s="89" t="n"/>
      <c r="AI49" s="251" t="n"/>
      <c r="AJ49" s="252" t="n"/>
      <c r="AK49" s="246" t="n"/>
      <c r="AL49" s="253" t="n"/>
      <c r="AM49" s="252" t="n"/>
      <c r="AN49" s="252" t="n"/>
      <c r="AO49" s="246" t="n"/>
      <c r="AP49" s="253" t="n"/>
      <c r="AQ49" s="252" t="n"/>
      <c r="AR49" s="252" t="n"/>
      <c r="AS49" s="246" t="n"/>
      <c r="AT49" s="253" t="n"/>
      <c r="AU49" s="254" t="n"/>
      <c r="AV49" s="254" t="n"/>
      <c r="AW49" s="246" t="n"/>
      <c r="AX49" s="253" t="n"/>
      <c r="AY49" s="252" t="n"/>
      <c r="AZ49" s="252" t="n"/>
      <c r="BA49" s="246" t="n"/>
      <c r="BB49" s="253" t="n"/>
      <c r="BC49" s="251" t="n"/>
      <c r="BD49" s="252" t="n"/>
      <c r="BE49" s="246" t="n"/>
      <c r="BF49" s="253" t="n"/>
      <c r="BH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9">
        <f>_xlfn.LET(r,ROW(),oc,INDEX($A:$A,r),cv,TRIM(INDEX($Y:$Y,r)&amp;""),IF(oc&lt;&gt;"P1","",IF(cv="45","V45 - novo, nao alimentado pelo spool atual","V44 - alimentado pelo spool atual")))</f>
        <v/>
      </c>
    </row>
    <row r="50" ht="54" customHeight="1">
      <c r="A50" s="230" t="inlineStr">
        <is>
          <t>C1</t>
        </is>
      </c>
      <c r="B50" s="231" t="n">
        <v>32</v>
      </c>
      <c r="C50" s="269" t="inlineStr">
        <is>
          <t>16 - Identification Tiers</t>
        </is>
      </c>
      <c r="D50" s="236" t="inlineStr">
        <is>
          <t>16 - Third party identification</t>
        </is>
      </c>
      <c r="E50" s="206" t="inlineStr">
        <is>
          <t>C1 4.47</t>
        </is>
      </c>
      <c r="F50" s="234" t="inlineStr">
        <is>
          <t>Forme juridique BCE du tiers</t>
        </is>
      </c>
      <c r="G50" s="235" t="inlineStr">
        <is>
          <t>Third Party ECB Legal Form</t>
        </is>
      </c>
      <c r="H50" s="235" t="n"/>
      <c r="I50" s="234" t="inlineStr">
        <is>
          <t>Décrit la forme juridique BCE du tiers en UE</t>
        </is>
      </c>
      <c r="J50" s="235" t="inlineStr">
        <is>
          <t>Describes the ECB legal form of third parties outside France in the EU</t>
        </is>
      </c>
      <c r="K50" s="231" t="inlineStr">
        <is>
          <t>ND</t>
        </is>
      </c>
      <c r="L50" s="236" t="inlineStr">
        <is>
          <t>ND</t>
        </is>
      </c>
      <c r="M50" s="1417" t="inlineStr">
        <is>
          <t>NA</t>
        </is>
      </c>
      <c r="N50" s="231" t="inlineStr">
        <is>
          <t>Facultatif</t>
        </is>
      </c>
      <c r="O50" s="236" t="inlineStr">
        <is>
          <t>Optional</t>
        </is>
      </c>
      <c r="P50" s="206" t="inlineStr">
        <is>
          <t>LC.0357</t>
        </is>
      </c>
      <c r="Q50" s="206" t="inlineStr">
        <is>
          <t>TA Z8FJUBCE</t>
        </is>
      </c>
      <c r="R50" s="234" t="inlineStr">
        <is>
          <t>Concerne tous les tiers dont le pays de résidence fiscal est hors de France et dans l'UE. Des formes juridiques génériques peuvent être utilisées pour les autres pays
Donnée sous responsabilité du RUN</t>
        </is>
      </c>
      <c r="S50" s="235" t="inlineStr">
        <is>
          <t>Concerns all third parties whose country of tax residence is outside France and in the EU. Generic legal forms can be used for other countries
Data owned by the «RUN»</t>
        </is>
      </c>
      <c r="T50" s="206" t="inlineStr">
        <is>
          <t>ALPHA</t>
        </is>
      </c>
      <c r="U50" s="264" t="inlineStr">
        <is>
          <t>NA</t>
        </is>
      </c>
      <c r="V50" s="265" t="inlineStr">
        <is>
          <t>NA</t>
        </is>
      </c>
      <c r="W50" s="231" t="n">
        <v>6</v>
      </c>
      <c r="X50" s="231" t="inlineStr">
        <is>
          <t>NA</t>
        </is>
      </c>
      <c r="Y50" s="239" t="n">
        <v>43</v>
      </c>
      <c r="Z50" s="239" t="inlineStr">
        <is>
          <t>NA</t>
        </is>
      </c>
      <c r="AA50" s="239" t="inlineStr">
        <is>
          <t>NA</t>
        </is>
      </c>
      <c r="AB50" s="231" t="inlineStr">
        <is>
          <t>ANACREDIT</t>
        </is>
      </c>
      <c r="AC50" s="231" t="inlineStr">
        <is>
          <t>ND</t>
        </is>
      </c>
      <c r="AD50" s="231" t="inlineStr">
        <is>
          <t>N</t>
        </is>
      </c>
      <c r="AE50" s="257" t="inlineStr">
        <is>
          <t>NA</t>
        </is>
      </c>
      <c r="AF50" s="257" t="inlineStr">
        <is>
          <t>NA</t>
        </is>
      </c>
      <c r="AG50" s="258" t="inlineStr">
        <is>
          <t>NA</t>
        </is>
      </c>
      <c r="AH50" s="89" t="n"/>
      <c r="AI50" s="204" t="n"/>
      <c r="AJ50" s="205" t="n"/>
      <c r="AK50" s="206" t="n"/>
      <c r="AL50" s="207" t="n"/>
      <c r="AM50" s="205" t="n"/>
      <c r="AN50" s="213" t="n"/>
      <c r="AO50" s="206" t="n"/>
      <c r="AP50" s="207" t="n"/>
      <c r="AQ50" s="205" t="n"/>
      <c r="AR50" s="213" t="n"/>
      <c r="AS50" s="206" t="n"/>
      <c r="AT50" s="207" t="n"/>
      <c r="AU50" s="210" t="n"/>
      <c r="AV50" s="211" t="n"/>
      <c r="AW50" s="206" t="n"/>
      <c r="AX50" s="207" t="n"/>
      <c r="AY50" s="205" t="n"/>
      <c r="AZ50" s="213" t="n"/>
      <c r="BA50" s="206" t="n"/>
      <c r="BB50" s="207" t="n"/>
      <c r="BC50" s="204" t="n"/>
      <c r="BD50" s="213" t="n"/>
      <c r="BE50" s="206" t="n"/>
      <c r="BF50" s="207" t="n"/>
      <c r="BH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0">
        <f>_xlfn.LET(r,ROW(),oc,INDEX($A:$A,r),cv,TRIM(INDEX($Y:$Y,r)&amp;""),IF(oc&lt;&gt;"P1","",IF(cv="45","V45 - novo, nao alimentado pelo spool atual","V44 - alimentado pelo spool atual")))</f>
        <v/>
      </c>
    </row>
    <row r="51" ht="54" customFormat="1" customHeight="1" s="54">
      <c r="A51" s="243" t="inlineStr">
        <is>
          <t>C1</t>
        </is>
      </c>
      <c r="B51" s="244" t="n">
        <v>33</v>
      </c>
      <c r="C51" s="284" t="inlineStr">
        <is>
          <t>NA</t>
        </is>
      </c>
      <c r="D51" s="244" t="inlineStr">
        <is>
          <t>NA</t>
        </is>
      </c>
      <c r="E51" s="246" t="inlineStr">
        <is>
          <t>C1 2.98</t>
        </is>
      </c>
      <c r="F51" s="247" t="inlineStr">
        <is>
          <t>Filler</t>
        </is>
      </c>
      <c r="G51" s="247" t="inlineStr">
        <is>
          <t>Filler</t>
        </is>
      </c>
      <c r="H51" s="247" t="n"/>
      <c r="I51" s="247" t="inlineStr">
        <is>
          <t>Zone libre</t>
        </is>
      </c>
      <c r="J51" s="247" t="inlineStr">
        <is>
          <t>Free zone</t>
        </is>
      </c>
      <c r="K51" s="244" t="inlineStr">
        <is>
          <t>NA</t>
        </is>
      </c>
      <c r="L51" s="244" t="inlineStr">
        <is>
          <t>NA</t>
        </is>
      </c>
      <c r="M51" s="1408" t="inlineStr">
        <is>
          <t>NA</t>
        </is>
      </c>
      <c r="N51" s="244" t="inlineStr">
        <is>
          <t>NA</t>
        </is>
      </c>
      <c r="O51" s="244" t="inlineStr">
        <is>
          <t>NA</t>
        </is>
      </c>
      <c r="P51" s="246" t="inlineStr">
        <is>
          <t>NA</t>
        </is>
      </c>
      <c r="Q51" s="246" t="inlineStr">
        <is>
          <t>NA</t>
        </is>
      </c>
      <c r="R51" s="247" t="inlineStr">
        <is>
          <t>Laisser à vide</t>
        </is>
      </c>
      <c r="S51" s="247" t="inlineStr">
        <is>
          <t>Leave empty</t>
        </is>
      </c>
      <c r="T51" s="246" t="inlineStr">
        <is>
          <t>ALPHA</t>
        </is>
      </c>
      <c r="U51" s="248" t="inlineStr">
        <is>
          <t>NA</t>
        </is>
      </c>
      <c r="V51" s="248" t="inlineStr">
        <is>
          <t>NA</t>
        </is>
      </c>
      <c r="W51" s="244" t="n">
        <v>1</v>
      </c>
      <c r="X51" s="244" t="inlineStr">
        <is>
          <t>NA</t>
        </is>
      </c>
      <c r="Y51" s="249" t="inlineStr">
        <is>
          <t>NA</t>
        </is>
      </c>
      <c r="Z51" s="249" t="inlineStr">
        <is>
          <t>NA</t>
        </is>
      </c>
      <c r="AA51" s="249" t="inlineStr">
        <is>
          <t>NA</t>
        </is>
      </c>
      <c r="AB51" s="244" t="inlineStr">
        <is>
          <t>NA</t>
        </is>
      </c>
      <c r="AC51" s="244" t="inlineStr">
        <is>
          <t>NA</t>
        </is>
      </c>
      <c r="AD51" s="244" t="inlineStr">
        <is>
          <t>N</t>
        </is>
      </c>
      <c r="AE51" s="244" t="inlineStr">
        <is>
          <t>NA</t>
        </is>
      </c>
      <c r="AF51" s="244" t="inlineStr">
        <is>
          <t>NA</t>
        </is>
      </c>
      <c r="AG51" s="250" t="inlineStr">
        <is>
          <t>NA</t>
        </is>
      </c>
      <c r="AH51" s="89" t="n"/>
      <c r="AI51" s="251" t="n"/>
      <c r="AJ51" s="252" t="n"/>
      <c r="AK51" s="246" t="n"/>
      <c r="AL51" s="253" t="n"/>
      <c r="AM51" s="252" t="n"/>
      <c r="AN51" s="252" t="n"/>
      <c r="AO51" s="246" t="n"/>
      <c r="AP51" s="253" t="n"/>
      <c r="AQ51" s="252" t="n"/>
      <c r="AR51" s="252" t="n"/>
      <c r="AS51" s="246" t="n"/>
      <c r="AT51" s="253" t="n"/>
      <c r="AU51" s="254" t="n"/>
      <c r="AV51" s="254" t="n"/>
      <c r="AW51" s="246" t="n"/>
      <c r="AX51" s="253" t="n"/>
      <c r="AY51" s="252" t="n"/>
      <c r="AZ51" s="252" t="n"/>
      <c r="BA51" s="246" t="n"/>
      <c r="BB51" s="253" t="n"/>
      <c r="BC51" s="251" t="n"/>
      <c r="BD51" s="252" t="n"/>
      <c r="BE51" s="246" t="n"/>
      <c r="BF51" s="253" t="n"/>
      <c r="BH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1">
        <f>_xlfn.LET(r,ROW(),oc,INDEX($A:$A,r),cv,TRIM(INDEX($Y:$Y,r)&amp;""),IF(oc&lt;&gt;"P1","",IF(cv="45","V45 - novo, nao alimentado pelo spool atual","V44 - alimentado pelo spool atual")))</f>
        <v/>
      </c>
    </row>
    <row r="52" ht="54" customHeight="1">
      <c r="A52" s="230" t="inlineStr">
        <is>
          <t>C1</t>
        </is>
      </c>
      <c r="B52" s="231" t="n">
        <v>34</v>
      </c>
      <c r="C52" s="269" t="inlineStr">
        <is>
          <t>16 - Identification Tiers</t>
        </is>
      </c>
      <c r="D52" s="236" t="inlineStr">
        <is>
          <t>16 - Third party identification</t>
        </is>
      </c>
      <c r="E52" s="206" t="inlineStr">
        <is>
          <t>C1 2.3</t>
        </is>
      </c>
      <c r="F52" s="234" t="inlineStr">
        <is>
          <t>Référence d'Identification nationale</t>
        </is>
      </c>
      <c r="G52" s="235" t="inlineStr">
        <is>
          <t>National ID framework</t>
        </is>
      </c>
      <c r="H52" s="235" t="n"/>
      <c r="I52" s="234" t="inlineStr">
        <is>
          <t>Type de référence d'identification nationale</t>
        </is>
      </c>
      <c r="J52" s="235" t="inlineStr">
        <is>
          <t>Type of national ID framework</t>
        </is>
      </c>
      <c r="K52" s="231" t="inlineStr">
        <is>
          <t>ND</t>
        </is>
      </c>
      <c r="L52" s="236" t="inlineStr">
        <is>
          <t>ND</t>
        </is>
      </c>
      <c r="M52" s="1417" t="inlineStr">
        <is>
          <t>NA</t>
        </is>
      </c>
      <c r="N52" s="231" t="inlineStr">
        <is>
          <t>Obligatoire</t>
        </is>
      </c>
      <c r="O52" s="236" t="inlineStr">
        <is>
          <t>Mandatory</t>
        </is>
      </c>
      <c r="P52" s="206" t="inlineStr">
        <is>
          <t>LC.0013</t>
        </is>
      </c>
      <c r="Q52" s="206" t="inlineStr">
        <is>
          <t>TA KVIDENT</t>
        </is>
      </c>
      <c r="R52" s="234" t="inlineStr">
        <is>
          <t>Cette donnée indique le référentiel de l'identifiant national renseigné au champ suivant</t>
        </is>
      </c>
      <c r="S52" s="235" t="inlineStr">
        <is>
          <t>This data indicates the national ID framework input into the next field</t>
        </is>
      </c>
      <c r="T52" s="206" t="inlineStr">
        <is>
          <t>ALPHA</t>
        </is>
      </c>
      <c r="U52" s="237" t="inlineStr">
        <is>
          <t>NA</t>
        </is>
      </c>
      <c r="V52" s="238" t="inlineStr">
        <is>
          <t>NA</t>
        </is>
      </c>
      <c r="W52" s="231" t="n">
        <v>2</v>
      </c>
      <c r="X52" s="231" t="inlineStr">
        <is>
          <t>NA</t>
        </is>
      </c>
      <c r="Y52" s="239" t="n">
        <v>40</v>
      </c>
      <c r="Z52" s="239" t="inlineStr">
        <is>
          <t>NA</t>
        </is>
      </c>
      <c r="AA52" s="237" t="inlineStr">
        <is>
          <t>NA</t>
        </is>
      </c>
      <c r="AB52" s="231" t="inlineStr">
        <is>
          <t>ANACREDIT</t>
        </is>
      </c>
      <c r="AC52" s="231" t="inlineStr">
        <is>
          <t>ND</t>
        </is>
      </c>
      <c r="AD52" s="231" t="inlineStr">
        <is>
          <t>N</t>
        </is>
      </c>
      <c r="AE52" s="231" t="inlineStr">
        <is>
          <t>NA</t>
        </is>
      </c>
      <c r="AF52" s="231" t="inlineStr">
        <is>
          <t>NA</t>
        </is>
      </c>
      <c r="AG52" s="212" t="inlineStr">
        <is>
          <t>NA</t>
        </is>
      </c>
      <c r="AH52" s="89" t="n"/>
      <c r="AI52" s="204" t="n"/>
      <c r="AJ52" s="205" t="n"/>
      <c r="AK52" s="206" t="n"/>
      <c r="AL52" s="207" t="n"/>
      <c r="AM52" s="205" t="n"/>
      <c r="AN52" s="213" t="n"/>
      <c r="AO52" s="206" t="n"/>
      <c r="AP52" s="207" t="n"/>
      <c r="AQ52" s="205" t="n"/>
      <c r="AR52" s="213" t="n"/>
      <c r="AS52" s="206" t="n"/>
      <c r="AT52" s="207" t="n"/>
      <c r="AU52" s="210" t="n"/>
      <c r="AV52" s="211" t="n"/>
      <c r="AW52" s="206" t="n"/>
      <c r="AX52" s="207" t="n"/>
      <c r="AY52" s="205" t="n"/>
      <c r="AZ52" s="213" t="n"/>
      <c r="BA52" s="206" t="n"/>
      <c r="BB52" s="207" t="n"/>
      <c r="BC52" s="204" t="n"/>
      <c r="BD52" s="213" t="n"/>
      <c r="BE52" s="206" t="n"/>
      <c r="BF52" s="207" t="n"/>
      <c r="BH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2">
        <f>_xlfn.LET(r,ROW(),oc,INDEX($A:$A,r),cv,TRIM(INDEX($Y:$Y,r)&amp;""),IF(oc&lt;&gt;"P1","",IF(cv="45","V45 - novo, nao alimentado pelo spool atual","V44 - alimentado pelo spool atual")))</f>
        <v/>
      </c>
    </row>
    <row r="53" ht="54" customHeight="1">
      <c r="A53" s="230" t="inlineStr">
        <is>
          <t>C1</t>
        </is>
      </c>
      <c r="B53" s="231" t="n">
        <v>35</v>
      </c>
      <c r="C53" s="269" t="inlineStr">
        <is>
          <t>16 - Identification Tiers</t>
        </is>
      </c>
      <c r="D53" s="236" t="inlineStr">
        <is>
          <t>16 - Third party identification</t>
        </is>
      </c>
      <c r="E53" s="206" t="inlineStr">
        <is>
          <t>C1 2.4</t>
        </is>
      </c>
      <c r="F53" s="234" t="inlineStr">
        <is>
          <t>Identifiant national</t>
        </is>
      </c>
      <c r="G53" s="235" t="inlineStr">
        <is>
          <t>National ID</t>
        </is>
      </c>
      <c r="H53" s="235" t="n"/>
      <c r="I53" s="234" t="inlineStr">
        <is>
          <t>Code issu de la référence d'identification nationale</t>
        </is>
      </c>
      <c r="J53" s="235" t="inlineStr">
        <is>
          <t>Code under the national ID framework</t>
        </is>
      </c>
      <c r="K53" s="231" t="inlineStr">
        <is>
          <t>ND</t>
        </is>
      </c>
      <c r="L53" s="236" t="inlineStr">
        <is>
          <t>ND</t>
        </is>
      </c>
      <c r="M53" s="1417" t="inlineStr">
        <is>
          <t>NA</t>
        </is>
      </c>
      <c r="N53" s="231" t="inlineStr">
        <is>
          <t>Obligatoire</t>
        </is>
      </c>
      <c r="O53" s="236" t="inlineStr">
        <is>
          <t>Mandatory</t>
        </is>
      </c>
      <c r="P53" s="206" t="inlineStr">
        <is>
          <t>NA</t>
        </is>
      </c>
      <c r="Q53" s="206" t="inlineStr">
        <is>
          <t>NA</t>
        </is>
      </c>
      <c r="R53" s="234" t="inlineStr">
        <is>
          <t>Le champ est obligatoire si la Référence d'identification nationale (C1 2.3) est renseignée
- SIREN pour les tiers unitaires résidant en France, Guadeloupe, Martinique, Réunion, Guyane Française, Mayotte ou St Pierre et Miquelon ;
- Tax ID pour les tiers unitaires résidant aux USA.
- codice fiscale pour les tiers Italiens
- ...
Si le tiers est siréné, alors valoriser obligatoirement le champ avec le code SIREN
Sinon, fournir si disponible le code d'identification du référentiel national concerné (à vide si indisponible)</t>
        </is>
      </c>
      <c r="S53" s="235" t="inlineStr">
        <is>
          <t>The field is mandatory where the National ID framework (C1 2.3) is indicated
- SIREN for individual external counterparties resident in France, Guadeloupe, Martinique, Reunion, French Guyana, Mayotte or St Pierre et Miquelon;
- Tax ID for individual external counterparties resident in the US.
- codice fiscale for Italian external counterparties
- ...
Where the external counterparty has a SIREN number it must be input into the field
Otherwise, where available provide the ID code of the relevant national framework (empty where not available)</t>
        </is>
      </c>
      <c r="T53" s="206" t="inlineStr">
        <is>
          <t>ALPHA</t>
        </is>
      </c>
      <c r="U53" s="237" t="inlineStr">
        <is>
          <t>NA</t>
        </is>
      </c>
      <c r="V53" s="238" t="inlineStr">
        <is>
          <t>NA</t>
        </is>
      </c>
      <c r="W53" s="231" t="n">
        <v>20</v>
      </c>
      <c r="X53" s="231" t="inlineStr">
        <is>
          <t>NA</t>
        </is>
      </c>
      <c r="Y53" s="239" t="n">
        <v>40</v>
      </c>
      <c r="Z53" s="239" t="inlineStr">
        <is>
          <t>NA</t>
        </is>
      </c>
      <c r="AA53" s="237" t="inlineStr">
        <is>
          <t>NA</t>
        </is>
      </c>
      <c r="AB53" s="231" t="inlineStr">
        <is>
          <t>ANACREDIT, NZBA</t>
        </is>
      </c>
      <c r="AC53" s="231" t="inlineStr">
        <is>
          <t>ND</t>
        </is>
      </c>
      <c r="AD53" s="231" t="inlineStr">
        <is>
          <t>N</t>
        </is>
      </c>
      <c r="AE53" s="231" t="inlineStr">
        <is>
          <t>NA</t>
        </is>
      </c>
      <c r="AF53" s="231" t="inlineStr">
        <is>
          <t>NA</t>
        </is>
      </c>
      <c r="AG53" s="212" t="inlineStr">
        <is>
          <t>NA</t>
        </is>
      </c>
      <c r="AH53" s="89" t="n"/>
      <c r="AI53" s="204" t="n"/>
      <c r="AJ53" s="205" t="n"/>
      <c r="AK53" s="206" t="n"/>
      <c r="AL53" s="207" t="n"/>
      <c r="AM53" s="205" t="n"/>
      <c r="AN53" s="213" t="n"/>
      <c r="AO53" s="206" t="n"/>
      <c r="AP53" s="207" t="n"/>
      <c r="AQ53" s="205" t="n"/>
      <c r="AR53" s="213" t="n"/>
      <c r="AS53" s="206" t="n"/>
      <c r="AT53" s="207" t="n"/>
      <c r="AU53" s="210" t="n"/>
      <c r="AV53" s="211" t="n"/>
      <c r="AW53" s="206" t="n"/>
      <c r="AX53" s="207" t="n"/>
      <c r="AY53" s="205" t="n"/>
      <c r="AZ53" s="213" t="n"/>
      <c r="BA53" s="206" t="n"/>
      <c r="BB53" s="207" t="n"/>
      <c r="BC53" s="204" t="n"/>
      <c r="BD53" s="213" t="n"/>
      <c r="BE53" s="206" t="n"/>
      <c r="BF53" s="207" t="n"/>
      <c r="BH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3">
        <f>_xlfn.LET(r,ROW(),oc,INDEX($A:$A,r),cv,TRIM(INDEX($Y:$Y,r)&amp;""),IF(oc&lt;&gt;"P1","",IF(cv="45","V45 - novo, nao alimentado pelo spool atual","V44 - alimentado pelo spool atual")))</f>
        <v/>
      </c>
    </row>
    <row r="54" ht="54" customHeight="1">
      <c r="A54" s="230" t="inlineStr">
        <is>
          <t>C1</t>
        </is>
      </c>
      <c r="B54" s="231" t="n">
        <v>36</v>
      </c>
      <c r="C54" s="269" t="inlineStr">
        <is>
          <t>16 - Identification Tiers</t>
        </is>
      </c>
      <c r="D54" s="236" t="inlineStr">
        <is>
          <t>16 - Third party identification</t>
        </is>
      </c>
      <c r="E54" s="206" t="inlineStr">
        <is>
          <t>C1 2.5</t>
        </is>
      </c>
      <c r="F54" s="234" t="inlineStr">
        <is>
          <t>Identification en local</t>
        </is>
      </c>
      <c r="G54" s="235" t="inlineStr">
        <is>
          <t>Local identification flag</t>
        </is>
      </c>
      <c r="H54" s="235" t="n"/>
      <c r="I54" s="234" t="inlineStr">
        <is>
          <t xml:space="preserve">Réservé à CACIB – Permet à l'entité CACIB d'indiquer qu'elle a procédé à l'identification du Tiers au sein du SI central et qu'il s'agit bien d'un nouveau tiers de catégorie de contrepartie autorisée dont la création peut être validée automatiquement.
</t>
        </is>
      </c>
      <c r="J54" s="235" t="inlineStr">
        <is>
          <t>For CACIB only - Using this field, CACIB can confirm that the identification of the counterparty within the central IS has been made properly, and the category of counterparty is authorized.(Specific CASA
CACIB)</t>
        </is>
      </c>
      <c r="K54" s="231" t="inlineStr">
        <is>
          <t>ND</t>
        </is>
      </c>
      <c r="L54" s="236" t="inlineStr">
        <is>
          <t>ND</t>
        </is>
      </c>
      <c r="M54" s="1417" t="inlineStr">
        <is>
          <t>NA</t>
        </is>
      </c>
      <c r="N54" s="231" t="inlineStr">
        <is>
          <t>Facultatif</t>
        </is>
      </c>
      <c r="O54" s="236" t="inlineStr">
        <is>
          <t>Optional</t>
        </is>
      </c>
      <c r="P54" s="206" t="inlineStr">
        <is>
          <t>NA</t>
        </is>
      </c>
      <c r="Q54" s="206" t="inlineStr">
        <is>
          <t>NA</t>
        </is>
      </c>
      <c r="R54" s="234" t="inlineStr">
        <is>
          <t>Zone reservée pour CACIB. Laisser à vide si non concerné</t>
        </is>
      </c>
      <c r="S54" s="235" t="inlineStr">
        <is>
          <t>Zone reserved for CACIB. Leave empty if not concerned</t>
        </is>
      </c>
      <c r="T54" s="206" t="inlineStr">
        <is>
          <t>ALPHA</t>
        </is>
      </c>
      <c r="U54" s="237" t="inlineStr">
        <is>
          <t>NA</t>
        </is>
      </c>
      <c r="V54" s="238" t="inlineStr">
        <is>
          <t>NA</t>
        </is>
      </c>
      <c r="W54" s="231" t="n">
        <v>1</v>
      </c>
      <c r="X54" s="231" t="inlineStr">
        <is>
          <t>NA</t>
        </is>
      </c>
      <c r="Y54" s="239" t="n">
        <v>42</v>
      </c>
      <c r="Z54" s="239" t="inlineStr">
        <is>
          <t>NA</t>
        </is>
      </c>
      <c r="AA54" s="239" t="inlineStr">
        <is>
          <t>NA</t>
        </is>
      </c>
      <c r="AB54" s="231" t="inlineStr">
        <is>
          <t>TIGRE</t>
        </is>
      </c>
      <c r="AC54" s="231" t="inlineStr">
        <is>
          <t>ND</t>
        </is>
      </c>
      <c r="AD54" s="231" t="inlineStr">
        <is>
          <t>N</t>
        </is>
      </c>
      <c r="AE54" s="231" t="inlineStr">
        <is>
          <t>NA</t>
        </is>
      </c>
      <c r="AF54" s="231" t="inlineStr">
        <is>
          <t>NA</t>
        </is>
      </c>
      <c r="AG54" s="212" t="inlineStr">
        <is>
          <t>NA</t>
        </is>
      </c>
      <c r="AH54" s="89" t="n"/>
      <c r="AI54" s="204" t="n"/>
      <c r="AJ54" s="205" t="n"/>
      <c r="AK54" s="206" t="n"/>
      <c r="AL54" s="207" t="n"/>
      <c r="AM54" s="205" t="n"/>
      <c r="AN54" s="213" t="n"/>
      <c r="AO54" s="206" t="n"/>
      <c r="AP54" s="207" t="n"/>
      <c r="AQ54" s="205" t="n"/>
      <c r="AR54" s="213" t="n"/>
      <c r="AS54" s="206" t="n"/>
      <c r="AT54" s="207" t="n"/>
      <c r="AU54" s="210" t="n"/>
      <c r="AV54" s="211" t="n"/>
      <c r="AW54" s="206" t="n"/>
      <c r="AX54" s="207" t="n"/>
      <c r="AY54" s="205" t="n"/>
      <c r="AZ54" s="213" t="n"/>
      <c r="BA54" s="206" t="n"/>
      <c r="BB54" s="207" t="n"/>
      <c r="BC54" s="204" t="n"/>
      <c r="BD54" s="213" t="n"/>
      <c r="BE54" s="206" t="n"/>
      <c r="BF54" s="207" t="n"/>
      <c r="BH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4">
        <f>_xlfn.LET(r,ROW(),oc,INDEX($A:$A,r),cv,TRIM(INDEX($Y:$Y,r)&amp;""),IF(oc&lt;&gt;"P1","",IF(cv="45","V45 - novo, nao alimentado pelo spool atual","V44 - alimentado pelo spool atual")))</f>
        <v/>
      </c>
    </row>
    <row r="55" ht="54" customHeight="1">
      <c r="A55" s="230" t="inlineStr">
        <is>
          <t>C1</t>
        </is>
      </c>
      <c r="B55" s="231" t="n">
        <v>37</v>
      </c>
      <c r="C55" s="269" t="inlineStr">
        <is>
          <t>16 - Identification Tiers</t>
        </is>
      </c>
      <c r="D55" s="236" t="inlineStr">
        <is>
          <t>16 - Third party identification</t>
        </is>
      </c>
      <c r="E55" s="206" t="inlineStr">
        <is>
          <t>C1 4.48</t>
        </is>
      </c>
      <c r="F55" s="234" t="inlineStr">
        <is>
          <t>Numéro du Registre Nationale des associations</t>
        </is>
      </c>
      <c r="G55" s="235" t="inlineStr">
        <is>
          <t xml:space="preserve"> Number of the National Register of associations</t>
        </is>
      </c>
      <c r="H55" s="235" t="n"/>
      <c r="I55" s="234" t="inlineStr">
        <is>
          <t xml:space="preserve">Identification de l'association (Sous la forme W + 9 chiffres) au Registre National des Associations (RNA) </t>
        </is>
      </c>
      <c r="J55" s="235" t="inlineStr">
        <is>
          <t xml:space="preserve"> Identification of the association (as W + 9 digits) in the National Register of Associations (RNA)</t>
        </is>
      </c>
      <c r="K55" s="231" t="inlineStr">
        <is>
          <t>ND</t>
        </is>
      </c>
      <c r="L55" s="236" t="inlineStr">
        <is>
          <t>ND</t>
        </is>
      </c>
      <c r="M55" s="1417" t="inlineStr">
        <is>
          <t>NA</t>
        </is>
      </c>
      <c r="N55" s="231" t="inlineStr">
        <is>
          <t>Obligatoire</t>
        </is>
      </c>
      <c r="O55" s="236" t="inlineStr">
        <is>
          <t>Mandatory</t>
        </is>
      </c>
      <c r="P55" s="206" t="inlineStr">
        <is>
          <t>NA</t>
        </is>
      </c>
      <c r="Q55" s="206" t="inlineStr">
        <is>
          <t>NA</t>
        </is>
      </c>
      <c r="R55" s="234" t="inlineStr">
        <is>
          <t>Le numéro du RNA est obligatoire pour les associations qui n'ont pas de SIREN</t>
        </is>
      </c>
      <c r="S55" s="235" t="inlineStr">
        <is>
          <t>The NAS No. is mandatory for associations that do not have a SIREN</t>
        </is>
      </c>
      <c r="T55" s="206" t="inlineStr">
        <is>
          <t>ALPHA</t>
        </is>
      </c>
      <c r="U55" s="264" t="inlineStr">
        <is>
          <t>NA</t>
        </is>
      </c>
      <c r="V55" s="265" t="inlineStr">
        <is>
          <t>NA</t>
        </is>
      </c>
      <c r="W55" s="231" t="n">
        <v>10</v>
      </c>
      <c r="X55" s="231" t="inlineStr">
        <is>
          <t>NA</t>
        </is>
      </c>
      <c r="Y55" s="239" t="n">
        <v>43</v>
      </c>
      <c r="Z55" s="239" t="inlineStr">
        <is>
          <t>NA</t>
        </is>
      </c>
      <c r="AA55" s="237" t="inlineStr">
        <is>
          <t>NA</t>
        </is>
      </c>
      <c r="AB55" s="942" t="inlineStr">
        <is>
          <t>ANACREDIT</t>
        </is>
      </c>
      <c r="AC55" s="231" t="inlineStr">
        <is>
          <t>ND</t>
        </is>
      </c>
      <c r="AD55" s="231" t="inlineStr">
        <is>
          <t>N</t>
        </is>
      </c>
      <c r="AE55" s="231" t="inlineStr">
        <is>
          <t>NA</t>
        </is>
      </c>
      <c r="AF55" s="231" t="inlineStr">
        <is>
          <t>NA</t>
        </is>
      </c>
      <c r="AG55" s="212" t="inlineStr">
        <is>
          <t>NA</t>
        </is>
      </c>
      <c r="AH55" s="89" t="n"/>
      <c r="AI55" s="204" t="n"/>
      <c r="AJ55" s="213" t="n"/>
      <c r="AK55" s="206" t="n"/>
      <c r="AL55" s="207" t="n"/>
      <c r="AM55" s="205" t="n"/>
      <c r="AN55" s="213" t="n"/>
      <c r="AO55" s="206" t="n"/>
      <c r="AP55" s="207" t="n"/>
      <c r="AQ55" s="205" t="n"/>
      <c r="AR55" s="213" t="n"/>
      <c r="AS55" s="206" t="n"/>
      <c r="AT55" s="207" t="n"/>
      <c r="AU55" s="210" t="n"/>
      <c r="AV55" s="211" t="n"/>
      <c r="AW55" s="206" t="n"/>
      <c r="AX55" s="207" t="n"/>
      <c r="AY55" s="205" t="n"/>
      <c r="AZ55" s="213" t="n"/>
      <c r="BA55" s="206" t="n"/>
      <c r="BB55" s="207" t="n"/>
      <c r="BC55" s="204" t="n"/>
      <c r="BD55" s="213" t="n"/>
      <c r="BE55" s="206" t="n"/>
      <c r="BF55" s="207" t="n"/>
      <c r="BH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5">
        <f>_xlfn.LET(r,ROW(),oc,INDEX($A:$A,r),cv,TRIM(INDEX($Y:$Y,r)&amp;""),IF(oc&lt;&gt;"P1","",IF(cv="45","V45 - novo, nao alimentado pelo spool atual","V44 - alimentado pelo spool atual")))</f>
        <v/>
      </c>
    </row>
    <row r="56" ht="54" customFormat="1" customHeight="1" s="54">
      <c r="A56" s="243" t="inlineStr">
        <is>
          <t>C1</t>
        </is>
      </c>
      <c r="B56" s="244" t="n">
        <v>38</v>
      </c>
      <c r="C56" s="284" t="inlineStr">
        <is>
          <t>NA</t>
        </is>
      </c>
      <c r="D56" s="244" t="inlineStr">
        <is>
          <t>NA</t>
        </is>
      </c>
      <c r="E56" s="246" t="inlineStr">
        <is>
          <t>C1 5.13</t>
        </is>
      </c>
      <c r="F56" s="247" t="inlineStr">
        <is>
          <t>Filler</t>
        </is>
      </c>
      <c r="G56" s="247" t="inlineStr">
        <is>
          <t>Filler</t>
        </is>
      </c>
      <c r="H56" s="247" t="n"/>
      <c r="I56" s="247" t="inlineStr">
        <is>
          <t>Zone libre</t>
        </is>
      </c>
      <c r="J56" s="247" t="inlineStr">
        <is>
          <t>Free zone</t>
        </is>
      </c>
      <c r="K56" s="244" t="inlineStr">
        <is>
          <t>NA</t>
        </is>
      </c>
      <c r="L56" s="244" t="inlineStr">
        <is>
          <t>NA</t>
        </is>
      </c>
      <c r="M56" s="1408" t="inlineStr">
        <is>
          <t>NA</t>
        </is>
      </c>
      <c r="N56" s="244" t="inlineStr">
        <is>
          <t>NA</t>
        </is>
      </c>
      <c r="O56" s="244" t="inlineStr">
        <is>
          <t>NA</t>
        </is>
      </c>
      <c r="P56" s="246" t="inlineStr">
        <is>
          <t>NA</t>
        </is>
      </c>
      <c r="Q56" s="246" t="inlineStr">
        <is>
          <t>NA</t>
        </is>
      </c>
      <c r="R56" s="247" t="inlineStr">
        <is>
          <t>Laisser à vide</t>
        </is>
      </c>
      <c r="S56" s="247" t="inlineStr">
        <is>
          <t>Leave empty</t>
        </is>
      </c>
      <c r="T56" s="246" t="inlineStr">
        <is>
          <t>ALPHA</t>
        </is>
      </c>
      <c r="U56" s="248" t="inlineStr">
        <is>
          <t>NA</t>
        </is>
      </c>
      <c r="V56" s="248" t="inlineStr">
        <is>
          <t>NA</t>
        </is>
      </c>
      <c r="W56" s="244" t="n">
        <v>1</v>
      </c>
      <c r="X56" s="244" t="inlineStr">
        <is>
          <t>NA</t>
        </is>
      </c>
      <c r="Y56" s="249" t="inlineStr">
        <is>
          <t>NA</t>
        </is>
      </c>
      <c r="Z56" s="249" t="inlineStr">
        <is>
          <t>NA</t>
        </is>
      </c>
      <c r="AA56" s="249" t="inlineStr">
        <is>
          <t>NA</t>
        </is>
      </c>
      <c r="AB56" s="244" t="inlineStr">
        <is>
          <t>NA</t>
        </is>
      </c>
      <c r="AC56" s="244" t="inlineStr">
        <is>
          <t>NA</t>
        </is>
      </c>
      <c r="AD56" s="244" t="inlineStr">
        <is>
          <t>N</t>
        </is>
      </c>
      <c r="AE56" s="244" t="inlineStr">
        <is>
          <t>NA</t>
        </is>
      </c>
      <c r="AF56" s="244" t="inlineStr">
        <is>
          <t>NA</t>
        </is>
      </c>
      <c r="AG56" s="250" t="inlineStr">
        <is>
          <t>NA</t>
        </is>
      </c>
      <c r="AH56" s="89" t="n"/>
      <c r="AI56" s="251" t="n"/>
      <c r="AJ56" s="252" t="n"/>
      <c r="AK56" s="246" t="n"/>
      <c r="AL56" s="253" t="n"/>
      <c r="AM56" s="252" t="n"/>
      <c r="AN56" s="252" t="n"/>
      <c r="AO56" s="246" t="n"/>
      <c r="AP56" s="253" t="n"/>
      <c r="AQ56" s="252" t="n"/>
      <c r="AR56" s="252" t="n"/>
      <c r="AS56" s="246" t="n"/>
      <c r="AT56" s="253" t="n"/>
      <c r="AU56" s="254" t="n"/>
      <c r="AV56" s="254" t="n"/>
      <c r="AW56" s="246" t="n"/>
      <c r="AX56" s="253" t="n"/>
      <c r="AY56" s="252" t="n"/>
      <c r="AZ56" s="252" t="n"/>
      <c r="BA56" s="246" t="n"/>
      <c r="BB56" s="253" t="n"/>
      <c r="BC56" s="251" t="n"/>
      <c r="BD56" s="252" t="n"/>
      <c r="BE56" s="246" t="n"/>
      <c r="BF56" s="253" t="n"/>
      <c r="BH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6">
        <f>_xlfn.LET(r,ROW(),oc,INDEX($A:$A,r),cv,TRIM(INDEX($Y:$Y,r)&amp;""),IF(oc&lt;&gt;"P1","",IF(cv="45","V45 - novo, nao alimentado pelo spool atual","V44 - alimentado pelo spool atual")))</f>
        <v/>
      </c>
    </row>
    <row r="57" ht="54" customHeight="1">
      <c r="A57" s="230" t="inlineStr">
        <is>
          <t>C1</t>
        </is>
      </c>
      <c r="B57" s="231" t="n">
        <v>39</v>
      </c>
      <c r="C57" s="269" t="inlineStr">
        <is>
          <t>25 - Notation du tiers</t>
        </is>
      </c>
      <c r="D57" s="236" t="inlineStr">
        <is>
          <t>25 - Third party rating</t>
        </is>
      </c>
      <c r="E57" s="206" t="inlineStr">
        <is>
          <t>C1 2.9</t>
        </is>
      </c>
      <c r="F57" s="234" t="inlineStr">
        <is>
          <t>Agence de notation</t>
        </is>
      </c>
      <c r="G57" s="235" t="inlineStr">
        <is>
          <t>Rating agency</t>
        </is>
      </c>
      <c r="H57" s="235" t="n"/>
      <c r="I57" s="234" t="inlineStr">
        <is>
          <t>Organisme de notation reconnu</t>
        </is>
      </c>
      <c r="J57" s="235" t="inlineStr">
        <is>
          <t>Recognised rating body</t>
        </is>
      </c>
      <c r="K57" s="231" t="inlineStr">
        <is>
          <t>ND</t>
        </is>
      </c>
      <c r="L57" s="236" t="inlineStr">
        <is>
          <t>ND</t>
        </is>
      </c>
      <c r="M57" s="1417" t="inlineStr">
        <is>
          <t>NA</t>
        </is>
      </c>
      <c r="N57" s="231" t="inlineStr">
        <is>
          <t>Facultatif</t>
        </is>
      </c>
      <c r="O57" s="236" t="inlineStr">
        <is>
          <t>Optional</t>
        </is>
      </c>
      <c r="P57" s="206" t="inlineStr">
        <is>
          <t>LC.0189</t>
        </is>
      </c>
      <c r="Q57" s="206" t="inlineStr">
        <is>
          <t>TA KVON</t>
        </is>
      </c>
      <c r="R57" s="234" t="inlineStr">
        <is>
          <t>A renseigner pour les Tiers domicilié à l'étranger si l'agence de notation est autorisée par la DRG
Donnée sous responsabilité du RUN</t>
        </is>
      </c>
      <c r="S57" s="235" t="inlineStr">
        <is>
          <t>Fill in for “Corporate” Clients domiciled abroad
Data owned by the «RUN»</t>
        </is>
      </c>
      <c r="T57" s="206" t="inlineStr">
        <is>
          <t>ALPHA</t>
        </is>
      </c>
      <c r="U57" s="237" t="inlineStr">
        <is>
          <t>NA</t>
        </is>
      </c>
      <c r="V57" s="238" t="inlineStr">
        <is>
          <t>NA</t>
        </is>
      </c>
      <c r="W57" s="231" t="n">
        <v>2</v>
      </c>
      <c r="X57" s="231" t="inlineStr">
        <is>
          <t>NA</t>
        </is>
      </c>
      <c r="Y57" s="239" t="n">
        <v>40</v>
      </c>
      <c r="Z57" s="239" t="inlineStr">
        <is>
          <t>NA</t>
        </is>
      </c>
      <c r="AA57" s="239" t="inlineStr">
        <is>
          <t>NA</t>
        </is>
      </c>
      <c r="AB57" s="231" t="inlineStr">
        <is>
          <t>TIGRE</t>
        </is>
      </c>
      <c r="AC57" s="231" t="inlineStr">
        <is>
          <t>ND</t>
        </is>
      </c>
      <c r="AD57" s="231" t="inlineStr">
        <is>
          <t>N</t>
        </is>
      </c>
      <c r="AE57" s="257" t="inlineStr">
        <is>
          <t>NA</t>
        </is>
      </c>
      <c r="AF57" s="257" t="inlineStr">
        <is>
          <t>NA</t>
        </is>
      </c>
      <c r="AG57" s="258" t="inlineStr">
        <is>
          <t>NA</t>
        </is>
      </c>
      <c r="AH57" s="89" t="n"/>
      <c r="AI57" s="204" t="n"/>
      <c r="AJ57" s="213" t="n"/>
      <c r="AK57" s="206" t="n"/>
      <c r="AL57" s="207" t="n"/>
      <c r="AM57" s="205" t="n"/>
      <c r="AN57" s="213" t="n"/>
      <c r="AO57" s="206" t="n"/>
      <c r="AP57" s="207" t="n"/>
      <c r="AQ57" s="205" t="n"/>
      <c r="AR57" s="213" t="n"/>
      <c r="AS57" s="206" t="n"/>
      <c r="AT57" s="207" t="n"/>
      <c r="AU57" s="210" t="n"/>
      <c r="AV57" s="211" t="n"/>
      <c r="AW57" s="206" t="n"/>
      <c r="AX57" s="207" t="n"/>
      <c r="AY57" s="205" t="n"/>
      <c r="AZ57" s="213" t="n"/>
      <c r="BA57" s="206" t="n"/>
      <c r="BB57" s="207" t="n"/>
      <c r="BC57" s="204" t="n"/>
      <c r="BD57" s="213" t="n"/>
      <c r="BE57" s="206" t="n"/>
      <c r="BF57" s="207" t="n"/>
      <c r="BH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7">
        <f>_xlfn.LET(r,ROW(),oc,INDEX($A:$A,r),cv,TRIM(INDEX($Y:$Y,r)&amp;""),IF(oc&lt;&gt;"P1","",IF(cv="45","V45 - novo, nao alimentado pelo spool atual","V44 - alimentado pelo spool atual")))</f>
        <v/>
      </c>
    </row>
    <row r="58" ht="54" customHeight="1">
      <c r="A58" s="230" t="inlineStr">
        <is>
          <t>C1</t>
        </is>
      </c>
      <c r="B58" s="231" t="n">
        <v>40</v>
      </c>
      <c r="C58" s="269" t="inlineStr">
        <is>
          <t>16 - Identification Tiers</t>
        </is>
      </c>
      <c r="D58" s="236" t="inlineStr">
        <is>
          <t>16 - Third party identification</t>
        </is>
      </c>
      <c r="E58" s="206" t="inlineStr">
        <is>
          <t>C1 2.10</t>
        </is>
      </c>
      <c r="F58" s="234" t="inlineStr">
        <is>
          <t>Type de cotation</t>
        </is>
      </c>
      <c r="G58" s="235" t="inlineStr">
        <is>
          <t>Type of rating</t>
        </is>
      </c>
      <c r="H58" s="235" t="n"/>
      <c r="I58" s="234" t="inlineStr">
        <is>
          <t xml:space="preserve">Codification indiquant le type LT ou CT de la cotation </t>
        </is>
      </c>
      <c r="J58" s="235" t="inlineStr">
        <is>
          <t>Codification giving the LT or CT type of rating</t>
        </is>
      </c>
      <c r="K58" s="231" t="inlineStr">
        <is>
          <t>ND</t>
        </is>
      </c>
      <c r="L58" s="236" t="inlineStr">
        <is>
          <t>ND</t>
        </is>
      </c>
      <c r="M58" s="1417" t="inlineStr">
        <is>
          <t>NA</t>
        </is>
      </c>
      <c r="N58" s="231" t="inlineStr">
        <is>
          <t>Obligatoire</t>
        </is>
      </c>
      <c r="O58" s="236" t="inlineStr">
        <is>
          <t>Mandatory</t>
        </is>
      </c>
      <c r="P58" s="206" t="inlineStr">
        <is>
          <t>LC.0181</t>
        </is>
      </c>
      <c r="Q58" s="206" t="inlineStr">
        <is>
          <t>TA KVTCOTA</t>
        </is>
      </c>
      <c r="R58" s="234" t="inlineStr">
        <is>
          <t>Obligatoire si agence de notation renseignée.
Donnée sous responsabilité du RUN</t>
        </is>
      </c>
      <c r="S58" s="235" t="inlineStr">
        <is>
          <t>Mandatory where Rating agency is indicated
Data owned by the «RUN»</t>
        </is>
      </c>
      <c r="T58" s="206" t="inlineStr">
        <is>
          <t>ALPHA</t>
        </is>
      </c>
      <c r="U58" s="237" t="inlineStr">
        <is>
          <t>NA</t>
        </is>
      </c>
      <c r="V58" s="238" t="inlineStr">
        <is>
          <t>NA</t>
        </is>
      </c>
      <c r="W58" s="231" t="n">
        <v>2</v>
      </c>
      <c r="X58" s="231" t="inlineStr">
        <is>
          <t>NA</t>
        </is>
      </c>
      <c r="Y58" s="239" t="n">
        <v>40</v>
      </c>
      <c r="Z58" s="239" t="inlineStr">
        <is>
          <t>NA</t>
        </is>
      </c>
      <c r="AA58" s="239" t="inlineStr">
        <is>
          <t>NA</t>
        </is>
      </c>
      <c r="AB58" s="231" t="inlineStr">
        <is>
          <t>TIGRE</t>
        </is>
      </c>
      <c r="AC58" s="231" t="inlineStr">
        <is>
          <t>ND</t>
        </is>
      </c>
      <c r="AD58" s="231" t="inlineStr">
        <is>
          <t>N</t>
        </is>
      </c>
      <c r="AE58" s="257" t="inlineStr">
        <is>
          <t>NA</t>
        </is>
      </c>
      <c r="AF58" s="257" t="inlineStr">
        <is>
          <t>NA</t>
        </is>
      </c>
      <c r="AG58" s="258" t="inlineStr">
        <is>
          <t>NA</t>
        </is>
      </c>
      <c r="AH58" s="89" t="n"/>
      <c r="AI58" s="204" t="n"/>
      <c r="AJ58" s="213" t="n"/>
      <c r="AK58" s="206" t="n"/>
      <c r="AL58" s="207" t="n"/>
      <c r="AM58" s="205" t="n"/>
      <c r="AN58" s="213" t="n"/>
      <c r="AO58" s="206" t="n"/>
      <c r="AP58" s="207" t="n"/>
      <c r="AQ58" s="205" t="n"/>
      <c r="AR58" s="213" t="n"/>
      <c r="AS58" s="206" t="n"/>
      <c r="AT58" s="207" t="n"/>
      <c r="AU58" s="210" t="n"/>
      <c r="AV58" s="211" t="n"/>
      <c r="AW58" s="206" t="n"/>
      <c r="AX58" s="207" t="n"/>
      <c r="AY58" s="205" t="n"/>
      <c r="AZ58" s="213" t="n"/>
      <c r="BA58" s="206" t="n"/>
      <c r="BB58" s="207" t="n"/>
      <c r="BC58" s="204" t="n"/>
      <c r="BD58" s="213" t="n"/>
      <c r="BE58" s="206" t="n"/>
      <c r="BF58" s="207" t="n"/>
      <c r="BH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8">
        <f>_xlfn.LET(r,ROW(),oc,INDEX($A:$A,r),cv,TRIM(INDEX($Y:$Y,r)&amp;""),IF(oc&lt;&gt;"P1","",IF(cv="45","V45 - novo, nao alimentado pelo spool atual","V44 - alimentado pelo spool atual")))</f>
        <v/>
      </c>
    </row>
    <row r="59" ht="54" customHeight="1">
      <c r="A59" s="230" t="inlineStr">
        <is>
          <t>C1</t>
        </is>
      </c>
      <c r="B59" s="231" t="n">
        <v>41</v>
      </c>
      <c r="C59" s="269" t="inlineStr">
        <is>
          <t>16 - Identification Tiers</t>
        </is>
      </c>
      <c r="D59" s="236" t="inlineStr">
        <is>
          <t>16 - Third party identification</t>
        </is>
      </c>
      <c r="E59" s="206" t="inlineStr">
        <is>
          <t>C1 2.11</t>
        </is>
      </c>
      <c r="F59" s="234" t="inlineStr">
        <is>
          <t>Cotation</t>
        </is>
      </c>
      <c r="G59" s="235" t="inlineStr">
        <is>
          <t>Rating</t>
        </is>
      </c>
      <c r="H59" s="235" t="n"/>
      <c r="I59" s="234" t="inlineStr">
        <is>
          <t>Cotation externes (selon le la nomenclature de l'organisme)</t>
        </is>
      </c>
      <c r="J59" s="235" t="inlineStr">
        <is>
          <t>External rating (depending on the body classification)</t>
        </is>
      </c>
      <c r="K59" s="231" t="inlineStr">
        <is>
          <t>ND</t>
        </is>
      </c>
      <c r="L59" s="236" t="inlineStr">
        <is>
          <t>ND</t>
        </is>
      </c>
      <c r="M59" s="1417" t="inlineStr">
        <is>
          <t>NA</t>
        </is>
      </c>
      <c r="N59" s="231" t="inlineStr">
        <is>
          <t>Obligatoire</t>
        </is>
      </c>
      <c r="O59" s="236" t="inlineStr">
        <is>
          <t>Mandatory</t>
        </is>
      </c>
      <c r="P59" s="206" t="inlineStr">
        <is>
          <t>NA</t>
        </is>
      </c>
      <c r="Q59" s="206" t="inlineStr">
        <is>
          <t>NA</t>
        </is>
      </c>
      <c r="R59" s="234" t="inlineStr">
        <is>
          <t>Obligatoire si agence de notation renseignée.
Donnée sous responsabilité du RUN</t>
        </is>
      </c>
      <c r="S59" s="235" t="inlineStr">
        <is>
          <t>Mandatory where Rating agency is indicated
Data owned by the «RUN»</t>
        </is>
      </c>
      <c r="T59" s="206" t="inlineStr">
        <is>
          <t>ALPHA</t>
        </is>
      </c>
      <c r="U59" s="237" t="inlineStr">
        <is>
          <t>NA</t>
        </is>
      </c>
      <c r="V59" s="238" t="inlineStr">
        <is>
          <t>NA</t>
        </is>
      </c>
      <c r="W59" s="231" t="n">
        <v>10</v>
      </c>
      <c r="X59" s="231" t="inlineStr">
        <is>
          <t>NA</t>
        </is>
      </c>
      <c r="Y59" s="239" t="n">
        <v>40</v>
      </c>
      <c r="Z59" s="239" t="inlineStr">
        <is>
          <t>NA</t>
        </is>
      </c>
      <c r="AA59" s="237" t="inlineStr">
        <is>
          <t>NA</t>
        </is>
      </c>
      <c r="AB59" s="231" t="inlineStr">
        <is>
          <t>TIGRE</t>
        </is>
      </c>
      <c r="AC59" s="231" t="inlineStr">
        <is>
          <t>ND</t>
        </is>
      </c>
      <c r="AD59" s="231" t="inlineStr">
        <is>
          <t>N</t>
        </is>
      </c>
      <c r="AE59" s="257" t="inlineStr">
        <is>
          <t>NA</t>
        </is>
      </c>
      <c r="AF59" s="257" t="inlineStr">
        <is>
          <t>NA</t>
        </is>
      </c>
      <c r="AG59" s="258" t="inlineStr">
        <is>
          <t>NA</t>
        </is>
      </c>
      <c r="AH59" s="89" t="n"/>
      <c r="AI59" s="204" t="n"/>
      <c r="AJ59" s="213" t="n"/>
      <c r="AK59" s="206" t="n"/>
      <c r="AL59" s="207" t="n"/>
      <c r="AM59" s="205" t="n"/>
      <c r="AN59" s="213" t="n"/>
      <c r="AO59" s="206" t="n"/>
      <c r="AP59" s="207" t="n"/>
      <c r="AQ59" s="205" t="n"/>
      <c r="AR59" s="213" t="n"/>
      <c r="AS59" s="206" t="n"/>
      <c r="AT59" s="207" t="n"/>
      <c r="AU59" s="210" t="n"/>
      <c r="AV59" s="211" t="n"/>
      <c r="AW59" s="206" t="n"/>
      <c r="AX59" s="207" t="n"/>
      <c r="AY59" s="205" t="n"/>
      <c r="AZ59" s="213" t="n"/>
      <c r="BA59" s="206" t="n"/>
      <c r="BB59" s="207" t="n"/>
      <c r="BC59" s="204" t="n"/>
      <c r="BD59" s="213" t="n"/>
      <c r="BE59" s="206" t="n"/>
      <c r="BF59" s="207" t="n"/>
      <c r="BH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9">
        <f>_xlfn.LET(r,ROW(),oc,INDEX($A:$A,r),cv,TRIM(INDEX($Y:$Y,r)&amp;""),IF(oc&lt;&gt;"P1","",IF(cv="45","V45 - novo, nao alimentado pelo spool atual","V44 - alimentado pelo spool atual")))</f>
        <v/>
      </c>
    </row>
    <row r="60" ht="54" customHeight="1">
      <c r="A60" s="230" t="inlineStr">
        <is>
          <t>C1</t>
        </is>
      </c>
      <c r="B60" s="231" t="n">
        <v>42</v>
      </c>
      <c r="C60" s="269" t="inlineStr">
        <is>
          <t>16 - Identification Tiers</t>
        </is>
      </c>
      <c r="D60" s="236" t="inlineStr">
        <is>
          <t>16 - Third party identification</t>
        </is>
      </c>
      <c r="E60" s="206" t="inlineStr">
        <is>
          <t>C1 2.12</t>
        </is>
      </c>
      <c r="F60" s="267" t="inlineStr">
        <is>
          <t>Date de cotation</t>
        </is>
      </c>
      <c r="G60" s="235" t="inlineStr">
        <is>
          <t>Date of rating</t>
        </is>
      </c>
      <c r="H60" s="235" t="n"/>
      <c r="I60" s="234" t="inlineStr">
        <is>
          <t>Date de cotation</t>
        </is>
      </c>
      <c r="J60" s="235" t="inlineStr">
        <is>
          <t>Date of rating</t>
        </is>
      </c>
      <c r="K60" s="231" t="inlineStr">
        <is>
          <t>ND</t>
        </is>
      </c>
      <c r="L60" s="236" t="inlineStr">
        <is>
          <t>ND</t>
        </is>
      </c>
      <c r="M60" s="1417" t="inlineStr">
        <is>
          <t>NA</t>
        </is>
      </c>
      <c r="N60" s="231" t="inlineStr">
        <is>
          <t>Obligatoire</t>
        </is>
      </c>
      <c r="O60" s="236" t="inlineStr">
        <is>
          <t>Mandatory</t>
        </is>
      </c>
      <c r="P60" s="206" t="inlineStr">
        <is>
          <t>NA</t>
        </is>
      </c>
      <c r="Q60" s="206" t="inlineStr">
        <is>
          <t>NA</t>
        </is>
      </c>
      <c r="R60" s="234" t="inlineStr">
        <is>
          <t>Obligatoire si agence de notation renseignée.
Donnée sous responsabilité du RUN</t>
        </is>
      </c>
      <c r="S60" s="235" t="inlineStr">
        <is>
          <t>Mandatory where Rating agency is indicated
Data owned by the «RUN»</t>
        </is>
      </c>
      <c r="T60" s="206" t="inlineStr">
        <is>
          <t>DATE</t>
        </is>
      </c>
      <c r="U60" s="237" t="inlineStr">
        <is>
          <t>AAAAMMJJ</t>
        </is>
      </c>
      <c r="V60" s="238" t="inlineStr">
        <is>
          <t>YYYYMMDD</t>
        </is>
      </c>
      <c r="W60" s="231" t="n">
        <v>8</v>
      </c>
      <c r="X60" s="231" t="inlineStr">
        <is>
          <t>NA</t>
        </is>
      </c>
      <c r="Y60" s="239" t="n">
        <v>40</v>
      </c>
      <c r="Z60" s="239" t="inlineStr">
        <is>
          <t>NA</t>
        </is>
      </c>
      <c r="AA60" s="237" t="inlineStr">
        <is>
          <t>NA</t>
        </is>
      </c>
      <c r="AB60" s="231" t="inlineStr">
        <is>
          <t>TIGRE</t>
        </is>
      </c>
      <c r="AC60" s="231" t="inlineStr">
        <is>
          <t>ND</t>
        </is>
      </c>
      <c r="AD60" s="231" t="inlineStr">
        <is>
          <t>N</t>
        </is>
      </c>
      <c r="AE60" s="257" t="inlineStr">
        <is>
          <t>NA</t>
        </is>
      </c>
      <c r="AF60" s="257" t="inlineStr">
        <is>
          <t>NA</t>
        </is>
      </c>
      <c r="AG60" s="258" t="inlineStr">
        <is>
          <t>NA</t>
        </is>
      </c>
      <c r="AH60" s="89" t="n"/>
      <c r="AI60" s="204" t="n"/>
      <c r="AJ60" s="213" t="n"/>
      <c r="AK60" s="206" t="n"/>
      <c r="AL60" s="207" t="n"/>
      <c r="AM60" s="205" t="n"/>
      <c r="AN60" s="213" t="n"/>
      <c r="AO60" s="206" t="n"/>
      <c r="AP60" s="207" t="n"/>
      <c r="AQ60" s="205" t="n"/>
      <c r="AR60" s="213" t="n"/>
      <c r="AS60" s="206" t="n"/>
      <c r="AT60" s="207" t="n"/>
      <c r="AU60" s="210" t="n"/>
      <c r="AV60" s="211" t="n"/>
      <c r="AW60" s="206" t="n"/>
      <c r="AX60" s="207" t="n"/>
      <c r="AY60" s="205" t="n"/>
      <c r="AZ60" s="213" t="n"/>
      <c r="BA60" s="206" t="n"/>
      <c r="BB60" s="207" t="n"/>
      <c r="BC60" s="204" t="n"/>
      <c r="BD60" s="213" t="n"/>
      <c r="BE60" s="206" t="n"/>
      <c r="BF60" s="207" t="n"/>
      <c r="BH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0">
        <f>_xlfn.LET(r,ROW(),oc,INDEX($A:$A,r),cv,TRIM(INDEX($Y:$Y,r)&amp;""),IF(oc&lt;&gt;"P1","",IF(cv="45","V45 - novo, nao alimentado pelo spool atual","V44 - alimentado pelo spool atual")))</f>
        <v/>
      </c>
    </row>
    <row r="61" ht="54" customHeight="1">
      <c r="A61" s="230" t="inlineStr">
        <is>
          <t>C1</t>
        </is>
      </c>
      <c r="B61" s="231" t="n">
        <v>43</v>
      </c>
      <c r="C61" s="269" t="inlineStr">
        <is>
          <t>16 - Identification Tiers</t>
        </is>
      </c>
      <c r="D61" s="236" t="inlineStr">
        <is>
          <t>16 - Third party identification</t>
        </is>
      </c>
      <c r="E61" s="206" t="inlineStr">
        <is>
          <t>C1 3.1</t>
        </is>
      </c>
      <c r="F61" s="234" t="inlineStr">
        <is>
          <t>Pays de résidence du siège social</t>
        </is>
      </c>
      <c r="G61" s="235" t="inlineStr">
        <is>
          <t>Country of residence of registered office</t>
        </is>
      </c>
      <c r="H61" s="235" t="n"/>
      <c r="I61" s="234" t="inlineStr">
        <is>
          <t>Code du pays d'immatriculation du tiers</t>
        </is>
      </c>
      <c r="J61" s="235" t="inlineStr">
        <is>
          <t>Code of country of registration of external counterparty</t>
        </is>
      </c>
      <c r="K61" s="231" t="inlineStr">
        <is>
          <t>ND</t>
        </is>
      </c>
      <c r="L61" s="236" t="inlineStr">
        <is>
          <t>ND</t>
        </is>
      </c>
      <c r="M61" s="1417" t="inlineStr">
        <is>
          <t>NA</t>
        </is>
      </c>
      <c r="N61" s="231" t="inlineStr">
        <is>
          <t>Obligatoire</t>
        </is>
      </c>
      <c r="O61" s="236" t="inlineStr">
        <is>
          <t>Mandatory</t>
        </is>
      </c>
      <c r="P61" s="206" t="inlineStr">
        <is>
          <t>LC.0004</t>
        </is>
      </c>
      <c r="Q61" s="231" t="inlineStr">
        <is>
          <t>TA NM252</t>
        </is>
      </c>
      <c r="R61" s="234" t="inlineStr">
        <is>
          <t>Norme ISO 2.
Code du pays de l'adresse du siège social prenant en compte le cas échéant la notion de territoire (ex: Guadeloupe).
Cette notion diffère du pays de nationalité (ex: la France pour la Guadeloupe)
Donnée sous responsabilité du RUN</t>
        </is>
      </c>
      <c r="S61" s="235" t="inlineStr">
        <is>
          <t>ISO 2 standard.
Code of country of registered address encompassing where necessary territories (e.g. Guadeloupe).
This concept differs from country of nationality (e.g. France for Guadeloupe)
Data owned by the «RUN»</t>
        </is>
      </c>
      <c r="T61" s="206" t="inlineStr">
        <is>
          <t>ALPHA</t>
        </is>
      </c>
      <c r="U61" s="237" t="inlineStr">
        <is>
          <t>NA</t>
        </is>
      </c>
      <c r="V61" s="238" t="inlineStr">
        <is>
          <t>NA</t>
        </is>
      </c>
      <c r="W61" s="231" t="n">
        <v>2</v>
      </c>
      <c r="X61" s="231" t="inlineStr">
        <is>
          <t>NA</t>
        </is>
      </c>
      <c r="Y61" s="239" t="n">
        <v>40</v>
      </c>
      <c r="Z61" s="239" t="inlineStr">
        <is>
          <t>NA</t>
        </is>
      </c>
      <c r="AA61" s="237" t="inlineStr">
        <is>
          <t>NA</t>
        </is>
      </c>
      <c r="AB61" s="231" t="inlineStr">
        <is>
          <t>TIGRE</t>
        </is>
      </c>
      <c r="AC61" s="231" t="inlineStr">
        <is>
          <t>ND</t>
        </is>
      </c>
      <c r="AD61" s="231" t="inlineStr">
        <is>
          <t>N</t>
        </is>
      </c>
      <c r="AE61" s="257" t="inlineStr">
        <is>
          <t>NA</t>
        </is>
      </c>
      <c r="AF61" s="257" t="inlineStr">
        <is>
          <t>NA</t>
        </is>
      </c>
      <c r="AG61" s="258" t="inlineStr">
        <is>
          <t>NA</t>
        </is>
      </c>
      <c r="AH61" s="89" t="n"/>
      <c r="AI61" s="204" t="n"/>
      <c r="AJ61" s="213" t="n"/>
      <c r="AK61" s="206" t="n"/>
      <c r="AL61" s="207" t="n"/>
      <c r="AM61" s="205" t="n"/>
      <c r="AN61" s="213" t="n"/>
      <c r="AO61" s="206" t="n"/>
      <c r="AP61" s="207" t="n"/>
      <c r="AQ61" s="205" t="n"/>
      <c r="AR61" s="213" t="n"/>
      <c r="AS61" s="206" t="n"/>
      <c r="AT61" s="207" t="n"/>
      <c r="AU61" s="210" t="n"/>
      <c r="AV61" s="211" t="n"/>
      <c r="AW61" s="206" t="n"/>
      <c r="AX61" s="207" t="n"/>
      <c r="AY61" s="205" t="n"/>
      <c r="AZ61" s="213" t="n"/>
      <c r="BA61" s="206" t="n"/>
      <c r="BB61" s="207" t="n"/>
      <c r="BC61" s="204" t="n"/>
      <c r="BD61" s="213" t="n"/>
      <c r="BE61" s="206" t="n"/>
      <c r="BF61" s="207" t="n"/>
      <c r="BH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1">
        <f>_xlfn.LET(r,ROW(),oc,INDEX($A:$A,r),cv,TRIM(INDEX($Y:$Y,r)&amp;""),IF(oc&lt;&gt;"P1","",IF(cv="45","V45 - novo, nao alimentado pelo spool atual","V44 - alimentado pelo spool atual")))</f>
        <v/>
      </c>
    </row>
    <row r="62" ht="54" customHeight="1">
      <c r="A62" s="230" t="inlineStr">
        <is>
          <t>C1</t>
        </is>
      </c>
      <c r="B62" s="231" t="n">
        <v>44</v>
      </c>
      <c r="C62" s="269" t="inlineStr">
        <is>
          <t>16 - Identification Tiers</t>
        </is>
      </c>
      <c r="D62" s="236" t="inlineStr">
        <is>
          <t>16 - Third party identification</t>
        </is>
      </c>
      <c r="E62" s="206" t="inlineStr">
        <is>
          <t>C1 3.2</t>
        </is>
      </c>
      <c r="F62" s="234" t="inlineStr">
        <is>
          <t>Pays de résidence</t>
        </is>
      </c>
      <c r="G62" s="235" t="inlineStr">
        <is>
          <t>Country of tax residence</t>
        </is>
      </c>
      <c r="H62" s="235" t="n"/>
      <c r="I62" s="234" t="inlineStr">
        <is>
          <t>Code du pays dans lequel est implanté le tiers</t>
        </is>
      </c>
      <c r="J62" s="235" t="inlineStr">
        <is>
          <t>Code of country in which the third party is established. Corresponds to country of tax residence</t>
        </is>
      </c>
      <c r="K62" s="231" t="inlineStr">
        <is>
          <t>ND</t>
        </is>
      </c>
      <c r="L62" s="236" t="inlineStr">
        <is>
          <t>ND</t>
        </is>
      </c>
      <c r="M62" s="1417" t="inlineStr">
        <is>
          <t>NA</t>
        </is>
      </c>
      <c r="N62" s="231" t="inlineStr">
        <is>
          <t>Obligatoire</t>
        </is>
      </c>
      <c r="O62" s="236" t="inlineStr">
        <is>
          <t>Mandatory</t>
        </is>
      </c>
      <c r="P62" s="206" t="inlineStr">
        <is>
          <t>LC.0004</t>
        </is>
      </c>
      <c r="Q62" s="231" t="inlineStr">
        <is>
          <t>TA NM252</t>
        </is>
      </c>
      <c r="R62" s="234" t="inlineStr">
        <is>
          <t>Norme ISO 2
Code du pays de l'adresse fiscale
Il permet de connaître le système de droit dans lequel s'inscrit la contrepartie financée
Donnée sous responsabilité du RUN</t>
        </is>
      </c>
      <c r="S62" s="235" t="inlineStr">
        <is>
          <t>ISO 2 standard
Code of country of tax address
This makes it possible to identify the legal system under which the financed counterparty operates
Data owned by the «RUN»</t>
        </is>
      </c>
      <c r="T62" s="206" t="inlineStr">
        <is>
          <t>ALPHA</t>
        </is>
      </c>
      <c r="U62" s="237" t="inlineStr">
        <is>
          <t>NA</t>
        </is>
      </c>
      <c r="V62" s="238" t="inlineStr">
        <is>
          <t>NA</t>
        </is>
      </c>
      <c r="W62" s="231" t="n">
        <v>2</v>
      </c>
      <c r="X62" s="231" t="inlineStr">
        <is>
          <t>NA</t>
        </is>
      </c>
      <c r="Y62" s="239" t="n">
        <v>40</v>
      </c>
      <c r="Z62" s="239" t="inlineStr">
        <is>
          <t>NA</t>
        </is>
      </c>
      <c r="AA62" s="237" t="inlineStr">
        <is>
          <t>NA</t>
        </is>
      </c>
      <c r="AB62" s="231" t="inlineStr">
        <is>
          <t>ANACREDIT, CORFOU</t>
        </is>
      </c>
      <c r="AC62" s="231" t="inlineStr">
        <is>
          <t>ND</t>
        </is>
      </c>
      <c r="AD62" s="231" t="inlineStr">
        <is>
          <t>N</t>
        </is>
      </c>
      <c r="AE62" s="257" t="inlineStr">
        <is>
          <t>NA</t>
        </is>
      </c>
      <c r="AF62" s="257" t="inlineStr">
        <is>
          <t>NA</t>
        </is>
      </c>
      <c r="AG62" s="258" t="inlineStr">
        <is>
          <t>NA</t>
        </is>
      </c>
      <c r="AH62" s="89" t="n"/>
      <c r="AI62" s="204" t="n"/>
      <c r="AJ62" s="213" t="n"/>
      <c r="AK62" s="206" t="n"/>
      <c r="AL62" s="207" t="n"/>
      <c r="AM62" s="205" t="n"/>
      <c r="AN62" s="213" t="n"/>
      <c r="AO62" s="206" t="n"/>
      <c r="AP62" s="207" t="n"/>
      <c r="AQ62" s="205" t="n"/>
      <c r="AR62" s="213" t="n"/>
      <c r="AS62" s="206" t="n"/>
      <c r="AT62" s="207" t="n"/>
      <c r="AU62" s="210" t="n"/>
      <c r="AV62" s="211" t="n"/>
      <c r="AW62" s="206" t="n"/>
      <c r="AX62" s="207" t="n"/>
      <c r="AY62" s="205" t="n"/>
      <c r="AZ62" s="213" t="n"/>
      <c r="BA62" s="206" t="n"/>
      <c r="BB62" s="207" t="n"/>
      <c r="BC62" s="204" t="n"/>
      <c r="BD62" s="213" t="n"/>
      <c r="BE62" s="206" t="n"/>
      <c r="BF62" s="207" t="n"/>
      <c r="BH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2">
        <f>_xlfn.LET(r,ROW(),oc,INDEX($A:$A,r),cv,TRIM(INDEX($Y:$Y,r)&amp;""),IF(oc&lt;&gt;"P1","",IF(cv="45","V45 - novo, nao alimentado pelo spool atual","V44 - alimentado pelo spool atual")))</f>
        <v/>
      </c>
    </row>
    <row r="63" ht="54" customHeight="1">
      <c r="A63" s="230" t="inlineStr">
        <is>
          <t>C1</t>
        </is>
      </c>
      <c r="B63" s="231" t="n">
        <v>45</v>
      </c>
      <c r="C63" s="269" t="inlineStr">
        <is>
          <t>16 - Identification Tiers</t>
        </is>
      </c>
      <c r="D63" s="236" t="inlineStr">
        <is>
          <t>16 - Third party identification</t>
        </is>
      </c>
      <c r="E63" s="206" t="inlineStr">
        <is>
          <t>C1 3.3</t>
        </is>
      </c>
      <c r="F63" s="234" t="inlineStr">
        <is>
          <t>Pays de contrôle</t>
        </is>
      </c>
      <c r="G63" s="235" t="inlineStr">
        <is>
          <t>Country of control</t>
        </is>
      </c>
      <c r="H63" s="235" t="n"/>
      <c r="I63" s="234" t="inlineStr">
        <is>
          <t>Code du pays de la maison mère ou du principal actionnaire. Tous les tiers d'un même groupe ont le même pays de contrôle</t>
        </is>
      </c>
      <c r="J63" s="235" t="inlineStr">
        <is>
          <t>Code of country of parent company or main shareholder. All external counterparties within a single group share the same country of control</t>
        </is>
      </c>
      <c r="K63" s="231" t="inlineStr">
        <is>
          <t>ND</t>
        </is>
      </c>
      <c r="L63" s="236" t="inlineStr">
        <is>
          <t>ND</t>
        </is>
      </c>
      <c r="M63" s="1417" t="inlineStr">
        <is>
          <t>NA</t>
        </is>
      </c>
      <c r="N63" s="231" t="inlineStr">
        <is>
          <t>Obligatoire</t>
        </is>
      </c>
      <c r="O63" s="236" t="inlineStr">
        <is>
          <t>Mandatory</t>
        </is>
      </c>
      <c r="P63" s="206" t="inlineStr">
        <is>
          <t>LC.0004</t>
        </is>
      </c>
      <c r="Q63" s="231" t="inlineStr">
        <is>
          <t>TA NM252</t>
        </is>
      </c>
      <c r="R63" s="234" t="inlineStr">
        <is>
          <t>Le pays de contrôle par défaut est le pays de résidence du siège social
Dans le cas du tiers isolé: il s'agit du pays de la principale activité économique du bénéficiaire principal de la contrepartie, i.e. le pays où elle a ses principaux intérêts économiques (activité, avoirs, patrimoine, ...)
Dans le cas d'un tiers est rattaché à un groupe: cette information est sous responsabilité de l'entité RUN groupe car tous les tiers d'un même groupe ont le même pays de contrôle</t>
        </is>
      </c>
      <c r="S63" s="235" t="inlineStr">
        <is>
          <t>The default country of control is the country of residence of the registered office
In the case of an individual external counterparty: it is the country in which the counterparty's primary beneficiary has its main business activities, i.e. the country in which it has its main economic interests (business activities, holdings, assets, ...)
In the event of an external counterparty that belongs to a group: this information is the responsibility of the Group RUN entity because all external counterparties within the same group share the same country of control</t>
        </is>
      </c>
      <c r="T63" s="206" t="inlineStr">
        <is>
          <t>ALPHA</t>
        </is>
      </c>
      <c r="U63" s="237" t="inlineStr">
        <is>
          <t>NA</t>
        </is>
      </c>
      <c r="V63" s="238" t="inlineStr">
        <is>
          <t>NA</t>
        </is>
      </c>
      <c r="W63" s="231" t="n">
        <v>2</v>
      </c>
      <c r="X63" s="231" t="inlineStr">
        <is>
          <t>NA</t>
        </is>
      </c>
      <c r="Y63" s="239" t="n">
        <v>40</v>
      </c>
      <c r="Z63" s="239" t="inlineStr">
        <is>
          <t>NA</t>
        </is>
      </c>
      <c r="AA63" s="237" t="inlineStr">
        <is>
          <t>NA</t>
        </is>
      </c>
      <c r="AB63" s="231" t="inlineStr">
        <is>
          <t>TIGRE</t>
        </is>
      </c>
      <c r="AC63" s="231" t="inlineStr">
        <is>
          <t>ND</t>
        </is>
      </c>
      <c r="AD63" s="231" t="inlineStr">
        <is>
          <t>N</t>
        </is>
      </c>
      <c r="AE63" s="257" t="inlineStr">
        <is>
          <t>NA</t>
        </is>
      </c>
      <c r="AF63" s="257" t="inlineStr">
        <is>
          <t>NA</t>
        </is>
      </c>
      <c r="AG63" s="258" t="inlineStr">
        <is>
          <t>NA</t>
        </is>
      </c>
      <c r="AH63" s="89" t="n"/>
      <c r="AI63" s="204" t="n"/>
      <c r="AJ63" s="213" t="n"/>
      <c r="AK63" s="206" t="n"/>
      <c r="AL63" s="207" t="n"/>
      <c r="AM63" s="205" t="n"/>
      <c r="AN63" s="213" t="n"/>
      <c r="AO63" s="206" t="n"/>
      <c r="AP63" s="207" t="n"/>
      <c r="AQ63" s="205" t="n"/>
      <c r="AR63" s="213" t="n"/>
      <c r="AS63" s="206" t="n"/>
      <c r="AT63" s="207" t="n"/>
      <c r="AU63" s="210" t="n"/>
      <c r="AV63" s="211" t="n"/>
      <c r="AW63" s="206" t="n"/>
      <c r="AX63" s="207" t="n"/>
      <c r="AY63" s="205" t="n"/>
      <c r="AZ63" s="213" t="n"/>
      <c r="BA63" s="206" t="n"/>
      <c r="BB63" s="207" t="n"/>
      <c r="BC63" s="204" t="n"/>
      <c r="BD63" s="213" t="n"/>
      <c r="BE63" s="206" t="n"/>
      <c r="BF63" s="207" t="n"/>
      <c r="BH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3">
        <f>_xlfn.LET(r,ROW(),oc,INDEX($A:$A,r),cv,TRIM(INDEX($Y:$Y,r)&amp;""),IF(oc&lt;&gt;"P1","",IF(cv="45","V45 - novo, nao alimentado pelo spool atual","V44 - alimentado pelo spool atual")))</f>
        <v/>
      </c>
    </row>
    <row r="64" ht="54" customHeight="1">
      <c r="A64" s="230" t="inlineStr">
        <is>
          <t>C1</t>
        </is>
      </c>
      <c r="B64" s="231" t="n">
        <v>46</v>
      </c>
      <c r="C64" s="269" t="inlineStr">
        <is>
          <t>16 - Identification Tiers</t>
        </is>
      </c>
      <c r="D64" s="236" t="inlineStr">
        <is>
          <t>16 - Third party identification</t>
        </is>
      </c>
      <c r="E64" s="206" t="inlineStr">
        <is>
          <t>C1 3.5</t>
        </is>
      </c>
      <c r="F64" s="234" t="inlineStr">
        <is>
          <t>Adresse</t>
        </is>
      </c>
      <c r="G64" s="235" t="inlineStr">
        <is>
          <t>Address</t>
        </is>
      </c>
      <c r="H64" s="235" t="n"/>
      <c r="I64" s="234" t="inlineStr">
        <is>
          <t>Adresse fiscale. Numéro et nom de la rue
Fournir prioritairement le nom de la rue</t>
        </is>
      </c>
      <c r="J64" s="235" t="inlineStr">
        <is>
          <t>Tax address. Street name and number
First provide the street name</t>
        </is>
      </c>
      <c r="K64" s="231" t="inlineStr">
        <is>
          <t>ND</t>
        </is>
      </c>
      <c r="L64" s="236" t="inlineStr">
        <is>
          <t>ND</t>
        </is>
      </c>
      <c r="M64" s="1417" t="inlineStr">
        <is>
          <t>NA</t>
        </is>
      </c>
      <c r="N64" s="231" t="inlineStr">
        <is>
          <t>Obligatoire</t>
        </is>
      </c>
      <c r="O64" s="236" t="inlineStr">
        <is>
          <t>Mandatory</t>
        </is>
      </c>
      <c r="P64" s="206" t="inlineStr">
        <is>
          <t>NA</t>
        </is>
      </c>
      <c r="Q64" s="206" t="inlineStr">
        <is>
          <t>NA</t>
        </is>
      </c>
      <c r="R64" s="268" t="inlineStr">
        <is>
          <t>Adresse fiscale de niveau personne morale. Obligatoire à la création du Tiers</t>
        </is>
      </c>
      <c r="S64" s="235" t="inlineStr">
        <is>
          <t>Tax address of legal entity. Mandatory for the creation of External Counterparties</t>
        </is>
      </c>
      <c r="T64" s="206" t="inlineStr">
        <is>
          <t>ALPHA</t>
        </is>
      </c>
      <c r="U64" s="237" t="inlineStr">
        <is>
          <t>NA</t>
        </is>
      </c>
      <c r="V64" s="238" t="inlineStr">
        <is>
          <t>NA</t>
        </is>
      </c>
      <c r="W64" s="231" t="n">
        <v>70</v>
      </c>
      <c r="X64" s="231" t="inlineStr">
        <is>
          <t>NA</t>
        </is>
      </c>
      <c r="Y64" s="239" t="n">
        <v>40</v>
      </c>
      <c r="Z64" s="239" t="inlineStr">
        <is>
          <t>NA</t>
        </is>
      </c>
      <c r="AA64" s="237" t="inlineStr">
        <is>
          <t>NA</t>
        </is>
      </c>
      <c r="AB64" s="231" t="inlineStr">
        <is>
          <t>ANACREDIT</t>
        </is>
      </c>
      <c r="AC64" s="231" t="inlineStr">
        <is>
          <t>ND</t>
        </is>
      </c>
      <c r="AD64" s="231" t="inlineStr">
        <is>
          <t>N</t>
        </is>
      </c>
      <c r="AE64" s="231" t="inlineStr">
        <is>
          <t>NA</t>
        </is>
      </c>
      <c r="AF64" s="231" t="inlineStr">
        <is>
          <t>NA</t>
        </is>
      </c>
      <c r="AG64" s="212" t="inlineStr">
        <is>
          <t>NA</t>
        </is>
      </c>
      <c r="AH64" s="89" t="n"/>
      <c r="AI64" s="204" t="n"/>
      <c r="AJ64" s="213" t="n"/>
      <c r="AK64" s="206" t="n"/>
      <c r="AL64" s="207" t="n"/>
      <c r="AM64" s="205" t="n"/>
      <c r="AN64" s="213" t="n"/>
      <c r="AO64" s="206" t="n"/>
      <c r="AP64" s="207" t="n"/>
      <c r="AQ64" s="205" t="n"/>
      <c r="AR64" s="213" t="n"/>
      <c r="AS64" s="206" t="n"/>
      <c r="AT64" s="207" t="n"/>
      <c r="AU64" s="210" t="n"/>
      <c r="AV64" s="211" t="n"/>
      <c r="AW64" s="206" t="n"/>
      <c r="AX64" s="207" t="n"/>
      <c r="AY64" s="205" t="n"/>
      <c r="AZ64" s="213" t="n"/>
      <c r="BA64" s="206" t="n"/>
      <c r="BB64" s="207" t="n"/>
      <c r="BC64" s="204" t="n"/>
      <c r="BD64" s="213" t="n"/>
      <c r="BE64" s="206" t="n"/>
      <c r="BF64" s="207" t="n"/>
      <c r="BH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4">
        <f>_xlfn.LET(r,ROW(),oc,INDEX($A:$A,r),cv,TRIM(INDEX($Y:$Y,r)&amp;""),IF(oc&lt;&gt;"P1","",IF(cv="45","V45 - novo, nao alimentado pelo spool atual","V44 - alimentado pelo spool atual")))</f>
        <v/>
      </c>
    </row>
    <row r="65" ht="54" customHeight="1">
      <c r="A65" s="230" t="inlineStr">
        <is>
          <t>C1</t>
        </is>
      </c>
      <c r="B65" s="231" t="n">
        <v>47</v>
      </c>
      <c r="C65" s="269" t="inlineStr">
        <is>
          <t>16 - Identification Tiers</t>
        </is>
      </c>
      <c r="D65" s="236" t="inlineStr">
        <is>
          <t>16 - Third party identification</t>
        </is>
      </c>
      <c r="E65" s="206" t="inlineStr">
        <is>
          <t>C1 3.6</t>
        </is>
      </c>
      <c r="F65" s="234" t="inlineStr">
        <is>
          <t>Ville</t>
        </is>
      </c>
      <c r="G65" s="235" t="inlineStr">
        <is>
          <t>City</t>
        </is>
      </c>
      <c r="H65" s="235" t="n"/>
      <c r="I65" s="234" t="inlineStr">
        <is>
          <t>Ville de résidence du tiers</t>
        </is>
      </c>
      <c r="J65" s="235" t="inlineStr">
        <is>
          <t>City of residence of external counterparty</t>
        </is>
      </c>
      <c r="K65" s="231" t="inlineStr">
        <is>
          <t>ND</t>
        </is>
      </c>
      <c r="L65" s="236" t="inlineStr">
        <is>
          <t>ND</t>
        </is>
      </c>
      <c r="M65" s="1417" t="inlineStr">
        <is>
          <t>NA</t>
        </is>
      </c>
      <c r="N65" s="231" t="inlineStr">
        <is>
          <t>Obligatoire</t>
        </is>
      </c>
      <c r="O65" s="236" t="inlineStr">
        <is>
          <t>Mandatory</t>
        </is>
      </c>
      <c r="P65" s="206" t="inlineStr">
        <is>
          <t>NA</t>
        </is>
      </c>
      <c r="Q65" s="206" t="inlineStr">
        <is>
          <t>NA</t>
        </is>
      </c>
      <c r="R65" s="268" t="inlineStr">
        <is>
          <t>Ville de l'adresse fiscale de niveau personne morale. Obligatoire à la création du Tiers</t>
        </is>
      </c>
      <c r="S65" s="235" t="inlineStr">
        <is>
          <t>City component of tax address of legal entity. Mandatory for the creation of External Counterparties</t>
        </is>
      </c>
      <c r="T65" s="206" t="inlineStr">
        <is>
          <t>ALPHA</t>
        </is>
      </c>
      <c r="U65" s="237" t="inlineStr">
        <is>
          <t>NA</t>
        </is>
      </c>
      <c r="V65" s="238" t="inlineStr">
        <is>
          <t>NA</t>
        </is>
      </c>
      <c r="W65" s="231" t="n">
        <v>30</v>
      </c>
      <c r="X65" s="231" t="inlineStr">
        <is>
          <t>NA</t>
        </is>
      </c>
      <c r="Y65" s="239" t="n">
        <v>40</v>
      </c>
      <c r="Z65" s="239" t="inlineStr">
        <is>
          <t>NA</t>
        </is>
      </c>
      <c r="AA65" s="237" t="inlineStr">
        <is>
          <t>NA</t>
        </is>
      </c>
      <c r="AB65" s="231" t="inlineStr">
        <is>
          <t>ANACREDIT</t>
        </is>
      </c>
      <c r="AC65" s="231" t="inlineStr">
        <is>
          <t>ND</t>
        </is>
      </c>
      <c r="AD65" s="231" t="inlineStr">
        <is>
          <t>N</t>
        </is>
      </c>
      <c r="AE65" s="231" t="inlineStr">
        <is>
          <t>NA</t>
        </is>
      </c>
      <c r="AF65" s="231" t="inlineStr">
        <is>
          <t>NA</t>
        </is>
      </c>
      <c r="AG65" s="212" t="inlineStr">
        <is>
          <t>NA</t>
        </is>
      </c>
      <c r="AH65" s="89" t="n"/>
      <c r="AI65" s="204" t="n"/>
      <c r="AJ65" s="213" t="n"/>
      <c r="AK65" s="206" t="n"/>
      <c r="AL65" s="207" t="n"/>
      <c r="AM65" s="205" t="n"/>
      <c r="AN65" s="213" t="n"/>
      <c r="AO65" s="206" t="n"/>
      <c r="AP65" s="207" t="n"/>
      <c r="AQ65" s="205" t="n"/>
      <c r="AR65" s="213" t="n"/>
      <c r="AS65" s="206" t="n"/>
      <c r="AT65" s="207" t="n"/>
      <c r="AU65" s="210" t="n"/>
      <c r="AV65" s="211" t="n"/>
      <c r="AW65" s="206" t="n"/>
      <c r="AX65" s="207" t="n"/>
      <c r="AY65" s="205" t="n"/>
      <c r="AZ65" s="213" t="n"/>
      <c r="BA65" s="206" t="n"/>
      <c r="BB65" s="207" t="n"/>
      <c r="BC65" s="204" t="n"/>
      <c r="BD65" s="213" t="n"/>
      <c r="BE65" s="206" t="n"/>
      <c r="BF65" s="207" t="n"/>
      <c r="BH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5">
        <f>_xlfn.LET(r,ROW(),oc,INDEX($A:$A,r),cv,TRIM(INDEX($Y:$Y,r)&amp;""),IF(oc&lt;&gt;"P1","",IF(cv="45","V45 - novo, nao alimentado pelo spool atual","V44 - alimentado pelo spool atual")))</f>
        <v/>
      </c>
    </row>
    <row r="66" ht="54" customHeight="1">
      <c r="A66" s="230" t="inlineStr">
        <is>
          <t>C1</t>
        </is>
      </c>
      <c r="B66" s="231" t="n">
        <v>48</v>
      </c>
      <c r="C66" s="269" t="inlineStr">
        <is>
          <t>16 - Identification Tiers</t>
        </is>
      </c>
      <c r="D66" s="236" t="inlineStr">
        <is>
          <t>16 - Third party identification</t>
        </is>
      </c>
      <c r="E66" s="206" t="inlineStr">
        <is>
          <t>C1 3.7</t>
        </is>
      </c>
      <c r="F66" s="234" t="inlineStr">
        <is>
          <t>Code postal</t>
        </is>
      </c>
      <c r="G66" s="235" t="inlineStr">
        <is>
          <t>Postcode</t>
        </is>
      </c>
      <c r="H66" s="235" t="n"/>
      <c r="I66" s="234" t="inlineStr">
        <is>
          <t>Code postal de la ville de résidence</t>
        </is>
      </c>
      <c r="J66" s="235" t="inlineStr">
        <is>
          <t>Postcode of the city of residence</t>
        </is>
      </c>
      <c r="K66" s="231" t="inlineStr">
        <is>
          <t>ND</t>
        </is>
      </c>
      <c r="L66" s="236" t="inlineStr">
        <is>
          <t>ND</t>
        </is>
      </c>
      <c r="M66" s="1417" t="inlineStr">
        <is>
          <t>NA</t>
        </is>
      </c>
      <c r="N66" s="231" t="inlineStr">
        <is>
          <t>Obligatoire</t>
        </is>
      </c>
      <c r="O66" s="236" t="inlineStr">
        <is>
          <t>Mandatory</t>
        </is>
      </c>
      <c r="P66" s="206" t="inlineStr">
        <is>
          <t>NA</t>
        </is>
      </c>
      <c r="Q66" s="206" t="inlineStr">
        <is>
          <t>NA</t>
        </is>
      </c>
      <c r="R66" s="268" t="inlineStr">
        <is>
          <t>Code postal de l'adresse fiscale de niveau personne morale. Obligatoire à la création du Tiers</t>
        </is>
      </c>
      <c r="S66" s="235" t="inlineStr">
        <is>
          <t>Postcode component of tax address of legal entity. Mandatory for the creation of External Counterparties</t>
        </is>
      </c>
      <c r="T66" s="206" t="inlineStr">
        <is>
          <t>ALPHA</t>
        </is>
      </c>
      <c r="U66" s="237" t="inlineStr">
        <is>
          <t>NA</t>
        </is>
      </c>
      <c r="V66" s="238" t="inlineStr">
        <is>
          <t>NA</t>
        </is>
      </c>
      <c r="W66" s="231" t="n">
        <v>15</v>
      </c>
      <c r="X66" s="231" t="inlineStr">
        <is>
          <t>NA</t>
        </is>
      </c>
      <c r="Y66" s="239" t="n">
        <v>40</v>
      </c>
      <c r="Z66" s="239" t="inlineStr">
        <is>
          <t>NA</t>
        </is>
      </c>
      <c r="AA66" s="237" t="inlineStr">
        <is>
          <t>NA</t>
        </is>
      </c>
      <c r="AB66" s="231" t="inlineStr">
        <is>
          <t>ANACREDIT</t>
        </is>
      </c>
      <c r="AC66" s="231" t="inlineStr">
        <is>
          <t>ND</t>
        </is>
      </c>
      <c r="AD66" s="231" t="inlineStr">
        <is>
          <t>N</t>
        </is>
      </c>
      <c r="AE66" s="231" t="inlineStr">
        <is>
          <t>NA</t>
        </is>
      </c>
      <c r="AF66" s="231" t="inlineStr">
        <is>
          <t>NA</t>
        </is>
      </c>
      <c r="AG66" s="212" t="inlineStr">
        <is>
          <t>NA</t>
        </is>
      </c>
      <c r="AH66" s="89" t="n"/>
      <c r="AI66" s="204" t="n"/>
      <c r="AJ66" s="213" t="n"/>
      <c r="AK66" s="206" t="n"/>
      <c r="AL66" s="207" t="n"/>
      <c r="AM66" s="205" t="n"/>
      <c r="AN66" s="213" t="n"/>
      <c r="AO66" s="206" t="n"/>
      <c r="AP66" s="207" t="n"/>
      <c r="AQ66" s="205" t="n"/>
      <c r="AR66" s="213" t="n"/>
      <c r="AS66" s="206" t="n"/>
      <c r="AT66" s="207" t="n"/>
      <c r="AU66" s="210" t="n"/>
      <c r="AV66" s="211" t="n"/>
      <c r="AW66" s="206" t="n"/>
      <c r="AX66" s="207" t="n"/>
      <c r="AY66" s="205" t="n"/>
      <c r="AZ66" s="213" t="n"/>
      <c r="BA66" s="206" t="n"/>
      <c r="BB66" s="207" t="n"/>
      <c r="BC66" s="204" t="n"/>
      <c r="BD66" s="213" t="n"/>
      <c r="BE66" s="206" t="n"/>
      <c r="BF66" s="207" t="n"/>
      <c r="BH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6">
        <f>_xlfn.LET(r,ROW(),oc,INDEX($A:$A,r),cv,TRIM(INDEX($Y:$Y,r)&amp;""),IF(oc&lt;&gt;"P1","",IF(cv="45","V45 - novo, nao alimentado pelo spool atual","V44 - alimentado pelo spool atual")))</f>
        <v/>
      </c>
    </row>
    <row r="67" ht="54" customHeight="1">
      <c r="A67" s="230" t="inlineStr">
        <is>
          <t>C1</t>
        </is>
      </c>
      <c r="B67" s="231" t="n">
        <v>49</v>
      </c>
      <c r="C67" s="269" t="inlineStr">
        <is>
          <t>25 - Notation du tiers</t>
        </is>
      </c>
      <c r="D67" s="236" t="inlineStr">
        <is>
          <t>25 - Third party rating</t>
        </is>
      </c>
      <c r="E67" s="206" t="inlineStr">
        <is>
          <t>C1 4.0</t>
        </is>
      </c>
      <c r="F67" s="234" t="inlineStr">
        <is>
          <t>Date d'arrêté des comptes pour la notation</t>
        </is>
      </c>
      <c r="G67" s="235" t="inlineStr">
        <is>
          <t>Reporting date of accounts used for the rating</t>
        </is>
      </c>
      <c r="H67" s="235" t="n"/>
      <c r="I67" s="234" t="inlineStr">
        <is>
          <t>Date de clôture des comptes ayant servi pour noter le tiers</t>
        </is>
      </c>
      <c r="J67" s="235" t="inlineStr">
        <is>
          <t>Closing date of financial statements used to rate the external counterparty</t>
        </is>
      </c>
      <c r="K67" s="231" t="inlineStr">
        <is>
          <t>ND</t>
        </is>
      </c>
      <c r="L67" s="236" t="inlineStr">
        <is>
          <t>ND</t>
        </is>
      </c>
      <c r="M67" s="1417" t="inlineStr">
        <is>
          <t>NA</t>
        </is>
      </c>
      <c r="N67" s="231" t="inlineStr">
        <is>
          <t>Obligatoire</t>
        </is>
      </c>
      <c r="O67" s="236" t="inlineStr">
        <is>
          <t>Mandatory</t>
        </is>
      </c>
      <c r="P67" s="206" t="inlineStr">
        <is>
          <t>NA</t>
        </is>
      </c>
      <c r="Q67" s="206" t="inlineStr">
        <is>
          <t>NA</t>
        </is>
      </c>
      <c r="R67" s="234" t="inlineStr">
        <is>
          <t>Obligatoire dès que le tiers est noté (note finale retenue (C1 4.1) &lt;&gt; ‘ND')
A vide si C1 4.1 = ‘ND'
Donnée sous responsabilité du RUN</t>
        </is>
      </c>
      <c r="S67" s="235" t="inlineStr">
        <is>
          <t>Mandatory once the external counterparty is rated (assigned rating (C1 4.1) &lt;&gt; ‘ND')
Empty where C1 4.1 = ‘ND'
Data owned by the «RUN»</t>
        </is>
      </c>
      <c r="T67" s="206" t="inlineStr">
        <is>
          <t>DATE</t>
        </is>
      </c>
      <c r="U67" s="237" t="inlineStr">
        <is>
          <t>AAAAMMJJ</t>
        </is>
      </c>
      <c r="V67" s="238" t="inlineStr">
        <is>
          <t>YYYYMMDD</t>
        </is>
      </c>
      <c r="W67" s="231" t="n">
        <v>8</v>
      </c>
      <c r="X67" s="231" t="inlineStr">
        <is>
          <t>NA</t>
        </is>
      </c>
      <c r="Y67" s="239" t="n">
        <v>40</v>
      </c>
      <c r="Z67" s="239" t="inlineStr">
        <is>
          <t>NA</t>
        </is>
      </c>
      <c r="AA67" s="237" t="inlineStr">
        <is>
          <t>NA</t>
        </is>
      </c>
      <c r="AB67" s="231" t="inlineStr">
        <is>
          <t>ANACREDIT</t>
        </is>
      </c>
      <c r="AC67" s="231" t="inlineStr">
        <is>
          <t>ND</t>
        </is>
      </c>
      <c r="AD67" s="231" t="inlineStr">
        <is>
          <t>N</t>
        </is>
      </c>
      <c r="AE67" s="257" t="inlineStr">
        <is>
          <t>NA</t>
        </is>
      </c>
      <c r="AF67" s="257" t="inlineStr">
        <is>
          <t>NA</t>
        </is>
      </c>
      <c r="AG67" s="258" t="inlineStr">
        <is>
          <t>NA</t>
        </is>
      </c>
      <c r="AH67" s="89" t="n"/>
      <c r="AI67" s="204" t="n"/>
      <c r="AJ67" s="213" t="n"/>
      <c r="AK67" s="206" t="n"/>
      <c r="AL67" s="207" t="n"/>
      <c r="AM67" s="205" t="n"/>
      <c r="AN67" s="213" t="n"/>
      <c r="AO67" s="206" t="n"/>
      <c r="AP67" s="207" t="n"/>
      <c r="AQ67" s="205" t="n"/>
      <c r="AR67" s="213" t="n"/>
      <c r="AS67" s="206" t="n"/>
      <c r="AT67" s="207" t="n"/>
      <c r="AU67" s="210" t="n"/>
      <c r="AV67" s="211" t="n"/>
      <c r="AW67" s="206" t="n"/>
      <c r="AX67" s="207" t="n"/>
      <c r="AY67" s="205" t="n"/>
      <c r="AZ67" s="213" t="n"/>
      <c r="BA67" s="206" t="n"/>
      <c r="BB67" s="207" t="n"/>
      <c r="BC67" s="204" t="n"/>
      <c r="BD67" s="213" t="n"/>
      <c r="BE67" s="206" t="n"/>
      <c r="BF67" s="207" t="n"/>
      <c r="BH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7">
        <f>_xlfn.LET(r,ROW(),oc,INDEX($A:$A,r),cv,TRIM(INDEX($Y:$Y,r)&amp;""),IF(oc&lt;&gt;"P1","",IF(cv="45","V45 - novo, nao alimentado pelo spool atual","V44 - alimentado pelo spool atual")))</f>
        <v/>
      </c>
    </row>
    <row r="68" ht="54" customHeight="1">
      <c r="A68" s="230" t="inlineStr">
        <is>
          <t>C1</t>
        </is>
      </c>
      <c r="B68" s="231" t="n">
        <v>50</v>
      </c>
      <c r="C68" s="269" t="inlineStr">
        <is>
          <t>16 - Identification Tiers</t>
        </is>
      </c>
      <c r="D68" s="236" t="inlineStr">
        <is>
          <t>16 - Third party identification</t>
        </is>
      </c>
      <c r="E68" s="206" t="inlineStr">
        <is>
          <t>C1 4.1</t>
        </is>
      </c>
      <c r="F68" s="234" t="inlineStr">
        <is>
          <t>Note finale retenue</t>
        </is>
      </c>
      <c r="G68" s="235" t="inlineStr">
        <is>
          <t>Assigned final rating</t>
        </is>
      </c>
      <c r="H68" s="235" t="n"/>
      <c r="I68" s="234" t="inlineStr">
        <is>
          <t>La NOte finale Retenue (NOR) est la note attribuée au tiers en fin de processus de calcul, et validée par l'instance décisionnelle de l'entité RUN</t>
        </is>
      </c>
      <c r="J68" s="235" t="inlineStr">
        <is>
          <t>The assigned rating is the rating given to the external counterparty at the end of the calculation process, and approved by the decision-making body of the RUN entity</t>
        </is>
      </c>
      <c r="K68" s="231" t="inlineStr">
        <is>
          <t>ND</t>
        </is>
      </c>
      <c r="L68" s="236" t="inlineStr">
        <is>
          <t>ND</t>
        </is>
      </c>
      <c r="M68" s="1417" t="inlineStr">
        <is>
          <t>NA</t>
        </is>
      </c>
      <c r="N68" s="231" t="inlineStr">
        <is>
          <t>Obligatoire</t>
        </is>
      </c>
      <c r="O68" s="236" t="inlineStr">
        <is>
          <t>Mandatory</t>
        </is>
      </c>
      <c r="P68" s="206" t="inlineStr">
        <is>
          <t>LC.0006</t>
        </is>
      </c>
      <c r="Q68" s="206" t="inlineStr">
        <is>
          <t>TA NM648</t>
        </is>
      </c>
      <c r="R68" s="234" t="inlineStr">
        <is>
          <t>La valeur par défaut étant ‘ND'
Donnée sous responsabilité du RUN.</t>
        </is>
      </c>
      <c r="S68" s="235" t="inlineStr">
        <is>
          <t>The default value being ‘ND'
Data owned by the «RUN».</t>
        </is>
      </c>
      <c r="T68" s="206" t="inlineStr">
        <is>
          <t>ALPHA</t>
        </is>
      </c>
      <c r="U68" s="237" t="inlineStr">
        <is>
          <t>NA</t>
        </is>
      </c>
      <c r="V68" s="238" t="inlineStr">
        <is>
          <t>NA</t>
        </is>
      </c>
      <c r="W68" s="231" t="n">
        <v>2</v>
      </c>
      <c r="X68" s="231" t="inlineStr">
        <is>
          <t>NA</t>
        </is>
      </c>
      <c r="Y68" s="239" t="n">
        <v>40</v>
      </c>
      <c r="Z68" s="239" t="inlineStr">
        <is>
          <t>NA</t>
        </is>
      </c>
      <c r="AA68" s="237" t="inlineStr">
        <is>
          <t>NA</t>
        </is>
      </c>
      <c r="AB68" s="231" t="inlineStr">
        <is>
          <t>ANACREDIT</t>
        </is>
      </c>
      <c r="AC68" s="231" t="inlineStr">
        <is>
          <t>ND</t>
        </is>
      </c>
      <c r="AD68" s="231" t="inlineStr">
        <is>
          <t>N</t>
        </is>
      </c>
      <c r="AE68" s="257" t="inlineStr">
        <is>
          <t>NA</t>
        </is>
      </c>
      <c r="AF68" s="257" t="inlineStr">
        <is>
          <t>NA</t>
        </is>
      </c>
      <c r="AG68" s="258" t="inlineStr">
        <is>
          <t>NA</t>
        </is>
      </c>
      <c r="AH68" s="89" t="n"/>
      <c r="AI68" s="204" t="n"/>
      <c r="AJ68" s="213" t="n"/>
      <c r="AK68" s="206" t="n"/>
      <c r="AL68" s="207" t="n"/>
      <c r="AM68" s="205" t="n"/>
      <c r="AN68" s="213" t="n"/>
      <c r="AO68" s="206" t="n"/>
      <c r="AP68" s="207" t="n"/>
      <c r="AQ68" s="205" t="n"/>
      <c r="AR68" s="213" t="n"/>
      <c r="AS68" s="206" t="n"/>
      <c r="AT68" s="207" t="n"/>
      <c r="AU68" s="210" t="n"/>
      <c r="AV68" s="211" t="n"/>
      <c r="AW68" s="206" t="n"/>
      <c r="AX68" s="207" t="n"/>
      <c r="AY68" s="205" t="n"/>
      <c r="AZ68" s="213" t="n"/>
      <c r="BA68" s="206" t="n"/>
      <c r="BB68" s="207" t="n"/>
      <c r="BC68" s="204" t="n"/>
      <c r="BD68" s="213" t="n"/>
      <c r="BE68" s="206" t="n"/>
      <c r="BF68" s="207" t="n"/>
      <c r="BH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8">
        <f>_xlfn.LET(r,ROW(),oc,INDEX($A:$A,r),cv,TRIM(INDEX($Y:$Y,r)&amp;""),IF(oc&lt;&gt;"P1","",IF(cv="45","V45 - novo, nao alimentado pelo spool atual","V44 - alimentado pelo spool atual")))</f>
        <v/>
      </c>
    </row>
    <row r="69" ht="54" customHeight="1">
      <c r="A69" s="230" t="inlineStr">
        <is>
          <t>C1</t>
        </is>
      </c>
      <c r="B69" s="231" t="n">
        <v>51</v>
      </c>
      <c r="C69" s="269" t="inlineStr">
        <is>
          <t>16 - Identification Tiers</t>
        </is>
      </c>
      <c r="D69" s="236" t="inlineStr">
        <is>
          <t>16 - Third party identification</t>
        </is>
      </c>
      <c r="E69" s="206" t="inlineStr">
        <is>
          <t>C1 4.2</t>
        </is>
      </c>
      <c r="F69" s="234" t="inlineStr">
        <is>
          <t>Date de révision de la note</t>
        </is>
      </c>
      <c r="G69" s="235" t="inlineStr">
        <is>
          <t>Date rating reviewed</t>
        </is>
      </c>
      <c r="H69" s="235" t="n"/>
      <c r="I69" s="234" t="inlineStr">
        <is>
          <t>La date de la note est la date de la dernière révision, c'est-à-dire date à laquelle la note a été revue, même si celle-ci n'a pas changé</t>
        </is>
      </c>
      <c r="J69" s="235" t="inlineStr">
        <is>
          <t>The date of the rating is the date of the most recent revision, namely the date on which the rating was reviewed, even if it hasn't changed</t>
        </is>
      </c>
      <c r="K69" s="231" t="inlineStr">
        <is>
          <t>ND</t>
        </is>
      </c>
      <c r="L69" s="236" t="inlineStr">
        <is>
          <t>ND</t>
        </is>
      </c>
      <c r="M69" s="1417" t="inlineStr">
        <is>
          <t>NA</t>
        </is>
      </c>
      <c r="N69" s="231" t="inlineStr">
        <is>
          <t>Obligatoire</t>
        </is>
      </c>
      <c r="O69" s="236" t="inlineStr">
        <is>
          <t>Mandatory</t>
        </is>
      </c>
      <c r="P69" s="206" t="inlineStr">
        <is>
          <t>NA</t>
        </is>
      </c>
      <c r="Q69" s="206" t="inlineStr">
        <is>
          <t>NA</t>
        </is>
      </c>
      <c r="R69" s="234" t="inlineStr">
        <is>
          <t>Obligatoire pour un tiers ‘Unitaire' si la note finale retenue (C1 4.1) &lt;&gt; ‘ND'
A vide si C1 4.1 = ‘ND'
Donnée sous responsabilité du RUN</t>
        </is>
      </c>
      <c r="S69" s="235" t="inlineStr">
        <is>
          <t>Mandatory for an “individual” external counterparty with an assigned rating (C1 4.1) &lt;&gt; ‘ND'
Empty where C1 4.1 = ‘ND'
Data owned by the «RUN»</t>
        </is>
      </c>
      <c r="T69" s="206" t="inlineStr">
        <is>
          <t>DATE</t>
        </is>
      </c>
      <c r="U69" s="237" t="inlineStr">
        <is>
          <t>AAAAMMJJ</t>
        </is>
      </c>
      <c r="V69" s="238" t="inlineStr">
        <is>
          <t>YYYYMMDD</t>
        </is>
      </c>
      <c r="W69" s="231" t="n">
        <v>8</v>
      </c>
      <c r="X69" s="231" t="inlineStr">
        <is>
          <t>NA</t>
        </is>
      </c>
      <c r="Y69" s="239" t="n">
        <v>40</v>
      </c>
      <c r="Z69" s="239" t="inlineStr">
        <is>
          <t>NA</t>
        </is>
      </c>
      <c r="AA69" s="237" t="inlineStr">
        <is>
          <t>NA</t>
        </is>
      </c>
      <c r="AB69" s="231" t="inlineStr">
        <is>
          <t>TIGRE</t>
        </is>
      </c>
      <c r="AC69" s="231" t="inlineStr">
        <is>
          <t>ND</t>
        </is>
      </c>
      <c r="AD69" s="231" t="inlineStr">
        <is>
          <t>N</t>
        </is>
      </c>
      <c r="AE69" s="257" t="inlineStr">
        <is>
          <t>NA</t>
        </is>
      </c>
      <c r="AF69" s="257" t="inlineStr">
        <is>
          <t>NA</t>
        </is>
      </c>
      <c r="AG69" s="258" t="inlineStr">
        <is>
          <t>NA</t>
        </is>
      </c>
      <c r="AH69" s="89" t="n"/>
      <c r="AI69" s="204" t="n"/>
      <c r="AJ69" s="213" t="n"/>
      <c r="AK69" s="206" t="n"/>
      <c r="AL69" s="207" t="n"/>
      <c r="AM69" s="205" t="n"/>
      <c r="AN69" s="213" t="n"/>
      <c r="AO69" s="206" t="n"/>
      <c r="AP69" s="207" t="n"/>
      <c r="AQ69" s="205" t="n"/>
      <c r="AR69" s="213" t="n"/>
      <c r="AS69" s="206" t="n"/>
      <c r="AT69" s="207" t="n"/>
      <c r="AU69" s="210" t="n"/>
      <c r="AV69" s="211" t="n"/>
      <c r="AW69" s="206" t="n"/>
      <c r="AX69" s="207" t="n"/>
      <c r="AY69" s="205" t="n"/>
      <c r="AZ69" s="213" t="n"/>
      <c r="BA69" s="206" t="n"/>
      <c r="BB69" s="207" t="n"/>
      <c r="BC69" s="204" t="n"/>
      <c r="BD69" s="213" t="n"/>
      <c r="BE69" s="206" t="n"/>
      <c r="BF69" s="207" t="n"/>
      <c r="BH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9">
        <f>_xlfn.LET(r,ROW(),oc,INDEX($A:$A,r),cv,TRIM(INDEX($Y:$Y,r)&amp;""),IF(oc&lt;&gt;"P1","",IF(cv="45","V45 - novo, nao alimentado pelo spool atual","V44 - alimentado pelo spool atual")))</f>
        <v/>
      </c>
    </row>
    <row r="70" ht="54" customHeight="1">
      <c r="A70" s="230" t="inlineStr">
        <is>
          <t>C1</t>
        </is>
      </c>
      <c r="B70" s="231" t="n">
        <v>52</v>
      </c>
      <c r="C70" s="269" t="inlineStr">
        <is>
          <t>16 - Identification Tiers</t>
        </is>
      </c>
      <c r="D70" s="236" t="inlineStr">
        <is>
          <t>16 - Third party identification</t>
        </is>
      </c>
      <c r="E70" s="206" t="inlineStr">
        <is>
          <t>C1 4.15</t>
        </is>
      </c>
      <c r="F70" s="234" t="inlineStr">
        <is>
          <t>Date d'entrée en défaut</t>
        </is>
      </c>
      <c r="G70" s="235" t="inlineStr">
        <is>
          <t>Date of placement in default</t>
        </is>
      </c>
      <c r="H70" s="235" t="n"/>
      <c r="I70" s="234" t="inlineStr">
        <is>
          <t>Il s'agit de la Date d'entrée en défaut du Tiers au niveau Groupe Crédit Agricole. Cad = Date de passage d'une note saine à une note F ou Z</t>
        </is>
      </c>
      <c r="J70" s="235" t="inlineStr">
        <is>
          <t>It is the date on which the External Counterparty is declared to be in default within the Crédit Agricole Group. Namely, the date a performing rating was changed to an F or Z rating</t>
        </is>
      </c>
      <c r="K70" s="231" t="inlineStr">
        <is>
          <t>ND</t>
        </is>
      </c>
      <c r="L70" s="236" t="inlineStr">
        <is>
          <t>ND</t>
        </is>
      </c>
      <c r="M70" s="1417" t="inlineStr">
        <is>
          <t>NA</t>
        </is>
      </c>
      <c r="N70" s="231" t="inlineStr">
        <is>
          <t>Obligatoire</t>
        </is>
      </c>
      <c r="O70" s="236" t="inlineStr">
        <is>
          <t>Mandatory</t>
        </is>
      </c>
      <c r="P70" s="206" t="inlineStr">
        <is>
          <t>NA</t>
        </is>
      </c>
      <c r="Q70" s="206" t="inlineStr">
        <is>
          <t>NA</t>
        </is>
      </c>
      <c r="R70" s="234" t="inlineStr">
        <is>
          <t>Obligatoire en cas de défaut
Cette donnée doit être renseignée à vide lorsque le tiers sort du défaut. Si ce dernier entre de nouveau en défaut, c'est la nouvelle date d'entrée en défaut qui compte
Donnée sous responsabilité du RUN</t>
        </is>
      </c>
      <c r="S70" s="235" t="inlineStr">
        <is>
          <t>Mandatory in the event of default
This data must be reset to empty when the external counterparty comes out of default. If the latter goes back into default, the new date of placement in default is used
Data owned by the «RUN»</t>
        </is>
      </c>
      <c r="T70" s="206" t="inlineStr">
        <is>
          <t>DATE</t>
        </is>
      </c>
      <c r="U70" s="237" t="inlineStr">
        <is>
          <t>AAAAMMJJ</t>
        </is>
      </c>
      <c r="V70" s="238" t="inlineStr">
        <is>
          <t>YYYYMMDD</t>
        </is>
      </c>
      <c r="W70" s="231" t="n">
        <v>8</v>
      </c>
      <c r="X70" s="231" t="inlineStr">
        <is>
          <t>NA</t>
        </is>
      </c>
      <c r="Y70" s="239" t="n">
        <v>40</v>
      </c>
      <c r="Z70" s="239" t="inlineStr">
        <is>
          <t>NA</t>
        </is>
      </c>
      <c r="AA70" s="237" t="inlineStr">
        <is>
          <t>NA</t>
        </is>
      </c>
      <c r="AB70" s="231" t="inlineStr">
        <is>
          <t>ANACREDIT</t>
        </is>
      </c>
      <c r="AC70" s="231" t="inlineStr">
        <is>
          <t>ND</t>
        </is>
      </c>
      <c r="AD70" s="231" t="inlineStr">
        <is>
          <t>N</t>
        </is>
      </c>
      <c r="AE70" s="257" t="inlineStr">
        <is>
          <t>NA</t>
        </is>
      </c>
      <c r="AF70" s="257" t="inlineStr">
        <is>
          <t>NA</t>
        </is>
      </c>
      <c r="AG70" s="258" t="inlineStr">
        <is>
          <t>NA</t>
        </is>
      </c>
      <c r="AH70" s="89" t="n"/>
      <c r="AI70" s="204" t="n"/>
      <c r="AJ70" s="213" t="n"/>
      <c r="AK70" s="206" t="n"/>
      <c r="AL70" s="207" t="n"/>
      <c r="AM70" s="205" t="n"/>
      <c r="AN70" s="213" t="n"/>
      <c r="AO70" s="206" t="n"/>
      <c r="AP70" s="207" t="n"/>
      <c r="AQ70" s="205" t="n"/>
      <c r="AR70" s="213" t="n"/>
      <c r="AS70" s="206" t="n"/>
      <c r="AT70" s="207" t="n"/>
      <c r="AU70" s="210" t="n"/>
      <c r="AV70" s="211" t="n"/>
      <c r="AW70" s="206" t="n"/>
      <c r="AX70" s="207" t="n"/>
      <c r="AY70" s="205" t="n"/>
      <c r="AZ70" s="213" t="n"/>
      <c r="BA70" s="206" t="n"/>
      <c r="BB70" s="207" t="n"/>
      <c r="BC70" s="204" t="n"/>
      <c r="BD70" s="213" t="n"/>
      <c r="BE70" s="206" t="n"/>
      <c r="BF70" s="207" t="n"/>
      <c r="BH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0">
        <f>_xlfn.LET(r,ROW(),oc,INDEX($A:$A,r),cv,TRIM(INDEX($Y:$Y,r)&amp;""),IF(oc&lt;&gt;"P1","",IF(cv="45","V45 - novo, nao alimentado pelo spool atual","V44 - alimentado pelo spool atual")))</f>
        <v/>
      </c>
    </row>
    <row r="71" ht="54" customHeight="1">
      <c r="A71" s="230" t="inlineStr">
        <is>
          <t>C1</t>
        </is>
      </c>
      <c r="B71" s="231" t="n">
        <v>53</v>
      </c>
      <c r="C71" s="269" t="inlineStr">
        <is>
          <t>25 - Notation du tiers</t>
        </is>
      </c>
      <c r="D71" s="236" t="inlineStr">
        <is>
          <t>25 - Third party rating</t>
        </is>
      </c>
      <c r="E71" s="206" t="inlineStr">
        <is>
          <t>C1 4.3</t>
        </is>
      </c>
      <c r="F71" s="234" t="inlineStr">
        <is>
          <t>Méthodologie de notation</t>
        </is>
      </c>
      <c r="G71" s="235" t="inlineStr">
        <is>
          <t>Rating methodology</t>
        </is>
      </c>
      <c r="H71" s="235" t="n"/>
      <c r="I71" s="234" t="inlineStr">
        <is>
          <t>Type de méthodologie de la notation utilisée pour l'obtention de la note transmise</t>
        </is>
      </c>
      <c r="J71" s="235" t="inlineStr">
        <is>
          <t>Type of methodology of the rating used to obtain the rating given</t>
        </is>
      </c>
      <c r="K71" s="231" t="inlineStr">
        <is>
          <t>ND</t>
        </is>
      </c>
      <c r="L71" s="236" t="inlineStr">
        <is>
          <t>ND</t>
        </is>
      </c>
      <c r="M71" s="1417" t="inlineStr">
        <is>
          <t>NA</t>
        </is>
      </c>
      <c r="N71" s="231" t="inlineStr">
        <is>
          <t>Obligatoire</t>
        </is>
      </c>
      <c r="O71" s="236" t="inlineStr">
        <is>
          <t>Mandatory</t>
        </is>
      </c>
      <c r="P71" s="206" t="inlineStr">
        <is>
          <t>LC.0007</t>
        </is>
      </c>
      <c r="Q71" s="206" t="inlineStr">
        <is>
          <t>TA NM196</t>
        </is>
      </c>
      <c r="R71" s="234" t="inlineStr">
        <is>
          <t>Obligatoire si la note finale retenue (C1 4.1) &lt;&gt; ‘ND'.
Chaque grille de notation est associée à une méthodologie
Donnée sous responsabilité du RUN</t>
        </is>
      </c>
      <c r="S71" s="235" t="inlineStr">
        <is>
          <t>Mandatory where the assigned rating (C1 4.1) &lt;&gt; ‘ND'
Each rating scale is associated with a methodology
Data owned by the «RUN»</t>
        </is>
      </c>
      <c r="T71" s="206" t="inlineStr">
        <is>
          <t>ALPHA</t>
        </is>
      </c>
      <c r="U71" s="237" t="inlineStr">
        <is>
          <t>NA</t>
        </is>
      </c>
      <c r="V71" s="238" t="inlineStr">
        <is>
          <t>NA</t>
        </is>
      </c>
      <c r="W71" s="231" t="n">
        <v>3</v>
      </c>
      <c r="X71" s="231" t="inlineStr">
        <is>
          <t>NA</t>
        </is>
      </c>
      <c r="Y71" s="239" t="n">
        <v>40</v>
      </c>
      <c r="Z71" s="239" t="inlineStr">
        <is>
          <t>NA</t>
        </is>
      </c>
      <c r="AA71" s="237" t="inlineStr">
        <is>
          <t>NA</t>
        </is>
      </c>
      <c r="AB71" s="231" t="inlineStr">
        <is>
          <t>TIGRE</t>
        </is>
      </c>
      <c r="AC71" s="231" t="inlineStr">
        <is>
          <t>ND</t>
        </is>
      </c>
      <c r="AD71" s="231" t="inlineStr">
        <is>
          <t>N</t>
        </is>
      </c>
      <c r="AE71" s="257" t="inlineStr">
        <is>
          <t>NA</t>
        </is>
      </c>
      <c r="AF71" s="257" t="inlineStr">
        <is>
          <t>NA</t>
        </is>
      </c>
      <c r="AG71" s="258" t="inlineStr">
        <is>
          <t>NA</t>
        </is>
      </c>
      <c r="AH71" s="89" t="n"/>
      <c r="AI71" s="204" t="n"/>
      <c r="AJ71" s="213" t="n"/>
      <c r="AK71" s="206" t="n"/>
      <c r="AL71" s="207" t="n"/>
      <c r="AM71" s="205" t="n"/>
      <c r="AN71" s="213" t="n"/>
      <c r="AO71" s="206" t="n"/>
      <c r="AP71" s="207" t="n"/>
      <c r="AQ71" s="205" t="n"/>
      <c r="AR71" s="213" t="n"/>
      <c r="AS71" s="206" t="n"/>
      <c r="AT71" s="207" t="n"/>
      <c r="AU71" s="210" t="n"/>
      <c r="AV71" s="211" t="n"/>
      <c r="AW71" s="206" t="n"/>
      <c r="AX71" s="207" t="n"/>
      <c r="AY71" s="205" t="n"/>
      <c r="AZ71" s="213" t="n"/>
      <c r="BA71" s="206" t="n"/>
      <c r="BB71" s="207" t="n"/>
      <c r="BC71" s="204" t="n"/>
      <c r="BD71" s="213" t="n"/>
      <c r="BE71" s="206" t="n"/>
      <c r="BF71" s="207" t="n"/>
      <c r="BH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1">
        <f>_xlfn.LET(r,ROW(),oc,INDEX($A:$A,r),cv,TRIM(INDEX($Y:$Y,r)&amp;""),IF(oc&lt;&gt;"P1","",IF(cv="45","V45 - novo, nao alimentado pelo spool atual","V44 - alimentado pelo spool atual")))</f>
        <v/>
      </c>
    </row>
    <row r="72" ht="54" customHeight="1">
      <c r="A72" s="230" t="inlineStr">
        <is>
          <t>C1</t>
        </is>
      </c>
      <c r="B72" s="231" t="n">
        <v>54</v>
      </c>
      <c r="C72" s="269" t="inlineStr">
        <is>
          <t>25 - Notation du tiers</t>
        </is>
      </c>
      <c r="D72" s="236" t="inlineStr">
        <is>
          <t>25 - Third party rating</t>
        </is>
      </c>
      <c r="E72" s="206" t="inlineStr">
        <is>
          <t>C1 4.4</t>
        </is>
      </c>
      <c r="F72" s="234" t="inlineStr">
        <is>
          <t>Motif de la notation</t>
        </is>
      </c>
      <c r="G72" s="235" t="inlineStr">
        <is>
          <t>Grounds for rating</t>
        </is>
      </c>
      <c r="H72" s="235" t="n"/>
      <c r="I72" s="234" t="inlineStr">
        <is>
          <t>Raison de la notation</t>
        </is>
      </c>
      <c r="J72" s="235" t="inlineStr">
        <is>
          <t>Grounds for the rating</t>
        </is>
      </c>
      <c r="K72" s="231" t="inlineStr">
        <is>
          <t>ND</t>
        </is>
      </c>
      <c r="L72" s="236" t="inlineStr">
        <is>
          <t>ND</t>
        </is>
      </c>
      <c r="M72" s="1417" t="inlineStr">
        <is>
          <t>NA</t>
        </is>
      </c>
      <c r="N72" s="231" t="inlineStr">
        <is>
          <t>Obligatoire</t>
        </is>
      </c>
      <c r="O72" s="236" t="inlineStr">
        <is>
          <t>Mandatory</t>
        </is>
      </c>
      <c r="P72" s="206" t="inlineStr">
        <is>
          <t>LC.0008</t>
        </is>
      </c>
      <c r="Q72" s="206" t="inlineStr">
        <is>
          <t>TA NM730</t>
        </is>
      </c>
      <c r="R72" s="234" t="inlineStr">
        <is>
          <t>Obligatoire si la note finale retenue (C1 4.1) &lt;&gt; ‘ND'
Donnée sous responsabilité du RUN</t>
        </is>
      </c>
      <c r="S72" s="235" t="inlineStr">
        <is>
          <t>Mandatory where the assigned rating (C1 4.1) &lt;&gt; ‘ND'
Data owned by the «RUN»</t>
        </is>
      </c>
      <c r="T72" s="206" t="inlineStr">
        <is>
          <t>ALPHA</t>
        </is>
      </c>
      <c r="U72" s="237" t="inlineStr">
        <is>
          <t>NA</t>
        </is>
      </c>
      <c r="V72" s="238" t="inlineStr">
        <is>
          <t>NA</t>
        </is>
      </c>
      <c r="W72" s="231" t="n">
        <v>3</v>
      </c>
      <c r="X72" s="231" t="inlineStr">
        <is>
          <t>NA</t>
        </is>
      </c>
      <c r="Y72" s="239" t="n">
        <v>40</v>
      </c>
      <c r="Z72" s="239" t="inlineStr">
        <is>
          <t>NA</t>
        </is>
      </c>
      <c r="AA72" s="237" t="inlineStr">
        <is>
          <t>NA</t>
        </is>
      </c>
      <c r="AB72" s="231" t="inlineStr">
        <is>
          <t>TIGRE</t>
        </is>
      </c>
      <c r="AC72" s="231" t="inlineStr">
        <is>
          <t>ND</t>
        </is>
      </c>
      <c r="AD72" s="231" t="inlineStr">
        <is>
          <t>N</t>
        </is>
      </c>
      <c r="AE72" s="257" t="inlineStr">
        <is>
          <t>NA</t>
        </is>
      </c>
      <c r="AF72" s="257" t="inlineStr">
        <is>
          <t>NA</t>
        </is>
      </c>
      <c r="AG72" s="258" t="inlineStr">
        <is>
          <t>NA</t>
        </is>
      </c>
      <c r="AH72" s="89" t="n"/>
      <c r="AI72" s="204" t="n"/>
      <c r="AJ72" s="213" t="n"/>
      <c r="AK72" s="206" t="n"/>
      <c r="AL72" s="207" t="n"/>
      <c r="AM72" s="205" t="n"/>
      <c r="AN72" s="213" t="n"/>
      <c r="AO72" s="206" t="n"/>
      <c r="AP72" s="207" t="n"/>
      <c r="AQ72" s="205" t="n"/>
      <c r="AR72" s="213" t="n"/>
      <c r="AS72" s="206" t="n"/>
      <c r="AT72" s="207" t="n"/>
      <c r="AU72" s="210" t="n"/>
      <c r="AV72" s="211" t="n"/>
      <c r="AW72" s="206" t="n"/>
      <c r="AX72" s="207" t="n"/>
      <c r="AY72" s="205" t="n"/>
      <c r="AZ72" s="213" t="n"/>
      <c r="BA72" s="206" t="n"/>
      <c r="BB72" s="207" t="n"/>
      <c r="BC72" s="204" t="n"/>
      <c r="BD72" s="213" t="n"/>
      <c r="BE72" s="206" t="n"/>
      <c r="BF72" s="207" t="n"/>
      <c r="BH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2">
        <f>_xlfn.LET(r,ROW(),oc,INDEX($A:$A,r),cv,TRIM(INDEX($Y:$Y,r)&amp;""),IF(oc&lt;&gt;"P1","",IF(cv="45","V45 - novo, nao alimentado pelo spool atual","V44 - alimentado pelo spool atual")))</f>
        <v/>
      </c>
    </row>
    <row r="73" ht="54" customHeight="1">
      <c r="A73" s="230" t="inlineStr">
        <is>
          <t>C1</t>
        </is>
      </c>
      <c r="B73" s="231" t="n">
        <v>55</v>
      </c>
      <c r="C73" s="269" t="inlineStr">
        <is>
          <t>16 - Identification Tiers</t>
        </is>
      </c>
      <c r="D73" s="236" t="inlineStr">
        <is>
          <t>16 - Third party identification</t>
        </is>
      </c>
      <c r="E73" s="206" t="inlineStr">
        <is>
          <t>C1 4.19</t>
        </is>
      </c>
      <c r="F73" s="234" t="inlineStr">
        <is>
          <t>Note NAFA</t>
        </is>
      </c>
      <c r="G73" s="235" t="inlineStr">
        <is>
          <t>NAFA rating</t>
        </is>
      </c>
      <c r="H73" s="235" t="n"/>
      <c r="I73" s="234" t="inlineStr">
        <is>
          <t>Note après prise en compte du défaut et des facteurs d'alerte, l'éventuel appartenance à un groupe mais avant correctif pays</t>
        </is>
      </c>
      <c r="J73" s="235" t="inlineStr">
        <is>
          <t>Rating after factoring in of the default and warning factors, possible membership of a group but prior to country correction</t>
        </is>
      </c>
      <c r="K73" s="231" t="inlineStr">
        <is>
          <t>ND</t>
        </is>
      </c>
      <c r="L73" s="236" t="inlineStr">
        <is>
          <t>ND</t>
        </is>
      </c>
      <c r="M73" s="1417" t="inlineStr">
        <is>
          <t>NA</t>
        </is>
      </c>
      <c r="N73" s="231" t="inlineStr">
        <is>
          <t>Obligatoire</t>
        </is>
      </c>
      <c r="O73" s="236" t="inlineStr">
        <is>
          <t>Mandatory</t>
        </is>
      </c>
      <c r="P73" s="206" t="inlineStr">
        <is>
          <t>LC.0006</t>
        </is>
      </c>
      <c r="Q73" s="206" t="inlineStr">
        <is>
          <t>TA NM648</t>
        </is>
      </c>
      <c r="R73" s="234" t="inlineStr">
        <is>
          <t>Ne peut être renseigné que si la note (NOR) est renseignée et différente de 'ND'
Donnée sous responsabilité du RUN</t>
        </is>
      </c>
      <c r="S73" s="235" t="inlineStr">
        <is>
          <t>Can only be indicated where the assigned rating is input and doesn't equal 'ND'
Data owned by the «RUN»</t>
        </is>
      </c>
      <c r="T73" s="206" t="inlineStr">
        <is>
          <t>ALPHA</t>
        </is>
      </c>
      <c r="U73" s="237" t="inlineStr">
        <is>
          <t>NA</t>
        </is>
      </c>
      <c r="V73" s="238" t="inlineStr">
        <is>
          <t>NA</t>
        </is>
      </c>
      <c r="W73" s="231" t="n">
        <v>2</v>
      </c>
      <c r="X73" s="231" t="inlineStr">
        <is>
          <t>NA</t>
        </is>
      </c>
      <c r="Y73" s="239" t="n">
        <v>40</v>
      </c>
      <c r="Z73" s="239" t="inlineStr">
        <is>
          <t>NA</t>
        </is>
      </c>
      <c r="AA73" s="237" t="inlineStr">
        <is>
          <t>NA</t>
        </is>
      </c>
      <c r="AB73" s="231" t="inlineStr">
        <is>
          <t>TIGRE</t>
        </is>
      </c>
      <c r="AC73" s="231" t="inlineStr">
        <is>
          <t>ND</t>
        </is>
      </c>
      <c r="AD73" s="231" t="inlineStr">
        <is>
          <t>N</t>
        </is>
      </c>
      <c r="AE73" s="257" t="inlineStr">
        <is>
          <t>NA</t>
        </is>
      </c>
      <c r="AF73" s="257" t="inlineStr">
        <is>
          <t>NA</t>
        </is>
      </c>
      <c r="AG73" s="258" t="inlineStr">
        <is>
          <t>NA</t>
        </is>
      </c>
      <c r="AH73" s="89" t="n"/>
      <c r="AI73" s="204" t="n"/>
      <c r="AJ73" s="213" t="n"/>
      <c r="AK73" s="206" t="n"/>
      <c r="AL73" s="207" t="n"/>
      <c r="AM73" s="205" t="n"/>
      <c r="AN73" s="213" t="n"/>
      <c r="AO73" s="206" t="n"/>
      <c r="AP73" s="207" t="n"/>
      <c r="AQ73" s="205" t="n"/>
      <c r="AR73" s="213" t="n"/>
      <c r="AS73" s="206" t="n"/>
      <c r="AT73" s="207" t="n"/>
      <c r="AU73" s="210" t="n"/>
      <c r="AV73" s="211" t="n"/>
      <c r="AW73" s="206" t="n"/>
      <c r="AX73" s="207" t="n"/>
      <c r="AY73" s="205" t="n"/>
      <c r="AZ73" s="213" t="n"/>
      <c r="BA73" s="206" t="n"/>
      <c r="BB73" s="207" t="n"/>
      <c r="BC73" s="204" t="n"/>
      <c r="BD73" s="213" t="n"/>
      <c r="BE73" s="206" t="n"/>
      <c r="BF73" s="207" t="n"/>
      <c r="BH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3">
        <f>_xlfn.LET(r,ROW(),oc,INDEX($A:$A,r),cv,TRIM(INDEX($Y:$Y,r)&amp;""),IF(oc&lt;&gt;"P1","",IF(cv="45","V45 - novo, nao alimentado pelo spool atual","V44 - alimentado pelo spool atual")))</f>
        <v/>
      </c>
    </row>
    <row r="74" ht="54" customHeight="1">
      <c r="A74" s="230" t="inlineStr">
        <is>
          <t>C1</t>
        </is>
      </c>
      <c r="B74" s="231" t="n">
        <v>56</v>
      </c>
      <c r="C74" s="269" t="inlineStr">
        <is>
          <t>16 - Identification Tiers</t>
        </is>
      </c>
      <c r="D74" s="236" t="inlineStr">
        <is>
          <t>16 - Third party identification</t>
        </is>
      </c>
      <c r="E74" s="206" t="inlineStr">
        <is>
          <t>C1 4.20</t>
        </is>
      </c>
      <c r="F74" s="234" t="inlineStr">
        <is>
          <t>Note après correctif groupe</t>
        </is>
      </c>
      <c r="G74" s="235" t="inlineStr">
        <is>
          <t>Rating following group adjustment</t>
        </is>
      </c>
      <c r="H74" s="235" t="n"/>
      <c r="I74" s="234" t="inlineStr">
        <is>
          <t>Note après prise en compte du défaut et des facteurs d'alerte, l'éventuel appartenance à un groupe mais avant correctif pays</t>
        </is>
      </c>
      <c r="J74" s="235" t="inlineStr">
        <is>
          <t>Rating after factoring in of the default and warning factors, possible membership of a group but prior to country correction</t>
        </is>
      </c>
      <c r="K74" s="231" t="inlineStr">
        <is>
          <t>ND</t>
        </is>
      </c>
      <c r="L74" s="236" t="inlineStr">
        <is>
          <t>ND</t>
        </is>
      </c>
      <c r="M74" s="1417" t="inlineStr">
        <is>
          <t>NA</t>
        </is>
      </c>
      <c r="N74" s="231" t="inlineStr">
        <is>
          <t>Obligatoire</t>
        </is>
      </c>
      <c r="O74" s="236" t="inlineStr">
        <is>
          <t>Mandatory</t>
        </is>
      </c>
      <c r="P74" s="206" t="inlineStr">
        <is>
          <t>LC.0006</t>
        </is>
      </c>
      <c r="Q74" s="206" t="inlineStr">
        <is>
          <t>TA NM648</t>
        </is>
      </c>
      <c r="R74" s="234" t="inlineStr">
        <is>
          <t>Obligatoire si la note (NOR) est renseignée et différente de 'ND'
Donnée sous responsabilité du RUN</t>
        </is>
      </c>
      <c r="S74" s="235" t="inlineStr">
        <is>
          <t>Mandatory where the assigned rating is indicated and doesn't equal 'ND'
Data owned by the «RUN»</t>
        </is>
      </c>
      <c r="T74" s="206" t="inlineStr">
        <is>
          <t>ALPHA</t>
        </is>
      </c>
      <c r="U74" s="237" t="inlineStr">
        <is>
          <t>NA</t>
        </is>
      </c>
      <c r="V74" s="238" t="inlineStr">
        <is>
          <t>NA</t>
        </is>
      </c>
      <c r="W74" s="231" t="n">
        <v>2</v>
      </c>
      <c r="X74" s="231" t="inlineStr">
        <is>
          <t>NA</t>
        </is>
      </c>
      <c r="Y74" s="239" t="n">
        <v>40</v>
      </c>
      <c r="Z74" s="239" t="inlineStr">
        <is>
          <t>NA</t>
        </is>
      </c>
      <c r="AA74" s="237" t="inlineStr">
        <is>
          <t>NA</t>
        </is>
      </c>
      <c r="AB74" s="231" t="inlineStr">
        <is>
          <t>TIGRE</t>
        </is>
      </c>
      <c r="AC74" s="231" t="inlineStr">
        <is>
          <t>ND</t>
        </is>
      </c>
      <c r="AD74" s="231" t="inlineStr">
        <is>
          <t>N</t>
        </is>
      </c>
      <c r="AE74" s="257" t="inlineStr">
        <is>
          <t>NA</t>
        </is>
      </c>
      <c r="AF74" s="257" t="inlineStr">
        <is>
          <t>NA</t>
        </is>
      </c>
      <c r="AG74" s="258" t="inlineStr">
        <is>
          <t>NA</t>
        </is>
      </c>
      <c r="AH74" s="89" t="n"/>
      <c r="AI74" s="204" t="n"/>
      <c r="AJ74" s="213" t="n"/>
      <c r="AK74" s="206" t="n"/>
      <c r="AL74" s="207" t="n"/>
      <c r="AM74" s="205" t="n"/>
      <c r="AN74" s="213" t="n"/>
      <c r="AO74" s="206" t="n"/>
      <c r="AP74" s="207" t="n"/>
      <c r="AQ74" s="205" t="n"/>
      <c r="AR74" s="213" t="n"/>
      <c r="AS74" s="206" t="n"/>
      <c r="AT74" s="207" t="n"/>
      <c r="AU74" s="210" t="n"/>
      <c r="AV74" s="211" t="n"/>
      <c r="AW74" s="206" t="n"/>
      <c r="AX74" s="207" t="n"/>
      <c r="AY74" s="205" t="n"/>
      <c r="AZ74" s="213" t="n"/>
      <c r="BA74" s="206" t="n"/>
      <c r="BB74" s="207" t="n"/>
      <c r="BC74" s="204" t="n"/>
      <c r="BD74" s="213" t="n"/>
      <c r="BE74" s="206" t="n"/>
      <c r="BF74" s="207" t="n"/>
      <c r="BH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4">
        <f>_xlfn.LET(r,ROW(),oc,INDEX($A:$A,r),cv,TRIM(INDEX($Y:$Y,r)&amp;""),IF(oc&lt;&gt;"P1","",IF(cv="45","V45 - novo, nao alimentado pelo spool atual","V44 - alimentado pelo spool atual")))</f>
        <v/>
      </c>
    </row>
    <row r="75" ht="54" customFormat="1" customHeight="1" s="54">
      <c r="A75" s="243" t="inlineStr">
        <is>
          <t>C1</t>
        </is>
      </c>
      <c r="B75" s="244" t="n">
        <v>57</v>
      </c>
      <c r="C75" s="284" t="inlineStr">
        <is>
          <t>NA</t>
        </is>
      </c>
      <c r="D75" s="244" t="inlineStr">
        <is>
          <t>NA</t>
        </is>
      </c>
      <c r="E75" s="244" t="inlineStr">
        <is>
          <t>C1 4.21</t>
        </is>
      </c>
      <c r="F75" s="247" t="inlineStr">
        <is>
          <t>Filler</t>
        </is>
      </c>
      <c r="G75" s="247" t="inlineStr">
        <is>
          <t>Filler</t>
        </is>
      </c>
      <c r="H75" s="247" t="n"/>
      <c r="I75" s="247" t="inlineStr">
        <is>
          <t>Zone libre</t>
        </is>
      </c>
      <c r="J75" s="247" t="inlineStr">
        <is>
          <t>Free zone</t>
        </is>
      </c>
      <c r="K75" s="244" t="inlineStr">
        <is>
          <t>NA</t>
        </is>
      </c>
      <c r="L75" s="244" t="inlineStr">
        <is>
          <t>NA</t>
        </is>
      </c>
      <c r="M75" s="1408" t="inlineStr">
        <is>
          <t>NA</t>
        </is>
      </c>
      <c r="N75" s="244" t="inlineStr">
        <is>
          <t>NA</t>
        </is>
      </c>
      <c r="O75" s="244" t="inlineStr">
        <is>
          <t>NA</t>
        </is>
      </c>
      <c r="P75" s="246" t="inlineStr">
        <is>
          <t>NA</t>
        </is>
      </c>
      <c r="Q75" s="246" t="inlineStr">
        <is>
          <t>NA</t>
        </is>
      </c>
      <c r="R75" s="247" t="inlineStr">
        <is>
          <t>Laisser à vide</t>
        </is>
      </c>
      <c r="S75" s="247" t="inlineStr">
        <is>
          <t>Leave empty</t>
        </is>
      </c>
      <c r="T75" s="246" t="inlineStr">
        <is>
          <t>ALPHA</t>
        </is>
      </c>
      <c r="U75" s="248" t="inlineStr">
        <is>
          <t>NA</t>
        </is>
      </c>
      <c r="V75" s="248" t="inlineStr">
        <is>
          <t>NA</t>
        </is>
      </c>
      <c r="W75" s="244" t="n">
        <v>1</v>
      </c>
      <c r="X75" s="244" t="inlineStr">
        <is>
          <t>NA</t>
        </is>
      </c>
      <c r="Y75" s="249" t="inlineStr">
        <is>
          <t>NA</t>
        </is>
      </c>
      <c r="Z75" s="249" t="inlineStr">
        <is>
          <t>NA</t>
        </is>
      </c>
      <c r="AA75" s="249" t="inlineStr">
        <is>
          <t>NA</t>
        </is>
      </c>
      <c r="AB75" s="244" t="inlineStr">
        <is>
          <t>NA</t>
        </is>
      </c>
      <c r="AC75" s="244" t="inlineStr">
        <is>
          <t>NA</t>
        </is>
      </c>
      <c r="AD75" s="244" t="inlineStr">
        <is>
          <t>N</t>
        </is>
      </c>
      <c r="AE75" s="244" t="inlineStr">
        <is>
          <t>NA</t>
        </is>
      </c>
      <c r="AF75" s="244" t="inlineStr">
        <is>
          <t>NA</t>
        </is>
      </c>
      <c r="AG75" s="250" t="inlineStr">
        <is>
          <t>NA</t>
        </is>
      </c>
      <c r="AH75" s="89" t="n"/>
      <c r="AI75" s="251" t="n"/>
      <c r="AJ75" s="252" t="n"/>
      <c r="AK75" s="246" t="n"/>
      <c r="AL75" s="253" t="n"/>
      <c r="AM75" s="252" t="n"/>
      <c r="AN75" s="252" t="n"/>
      <c r="AO75" s="246" t="n"/>
      <c r="AP75" s="253" t="n"/>
      <c r="AQ75" s="252" t="n"/>
      <c r="AR75" s="252" t="n"/>
      <c r="AS75" s="246" t="n"/>
      <c r="AT75" s="253" t="n"/>
      <c r="AU75" s="254" t="n"/>
      <c r="AV75" s="254" t="n"/>
      <c r="AW75" s="246" t="n"/>
      <c r="AX75" s="253" t="n"/>
      <c r="AY75" s="252" t="n"/>
      <c r="AZ75" s="252" t="n"/>
      <c r="BA75" s="246" t="n"/>
      <c r="BB75" s="253" t="n"/>
      <c r="BC75" s="251" t="n"/>
      <c r="BD75" s="252" t="n"/>
      <c r="BE75" s="246" t="n"/>
      <c r="BF75" s="253" t="n"/>
      <c r="BH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5">
        <f>_xlfn.LET(r,ROW(),oc,INDEX($A:$A,r),cv,TRIM(INDEX($Y:$Y,r)&amp;""),IF(oc&lt;&gt;"P1","",IF(cv="45","V45 - novo, nao alimentado pelo spool atual","V44 - alimentado pelo spool atual")))</f>
        <v/>
      </c>
    </row>
    <row r="76" ht="54" customHeight="1">
      <c r="A76" s="230" t="inlineStr">
        <is>
          <t>C1</t>
        </is>
      </c>
      <c r="B76" s="231" t="n">
        <v>58</v>
      </c>
      <c r="C76" s="269" t="inlineStr">
        <is>
          <t>25 - Notation du tiers</t>
        </is>
      </c>
      <c r="D76" s="236" t="inlineStr">
        <is>
          <t>25 - Third party rating</t>
        </is>
      </c>
      <c r="E76" s="206" t="inlineStr">
        <is>
          <t>C1 4.5</t>
        </is>
      </c>
      <c r="F76" s="234" t="inlineStr">
        <is>
          <t>Grille modèle de notation</t>
        </is>
      </c>
      <c r="G76" s="235" t="inlineStr">
        <is>
          <t>Rating scale model</t>
        </is>
      </c>
      <c r="H76" s="235" t="n"/>
      <c r="I76" s="234" t="inlineStr">
        <is>
          <t>Référence de la grille de notation utilisée pour la détermination de la note interne</t>
        </is>
      </c>
      <c r="J76" s="235" t="inlineStr">
        <is>
          <t>Reference code of the rating scale used to determine the internal rating</t>
        </is>
      </c>
      <c r="K76" s="231" t="inlineStr">
        <is>
          <t>ND</t>
        </is>
      </c>
      <c r="L76" s="236" t="inlineStr">
        <is>
          <t>ND</t>
        </is>
      </c>
      <c r="M76" s="1417" t="inlineStr">
        <is>
          <t>NA</t>
        </is>
      </c>
      <c r="N76" s="231" t="inlineStr">
        <is>
          <t>Obligatoire</t>
        </is>
      </c>
      <c r="O76" s="236" t="inlineStr">
        <is>
          <t>Mandatory</t>
        </is>
      </c>
      <c r="P76" s="206" t="inlineStr">
        <is>
          <t>LC.0153</t>
        </is>
      </c>
      <c r="Q76" s="269" t="inlineStr">
        <is>
          <t>TA KVVGNTIE</t>
        </is>
      </c>
      <c r="R76" s="234" t="inlineStr">
        <is>
          <t>Obligatoire si la note finale retenue (C1 4.1) &lt;&gt; ‘ND'.
La Grille de notation doit être cohérente avec la Méthodologie de notation (C1 4.3)
Donnée sous responsabilité du RUN</t>
        </is>
      </c>
      <c r="S76" s="235" t="inlineStr">
        <is>
          <t>Mandatory where the assigned rating (C1 4.1) &lt;&gt; ‘ND'
The rating scale must be consistent with the rating methodology (C1 4.3)
Data owned by the «RUN»</t>
        </is>
      </c>
      <c r="T76" s="206" t="inlineStr">
        <is>
          <t>ALPHA</t>
        </is>
      </c>
      <c r="U76" s="237" t="inlineStr">
        <is>
          <t>NA</t>
        </is>
      </c>
      <c r="V76" s="238" t="inlineStr">
        <is>
          <t>NA</t>
        </is>
      </c>
      <c r="W76" s="231" t="n">
        <v>46</v>
      </c>
      <c r="X76" s="231" t="inlineStr">
        <is>
          <t>NA</t>
        </is>
      </c>
      <c r="Y76" s="239" t="n">
        <v>40</v>
      </c>
      <c r="Z76" s="239" t="inlineStr">
        <is>
          <t>NA</t>
        </is>
      </c>
      <c r="AA76" s="237" t="inlineStr">
        <is>
          <t>NA</t>
        </is>
      </c>
      <c r="AB76" s="231" t="inlineStr">
        <is>
          <t>TIGRE</t>
        </is>
      </c>
      <c r="AC76" s="231" t="inlineStr">
        <is>
          <t>ND</t>
        </is>
      </c>
      <c r="AD76" s="231" t="inlineStr">
        <is>
          <t>N</t>
        </is>
      </c>
      <c r="AE76" s="257" t="inlineStr">
        <is>
          <t>NA</t>
        </is>
      </c>
      <c r="AF76" s="257" t="inlineStr">
        <is>
          <t>NA</t>
        </is>
      </c>
      <c r="AG76" s="258" t="inlineStr">
        <is>
          <t>NA</t>
        </is>
      </c>
      <c r="AH76" s="89" t="n"/>
      <c r="AI76" s="204" t="n"/>
      <c r="AJ76" s="213" t="n"/>
      <c r="AK76" s="206" t="n"/>
      <c r="AL76" s="207" t="n"/>
      <c r="AM76" s="205" t="n"/>
      <c r="AN76" s="213" t="n"/>
      <c r="AO76" s="206" t="n"/>
      <c r="AP76" s="207" t="n"/>
      <c r="AQ76" s="205" t="n"/>
      <c r="AR76" s="213" t="n"/>
      <c r="AS76" s="206" t="n"/>
      <c r="AT76" s="207" t="n"/>
      <c r="AU76" s="210" t="n"/>
      <c r="AV76" s="211" t="n"/>
      <c r="AW76" s="206" t="n"/>
      <c r="AX76" s="207" t="n"/>
      <c r="AY76" s="205" t="n"/>
      <c r="AZ76" s="213" t="n"/>
      <c r="BA76" s="206" t="n"/>
      <c r="BB76" s="207" t="n"/>
      <c r="BC76" s="204" t="n"/>
      <c r="BD76" s="213" t="n"/>
      <c r="BE76" s="206" t="n"/>
      <c r="BF76" s="207" t="n"/>
      <c r="BH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6">
        <f>_xlfn.LET(r,ROW(),oc,INDEX($A:$A,r),cv,TRIM(INDEX($Y:$Y,r)&amp;""),IF(oc&lt;&gt;"P1","",IF(cv="45","V45 - novo, nao alimentado pelo spool atual","V44 - alimentado pelo spool atual")))</f>
        <v/>
      </c>
    </row>
    <row r="77" ht="54" customHeight="1">
      <c r="A77" s="230" t="inlineStr">
        <is>
          <t>C1</t>
        </is>
      </c>
      <c r="B77" s="231" t="n">
        <v>59</v>
      </c>
      <c r="C77" s="269" t="inlineStr">
        <is>
          <t>16 - Identification Tiers</t>
        </is>
      </c>
      <c r="D77" s="236" t="inlineStr">
        <is>
          <t>16 - Third party identification</t>
        </is>
      </c>
      <c r="E77" s="206" t="inlineStr">
        <is>
          <t>C1 4.6</t>
        </is>
      </c>
      <c r="F77" s="234" t="inlineStr">
        <is>
          <t>Catégorie de contrepartie</t>
        </is>
      </c>
      <c r="G77" s="235" t="inlineStr">
        <is>
          <t>Category of counterparty</t>
        </is>
      </c>
      <c r="H77" s="235" t="n"/>
      <c r="I77" s="234" t="inlineStr">
        <is>
          <t>Code de la catégorie de contrepartie du tiers.
La catégorie de contrepartie est une segmentation détaillée des tiers utilisée pour déterminer les catégories d'exposition réglementaires</t>
        </is>
      </c>
      <c r="J77" s="235" t="inlineStr">
        <is>
          <t>Code of the external counterparty category.
Counterparty categories represent a low level segmentation of external counterparties used to determine the regulatory exposure categories</t>
        </is>
      </c>
      <c r="K77" s="231" t="inlineStr">
        <is>
          <t>ND</t>
        </is>
      </c>
      <c r="L77" s="236" t="inlineStr">
        <is>
          <t>ND</t>
        </is>
      </c>
      <c r="M77" s="1417" t="inlineStr">
        <is>
          <t>NA</t>
        </is>
      </c>
      <c r="N77" s="231" t="inlineStr">
        <is>
          <t>Obligatoire</t>
        </is>
      </c>
      <c r="O77" s="236" t="inlineStr">
        <is>
          <t>Mandatory</t>
        </is>
      </c>
      <c r="P77" s="206" t="inlineStr">
        <is>
          <t>LC.0009</t>
        </is>
      </c>
      <c r="Q77" s="206" t="inlineStr">
        <is>
          <t>TA NM201</t>
        </is>
      </c>
      <c r="R77" s="234" t="inlineStr">
        <is>
          <t>Le code renseigné doit correspondre au niveau de rattachement le plus fin
Cette catégorie dérive du code activité interne, du chiffre d'affaires consolidé de référence (c) et de la catégorie juridique. La valeur dérivée est modifiable à dire d'expert
Donnée sous responsabilité du RUN</t>
        </is>
      </c>
      <c r="S77" s="235" t="inlineStr">
        <is>
          <t>The code input must represent the lowest possible reporting level
This category is derived from the internal business activity code, from the reference consolidated revenue (c) and the legal classification. The value calculated can be changed on the basis of expert opinion
Data owned by the «RUN»</t>
        </is>
      </c>
      <c r="T77" s="206" t="inlineStr">
        <is>
          <t>ALPHA</t>
        </is>
      </c>
      <c r="U77" s="237" t="inlineStr">
        <is>
          <t>NA</t>
        </is>
      </c>
      <c r="V77" s="238" t="inlineStr">
        <is>
          <t>NA</t>
        </is>
      </c>
      <c r="W77" s="231" t="n">
        <v>5</v>
      </c>
      <c r="X77" s="231" t="inlineStr">
        <is>
          <t>NA</t>
        </is>
      </c>
      <c r="Y77" s="239" t="n">
        <v>40</v>
      </c>
      <c r="Z77" s="239" t="inlineStr">
        <is>
          <t>NA</t>
        </is>
      </c>
      <c r="AA77" s="237" t="inlineStr">
        <is>
          <t>NA</t>
        </is>
      </c>
      <c r="AB77" s="231" t="inlineStr">
        <is>
          <t>ANACREDIT, CORFOU</t>
        </is>
      </c>
      <c r="AC77" s="231" t="inlineStr">
        <is>
          <t>ND</t>
        </is>
      </c>
      <c r="AD77" s="231" t="inlineStr">
        <is>
          <t>N</t>
        </is>
      </c>
      <c r="AE77" s="257" t="inlineStr">
        <is>
          <t>NA</t>
        </is>
      </c>
      <c r="AF77" s="257" t="inlineStr">
        <is>
          <t>NA</t>
        </is>
      </c>
      <c r="AG77" s="258" t="inlineStr">
        <is>
          <t>NA</t>
        </is>
      </c>
      <c r="AH77" s="89" t="n"/>
      <c r="AI77" s="204" t="n"/>
      <c r="AJ77" s="213" t="n"/>
      <c r="AK77" s="206" t="n"/>
      <c r="AL77" s="207" t="n"/>
      <c r="AM77" s="205" t="n"/>
      <c r="AN77" s="213" t="n"/>
      <c r="AO77" s="206" t="n"/>
      <c r="AP77" s="207" t="n"/>
      <c r="AQ77" s="205" t="n"/>
      <c r="AR77" s="213" t="n"/>
      <c r="AS77" s="206" t="n"/>
      <c r="AT77" s="207" t="n"/>
      <c r="AU77" s="210" t="n"/>
      <c r="AV77" s="211" t="n"/>
      <c r="AW77" s="206" t="n"/>
      <c r="AX77" s="207" t="n"/>
      <c r="AY77" s="205" t="n"/>
      <c r="AZ77" s="213" t="n"/>
      <c r="BA77" s="206" t="n"/>
      <c r="BB77" s="207" t="n"/>
      <c r="BC77" s="204" t="n"/>
      <c r="BD77" s="213" t="n"/>
      <c r="BE77" s="206" t="n"/>
      <c r="BF77" s="207" t="n"/>
      <c r="BH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7">
        <f>_xlfn.LET(r,ROW(),oc,INDEX($A:$A,r),cv,TRIM(INDEX($Y:$Y,r)&amp;""),IF(oc&lt;&gt;"P1","",IF(cv="45","V45 - novo, nao alimentado pelo spool atual","V44 - alimentado pelo spool atual")))</f>
        <v/>
      </c>
    </row>
    <row r="78" ht="54" customHeight="1">
      <c r="A78" s="230" t="inlineStr">
        <is>
          <t>C1</t>
        </is>
      </c>
      <c r="B78" s="231" t="n">
        <v>60</v>
      </c>
      <c r="C78" s="269" t="inlineStr">
        <is>
          <t>31 - Paramètres bâlois</t>
        </is>
      </c>
      <c r="D78" s="236" t="inlineStr">
        <is>
          <t>31 - Basel settings</t>
        </is>
      </c>
      <c r="E78" s="206" t="inlineStr">
        <is>
          <t>C1 4.7</t>
        </is>
      </c>
      <c r="F78" s="234" t="inlineStr">
        <is>
          <t>Portefeuille Bâle Tiers</t>
        </is>
      </c>
      <c r="G78" s="235" t="inlineStr">
        <is>
          <t>Basel External Counterparty Portfolio</t>
        </is>
      </c>
      <c r="H78" s="235" t="n"/>
      <c r="I78" s="234" t="inlineStr">
        <is>
          <t>Identifie le portefeuille de Bâle au niveau du tiers</t>
        </is>
      </c>
      <c r="J78" s="235" t="inlineStr">
        <is>
          <t>Identifies the Basel portfolio of the External Counterparty</t>
        </is>
      </c>
      <c r="K78" s="231" t="inlineStr">
        <is>
          <t>ND</t>
        </is>
      </c>
      <c r="L78" s="236" t="inlineStr">
        <is>
          <t>ND</t>
        </is>
      </c>
      <c r="M78" s="1417" t="inlineStr">
        <is>
          <t>NA</t>
        </is>
      </c>
      <c r="N78" s="231" t="inlineStr">
        <is>
          <t>Obligatoire</t>
        </is>
      </c>
      <c r="O78" s="236" t="inlineStr">
        <is>
          <t>Mandatory</t>
        </is>
      </c>
      <c r="P78" s="206" t="inlineStr">
        <is>
          <t>LC.0010</t>
        </is>
      </c>
      <c r="Q78" s="206" t="inlineStr">
        <is>
          <t>TA NM205</t>
        </is>
      </c>
      <c r="R78" s="234" t="inlineStr">
        <is>
          <t>Segmentation plus agrégée que la catégorie de contrepartie permettant de faire le lien entre les catégories d'exposition réglementaire et les classes d'actifs de pondération
Dérive de la catégorie de contrepartie, mais forçage possible
Donnée sous responsabilité du RUN</t>
        </is>
      </c>
      <c r="S78" s="235" t="inlineStr">
        <is>
          <t>More highly aggregated segmentation than the counterparty category, making it possible to link regulatory exposure categories and asset classes for weighting purposes
Derived from the counterparty category, but can be forced
Data owned by the «RUN»</t>
        </is>
      </c>
      <c r="T78" s="206" t="inlineStr">
        <is>
          <t>ALPHA</t>
        </is>
      </c>
      <c r="U78" s="237" t="inlineStr">
        <is>
          <t>NA</t>
        </is>
      </c>
      <c r="V78" s="238" t="inlineStr">
        <is>
          <t>NA</t>
        </is>
      </c>
      <c r="W78" s="231" t="n">
        <v>3</v>
      </c>
      <c r="X78" s="231" t="inlineStr">
        <is>
          <t>NA</t>
        </is>
      </c>
      <c r="Y78" s="239" t="n">
        <v>40</v>
      </c>
      <c r="Z78" s="239" t="inlineStr">
        <is>
          <t>NA</t>
        </is>
      </c>
      <c r="AA78" s="237" t="inlineStr">
        <is>
          <t>NA</t>
        </is>
      </c>
      <c r="AB78" s="231" t="inlineStr">
        <is>
          <t>ANACREDIT, CORFOU</t>
        </is>
      </c>
      <c r="AC78" s="231" t="inlineStr">
        <is>
          <t>ND</t>
        </is>
      </c>
      <c r="AD78" s="231" t="inlineStr">
        <is>
          <t>N</t>
        </is>
      </c>
      <c r="AE78" s="257" t="inlineStr">
        <is>
          <t>NA</t>
        </is>
      </c>
      <c r="AF78" s="257" t="inlineStr">
        <is>
          <t>NA</t>
        </is>
      </c>
      <c r="AG78" s="258" t="inlineStr">
        <is>
          <t>NA</t>
        </is>
      </c>
      <c r="AH78" s="89" t="n"/>
      <c r="AI78" s="204" t="n"/>
      <c r="AJ78" s="213" t="n"/>
      <c r="AK78" s="206" t="n"/>
      <c r="AL78" s="207" t="n"/>
      <c r="AM78" s="205" t="n"/>
      <c r="AN78" s="213" t="n"/>
      <c r="AO78" s="206" t="n"/>
      <c r="AP78" s="207" t="n"/>
      <c r="AQ78" s="205" t="n"/>
      <c r="AR78" s="213" t="n"/>
      <c r="AS78" s="206" t="n"/>
      <c r="AT78" s="207" t="n"/>
      <c r="AU78" s="210" t="n"/>
      <c r="AV78" s="211" t="n"/>
      <c r="AW78" s="206" t="n"/>
      <c r="AX78" s="207" t="n"/>
      <c r="AY78" s="205" t="n"/>
      <c r="AZ78" s="213" t="n"/>
      <c r="BA78" s="206" t="n"/>
      <c r="BB78" s="207" t="n"/>
      <c r="BC78" s="204" t="n"/>
      <c r="BD78" s="213" t="n"/>
      <c r="BE78" s="206" t="n"/>
      <c r="BF78" s="207" t="n"/>
      <c r="BH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8">
        <f>_xlfn.LET(r,ROW(),oc,INDEX($A:$A,r),cv,TRIM(INDEX($Y:$Y,r)&amp;""),IF(oc&lt;&gt;"P1","",IF(cv="45","V45 - novo, nao alimentado pelo spool atual","V44 - alimentado pelo spool atual")))</f>
        <v/>
      </c>
    </row>
    <row r="79" ht="54" customHeight="1">
      <c r="A79" s="230" t="inlineStr">
        <is>
          <t>C1</t>
        </is>
      </c>
      <c r="B79" s="231" t="n">
        <v>61</v>
      </c>
      <c r="C79" s="269" t="inlineStr">
        <is>
          <t>16 - Identification Tiers</t>
        </is>
      </c>
      <c r="D79" s="236" t="inlineStr">
        <is>
          <t>16 - Third party identification</t>
        </is>
      </c>
      <c r="E79" s="206" t="inlineStr">
        <is>
          <t>C1 4.8</t>
        </is>
      </c>
      <c r="F79" s="234" t="inlineStr">
        <is>
          <t>Secteur d'activité</t>
        </is>
      </c>
      <c r="G79" s="235" t="inlineStr">
        <is>
          <t>Business sector</t>
        </is>
      </c>
      <c r="H79" s="235" t="n"/>
      <c r="I79" s="234" t="inlineStr">
        <is>
          <t>Code du secteur d'activité du tiers traduisant son activité dominante quelle que soit sa nationalité</t>
        </is>
      </c>
      <c r="J79" s="235" t="inlineStr">
        <is>
          <t>Business sector code of the external counterparty, constituting its main business activity regardless of its nationality</t>
        </is>
      </c>
      <c r="K79" s="231" t="inlineStr">
        <is>
          <t>ND</t>
        </is>
      </c>
      <c r="L79" s="236" t="inlineStr">
        <is>
          <t>ND</t>
        </is>
      </c>
      <c r="M79" s="1417" t="inlineStr">
        <is>
          <t>NA</t>
        </is>
      </c>
      <c r="N79" s="231" t="inlineStr">
        <is>
          <t>Obligatoire</t>
        </is>
      </c>
      <c r="O79" s="236" t="inlineStr">
        <is>
          <t>Mandatory</t>
        </is>
      </c>
      <c r="P79" s="206" t="inlineStr">
        <is>
          <t>LC.0011</t>
        </is>
      </c>
      <c r="Q79" s="206" t="inlineStr">
        <is>
          <t>TA NM199</t>
        </is>
      </c>
      <c r="R79" s="234" t="inlineStr">
        <is>
          <t>Le code renseigné correspond au niveau de rattachement le plus fin.
Le secteur d'activité utilisé pour la notation doit être cohérent avec le code APE interne
Donnée sous responsabilité du RUN</t>
        </is>
      </c>
      <c r="S79" s="235" t="inlineStr">
        <is>
          <t>The code input must represent the lowest possible reporting level.
The business sector used for the rating must be consistent with the internal APE code
Data owned by the «RUN»</t>
        </is>
      </c>
      <c r="T79" s="206" t="inlineStr">
        <is>
          <t>ALPHA</t>
        </is>
      </c>
      <c r="U79" s="237" t="inlineStr">
        <is>
          <t>NA</t>
        </is>
      </c>
      <c r="V79" s="238" t="inlineStr">
        <is>
          <t>NA</t>
        </is>
      </c>
      <c r="W79" s="231" t="n">
        <v>6</v>
      </c>
      <c r="X79" s="231" t="inlineStr">
        <is>
          <t>NA</t>
        </is>
      </c>
      <c r="Y79" s="239" t="n">
        <v>40</v>
      </c>
      <c r="Z79" s="239" t="inlineStr">
        <is>
          <t>NA</t>
        </is>
      </c>
      <c r="AA79" s="237" t="inlineStr">
        <is>
          <t>NA</t>
        </is>
      </c>
      <c r="AB79" s="231" t="inlineStr">
        <is>
          <t>TIGRE</t>
        </is>
      </c>
      <c r="AC79" s="231" t="inlineStr">
        <is>
          <t>ND</t>
        </is>
      </c>
      <c r="AD79" s="231" t="inlineStr">
        <is>
          <t>N</t>
        </is>
      </c>
      <c r="AE79" s="257" t="inlineStr">
        <is>
          <t>NA</t>
        </is>
      </c>
      <c r="AF79" s="257" t="inlineStr">
        <is>
          <t>NA</t>
        </is>
      </c>
      <c r="AG79" s="258" t="inlineStr">
        <is>
          <t>NA</t>
        </is>
      </c>
      <c r="AH79" s="89" t="n"/>
      <c r="AI79" s="204" t="n"/>
      <c r="AJ79" s="213" t="n"/>
      <c r="AK79" s="206" t="n"/>
      <c r="AL79" s="207" t="n"/>
      <c r="AM79" s="205" t="n"/>
      <c r="AN79" s="213" t="n"/>
      <c r="AO79" s="206" t="n"/>
      <c r="AP79" s="207" t="n"/>
      <c r="AQ79" s="205" t="n"/>
      <c r="AR79" s="213" t="n"/>
      <c r="AS79" s="206" t="n"/>
      <c r="AT79" s="207" t="n"/>
      <c r="AU79" s="210" t="n"/>
      <c r="AV79" s="211" t="n"/>
      <c r="AW79" s="206" t="n"/>
      <c r="AX79" s="207" t="n"/>
      <c r="AY79" s="205" t="n"/>
      <c r="AZ79" s="213" t="n"/>
      <c r="BA79" s="206" t="n"/>
      <c r="BB79" s="207" t="n"/>
      <c r="BC79" s="204" t="n"/>
      <c r="BD79" s="213" t="n"/>
      <c r="BE79" s="206" t="n"/>
      <c r="BF79" s="207" t="n"/>
      <c r="BH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9">
        <f>_xlfn.LET(r,ROW(),oc,INDEX($A:$A,r),cv,TRIM(INDEX($Y:$Y,r)&amp;""),IF(oc&lt;&gt;"P1","",IF(cv="45","V45 - novo, nao alimentado pelo spool atual","V44 - alimentado pelo spool atual")))</f>
        <v/>
      </c>
    </row>
    <row r="80" ht="54" customFormat="1" customHeight="1" s="54">
      <c r="A80" s="243" t="inlineStr">
        <is>
          <t>C1</t>
        </is>
      </c>
      <c r="B80" s="244" t="n">
        <v>62</v>
      </c>
      <c r="C80" s="284" t="inlineStr">
        <is>
          <t>NA</t>
        </is>
      </c>
      <c r="D80" s="244" t="inlineStr">
        <is>
          <t>NA</t>
        </is>
      </c>
      <c r="E80" s="244" t="inlineStr">
        <is>
          <t>C1 4.9</t>
        </is>
      </c>
      <c r="F80" s="247" t="inlineStr">
        <is>
          <t>Filler</t>
        </is>
      </c>
      <c r="G80" s="247" t="inlineStr">
        <is>
          <t>Filler</t>
        </is>
      </c>
      <c r="H80" s="247" t="n"/>
      <c r="I80" s="247" t="inlineStr">
        <is>
          <t>Zone libre</t>
        </is>
      </c>
      <c r="J80" s="247" t="inlineStr">
        <is>
          <t>Free zone</t>
        </is>
      </c>
      <c r="K80" s="244" t="inlineStr">
        <is>
          <t>NA</t>
        </is>
      </c>
      <c r="L80" s="244" t="inlineStr">
        <is>
          <t>NA</t>
        </is>
      </c>
      <c r="M80" s="1408" t="inlineStr">
        <is>
          <t>NA</t>
        </is>
      </c>
      <c r="N80" s="244" t="inlineStr">
        <is>
          <t>NA</t>
        </is>
      </c>
      <c r="O80" s="244" t="inlineStr">
        <is>
          <t>NA</t>
        </is>
      </c>
      <c r="P80" s="246" t="inlineStr">
        <is>
          <t>NA</t>
        </is>
      </c>
      <c r="Q80" s="246" t="inlineStr">
        <is>
          <t>NA</t>
        </is>
      </c>
      <c r="R80" s="247" t="inlineStr">
        <is>
          <t>Laisser à vide</t>
        </is>
      </c>
      <c r="S80" s="247" t="inlineStr">
        <is>
          <t>Leave empty</t>
        </is>
      </c>
      <c r="T80" s="246" t="inlineStr">
        <is>
          <t>ALPHA</t>
        </is>
      </c>
      <c r="U80" s="248" t="inlineStr">
        <is>
          <t>NA</t>
        </is>
      </c>
      <c r="V80" s="248" t="inlineStr">
        <is>
          <t>NA</t>
        </is>
      </c>
      <c r="W80" s="244" t="n">
        <v>2</v>
      </c>
      <c r="X80" s="244" t="inlineStr">
        <is>
          <t>NA</t>
        </is>
      </c>
      <c r="Y80" s="249" t="inlineStr">
        <is>
          <t>NA</t>
        </is>
      </c>
      <c r="Z80" s="249" t="inlineStr">
        <is>
          <t>NA</t>
        </is>
      </c>
      <c r="AA80" s="249" t="inlineStr">
        <is>
          <t>NA</t>
        </is>
      </c>
      <c r="AB80" s="244" t="inlineStr">
        <is>
          <t>NA</t>
        </is>
      </c>
      <c r="AC80" s="244" t="inlineStr">
        <is>
          <t>NA</t>
        </is>
      </c>
      <c r="AD80" s="244" t="inlineStr">
        <is>
          <t>N</t>
        </is>
      </c>
      <c r="AE80" s="244" t="inlineStr">
        <is>
          <t>NA</t>
        </is>
      </c>
      <c r="AF80" s="244" t="inlineStr">
        <is>
          <t>NA</t>
        </is>
      </c>
      <c r="AG80" s="250" t="inlineStr">
        <is>
          <t>NA</t>
        </is>
      </c>
      <c r="AH80" s="89" t="n"/>
      <c r="AI80" s="251" t="n"/>
      <c r="AJ80" s="252" t="n"/>
      <c r="AK80" s="246" t="n"/>
      <c r="AL80" s="253" t="n"/>
      <c r="AM80" s="252" t="n"/>
      <c r="AN80" s="252" t="n"/>
      <c r="AO80" s="246" t="n"/>
      <c r="AP80" s="253" t="n"/>
      <c r="AQ80" s="252" t="n"/>
      <c r="AR80" s="252" t="n"/>
      <c r="AS80" s="246" t="n"/>
      <c r="AT80" s="253" t="n"/>
      <c r="AU80" s="254" t="n"/>
      <c r="AV80" s="254" t="n"/>
      <c r="AW80" s="246" t="n"/>
      <c r="AX80" s="253" t="n"/>
      <c r="AY80" s="252" t="n"/>
      <c r="AZ80" s="252" t="n"/>
      <c r="BA80" s="246" t="n"/>
      <c r="BB80" s="253" t="n"/>
      <c r="BC80" s="251" t="n"/>
      <c r="BD80" s="252" t="n"/>
      <c r="BE80" s="246" t="n"/>
      <c r="BF80" s="253" t="n"/>
      <c r="BH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0">
        <f>_xlfn.LET(r,ROW(),oc,INDEX($A:$A,r),cv,TRIM(INDEX($Y:$Y,r)&amp;""),IF(oc&lt;&gt;"P1","",IF(cv="45","V45 - novo, nao alimentado pelo spool atual","V44 - alimentado pelo spool atual")))</f>
        <v/>
      </c>
    </row>
    <row r="81" ht="54" customHeight="1">
      <c r="A81" s="230" t="inlineStr">
        <is>
          <t>C1</t>
        </is>
      </c>
      <c r="B81" s="231" t="n">
        <v>63</v>
      </c>
      <c r="C81" s="269" t="inlineStr">
        <is>
          <t>16 - Identification Tiers</t>
        </is>
      </c>
      <c r="D81" s="236" t="inlineStr">
        <is>
          <t>16 - Third party identification</t>
        </is>
      </c>
      <c r="E81" s="206" t="inlineStr">
        <is>
          <t>C1 4.10</t>
        </is>
      </c>
      <c r="F81" s="234" t="inlineStr">
        <is>
          <t>Norme locale de l'activité</t>
        </is>
      </c>
      <c r="G81" s="235" t="inlineStr">
        <is>
          <t>Local business regulations</t>
        </is>
      </c>
      <c r="H81" s="235" t="n"/>
      <c r="I81" s="234" t="inlineStr">
        <is>
          <t>Norme locale de l'activité principale exercée</t>
        </is>
      </c>
      <c r="J81" s="235" t="inlineStr">
        <is>
          <t>Local regulations governing the main business activity</t>
        </is>
      </c>
      <c r="K81" s="231" t="inlineStr">
        <is>
          <t>ND</t>
        </is>
      </c>
      <c r="L81" s="236" t="inlineStr">
        <is>
          <t>ND</t>
        </is>
      </c>
      <c r="M81" s="1417" t="inlineStr">
        <is>
          <t>NA</t>
        </is>
      </c>
      <c r="N81" s="231" t="inlineStr">
        <is>
          <t>Obligatoire</t>
        </is>
      </c>
      <c r="O81" s="236" t="inlineStr">
        <is>
          <t>Mandatory</t>
        </is>
      </c>
      <c r="P81" s="206" t="inlineStr">
        <is>
          <t>LC.0014</t>
        </is>
      </c>
      <c r="Q81" s="206" t="inlineStr">
        <is>
          <t>TA KVNORM</t>
        </is>
      </c>
      <c r="R81" s="234" t="inlineStr">
        <is>
          <t>Obligatoire si l'activité dans la norme locale (C1 4.11) est renseignée
Elle précise le référentiel local utilisé pour le code activité renseigné au champ suivant (C1 4.11)
Donnée sous responsabilité du RUN</t>
        </is>
      </c>
      <c r="S81" s="235" t="inlineStr">
        <is>
          <t>Mandatory where business activity code under local regulations (C1 4.11) is indicated
It specifies the local framework from which the business code input into the next field (C1 4.11) is drawn
Data owned by the «RUN»</t>
        </is>
      </c>
      <c r="T81" s="206" t="inlineStr">
        <is>
          <t>ALPHA</t>
        </is>
      </c>
      <c r="U81" s="237" t="inlineStr">
        <is>
          <t>NA</t>
        </is>
      </c>
      <c r="V81" s="238" t="inlineStr">
        <is>
          <t>NA</t>
        </is>
      </c>
      <c r="W81" s="231" t="n">
        <v>1</v>
      </c>
      <c r="X81" s="231" t="inlineStr">
        <is>
          <t>NA</t>
        </is>
      </c>
      <c r="Y81" s="239" t="n">
        <v>40</v>
      </c>
      <c r="Z81" s="239" t="inlineStr">
        <is>
          <t>NA</t>
        </is>
      </c>
      <c r="AA81" s="237" t="inlineStr">
        <is>
          <t>NA</t>
        </is>
      </c>
      <c r="AB81" s="231" t="inlineStr">
        <is>
          <t>ANACREDIT</t>
        </is>
      </c>
      <c r="AC81" s="231" t="inlineStr">
        <is>
          <t>ND</t>
        </is>
      </c>
      <c r="AD81" s="231" t="inlineStr">
        <is>
          <t>N</t>
        </is>
      </c>
      <c r="AE81" s="257" t="inlineStr">
        <is>
          <t>NA</t>
        </is>
      </c>
      <c r="AF81" s="257" t="inlineStr">
        <is>
          <t>NA</t>
        </is>
      </c>
      <c r="AG81" s="258" t="inlineStr">
        <is>
          <t>NA</t>
        </is>
      </c>
      <c r="AH81" s="89" t="n"/>
      <c r="AI81" s="204" t="n"/>
      <c r="AJ81" s="213" t="n"/>
      <c r="AK81" s="206" t="n"/>
      <c r="AL81" s="207" t="n"/>
      <c r="AM81" s="205" t="n"/>
      <c r="AN81" s="213" t="n"/>
      <c r="AO81" s="206" t="n"/>
      <c r="AP81" s="207" t="n"/>
      <c r="AQ81" s="205" t="n"/>
      <c r="AR81" s="213" t="n"/>
      <c r="AS81" s="206" t="n"/>
      <c r="AT81" s="207" t="n"/>
      <c r="AU81" s="210" t="n"/>
      <c r="AV81" s="211" t="n"/>
      <c r="AW81" s="206" t="n"/>
      <c r="AX81" s="207" t="n"/>
      <c r="AY81" s="205" t="n"/>
      <c r="AZ81" s="213" t="n"/>
      <c r="BA81" s="206" t="n"/>
      <c r="BB81" s="207" t="n"/>
      <c r="BC81" s="204" t="n"/>
      <c r="BD81" s="213" t="n"/>
      <c r="BE81" s="206" t="n"/>
      <c r="BF81" s="207" t="n"/>
      <c r="BH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1">
        <f>_xlfn.LET(r,ROW(),oc,INDEX($A:$A,r),cv,TRIM(INDEX($Y:$Y,r)&amp;""),IF(oc&lt;&gt;"P1","",IF(cv="45","V45 - novo, nao alimentado pelo spool atual","V44 - alimentado pelo spool atual")))</f>
        <v/>
      </c>
    </row>
    <row r="82" ht="54" customHeight="1">
      <c r="A82" s="230" t="inlineStr">
        <is>
          <t>C1</t>
        </is>
      </c>
      <c r="B82" s="231" t="n">
        <v>64</v>
      </c>
      <c r="C82" s="269" t="inlineStr">
        <is>
          <t>16 - Identification Tiers</t>
        </is>
      </c>
      <c r="D82" s="236" t="inlineStr">
        <is>
          <t>16 - Third party identification</t>
        </is>
      </c>
      <c r="E82" s="206" t="inlineStr">
        <is>
          <t>C1 4.11</t>
        </is>
      </c>
      <c r="F82" s="234" t="inlineStr">
        <is>
          <t>Activité dans la norme locale</t>
        </is>
      </c>
      <c r="G82" s="235" t="inlineStr">
        <is>
          <t>Business activity code under local regulations</t>
        </is>
      </c>
      <c r="H82" s="235" t="n"/>
      <c r="I82" s="234" t="inlineStr">
        <is>
          <t>Code de l'Activité économique dominante du tiers issue de la norme locale (ex. : Code APE – Activité Principale Exercée - tel qu'il est attribué par l'INSEE, i.e. le "code APE officiel")</t>
        </is>
      </c>
      <c r="J82" s="235" t="inlineStr">
        <is>
          <t>Code of the main business activity of the external counterparty under local regulations (e.g.: APE Code – Main Business Activity - as attributed by INSEE, i.e. the "official APE code")</t>
        </is>
      </c>
      <c r="K82" s="231" t="inlineStr">
        <is>
          <t>ND</t>
        </is>
      </c>
      <c r="L82" s="236" t="inlineStr">
        <is>
          <t>ND</t>
        </is>
      </c>
      <c r="M82" s="1417" t="inlineStr">
        <is>
          <t>NA</t>
        </is>
      </c>
      <c r="N82" s="231" t="inlineStr">
        <is>
          <t>Obligatoire</t>
        </is>
      </c>
      <c r="O82" s="236" t="inlineStr">
        <is>
          <t>Mandatory</t>
        </is>
      </c>
      <c r="P82" s="206" t="inlineStr">
        <is>
          <t>LC.0123</t>
        </is>
      </c>
      <c r="Q82" s="206" t="inlineStr">
        <is>
          <t>RB NM160</t>
        </is>
      </c>
      <c r="R82" s="234" t="inlineStr">
        <is>
          <t>Code activité de l'activité principale exercée 
- Résidents en France : code APE 'officiel' de l'INSEE
- Non-résidents en France : code activité selon la norme locale 
Obligatoire pour les résidents Francais: à renseigner avec le code NAF
Donnée sous responsabilité du RUN</t>
        </is>
      </c>
      <c r="S82" s="235" t="inlineStr">
        <is>
          <t>Business activity code of the main business carried on 
- Resident in France: “Official” INSEE APE code
- Non-resident in France: business activity code under local regulations 
Mandatory for French residents: input the NAF code
Data owned by the «RUN»</t>
        </is>
      </c>
      <c r="T82" s="206" t="inlineStr">
        <is>
          <t>ALPHA</t>
        </is>
      </c>
      <c r="U82" s="237" t="inlineStr">
        <is>
          <t>NA</t>
        </is>
      </c>
      <c r="V82" s="238" t="inlineStr">
        <is>
          <t>NA</t>
        </is>
      </c>
      <c r="W82" s="231" t="n">
        <v>6</v>
      </c>
      <c r="X82" s="231" t="inlineStr">
        <is>
          <t>NA</t>
        </is>
      </c>
      <c r="Y82" s="239" t="n">
        <v>40</v>
      </c>
      <c r="Z82" s="239" t="inlineStr">
        <is>
          <t>NA</t>
        </is>
      </c>
      <c r="AA82" s="237" t="inlineStr">
        <is>
          <t>NA</t>
        </is>
      </c>
      <c r="AB82" s="231" t="inlineStr">
        <is>
          <t>ANACREDIT</t>
        </is>
      </c>
      <c r="AC82" s="231" t="inlineStr">
        <is>
          <t>ND</t>
        </is>
      </c>
      <c r="AD82" s="231" t="inlineStr">
        <is>
          <t>N</t>
        </is>
      </c>
      <c r="AE82" s="257" t="inlineStr">
        <is>
          <t>NA</t>
        </is>
      </c>
      <c r="AF82" s="257" t="inlineStr">
        <is>
          <t>NA</t>
        </is>
      </c>
      <c r="AG82" s="258" t="inlineStr">
        <is>
          <t>NA</t>
        </is>
      </c>
      <c r="AH82" s="89" t="n"/>
      <c r="AI82" s="204" t="n"/>
      <c r="AJ82" s="213" t="n"/>
      <c r="AK82" s="206" t="n"/>
      <c r="AL82" s="207" t="n"/>
      <c r="AM82" s="205" t="n"/>
      <c r="AN82" s="213" t="n"/>
      <c r="AO82" s="206" t="n"/>
      <c r="AP82" s="207" t="n"/>
      <c r="AQ82" s="205" t="n"/>
      <c r="AR82" s="213" t="n"/>
      <c r="AS82" s="206" t="n"/>
      <c r="AT82" s="207" t="n"/>
      <c r="AU82" s="210" t="n"/>
      <c r="AV82" s="211" t="n"/>
      <c r="AW82" s="206" t="n"/>
      <c r="AX82" s="207" t="n"/>
      <c r="AY82" s="205" t="n"/>
      <c r="AZ82" s="213" t="n"/>
      <c r="BA82" s="206" t="n"/>
      <c r="BB82" s="207" t="n"/>
      <c r="BC82" s="204" t="n"/>
      <c r="BD82" s="213" t="n"/>
      <c r="BE82" s="206" t="n"/>
      <c r="BF82" s="207" t="n"/>
      <c r="BH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2">
        <f>_xlfn.LET(r,ROW(),oc,INDEX($A:$A,r),cv,TRIM(INDEX($Y:$Y,r)&amp;""),IF(oc&lt;&gt;"P1","",IF(cv="45","V45 - novo, nao alimentado pelo spool atual","V44 - alimentado pelo spool atual")))</f>
        <v/>
      </c>
    </row>
    <row r="83" ht="54" customHeight="1">
      <c r="A83" s="230" t="inlineStr">
        <is>
          <t>C1</t>
        </is>
      </c>
      <c r="B83" s="231" t="n">
        <v>65</v>
      </c>
      <c r="C83" s="269" t="inlineStr">
        <is>
          <t>29 - Ratio</t>
        </is>
      </c>
      <c r="D83" s="236" t="inlineStr">
        <is>
          <t>29 - Ratio</t>
        </is>
      </c>
      <c r="E83" s="206" t="inlineStr">
        <is>
          <t>C1 8.81</t>
        </is>
      </c>
      <c r="F83" s="234" t="inlineStr">
        <is>
          <t xml:space="preserve">Indicateur ratio CET 1 &gt;= 14% </t>
        </is>
      </c>
      <c r="G83" s="235" t="inlineStr">
        <is>
          <t xml:space="preserve">Indicator CET 1 ratio &gt;= 14% </t>
        </is>
      </c>
      <c r="H83" s="235" t="n"/>
      <c r="I83" s="234" t="inlineStr">
        <is>
          <t>Indique si le ratio de fonds propres de base de catégorie 1 de l'institution financière est égal ou supérieur à 14 %.</t>
        </is>
      </c>
      <c r="J83" s="235" t="inlineStr">
        <is>
          <t>Indicates whether the Common Equity Tier 1 capital ratio of the financial institution is equal to or greater than 14%.</t>
        </is>
      </c>
      <c r="K83" s="231" t="inlineStr">
        <is>
          <t>ND</t>
        </is>
      </c>
      <c r="L83" s="236" t="inlineStr">
        <is>
          <t>ND</t>
        </is>
      </c>
      <c r="M83" s="1417" t="inlineStr">
        <is>
          <t>NA</t>
        </is>
      </c>
      <c r="N83" s="231" t="inlineStr">
        <is>
          <t>Obligatoire</t>
        </is>
      </c>
      <c r="O83" s="236" t="inlineStr">
        <is>
          <t>Mandatory</t>
        </is>
      </c>
      <c r="P83" s="206" t="inlineStr">
        <is>
          <t>LC.0507</t>
        </is>
      </c>
      <c r="Q83" s="206" t="inlineStr">
        <is>
          <t>TA Z8ICET14</t>
        </is>
      </c>
      <c r="R83" s="234" t="inlineStr">
        <is>
          <t>Indicateur en lien avec la notion du grade SCRA.
Concerne les institutions financières.
Se référer l'article 121 de la réglementation CRR3</t>
        </is>
      </c>
      <c r="S83" s="235" t="inlineStr">
        <is>
          <t>Indicator related to the concept of SCRA grade.
Only for financial institutions.
Refer to Article 121 of the CRR3 Regulation</t>
        </is>
      </c>
      <c r="T83" s="206" t="inlineStr">
        <is>
          <t>ALPHA</t>
        </is>
      </c>
      <c r="U83" s="237" t="inlineStr">
        <is>
          <t>NA</t>
        </is>
      </c>
      <c r="V83" s="238" t="inlineStr">
        <is>
          <t>NA</t>
        </is>
      </c>
      <c r="W83" s="231" t="n">
        <v>1</v>
      </c>
      <c r="X83" s="231" t="inlineStr">
        <is>
          <t>NA</t>
        </is>
      </c>
      <c r="Y83" s="239" t="n">
        <v>44</v>
      </c>
      <c r="Z83" s="239" t="inlineStr">
        <is>
          <t>NA</t>
        </is>
      </c>
      <c r="AA83" s="270" t="inlineStr">
        <is>
          <t>NA</t>
        </is>
      </c>
      <c r="AB83" s="1286" t="inlineStr">
        <is>
          <t>CALCULS PRUDENTIELS</t>
        </is>
      </c>
      <c r="AC83" s="231" t="inlineStr">
        <is>
          <t>ND</t>
        </is>
      </c>
      <c r="AD83" s="231" t="inlineStr">
        <is>
          <t>N</t>
        </is>
      </c>
      <c r="AE83" s="231" t="inlineStr">
        <is>
          <t>NA</t>
        </is>
      </c>
      <c r="AF83" s="257" t="inlineStr">
        <is>
          <t>NA</t>
        </is>
      </c>
      <c r="AG83" s="258" t="inlineStr">
        <is>
          <t>NA</t>
        </is>
      </c>
      <c r="AH83" s="89" t="n"/>
      <c r="AI83" s="271" t="n"/>
      <c r="AJ83" s="272" t="n"/>
      <c r="AK83" s="273" t="n"/>
      <c r="AL83" s="274" t="n"/>
      <c r="AM83" s="1285" t="n"/>
      <c r="AN83" s="272" t="n"/>
      <c r="AO83" s="273" t="n"/>
      <c r="AP83" s="274" t="n"/>
      <c r="AQ83" s="275" t="n"/>
      <c r="AR83" s="272" t="n"/>
      <c r="AS83" s="273" t="n"/>
      <c r="AT83" s="274" t="n"/>
      <c r="AU83" s="276" t="n"/>
      <c r="AV83" s="277" t="n"/>
      <c r="AW83" s="273" t="n"/>
      <c r="AX83" s="274" t="n"/>
      <c r="AY83" s="275" t="n"/>
      <c r="AZ83" s="272" t="n"/>
      <c r="BA83" s="273" t="n"/>
      <c r="BB83" s="274" t="n"/>
      <c r="BC83" s="271" t="n"/>
      <c r="BD83" s="272" t="n"/>
      <c r="BE83" s="273" t="n"/>
      <c r="BF83" s="274" t="n"/>
      <c r="BH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3">
        <f>_xlfn.LET(r,ROW(),oc,INDEX($A:$A,r),cv,TRIM(INDEX($Y:$Y,r)&amp;""),IF(oc&lt;&gt;"P1","",IF(cv="45","V45 - novo, nao alimentado pelo spool atual","V44 - alimentado pelo spool atual")))</f>
        <v/>
      </c>
    </row>
    <row r="84" ht="54" customHeight="1">
      <c r="A84" s="230" t="inlineStr">
        <is>
          <t>C1</t>
        </is>
      </c>
      <c r="B84" s="231" t="n">
        <v>66</v>
      </c>
      <c r="C84" s="269" t="inlineStr">
        <is>
          <t>29 - Ratio</t>
        </is>
      </c>
      <c r="D84" s="236" t="inlineStr">
        <is>
          <t>29 - Ratio</t>
        </is>
      </c>
      <c r="E84" s="206" t="inlineStr">
        <is>
          <t>C1 8.82</t>
        </is>
      </c>
      <c r="F84" s="278" t="inlineStr">
        <is>
          <t xml:space="preserve">Indicateur Ratio de Levier supérieur ou égal à 5 % </t>
        </is>
      </c>
      <c r="G84" s="235" t="inlineStr">
        <is>
          <t xml:space="preserve">Indicator Leverage Ratio greater than or equal to 5 % </t>
        </is>
      </c>
      <c r="H84" s="235" t="n"/>
      <c r="I84" s="234" t="inlineStr">
        <is>
          <t>Indique si le ratio de levier de l'institution financière est supérieur ou égal à 5%.</t>
        </is>
      </c>
      <c r="J84" s="235" t="inlineStr">
        <is>
          <t>Indicates if the leverage ratio of the financial institution is greater than or equal to 5%.</t>
        </is>
      </c>
      <c r="K84" s="231" t="inlineStr">
        <is>
          <t>ND</t>
        </is>
      </c>
      <c r="L84" s="236" t="inlineStr">
        <is>
          <t>ND</t>
        </is>
      </c>
      <c r="M84" s="1417" t="inlineStr">
        <is>
          <t>NA</t>
        </is>
      </c>
      <c r="N84" s="231" t="inlineStr">
        <is>
          <t>Obligatoire</t>
        </is>
      </c>
      <c r="O84" s="236" t="inlineStr">
        <is>
          <t>Mandatory</t>
        </is>
      </c>
      <c r="P84" s="206" t="inlineStr">
        <is>
          <t>LC.0508</t>
        </is>
      </c>
      <c r="Q84" s="206" t="inlineStr">
        <is>
          <t>TA Z8IRLEV5</t>
        </is>
      </c>
      <c r="R84" s="234" t="inlineStr">
        <is>
          <t>Indicateur en lien avec la notion du grade SCRA.
Concerne les institutions financières.
Se référer l'article 121 de la réglementation CRR3</t>
        </is>
      </c>
      <c r="S84" s="235" t="inlineStr">
        <is>
          <t>Indicator related to the concept of SCRA grade.
Only for financial institutions.
Refer to Article 121 of the CRR3 Regulation</t>
        </is>
      </c>
      <c r="T84" s="206" t="inlineStr">
        <is>
          <t>ALPHA</t>
        </is>
      </c>
      <c r="U84" s="237" t="inlineStr">
        <is>
          <t>NA</t>
        </is>
      </c>
      <c r="V84" s="238" t="inlineStr">
        <is>
          <t>NA</t>
        </is>
      </c>
      <c r="W84" s="231" t="n">
        <v>1</v>
      </c>
      <c r="X84" s="231" t="inlineStr">
        <is>
          <t>NA</t>
        </is>
      </c>
      <c r="Y84" s="239" t="n">
        <v>44</v>
      </c>
      <c r="Z84" s="239" t="inlineStr">
        <is>
          <t>NA</t>
        </is>
      </c>
      <c r="AA84" s="270" t="inlineStr">
        <is>
          <t>NA</t>
        </is>
      </c>
      <c r="AB84" s="1286" t="inlineStr">
        <is>
          <t>CALCULS PRUDENTIELS</t>
        </is>
      </c>
      <c r="AC84" s="231" t="inlineStr">
        <is>
          <t>ND</t>
        </is>
      </c>
      <c r="AD84" s="231" t="inlineStr">
        <is>
          <t>N</t>
        </is>
      </c>
      <c r="AE84" s="231" t="inlineStr">
        <is>
          <t>NA</t>
        </is>
      </c>
      <c r="AF84" s="257" t="inlineStr">
        <is>
          <t>NA</t>
        </is>
      </c>
      <c r="AG84" s="258" t="inlineStr">
        <is>
          <t>NA</t>
        </is>
      </c>
      <c r="AH84" s="89" t="n"/>
      <c r="AI84" s="271" t="n"/>
      <c r="AJ84" s="272" t="n"/>
      <c r="AK84" s="273" t="n"/>
      <c r="AL84" s="274" t="n"/>
      <c r="AM84" s="1285" t="n"/>
      <c r="AN84" s="272" t="n"/>
      <c r="AO84" s="273" t="n"/>
      <c r="AP84" s="274" t="n"/>
      <c r="AQ84" s="275" t="n"/>
      <c r="AR84" s="272" t="n"/>
      <c r="AS84" s="273" t="n"/>
      <c r="AT84" s="274" t="n"/>
      <c r="AU84" s="276" t="n"/>
      <c r="AV84" s="277" t="n"/>
      <c r="AW84" s="273" t="n"/>
      <c r="AX84" s="274" t="n"/>
      <c r="AY84" s="275" t="n"/>
      <c r="AZ84" s="272" t="n"/>
      <c r="BA84" s="273" t="n"/>
      <c r="BB84" s="274" t="n"/>
      <c r="BC84" s="271" t="n"/>
      <c r="BD84" s="272" t="n"/>
      <c r="BE84" s="273" t="n"/>
      <c r="BF84" s="274" t="n"/>
      <c r="BH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4">
        <f>_xlfn.LET(r,ROW(),oc,INDEX($A:$A,r),cv,TRIM(INDEX($Y:$Y,r)&amp;""),IF(oc&lt;&gt;"P1","",IF(cv="45","V45 - novo, nao alimentado pelo spool atual","V44 - alimentado pelo spool atual")))</f>
        <v/>
      </c>
    </row>
    <row r="85" ht="54" customFormat="1" customHeight="1" s="54">
      <c r="A85" s="243" t="inlineStr">
        <is>
          <t>C1</t>
        </is>
      </c>
      <c r="B85" s="244" t="n">
        <v>67</v>
      </c>
      <c r="C85" s="284" t="inlineStr">
        <is>
          <t>NA</t>
        </is>
      </c>
      <c r="D85" s="244" t="inlineStr">
        <is>
          <t>NA</t>
        </is>
      </c>
      <c r="E85" s="246" t="inlineStr">
        <is>
          <t>C1 4.13</t>
        </is>
      </c>
      <c r="F85" s="247" t="inlineStr">
        <is>
          <t>Zone libre (Ex Statut de filiation)</t>
        </is>
      </c>
      <c r="G85" s="247" t="inlineStr">
        <is>
          <t>Free zone (ex-Subsidiary relationship)</t>
        </is>
      </c>
      <c r="H85" s="247" t="n"/>
      <c r="I85" s="247" t="inlineStr">
        <is>
          <t>Indique si le tiers a des liens juridiques ou financiers avec une autre entité</t>
        </is>
      </c>
      <c r="J85" s="247" t="inlineStr">
        <is>
          <t>Indicates whether the external counterparty has legal or financial ties to another entity</t>
        </is>
      </c>
      <c r="K85" s="244" t="inlineStr">
        <is>
          <t>NA</t>
        </is>
      </c>
      <c r="L85" s="244" t="inlineStr">
        <is>
          <t>NA</t>
        </is>
      </c>
      <c r="M85" s="1408" t="inlineStr">
        <is>
          <t>NA</t>
        </is>
      </c>
      <c r="N85" s="244" t="inlineStr">
        <is>
          <t>NA</t>
        </is>
      </c>
      <c r="O85" s="244" t="inlineStr">
        <is>
          <t>NA</t>
        </is>
      </c>
      <c r="P85" s="246" t="inlineStr">
        <is>
          <t>NA</t>
        </is>
      </c>
      <c r="Q85" s="246" t="inlineStr">
        <is>
          <t>NA</t>
        </is>
      </c>
      <c r="R85" s="247" t="inlineStr">
        <is>
          <t>NA</t>
        </is>
      </c>
      <c r="S85" s="247" t="inlineStr">
        <is>
          <t>NA</t>
        </is>
      </c>
      <c r="T85" s="246" t="inlineStr">
        <is>
          <t>NUM</t>
        </is>
      </c>
      <c r="U85" s="248" t="inlineStr">
        <is>
          <t>NA</t>
        </is>
      </c>
      <c r="V85" s="248" t="inlineStr">
        <is>
          <t>NA</t>
        </is>
      </c>
      <c r="W85" s="244" t="n">
        <v>1</v>
      </c>
      <c r="X85" s="244" t="inlineStr">
        <is>
          <t>NA</t>
        </is>
      </c>
      <c r="Y85" s="249" t="inlineStr">
        <is>
          <t>NA</t>
        </is>
      </c>
      <c r="Z85" s="249" t="n">
        <v>43</v>
      </c>
      <c r="AA85" s="279" t="inlineStr">
        <is>
          <t>NA</t>
        </is>
      </c>
      <c r="AB85" s="943" t="inlineStr">
        <is>
          <t>NA</t>
        </is>
      </c>
      <c r="AC85" s="244" t="inlineStr">
        <is>
          <t>NA</t>
        </is>
      </c>
      <c r="AD85" s="244" t="inlineStr">
        <is>
          <t>N</t>
        </is>
      </c>
      <c r="AE85" s="244" t="inlineStr">
        <is>
          <t>NA</t>
        </is>
      </c>
      <c r="AF85" s="244" t="inlineStr">
        <is>
          <t>NA</t>
        </is>
      </c>
      <c r="AG85" s="250" t="inlineStr">
        <is>
          <t>NA</t>
        </is>
      </c>
      <c r="AH85" s="89" t="n"/>
      <c r="AI85" s="251" t="n"/>
      <c r="AJ85" s="252" t="n"/>
      <c r="AK85" s="246" t="n"/>
      <c r="AL85" s="253" t="n"/>
      <c r="AM85" s="252" t="n"/>
      <c r="AN85" s="252" t="n"/>
      <c r="AO85" s="246" t="n"/>
      <c r="AP85" s="253" t="n"/>
      <c r="AQ85" s="252" t="n"/>
      <c r="AR85" s="252" t="n"/>
      <c r="AS85" s="246" t="n"/>
      <c r="AT85" s="253" t="n"/>
      <c r="AU85" s="254" t="n"/>
      <c r="AV85" s="254" t="n"/>
      <c r="AW85" s="246" t="n"/>
      <c r="AX85" s="253" t="n"/>
      <c r="AY85" s="252" t="n"/>
      <c r="AZ85" s="252" t="n"/>
      <c r="BA85" s="246" t="n"/>
      <c r="BB85" s="253" t="n"/>
      <c r="BC85" s="251" t="n"/>
      <c r="BD85" s="252" t="n"/>
      <c r="BE85" s="246" t="n"/>
      <c r="BF85" s="253" t="n"/>
      <c r="BH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5">
        <f>_xlfn.LET(r,ROW(),oc,INDEX($A:$A,r),cv,TRIM(INDEX($Y:$Y,r)&amp;""),IF(oc&lt;&gt;"P1","",IF(cv="45","V45 - novo, nao alimentado pelo spool atual","V44 - alimentado pelo spool atual")))</f>
        <v/>
      </c>
    </row>
    <row r="86" ht="54" customHeight="1">
      <c r="A86" s="230" t="inlineStr">
        <is>
          <t>C1</t>
        </is>
      </c>
      <c r="B86" s="231" t="n">
        <v>68</v>
      </c>
      <c r="C86" s="269" t="inlineStr">
        <is>
          <t>16 - Identification Tiers</t>
        </is>
      </c>
      <c r="D86" s="236" t="inlineStr">
        <is>
          <t>16 - Third party identification</t>
        </is>
      </c>
      <c r="E86" s="206" t="inlineStr">
        <is>
          <t>C1 4.18</t>
        </is>
      </c>
      <c r="F86" s="280" t="inlineStr">
        <is>
          <t>Indicateur Watch List</t>
        </is>
      </c>
      <c r="G86" s="235" t="inlineStr">
        <is>
          <t>Watch list indicator</t>
        </is>
      </c>
      <c r="H86" s="235" t="n"/>
      <c r="I86" s="234" t="inlineStr">
        <is>
          <t>Indicateur qui permet d’identifier si le tiers est en WatchList (Alertes Précoces)</t>
        </is>
      </c>
      <c r="J86" s="235" t="inlineStr">
        <is>
          <t>Flag to identify whether the third party is in WatchList (Early Warnings)</t>
        </is>
      </c>
      <c r="K86" s="231" t="inlineStr">
        <is>
          <t>ND</t>
        </is>
      </c>
      <c r="L86" s="236" t="inlineStr">
        <is>
          <t>ND</t>
        </is>
      </c>
      <c r="M86" s="1417" t="inlineStr">
        <is>
          <t>NA</t>
        </is>
      </c>
      <c r="N86" s="231" t="inlineStr">
        <is>
          <t>Obligatoire</t>
        </is>
      </c>
      <c r="O86" s="236" t="inlineStr">
        <is>
          <t>Mandatory</t>
        </is>
      </c>
      <c r="P86" s="206" t="inlineStr">
        <is>
          <t>LC.0526</t>
        </is>
      </c>
      <c r="Q86" s="206" t="inlineStr">
        <is>
          <t>TA Z8INWALI</t>
        </is>
      </c>
      <c r="R86" s="234" t="inlineStr">
        <is>
          <t>NA</t>
        </is>
      </c>
      <c r="S86" s="235" t="inlineStr">
        <is>
          <t>NA</t>
        </is>
      </c>
      <c r="T86" s="206" t="inlineStr">
        <is>
          <t>ALPHA</t>
        </is>
      </c>
      <c r="U86" s="237" t="inlineStr">
        <is>
          <t>NA</t>
        </is>
      </c>
      <c r="V86" s="238" t="inlineStr">
        <is>
          <t>NA</t>
        </is>
      </c>
      <c r="W86" s="231" t="n">
        <v>1</v>
      </c>
      <c r="X86" s="231" t="inlineStr">
        <is>
          <t>NA</t>
        </is>
      </c>
      <c r="Y86" s="239" t="n">
        <v>44</v>
      </c>
      <c r="Z86" s="239" t="inlineStr">
        <is>
          <t>NA</t>
        </is>
      </c>
      <c r="AA86" s="239" t="inlineStr">
        <is>
          <t>NA</t>
        </is>
      </c>
      <c r="AB86" s="942" t="inlineStr">
        <is>
          <t>OMP, PAP</t>
        </is>
      </c>
      <c r="AC86" s="231" t="inlineStr">
        <is>
          <t>ND</t>
        </is>
      </c>
      <c r="AD86" s="231" t="inlineStr">
        <is>
          <t>N</t>
        </is>
      </c>
      <c r="AE86" s="231" t="inlineStr">
        <is>
          <t>NA</t>
        </is>
      </c>
      <c r="AF86" s="281" t="inlineStr">
        <is>
          <t>NA</t>
        </is>
      </c>
      <c r="AG86" s="282" t="inlineStr">
        <is>
          <t>NA</t>
        </is>
      </c>
      <c r="AH86" s="1361" t="n"/>
      <c r="AI86" s="271" t="n"/>
      <c r="AJ86" s="272" t="n"/>
      <c r="AK86" s="273" t="n"/>
      <c r="AL86" s="274" t="n"/>
      <c r="AM86" s="275" t="n"/>
      <c r="AN86" s="272" t="n"/>
      <c r="AO86" s="273" t="n"/>
      <c r="AP86" s="274" t="n"/>
      <c r="AQ86" s="275" t="n"/>
      <c r="AR86" s="272" t="n"/>
      <c r="AS86" s="273" t="n"/>
      <c r="AT86" s="274" t="n"/>
      <c r="AU86" s="276" t="n"/>
      <c r="AV86" s="277" t="n"/>
      <c r="AW86" s="273" t="n"/>
      <c r="AX86" s="274" t="n"/>
      <c r="AY86" s="275" t="n"/>
      <c r="AZ86" s="272" t="n"/>
      <c r="BA86" s="273" t="n"/>
      <c r="BB86" s="274" t="n"/>
      <c r="BC86" s="271" t="n"/>
      <c r="BD86" s="272" t="n"/>
      <c r="BE86" s="273" t="n"/>
      <c r="BF86" s="274" t="n"/>
      <c r="BH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6">
        <f>_xlfn.LET(r,ROW(),oc,INDEX($A:$A,r),cv,TRIM(INDEX($Y:$Y,r)&amp;""),IF(oc&lt;&gt;"P1","",IF(cv="45","V45 - novo, nao alimentado pelo spool atual","V44 - alimentado pelo spool atual")))</f>
        <v/>
      </c>
    </row>
    <row r="87" ht="54" customHeight="1">
      <c r="A87" s="230" t="inlineStr">
        <is>
          <t>C1</t>
        </is>
      </c>
      <c r="B87" s="231" t="n">
        <v>69</v>
      </c>
      <c r="C87" s="269" t="inlineStr">
        <is>
          <t>16 - Identification Tiers</t>
        </is>
      </c>
      <c r="D87" s="236" t="inlineStr">
        <is>
          <t>16 - Third party identification</t>
        </is>
      </c>
      <c r="E87" s="206" t="inlineStr">
        <is>
          <t>C1 4.23</t>
        </is>
      </c>
      <c r="F87" s="280" t="inlineStr">
        <is>
          <t>Date d'entrée en Watch List</t>
        </is>
      </c>
      <c r="G87" s="235" t="inlineStr">
        <is>
          <t>Date of entry into the Watch List</t>
        </is>
      </c>
      <c r="H87" s="235" t="n"/>
      <c r="I87" s="234" t="inlineStr">
        <is>
          <t>Date à laquelle le tiers est entré en WatchList (Alertes Précoces)</t>
        </is>
      </c>
      <c r="J87" s="235" t="inlineStr">
        <is>
          <t>Date the third party entered the WatchList (Early Warnings)</t>
        </is>
      </c>
      <c r="K87" s="231" t="inlineStr">
        <is>
          <t>ND</t>
        </is>
      </c>
      <c r="L87" s="236" t="inlineStr">
        <is>
          <t>ND</t>
        </is>
      </c>
      <c r="M87" s="1417" t="inlineStr">
        <is>
          <t>NA</t>
        </is>
      </c>
      <c r="N87" s="231" t="inlineStr">
        <is>
          <t>Obligatoire</t>
        </is>
      </c>
      <c r="O87" s="236" t="inlineStr">
        <is>
          <t>Mandatory</t>
        </is>
      </c>
      <c r="P87" s="206" t="inlineStr">
        <is>
          <t>NA</t>
        </is>
      </c>
      <c r="Q87" s="206" t="inlineStr">
        <is>
          <t>NA</t>
        </is>
      </c>
      <c r="R87" s="234" t="inlineStr">
        <is>
          <t>NA</t>
        </is>
      </c>
      <c r="S87" s="235" t="inlineStr">
        <is>
          <t>NA</t>
        </is>
      </c>
      <c r="T87" s="206" t="inlineStr">
        <is>
          <t>DATE</t>
        </is>
      </c>
      <c r="U87" s="237" t="inlineStr">
        <is>
          <t>AAAAMMJJ</t>
        </is>
      </c>
      <c r="V87" s="238" t="inlineStr">
        <is>
          <t>YYYYMMDD</t>
        </is>
      </c>
      <c r="W87" s="231" t="n">
        <v>8</v>
      </c>
      <c r="X87" s="231" t="inlineStr">
        <is>
          <t>NA</t>
        </is>
      </c>
      <c r="Y87" s="239" t="n">
        <v>44</v>
      </c>
      <c r="Z87" s="239" t="inlineStr">
        <is>
          <t>NA</t>
        </is>
      </c>
      <c r="AA87" s="239" t="inlineStr">
        <is>
          <t>NA</t>
        </is>
      </c>
      <c r="AB87" s="942" t="inlineStr">
        <is>
          <t>OMP, PAP</t>
        </is>
      </c>
      <c r="AC87" s="231" t="inlineStr">
        <is>
          <t>ND</t>
        </is>
      </c>
      <c r="AD87" s="231" t="inlineStr">
        <is>
          <t>N</t>
        </is>
      </c>
      <c r="AE87" s="231" t="inlineStr">
        <is>
          <t>NA</t>
        </is>
      </c>
      <c r="AF87" s="281" t="inlineStr">
        <is>
          <t>NA</t>
        </is>
      </c>
      <c r="AG87" s="282" t="inlineStr">
        <is>
          <t>NA</t>
        </is>
      </c>
      <c r="AH87" s="1361" t="n"/>
      <c r="AI87" s="271" t="n"/>
      <c r="AJ87" s="272" t="n"/>
      <c r="AK87" s="273" t="n"/>
      <c r="AL87" s="274" t="n"/>
      <c r="AM87" s="275" t="n"/>
      <c r="AN87" s="272" t="n"/>
      <c r="AO87" s="273" t="n"/>
      <c r="AP87" s="274" t="n"/>
      <c r="AQ87" s="275" t="n"/>
      <c r="AR87" s="272" t="n"/>
      <c r="AS87" s="273" t="n"/>
      <c r="AT87" s="274" t="n"/>
      <c r="AU87" s="276" t="n"/>
      <c r="AV87" s="277" t="n"/>
      <c r="AW87" s="273" t="n"/>
      <c r="AX87" s="274" t="n"/>
      <c r="AY87" s="275" t="n"/>
      <c r="AZ87" s="272" t="n"/>
      <c r="BA87" s="273" t="n"/>
      <c r="BB87" s="274" t="n"/>
      <c r="BC87" s="271" t="n"/>
      <c r="BD87" s="272" t="n"/>
      <c r="BE87" s="273" t="n"/>
      <c r="BF87" s="274" t="n"/>
      <c r="BH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7">
        <f>_xlfn.LET(r,ROW(),oc,INDEX($A:$A,r),cv,TRIM(INDEX($Y:$Y,r)&amp;""),IF(oc&lt;&gt;"P1","",IF(cv="45","V45 - novo, nao alimentado pelo spool atual","V44 - alimentado pelo spool atual")))</f>
        <v/>
      </c>
    </row>
    <row r="88" ht="54" customHeight="1">
      <c r="A88" s="230" t="inlineStr">
        <is>
          <t>C1</t>
        </is>
      </c>
      <c r="B88" s="231" t="n">
        <v>70</v>
      </c>
      <c r="C88" s="269" t="inlineStr">
        <is>
          <t>16 - Identification Tiers</t>
        </is>
      </c>
      <c r="D88" s="236" t="inlineStr">
        <is>
          <t>16 - Third party identification</t>
        </is>
      </c>
      <c r="E88" s="206" t="inlineStr">
        <is>
          <t>C1 4.24</t>
        </is>
      </c>
      <c r="F88" s="280" t="inlineStr">
        <is>
          <t>Date de sortie en Watch List</t>
        </is>
      </c>
      <c r="G88" s="235" t="inlineStr">
        <is>
          <t>Date of release in Watch list</t>
        </is>
      </c>
      <c r="H88" s="235" t="n"/>
      <c r="I88" s="234" t="inlineStr">
        <is>
          <t>Date à laquelle le tiers est sorti de WatchList (Alertes Précoces)</t>
        </is>
      </c>
      <c r="J88" s="235" t="inlineStr">
        <is>
          <t>Date the third party exited WatchList (Early Warnings)</t>
        </is>
      </c>
      <c r="K88" s="231" t="inlineStr">
        <is>
          <t>ND</t>
        </is>
      </c>
      <c r="L88" s="236" t="inlineStr">
        <is>
          <t>ND</t>
        </is>
      </c>
      <c r="M88" s="1417" t="inlineStr">
        <is>
          <t>NA</t>
        </is>
      </c>
      <c r="N88" s="231" t="inlineStr">
        <is>
          <t>Obligatoire</t>
        </is>
      </c>
      <c r="O88" s="236" t="inlineStr">
        <is>
          <t>Mandatory</t>
        </is>
      </c>
      <c r="P88" s="206" t="inlineStr">
        <is>
          <t>NA</t>
        </is>
      </c>
      <c r="Q88" s="206" t="inlineStr">
        <is>
          <t>NA</t>
        </is>
      </c>
      <c r="R88" s="234" t="inlineStr">
        <is>
          <t>NA</t>
        </is>
      </c>
      <c r="S88" s="235" t="inlineStr">
        <is>
          <t>NA</t>
        </is>
      </c>
      <c r="T88" s="206" t="inlineStr">
        <is>
          <t>DATE</t>
        </is>
      </c>
      <c r="U88" s="237" t="inlineStr">
        <is>
          <t>AAAAMMJJ</t>
        </is>
      </c>
      <c r="V88" s="238" t="inlineStr">
        <is>
          <t>YYYYMMDD</t>
        </is>
      </c>
      <c r="W88" s="231" t="n">
        <v>8</v>
      </c>
      <c r="X88" s="231" t="inlineStr">
        <is>
          <t>NA</t>
        </is>
      </c>
      <c r="Y88" s="239" t="n">
        <v>44</v>
      </c>
      <c r="Z88" s="239" t="inlineStr">
        <is>
          <t>NA</t>
        </is>
      </c>
      <c r="AA88" s="239" t="inlineStr">
        <is>
          <t>NA</t>
        </is>
      </c>
      <c r="AB88" s="942" t="inlineStr">
        <is>
          <t>PAP</t>
        </is>
      </c>
      <c r="AC88" s="231" t="inlineStr">
        <is>
          <t>ND</t>
        </is>
      </c>
      <c r="AD88" s="231" t="inlineStr">
        <is>
          <t>N</t>
        </is>
      </c>
      <c r="AE88" s="231" t="inlineStr">
        <is>
          <t>NA</t>
        </is>
      </c>
      <c r="AF88" s="281" t="inlineStr">
        <is>
          <t>NA</t>
        </is>
      </c>
      <c r="AG88" s="282" t="inlineStr">
        <is>
          <t>NA</t>
        </is>
      </c>
      <c r="AH88" s="1361" t="n"/>
      <c r="AI88" s="271" t="n"/>
      <c r="AJ88" s="272" t="n"/>
      <c r="AK88" s="273" t="n"/>
      <c r="AL88" s="274" t="n"/>
      <c r="AM88" s="275" t="n"/>
      <c r="AN88" s="272" t="n"/>
      <c r="AO88" s="273" t="n"/>
      <c r="AP88" s="274" t="n"/>
      <c r="AQ88" s="275" t="n"/>
      <c r="AR88" s="272" t="n"/>
      <c r="AS88" s="273" t="n"/>
      <c r="AT88" s="274" t="n"/>
      <c r="AU88" s="276" t="n"/>
      <c r="AV88" s="277" t="n"/>
      <c r="AW88" s="273" t="n"/>
      <c r="AX88" s="274" t="n"/>
      <c r="AY88" s="275" t="n"/>
      <c r="AZ88" s="272" t="n"/>
      <c r="BA88" s="273" t="n"/>
      <c r="BB88" s="274" t="n"/>
      <c r="BC88" s="271" t="n"/>
      <c r="BD88" s="272" t="n"/>
      <c r="BE88" s="273" t="n"/>
      <c r="BF88" s="274" t="n"/>
      <c r="BH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8">
        <f>_xlfn.LET(r,ROW(),oc,INDEX($A:$A,r),cv,TRIM(INDEX($Y:$Y,r)&amp;""),IF(oc&lt;&gt;"P1","",IF(cv="45","V45 - novo, nao alimentado pelo spool atual","V44 - alimentado pelo spool atual")))</f>
        <v/>
      </c>
    </row>
    <row r="89" ht="54" customHeight="1">
      <c r="A89" s="230" t="inlineStr">
        <is>
          <t>C1</t>
        </is>
      </c>
      <c r="B89" s="231" t="n">
        <v>71</v>
      </c>
      <c r="C89" s="269" t="inlineStr">
        <is>
          <t>16 - Identification Tiers</t>
        </is>
      </c>
      <c r="D89" s="236" t="inlineStr">
        <is>
          <t>16 - Third party identification</t>
        </is>
      </c>
      <c r="E89" s="206" t="inlineStr">
        <is>
          <t>C1 4.25</t>
        </is>
      </c>
      <c r="F89" s="280" t="inlineStr">
        <is>
          <t>Motif d'entrée en Watch List</t>
        </is>
      </c>
      <c r="G89" s="235" t="inlineStr">
        <is>
          <t>Reason for entry in Watch List</t>
        </is>
      </c>
      <c r="H89" s="235" t="n"/>
      <c r="I89" s="234" t="inlineStr">
        <is>
          <t>Motif pour lequel le tiers est entré en Watch List (Alertes Précoces)</t>
        </is>
      </c>
      <c r="J89" s="235" t="inlineStr">
        <is>
          <t>Reason the third party entered the Watch List (Early Warnings)</t>
        </is>
      </c>
      <c r="K89" s="231" t="inlineStr">
        <is>
          <t>ND</t>
        </is>
      </c>
      <c r="L89" s="236" t="inlineStr">
        <is>
          <t>ND</t>
        </is>
      </c>
      <c r="M89" s="1417" t="inlineStr">
        <is>
          <t>NA</t>
        </is>
      </c>
      <c r="N89" s="231" t="inlineStr">
        <is>
          <t>Facultatif</t>
        </is>
      </c>
      <c r="O89" s="236" t="inlineStr">
        <is>
          <t>Optional</t>
        </is>
      </c>
      <c r="P89" s="206" t="inlineStr">
        <is>
          <t>LC.0527</t>
        </is>
      </c>
      <c r="Q89" s="206" t="inlineStr">
        <is>
          <t>RB Z8MOTIGE</t>
        </is>
      </c>
      <c r="R89" s="234" t="inlineStr">
        <is>
          <t>NA</t>
        </is>
      </c>
      <c r="S89" s="235" t="inlineStr">
        <is>
          <t>NA</t>
        </is>
      </c>
      <c r="T89" s="206" t="inlineStr">
        <is>
          <t>ALPHA</t>
        </is>
      </c>
      <c r="U89" s="237" t="inlineStr">
        <is>
          <t>NA</t>
        </is>
      </c>
      <c r="V89" s="238" t="inlineStr">
        <is>
          <t>NA</t>
        </is>
      </c>
      <c r="W89" s="231" t="n">
        <v>2</v>
      </c>
      <c r="X89" s="231" t="inlineStr">
        <is>
          <t>NA</t>
        </is>
      </c>
      <c r="Y89" s="239" t="n">
        <v>44</v>
      </c>
      <c r="Z89" s="239" t="inlineStr">
        <is>
          <t>NA</t>
        </is>
      </c>
      <c r="AA89" s="239" t="inlineStr">
        <is>
          <t>NA</t>
        </is>
      </c>
      <c r="AB89" s="942" t="inlineStr">
        <is>
          <t>PAP</t>
        </is>
      </c>
      <c r="AC89" s="231" t="inlineStr">
        <is>
          <t>ND</t>
        </is>
      </c>
      <c r="AD89" s="231" t="inlineStr">
        <is>
          <t>N</t>
        </is>
      </c>
      <c r="AE89" s="231" t="inlineStr">
        <is>
          <t>NA</t>
        </is>
      </c>
      <c r="AF89" s="281" t="inlineStr">
        <is>
          <t>NA</t>
        </is>
      </c>
      <c r="AG89" s="282" t="inlineStr">
        <is>
          <t>NA</t>
        </is>
      </c>
      <c r="AH89" s="1361" t="n"/>
      <c r="AI89" s="271" t="n"/>
      <c r="AJ89" s="272" t="n"/>
      <c r="AK89" s="273" t="n"/>
      <c r="AL89" s="274" t="n"/>
      <c r="AM89" s="275" t="n"/>
      <c r="AN89" s="272" t="n"/>
      <c r="AO89" s="273" t="n"/>
      <c r="AP89" s="274" t="n"/>
      <c r="AQ89" s="275" t="n"/>
      <c r="AR89" s="272" t="n"/>
      <c r="AS89" s="273" t="n"/>
      <c r="AT89" s="274" t="n"/>
      <c r="AU89" s="276" t="n"/>
      <c r="AV89" s="277" t="n"/>
      <c r="AW89" s="273" t="n"/>
      <c r="AX89" s="274" t="n"/>
      <c r="AY89" s="275" t="n"/>
      <c r="AZ89" s="272" t="n"/>
      <c r="BA89" s="273" t="n"/>
      <c r="BB89" s="274" t="n"/>
      <c r="BC89" s="271" t="n"/>
      <c r="BD89" s="272" t="n"/>
      <c r="BE89" s="273" t="n"/>
      <c r="BF89" s="274" t="n"/>
      <c r="BH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9">
        <f>_xlfn.LET(r,ROW(),oc,INDEX($A:$A,r),cv,TRIM(INDEX($Y:$Y,r)&amp;""),IF(oc&lt;&gt;"P1","",IF(cv="45","V45 - novo, nao alimentado pelo spool atual","V44 - alimentado pelo spool atual")))</f>
        <v/>
      </c>
    </row>
    <row r="90" ht="54" customHeight="1">
      <c r="A90" s="230" t="inlineStr">
        <is>
          <t>C1</t>
        </is>
      </c>
      <c r="B90" s="231" t="n">
        <v>72</v>
      </c>
      <c r="C90" s="269" t="inlineStr">
        <is>
          <t>16 - Identification Tiers</t>
        </is>
      </c>
      <c r="D90" s="236" t="inlineStr">
        <is>
          <t>16 - Third party identification</t>
        </is>
      </c>
      <c r="E90" s="206" t="inlineStr">
        <is>
          <t>C1 4.26</t>
        </is>
      </c>
      <c r="F90" s="280" t="inlineStr">
        <is>
          <t>Motif de sortie en Watch List</t>
        </is>
      </c>
      <c r="G90" s="235" t="inlineStr">
        <is>
          <t>Watch List Exit Pattern</t>
        </is>
      </c>
      <c r="H90" s="235" t="n"/>
      <c r="I90" s="234" t="inlineStr">
        <is>
          <t>Motif pour lequel le tiers est sortie de Watch List (Alertes Précoces)</t>
        </is>
      </c>
      <c r="J90" s="235" t="inlineStr">
        <is>
          <t>Reason the third party is removed from Watch List (Early Warnings)</t>
        </is>
      </c>
      <c r="K90" s="231" t="inlineStr">
        <is>
          <t>ND</t>
        </is>
      </c>
      <c r="L90" s="236" t="inlineStr">
        <is>
          <t>ND</t>
        </is>
      </c>
      <c r="M90" s="1417" t="inlineStr">
        <is>
          <t>NA</t>
        </is>
      </c>
      <c r="N90" s="231" t="inlineStr">
        <is>
          <t>Facultatif</t>
        </is>
      </c>
      <c r="O90" s="236" t="inlineStr">
        <is>
          <t>Optional</t>
        </is>
      </c>
      <c r="P90" s="206" t="inlineStr">
        <is>
          <t>LC.0527</t>
        </is>
      </c>
      <c r="Q90" s="206" t="inlineStr">
        <is>
          <t>TA Z8MOTIWL</t>
        </is>
      </c>
      <c r="R90" s="234" t="inlineStr">
        <is>
          <t>NA</t>
        </is>
      </c>
      <c r="S90" s="235" t="inlineStr">
        <is>
          <t>NA</t>
        </is>
      </c>
      <c r="T90" s="206" t="inlineStr">
        <is>
          <t>ALPHA</t>
        </is>
      </c>
      <c r="U90" s="237" t="inlineStr">
        <is>
          <t>NA</t>
        </is>
      </c>
      <c r="V90" s="238" t="inlineStr">
        <is>
          <t>NA</t>
        </is>
      </c>
      <c r="W90" s="231" t="n">
        <v>5</v>
      </c>
      <c r="X90" s="231" t="inlineStr">
        <is>
          <t>NA</t>
        </is>
      </c>
      <c r="Y90" s="239" t="n">
        <v>44</v>
      </c>
      <c r="Z90" s="239" t="inlineStr">
        <is>
          <t>NA</t>
        </is>
      </c>
      <c r="AA90" s="239" t="inlineStr">
        <is>
          <t>NA</t>
        </is>
      </c>
      <c r="AB90" s="942" t="inlineStr">
        <is>
          <t>PAP</t>
        </is>
      </c>
      <c r="AC90" s="231" t="inlineStr">
        <is>
          <t>ND</t>
        </is>
      </c>
      <c r="AD90" s="231" t="inlineStr">
        <is>
          <t>N</t>
        </is>
      </c>
      <c r="AE90" s="231" t="inlineStr">
        <is>
          <t>NA</t>
        </is>
      </c>
      <c r="AF90" s="281" t="inlineStr">
        <is>
          <t>NA</t>
        </is>
      </c>
      <c r="AG90" s="282" t="inlineStr">
        <is>
          <t>NA</t>
        </is>
      </c>
      <c r="AH90" s="1361" t="n"/>
      <c r="AI90" s="271" t="n"/>
      <c r="AJ90" s="272" t="n"/>
      <c r="AK90" s="273" t="n"/>
      <c r="AL90" s="274" t="n"/>
      <c r="AM90" s="275" t="n"/>
      <c r="AN90" s="272" t="n"/>
      <c r="AO90" s="273" t="n"/>
      <c r="AP90" s="274" t="n"/>
      <c r="AQ90" s="275" t="n"/>
      <c r="AR90" s="272" t="n"/>
      <c r="AS90" s="273" t="n"/>
      <c r="AT90" s="274" t="n"/>
      <c r="AU90" s="276" t="n"/>
      <c r="AV90" s="277" t="n"/>
      <c r="AW90" s="273" t="n"/>
      <c r="AX90" s="274" t="n"/>
      <c r="AY90" s="275" t="n"/>
      <c r="AZ90" s="272" t="n"/>
      <c r="BA90" s="273" t="n"/>
      <c r="BB90" s="274" t="n"/>
      <c r="BC90" s="271" t="n"/>
      <c r="BD90" s="272" t="n"/>
      <c r="BE90" s="273" t="n"/>
      <c r="BF90" s="274" t="n"/>
      <c r="BH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0">
        <f>_xlfn.LET(r,ROW(),oc,INDEX($A:$A,r),cv,TRIM(INDEX($Y:$Y,r)&amp;""),IF(oc&lt;&gt;"P1","",IF(cv="45","V45 - novo, nao alimentado pelo spool atual","V44 - alimentado pelo spool atual")))</f>
        <v/>
      </c>
    </row>
    <row r="91" ht="54" customFormat="1" customHeight="1" s="54">
      <c r="A91" s="243" t="inlineStr">
        <is>
          <t>C1</t>
        </is>
      </c>
      <c r="B91" s="244" t="n">
        <v>73</v>
      </c>
      <c r="C91" s="284" t="inlineStr">
        <is>
          <t>NA</t>
        </is>
      </c>
      <c r="D91" s="244" t="inlineStr">
        <is>
          <t>NA</t>
        </is>
      </c>
      <c r="E91" s="246" t="inlineStr">
        <is>
          <t>C1 4.17</t>
        </is>
      </c>
      <c r="F91" s="247" t="inlineStr">
        <is>
          <t>Zone libre (Ex Type d'Acteur (Banque Assurance)</t>
        </is>
      </c>
      <c r="G91" s="247" t="inlineStr">
        <is>
          <t>Free zone (ex-Type of player (Bank Insurance))</t>
        </is>
      </c>
      <c r="H91" s="247" t="n"/>
      <c r="I91" s="247" t="inlineStr">
        <is>
          <t>Classification des tiers de portefeuille Bâle Banque ou Assurance en fonction du soutien de l'Etat
Banque Centrale ou de l'importance de la position sur leur Marché</t>
        </is>
      </c>
      <c r="J91" s="247" t="inlineStr">
        <is>
          <t>Classification of external counterparties in the Basel Banking or Insurance portfolio on the basis of Government 
Central Bank backing or their standing in their Market</t>
        </is>
      </c>
      <c r="K91" s="244" t="inlineStr">
        <is>
          <t>NA</t>
        </is>
      </c>
      <c r="L91" s="244" t="inlineStr">
        <is>
          <t>NA</t>
        </is>
      </c>
      <c r="M91" s="1408" t="inlineStr">
        <is>
          <t>NA</t>
        </is>
      </c>
      <c r="N91" s="244" t="inlineStr">
        <is>
          <t>NA</t>
        </is>
      </c>
      <c r="O91" s="244" t="inlineStr">
        <is>
          <t>NA</t>
        </is>
      </c>
      <c r="P91" s="246" t="inlineStr">
        <is>
          <t>NA</t>
        </is>
      </c>
      <c r="Q91" s="246" t="inlineStr">
        <is>
          <t>NA</t>
        </is>
      </c>
      <c r="R91" s="247" t="inlineStr">
        <is>
          <t>NA</t>
        </is>
      </c>
      <c r="S91" s="247" t="inlineStr">
        <is>
          <t>NA</t>
        </is>
      </c>
      <c r="T91" s="246" t="inlineStr">
        <is>
          <t>ALPHA</t>
        </is>
      </c>
      <c r="U91" s="248" t="inlineStr">
        <is>
          <t>NA</t>
        </is>
      </c>
      <c r="V91" s="248" t="inlineStr">
        <is>
          <t>NA</t>
        </is>
      </c>
      <c r="W91" s="244" t="n">
        <v>26</v>
      </c>
      <c r="X91" s="244" t="inlineStr">
        <is>
          <t>NA</t>
        </is>
      </c>
      <c r="Y91" s="249" t="inlineStr">
        <is>
          <t>NA</t>
        </is>
      </c>
      <c r="Z91" s="249" t="n">
        <v>43</v>
      </c>
      <c r="AA91" s="279" t="inlineStr">
        <is>
          <t>NA</t>
        </is>
      </c>
      <c r="AB91" s="943" t="inlineStr">
        <is>
          <t>NA</t>
        </is>
      </c>
      <c r="AC91" s="244" t="inlineStr">
        <is>
          <t>NA</t>
        </is>
      </c>
      <c r="AD91" s="244" t="inlineStr">
        <is>
          <t>N</t>
        </is>
      </c>
      <c r="AE91" s="244" t="inlineStr">
        <is>
          <t>NA</t>
        </is>
      </c>
      <c r="AF91" s="244" t="inlineStr">
        <is>
          <t>NA</t>
        </is>
      </c>
      <c r="AG91" s="250" t="inlineStr">
        <is>
          <t>NA</t>
        </is>
      </c>
      <c r="AH91" s="89" t="n"/>
      <c r="AI91" s="251" t="n"/>
      <c r="AJ91" s="252" t="n"/>
      <c r="AK91" s="246" t="n"/>
      <c r="AL91" s="253" t="n"/>
      <c r="AM91" s="252" t="n"/>
      <c r="AN91" s="252" t="n"/>
      <c r="AO91" s="246" t="n"/>
      <c r="AP91" s="253" t="n"/>
      <c r="AQ91" s="252" t="n"/>
      <c r="AR91" s="252" t="n"/>
      <c r="AS91" s="246" t="n"/>
      <c r="AT91" s="253" t="n"/>
      <c r="AU91" s="254" t="n"/>
      <c r="AV91" s="254" t="n"/>
      <c r="AW91" s="246" t="n"/>
      <c r="AX91" s="253" t="n"/>
      <c r="AY91" s="252" t="n"/>
      <c r="AZ91" s="252" t="n"/>
      <c r="BA91" s="246" t="n"/>
      <c r="BB91" s="253" t="n"/>
      <c r="BC91" s="251" t="n"/>
      <c r="BD91" s="252" t="n"/>
      <c r="BE91" s="246" t="n"/>
      <c r="BF91" s="253" t="n"/>
      <c r="BH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1">
        <f>_xlfn.LET(r,ROW(),oc,INDEX($A:$A,r),cv,TRIM(INDEX($Y:$Y,r)&amp;""),IF(oc&lt;&gt;"P1","",IF(cv="45","V45 - novo, nao alimentado pelo spool atual","V44 - alimentado pelo spool atual")))</f>
        <v/>
      </c>
    </row>
    <row r="92" ht="54" customFormat="1" customHeight="1" s="54">
      <c r="A92" s="243" t="inlineStr">
        <is>
          <t>C1</t>
        </is>
      </c>
      <c r="B92" s="244" t="n">
        <v>74</v>
      </c>
      <c r="C92" s="284" t="inlineStr">
        <is>
          <t>NA</t>
        </is>
      </c>
      <c r="D92" s="244" t="inlineStr">
        <is>
          <t>NA</t>
        </is>
      </c>
      <c r="E92" s="246" t="inlineStr">
        <is>
          <t>C1 4.99</t>
        </is>
      </c>
      <c r="F92" s="247" t="inlineStr">
        <is>
          <t>Filler</t>
        </is>
      </c>
      <c r="G92" s="247" t="inlineStr">
        <is>
          <t>Filler</t>
        </is>
      </c>
      <c r="H92" s="247" t="n"/>
      <c r="I92" s="247" t="inlineStr">
        <is>
          <t>Zone libre</t>
        </is>
      </c>
      <c r="J92" s="247" t="inlineStr">
        <is>
          <t>Free zone</t>
        </is>
      </c>
      <c r="K92" s="244" t="inlineStr">
        <is>
          <t>NA</t>
        </is>
      </c>
      <c r="L92" s="244" t="inlineStr">
        <is>
          <t>NA</t>
        </is>
      </c>
      <c r="M92" s="1408" t="inlineStr">
        <is>
          <t>NA</t>
        </is>
      </c>
      <c r="N92" s="244" t="inlineStr">
        <is>
          <t>NA</t>
        </is>
      </c>
      <c r="O92" s="244" t="inlineStr">
        <is>
          <t>NA</t>
        </is>
      </c>
      <c r="P92" s="246" t="inlineStr">
        <is>
          <t>NA</t>
        </is>
      </c>
      <c r="Q92" s="246" t="inlineStr">
        <is>
          <t>NA</t>
        </is>
      </c>
      <c r="R92" s="247" t="inlineStr">
        <is>
          <t>Laisser à vide</t>
        </is>
      </c>
      <c r="S92" s="247" t="inlineStr">
        <is>
          <t>Leave empty</t>
        </is>
      </c>
      <c r="T92" s="246" t="inlineStr">
        <is>
          <t>ALPHA</t>
        </is>
      </c>
      <c r="U92" s="248" t="inlineStr">
        <is>
          <t>NA</t>
        </is>
      </c>
      <c r="V92" s="248" t="inlineStr">
        <is>
          <t>NA</t>
        </is>
      </c>
      <c r="W92" s="244" t="n">
        <v>2</v>
      </c>
      <c r="X92" s="244" t="inlineStr">
        <is>
          <t>NA</t>
        </is>
      </c>
      <c r="Y92" s="249" t="inlineStr">
        <is>
          <t>NA</t>
        </is>
      </c>
      <c r="Z92" s="249" t="inlineStr">
        <is>
          <t>NA</t>
        </is>
      </c>
      <c r="AA92" s="279" t="inlineStr">
        <is>
          <t>NA</t>
        </is>
      </c>
      <c r="AB92" s="244" t="inlineStr">
        <is>
          <t>NA</t>
        </is>
      </c>
      <c r="AC92" s="244" t="inlineStr">
        <is>
          <t>NA</t>
        </is>
      </c>
      <c r="AD92" s="244" t="inlineStr">
        <is>
          <t>N</t>
        </is>
      </c>
      <c r="AE92" s="244" t="inlineStr">
        <is>
          <t>NA</t>
        </is>
      </c>
      <c r="AF92" s="244" t="inlineStr">
        <is>
          <t>NA</t>
        </is>
      </c>
      <c r="AG92" s="250" t="inlineStr">
        <is>
          <t>NA</t>
        </is>
      </c>
      <c r="AH92" s="89" t="n"/>
      <c r="AI92" s="251" t="n"/>
      <c r="AJ92" s="252" t="n"/>
      <c r="AK92" s="246" t="n"/>
      <c r="AL92" s="253" t="n"/>
      <c r="AM92" s="252" t="n"/>
      <c r="AN92" s="252" t="n"/>
      <c r="AO92" s="246" t="n"/>
      <c r="AP92" s="253" t="n"/>
      <c r="AQ92" s="252" t="n"/>
      <c r="AR92" s="252" t="n"/>
      <c r="AS92" s="246" t="n"/>
      <c r="AT92" s="253" t="n"/>
      <c r="AU92" s="254" t="n"/>
      <c r="AV92" s="254" t="n"/>
      <c r="AW92" s="246" t="n"/>
      <c r="AX92" s="253" t="n"/>
      <c r="AY92" s="252" t="n"/>
      <c r="AZ92" s="252" t="n"/>
      <c r="BA92" s="246" t="n"/>
      <c r="BB92" s="253" t="n"/>
      <c r="BC92" s="251" t="n"/>
      <c r="BD92" s="252" t="n"/>
      <c r="BE92" s="246" t="n"/>
      <c r="BF92" s="253" t="n"/>
      <c r="BH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2">
        <f>_xlfn.LET(r,ROW(),oc,INDEX($A:$A,r),cv,TRIM(INDEX($Y:$Y,r)&amp;""),IF(oc&lt;&gt;"P1","",IF(cv="45","V45 - novo, nao alimentado pelo spool atual","V44 - alimentado pelo spool atual")))</f>
        <v/>
      </c>
    </row>
    <row r="93" ht="54" customHeight="1">
      <c r="A93" s="230" t="inlineStr">
        <is>
          <t>C1</t>
        </is>
      </c>
      <c r="B93" s="231" t="n">
        <v>75</v>
      </c>
      <c r="C93" s="269" t="inlineStr">
        <is>
          <t>16 - Identification Tiers</t>
        </is>
      </c>
      <c r="D93" s="236" t="inlineStr">
        <is>
          <t>16 - Third party identification</t>
        </is>
      </c>
      <c r="E93" s="206" t="inlineStr">
        <is>
          <t>C1 5.1</t>
        </is>
      </c>
      <c r="F93" s="234" t="inlineStr">
        <is>
          <t>Type de relation</t>
        </is>
      </c>
      <c r="G93" s="235" t="inlineStr">
        <is>
          <t>Type of relationship</t>
        </is>
      </c>
      <c r="H93" s="235" t="n"/>
      <c r="I93" s="234" t="inlineStr">
        <is>
          <t>Définit le type de relation entre une contrepartie et un déclarant (client, garant, prospect….). Lorsque l'entité entretient avec une contrepartie des relations de plusieurs types (par exemple, la contrepartie est à la fois cliente de l'entité et l'émetteur de titres détenus par l'entité) elle déclare le type de relation du niveau le plus élevé</t>
        </is>
      </c>
      <c r="J93" s="235" t="inlineStr">
        <is>
          <t>Defines the type of relationship between a counterparty and a reporter (client, guarantor, prospect….). Where the entity has a number of different relationships with a counterparty (for example, the counterparty is both a client of the entity and the issuer of securities held by the entity) it declares the highest level relationship</t>
        </is>
      </c>
      <c r="K93" s="231" t="inlineStr">
        <is>
          <t>ND</t>
        </is>
      </c>
      <c r="L93" s="236" t="inlineStr">
        <is>
          <t>ND</t>
        </is>
      </c>
      <c r="M93" s="1417" t="inlineStr">
        <is>
          <t>NA</t>
        </is>
      </c>
      <c r="N93" s="231" t="inlineStr">
        <is>
          <t>Obligatoire</t>
        </is>
      </c>
      <c r="O93" s="236" t="inlineStr">
        <is>
          <t>Mandatory</t>
        </is>
      </c>
      <c r="P93" s="206" t="inlineStr">
        <is>
          <t>LC.0018</t>
        </is>
      </c>
      <c r="Q93" s="206" t="inlineStr">
        <is>
          <t>TA KVRELA</t>
        </is>
      </c>
      <c r="R93" s="234" t="inlineStr">
        <is>
          <t xml:space="preserve">La hiérarchie des types de relation est la suivante : C (client) &gt; G (garant) E (émetteur) &gt; D (Déposant) &gt; S ( Sponsor ) etc.
Devient obligatoire par défaut il sera forcé à ‘C' pour Client par le traducteur si non renseigné 
</t>
        </is>
      </c>
      <c r="S93" s="235" t="inlineStr">
        <is>
          <t>The types of relationship hierarchy is as follows: C (client) &gt; G (guarantor) &gt; I (issuer) &gt; D (Depositor) &gt; S (Sponsor) etc</t>
        </is>
      </c>
      <c r="T93" s="206" t="inlineStr">
        <is>
          <t>ALPHA</t>
        </is>
      </c>
      <c r="U93" s="237" t="inlineStr">
        <is>
          <t>NA</t>
        </is>
      </c>
      <c r="V93" s="238" t="inlineStr">
        <is>
          <t>NA</t>
        </is>
      </c>
      <c r="W93" s="231" t="n">
        <v>1</v>
      </c>
      <c r="X93" s="231" t="inlineStr">
        <is>
          <t>NA</t>
        </is>
      </c>
      <c r="Y93" s="239" t="n">
        <v>40</v>
      </c>
      <c r="Z93" s="239" t="inlineStr">
        <is>
          <t>NA</t>
        </is>
      </c>
      <c r="AA93" s="283" t="inlineStr">
        <is>
          <t>NA</t>
        </is>
      </c>
      <c r="AB93" s="231" t="inlineStr">
        <is>
          <t>FEL, MREL</t>
        </is>
      </c>
      <c r="AC93" s="231" t="inlineStr">
        <is>
          <t>ND</t>
        </is>
      </c>
      <c r="AD93" s="231" t="inlineStr">
        <is>
          <t>N</t>
        </is>
      </c>
      <c r="AE93" s="231" t="inlineStr">
        <is>
          <t>NA</t>
        </is>
      </c>
      <c r="AF93" s="231" t="inlineStr">
        <is>
          <t>NA</t>
        </is>
      </c>
      <c r="AG93" s="212" t="inlineStr">
        <is>
          <t>NA</t>
        </is>
      </c>
      <c r="AH93" s="89" t="n"/>
      <c r="AI93" s="204" t="n"/>
      <c r="AJ93" s="213" t="n"/>
      <c r="AK93" s="206" t="n"/>
      <c r="AL93" s="207" t="n"/>
      <c r="AM93" s="205" t="n"/>
      <c r="AN93" s="213" t="n"/>
      <c r="AO93" s="206" t="n"/>
      <c r="AP93" s="207" t="n"/>
      <c r="AQ93" s="205" t="n"/>
      <c r="AR93" s="213" t="n"/>
      <c r="AS93" s="206" t="n"/>
      <c r="AT93" s="207" t="n"/>
      <c r="AU93" s="210" t="n"/>
      <c r="AV93" s="211" t="n"/>
      <c r="AW93" s="206" t="n"/>
      <c r="AX93" s="207" t="n"/>
      <c r="AY93" s="205" t="n"/>
      <c r="AZ93" s="213" t="n"/>
      <c r="BA93" s="206" t="n"/>
      <c r="BB93" s="207" t="n"/>
      <c r="BC93" s="204" t="n"/>
      <c r="BD93" s="213" t="n"/>
      <c r="BE93" s="206" t="n"/>
      <c r="BF93" s="207" t="n"/>
      <c r="BH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3">
        <f>_xlfn.LET(r,ROW(),oc,INDEX($A:$A,r),cv,TRIM(INDEX($Y:$Y,r)&amp;""),IF(oc&lt;&gt;"P1","",IF(cv="45","V45 - novo, nao alimentado pelo spool atual","V44 - alimentado pelo spool atual")))</f>
        <v/>
      </c>
    </row>
    <row r="94" ht="54" customHeight="1">
      <c r="A94" s="230" t="inlineStr">
        <is>
          <t>C1</t>
        </is>
      </c>
      <c r="B94" s="231" t="n">
        <v>76</v>
      </c>
      <c r="C94" s="269" t="inlineStr">
        <is>
          <t>25 - Notation du tiers</t>
        </is>
      </c>
      <c r="D94" s="236" t="inlineStr">
        <is>
          <t>25 - Third party rating</t>
        </is>
      </c>
      <c r="E94" s="206" t="inlineStr">
        <is>
          <t>C1 5.2</t>
        </is>
      </c>
      <c r="F94" s="234" t="inlineStr">
        <is>
          <t>Chiffre d'Affaires utilisé pour la notation</t>
        </is>
      </c>
      <c r="G94" s="235" t="inlineStr">
        <is>
          <t>Revenue used for rating</t>
        </is>
      </c>
      <c r="H94" s="235" t="n"/>
      <c r="I94" s="234" t="inlineStr">
        <is>
          <t>Chiffre d'Affaires utilisé pour la notation</t>
        </is>
      </c>
      <c r="J94" s="235" t="inlineStr">
        <is>
          <t>Revenue used for rating</t>
        </is>
      </c>
      <c r="K94" s="231" t="inlineStr">
        <is>
          <t>ND</t>
        </is>
      </c>
      <c r="L94" s="236" t="inlineStr">
        <is>
          <t>ND</t>
        </is>
      </c>
      <c r="M94" s="1417" t="inlineStr">
        <is>
          <t>NA</t>
        </is>
      </c>
      <c r="N94" s="231" t="inlineStr">
        <is>
          <t>Obligatoire</t>
        </is>
      </c>
      <c r="O94" s="236" t="inlineStr">
        <is>
          <t>Mandatory</t>
        </is>
      </c>
      <c r="P94" s="206" t="inlineStr">
        <is>
          <t>NA</t>
        </is>
      </c>
      <c r="Q94" s="206" t="inlineStr">
        <is>
          <t>NA</t>
        </is>
      </c>
      <c r="R94" s="234" t="inlineStr">
        <is>
          <t>Obligatoire dès que le tiers est noté avec une NOR (C1 4.1) renseignée &lt;&gt; 'ND'
Exprimé obligatoirement en EURO …. (unité euro)
Donnée sous responsabilité du RUN</t>
        </is>
      </c>
      <c r="S94" s="235" t="inlineStr">
        <is>
          <t>Mandatory once an external counterparty is given an assigned rating (C1 4.1) &lt;&gt; 'ND'
Must be denominated in EURO …. (euro units)
Data owned by the «RUN»</t>
        </is>
      </c>
      <c r="T94" s="206" t="inlineStr">
        <is>
          <t>NUM</t>
        </is>
      </c>
      <c r="U94" s="237" t="inlineStr">
        <is>
          <t>NA</t>
        </is>
      </c>
      <c r="V94" s="238" t="inlineStr">
        <is>
          <t>NA</t>
        </is>
      </c>
      <c r="W94" s="231" t="n">
        <v>12</v>
      </c>
      <c r="X94" s="231" t="inlineStr">
        <is>
          <t>NA</t>
        </is>
      </c>
      <c r="Y94" s="239" t="n">
        <v>40</v>
      </c>
      <c r="Z94" s="239" t="inlineStr">
        <is>
          <t>NA</t>
        </is>
      </c>
      <c r="AA94" s="283" t="inlineStr">
        <is>
          <t>NA</t>
        </is>
      </c>
      <c r="AB94" s="231" t="inlineStr">
        <is>
          <t>ANACREDIT</t>
        </is>
      </c>
      <c r="AC94" s="231" t="inlineStr">
        <is>
          <t>ND</t>
        </is>
      </c>
      <c r="AD94" s="231" t="inlineStr">
        <is>
          <t>N</t>
        </is>
      </c>
      <c r="AE94" s="257" t="inlineStr">
        <is>
          <t>NA</t>
        </is>
      </c>
      <c r="AF94" s="257" t="inlineStr">
        <is>
          <t>NA</t>
        </is>
      </c>
      <c r="AG94" s="258" t="inlineStr">
        <is>
          <t>NA</t>
        </is>
      </c>
      <c r="AH94" s="89" t="n"/>
      <c r="AI94" s="204" t="n"/>
      <c r="AJ94" s="213" t="n"/>
      <c r="AK94" s="206" t="n"/>
      <c r="AL94" s="207" t="n"/>
      <c r="AM94" s="205" t="n"/>
      <c r="AN94" s="213" t="n"/>
      <c r="AO94" s="206" t="n"/>
      <c r="AP94" s="207" t="n"/>
      <c r="AQ94" s="205" t="n"/>
      <c r="AR94" s="213" t="n"/>
      <c r="AS94" s="206" t="n"/>
      <c r="AT94" s="207" t="n"/>
      <c r="AU94" s="210" t="n"/>
      <c r="AV94" s="211" t="n"/>
      <c r="AW94" s="206" t="n"/>
      <c r="AX94" s="207" t="n"/>
      <c r="AY94" s="205" t="n"/>
      <c r="AZ94" s="213" t="n"/>
      <c r="BA94" s="206" t="n"/>
      <c r="BB94" s="207" t="n"/>
      <c r="BC94" s="204" t="n"/>
      <c r="BD94" s="213" t="n"/>
      <c r="BE94" s="206" t="n"/>
      <c r="BF94" s="207" t="n"/>
      <c r="BH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4">
        <f>_xlfn.LET(r,ROW(),oc,INDEX($A:$A,r),cv,TRIM(INDEX($Y:$Y,r)&amp;""),IF(oc&lt;&gt;"P1","",IF(cv="45","V45 - novo, nao alimentado pelo spool atual","V44 - alimentado pelo spool atual")))</f>
        <v/>
      </c>
    </row>
    <row r="95" ht="54" customHeight="1">
      <c r="A95" s="230" t="inlineStr">
        <is>
          <t>C1</t>
        </is>
      </c>
      <c r="B95" s="231" t="n">
        <v>77</v>
      </c>
      <c r="C95" s="269" t="inlineStr">
        <is>
          <t>16 - Identification Tiers</t>
        </is>
      </c>
      <c r="D95" s="236" t="inlineStr">
        <is>
          <t>16 - Third party identification</t>
        </is>
      </c>
      <c r="E95" s="206" t="inlineStr">
        <is>
          <t>C1 5.3</t>
        </is>
      </c>
      <c r="F95" s="234" t="inlineStr">
        <is>
          <t>Indicateur Chiffre d'Affaires consolidé</t>
        </is>
      </c>
      <c r="G95" s="235" t="inlineStr">
        <is>
          <t>Consolidated turnover indicator</t>
        </is>
      </c>
      <c r="H95" s="235" t="n"/>
      <c r="I95" s="234" t="inlineStr">
        <is>
          <t>Indique si le CA renseigné est établi sur une base consolidée</t>
        </is>
      </c>
      <c r="J95" s="235" t="inlineStr">
        <is>
          <t>Indicates whether the specified revenue is calculated on a consolidated basis</t>
        </is>
      </c>
      <c r="K95" s="231" t="inlineStr">
        <is>
          <t>ND</t>
        </is>
      </c>
      <c r="L95" s="236" t="inlineStr">
        <is>
          <t>ND</t>
        </is>
      </c>
      <c r="M95" s="1417" t="inlineStr">
        <is>
          <t>NA</t>
        </is>
      </c>
      <c r="N95" s="231" t="inlineStr">
        <is>
          <t>Obligatoire</t>
        </is>
      </c>
      <c r="O95" s="236" t="inlineStr">
        <is>
          <t>Mandatory</t>
        </is>
      </c>
      <c r="P95" s="206" t="inlineStr">
        <is>
          <t>LC.0424</t>
        </is>
      </c>
      <c r="Q95" s="206" t="inlineStr">
        <is>
          <t>TA TMCACONS</t>
        </is>
      </c>
      <c r="R95" s="234" t="inlineStr">
        <is>
          <t>Obligatoire si Chiffre d'affaires utilisé pour la notation (C1 5.2) est renseigné
Donnée sous responsabilité du RUN</t>
        </is>
      </c>
      <c r="S95" s="235" t="inlineStr">
        <is>
          <t>Mandatory where revenue used for rating (C1 5.2) is indicated
Data owned by the «RUN»</t>
        </is>
      </c>
      <c r="T95" s="206" t="inlineStr">
        <is>
          <t>ALPHA</t>
        </is>
      </c>
      <c r="U95" s="237" t="inlineStr">
        <is>
          <t>NA</t>
        </is>
      </c>
      <c r="V95" s="238" t="inlineStr">
        <is>
          <t>NA</t>
        </is>
      </c>
      <c r="W95" s="231" t="n">
        <v>1</v>
      </c>
      <c r="X95" s="231" t="inlineStr">
        <is>
          <t>NA</t>
        </is>
      </c>
      <c r="Y95" s="239" t="n">
        <v>40</v>
      </c>
      <c r="Z95" s="239" t="inlineStr">
        <is>
          <t>NA</t>
        </is>
      </c>
      <c r="AA95" s="270" t="inlineStr">
        <is>
          <t>NA</t>
        </is>
      </c>
      <c r="AB95" s="231" t="inlineStr">
        <is>
          <t>TIGRE</t>
        </is>
      </c>
      <c r="AC95" s="231" t="inlineStr">
        <is>
          <t>ND</t>
        </is>
      </c>
      <c r="AD95" s="231" t="inlineStr">
        <is>
          <t>N</t>
        </is>
      </c>
      <c r="AE95" s="257" t="inlineStr">
        <is>
          <t>NA</t>
        </is>
      </c>
      <c r="AF95" s="257" t="inlineStr">
        <is>
          <t>NA</t>
        </is>
      </c>
      <c r="AG95" s="258" t="inlineStr">
        <is>
          <t>NA</t>
        </is>
      </c>
      <c r="AH95" s="89" t="n"/>
      <c r="AI95" s="204" t="n"/>
      <c r="AJ95" s="213" t="n"/>
      <c r="AK95" s="206" t="n"/>
      <c r="AL95" s="207" t="n"/>
      <c r="AM95" s="205" t="n"/>
      <c r="AN95" s="213" t="n"/>
      <c r="AO95" s="206" t="n"/>
      <c r="AP95" s="207" t="n"/>
      <c r="AQ95" s="205" t="n"/>
      <c r="AR95" s="213" t="n"/>
      <c r="AS95" s="206" t="n"/>
      <c r="AT95" s="207" t="n"/>
      <c r="AU95" s="210" t="n"/>
      <c r="AV95" s="211" t="n"/>
      <c r="AW95" s="206" t="n"/>
      <c r="AX95" s="207" t="n"/>
      <c r="AY95" s="205" t="n"/>
      <c r="AZ95" s="213" t="n"/>
      <c r="BA95" s="206" t="n"/>
      <c r="BB95" s="207" t="n"/>
      <c r="BC95" s="204" t="n"/>
      <c r="BD95" s="213" t="n"/>
      <c r="BE95" s="206" t="n"/>
      <c r="BF95" s="207" t="n"/>
      <c r="BH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5">
        <f>_xlfn.LET(r,ROW(),oc,INDEX($A:$A,r),cv,TRIM(INDEX($Y:$Y,r)&amp;""),IF(oc&lt;&gt;"P1","",IF(cv="45","V45 - novo, nao alimentado pelo spool atual","V44 - alimentado pelo spool atual")))</f>
        <v/>
      </c>
    </row>
    <row r="96" ht="54" customHeight="1">
      <c r="A96" s="230" t="inlineStr">
        <is>
          <t>C1</t>
        </is>
      </c>
      <c r="B96" s="231" t="n">
        <v>78</v>
      </c>
      <c r="C96" s="269" t="inlineStr">
        <is>
          <t>16 - Identification Tiers</t>
        </is>
      </c>
      <c r="D96" s="236" t="inlineStr">
        <is>
          <t>16 - Third party identification</t>
        </is>
      </c>
      <c r="E96" s="206" t="inlineStr">
        <is>
          <t>C1 5.4</t>
        </is>
      </c>
      <c r="F96" s="234" t="inlineStr">
        <is>
          <t>Devise du Chiffre d'Affaires</t>
        </is>
      </c>
      <c r="G96" s="235" t="inlineStr">
        <is>
          <t>Currency of revenue</t>
        </is>
      </c>
      <c r="H96" s="235" t="n"/>
      <c r="I96" s="234" t="inlineStr">
        <is>
          <t>Code de la devise d'expression du CA</t>
        </is>
      </c>
      <c r="J96" s="235" t="inlineStr">
        <is>
          <t>Code of the currency in which the revenue is denominated</t>
        </is>
      </c>
      <c r="K96" s="231" t="inlineStr">
        <is>
          <t>ND</t>
        </is>
      </c>
      <c r="L96" s="236" t="inlineStr">
        <is>
          <t>ND</t>
        </is>
      </c>
      <c r="M96" s="1417" t="inlineStr">
        <is>
          <t>NA</t>
        </is>
      </c>
      <c r="N96" s="231" t="inlineStr">
        <is>
          <t>Obligatoire</t>
        </is>
      </c>
      <c r="O96" s="236" t="inlineStr">
        <is>
          <t>Mandatory</t>
        </is>
      </c>
      <c r="P96" s="206" t="inlineStr">
        <is>
          <t>LC.0005</t>
        </is>
      </c>
      <c r="Q96" s="206" t="inlineStr">
        <is>
          <t>TA NM253</t>
        </is>
      </c>
      <c r="R96" s="234" t="inlineStr">
        <is>
          <t>Obligatoire si Chiffre d'affaires utilisé pour la notation (C1 5.2) est renseigné
Seule valeur autorisée = EUR
Donnée sous responsabilité du RUN</t>
        </is>
      </c>
      <c r="S96" s="235" t="inlineStr">
        <is>
          <t>Mandatory where revenue used for rating (C1 5.2) is indicated
Only permitted value = EUR
Data owned by the «RUN»</t>
        </is>
      </c>
      <c r="T96" s="206" t="inlineStr">
        <is>
          <t>ALPHA</t>
        </is>
      </c>
      <c r="U96" s="237" t="inlineStr">
        <is>
          <t>NA</t>
        </is>
      </c>
      <c r="V96" s="238" t="inlineStr">
        <is>
          <t>NA</t>
        </is>
      </c>
      <c r="W96" s="231" t="n">
        <v>3</v>
      </c>
      <c r="X96" s="231" t="inlineStr">
        <is>
          <t>NA</t>
        </is>
      </c>
      <c r="Y96" s="239" t="n">
        <v>40</v>
      </c>
      <c r="Z96" s="239" t="inlineStr">
        <is>
          <t>NA</t>
        </is>
      </c>
      <c r="AA96" s="270" t="inlineStr">
        <is>
          <t>NA</t>
        </is>
      </c>
      <c r="AB96" s="231" t="inlineStr">
        <is>
          <t>TIGRE</t>
        </is>
      </c>
      <c r="AC96" s="231" t="inlineStr">
        <is>
          <t>ND</t>
        </is>
      </c>
      <c r="AD96" s="231" t="inlineStr">
        <is>
          <t>N</t>
        </is>
      </c>
      <c r="AE96" s="257" t="inlineStr">
        <is>
          <t>NA</t>
        </is>
      </c>
      <c r="AF96" s="257" t="inlineStr">
        <is>
          <t>NA</t>
        </is>
      </c>
      <c r="AG96" s="258" t="inlineStr">
        <is>
          <t>NA</t>
        </is>
      </c>
      <c r="AH96" s="89" t="n"/>
      <c r="AI96" s="204" t="n"/>
      <c r="AJ96" s="213" t="n"/>
      <c r="AK96" s="206" t="n"/>
      <c r="AL96" s="207" t="n"/>
      <c r="AM96" s="205" t="n"/>
      <c r="AN96" s="213" t="n"/>
      <c r="AO96" s="206" t="n"/>
      <c r="AP96" s="207" t="n"/>
      <c r="AQ96" s="205" t="n"/>
      <c r="AR96" s="213" t="n"/>
      <c r="AS96" s="206" t="n"/>
      <c r="AT96" s="207" t="n"/>
      <c r="AU96" s="210" t="n"/>
      <c r="AV96" s="211" t="n"/>
      <c r="AW96" s="206" t="n"/>
      <c r="AX96" s="207" t="n"/>
      <c r="AY96" s="205" t="n"/>
      <c r="AZ96" s="213" t="n"/>
      <c r="BA96" s="206" t="n"/>
      <c r="BB96" s="207" t="n"/>
      <c r="BC96" s="204" t="n"/>
      <c r="BD96" s="213" t="n"/>
      <c r="BE96" s="206" t="n"/>
      <c r="BF96" s="207" t="n"/>
      <c r="BH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6">
        <f>_xlfn.LET(r,ROW(),oc,INDEX($A:$A,r),cv,TRIM(INDEX($Y:$Y,r)&amp;""),IF(oc&lt;&gt;"P1","",IF(cv="45","V45 - novo, nao alimentado pelo spool atual","V44 - alimentado pelo spool atual")))</f>
        <v/>
      </c>
    </row>
    <row r="97" ht="54" customHeight="1">
      <c r="A97" s="230" t="inlineStr">
        <is>
          <t>C1</t>
        </is>
      </c>
      <c r="B97" s="231" t="n">
        <v>79</v>
      </c>
      <c r="C97" s="269" t="inlineStr">
        <is>
          <t>16 - Identification Tiers</t>
        </is>
      </c>
      <c r="D97" s="236" t="inlineStr">
        <is>
          <t>16 - Third party identification</t>
        </is>
      </c>
      <c r="E97" s="206" t="inlineStr">
        <is>
          <t>C1 5.5</t>
        </is>
      </c>
      <c r="F97" s="234" t="inlineStr">
        <is>
          <t>Année du Chiffre d'Affaires</t>
        </is>
      </c>
      <c r="G97" s="235" t="inlineStr">
        <is>
          <t>Financial year of revenue</t>
        </is>
      </c>
      <c r="H97" s="235" t="n"/>
      <c r="I97" s="234" t="inlineStr">
        <is>
          <t>Année de l'exercice pour lequel le CA est fourni</t>
        </is>
      </c>
      <c r="J97" s="235" t="inlineStr">
        <is>
          <t>Financial year in which the revenue was generated</t>
        </is>
      </c>
      <c r="K97" s="231" t="inlineStr">
        <is>
          <t>ND</t>
        </is>
      </c>
      <c r="L97" s="236" t="inlineStr">
        <is>
          <t>ND</t>
        </is>
      </c>
      <c r="M97" s="1417" t="inlineStr">
        <is>
          <t>NA</t>
        </is>
      </c>
      <c r="N97" s="231" t="inlineStr">
        <is>
          <t>Obligatoire</t>
        </is>
      </c>
      <c r="O97" s="236" t="inlineStr">
        <is>
          <t>Mandatory</t>
        </is>
      </c>
      <c r="P97" s="206" t="inlineStr">
        <is>
          <t>NA</t>
        </is>
      </c>
      <c r="Q97" s="206" t="inlineStr">
        <is>
          <t>NA</t>
        </is>
      </c>
      <c r="R97" s="234" t="inlineStr">
        <is>
          <t>Obligatoire si Chiffre d'affaires utilisé pour la notation (C1 5.2) est renseigné
Format de la date 'AAAA'
Donnée sous responsabilité du RUN</t>
        </is>
      </c>
      <c r="S97" s="235" t="inlineStr">
        <is>
          <t>Mandatory where revenue used for rating (C1 5.2) is indicated
“YYYY” date format
Data owned by the «RUN»</t>
        </is>
      </c>
      <c r="T97" s="206" t="inlineStr">
        <is>
          <t>NUM</t>
        </is>
      </c>
      <c r="U97" s="237" t="inlineStr">
        <is>
          <t>NA</t>
        </is>
      </c>
      <c r="V97" s="238" t="inlineStr">
        <is>
          <t>NA</t>
        </is>
      </c>
      <c r="W97" s="231" t="n">
        <v>4</v>
      </c>
      <c r="X97" s="231" t="inlineStr">
        <is>
          <t>NA</t>
        </is>
      </c>
      <c r="Y97" s="239" t="n">
        <v>40</v>
      </c>
      <c r="Z97" s="239" t="inlineStr">
        <is>
          <t>NA</t>
        </is>
      </c>
      <c r="AA97" s="283" t="inlineStr">
        <is>
          <t>NA</t>
        </is>
      </c>
      <c r="AB97" s="231" t="inlineStr">
        <is>
          <t>TIGRE</t>
        </is>
      </c>
      <c r="AC97" s="231" t="inlineStr">
        <is>
          <t>ND</t>
        </is>
      </c>
      <c r="AD97" s="231" t="inlineStr">
        <is>
          <t>N</t>
        </is>
      </c>
      <c r="AE97" s="257" t="inlineStr">
        <is>
          <t>NA</t>
        </is>
      </c>
      <c r="AF97" s="257" t="inlineStr">
        <is>
          <t>NA</t>
        </is>
      </c>
      <c r="AG97" s="258" t="inlineStr">
        <is>
          <t>NA</t>
        </is>
      </c>
      <c r="AH97" s="89" t="n"/>
      <c r="AI97" s="204" t="n"/>
      <c r="AJ97" s="213" t="n"/>
      <c r="AK97" s="206" t="n"/>
      <c r="AL97" s="207" t="n"/>
      <c r="AM97" s="205" t="n"/>
      <c r="AN97" s="213" t="n"/>
      <c r="AO97" s="206" t="n"/>
      <c r="AP97" s="207" t="n"/>
      <c r="AQ97" s="205" t="n"/>
      <c r="AR97" s="213" t="n"/>
      <c r="AS97" s="206" t="n"/>
      <c r="AT97" s="207" t="n"/>
      <c r="AU97" s="210" t="n"/>
      <c r="AV97" s="211" t="n"/>
      <c r="AW97" s="206" t="n"/>
      <c r="AX97" s="207" t="n"/>
      <c r="AY97" s="205" t="n"/>
      <c r="AZ97" s="213" t="n"/>
      <c r="BA97" s="206" t="n"/>
      <c r="BB97" s="207" t="n"/>
      <c r="BC97" s="204" t="n"/>
      <c r="BD97" s="213" t="n"/>
      <c r="BE97" s="206" t="n"/>
      <c r="BF97" s="207" t="n"/>
      <c r="BH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7">
        <f>_xlfn.LET(r,ROW(),oc,INDEX($A:$A,r),cv,TRIM(INDEX($Y:$Y,r)&amp;""),IF(oc&lt;&gt;"P1","",IF(cv="45","V45 - novo, nao alimentado pelo spool atual","V44 - alimentado pelo spool atual")))</f>
        <v/>
      </c>
    </row>
    <row r="98" ht="54" customFormat="1" customHeight="1" s="54">
      <c r="A98" s="243" t="inlineStr">
        <is>
          <t>C1</t>
        </is>
      </c>
      <c r="B98" s="244" t="n">
        <v>80</v>
      </c>
      <c r="C98" s="284" t="inlineStr">
        <is>
          <t>NA</t>
        </is>
      </c>
      <c r="D98" s="244" t="inlineStr">
        <is>
          <t>NA</t>
        </is>
      </c>
      <c r="E98" s="246" t="inlineStr">
        <is>
          <t>C1 5.6</t>
        </is>
      </c>
      <c r="F98" s="247" t="inlineStr">
        <is>
          <t>Filler</t>
        </is>
      </c>
      <c r="G98" s="247" t="inlineStr">
        <is>
          <t>Filler</t>
        </is>
      </c>
      <c r="H98" s="247" t="n"/>
      <c r="I98" s="247" t="inlineStr">
        <is>
          <t>Zone libre</t>
        </is>
      </c>
      <c r="J98" s="247" t="inlineStr">
        <is>
          <t>Free zone</t>
        </is>
      </c>
      <c r="K98" s="244" t="inlineStr">
        <is>
          <t>NA</t>
        </is>
      </c>
      <c r="L98" s="244" t="inlineStr">
        <is>
          <t>NA</t>
        </is>
      </c>
      <c r="M98" s="1408" t="inlineStr">
        <is>
          <t>NA</t>
        </is>
      </c>
      <c r="N98" s="244" t="inlineStr">
        <is>
          <t>NA</t>
        </is>
      </c>
      <c r="O98" s="244" t="inlineStr">
        <is>
          <t>NA</t>
        </is>
      </c>
      <c r="P98" s="246" t="inlineStr">
        <is>
          <t>NA</t>
        </is>
      </c>
      <c r="Q98" s="246" t="inlineStr">
        <is>
          <t>NA</t>
        </is>
      </c>
      <c r="R98" s="247" t="inlineStr">
        <is>
          <t>Laisser à vide</t>
        </is>
      </c>
      <c r="S98" s="247" t="inlineStr">
        <is>
          <t>Leave empty</t>
        </is>
      </c>
      <c r="T98" s="246" t="inlineStr">
        <is>
          <t>NUM</t>
        </is>
      </c>
      <c r="U98" s="248" t="inlineStr">
        <is>
          <t>NA</t>
        </is>
      </c>
      <c r="V98" s="248" t="inlineStr">
        <is>
          <t>NA</t>
        </is>
      </c>
      <c r="W98" s="244" t="n">
        <v>1</v>
      </c>
      <c r="X98" s="244" t="inlineStr">
        <is>
          <t>NA</t>
        </is>
      </c>
      <c r="Y98" s="249" t="inlineStr">
        <is>
          <t>NA</t>
        </is>
      </c>
      <c r="Z98" s="249" t="inlineStr">
        <is>
          <t>NA</t>
        </is>
      </c>
      <c r="AA98" s="279" t="inlineStr">
        <is>
          <t>NA</t>
        </is>
      </c>
      <c r="AB98" s="244" t="inlineStr">
        <is>
          <t>NA</t>
        </is>
      </c>
      <c r="AC98" s="244" t="inlineStr">
        <is>
          <t>NA</t>
        </is>
      </c>
      <c r="AD98" s="244" t="inlineStr">
        <is>
          <t>N</t>
        </is>
      </c>
      <c r="AE98" s="244" t="inlineStr">
        <is>
          <t>NA</t>
        </is>
      </c>
      <c r="AF98" s="244" t="inlineStr">
        <is>
          <t>NA</t>
        </is>
      </c>
      <c r="AG98" s="250" t="inlineStr">
        <is>
          <t>NA</t>
        </is>
      </c>
      <c r="AH98" s="89" t="n"/>
      <c r="AI98" s="251" t="n"/>
      <c r="AJ98" s="252" t="n"/>
      <c r="AK98" s="246" t="n"/>
      <c r="AL98" s="253" t="n"/>
      <c r="AM98" s="252" t="n"/>
      <c r="AN98" s="252" t="n"/>
      <c r="AO98" s="246" t="n"/>
      <c r="AP98" s="253" t="n"/>
      <c r="AQ98" s="252" t="n"/>
      <c r="AR98" s="252" t="n"/>
      <c r="AS98" s="246" t="n"/>
      <c r="AT98" s="253" t="n"/>
      <c r="AU98" s="254" t="n"/>
      <c r="AV98" s="254" t="n"/>
      <c r="AW98" s="246" t="n"/>
      <c r="AX98" s="253" t="n"/>
      <c r="AY98" s="252" t="n"/>
      <c r="AZ98" s="252" t="n"/>
      <c r="BA98" s="246" t="n"/>
      <c r="BB98" s="253" t="n"/>
      <c r="BC98" s="251" t="n"/>
      <c r="BD98" s="252" t="n"/>
      <c r="BE98" s="246" t="n"/>
      <c r="BF98" s="253" t="n"/>
      <c r="BH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8">
        <f>_xlfn.LET(r,ROW(),oc,INDEX($A:$A,r),cv,TRIM(INDEX($Y:$Y,r)&amp;""),IF(oc&lt;&gt;"P1","",IF(cv="45","V45 - novo, nao alimentado pelo spool atual","V44 - alimentado pelo spool atual")))</f>
        <v/>
      </c>
    </row>
    <row r="99" ht="54" customHeight="1">
      <c r="A99" s="230" t="inlineStr">
        <is>
          <t>C1</t>
        </is>
      </c>
      <c r="B99" s="231" t="n">
        <v>81</v>
      </c>
      <c r="C99" s="269" t="inlineStr">
        <is>
          <t>16 - Identification Tiers</t>
        </is>
      </c>
      <c r="D99" s="236" t="inlineStr">
        <is>
          <t>16 - Third party identification</t>
        </is>
      </c>
      <c r="E99" s="206" t="inlineStr">
        <is>
          <t>C1 8.1</t>
        </is>
      </c>
      <c r="F99" s="234" t="inlineStr">
        <is>
          <t>Durée d'exercice</t>
        </is>
      </c>
      <c r="G99" s="235" t="inlineStr">
        <is>
          <t>Duration of financial year</t>
        </is>
      </c>
      <c r="H99" s="235" t="n"/>
      <c r="I99" s="234" t="inlineStr">
        <is>
          <t>Durée d'exercice auquel se rapporte le chiffre d'affaires</t>
        </is>
      </c>
      <c r="J99" s="235" t="inlineStr">
        <is>
          <t>Duration of the financial year in which the revenue was generated</t>
        </is>
      </c>
      <c r="K99" s="231" t="inlineStr">
        <is>
          <t>ND</t>
        </is>
      </c>
      <c r="L99" s="236" t="inlineStr">
        <is>
          <t>ND</t>
        </is>
      </c>
      <c r="M99" s="1417" t="inlineStr">
        <is>
          <t>NA</t>
        </is>
      </c>
      <c r="N99" s="231" t="inlineStr">
        <is>
          <t>Obligatoire</t>
        </is>
      </c>
      <c r="O99" s="236" t="inlineStr">
        <is>
          <t>Mandatory</t>
        </is>
      </c>
      <c r="P99" s="206" t="inlineStr">
        <is>
          <t>NA</t>
        </is>
      </c>
      <c r="Q99" s="206" t="inlineStr">
        <is>
          <t>NA</t>
        </is>
      </c>
      <c r="R99" s="234" t="inlineStr">
        <is>
          <t>Obligatoire si Chiffre d'affaires utilisé pour la notation (C1 5.2) est renseigné
Format JJJ
Donnée sous responsabilité du RUN</t>
        </is>
      </c>
      <c r="S99" s="235" t="inlineStr">
        <is>
          <t>Mandatory where revenue used for rating (C1 5.2) is indicated
DDD format
Data owned by the «RUN»</t>
        </is>
      </c>
      <c r="T99" s="206" t="inlineStr">
        <is>
          <t>NUM</t>
        </is>
      </c>
      <c r="U99" s="237" t="inlineStr">
        <is>
          <t>NA</t>
        </is>
      </c>
      <c r="V99" s="238" t="inlineStr">
        <is>
          <t>NA</t>
        </is>
      </c>
      <c r="W99" s="231" t="n">
        <v>3</v>
      </c>
      <c r="X99" s="231" t="inlineStr">
        <is>
          <t>NA</t>
        </is>
      </c>
      <c r="Y99" s="239" t="n">
        <v>40</v>
      </c>
      <c r="Z99" s="239" t="inlineStr">
        <is>
          <t>NA</t>
        </is>
      </c>
      <c r="AA99" s="283" t="inlineStr">
        <is>
          <t>NA</t>
        </is>
      </c>
      <c r="AB99" s="231" t="inlineStr">
        <is>
          <t>TIGRE</t>
        </is>
      </c>
      <c r="AC99" s="231" t="inlineStr">
        <is>
          <t>ND</t>
        </is>
      </c>
      <c r="AD99" s="231" t="inlineStr">
        <is>
          <t>N</t>
        </is>
      </c>
      <c r="AE99" s="257" t="inlineStr">
        <is>
          <t>NA</t>
        </is>
      </c>
      <c r="AF99" s="257" t="inlineStr">
        <is>
          <t>NA</t>
        </is>
      </c>
      <c r="AG99" s="258" t="inlineStr">
        <is>
          <t>NA</t>
        </is>
      </c>
      <c r="AH99" s="89" t="n"/>
      <c r="AI99" s="204" t="n"/>
      <c r="AJ99" s="213" t="n"/>
      <c r="AK99" s="206" t="n"/>
      <c r="AL99" s="207" t="n"/>
      <c r="AM99" s="205" t="n"/>
      <c r="AN99" s="213" t="n"/>
      <c r="AO99" s="206" t="n"/>
      <c r="AP99" s="207" t="n"/>
      <c r="AQ99" s="205" t="n"/>
      <c r="AR99" s="213" t="n"/>
      <c r="AS99" s="206" t="n"/>
      <c r="AT99" s="207" t="n"/>
      <c r="AU99" s="210" t="n"/>
      <c r="AV99" s="211" t="n"/>
      <c r="AW99" s="206" t="n"/>
      <c r="AX99" s="207" t="n"/>
      <c r="AY99" s="205" t="n"/>
      <c r="AZ99" s="213" t="n"/>
      <c r="BA99" s="206" t="n"/>
      <c r="BB99" s="207" t="n"/>
      <c r="BC99" s="204" t="n"/>
      <c r="BD99" s="213" t="n"/>
      <c r="BE99" s="206" t="n"/>
      <c r="BF99" s="207" t="n"/>
      <c r="BH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9">
        <f>_xlfn.LET(r,ROW(),oc,INDEX($A:$A,r),cv,TRIM(INDEX($Y:$Y,r)&amp;""),IF(oc&lt;&gt;"P1","",IF(cv="45","V45 - novo, nao alimentado pelo spool atual","V44 - alimentado pelo spool atual")))</f>
        <v/>
      </c>
    </row>
    <row r="100" ht="54" customHeight="1">
      <c r="A100" s="230" t="inlineStr">
        <is>
          <t>C1</t>
        </is>
      </c>
      <c r="B100" s="231" t="n">
        <v>82</v>
      </c>
      <c r="C100" s="269" t="inlineStr">
        <is>
          <t>16 - Identification Tiers</t>
        </is>
      </c>
      <c r="D100" s="236" t="inlineStr">
        <is>
          <t>16 - Third party identification</t>
        </is>
      </c>
      <c r="E100" s="206" t="inlineStr">
        <is>
          <t>C1 8.2</t>
        </is>
      </c>
      <c r="F100" s="234" t="inlineStr">
        <is>
          <t>Nature du chiffre d'affaires</t>
        </is>
      </c>
      <c r="G100" s="235" t="inlineStr">
        <is>
          <t>Nature of revenue</t>
        </is>
      </c>
      <c r="H100" s="235" t="n"/>
      <c r="I100" s="234" t="inlineStr">
        <is>
          <t>Nature du chiffre d'affaires</t>
        </is>
      </c>
      <c r="J100" s="235" t="inlineStr">
        <is>
          <t>Nature of revenue</t>
        </is>
      </c>
      <c r="K100" s="231" t="inlineStr">
        <is>
          <t>ND</t>
        </is>
      </c>
      <c r="L100" s="236" t="inlineStr">
        <is>
          <t>ND</t>
        </is>
      </c>
      <c r="M100" s="1417" t="inlineStr">
        <is>
          <t>NA</t>
        </is>
      </c>
      <c r="N100" s="231" t="inlineStr">
        <is>
          <t>Obligatoire</t>
        </is>
      </c>
      <c r="O100" s="236" t="inlineStr">
        <is>
          <t>Mandatory</t>
        </is>
      </c>
      <c r="P100" s="206" t="inlineStr">
        <is>
          <t>LC.0135</t>
        </is>
      </c>
      <c r="Q100" s="206" t="inlineStr">
        <is>
          <t>TA NM218</t>
        </is>
      </c>
      <c r="R100" s="234" t="inlineStr">
        <is>
          <t>Obligatoire si Chiffre d'affaires utilisé pour la notation (C1 5.2) est renseigné
Précise si le chiffre d'affaires est prévisionnel, publié ou retraité
Donnée sous responsabilité du RUN</t>
        </is>
      </c>
      <c r="S100" s="235" t="inlineStr">
        <is>
          <t>Mandatory where revenue used for rating (C1 5.2) is indicated
It specifies whether revenue is forecast, published or restated
Data owned by the «RUN»</t>
        </is>
      </c>
      <c r="T100" s="206" t="inlineStr">
        <is>
          <t>ALPHA</t>
        </is>
      </c>
      <c r="U100" s="237" t="inlineStr">
        <is>
          <t>NA</t>
        </is>
      </c>
      <c r="V100" s="238" t="inlineStr">
        <is>
          <t>NA</t>
        </is>
      </c>
      <c r="W100" s="231" t="n">
        <v>1</v>
      </c>
      <c r="X100" s="231" t="inlineStr">
        <is>
          <t>NA</t>
        </is>
      </c>
      <c r="Y100" s="239" t="n">
        <v>40</v>
      </c>
      <c r="Z100" s="239" t="inlineStr">
        <is>
          <t>NA</t>
        </is>
      </c>
      <c r="AA100" s="283" t="inlineStr">
        <is>
          <t>NA</t>
        </is>
      </c>
      <c r="AB100" s="231" t="inlineStr">
        <is>
          <t>TIGRE</t>
        </is>
      </c>
      <c r="AC100" s="231" t="inlineStr">
        <is>
          <t>ND</t>
        </is>
      </c>
      <c r="AD100" s="231" t="inlineStr">
        <is>
          <t>N</t>
        </is>
      </c>
      <c r="AE100" s="257" t="inlineStr">
        <is>
          <t>NA</t>
        </is>
      </c>
      <c r="AF100" s="257" t="inlineStr">
        <is>
          <t>NA</t>
        </is>
      </c>
      <c r="AG100" s="258" t="inlineStr">
        <is>
          <t>NA</t>
        </is>
      </c>
      <c r="AH100" s="89" t="n"/>
      <c r="AI100" s="204" t="n"/>
      <c r="AJ100" s="213" t="n"/>
      <c r="AK100" s="206" t="n"/>
      <c r="AL100" s="207" t="n"/>
      <c r="AM100" s="205" t="n"/>
      <c r="AN100" s="213" t="n"/>
      <c r="AO100" s="206" t="n"/>
      <c r="AP100" s="207" t="n"/>
      <c r="AQ100" s="205" t="n"/>
      <c r="AR100" s="213" t="n"/>
      <c r="AS100" s="206" t="n"/>
      <c r="AT100" s="207" t="n"/>
      <c r="AU100" s="210" t="n"/>
      <c r="AV100" s="211" t="n"/>
      <c r="AW100" s="206" t="n"/>
      <c r="AX100" s="207" t="n"/>
      <c r="AY100" s="205" t="n"/>
      <c r="AZ100" s="213" t="n"/>
      <c r="BA100" s="206" t="n"/>
      <c r="BB100" s="207" t="n"/>
      <c r="BC100" s="204" t="n"/>
      <c r="BD100" s="213" t="n"/>
      <c r="BE100" s="206" t="n"/>
      <c r="BF100" s="207" t="n"/>
      <c r="BH1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0">
        <f>_xlfn.LET(r,ROW(),oc,INDEX($A:$A,r),cv,TRIM(INDEX($Y:$Y,r)&amp;""),IF(oc&lt;&gt;"P1","",IF(cv="45","V45 - novo, nao alimentado pelo spool atual","V44 - alimentado pelo spool atual")))</f>
        <v/>
      </c>
    </row>
    <row r="101" ht="54" customFormat="1" customHeight="1" s="54">
      <c r="A101" s="243" t="inlineStr">
        <is>
          <t>C1</t>
        </is>
      </c>
      <c r="B101" s="244" t="n">
        <v>83</v>
      </c>
      <c r="C101" s="284" t="inlineStr">
        <is>
          <t>NA</t>
        </is>
      </c>
      <c r="D101" s="244" t="inlineStr">
        <is>
          <t>NA</t>
        </is>
      </c>
      <c r="E101" s="244" t="inlineStr">
        <is>
          <t>C1 8.9</t>
        </is>
      </c>
      <c r="F101" s="247" t="inlineStr">
        <is>
          <t>Zone libre (Ex Chiffre d'affaires retraité (IFRS) en unité d'euros</t>
        </is>
      </c>
      <c r="G101" s="247" t="inlineStr">
        <is>
          <t>Free zone (ex-Restated (IFRS) revenue in euro units)</t>
        </is>
      </c>
      <c r="H101" s="247" t="n"/>
      <c r="I101" s="247" t="inlineStr">
        <is>
          <t>Chiffre d'affaires retraité (IFRS) en unite d'euros</t>
        </is>
      </c>
      <c r="J101" s="247" t="inlineStr">
        <is>
          <t>Restated (IFRS) revenue in euro units</t>
        </is>
      </c>
      <c r="K101" s="244" t="inlineStr">
        <is>
          <t>NA</t>
        </is>
      </c>
      <c r="L101" s="244" t="inlineStr">
        <is>
          <t>NA</t>
        </is>
      </c>
      <c r="M101" s="1408" t="inlineStr">
        <is>
          <t>NA</t>
        </is>
      </c>
      <c r="N101" s="244" t="inlineStr">
        <is>
          <t>NA</t>
        </is>
      </c>
      <c r="O101" s="244" t="inlineStr">
        <is>
          <t>NA</t>
        </is>
      </c>
      <c r="P101" s="246" t="inlineStr">
        <is>
          <t>NA</t>
        </is>
      </c>
      <c r="Q101" s="246" t="inlineStr">
        <is>
          <t>NA</t>
        </is>
      </c>
      <c r="R101" s="247" t="inlineStr">
        <is>
          <t>NA</t>
        </is>
      </c>
      <c r="S101" s="247" t="inlineStr">
        <is>
          <t>NA</t>
        </is>
      </c>
      <c r="T101" s="246" t="inlineStr">
        <is>
          <t>NUM</t>
        </is>
      </c>
      <c r="U101" s="248" t="inlineStr">
        <is>
          <t>NA</t>
        </is>
      </c>
      <c r="V101" s="248" t="inlineStr">
        <is>
          <t>NA</t>
        </is>
      </c>
      <c r="W101" s="244" t="n">
        <v>12</v>
      </c>
      <c r="X101" s="244" t="inlineStr">
        <is>
          <t>NA</t>
        </is>
      </c>
      <c r="Y101" s="249" t="inlineStr">
        <is>
          <t>NA</t>
        </is>
      </c>
      <c r="Z101" s="249" t="n">
        <v>43</v>
      </c>
      <c r="AA101" s="279" t="inlineStr">
        <is>
          <t>NA</t>
        </is>
      </c>
      <c r="AB101" s="943" t="inlineStr">
        <is>
          <t>NA</t>
        </is>
      </c>
      <c r="AC101" s="244" t="inlineStr">
        <is>
          <t>NA</t>
        </is>
      </c>
      <c r="AD101" s="244" t="inlineStr">
        <is>
          <t>N</t>
        </is>
      </c>
      <c r="AE101" s="284" t="inlineStr">
        <is>
          <t>NA</t>
        </is>
      </c>
      <c r="AF101" s="284" t="inlineStr">
        <is>
          <t>NA</t>
        </is>
      </c>
      <c r="AG101" s="285" t="inlineStr">
        <is>
          <t>NA</t>
        </is>
      </c>
      <c r="AH101" s="89" t="n"/>
      <c r="AI101" s="251" t="n"/>
      <c r="AJ101" s="252" t="n"/>
      <c r="AK101" s="246" t="n"/>
      <c r="AL101" s="253" t="n"/>
      <c r="AM101" s="252" t="n"/>
      <c r="AN101" s="252" t="n"/>
      <c r="AO101" s="246" t="n"/>
      <c r="AP101" s="253" t="n"/>
      <c r="AQ101" s="252" t="n"/>
      <c r="AR101" s="252" t="n"/>
      <c r="AS101" s="246" t="n"/>
      <c r="AT101" s="253" t="n"/>
      <c r="AU101" s="254" t="n"/>
      <c r="AV101" s="254" t="n"/>
      <c r="AW101" s="246" t="n"/>
      <c r="AX101" s="253" t="n"/>
      <c r="AY101" s="252" t="n"/>
      <c r="AZ101" s="252" t="n"/>
      <c r="BA101" s="246" t="n"/>
      <c r="BB101" s="253" t="n"/>
      <c r="BC101" s="251" t="n"/>
      <c r="BD101" s="252" t="n"/>
      <c r="BE101" s="246" t="n"/>
      <c r="BF101" s="253" t="n"/>
      <c r="BH1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1">
        <f>_xlfn.LET(r,ROW(),oc,INDEX($A:$A,r),cv,TRIM(INDEX($Y:$Y,r)&amp;""),IF(oc&lt;&gt;"P1","",IF(cv="45","V45 - novo, nao alimentado pelo spool atual","V44 - alimentado pelo spool atual")))</f>
        <v/>
      </c>
    </row>
    <row r="102" ht="54" customHeight="1">
      <c r="A102" s="230" t="inlineStr">
        <is>
          <t>C1</t>
        </is>
      </c>
      <c r="B102" s="231" t="n">
        <v>84</v>
      </c>
      <c r="C102" s="269" t="inlineStr">
        <is>
          <t>16 - Identification Tiers</t>
        </is>
      </c>
      <c r="D102" s="236" t="inlineStr">
        <is>
          <t>16 - Third party identification</t>
        </is>
      </c>
      <c r="E102" s="206" t="inlineStr">
        <is>
          <t>C1 8.10</t>
        </is>
      </c>
      <c r="F102" s="234" t="inlineStr">
        <is>
          <t>Montant de résultat net retraité en unité d'euros</t>
        </is>
      </c>
      <c r="G102" s="235" t="inlineStr">
        <is>
          <t>Amount of restated net income in euro units</t>
        </is>
      </c>
      <c r="H102" s="235" t="n"/>
      <c r="I102" s="234" t="inlineStr">
        <is>
          <t>Résultat net retraité en unite d'euros</t>
        </is>
      </c>
      <c r="J102" s="235" t="inlineStr">
        <is>
          <t>Restated net income in euro units</t>
        </is>
      </c>
      <c r="K102" s="231" t="inlineStr">
        <is>
          <t>ND</t>
        </is>
      </c>
      <c r="L102" s="236" t="inlineStr">
        <is>
          <t>ND</t>
        </is>
      </c>
      <c r="M102" s="1417" t="inlineStr">
        <is>
          <t>NA</t>
        </is>
      </c>
      <c r="N102" s="231" t="inlineStr">
        <is>
          <t>Obligatoire</t>
        </is>
      </c>
      <c r="O102" s="236" t="inlineStr">
        <is>
          <t>Mandatory</t>
        </is>
      </c>
      <c r="P102" s="206" t="inlineStr">
        <is>
          <t>NA</t>
        </is>
      </c>
      <c r="Q102" s="206" t="inlineStr">
        <is>
          <t>NA</t>
        </is>
      </c>
      <c r="R102" s="234" t="inlineStr">
        <is>
          <t>Obligatoire dès que le tiers est noté avec une NOR (C1 4.1) renseignée &lt;&gt; 'ND'
Donnée sous responsabilité du RUN</t>
        </is>
      </c>
      <c r="S102" s="235" t="inlineStr">
        <is>
          <t>Mandatory once an external counterparty is given an assigned rating (C1 4.1) &lt;&gt; 'ND'
Data owned by the «RUN»</t>
        </is>
      </c>
      <c r="T102" s="206" t="inlineStr">
        <is>
          <t>NUM</t>
        </is>
      </c>
      <c r="U102" s="237" t="inlineStr">
        <is>
          <t>13 dont signe</t>
        </is>
      </c>
      <c r="V102" s="238" t="inlineStr">
        <is>
          <t>13 including sign</t>
        </is>
      </c>
      <c r="W102" s="231" t="n">
        <v>13</v>
      </c>
      <c r="X102" s="231" t="inlineStr">
        <is>
          <t>NA</t>
        </is>
      </c>
      <c r="Y102" s="239" t="n">
        <v>40</v>
      </c>
      <c r="Z102" s="239" t="inlineStr">
        <is>
          <t>NA</t>
        </is>
      </c>
      <c r="AA102" s="283" t="inlineStr">
        <is>
          <t>NA</t>
        </is>
      </c>
      <c r="AB102" s="231" t="inlineStr">
        <is>
          <t>TIGRE</t>
        </is>
      </c>
      <c r="AC102" s="231" t="inlineStr">
        <is>
          <t>ND</t>
        </is>
      </c>
      <c r="AD102" s="231" t="inlineStr">
        <is>
          <t>N</t>
        </is>
      </c>
      <c r="AE102" s="257" t="inlineStr">
        <is>
          <t>NA</t>
        </is>
      </c>
      <c r="AF102" s="257" t="inlineStr">
        <is>
          <t>NA</t>
        </is>
      </c>
      <c r="AG102" s="258" t="inlineStr">
        <is>
          <t>NA</t>
        </is>
      </c>
      <c r="AH102" s="89" t="n"/>
      <c r="AI102" s="204" t="n"/>
      <c r="AJ102" s="213" t="n"/>
      <c r="AK102" s="206" t="n"/>
      <c r="AL102" s="207" t="n"/>
      <c r="AM102" s="205" t="n"/>
      <c r="AN102" s="213" t="n"/>
      <c r="AO102" s="206" t="n"/>
      <c r="AP102" s="207" t="n"/>
      <c r="AQ102" s="205" t="n"/>
      <c r="AR102" s="213" t="n"/>
      <c r="AS102" s="206" t="n"/>
      <c r="AT102" s="207" t="n"/>
      <c r="AU102" s="210" t="n"/>
      <c r="AV102" s="211" t="n"/>
      <c r="AW102" s="206" t="n"/>
      <c r="AX102" s="207" t="n"/>
      <c r="AY102" s="205" t="n"/>
      <c r="AZ102" s="213" t="n"/>
      <c r="BA102" s="206" t="n"/>
      <c r="BB102" s="207" t="n"/>
      <c r="BC102" s="204" t="n"/>
      <c r="BD102" s="213" t="n"/>
      <c r="BE102" s="206" t="n"/>
      <c r="BF102" s="207" t="n"/>
      <c r="BH1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2">
        <f>_xlfn.LET(r,ROW(),oc,INDEX($A:$A,r),cv,TRIM(INDEX($Y:$Y,r)&amp;""),IF(oc&lt;&gt;"P1","",IF(cv="45","V45 - novo, nao alimentado pelo spool atual","V44 - alimentado pelo spool atual")))</f>
        <v/>
      </c>
    </row>
    <row r="103" ht="54" customFormat="1" customHeight="1" s="54">
      <c r="A103" s="243" t="inlineStr">
        <is>
          <t>C1</t>
        </is>
      </c>
      <c r="B103" s="244" t="n">
        <v>85</v>
      </c>
      <c r="C103" s="284" t="inlineStr">
        <is>
          <t>NA</t>
        </is>
      </c>
      <c r="D103" s="244" t="inlineStr">
        <is>
          <t>NA</t>
        </is>
      </c>
      <c r="E103" s="246" t="inlineStr">
        <is>
          <t>C1 99.98</t>
        </is>
      </c>
      <c r="F103" s="247" t="inlineStr">
        <is>
          <t>Filler</t>
        </is>
      </c>
      <c r="G103" s="247" t="inlineStr">
        <is>
          <t>Filler</t>
        </is>
      </c>
      <c r="H103" s="247" t="n"/>
      <c r="I103" s="247" t="inlineStr">
        <is>
          <t>Zone libre</t>
        </is>
      </c>
      <c r="J103" s="247" t="inlineStr">
        <is>
          <t>Free zone</t>
        </is>
      </c>
      <c r="K103" s="244" t="inlineStr">
        <is>
          <t>NA</t>
        </is>
      </c>
      <c r="L103" s="244" t="inlineStr">
        <is>
          <t>NA</t>
        </is>
      </c>
      <c r="M103" s="1408" t="inlineStr">
        <is>
          <t>NA</t>
        </is>
      </c>
      <c r="N103" s="244" t="inlineStr">
        <is>
          <t>NA</t>
        </is>
      </c>
      <c r="O103" s="244" t="inlineStr">
        <is>
          <t>NA</t>
        </is>
      </c>
      <c r="P103" s="246" t="inlineStr">
        <is>
          <t>NA</t>
        </is>
      </c>
      <c r="Q103" s="246" t="inlineStr">
        <is>
          <t>NA</t>
        </is>
      </c>
      <c r="R103" s="247" t="inlineStr">
        <is>
          <t>Laisser à vide</t>
        </is>
      </c>
      <c r="S103" s="247" t="inlineStr">
        <is>
          <t>Leave empty</t>
        </is>
      </c>
      <c r="T103" s="246" t="inlineStr">
        <is>
          <t>ALPHA</t>
        </is>
      </c>
      <c r="U103" s="248" t="inlineStr">
        <is>
          <t>NA</t>
        </is>
      </c>
      <c r="V103" s="248" t="inlineStr">
        <is>
          <t>NA</t>
        </is>
      </c>
      <c r="W103" s="244" t="n">
        <v>1</v>
      </c>
      <c r="X103" s="244" t="inlineStr">
        <is>
          <t>NA</t>
        </is>
      </c>
      <c r="Y103" s="249" t="inlineStr">
        <is>
          <t>NA</t>
        </is>
      </c>
      <c r="Z103" s="249" t="inlineStr">
        <is>
          <t>NA</t>
        </is>
      </c>
      <c r="AA103" s="279" t="inlineStr">
        <is>
          <t>NA</t>
        </is>
      </c>
      <c r="AB103" s="244" t="inlineStr">
        <is>
          <t>NA</t>
        </is>
      </c>
      <c r="AC103" s="244" t="inlineStr">
        <is>
          <t>NA</t>
        </is>
      </c>
      <c r="AD103" s="244" t="inlineStr">
        <is>
          <t>N</t>
        </is>
      </c>
      <c r="AE103" s="244" t="inlineStr">
        <is>
          <t>NA</t>
        </is>
      </c>
      <c r="AF103" s="244" t="inlineStr">
        <is>
          <t>NA</t>
        </is>
      </c>
      <c r="AG103" s="250" t="inlineStr">
        <is>
          <t>NA</t>
        </is>
      </c>
      <c r="AH103" s="89" t="n"/>
      <c r="AI103" s="251" t="n"/>
      <c r="AJ103" s="252" t="n"/>
      <c r="AK103" s="246" t="n"/>
      <c r="AL103" s="253" t="n"/>
      <c r="AM103" s="252" t="n"/>
      <c r="AN103" s="252" t="n"/>
      <c r="AO103" s="246" t="n"/>
      <c r="AP103" s="253" t="n"/>
      <c r="AQ103" s="252" t="n"/>
      <c r="AR103" s="252" t="n"/>
      <c r="AS103" s="246" t="n"/>
      <c r="AT103" s="253" t="n"/>
      <c r="AU103" s="254" t="n"/>
      <c r="AV103" s="254" t="n"/>
      <c r="AW103" s="246" t="n"/>
      <c r="AX103" s="253" t="n"/>
      <c r="AY103" s="252" t="n"/>
      <c r="AZ103" s="252" t="n"/>
      <c r="BA103" s="246" t="n"/>
      <c r="BB103" s="253" t="n"/>
      <c r="BC103" s="251" t="n"/>
      <c r="BD103" s="252" t="n"/>
      <c r="BE103" s="246" t="n"/>
      <c r="BF103" s="253" t="n"/>
      <c r="BH1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3">
        <f>_xlfn.LET(r,ROW(),oc,INDEX($A:$A,r),cv,TRIM(INDEX($Y:$Y,r)&amp;""),IF(oc&lt;&gt;"P1","",IF(cv="45","V45 - novo, nao alimentado pelo spool atual","V44 - alimentado pelo spool atual")))</f>
        <v/>
      </c>
    </row>
    <row r="104" ht="54" customHeight="1">
      <c r="A104" s="230" t="inlineStr">
        <is>
          <t>C1</t>
        </is>
      </c>
      <c r="B104" s="231" t="n">
        <v>86</v>
      </c>
      <c r="C104" s="269" t="inlineStr">
        <is>
          <t>16 - Identification Tiers</t>
        </is>
      </c>
      <c r="D104" s="236" t="inlineStr">
        <is>
          <t>16 - Third party identification</t>
        </is>
      </c>
      <c r="E104" s="206" t="inlineStr">
        <is>
          <t>C1 8.3</t>
        </is>
      </c>
      <c r="F104" s="234" t="inlineStr">
        <is>
          <t>Code APE interne</t>
        </is>
      </c>
      <c r="G104" s="235" t="inlineStr">
        <is>
          <t>Internal APE code</t>
        </is>
      </c>
      <c r="H104" s="235" t="n"/>
      <c r="I104" s="234" t="inlineStr">
        <is>
          <t>Code APE interne</t>
        </is>
      </c>
      <c r="J104" s="235" t="inlineStr">
        <is>
          <t>Internal APE code</t>
        </is>
      </c>
      <c r="K104" s="231" t="inlineStr">
        <is>
          <t>ND</t>
        </is>
      </c>
      <c r="L104" s="236" t="inlineStr">
        <is>
          <t>ND</t>
        </is>
      </c>
      <c r="M104" s="1417" t="inlineStr">
        <is>
          <t>NA</t>
        </is>
      </c>
      <c r="N104" s="231" t="inlineStr">
        <is>
          <t>Obligatoire</t>
        </is>
      </c>
      <c r="O104" s="236" t="inlineStr">
        <is>
          <t>Mandatory</t>
        </is>
      </c>
      <c r="P104" s="206" t="inlineStr">
        <is>
          <t>NA</t>
        </is>
      </c>
      <c r="Q104" s="206" t="inlineStr">
        <is>
          <t>NA</t>
        </is>
      </c>
      <c r="R104" s="234" t="inlineStr">
        <is>
          <t>Obligatoire, doit être valorisée par défaut avec le code APE officiel INSEE (C1 4.11) dans le cas d'un résident
Il permet, à dire d'expert :
1- d'attribuer un code activité NAF différent du code APE officiel INSEE du tiers, quand celui-ci ne correspond pas à l'activité réelle (ex. : holding)
2- d'attribuer un code activité NAF à un tiers non résident. Cette opération à dire d'expert est dans ce cas obligatoire (en vue de la détermination du secteur d'activité, notamment)
Donnée sous responsabilité du RUN</t>
        </is>
      </c>
      <c r="S104" s="235" t="inlineStr">
        <is>
          <t>Mandatory, must be indicated by default with the INSEE official APE code (C1 4.11) in the case of a resident
It makes it possible, with expert support:
1- to assign a NAF business activity code that differs from the external counterparty's INSEE official APE code, when the latter doesn't reflect the actual business activity (e.g.: a holding company)
2- to assign a NAF business activity code to a non-resident external counterparty. This expert assessment is mandatory in this instance (in order to, in particular, determine the business sector)
Data owned by the «RUN»</t>
        </is>
      </c>
      <c r="T104" s="206" t="inlineStr">
        <is>
          <t>ALPHA</t>
        </is>
      </c>
      <c r="U104" s="237" t="inlineStr">
        <is>
          <t>NA</t>
        </is>
      </c>
      <c r="V104" s="238" t="inlineStr">
        <is>
          <t>NA</t>
        </is>
      </c>
      <c r="W104" s="231" t="n">
        <v>6</v>
      </c>
      <c r="X104" s="231" t="inlineStr">
        <is>
          <t>NA</t>
        </is>
      </c>
      <c r="Y104" s="239" t="n">
        <v>40</v>
      </c>
      <c r="Z104" s="239" t="inlineStr">
        <is>
          <t>NA</t>
        </is>
      </c>
      <c r="AA104" s="283" t="inlineStr">
        <is>
          <t>NA</t>
        </is>
      </c>
      <c r="AB104" s="231" t="inlineStr">
        <is>
          <t>ANACREDIT</t>
        </is>
      </c>
      <c r="AC104" s="231" t="inlineStr">
        <is>
          <t>ND</t>
        </is>
      </c>
      <c r="AD104" s="231" t="inlineStr">
        <is>
          <t>N</t>
        </is>
      </c>
      <c r="AE104" s="257" t="inlineStr">
        <is>
          <t>NA</t>
        </is>
      </c>
      <c r="AF104" s="257" t="inlineStr">
        <is>
          <t>NA</t>
        </is>
      </c>
      <c r="AG104" s="258" t="inlineStr">
        <is>
          <t>NA</t>
        </is>
      </c>
      <c r="AH104" s="89" t="n"/>
      <c r="AI104" s="204" t="n"/>
      <c r="AJ104" s="213" t="n"/>
      <c r="AK104" s="206" t="n"/>
      <c r="AL104" s="207" t="n"/>
      <c r="AM104" s="205" t="n"/>
      <c r="AN104" s="213" t="n"/>
      <c r="AO104" s="206" t="n"/>
      <c r="AP104" s="207" t="n"/>
      <c r="AQ104" s="205" t="n"/>
      <c r="AR104" s="213" t="n"/>
      <c r="AS104" s="206" t="n"/>
      <c r="AT104" s="207" t="n"/>
      <c r="AU104" s="210" t="n"/>
      <c r="AV104" s="211" t="n"/>
      <c r="AW104" s="206" t="n"/>
      <c r="AX104" s="207" t="n"/>
      <c r="AY104" s="205" t="n"/>
      <c r="AZ104" s="213" t="n"/>
      <c r="BA104" s="206" t="n"/>
      <c r="BB104" s="207" t="n"/>
      <c r="BC104" s="204" t="n"/>
      <c r="BD104" s="213" t="n"/>
      <c r="BE104" s="206" t="n"/>
      <c r="BF104" s="207" t="n"/>
      <c r="BH1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4">
        <f>_xlfn.LET(r,ROW(),oc,INDEX($A:$A,r),cv,TRIM(INDEX($Y:$Y,r)&amp;""),IF(oc&lt;&gt;"P1","",IF(cv="45","V45 - novo, nao alimentado pelo spool atual","V44 - alimentado pelo spool atual")))</f>
        <v/>
      </c>
    </row>
    <row r="105" ht="54" customHeight="1">
      <c r="A105" s="230" t="inlineStr">
        <is>
          <t>C1</t>
        </is>
      </c>
      <c r="B105" s="231" t="n">
        <v>87</v>
      </c>
      <c r="C105" s="269" t="inlineStr">
        <is>
          <t>16 - Identification Tiers</t>
        </is>
      </c>
      <c r="D105" s="236" t="inlineStr">
        <is>
          <t>16 - Third party identification</t>
        </is>
      </c>
      <c r="E105" s="206" t="inlineStr">
        <is>
          <t>C1 8.4</t>
        </is>
      </c>
      <c r="F105" s="234" t="inlineStr">
        <is>
          <t>Statut d'activité / inactivité du tiers</t>
        </is>
      </c>
      <c r="G105" s="235" t="inlineStr">
        <is>
          <t>Counterparty activity / inactivity status</t>
        </is>
      </c>
      <c r="H105" s="235" t="n"/>
      <c r="I105" s="234" t="inlineStr">
        <is>
          <t>Permet de distinguer si le tiers possède une relation locale active ou inactive avec l'entité contributrice du flux</t>
        </is>
      </c>
      <c r="J105" s="235" t="inlineStr">
        <is>
          <t>Makes it possible to distinguish whether the external counterparty has an active or inactive local relationship with the entity contributing the flow</t>
        </is>
      </c>
      <c r="K105" s="231" t="inlineStr">
        <is>
          <t>ND</t>
        </is>
      </c>
      <c r="L105" s="236" t="inlineStr">
        <is>
          <t>ND</t>
        </is>
      </c>
      <c r="M105" s="1417" t="inlineStr">
        <is>
          <t>NA</t>
        </is>
      </c>
      <c r="N105" s="231" t="inlineStr">
        <is>
          <t>Obligatoire</t>
        </is>
      </c>
      <c r="O105" s="236" t="inlineStr">
        <is>
          <t>Mandatory</t>
        </is>
      </c>
      <c r="P105" s="206" t="inlineStr">
        <is>
          <t>LC.0290</t>
        </is>
      </c>
      <c r="Q105" s="206" t="inlineStr">
        <is>
          <t>TA KVSACTI</t>
        </is>
      </c>
      <c r="R105" s="234" t="inlineStr">
        <is>
          <t>La seule valeur admise est 'A' pour Actif</t>
        </is>
      </c>
      <c r="S105" s="235" t="inlineStr">
        <is>
          <t>The only permitted value is 'A' for Active</t>
        </is>
      </c>
      <c r="T105" s="206" t="inlineStr">
        <is>
          <t>ALPHA</t>
        </is>
      </c>
      <c r="U105" s="237" t="inlineStr">
        <is>
          <t>NA</t>
        </is>
      </c>
      <c r="V105" s="238" t="inlineStr">
        <is>
          <t>NA</t>
        </is>
      </c>
      <c r="W105" s="231" t="n">
        <v>1</v>
      </c>
      <c r="X105" s="231" t="inlineStr">
        <is>
          <t>NA</t>
        </is>
      </c>
      <c r="Y105" s="239" t="n">
        <v>40</v>
      </c>
      <c r="Z105" s="239" t="inlineStr">
        <is>
          <t>NA</t>
        </is>
      </c>
      <c r="AA105" s="270" t="inlineStr">
        <is>
          <t>NA</t>
        </is>
      </c>
      <c r="AB105" s="231" t="inlineStr">
        <is>
          <t>TIGRE</t>
        </is>
      </c>
      <c r="AC105" s="231" t="inlineStr">
        <is>
          <t>ND</t>
        </is>
      </c>
      <c r="AD105" s="231" t="inlineStr">
        <is>
          <t>N</t>
        </is>
      </c>
      <c r="AE105" s="231" t="inlineStr">
        <is>
          <t>NA</t>
        </is>
      </c>
      <c r="AF105" s="231" t="inlineStr">
        <is>
          <t>NA</t>
        </is>
      </c>
      <c r="AG105" s="212" t="inlineStr">
        <is>
          <t>NA</t>
        </is>
      </c>
      <c r="AH105" s="89" t="n"/>
      <c r="AI105" s="204" t="n"/>
      <c r="AJ105" s="213" t="n"/>
      <c r="AK105" s="206" t="n"/>
      <c r="AL105" s="207" t="n"/>
      <c r="AM105" s="205" t="n"/>
      <c r="AN105" s="213" t="n"/>
      <c r="AO105" s="206" t="n"/>
      <c r="AP105" s="207" t="n"/>
      <c r="AQ105" s="205" t="n"/>
      <c r="AR105" s="213" t="n"/>
      <c r="AS105" s="206" t="n"/>
      <c r="AT105" s="207" t="n"/>
      <c r="AU105" s="210" t="n"/>
      <c r="AV105" s="211" t="n"/>
      <c r="AW105" s="206" t="n"/>
      <c r="AX105" s="207" t="n"/>
      <c r="AY105" s="205" t="n"/>
      <c r="AZ105" s="213" t="n"/>
      <c r="BA105" s="206" t="n"/>
      <c r="BB105" s="207" t="n"/>
      <c r="BC105" s="204" t="n"/>
      <c r="BD105" s="213" t="n"/>
      <c r="BE105" s="206" t="n"/>
      <c r="BF105" s="207" t="n"/>
      <c r="BH1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5">
        <f>_xlfn.LET(r,ROW(),oc,INDEX($A:$A,r),cv,TRIM(INDEX($Y:$Y,r)&amp;""),IF(oc&lt;&gt;"P1","",IF(cv="45","V45 - novo, nao alimentado pelo spool atual","V44 - alimentado pelo spool atual")))</f>
        <v/>
      </c>
    </row>
    <row r="106" ht="54" customHeight="1">
      <c r="A106" s="230" t="inlineStr">
        <is>
          <t>C1</t>
        </is>
      </c>
      <c r="B106" s="231" t="n">
        <v>88</v>
      </c>
      <c r="C106" s="269" t="inlineStr">
        <is>
          <t>16 - Identification Tiers</t>
        </is>
      </c>
      <c r="D106" s="236" t="inlineStr">
        <is>
          <t>16 - Third party identification</t>
        </is>
      </c>
      <c r="E106" s="206" t="inlineStr">
        <is>
          <t>C1 8.5</t>
        </is>
      </c>
      <c r="F106" s="234" t="inlineStr">
        <is>
          <t>Date du statut d'activité/Inactivité du tiers</t>
        </is>
      </c>
      <c r="G106" s="235" t="inlineStr">
        <is>
          <t>Date of change in activity status</t>
        </is>
      </c>
      <c r="H106" s="235" t="n"/>
      <c r="I106" s="234" t="inlineStr">
        <is>
          <t>Date à laquelle le statut d'activité a évolué</t>
        </is>
      </c>
      <c r="J106" s="235" t="inlineStr">
        <is>
          <t>Date at which the trading status changed</t>
        </is>
      </c>
      <c r="K106" s="231" t="inlineStr">
        <is>
          <t>ND</t>
        </is>
      </c>
      <c r="L106" s="236" t="inlineStr">
        <is>
          <t>ND</t>
        </is>
      </c>
      <c r="M106" s="1417" t="inlineStr">
        <is>
          <t>NA</t>
        </is>
      </c>
      <c r="N106" s="231" t="inlineStr">
        <is>
          <t>Obligatoire</t>
        </is>
      </c>
      <c r="O106" s="236" t="inlineStr">
        <is>
          <t>Mandatory</t>
        </is>
      </c>
      <c r="P106" s="206" t="inlineStr">
        <is>
          <t>NA</t>
        </is>
      </c>
      <c r="Q106" s="206" t="inlineStr">
        <is>
          <t>NA</t>
        </is>
      </c>
      <c r="R106" s="234" t="inlineStr">
        <is>
          <t>Ex. : Date de changement de statut</t>
        </is>
      </c>
      <c r="S106" s="235" t="inlineStr">
        <is>
          <t>E.g.: Date on which status changed</t>
        </is>
      </c>
      <c r="T106" s="206" t="inlineStr">
        <is>
          <t>DATE</t>
        </is>
      </c>
      <c r="U106" s="237" t="inlineStr">
        <is>
          <t>AAAAMMJJ</t>
        </is>
      </c>
      <c r="V106" s="238" t="inlineStr">
        <is>
          <t>YYYYMMDD</t>
        </is>
      </c>
      <c r="W106" s="231" t="n">
        <v>8</v>
      </c>
      <c r="X106" s="231" t="inlineStr">
        <is>
          <t>NA</t>
        </is>
      </c>
      <c r="Y106" s="239" t="n">
        <v>40</v>
      </c>
      <c r="Z106" s="239" t="inlineStr">
        <is>
          <t>NA</t>
        </is>
      </c>
      <c r="AA106" s="283" t="inlineStr">
        <is>
          <t>NA</t>
        </is>
      </c>
      <c r="AB106" s="231" t="inlineStr">
        <is>
          <t>TIGRE</t>
        </is>
      </c>
      <c r="AC106" s="231" t="inlineStr">
        <is>
          <t>ND</t>
        </is>
      </c>
      <c r="AD106" s="231" t="inlineStr">
        <is>
          <t>N</t>
        </is>
      </c>
      <c r="AE106" s="231" t="inlineStr">
        <is>
          <t>NA</t>
        </is>
      </c>
      <c r="AF106" s="231" t="inlineStr">
        <is>
          <t>NA</t>
        </is>
      </c>
      <c r="AG106" s="212" t="inlineStr">
        <is>
          <t>NA</t>
        </is>
      </c>
      <c r="AH106" s="89" t="n"/>
      <c r="AI106" s="204" t="n"/>
      <c r="AJ106" s="213" t="n"/>
      <c r="AK106" s="206" t="n"/>
      <c r="AL106" s="207" t="n"/>
      <c r="AM106" s="205" t="n"/>
      <c r="AN106" s="213" t="n"/>
      <c r="AO106" s="206" t="n"/>
      <c r="AP106" s="207" t="n"/>
      <c r="AQ106" s="205" t="n"/>
      <c r="AR106" s="213" t="n"/>
      <c r="AS106" s="206" t="n"/>
      <c r="AT106" s="207" t="n"/>
      <c r="AU106" s="210" t="n"/>
      <c r="AV106" s="211" t="n"/>
      <c r="AW106" s="206" t="n"/>
      <c r="AX106" s="207" t="n"/>
      <c r="AY106" s="205" t="n"/>
      <c r="AZ106" s="213" t="n"/>
      <c r="BA106" s="206" t="n"/>
      <c r="BB106" s="207" t="n"/>
      <c r="BC106" s="204" t="n"/>
      <c r="BD106" s="213" t="n"/>
      <c r="BE106" s="206" t="n"/>
      <c r="BF106" s="207" t="n"/>
      <c r="BH1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6">
        <f>_xlfn.LET(r,ROW(),oc,INDEX($A:$A,r),cv,TRIM(INDEX($Y:$Y,r)&amp;""),IF(oc&lt;&gt;"P1","",IF(cv="45","V45 - novo, nao alimentado pelo spool atual","V44 - alimentado pelo spool atual")))</f>
        <v/>
      </c>
    </row>
    <row r="107" ht="54" customHeight="1">
      <c r="A107" s="230" t="inlineStr">
        <is>
          <t>C1</t>
        </is>
      </c>
      <c r="B107" s="231" t="n">
        <v>89</v>
      </c>
      <c r="C107" s="269" t="inlineStr">
        <is>
          <t>16 - Identification Tiers</t>
        </is>
      </c>
      <c r="D107" s="236" t="inlineStr">
        <is>
          <t>16 - Third party identification</t>
        </is>
      </c>
      <c r="E107" s="206" t="inlineStr">
        <is>
          <t>C1 8.6</t>
        </is>
      </c>
      <c r="F107" s="234" t="inlineStr">
        <is>
          <t>Référence d'Identification nationale 2</t>
        </is>
      </c>
      <c r="G107" s="235" t="inlineStr">
        <is>
          <t>National ID framework 2</t>
        </is>
      </c>
      <c r="H107" s="235" t="n"/>
      <c r="I107" s="234" t="inlineStr">
        <is>
          <t>Référence d'Identification nationale 2</t>
        </is>
      </c>
      <c r="J107" s="235" t="inlineStr">
        <is>
          <t>National ID framework 2</t>
        </is>
      </c>
      <c r="K107" s="231" t="inlineStr">
        <is>
          <t>ND</t>
        </is>
      </c>
      <c r="L107" s="236" t="inlineStr">
        <is>
          <t>ND</t>
        </is>
      </c>
      <c r="M107" s="1417" t="inlineStr">
        <is>
          <t>NA</t>
        </is>
      </c>
      <c r="N107" s="231" t="inlineStr">
        <is>
          <t>Obligatoire</t>
        </is>
      </c>
      <c r="O107" s="236" t="inlineStr">
        <is>
          <t>Mandatory</t>
        </is>
      </c>
      <c r="P107" s="206" t="inlineStr">
        <is>
          <t>LC.0013</t>
        </is>
      </c>
      <c r="Q107" s="206" t="inlineStr">
        <is>
          <t>TA KVIDENT</t>
        </is>
      </c>
      <c r="R107" s="234" t="inlineStr">
        <is>
          <t>Obligatoire si identifiant national 2 (C1 8.7) est renseigné.
Le champ permet de remonter un deuxième identifiant national.
Cette donnée permet de connaître le type d'identifiant national renseigné au champ suivant C1 8.7</t>
        </is>
      </c>
      <c r="S107" s="235" t="inlineStr">
        <is>
          <t>Mandatory where national ID 2 (C1 8.7) is indicated.
The field makes it possible to report a second national ID.
This data makes it possible to know the type of national ID input into the next field C1 8.7</t>
        </is>
      </c>
      <c r="T107" s="206" t="inlineStr">
        <is>
          <t>ALPHA</t>
        </is>
      </c>
      <c r="U107" s="237" t="inlineStr">
        <is>
          <t>NA</t>
        </is>
      </c>
      <c r="V107" s="238" t="inlineStr">
        <is>
          <t>NA</t>
        </is>
      </c>
      <c r="W107" s="231" t="n">
        <v>2</v>
      </c>
      <c r="X107" s="231" t="inlineStr">
        <is>
          <t>NA</t>
        </is>
      </c>
      <c r="Y107" s="239" t="n">
        <v>40</v>
      </c>
      <c r="Z107" s="239" t="inlineStr">
        <is>
          <t>NA</t>
        </is>
      </c>
      <c r="AA107" s="283" t="inlineStr">
        <is>
          <t>NA</t>
        </is>
      </c>
      <c r="AB107" s="231" t="inlineStr">
        <is>
          <t>TIGRE</t>
        </is>
      </c>
      <c r="AC107" s="231" t="inlineStr">
        <is>
          <t>ND</t>
        </is>
      </c>
      <c r="AD107" s="231" t="inlineStr">
        <is>
          <t>N</t>
        </is>
      </c>
      <c r="AE107" s="231" t="inlineStr">
        <is>
          <t>NA</t>
        </is>
      </c>
      <c r="AF107" s="231" t="inlineStr">
        <is>
          <t>NA</t>
        </is>
      </c>
      <c r="AG107" s="212" t="inlineStr">
        <is>
          <t>NA</t>
        </is>
      </c>
      <c r="AH107" s="89" t="n"/>
      <c r="AI107" s="204" t="n"/>
      <c r="AJ107" s="213" t="n"/>
      <c r="AK107" s="206" t="n"/>
      <c r="AL107" s="207" t="n"/>
      <c r="AM107" s="205" t="n"/>
      <c r="AN107" s="213" t="n"/>
      <c r="AO107" s="206" t="n"/>
      <c r="AP107" s="207" t="n"/>
      <c r="AQ107" s="205" t="n"/>
      <c r="AR107" s="213" t="n"/>
      <c r="AS107" s="206" t="n"/>
      <c r="AT107" s="207" t="n"/>
      <c r="AU107" s="210" t="n"/>
      <c r="AV107" s="211" t="n"/>
      <c r="AW107" s="206" t="n"/>
      <c r="AX107" s="207" t="n"/>
      <c r="AY107" s="205" t="n"/>
      <c r="AZ107" s="213" t="n"/>
      <c r="BA107" s="206" t="n"/>
      <c r="BB107" s="207" t="n"/>
      <c r="BC107" s="204" t="n"/>
      <c r="BD107" s="213" t="n"/>
      <c r="BE107" s="206" t="n"/>
      <c r="BF107" s="207" t="n"/>
      <c r="BH1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7">
        <f>_xlfn.LET(r,ROW(),oc,INDEX($A:$A,r),cv,TRIM(INDEX($Y:$Y,r)&amp;""),IF(oc&lt;&gt;"P1","",IF(cv="45","V45 - novo, nao alimentado pelo spool atual","V44 - alimentado pelo spool atual")))</f>
        <v/>
      </c>
    </row>
    <row r="108" ht="54" customHeight="1">
      <c r="A108" s="230" t="inlineStr">
        <is>
          <t>C1</t>
        </is>
      </c>
      <c r="B108" s="231" t="n">
        <v>90</v>
      </c>
      <c r="C108" s="269" t="inlineStr">
        <is>
          <t>16 - Identification Tiers</t>
        </is>
      </c>
      <c r="D108" s="236" t="inlineStr">
        <is>
          <t>16 - Third party identification</t>
        </is>
      </c>
      <c r="E108" s="206" t="inlineStr">
        <is>
          <t>C1 8.7</t>
        </is>
      </c>
      <c r="F108" s="234" t="inlineStr">
        <is>
          <t>Identifiant national 2</t>
        </is>
      </c>
      <c r="G108" s="235" t="inlineStr">
        <is>
          <t>National ID 2</t>
        </is>
      </c>
      <c r="H108" s="235" t="n"/>
      <c r="I108" s="234" t="inlineStr">
        <is>
          <t>Identifiant national 2</t>
        </is>
      </c>
      <c r="J108" s="235" t="inlineStr">
        <is>
          <t>National ID 2</t>
        </is>
      </c>
      <c r="K108" s="231" t="inlineStr">
        <is>
          <t>ND</t>
        </is>
      </c>
      <c r="L108" s="236" t="inlineStr">
        <is>
          <t>ND</t>
        </is>
      </c>
      <c r="M108" s="1417" t="inlineStr">
        <is>
          <t>NA</t>
        </is>
      </c>
      <c r="N108" s="231" t="inlineStr">
        <is>
          <t>Facultatif</t>
        </is>
      </c>
      <c r="O108" s="236" t="inlineStr">
        <is>
          <t>Optional</t>
        </is>
      </c>
      <c r="P108" s="206" t="inlineStr">
        <is>
          <t>NA</t>
        </is>
      </c>
      <c r="Q108" s="206" t="inlineStr">
        <is>
          <t>NA</t>
        </is>
      </c>
      <c r="R108" s="234" t="inlineStr">
        <is>
          <t>Obligatoire si Référence d'identification nationale 2 (C1 8.6) est renseignée
Permet de remonter par exemple un SIREN BDF couplé à un autre identifiant national comme le Tax_ Id.
NB: Le SIREN BDF est un identifiant attribué par la Banque de France afin d'immatriculer les sociétés étrangères</t>
        </is>
      </c>
      <c r="S108" s="235" t="inlineStr">
        <is>
          <t>Mandatory where National ID framework 2 (C1 8.6) is input
Makes it possible, for example, to report a SIREN BDF combined with another national ID such as Tax_ Id
NB: The SIREN BDF is an ID assigned by the Bank of France when registering foreign companies</t>
        </is>
      </c>
      <c r="T108" s="206" t="inlineStr">
        <is>
          <t>ALPHA</t>
        </is>
      </c>
      <c r="U108" s="237" t="inlineStr">
        <is>
          <t>NA</t>
        </is>
      </c>
      <c r="V108" s="238" t="inlineStr">
        <is>
          <t>NA</t>
        </is>
      </c>
      <c r="W108" s="231" t="n">
        <v>20</v>
      </c>
      <c r="X108" s="231" t="inlineStr">
        <is>
          <t>NA</t>
        </is>
      </c>
      <c r="Y108" s="239" t="n">
        <v>40</v>
      </c>
      <c r="Z108" s="239" t="inlineStr">
        <is>
          <t>NA</t>
        </is>
      </c>
      <c r="AA108" s="283" t="inlineStr">
        <is>
          <t>NA</t>
        </is>
      </c>
      <c r="AB108" s="231" t="inlineStr">
        <is>
          <t>TIGRE</t>
        </is>
      </c>
      <c r="AC108" s="231" t="inlineStr">
        <is>
          <t>ND</t>
        </is>
      </c>
      <c r="AD108" s="231" t="inlineStr">
        <is>
          <t>N</t>
        </is>
      </c>
      <c r="AE108" s="231" t="inlineStr">
        <is>
          <t>NA</t>
        </is>
      </c>
      <c r="AF108" s="231" t="inlineStr">
        <is>
          <t>NA</t>
        </is>
      </c>
      <c r="AG108" s="212" t="inlineStr">
        <is>
          <t>NA</t>
        </is>
      </c>
      <c r="AH108" s="89" t="n"/>
      <c r="AI108" s="204" t="n"/>
      <c r="AJ108" s="213" t="n"/>
      <c r="AK108" s="206" t="n"/>
      <c r="AL108" s="207" t="n"/>
      <c r="AM108" s="205" t="n"/>
      <c r="AN108" s="213" t="n"/>
      <c r="AO108" s="206" t="n"/>
      <c r="AP108" s="207" t="n"/>
      <c r="AQ108" s="205" t="n"/>
      <c r="AR108" s="213" t="n"/>
      <c r="AS108" s="206" t="n"/>
      <c r="AT108" s="207" t="n"/>
      <c r="AU108" s="210" t="n"/>
      <c r="AV108" s="211" t="n"/>
      <c r="AW108" s="206" t="n"/>
      <c r="AX108" s="207" t="n"/>
      <c r="AY108" s="205" t="n"/>
      <c r="AZ108" s="213" t="n"/>
      <c r="BA108" s="206" t="n"/>
      <c r="BB108" s="207" t="n"/>
      <c r="BC108" s="204" t="n"/>
      <c r="BD108" s="213" t="n"/>
      <c r="BE108" s="206" t="n"/>
      <c r="BF108" s="207" t="n"/>
      <c r="BH1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8">
        <f>_xlfn.LET(r,ROW(),oc,INDEX($A:$A,r),cv,TRIM(INDEX($Y:$Y,r)&amp;""),IF(oc&lt;&gt;"P1","",IF(cv="45","V45 - novo, nao alimentado pelo spool atual","V44 - alimentado pelo spool atual")))</f>
        <v/>
      </c>
    </row>
    <row r="109" ht="54" customHeight="1">
      <c r="A109" s="230" t="inlineStr">
        <is>
          <t>C1</t>
        </is>
      </c>
      <c r="B109" s="231" t="n">
        <v>91</v>
      </c>
      <c r="C109" s="269" t="inlineStr">
        <is>
          <t>16 - Identification Tiers</t>
        </is>
      </c>
      <c r="D109" s="236" t="inlineStr">
        <is>
          <t>16 - Third party identification</t>
        </is>
      </c>
      <c r="E109" s="206" t="inlineStr">
        <is>
          <t>C1 8.8</t>
        </is>
      </c>
      <c r="F109" s="234" t="inlineStr">
        <is>
          <t>Dénomination sociale du certificat d'immatriculation</t>
        </is>
      </c>
      <c r="G109" s="235" t="inlineStr">
        <is>
          <t>Corporate name on registration certificate</t>
        </is>
      </c>
      <c r="H109" s="235" t="n"/>
      <c r="I109" s="234" t="inlineStr">
        <is>
          <t>Dénomination sociale du certificat d'immatriculation</t>
        </is>
      </c>
      <c r="J109" s="235" t="inlineStr">
        <is>
          <t>Corporate name on registration certificate</t>
        </is>
      </c>
      <c r="K109" s="231" t="inlineStr">
        <is>
          <t>ND</t>
        </is>
      </c>
      <c r="L109" s="236" t="inlineStr">
        <is>
          <t>ND</t>
        </is>
      </c>
      <c r="M109" s="1417" t="inlineStr">
        <is>
          <t>NA</t>
        </is>
      </c>
      <c r="N109" s="231" t="inlineStr">
        <is>
          <t>Obligatoire</t>
        </is>
      </c>
      <c r="O109" s="236" t="inlineStr">
        <is>
          <t>Mandatory</t>
        </is>
      </c>
      <c r="P109" s="206" t="inlineStr">
        <is>
          <t>NA</t>
        </is>
      </c>
      <c r="Q109" s="206" t="inlineStr">
        <is>
          <t>NA</t>
        </is>
      </c>
      <c r="R109" s="234" t="inlineStr">
        <is>
          <t>Dénomination figurant sur le certificat d'immatriculation de la contrepartie
France : raison sociale du KBIS
Etranger : certificat d'incorporation traduit en alphabet latin sans accent en minuscule ou en majuscule
Donnée sous responsabilité du RUN</t>
        </is>
      </c>
      <c r="S109" s="235" t="inlineStr">
        <is>
          <t>Corporate name specified on the counterparty's registration certificate
France: Company name on KBIS (certificate of incorporation)
Foreign: certificate of incorporation converted into Latin characters without accents, in lowercase or uppercase
Data owned by the «RUN»</t>
        </is>
      </c>
      <c r="T109" s="206" t="inlineStr">
        <is>
          <t>ALPHA</t>
        </is>
      </c>
      <c r="U109" s="237" t="inlineStr">
        <is>
          <t>NA</t>
        </is>
      </c>
      <c r="V109" s="238" t="inlineStr">
        <is>
          <t>NA</t>
        </is>
      </c>
      <c r="W109" s="231" t="n">
        <v>114</v>
      </c>
      <c r="X109" s="231" t="inlineStr">
        <is>
          <t>NA</t>
        </is>
      </c>
      <c r="Y109" s="239" t="n">
        <v>40</v>
      </c>
      <c r="Z109" s="239" t="inlineStr">
        <is>
          <t>NA</t>
        </is>
      </c>
      <c r="AA109" s="283" t="inlineStr">
        <is>
          <t>NA</t>
        </is>
      </c>
      <c r="AB109" s="231" t="inlineStr">
        <is>
          <t>ANACREDIT</t>
        </is>
      </c>
      <c r="AC109" s="231" t="inlineStr">
        <is>
          <t>ND</t>
        </is>
      </c>
      <c r="AD109" s="231" t="inlineStr">
        <is>
          <t>N</t>
        </is>
      </c>
      <c r="AE109" s="257" t="inlineStr">
        <is>
          <t>NA</t>
        </is>
      </c>
      <c r="AF109" s="257" t="inlineStr">
        <is>
          <t>NA</t>
        </is>
      </c>
      <c r="AG109" s="258" t="inlineStr">
        <is>
          <t>NA</t>
        </is>
      </c>
      <c r="AH109" s="89" t="n"/>
      <c r="AI109" s="204" t="n"/>
      <c r="AJ109" s="213" t="n"/>
      <c r="AK109" s="206" t="n"/>
      <c r="AL109" s="207" t="n"/>
      <c r="AM109" s="205" t="n"/>
      <c r="AN109" s="213" t="n"/>
      <c r="AO109" s="206" t="n"/>
      <c r="AP109" s="207" t="n"/>
      <c r="AQ109" s="205" t="n"/>
      <c r="AR109" s="213" t="n"/>
      <c r="AS109" s="206" t="n"/>
      <c r="AT109" s="207" t="n"/>
      <c r="AU109" s="210" t="n"/>
      <c r="AV109" s="211" t="n"/>
      <c r="AW109" s="206" t="n"/>
      <c r="AX109" s="207" t="n"/>
      <c r="AY109" s="205" t="n"/>
      <c r="AZ109" s="213" t="n"/>
      <c r="BA109" s="206" t="n"/>
      <c r="BB109" s="207" t="n"/>
      <c r="BC109" s="204" t="n"/>
      <c r="BD109" s="213" t="n"/>
      <c r="BE109" s="206" t="n"/>
      <c r="BF109" s="207" t="n"/>
      <c r="BH1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9">
        <f>_xlfn.LET(r,ROW(),oc,INDEX($A:$A,r),cv,TRIM(INDEX($Y:$Y,r)&amp;""),IF(oc&lt;&gt;"P1","",IF(cv="45","V45 - novo, nao alimentado pelo spool atual","V44 - alimentado pelo spool atual")))</f>
        <v/>
      </c>
    </row>
    <row r="110" ht="54" customHeight="1">
      <c r="A110" s="230" t="inlineStr">
        <is>
          <t>C1</t>
        </is>
      </c>
      <c r="B110" s="231" t="n">
        <v>92</v>
      </c>
      <c r="C110" s="269" t="inlineStr">
        <is>
          <t>16 - Identification Tiers</t>
        </is>
      </c>
      <c r="D110" s="236" t="inlineStr">
        <is>
          <t>16 - Third party identification</t>
        </is>
      </c>
      <c r="E110" s="206" t="inlineStr">
        <is>
          <t>C1 8.11</t>
        </is>
      </c>
      <c r="F110" s="234" t="inlineStr">
        <is>
          <t>Total Bilan retraité en unité d'euros</t>
        </is>
      </c>
      <c r="G110" s="235" t="inlineStr">
        <is>
          <t>Restated total Balance Sheet in euro units</t>
        </is>
      </c>
      <c r="H110" s="235" t="n"/>
      <c r="I110" s="234" t="inlineStr">
        <is>
          <t>Total Bilan retraité en unité d'euros</t>
        </is>
      </c>
      <c r="J110" s="235" t="inlineStr">
        <is>
          <t>Restated total Balance Sheet in euro units</t>
        </is>
      </c>
      <c r="K110" s="231" t="inlineStr">
        <is>
          <t>ND</t>
        </is>
      </c>
      <c r="L110" s="236" t="inlineStr">
        <is>
          <t>ND</t>
        </is>
      </c>
      <c r="M110" s="1417" t="inlineStr">
        <is>
          <t>NA</t>
        </is>
      </c>
      <c r="N110" s="231" t="inlineStr">
        <is>
          <t>Obligatoire</t>
        </is>
      </c>
      <c r="O110" s="236" t="inlineStr">
        <is>
          <t>Mandatory</t>
        </is>
      </c>
      <c r="P110" s="206" t="inlineStr">
        <is>
          <t>NA</t>
        </is>
      </c>
      <c r="Q110" s="206" t="inlineStr">
        <is>
          <t>NA</t>
        </is>
      </c>
      <c r="R110" s="234" t="inlineStr">
        <is>
          <t>Obligatoire dès que le tiers est noté avec une NOR (C1 4.1) renseignée &lt;&gt; 'ND'
Donnée sous responsabilité du RUN</t>
        </is>
      </c>
      <c r="S110" s="235" t="inlineStr">
        <is>
          <t>Mandatory once an external counterparty is given an assigned rating (C1 4.1) &lt;&gt; 'ND'
Data owned by the «RUN»</t>
        </is>
      </c>
      <c r="T110" s="206" t="inlineStr">
        <is>
          <t>NUM</t>
        </is>
      </c>
      <c r="U110" s="237" t="inlineStr">
        <is>
          <t>NA</t>
        </is>
      </c>
      <c r="V110" s="238" t="inlineStr">
        <is>
          <t>NA</t>
        </is>
      </c>
      <c r="W110" s="231" t="n">
        <v>15</v>
      </c>
      <c r="X110" s="231" t="inlineStr">
        <is>
          <t>NA</t>
        </is>
      </c>
      <c r="Y110" s="239" t="n">
        <v>40</v>
      </c>
      <c r="Z110" s="239" t="inlineStr">
        <is>
          <t>NA</t>
        </is>
      </c>
      <c r="AA110" s="283" t="inlineStr">
        <is>
          <t>NA</t>
        </is>
      </c>
      <c r="AB110" s="231" t="inlineStr">
        <is>
          <t>ANACREDIT</t>
        </is>
      </c>
      <c r="AC110" s="231" t="inlineStr">
        <is>
          <t>ND</t>
        </is>
      </c>
      <c r="AD110" s="231" t="inlineStr">
        <is>
          <t>N</t>
        </is>
      </c>
      <c r="AE110" s="257" t="inlineStr">
        <is>
          <t>NA</t>
        </is>
      </c>
      <c r="AF110" s="257" t="inlineStr">
        <is>
          <t>NA</t>
        </is>
      </c>
      <c r="AG110" s="258" t="inlineStr">
        <is>
          <t>NA</t>
        </is>
      </c>
      <c r="AH110" s="89" t="n"/>
      <c r="AI110" s="204" t="n"/>
      <c r="AJ110" s="213" t="n"/>
      <c r="AK110" s="206" t="n"/>
      <c r="AL110" s="207" t="n"/>
      <c r="AM110" s="205" t="n"/>
      <c r="AN110" s="213" t="n"/>
      <c r="AO110" s="206" t="n"/>
      <c r="AP110" s="207" t="n"/>
      <c r="AQ110" s="205" t="n"/>
      <c r="AR110" s="213" t="n"/>
      <c r="AS110" s="206" t="n"/>
      <c r="AT110" s="207" t="n"/>
      <c r="AU110" s="210" t="n"/>
      <c r="AV110" s="211" t="n"/>
      <c r="AW110" s="206" t="n"/>
      <c r="AX110" s="207" t="n"/>
      <c r="AY110" s="205" t="n"/>
      <c r="AZ110" s="213" t="n"/>
      <c r="BA110" s="206" t="n"/>
      <c r="BB110" s="207" t="n"/>
      <c r="BC110" s="204" t="n"/>
      <c r="BD110" s="213" t="n"/>
      <c r="BE110" s="206" t="n"/>
      <c r="BF110" s="207" t="n"/>
      <c r="BH1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0">
        <f>_xlfn.LET(r,ROW(),oc,INDEX($A:$A,r),cv,TRIM(INDEX($Y:$Y,r)&amp;""),IF(oc&lt;&gt;"P1","",IF(cv="45","V45 - novo, nao alimentado pelo spool atual","V44 - alimentado pelo spool atual")))</f>
        <v/>
      </c>
    </row>
    <row r="111" ht="54" customHeight="1">
      <c r="A111" s="230" t="inlineStr">
        <is>
          <t>C1</t>
        </is>
      </c>
      <c r="B111" s="231" t="n">
        <v>93</v>
      </c>
      <c r="C111" s="269" t="inlineStr">
        <is>
          <t>16 - Identification Tiers</t>
        </is>
      </c>
      <c r="D111" s="236" t="inlineStr">
        <is>
          <t>16 - Third party identification</t>
        </is>
      </c>
      <c r="E111" s="206" t="inlineStr">
        <is>
          <t>C1 8.12</t>
        </is>
      </c>
      <c r="F111" s="234" t="inlineStr">
        <is>
          <t>Code correspondant RUN du tiers</t>
        </is>
      </c>
      <c r="G111" s="235" t="inlineStr">
        <is>
          <t>RUN code of external counterparty</t>
        </is>
      </c>
      <c r="H111" s="235" t="n"/>
      <c r="I111" s="234" t="inlineStr">
        <is>
          <t>Personne physique, au sein de l'entité responsable de la contrepartie, chargée d'assurer les relations avec les entités extérieures</t>
        </is>
      </c>
      <c r="J111" s="235" t="inlineStr">
        <is>
          <t>Individual, within the entity responsible for the counterparty, responsible for managing relationships with outside entities</t>
        </is>
      </c>
      <c r="K111" s="231" t="inlineStr">
        <is>
          <t>ND</t>
        </is>
      </c>
      <c r="L111" s="236" t="inlineStr">
        <is>
          <t>ND</t>
        </is>
      </c>
      <c r="M111" s="1417" t="inlineStr">
        <is>
          <t>NA</t>
        </is>
      </c>
      <c r="N111" s="231" t="inlineStr">
        <is>
          <t>Facultatif</t>
        </is>
      </c>
      <c r="O111" s="236" t="inlineStr">
        <is>
          <t>Optional</t>
        </is>
      </c>
      <c r="P111" s="206" t="inlineStr">
        <is>
          <t>NA</t>
        </is>
      </c>
      <c r="Q111" s="206" t="inlineStr">
        <is>
          <t>NA</t>
        </is>
      </c>
      <c r="R111" s="234" t="inlineStr">
        <is>
          <t>Code fourni par DRG dans le fichier mensuel Référentiel ‘Tiers&amp;Groupes' (DTG) transmis aux entités émettrices du flux</t>
        </is>
      </c>
      <c r="S111" s="235" t="inlineStr">
        <is>
          <t>Code provided by the Group Risk Management Division in the monthly “External Counterparties &amp; Groups” file (DTG) sent to entities issuing flows</t>
        </is>
      </c>
      <c r="T111" s="206" t="inlineStr">
        <is>
          <t>ALPHA</t>
        </is>
      </c>
      <c r="U111" s="237" t="inlineStr">
        <is>
          <t>NA</t>
        </is>
      </c>
      <c r="V111" s="238" t="inlineStr">
        <is>
          <t>NA</t>
        </is>
      </c>
      <c r="W111" s="231" t="n">
        <v>5</v>
      </c>
      <c r="X111" s="231" t="inlineStr">
        <is>
          <t>NA</t>
        </is>
      </c>
      <c r="Y111" s="239" t="n">
        <v>40</v>
      </c>
      <c r="Z111" s="239" t="inlineStr">
        <is>
          <t>NA</t>
        </is>
      </c>
      <c r="AA111" s="283" t="inlineStr">
        <is>
          <t>NA</t>
        </is>
      </c>
      <c r="AB111" s="231" t="inlineStr">
        <is>
          <t>TIGRE</t>
        </is>
      </c>
      <c r="AC111" s="231" t="inlineStr">
        <is>
          <t>ND</t>
        </is>
      </c>
      <c r="AD111" s="231" t="inlineStr">
        <is>
          <t>N</t>
        </is>
      </c>
      <c r="AE111" s="231" t="inlineStr">
        <is>
          <t>NA</t>
        </is>
      </c>
      <c r="AF111" s="231" t="inlineStr">
        <is>
          <t>NA</t>
        </is>
      </c>
      <c r="AG111" s="212" t="inlineStr">
        <is>
          <t>NA</t>
        </is>
      </c>
      <c r="AH111" s="89" t="n"/>
      <c r="AI111" s="204" t="n"/>
      <c r="AJ111" s="213" t="n"/>
      <c r="AK111" s="206" t="n"/>
      <c r="AL111" s="207" t="n"/>
      <c r="AM111" s="205" t="n"/>
      <c r="AN111" s="213" t="n"/>
      <c r="AO111" s="206" t="n"/>
      <c r="AP111" s="207" t="n"/>
      <c r="AQ111" s="205" t="n"/>
      <c r="AR111" s="213" t="n"/>
      <c r="AS111" s="206" t="n"/>
      <c r="AT111" s="207" t="n"/>
      <c r="AU111" s="210" t="n"/>
      <c r="AV111" s="211" t="n"/>
      <c r="AW111" s="206" t="n"/>
      <c r="AX111" s="207" t="n"/>
      <c r="AY111" s="205" t="n"/>
      <c r="AZ111" s="213" t="n"/>
      <c r="BA111" s="206" t="n"/>
      <c r="BB111" s="207" t="n"/>
      <c r="BC111" s="204" t="n"/>
      <c r="BD111" s="213" t="n"/>
      <c r="BE111" s="206" t="n"/>
      <c r="BF111" s="207" t="n"/>
      <c r="BH1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1">
        <f>_xlfn.LET(r,ROW(),oc,INDEX($A:$A,r),cv,TRIM(INDEX($Y:$Y,r)&amp;""),IF(oc&lt;&gt;"P1","",IF(cv="45","V45 - novo, nao alimentado pelo spool atual","V44 - alimentado pelo spool atual")))</f>
        <v/>
      </c>
    </row>
    <row r="112" ht="54" customHeight="1">
      <c r="A112" s="230" t="inlineStr">
        <is>
          <t>C1</t>
        </is>
      </c>
      <c r="B112" s="231" t="n">
        <v>94</v>
      </c>
      <c r="C112" s="269" t="inlineStr">
        <is>
          <t>16 - Identification Tiers</t>
        </is>
      </c>
      <c r="D112" s="236" t="inlineStr">
        <is>
          <t>16 - Third party identification</t>
        </is>
      </c>
      <c r="E112" s="206" t="inlineStr">
        <is>
          <t>C1 8.13</t>
        </is>
      </c>
      <c r="F112" s="234" t="inlineStr">
        <is>
          <t>Secteur Risque systémique</t>
        </is>
      </c>
      <c r="G112" s="235" t="inlineStr">
        <is>
          <t>Systemic Risk Sector</t>
        </is>
      </c>
      <c r="H112" s="235" t="n"/>
      <c r="I112" s="234" t="inlineStr">
        <is>
          <t>Code du secteur d'activité relevant du risque systémique pour le tiers</t>
        </is>
      </c>
      <c r="J112" s="235" t="inlineStr">
        <is>
          <t>Code of business sector constituting systemic risk for the external counterparty</t>
        </is>
      </c>
      <c r="K112" s="231" t="inlineStr">
        <is>
          <t>ND</t>
        </is>
      </c>
      <c r="L112" s="236" t="inlineStr">
        <is>
          <t>ND</t>
        </is>
      </c>
      <c r="M112" s="1417" t="inlineStr">
        <is>
          <t>NA</t>
        </is>
      </c>
      <c r="N112" s="231" t="inlineStr">
        <is>
          <t>Facultatif</t>
        </is>
      </c>
      <c r="O112" s="236" t="inlineStr">
        <is>
          <t>Optional</t>
        </is>
      </c>
      <c r="P112" s="206" t="inlineStr">
        <is>
          <t>LC.0011</t>
        </is>
      </c>
      <c r="Q112" s="206" t="inlineStr">
        <is>
          <t>TA NM199</t>
        </is>
      </c>
      <c r="R112" s="234" t="inlineStr">
        <is>
          <t>Le code renseigné doit correspondre au niveau de rattachement le plus fin
Cette nouvelle donnée permet de différencier le secteur d'activité lié à la notation du Tiers du secteur d'activité relevant du risque systémique
Donnée sous responsabilité du RUN</t>
        </is>
      </c>
      <c r="S112" s="235" t="inlineStr">
        <is>
          <t>The code input must represent the lowest possible reporting level
This new data makes it possible to differentiate the business sector associated with the rating of the External Counterparty from the business sector constituting systemic risk
Data owned by the «RUN»</t>
        </is>
      </c>
      <c r="T112" s="206" t="inlineStr">
        <is>
          <t>ALPHA</t>
        </is>
      </c>
      <c r="U112" s="237" t="inlineStr">
        <is>
          <t>NA</t>
        </is>
      </c>
      <c r="V112" s="238" t="inlineStr">
        <is>
          <t>NA</t>
        </is>
      </c>
      <c r="W112" s="231" t="n">
        <v>6</v>
      </c>
      <c r="X112" s="231" t="inlineStr">
        <is>
          <t>NA</t>
        </is>
      </c>
      <c r="Y112" s="239" t="n">
        <v>40</v>
      </c>
      <c r="Z112" s="239" t="inlineStr">
        <is>
          <t>NA</t>
        </is>
      </c>
      <c r="AA112" s="283" t="inlineStr">
        <is>
          <t>NA</t>
        </is>
      </c>
      <c r="AB112" s="231" t="inlineStr">
        <is>
          <t>TIGRE</t>
        </is>
      </c>
      <c r="AC112" s="231" t="inlineStr">
        <is>
          <t>ND</t>
        </is>
      </c>
      <c r="AD112" s="231" t="inlineStr">
        <is>
          <t>N</t>
        </is>
      </c>
      <c r="AE112" s="257" t="inlineStr">
        <is>
          <t>NA</t>
        </is>
      </c>
      <c r="AF112" s="257" t="inlineStr">
        <is>
          <t>NA</t>
        </is>
      </c>
      <c r="AG112" s="258" t="inlineStr">
        <is>
          <t>NA</t>
        </is>
      </c>
      <c r="AH112" s="89" t="n"/>
      <c r="AI112" s="204" t="n"/>
      <c r="AJ112" s="213" t="n"/>
      <c r="AK112" s="206" t="n"/>
      <c r="AL112" s="207" t="n"/>
      <c r="AM112" s="205" t="n"/>
      <c r="AN112" s="213" t="n"/>
      <c r="AO112" s="206" t="n"/>
      <c r="AP112" s="207" t="n"/>
      <c r="AQ112" s="205" t="n"/>
      <c r="AR112" s="213" t="n"/>
      <c r="AS112" s="206" t="n"/>
      <c r="AT112" s="207" t="n"/>
      <c r="AU112" s="210" t="n"/>
      <c r="AV112" s="211" t="n"/>
      <c r="AW112" s="206" t="n"/>
      <c r="AX112" s="207" t="n"/>
      <c r="AY112" s="205" t="n"/>
      <c r="AZ112" s="213" t="n"/>
      <c r="BA112" s="206" t="n"/>
      <c r="BB112" s="207" t="n"/>
      <c r="BC112" s="204" t="n"/>
      <c r="BD112" s="213" t="n"/>
      <c r="BE112" s="206" t="n"/>
      <c r="BF112" s="207" t="n"/>
      <c r="BH1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2">
        <f>_xlfn.LET(r,ROW(),oc,INDEX($A:$A,r),cv,TRIM(INDEX($Y:$Y,r)&amp;""),IF(oc&lt;&gt;"P1","",IF(cv="45","V45 - novo, nao alimentado pelo spool atual","V44 - alimentado pelo spool atual")))</f>
        <v/>
      </c>
    </row>
    <row r="113" ht="54" customFormat="1" customHeight="1" s="54">
      <c r="A113" s="243" t="inlineStr">
        <is>
          <t>C1</t>
        </is>
      </c>
      <c r="B113" s="244" t="n">
        <v>95</v>
      </c>
      <c r="C113" s="284" t="inlineStr">
        <is>
          <t>NA</t>
        </is>
      </c>
      <c r="D113" s="244" t="inlineStr">
        <is>
          <t>NA</t>
        </is>
      </c>
      <c r="E113" s="246" t="inlineStr">
        <is>
          <t>C1 8.14</t>
        </is>
      </c>
      <c r="F113" s="247" t="inlineStr">
        <is>
          <t>Filler</t>
        </is>
      </c>
      <c r="G113" s="247" t="inlineStr">
        <is>
          <t>Filler</t>
        </is>
      </c>
      <c r="H113" s="247" t="n"/>
      <c r="I113" s="247" t="inlineStr">
        <is>
          <t>Zone libre</t>
        </is>
      </c>
      <c r="J113" s="247" t="inlineStr">
        <is>
          <t>Free zone</t>
        </is>
      </c>
      <c r="K113" s="244" t="inlineStr">
        <is>
          <t>NA</t>
        </is>
      </c>
      <c r="L113" s="244" t="inlineStr">
        <is>
          <t>NA</t>
        </is>
      </c>
      <c r="M113" s="1408" t="inlineStr">
        <is>
          <t>NA</t>
        </is>
      </c>
      <c r="N113" s="244" t="inlineStr">
        <is>
          <t>NA</t>
        </is>
      </c>
      <c r="O113" s="244" t="inlineStr">
        <is>
          <t>NA</t>
        </is>
      </c>
      <c r="P113" s="246" t="inlineStr">
        <is>
          <t>NA</t>
        </is>
      </c>
      <c r="Q113" s="246" t="inlineStr">
        <is>
          <t>NA</t>
        </is>
      </c>
      <c r="R113" s="247" t="inlineStr">
        <is>
          <t>Laisser à vide</t>
        </is>
      </c>
      <c r="S113" s="247" t="inlineStr">
        <is>
          <t>Leave empty</t>
        </is>
      </c>
      <c r="T113" s="246" t="inlineStr">
        <is>
          <t>ALPHA</t>
        </is>
      </c>
      <c r="U113" s="248" t="inlineStr">
        <is>
          <t>NA</t>
        </is>
      </c>
      <c r="V113" s="248" t="inlineStr">
        <is>
          <t>NA</t>
        </is>
      </c>
      <c r="W113" s="244" t="n">
        <v>2</v>
      </c>
      <c r="X113" s="244" t="inlineStr">
        <is>
          <t>NA</t>
        </is>
      </c>
      <c r="Y113" s="249" t="inlineStr">
        <is>
          <t>NA</t>
        </is>
      </c>
      <c r="Z113" s="249" t="inlineStr">
        <is>
          <t>NA</t>
        </is>
      </c>
      <c r="AA113" s="279" t="inlineStr">
        <is>
          <t>NA</t>
        </is>
      </c>
      <c r="AB113" s="244" t="inlineStr">
        <is>
          <t>NA</t>
        </is>
      </c>
      <c r="AC113" s="244" t="inlineStr">
        <is>
          <t>NA</t>
        </is>
      </c>
      <c r="AD113" s="244" t="inlineStr">
        <is>
          <t>N</t>
        </is>
      </c>
      <c r="AE113" s="244" t="inlineStr">
        <is>
          <t>NA</t>
        </is>
      </c>
      <c r="AF113" s="244" t="inlineStr">
        <is>
          <t>NA</t>
        </is>
      </c>
      <c r="AG113" s="250" t="inlineStr">
        <is>
          <t>NA</t>
        </is>
      </c>
      <c r="AH113" s="89" t="n"/>
      <c r="AI113" s="251" t="n"/>
      <c r="AJ113" s="252" t="n"/>
      <c r="AK113" s="246" t="n"/>
      <c r="AL113" s="253" t="n"/>
      <c r="AM113" s="252" t="n"/>
      <c r="AN113" s="252" t="n"/>
      <c r="AO113" s="246" t="n"/>
      <c r="AP113" s="253" t="n"/>
      <c r="AQ113" s="252" t="n"/>
      <c r="AR113" s="252" t="n"/>
      <c r="AS113" s="246" t="n"/>
      <c r="AT113" s="253" t="n"/>
      <c r="AU113" s="254" t="n"/>
      <c r="AV113" s="254" t="n"/>
      <c r="AW113" s="246" t="n"/>
      <c r="AX113" s="253" t="n"/>
      <c r="AY113" s="252" t="n"/>
      <c r="AZ113" s="252" t="n"/>
      <c r="BA113" s="246" t="n"/>
      <c r="BB113" s="253" t="n"/>
      <c r="BC113" s="251" t="n"/>
      <c r="BD113" s="252" t="n"/>
      <c r="BE113" s="246" t="n"/>
      <c r="BF113" s="253" t="n"/>
      <c r="BH1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3">
        <f>_xlfn.LET(r,ROW(),oc,INDEX($A:$A,r),cv,TRIM(INDEX($Y:$Y,r)&amp;""),IF(oc&lt;&gt;"P1","",IF(cv="45","V45 - novo, nao alimentado pelo spool atual","V44 - alimentado pelo spool atual")))</f>
        <v/>
      </c>
    </row>
    <row r="114" ht="54" customHeight="1">
      <c r="A114" s="230" t="inlineStr">
        <is>
          <t>C1</t>
        </is>
      </c>
      <c r="B114" s="231" t="n">
        <v>96</v>
      </c>
      <c r="C114" s="269" t="inlineStr">
        <is>
          <t>16 - Identification Tiers</t>
        </is>
      </c>
      <c r="D114" s="236" t="inlineStr">
        <is>
          <t>16 - Third party identification</t>
        </is>
      </c>
      <c r="E114" s="206" t="inlineStr">
        <is>
          <t>C1 8.15</t>
        </is>
      </c>
      <c r="F114" s="234" t="inlineStr">
        <is>
          <t>Note Calculée Finale (NCF)</t>
        </is>
      </c>
      <c r="G114" s="235" t="inlineStr">
        <is>
          <t>Final Calculated Rating (NCF)</t>
        </is>
      </c>
      <c r="H114" s="235" t="n"/>
      <c r="I114" s="234" t="inlineStr">
        <is>
          <t>Note Calculée Finale</t>
        </is>
      </c>
      <c r="J114" s="235" t="inlineStr">
        <is>
          <t>Final Calculated Rating</t>
        </is>
      </c>
      <c r="K114" s="231" t="inlineStr">
        <is>
          <t>ND</t>
        </is>
      </c>
      <c r="L114" s="236" t="inlineStr">
        <is>
          <t>ND</t>
        </is>
      </c>
      <c r="M114" s="1417" t="inlineStr">
        <is>
          <t>NA</t>
        </is>
      </c>
      <c r="N114" s="231" t="inlineStr">
        <is>
          <t>Facultatif</t>
        </is>
      </c>
      <c r="O114" s="236" t="inlineStr">
        <is>
          <t>Optional</t>
        </is>
      </c>
      <c r="P114" s="206" t="inlineStr">
        <is>
          <t>NA</t>
        </is>
      </c>
      <c r="Q114" s="206" t="inlineStr">
        <is>
          <t>NA</t>
        </is>
      </c>
      <c r="R114" s="234" t="inlineStr">
        <is>
          <t>Donnée sous responsabilité du RUN</t>
        </is>
      </c>
      <c r="S114" s="235" t="inlineStr">
        <is>
          <t>Data owned by the «RUN»</t>
        </is>
      </c>
      <c r="T114" s="206" t="inlineStr">
        <is>
          <t>ALPHA</t>
        </is>
      </c>
      <c r="U114" s="237" t="inlineStr">
        <is>
          <t>NA</t>
        </is>
      </c>
      <c r="V114" s="238" t="inlineStr">
        <is>
          <t>NA</t>
        </is>
      </c>
      <c r="W114" s="231" t="n">
        <v>2</v>
      </c>
      <c r="X114" s="231" t="inlineStr">
        <is>
          <t>NA</t>
        </is>
      </c>
      <c r="Y114" s="239" t="n">
        <v>40</v>
      </c>
      <c r="Z114" s="239" t="inlineStr">
        <is>
          <t>NA</t>
        </is>
      </c>
      <c r="AA114" s="283" t="inlineStr">
        <is>
          <t>NA</t>
        </is>
      </c>
      <c r="AB114" s="231" t="inlineStr">
        <is>
          <t>TIGRE</t>
        </is>
      </c>
      <c r="AC114" s="231" t="inlineStr">
        <is>
          <t>ND</t>
        </is>
      </c>
      <c r="AD114" s="231" t="inlineStr">
        <is>
          <t>N</t>
        </is>
      </c>
      <c r="AE114" s="257" t="inlineStr">
        <is>
          <t>NA</t>
        </is>
      </c>
      <c r="AF114" s="257" t="inlineStr">
        <is>
          <t>NA</t>
        </is>
      </c>
      <c r="AG114" s="258" t="inlineStr">
        <is>
          <t>NA</t>
        </is>
      </c>
      <c r="AH114" s="89" t="n"/>
      <c r="AI114" s="204" t="n"/>
      <c r="AJ114" s="213" t="n"/>
      <c r="AK114" s="206" t="n"/>
      <c r="AL114" s="207" t="n"/>
      <c r="AM114" s="205" t="n"/>
      <c r="AN114" s="213" t="n"/>
      <c r="AO114" s="206" t="n"/>
      <c r="AP114" s="207" t="n"/>
      <c r="AQ114" s="205" t="n"/>
      <c r="AR114" s="213" t="n"/>
      <c r="AS114" s="206" t="n"/>
      <c r="AT114" s="207" t="n"/>
      <c r="AU114" s="210" t="n"/>
      <c r="AV114" s="211" t="n"/>
      <c r="AW114" s="206" t="n"/>
      <c r="AX114" s="207" t="n"/>
      <c r="AY114" s="205" t="n"/>
      <c r="AZ114" s="213" t="n"/>
      <c r="BA114" s="206" t="n"/>
      <c r="BB114" s="207" t="n"/>
      <c r="BC114" s="204" t="n"/>
      <c r="BD114" s="213" t="n"/>
      <c r="BE114" s="206" t="n"/>
      <c r="BF114" s="207" t="n"/>
      <c r="BH1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4">
        <f>_xlfn.LET(r,ROW(),oc,INDEX($A:$A,r),cv,TRIM(INDEX($Y:$Y,r)&amp;""),IF(oc&lt;&gt;"P1","",IF(cv="45","V45 - novo, nao alimentado pelo spool atual","V44 - alimentado pelo spool atual")))</f>
        <v/>
      </c>
    </row>
    <row r="115" ht="54" customHeight="1">
      <c r="A115" s="230" t="inlineStr">
        <is>
          <t>C1</t>
        </is>
      </c>
      <c r="B115" s="231" t="n">
        <v>97</v>
      </c>
      <c r="C115" s="269" t="inlineStr">
        <is>
          <t>16 - Identification Tiers</t>
        </is>
      </c>
      <c r="D115" s="236" t="inlineStr">
        <is>
          <t>16 - Third party identification</t>
        </is>
      </c>
      <c r="E115" s="206" t="inlineStr">
        <is>
          <t>C1 8.16</t>
        </is>
      </c>
      <c r="F115" s="234" t="inlineStr">
        <is>
          <t xml:space="preserve">Elément de structure </t>
        </is>
      </c>
      <c r="G115" s="235" t="inlineStr">
        <is>
          <t>Part of Business structure</t>
        </is>
      </c>
      <c r="H115" s="235" t="n"/>
      <c r="I115" s="234" t="inlineStr">
        <is>
          <t>Correspondant à un centre d'affaires ou commercial gérant le tiers</t>
        </is>
      </c>
      <c r="J115" s="235" t="inlineStr">
        <is>
          <t xml:space="preserve"> Corresponding to a business centre or an management centre to which belongs the contact of the entity in relationship with the counterparty </t>
        </is>
      </c>
      <c r="K115" s="231" t="inlineStr">
        <is>
          <t>ND</t>
        </is>
      </c>
      <c r="L115" s="236" t="inlineStr">
        <is>
          <t>ND</t>
        </is>
      </c>
      <c r="M115" s="1417" t="inlineStr">
        <is>
          <t>NA</t>
        </is>
      </c>
      <c r="N115" s="231" t="inlineStr">
        <is>
          <t>Facultatif</t>
        </is>
      </c>
      <c r="O115" s="236" t="inlineStr">
        <is>
          <t>Optional</t>
        </is>
      </c>
      <c r="P115" s="206" t="inlineStr">
        <is>
          <t>NA</t>
        </is>
      </c>
      <c r="Q115" s="206" t="inlineStr">
        <is>
          <t>NA</t>
        </is>
      </c>
      <c r="R115" s="234" t="inlineStr">
        <is>
          <t>Permet à l'entité de déclarer le chargé d'affaire/centre d'affaire/direction commerciale gérant le tiers le plus à même de traiter les anomalies liées à un tiers (renoter le tiers, ..)</t>
        </is>
      </c>
      <c r="S115" s="235" t="inlineStr">
        <is>
          <t>Allows the entity to declare a management center/business center/sales department managing the external counterparty most able to deal with anomalies linked to an external counterparty (to rename the counterparty, ..)</t>
        </is>
      </c>
      <c r="T115" s="206" t="inlineStr">
        <is>
          <t>ALPHA</t>
        </is>
      </c>
      <c r="U115" s="237" t="inlineStr">
        <is>
          <t>NA</t>
        </is>
      </c>
      <c r="V115" s="238" t="inlineStr">
        <is>
          <t>NA</t>
        </is>
      </c>
      <c r="W115" s="231" t="n">
        <v>7</v>
      </c>
      <c r="X115" s="231" t="inlineStr">
        <is>
          <t>NA</t>
        </is>
      </c>
      <c r="Y115" s="239" t="n">
        <v>40</v>
      </c>
      <c r="Z115" s="239" t="inlineStr">
        <is>
          <t>NA</t>
        </is>
      </c>
      <c r="AA115" s="283" t="inlineStr">
        <is>
          <t>NA</t>
        </is>
      </c>
      <c r="AB115" s="942" t="inlineStr">
        <is>
          <t>TIGRE</t>
        </is>
      </c>
      <c r="AC115" s="231" t="inlineStr">
        <is>
          <t>ND</t>
        </is>
      </c>
      <c r="AD115" s="231" t="inlineStr">
        <is>
          <t>N</t>
        </is>
      </c>
      <c r="AE115" s="231" t="inlineStr">
        <is>
          <t>NA</t>
        </is>
      </c>
      <c r="AF115" s="231" t="inlineStr">
        <is>
          <t>NA</t>
        </is>
      </c>
      <c r="AG115" s="212" t="inlineStr">
        <is>
          <t>NA</t>
        </is>
      </c>
      <c r="AH115" s="89" t="n"/>
      <c r="AI115" s="204" t="n"/>
      <c r="AJ115" s="213" t="n"/>
      <c r="AK115" s="206" t="n"/>
      <c r="AL115" s="207" t="n"/>
      <c r="AM115" s="205" t="n"/>
      <c r="AN115" s="213" t="n"/>
      <c r="AO115" s="206" t="n"/>
      <c r="AP115" s="207" t="n"/>
      <c r="AQ115" s="205" t="n"/>
      <c r="AR115" s="213" t="n"/>
      <c r="AS115" s="206" t="n"/>
      <c r="AT115" s="207" t="n"/>
      <c r="AU115" s="210" t="n"/>
      <c r="AV115" s="211" t="n"/>
      <c r="AW115" s="206" t="n"/>
      <c r="AX115" s="207" t="n"/>
      <c r="AY115" s="205" t="n"/>
      <c r="AZ115" s="213" t="n"/>
      <c r="BA115" s="206" t="n"/>
      <c r="BB115" s="207" t="n"/>
      <c r="BC115" s="204" t="n"/>
      <c r="BD115" s="213" t="n"/>
      <c r="BE115" s="206" t="n"/>
      <c r="BF115" s="207" t="n"/>
      <c r="BH1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5">
        <f>_xlfn.LET(r,ROW(),oc,INDEX($A:$A,r),cv,TRIM(INDEX($Y:$Y,r)&amp;""),IF(oc&lt;&gt;"P1","",IF(cv="45","V45 - novo, nao alimentado pelo spool atual","V44 - alimentado pelo spool atual")))</f>
        <v/>
      </c>
    </row>
    <row r="116" ht="54" customHeight="1" thickBot="1">
      <c r="A116" s="1184" t="inlineStr">
        <is>
          <t>C1</t>
        </is>
      </c>
      <c r="B116" s="1185" t="n">
        <v>98</v>
      </c>
      <c r="C116" s="1185" t="inlineStr">
        <is>
          <t>NA</t>
        </is>
      </c>
      <c r="D116" s="1185" t="inlineStr">
        <is>
          <t>NA</t>
        </is>
      </c>
      <c r="E116" s="1187" t="inlineStr">
        <is>
          <t>C1 99.99</t>
        </is>
      </c>
      <c r="F116" s="1186" t="inlineStr">
        <is>
          <t>Filler</t>
        </is>
      </c>
      <c r="G116" s="1186" t="inlineStr">
        <is>
          <t>Filler</t>
        </is>
      </c>
      <c r="H116" s="1186" t="n"/>
      <c r="I116" s="1186" t="inlineStr">
        <is>
          <t>Zone libre</t>
        </is>
      </c>
      <c r="J116" s="1186" t="inlineStr">
        <is>
          <t>Free zone</t>
        </is>
      </c>
      <c r="K116" s="1185" t="inlineStr">
        <is>
          <t>NA</t>
        </is>
      </c>
      <c r="L116" s="1185" t="inlineStr">
        <is>
          <t>NA</t>
        </is>
      </c>
      <c r="M116" s="1409" t="inlineStr">
        <is>
          <t>NA</t>
        </is>
      </c>
      <c r="N116" s="1185" t="inlineStr">
        <is>
          <t>NA</t>
        </is>
      </c>
      <c r="O116" s="1185" t="inlineStr">
        <is>
          <t>NA</t>
        </is>
      </c>
      <c r="P116" s="1187" t="inlineStr">
        <is>
          <t>NA</t>
        </is>
      </c>
      <c r="Q116" s="1187" t="inlineStr">
        <is>
          <t>NA</t>
        </is>
      </c>
      <c r="R116" s="1186" t="inlineStr">
        <is>
          <t>Laisser à vide</t>
        </is>
      </c>
      <c r="S116" s="1186" t="inlineStr">
        <is>
          <t>Leave empty</t>
        </is>
      </c>
      <c r="T116" s="1187" t="inlineStr">
        <is>
          <t>ALPHA</t>
        </is>
      </c>
      <c r="U116" s="1188" t="inlineStr">
        <is>
          <t>NA</t>
        </is>
      </c>
      <c r="V116" s="1188" t="inlineStr">
        <is>
          <t>NA</t>
        </is>
      </c>
      <c r="W116" s="1215">
        <f>8000-(SUM(W19:W115)+COUNT(W19:W115))</f>
        <v/>
      </c>
      <c r="X116" s="1185" t="inlineStr">
        <is>
          <t>NA</t>
        </is>
      </c>
      <c r="Y116" s="1188" t="n">
        <v>43</v>
      </c>
      <c r="Z116" s="1189" t="inlineStr">
        <is>
          <t>NA</t>
        </is>
      </c>
      <c r="AA116" s="1190" t="inlineStr">
        <is>
          <t>45.00</t>
        </is>
      </c>
      <c r="AB116" s="1185" t="inlineStr">
        <is>
          <t>NA</t>
        </is>
      </c>
      <c r="AC116" s="1185" t="inlineStr">
        <is>
          <t>NA</t>
        </is>
      </c>
      <c r="AD116" s="1185" t="inlineStr">
        <is>
          <t>N</t>
        </is>
      </c>
      <c r="AE116" s="1185" t="inlineStr">
        <is>
          <t>NA</t>
        </is>
      </c>
      <c r="AF116" s="1185" t="inlineStr">
        <is>
          <t>NA</t>
        </is>
      </c>
      <c r="AG116" s="1191" t="inlineStr">
        <is>
          <t>NA</t>
        </is>
      </c>
      <c r="AH116" s="1360" t="n"/>
      <c r="AI116" s="1192" t="n"/>
      <c r="AJ116" s="1193" t="n"/>
      <c r="AK116" s="1187" t="n"/>
      <c r="AL116" s="1194" t="n"/>
      <c r="AM116" s="1193" t="n"/>
      <c r="AN116" s="1193" t="n"/>
      <c r="AO116" s="1187" t="n"/>
      <c r="AP116" s="1194" t="n"/>
      <c r="AQ116" s="1193" t="n"/>
      <c r="AR116" s="1193" t="n"/>
      <c r="AS116" s="1187" t="n"/>
      <c r="AT116" s="1194" t="n"/>
      <c r="AU116" s="1195" t="n"/>
      <c r="AV116" s="1195" t="n"/>
      <c r="AW116" s="1187" t="n"/>
      <c r="AX116" s="1194" t="n"/>
      <c r="AY116" s="1193" t="n"/>
      <c r="AZ116" s="1193" t="n"/>
      <c r="BA116" s="1187" t="n"/>
      <c r="BB116" s="1194" t="n"/>
      <c r="BC116" s="1192" t="n"/>
      <c r="BD116" s="1193" t="n"/>
      <c r="BE116" s="1187" t="n"/>
      <c r="BF116" s="1194" t="n"/>
      <c r="BH1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6">
        <f>_xlfn.LET(r,ROW(),oc,INDEX($A:$A,r),cv,TRIM(INDEX($Y:$Y,r)&amp;""),IF(oc&lt;&gt;"P1","",IF(cv="45","V45 - novo, nao alimentado pelo spool atual","V44 - alimentado pelo spool atual")))</f>
        <v/>
      </c>
    </row>
    <row r="117" ht="54" customFormat="1" customHeight="1" s="90">
      <c r="A117" s="286" t="inlineStr">
        <is>
          <t>F1</t>
        </is>
      </c>
      <c r="B117" s="287" t="n">
        <v>1</v>
      </c>
      <c r="C117" s="292" t="inlineStr">
        <is>
          <t>02 - Caractéristiques d'identification fonctionnelles</t>
        </is>
      </c>
      <c r="D117" s="293" t="inlineStr">
        <is>
          <t>02 - Functional identification characteristics</t>
        </is>
      </c>
      <c r="E117" s="287" t="inlineStr">
        <is>
          <t>0.1 (F1)</t>
        </is>
      </c>
      <c r="F117" s="288" t="inlineStr">
        <is>
          <t xml:space="preserve">Date d'arrêté </t>
        </is>
      </c>
      <c r="G117" s="289" t="inlineStr">
        <is>
          <t>Closing date</t>
        </is>
      </c>
      <c r="H117" s="289" t="n"/>
      <c r="I117" s="290" t="inlineStr">
        <is>
          <t>Correspond à la date d'arrêté des données transmises (dernier jour calendaire du mois)</t>
        </is>
      </c>
      <c r="J117" s="291" t="inlineStr">
        <is>
          <t>Represents the cut-off date of the data transmitted (final calendar day of the month)</t>
        </is>
      </c>
      <c r="K117" s="292" t="inlineStr">
        <is>
          <t>ND</t>
        </is>
      </c>
      <c r="L117" s="293" t="inlineStr">
        <is>
          <t>ND</t>
        </is>
      </c>
      <c r="M117" s="1419" t="inlineStr">
        <is>
          <t>SttmDt</t>
        </is>
      </c>
      <c r="N117" s="294" t="inlineStr">
        <is>
          <t>Obligatoire</t>
        </is>
      </c>
      <c r="O117" s="295" t="inlineStr">
        <is>
          <t>Mandatory</t>
        </is>
      </c>
      <c r="P117" s="292" t="inlineStr">
        <is>
          <t>NA</t>
        </is>
      </c>
      <c r="Q117" s="292" t="inlineStr">
        <is>
          <t>NA</t>
        </is>
      </c>
      <c r="R117" s="290" t="inlineStr">
        <is>
          <t>Il doit y avoir unicité de la date d'arrêté au sein du flux</t>
        </is>
      </c>
      <c r="S117" s="291" t="inlineStr">
        <is>
          <t>The cut-off date must be the same across the flow</t>
        </is>
      </c>
      <c r="T117" s="195" t="inlineStr">
        <is>
          <t>DATE</t>
        </is>
      </c>
      <c r="U117" s="296" t="inlineStr">
        <is>
          <t>AAAAMMJJ</t>
        </is>
      </c>
      <c r="V117" s="297" t="inlineStr">
        <is>
          <t>YYYYMMDD</t>
        </is>
      </c>
      <c r="W117" s="298" t="n">
        <v>8</v>
      </c>
      <c r="X117" s="1041" t="inlineStr">
        <is>
          <t>NA</t>
        </is>
      </c>
      <c r="Y117" s="296" t="inlineStr">
        <is>
          <t>40</t>
        </is>
      </c>
      <c r="Z117" s="296" t="inlineStr">
        <is>
          <t>NA</t>
        </is>
      </c>
      <c r="AA117" s="270" t="inlineStr">
        <is>
          <t>NA</t>
        </is>
      </c>
      <c r="AB117" s="1286" t="inlineStr">
        <is>
          <t>CALCULS PRUDENTIELS</t>
        </is>
      </c>
      <c r="AC117" s="294" t="inlineStr">
        <is>
          <t>ND</t>
        </is>
      </c>
      <c r="AD117" s="299" t="inlineStr">
        <is>
          <t>N</t>
        </is>
      </c>
      <c r="AE117" s="298" t="inlineStr">
        <is>
          <t>NA</t>
        </is>
      </c>
      <c r="AF117" s="298" t="inlineStr">
        <is>
          <t>NA</t>
        </is>
      </c>
      <c r="AG117" s="300" t="inlineStr">
        <is>
          <t>NA</t>
        </is>
      </c>
      <c r="AH117" s="89" t="n"/>
      <c r="AI117" s="301" t="inlineStr">
        <is>
          <t>La donnée est obligatoire</t>
        </is>
      </c>
      <c r="AJ117" s="302" t="inlineStr">
        <is>
          <t>The data is mandatory</t>
        </is>
      </c>
      <c r="AK117" s="303" t="n"/>
      <c r="AL117" s="304" t="inlineStr">
        <is>
          <t>EN0011</t>
        </is>
      </c>
      <c r="AM117" s="305" t="n"/>
      <c r="AN117" s="302" t="n"/>
      <c r="AO117" s="303" t="n"/>
      <c r="AP117" s="304" t="n"/>
      <c r="AQ117"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17"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17" s="303" t="n"/>
      <c r="AT117" s="304" t="inlineStr">
        <is>
          <t>EN0017
EN0019</t>
        </is>
      </c>
      <c r="AU117"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17" s="302"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17" s="303" t="n"/>
      <c r="AX117" s="196" t="inlineStr">
        <is>
          <t>EN001B</t>
        </is>
      </c>
      <c r="AY117" s="305" t="n"/>
      <c r="AZ117" s="302" t="n"/>
      <c r="BA117" s="303" t="n"/>
      <c r="BB117" s="304" t="n"/>
      <c r="BC117" s="301" t="n"/>
      <c r="BD117" s="302" t="n"/>
      <c r="BE117" s="303" t="n"/>
      <c r="BF117" s="304" t="n"/>
      <c r="BH1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7">
        <f>_xlfn.LET(r,ROW(),oc,INDEX($A:$A,r),cv,TRIM(INDEX($Y:$Y,r)&amp;""),IF(oc&lt;&gt;"P1","",IF(cv="45","V45 - novo, nao alimentado pelo spool atual","V44 - alimentado pelo spool atual")))</f>
        <v/>
      </c>
    </row>
    <row r="118" ht="54" customFormat="1" customHeight="1" s="90">
      <c r="A118" s="306" t="inlineStr">
        <is>
          <t>F1</t>
        </is>
      </c>
      <c r="B118" s="307" t="n">
        <v>2</v>
      </c>
      <c r="C118" s="269" t="inlineStr">
        <is>
          <t>02 - Caractéristiques d'identification fonctionnelles</t>
        </is>
      </c>
      <c r="D118" s="310" t="inlineStr">
        <is>
          <t>02 - Functional identification characteristics</t>
        </is>
      </c>
      <c r="E118" s="307" t="inlineStr">
        <is>
          <t>0.2 (F1)</t>
        </is>
      </c>
      <c r="F118" s="308" t="inlineStr">
        <is>
          <t>Entité Porteuse de Risques</t>
        </is>
      </c>
      <c r="G118" s="309" t="inlineStr">
        <is>
          <t>Risk taker entity</t>
        </is>
      </c>
      <c r="H118" s="309" t="n"/>
      <c r="I118" s="241" t="inlineStr">
        <is>
          <t>Correspond au code consolidation comptable de l'Entité porteuse de risque dans les comptes de Crédit Agricole S.A.</t>
        </is>
      </c>
      <c r="J118" s="233" t="inlineStr">
        <is>
          <t xml:space="preserve">Represents the accounting consolidation code of the Entity in the financial statements of Crédit Agricole S.A. </t>
        </is>
      </c>
      <c r="K118" s="269" t="inlineStr">
        <is>
          <t>ND</t>
        </is>
      </c>
      <c r="L118" s="310" t="inlineStr">
        <is>
          <t>ND</t>
        </is>
      </c>
      <c r="M118" s="1420" t="inlineStr">
        <is>
          <t>EntPortRisq</t>
        </is>
      </c>
      <c r="N118" s="231" t="inlineStr">
        <is>
          <t>Obligatoire</t>
        </is>
      </c>
      <c r="O118" s="236" t="inlineStr">
        <is>
          <t>Mandatory</t>
        </is>
      </c>
      <c r="P118" s="269" t="inlineStr">
        <is>
          <t>LC.0003</t>
        </is>
      </c>
      <c r="Q118" s="269" t="inlineStr">
        <is>
          <t>TA FI59</t>
        </is>
      </c>
      <c r="R118" s="311" t="inlineStr">
        <is>
          <t>NA</t>
        </is>
      </c>
      <c r="S118" s="312" t="inlineStr">
        <is>
          <t>NA</t>
        </is>
      </c>
      <c r="T118" s="313" t="inlineStr">
        <is>
          <t>ALPHA</t>
        </is>
      </c>
      <c r="U118" s="237" t="inlineStr">
        <is>
          <t>NA</t>
        </is>
      </c>
      <c r="V118" s="238" t="inlineStr">
        <is>
          <t>NA</t>
        </is>
      </c>
      <c r="W118" s="257" t="n">
        <v>5</v>
      </c>
      <c r="X118" s="945" t="inlineStr">
        <is>
          <t>NA</t>
        </is>
      </c>
      <c r="Y118" s="237" t="inlineStr">
        <is>
          <t>40</t>
        </is>
      </c>
      <c r="Z118" s="237" t="inlineStr">
        <is>
          <t>NA</t>
        </is>
      </c>
      <c r="AA118" s="270" t="inlineStr">
        <is>
          <t>NA</t>
        </is>
      </c>
      <c r="AB118" s="1286" t="inlineStr">
        <is>
          <t>CALCULS PRUDENTIELS</t>
        </is>
      </c>
      <c r="AC118" s="231" t="inlineStr">
        <is>
          <t>ND</t>
        </is>
      </c>
      <c r="AD118" s="315" t="inlineStr">
        <is>
          <t>N</t>
        </is>
      </c>
      <c r="AE118" s="257" t="inlineStr">
        <is>
          <t>NA</t>
        </is>
      </c>
      <c r="AF118" s="257" t="inlineStr">
        <is>
          <t>NA</t>
        </is>
      </c>
      <c r="AG118" s="258" t="inlineStr">
        <is>
          <t>NA</t>
        </is>
      </c>
      <c r="AH118" s="89" t="n"/>
      <c r="AI118" s="316" t="inlineStr">
        <is>
          <t>La donnée est obligatoire</t>
        </is>
      </c>
      <c r="AJ118" s="317" t="inlineStr">
        <is>
          <t>The data is mandatory</t>
        </is>
      </c>
      <c r="AK118" s="257" t="n"/>
      <c r="AL118" s="258" t="inlineStr">
        <is>
          <t>EN0021</t>
        </is>
      </c>
      <c r="AM118"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118"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118" s="313" t="n"/>
      <c r="AP118" s="319" t="inlineStr">
        <is>
          <t>EN0023</t>
        </is>
      </c>
      <c r="AQ118" s="318" t="n"/>
      <c r="AR118" s="317" t="n"/>
      <c r="AS118" s="257" t="n"/>
      <c r="AT118" s="258" t="n"/>
      <c r="AU118" s="318" t="n"/>
      <c r="AV118" s="317" t="n"/>
      <c r="AW118" s="257" t="n"/>
      <c r="AX118" s="258" t="n"/>
      <c r="AY118" s="159" t="inlineStr">
        <is>
          <t>Unicité au sein de l'entité porteuse de risque</t>
        </is>
      </c>
      <c r="AZ118" s="160" t="inlineStr">
        <is>
          <t>Uniqueness within the entity bearing the risk</t>
        </is>
      </c>
      <c r="BA118" s="257" t="n">
        <v>7</v>
      </c>
      <c r="BB118" s="320" t="inlineStr">
        <is>
          <t>TU0001</t>
        </is>
      </c>
      <c r="BC118" s="316" t="n"/>
      <c r="BD118" s="317" t="n"/>
      <c r="BE118" s="257" t="n"/>
      <c r="BF118" s="258" t="n"/>
      <c r="BH1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8">
        <f>_xlfn.LET(r,ROW(),oc,INDEX($A:$A,r),cv,TRIM(INDEX($Y:$Y,r)&amp;""),IF(oc&lt;&gt;"P1","",IF(cv="45","V45 - novo, nao alimentado pelo spool atual","V44 - alimentado pelo spool atual")))</f>
        <v/>
      </c>
    </row>
    <row r="119" ht="54" customFormat="1" customHeight="1" s="90">
      <c r="A119" s="306" t="inlineStr">
        <is>
          <t>F1</t>
        </is>
      </c>
      <c r="B119" s="307" t="n">
        <v>3</v>
      </c>
      <c r="C119" s="269" t="inlineStr">
        <is>
          <t>02 - Caractéristiques d'identification fonctionnelles</t>
        </is>
      </c>
      <c r="D119" s="310" t="inlineStr">
        <is>
          <t>02 - Functional identification characteristics</t>
        </is>
      </c>
      <c r="E119" s="307" t="inlineStr">
        <is>
          <t>0.3 (F1)</t>
        </is>
      </c>
      <c r="F119" s="308" t="inlineStr">
        <is>
          <t>Application source</t>
        </is>
      </c>
      <c r="G119" s="309" t="inlineStr">
        <is>
          <t>Source application</t>
        </is>
      </c>
      <c r="H119" s="309" t="n"/>
      <c r="I119" s="241" t="inlineStr">
        <is>
          <t>Correspond au code du Système d'Information utilisé en local pour générer le flux
Dans le flux Grande Clientèle, il faut préfixer par la lettre ‘C' le code application source</t>
        </is>
      </c>
      <c r="J119" s="233" t="inlineStr">
        <is>
          <t xml:space="preserve">Represents the code of the Information System used locally to generate the flow
In Corporate flow, the source application code must be prefix with the letter 'C' </t>
        </is>
      </c>
      <c r="K119" s="269" t="inlineStr">
        <is>
          <t>ND</t>
        </is>
      </c>
      <c r="L119" s="310" t="inlineStr">
        <is>
          <t>ND</t>
        </is>
      </c>
      <c r="M119" s="1420" t="inlineStr">
        <is>
          <t>AppliSource</t>
        </is>
      </c>
      <c r="N119" s="231" t="inlineStr">
        <is>
          <t>Obligatoire</t>
        </is>
      </c>
      <c r="O119" s="236" t="inlineStr">
        <is>
          <t>Mandatory</t>
        </is>
      </c>
      <c r="P119" s="994" t="inlineStr">
        <is>
          <t>NA</t>
        </is>
      </c>
      <c r="Q119" s="269" t="inlineStr">
        <is>
          <t>TA KVAPPBK</t>
        </is>
      </c>
      <c r="R119"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119"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119" s="313" t="inlineStr">
        <is>
          <t>ALPHA</t>
        </is>
      </c>
      <c r="U119" s="237" t="inlineStr">
        <is>
          <t>NA</t>
        </is>
      </c>
      <c r="V119" s="238" t="inlineStr">
        <is>
          <t>NA</t>
        </is>
      </c>
      <c r="W119" s="257" t="n">
        <v>12</v>
      </c>
      <c r="X119" s="945" t="inlineStr">
        <is>
          <t>NA</t>
        </is>
      </c>
      <c r="Y119" s="237" t="inlineStr">
        <is>
          <t>40</t>
        </is>
      </c>
      <c r="Z119" s="237" t="inlineStr">
        <is>
          <t>NA</t>
        </is>
      </c>
      <c r="AA119" s="237" t="inlineStr">
        <is>
          <t>NA</t>
        </is>
      </c>
      <c r="AB119" s="636" t="inlineStr">
        <is>
          <t>USAGE ZP</t>
        </is>
      </c>
      <c r="AC119" s="231" t="inlineStr">
        <is>
          <t>ND</t>
        </is>
      </c>
      <c r="AD119" s="315" t="inlineStr">
        <is>
          <t>N</t>
        </is>
      </c>
      <c r="AE119" s="257" t="inlineStr">
        <is>
          <t>NA</t>
        </is>
      </c>
      <c r="AF119" s="257" t="inlineStr">
        <is>
          <t>NA</t>
        </is>
      </c>
      <c r="AG119" s="258" t="inlineStr">
        <is>
          <t>NA</t>
        </is>
      </c>
      <c r="AH119" s="89" t="n"/>
      <c r="AI119" s="316" t="inlineStr">
        <is>
          <t>La donnée est obligatoire</t>
        </is>
      </c>
      <c r="AJ119" s="321" t="inlineStr">
        <is>
          <t>The data is mandatory</t>
        </is>
      </c>
      <c r="AK119" s="313" t="n"/>
      <c r="AL119" s="319" t="inlineStr">
        <is>
          <t>EN0031</t>
        </is>
      </c>
      <c r="AM119" s="210" t="inlineStr">
        <is>
          <t>Si elle est renseignée, la valeur doit être connue du Langage Commun associé</t>
        </is>
      </c>
      <c r="AN119" s="211" t="inlineStr">
        <is>
          <t>If specified, the value must be known to the associated Common Language</t>
        </is>
      </c>
      <c r="AO119" s="313" t="n"/>
      <c r="AP119" s="258" t="inlineStr">
        <is>
          <t>EN0035</t>
        </is>
      </c>
      <c r="AQ119" s="318" t="n"/>
      <c r="AR119" s="317" t="n"/>
      <c r="AS119" s="257" t="n"/>
      <c r="AT119" s="258" t="n"/>
      <c r="AU119" s="318" t="n"/>
      <c r="AV119" s="317" t="n"/>
      <c r="AW119" s="257" t="n"/>
      <c r="AX119" s="258" t="n"/>
      <c r="AY119" s="318" t="n"/>
      <c r="AZ119" s="317" t="n"/>
      <c r="BA119" s="257" t="n"/>
      <c r="BB119" s="258" t="n"/>
      <c r="BC119" s="316" t="n"/>
      <c r="BD119" s="317" t="n"/>
      <c r="BE119" s="257" t="n"/>
      <c r="BF119" s="258" t="n"/>
      <c r="BG119" s="89" t="n"/>
      <c r="BH1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9">
        <f>_xlfn.LET(r,ROW(),oc,INDEX($A:$A,r),cv,TRIM(INDEX($Y:$Y,r)&amp;""),IF(oc&lt;&gt;"P1","",IF(cv="45","V45 - novo, nao alimentado pelo spool atual","V44 - alimentado pelo spool atual")))</f>
        <v/>
      </c>
    </row>
    <row r="120" ht="54" customFormat="1" customHeight="1" s="90">
      <c r="A120" s="306" t="inlineStr">
        <is>
          <t>F1</t>
        </is>
      </c>
      <c r="B120" s="307" t="n">
        <v>4</v>
      </c>
      <c r="C120" s="269" t="inlineStr">
        <is>
          <t>01 - Caractéristiques d'identification techniques</t>
        </is>
      </c>
      <c r="D120" s="310" t="inlineStr">
        <is>
          <t>01 - Technical identification characteristics</t>
        </is>
      </c>
      <c r="E120" s="307" t="inlineStr">
        <is>
          <t>0.4 (F1)</t>
        </is>
      </c>
      <c r="F120" s="308" t="inlineStr">
        <is>
          <t>Fréquence de transmission</t>
        </is>
      </c>
      <c r="G120" s="309" t="inlineStr">
        <is>
          <t>Transmission frequency</t>
        </is>
      </c>
      <c r="H120" s="309" t="n"/>
      <c r="I120" s="234" t="inlineStr">
        <is>
          <t>Permet d'identifier le flux dans les traitements</t>
        </is>
      </c>
      <c r="J120" s="235" t="inlineStr">
        <is>
          <t>Makes it possible to identify the flow in the treatments</t>
        </is>
      </c>
      <c r="K120" s="269" t="inlineStr">
        <is>
          <t>ND</t>
        </is>
      </c>
      <c r="L120" s="310" t="inlineStr">
        <is>
          <t>ND</t>
        </is>
      </c>
      <c r="M120" s="1420" t="inlineStr">
        <is>
          <t>FreqTrans</t>
        </is>
      </c>
      <c r="N120" s="231" t="inlineStr">
        <is>
          <t>Obligatoire</t>
        </is>
      </c>
      <c r="O120" s="236" t="inlineStr">
        <is>
          <t>Mandatory</t>
        </is>
      </c>
      <c r="P120" s="269" t="inlineStr">
        <is>
          <t>NA</t>
        </is>
      </c>
      <c r="Q120" s="269" t="inlineStr">
        <is>
          <t>NA</t>
        </is>
      </c>
      <c r="R120" s="234" t="inlineStr">
        <is>
          <t>La seule valeur admise est 'M' pour mensuel</t>
        </is>
      </c>
      <c r="S120" s="235" t="inlineStr">
        <is>
          <t>The only permitted value is 'M' for month</t>
        </is>
      </c>
      <c r="T120" s="313" t="inlineStr">
        <is>
          <t>ALPHA</t>
        </is>
      </c>
      <c r="U120" s="237" t="inlineStr">
        <is>
          <t>NA</t>
        </is>
      </c>
      <c r="V120" s="238" t="inlineStr">
        <is>
          <t>NA</t>
        </is>
      </c>
      <c r="W120" s="257" t="n">
        <v>1</v>
      </c>
      <c r="X120" s="945" t="inlineStr">
        <is>
          <t>NA</t>
        </is>
      </c>
      <c r="Y120" s="237" t="inlineStr">
        <is>
          <t>40</t>
        </is>
      </c>
      <c r="Z120" s="237" t="inlineStr">
        <is>
          <t>NA</t>
        </is>
      </c>
      <c r="AA120" s="237" t="inlineStr">
        <is>
          <t>NA</t>
        </is>
      </c>
      <c r="AB120" s="636" t="inlineStr">
        <is>
          <t>USAGE ZP</t>
        </is>
      </c>
      <c r="AC120" s="231" t="inlineStr">
        <is>
          <t>ND</t>
        </is>
      </c>
      <c r="AD120" s="315" t="inlineStr">
        <is>
          <t>N</t>
        </is>
      </c>
      <c r="AE120" s="257" t="inlineStr">
        <is>
          <t>NA</t>
        </is>
      </c>
      <c r="AF120" s="257" t="inlineStr">
        <is>
          <t>NA</t>
        </is>
      </c>
      <c r="AG120" s="258" t="inlineStr">
        <is>
          <t>NA</t>
        </is>
      </c>
      <c r="AH120" s="89" t="n"/>
      <c r="AI120" s="316" t="inlineStr">
        <is>
          <t>La donnée est obligatoire</t>
        </is>
      </c>
      <c r="AJ120" s="317" t="inlineStr">
        <is>
          <t>The data is mandatory</t>
        </is>
      </c>
      <c r="AK120" s="257" t="n"/>
      <c r="AL120" s="258" t="inlineStr">
        <is>
          <t>EN0041</t>
        </is>
      </c>
      <c r="AM120" s="318" t="n"/>
      <c r="AN120" s="317" t="n"/>
      <c r="AO120" s="257" t="n"/>
      <c r="AP120" s="258" t="n"/>
      <c r="AQ120" s="318" t="inlineStr">
        <is>
          <t>Si renseignée, la donnée doit être égale à 'M' ou 'C'.</t>
        </is>
      </c>
      <c r="AR120" s="317" t="inlineStr">
        <is>
          <t>If filled in, the data must be equal to 'M' or 'C'.</t>
        </is>
      </c>
      <c r="AS120" s="257" t="n"/>
      <c r="AT120" s="258" t="inlineStr">
        <is>
          <t>EN0043</t>
        </is>
      </c>
      <c r="AU120" s="318" t="n"/>
      <c r="AV120" s="317" t="n"/>
      <c r="AW120" s="257" t="n"/>
      <c r="AX120" s="258" t="n"/>
      <c r="AY120" s="318" t="n"/>
      <c r="AZ120" s="317" t="n"/>
      <c r="BA120" s="257" t="n"/>
      <c r="BB120" s="258" t="n"/>
      <c r="BC120" s="316" t="n"/>
      <c r="BD120" s="317" t="n"/>
      <c r="BE120" s="257" t="n"/>
      <c r="BF120" s="258" t="n"/>
      <c r="BG120" s="89" t="n"/>
      <c r="BH1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0">
        <f>_xlfn.LET(r,ROW(),oc,INDEX($A:$A,r),cv,TRIM(INDEX($Y:$Y,r)&amp;""),IF(oc&lt;&gt;"P1","",IF(cv="45","V45 - novo, nao alimentado pelo spool atual","V44 - alimentado pelo spool atual")))</f>
        <v/>
      </c>
    </row>
    <row r="121" ht="54" customFormat="1" customHeight="1" s="90">
      <c r="A121" s="306" t="inlineStr">
        <is>
          <t>F1</t>
        </is>
      </c>
      <c r="B121" s="307" t="n">
        <v>5</v>
      </c>
      <c r="C121" s="269" t="inlineStr">
        <is>
          <t>01 - Caractéristiques d'identification techniques</t>
        </is>
      </c>
      <c r="D121" s="310" t="inlineStr">
        <is>
          <t>01 - Technical identification characteristics</t>
        </is>
      </c>
      <c r="E121" s="307" t="inlineStr">
        <is>
          <t>0.5 (F1)</t>
        </is>
      </c>
      <c r="F121" s="308" t="inlineStr">
        <is>
          <t>Date et Heure de traitement</t>
        </is>
      </c>
      <c r="G121" s="309" t="inlineStr">
        <is>
          <t>Date and time of processing</t>
        </is>
      </c>
      <c r="H121" s="309" t="n"/>
      <c r="I121" s="234" t="inlineStr">
        <is>
          <t>Correspond à la date et heure du début du traitement ayant produit le flux</t>
        </is>
      </c>
      <c r="J121" s="235" t="inlineStr">
        <is>
          <t>Represents the date and time at which treatment began</t>
        </is>
      </c>
      <c r="K121" s="269" t="inlineStr">
        <is>
          <t>ND</t>
        </is>
      </c>
      <c r="L121" s="310" t="inlineStr">
        <is>
          <t>ND</t>
        </is>
      </c>
      <c r="M121" s="1420" t="inlineStr">
        <is>
          <t>DtHeureTrait</t>
        </is>
      </c>
      <c r="N121" s="231" t="inlineStr">
        <is>
          <t>Obligatoire</t>
        </is>
      </c>
      <c r="O121" s="236" t="inlineStr">
        <is>
          <t>Mandatory</t>
        </is>
      </c>
      <c r="P121" s="269" t="inlineStr">
        <is>
          <t>NA</t>
        </is>
      </c>
      <c r="Q121" s="269" t="inlineStr">
        <is>
          <t>NA</t>
        </is>
      </c>
      <c r="R121" s="234" t="inlineStr">
        <is>
          <t>Unicité obligatoire au sein d'un Lot déterminé</t>
        </is>
      </c>
      <c r="S121" s="235" t="inlineStr">
        <is>
          <t>Has to be unique within a specific Batch</t>
        </is>
      </c>
      <c r="T121" s="313" t="inlineStr">
        <is>
          <t>ALPHA</t>
        </is>
      </c>
      <c r="U121" s="237" t="inlineStr">
        <is>
          <t>NA</t>
        </is>
      </c>
      <c r="V121" s="238" t="inlineStr">
        <is>
          <t>NA</t>
        </is>
      </c>
      <c r="W121" s="257" t="n">
        <v>12</v>
      </c>
      <c r="X121" s="945" t="inlineStr">
        <is>
          <t>NA</t>
        </is>
      </c>
      <c r="Y121" s="237" t="inlineStr">
        <is>
          <t>40</t>
        </is>
      </c>
      <c r="Z121" s="237" t="inlineStr">
        <is>
          <t>NA</t>
        </is>
      </c>
      <c r="AA121" s="237" t="inlineStr">
        <is>
          <t>NA</t>
        </is>
      </c>
      <c r="AB121" s="636" t="inlineStr">
        <is>
          <t>USAGE ZP</t>
        </is>
      </c>
      <c r="AC121" s="231" t="inlineStr">
        <is>
          <t>ND</t>
        </is>
      </c>
      <c r="AD121" s="315" t="inlineStr">
        <is>
          <t>N</t>
        </is>
      </c>
      <c r="AE121" s="257" t="inlineStr">
        <is>
          <t>NA</t>
        </is>
      </c>
      <c r="AF121" s="257" t="inlineStr">
        <is>
          <t>NA</t>
        </is>
      </c>
      <c r="AG121" s="258" t="inlineStr">
        <is>
          <t>NA</t>
        </is>
      </c>
      <c r="AH121" s="89" t="n"/>
      <c r="AI121" s="316" t="inlineStr">
        <is>
          <t>La donnée est obligatoire</t>
        </is>
      </c>
      <c r="AJ121" s="317" t="inlineStr">
        <is>
          <t>The data is mandatory</t>
        </is>
      </c>
      <c r="AK121" s="257" t="n"/>
      <c r="AL121" s="258" t="inlineStr">
        <is>
          <t>EN0051</t>
        </is>
      </c>
      <c r="AM121" s="318" t="n"/>
      <c r="AN121" s="317" t="n"/>
      <c r="AO121" s="257" t="n"/>
      <c r="AP121" s="258" t="n"/>
      <c r="AQ121" s="318" t="n"/>
      <c r="AR121" s="317" t="n"/>
      <c r="AS121" s="257" t="n"/>
      <c r="AT121" s="258" t="n"/>
      <c r="AU121"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121"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121" s="257" t="n"/>
      <c r="AX121" s="258" t="inlineStr">
        <is>
          <t>EN0056</t>
        </is>
      </c>
      <c r="AY121" s="318" t="n"/>
      <c r="AZ121" s="317" t="n"/>
      <c r="BA121" s="257" t="n"/>
      <c r="BB121" s="258" t="n"/>
      <c r="BC121" s="316" t="n"/>
      <c r="BD121" s="317" t="n"/>
      <c r="BE121" s="257" t="n"/>
      <c r="BF121" s="258" t="n"/>
      <c r="BG121" s="89" t="n"/>
      <c r="BH1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1">
        <f>_xlfn.LET(r,ROW(),oc,INDEX($A:$A,r),cv,TRIM(INDEX($Y:$Y,r)&amp;""),IF(oc&lt;&gt;"P1","",IF(cv="45","V45 - novo, nao alimentado pelo spool atual","V44 - alimentado pelo spool atual")))</f>
        <v/>
      </c>
    </row>
    <row r="122" ht="54" customFormat="1" customHeight="1" s="90">
      <c r="A122" s="306" t="inlineStr">
        <is>
          <t>F1</t>
        </is>
      </c>
      <c r="B122" s="307" t="n">
        <v>6</v>
      </c>
      <c r="C122" s="269" t="inlineStr">
        <is>
          <t>01 - Caractéristiques d'identification techniques</t>
        </is>
      </c>
      <c r="D122" s="310" t="inlineStr">
        <is>
          <t>01 - Technical identification characteristics</t>
        </is>
      </c>
      <c r="E122" s="307" t="inlineStr">
        <is>
          <t>0.6 (F1)</t>
        </is>
      </c>
      <c r="F122" s="308" t="inlineStr">
        <is>
          <t>Type d'enregistrement</t>
        </is>
      </c>
      <c r="G122" s="309" t="inlineStr">
        <is>
          <t>Record type</t>
        </is>
      </c>
      <c r="H122" s="309" t="n"/>
      <c r="I122" s="242" t="inlineStr">
        <is>
          <t>Caractérise le type d'enregistrement remonté par l'entité</t>
        </is>
      </c>
      <c r="J122" s="235" t="inlineStr">
        <is>
          <t>Represents the record type reported by the entity</t>
        </is>
      </c>
      <c r="K122" s="269" t="inlineStr">
        <is>
          <t>ND</t>
        </is>
      </c>
      <c r="L122" s="310" t="inlineStr">
        <is>
          <t>ND</t>
        </is>
      </c>
      <c r="M122" s="1420" t="inlineStr">
        <is>
          <t>TypEnreg</t>
        </is>
      </c>
      <c r="N122" s="231" t="inlineStr">
        <is>
          <t>Obligatoire</t>
        </is>
      </c>
      <c r="O122" s="236" t="inlineStr">
        <is>
          <t>Mandatory</t>
        </is>
      </c>
      <c r="P122" s="269" t="inlineStr">
        <is>
          <t>NA</t>
        </is>
      </c>
      <c r="Q122" s="269" t="inlineStr">
        <is>
          <t>NA</t>
        </is>
      </c>
      <c r="R122" s="311" t="inlineStr">
        <is>
          <t>Valeur admise : 'F1' (Domaine Chapeau Autorisations)</t>
        </is>
      </c>
      <c r="S122" s="312" t="inlineStr">
        <is>
          <t>Permitted value: 'F1' (Facilities Header Section)</t>
        </is>
      </c>
      <c r="T122" s="313" t="inlineStr">
        <is>
          <t>ALPHA</t>
        </is>
      </c>
      <c r="U122" s="237" t="inlineStr">
        <is>
          <t>NA</t>
        </is>
      </c>
      <c r="V122" s="238" t="inlineStr">
        <is>
          <t>NA</t>
        </is>
      </c>
      <c r="W122" s="257" t="n">
        <v>2</v>
      </c>
      <c r="X122" s="945" t="inlineStr">
        <is>
          <t>NA</t>
        </is>
      </c>
      <c r="Y122" s="237" t="inlineStr">
        <is>
          <t>40</t>
        </is>
      </c>
      <c r="Z122" s="237" t="inlineStr">
        <is>
          <t>NA</t>
        </is>
      </c>
      <c r="AA122" s="237" t="inlineStr">
        <is>
          <t>NA</t>
        </is>
      </c>
      <c r="AB122" s="636" t="inlineStr">
        <is>
          <t>USAGE ZP</t>
        </is>
      </c>
      <c r="AC122" s="231" t="inlineStr">
        <is>
          <t>ND</t>
        </is>
      </c>
      <c r="AD122" s="315" t="inlineStr">
        <is>
          <t>N</t>
        </is>
      </c>
      <c r="AE122" s="257" t="inlineStr">
        <is>
          <t>NA</t>
        </is>
      </c>
      <c r="AF122" s="257" t="inlineStr">
        <is>
          <t>NA</t>
        </is>
      </c>
      <c r="AG122" s="258" t="inlineStr">
        <is>
          <t>NA</t>
        </is>
      </c>
      <c r="AH122" s="89" t="n"/>
      <c r="AI122" s="316" t="inlineStr">
        <is>
          <t>La donnée est obligatoire</t>
        </is>
      </c>
      <c r="AJ122" s="317" t="inlineStr">
        <is>
          <t>The data is mandatory</t>
        </is>
      </c>
      <c r="AK122" s="257" t="n"/>
      <c r="AL122" s="258" t="inlineStr">
        <is>
          <t>EN0061</t>
        </is>
      </c>
      <c r="AM122" s="318" t="n"/>
      <c r="AN122" s="317" t="n"/>
      <c r="AO122" s="257" t="n"/>
      <c r="AP122" s="258" t="n"/>
      <c r="AQ122" s="322" t="inlineStr">
        <is>
          <t>Si renseignée, la donnée doit être égale à 'F1'</t>
        </is>
      </c>
      <c r="AR122" s="317" t="inlineStr">
        <is>
          <t>If filled in, the data must be equal to 'F1'</t>
        </is>
      </c>
      <c r="AS122" s="257" t="n"/>
      <c r="AT122" s="258" t="inlineStr">
        <is>
          <t>EN0061</t>
        </is>
      </c>
      <c r="AU122" s="318" t="n"/>
      <c r="AV122" s="317" t="n"/>
      <c r="AW122" s="257" t="n"/>
      <c r="AX122" s="258" t="n"/>
      <c r="AY122" s="318" t="n"/>
      <c r="AZ122" s="317" t="n"/>
      <c r="BA122" s="257" t="n"/>
      <c r="BB122" s="258" t="n"/>
      <c r="BC122" s="316" t="n"/>
      <c r="BD122" s="317" t="n"/>
      <c r="BE122" s="257" t="n"/>
      <c r="BF122" s="258" t="n"/>
      <c r="BG122" s="89" t="n"/>
      <c r="BH1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2">
        <f>_xlfn.LET(r,ROW(),oc,INDEX($A:$A,r),cv,TRIM(INDEX($Y:$Y,r)&amp;""),IF(oc&lt;&gt;"P1","",IF(cv="45","V45 - novo, nao alimentado pelo spool atual","V44 - alimentado pelo spool atual")))</f>
        <v/>
      </c>
    </row>
    <row r="123" ht="54" customFormat="1" customHeight="1" s="90">
      <c r="A123" s="306" t="inlineStr">
        <is>
          <t>F1</t>
        </is>
      </c>
      <c r="B123" s="307" t="n">
        <v>7</v>
      </c>
      <c r="C123" s="269" t="inlineStr">
        <is>
          <t>02 - Caractéristiques d'identification fonctionnelles</t>
        </is>
      </c>
      <c r="D123" s="310" t="inlineStr">
        <is>
          <t>02 - Functional identification characteristics</t>
        </is>
      </c>
      <c r="E123" s="307" t="inlineStr">
        <is>
          <t>0.7 (F1)</t>
        </is>
      </c>
      <c r="F123" s="308" t="inlineStr">
        <is>
          <t>Nature de flux (Zone réservée DRG)</t>
        </is>
      </c>
      <c r="G123" s="309" t="inlineStr">
        <is>
          <t>Nature of flow (Zone reserved for Group Risk Management Division)</t>
        </is>
      </c>
      <c r="H123" s="309" t="n"/>
      <c r="I123" s="241" t="inlineStr">
        <is>
          <t>Nature de flux (Zone réservée DRG)</t>
        </is>
      </c>
      <c r="J123" s="233" t="inlineStr">
        <is>
          <t>Nature of flow (Zone reserved for Group Risk Management Division)</t>
        </is>
      </c>
      <c r="K123" s="269" t="inlineStr">
        <is>
          <t>ND</t>
        </is>
      </c>
      <c r="L123" s="310" t="inlineStr">
        <is>
          <t>ND</t>
        </is>
      </c>
      <c r="M123" s="1420" t="inlineStr">
        <is>
          <t>NatFlux</t>
        </is>
      </c>
      <c r="N123" s="231" t="inlineStr">
        <is>
          <t>Facultatif</t>
        </is>
      </c>
      <c r="O123" s="236" t="inlineStr">
        <is>
          <t>Optional</t>
        </is>
      </c>
      <c r="P123" s="269" t="inlineStr">
        <is>
          <t>NA</t>
        </is>
      </c>
      <c r="Q123" s="269" t="inlineStr">
        <is>
          <t>NA</t>
        </is>
      </c>
      <c r="R123" s="311" t="inlineStr">
        <is>
          <t>Zone réservée DRG</t>
        </is>
      </c>
      <c r="S123" s="312" t="inlineStr">
        <is>
          <t>Zone reserved for the Group Risk Management Division</t>
        </is>
      </c>
      <c r="T123" s="313" t="inlineStr">
        <is>
          <t>ALPHA</t>
        </is>
      </c>
      <c r="U123" s="237" t="inlineStr">
        <is>
          <t>NA</t>
        </is>
      </c>
      <c r="V123" s="238" t="inlineStr">
        <is>
          <t>NA</t>
        </is>
      </c>
      <c r="W123" s="257" t="n">
        <v>1</v>
      </c>
      <c r="X123" s="945" t="inlineStr">
        <is>
          <t>NA</t>
        </is>
      </c>
      <c r="Y123" s="237" t="inlineStr">
        <is>
          <t>40</t>
        </is>
      </c>
      <c r="Z123" s="237" t="inlineStr">
        <is>
          <t>NA</t>
        </is>
      </c>
      <c r="AA123" s="237" t="inlineStr">
        <is>
          <t>NA</t>
        </is>
      </c>
      <c r="AB123" s="636" t="inlineStr">
        <is>
          <t>USAGE ZP</t>
        </is>
      </c>
      <c r="AC123" s="231" t="inlineStr">
        <is>
          <t>ND</t>
        </is>
      </c>
      <c r="AD123" s="315" t="inlineStr">
        <is>
          <t>N</t>
        </is>
      </c>
      <c r="AE123" s="257" t="inlineStr">
        <is>
          <t>NA</t>
        </is>
      </c>
      <c r="AF123" s="257" t="inlineStr">
        <is>
          <t>NA</t>
        </is>
      </c>
      <c r="AG123" s="258" t="inlineStr">
        <is>
          <t>NA</t>
        </is>
      </c>
      <c r="AH123" s="89" t="n"/>
      <c r="AI123" s="316" t="n"/>
      <c r="AJ123" s="317" t="n"/>
      <c r="AK123" s="257" t="n"/>
      <c r="AL123" s="258" t="n"/>
      <c r="AM123" s="318" t="n"/>
      <c r="AN123" s="317" t="n"/>
      <c r="AO123" s="257" t="n"/>
      <c r="AP123" s="258" t="n"/>
      <c r="AQ123" s="318" t="inlineStr">
        <is>
          <t>Si renseignée et type d'enregistrement (EN [0.6]) est différent de 'Z9', la donnée doit être égale à 'R'.</t>
        </is>
      </c>
      <c r="AR123" s="317" t="inlineStr">
        <is>
          <t>If entered and record type (EN [0.6]) is different from 'Z9', the data must be equal to 'R'.</t>
        </is>
      </c>
      <c r="AS123" s="257" t="n"/>
      <c r="AT123" s="258" t="inlineStr">
        <is>
          <t>EN0071</t>
        </is>
      </c>
      <c r="AU123"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123"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123" s="257" t="n"/>
      <c r="AX123" s="258" t="inlineStr">
        <is>
          <t>EN0071</t>
        </is>
      </c>
      <c r="AY123" s="318" t="n"/>
      <c r="AZ123" s="317" t="n"/>
      <c r="BA123" s="257" t="n"/>
      <c r="BB123" s="258" t="n"/>
      <c r="BC123" s="316" t="n"/>
      <c r="BD123" s="317" t="n"/>
      <c r="BE123" s="257" t="n"/>
      <c r="BF123" s="258" t="n"/>
      <c r="BG123" s="89" t="n"/>
      <c r="BH1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3">
        <f>_xlfn.LET(r,ROW(),oc,INDEX($A:$A,r),cv,TRIM(INDEX($Y:$Y,r)&amp;""),IF(oc&lt;&gt;"P1","",IF(cv="45","V45 - novo, nao alimentado pelo spool atual","V44 - alimentado pelo spool atual")))</f>
        <v/>
      </c>
    </row>
    <row r="124" ht="54" customFormat="1" customHeight="1" s="90">
      <c r="A124" s="306" t="inlineStr">
        <is>
          <t>F1</t>
        </is>
      </c>
      <c r="B124" s="307" t="n">
        <v>8</v>
      </c>
      <c r="C124" s="269" t="inlineStr">
        <is>
          <t>02 - Caractéristiques d'identification fonctionnelles</t>
        </is>
      </c>
      <c r="D124" s="310" t="inlineStr">
        <is>
          <t>02 - Functional identification characteristics</t>
        </is>
      </c>
      <c r="E124" s="307" t="inlineStr">
        <is>
          <t>0.8 (F1)</t>
        </is>
      </c>
      <c r="F124" s="308" t="inlineStr">
        <is>
          <t>Centre de Responsabilité Comptable (Zone réservée CAsa social)</t>
        </is>
      </c>
      <c r="G124" s="309" t="inlineStr">
        <is>
          <t>Accounting responsibility center (Zone reserved for Crédit Agricole S.A. Holding)</t>
        </is>
      </c>
      <c r="H124" s="309" t="n"/>
      <c r="I124" s="241" t="inlineStr">
        <is>
          <t>Pour Crédit Agricole SA entité sociale, indique le numéro de CRC (Centre de Responsabilité Comptable) concerné</t>
        </is>
      </c>
      <c r="J124" s="233" t="inlineStr">
        <is>
          <t>For CASAes entity, indicate the relevant CRC (Center of accounting responsability) number</t>
        </is>
      </c>
      <c r="K124" s="269" t="inlineStr">
        <is>
          <t>ND</t>
        </is>
      </c>
      <c r="L124" s="310" t="inlineStr">
        <is>
          <t>ND</t>
        </is>
      </c>
      <c r="M124" s="1420" t="inlineStr">
        <is>
          <t>ZoneResCasa</t>
        </is>
      </c>
      <c r="N124" s="231" t="inlineStr">
        <is>
          <t>Facultatif</t>
        </is>
      </c>
      <c r="O124" s="236" t="inlineStr">
        <is>
          <t>Optional</t>
        </is>
      </c>
      <c r="P124" s="269" t="inlineStr">
        <is>
          <t>LC.0072</t>
        </is>
      </c>
      <c r="Q124" s="269" t="inlineStr">
        <is>
          <t>TA KVCRC</t>
        </is>
      </c>
      <c r="R124" s="311" t="inlineStr">
        <is>
          <t>Zone exploitée uniquement par les entités déclarant les risques portés par Crédit Agricole S.A.
Décomposition comptable du Siège en Activités (comptabilités auxiliaires). Permet de gérer les opérations pour compte propre Casa</t>
        </is>
      </c>
      <c r="S124" s="312" t="inlineStr">
        <is>
          <t>Zone only used for entities reporting risks borne by Crédit Agricole S.A.
Accounting breakdown of HQ into Activities (sub-ledgers). Makes it possible to manage Crédit Agricole S.A. proprietary trading</t>
        </is>
      </c>
      <c r="T124" s="313" t="inlineStr">
        <is>
          <t xml:space="preserve"> ALPHA</t>
        </is>
      </c>
      <c r="U124" s="237" t="inlineStr">
        <is>
          <t>NA</t>
        </is>
      </c>
      <c r="V124" s="238" t="inlineStr">
        <is>
          <t>NA</t>
        </is>
      </c>
      <c r="W124" s="257" t="n">
        <v>2</v>
      </c>
      <c r="X124" s="945" t="inlineStr">
        <is>
          <t>NA</t>
        </is>
      </c>
      <c r="Y124" s="237" t="inlineStr">
        <is>
          <t>40</t>
        </is>
      </c>
      <c r="Z124" s="237" t="inlineStr">
        <is>
          <t>NA</t>
        </is>
      </c>
      <c r="AA124" s="237" t="inlineStr">
        <is>
          <t>NA</t>
        </is>
      </c>
      <c r="AB124" s="636" t="inlineStr">
        <is>
          <t>USAGE ZP</t>
        </is>
      </c>
      <c r="AC124" s="231" t="inlineStr">
        <is>
          <t>ND</t>
        </is>
      </c>
      <c r="AD124" s="315" t="inlineStr">
        <is>
          <t>N</t>
        </is>
      </c>
      <c r="AE124" s="257" t="inlineStr">
        <is>
          <t>NA</t>
        </is>
      </c>
      <c r="AF124" s="257" t="inlineStr">
        <is>
          <t>NA</t>
        </is>
      </c>
      <c r="AG124" s="258" t="inlineStr">
        <is>
          <t>NA</t>
        </is>
      </c>
      <c r="AH124" s="89" t="n"/>
      <c r="AI124" s="1057" t="n"/>
      <c r="AJ124" s="317" t="n"/>
      <c r="AK124" s="257" t="n"/>
      <c r="AL124" s="258" t="n"/>
      <c r="AM124" s="318" t="inlineStr">
        <is>
          <t>Si elle est renseignée, la valeur doit être connue du Langage Commun associé</t>
        </is>
      </c>
      <c r="AN124" s="317" t="inlineStr">
        <is>
          <t>If specified, the value must be known to the associated Common Language</t>
        </is>
      </c>
      <c r="AO124" s="257" t="n">
        <v>7</v>
      </c>
      <c r="AP124" s="258" t="inlineStr">
        <is>
          <t>TIG0001</t>
        </is>
      </c>
      <c r="AQ124" s="318" t="n"/>
      <c r="AR124" s="317" t="n"/>
      <c r="AS124" s="257" t="n"/>
      <c r="AT124" s="258" t="n"/>
      <c r="AU124" s="318" t="n"/>
      <c r="AV124" s="317" t="n"/>
      <c r="AW124" s="257" t="n"/>
      <c r="AX124" s="258" t="n"/>
      <c r="AY124" s="318" t="n"/>
      <c r="AZ124" s="317" t="n"/>
      <c r="BA124" s="257" t="n"/>
      <c r="BB124" s="258" t="n"/>
      <c r="BC124" s="316" t="n"/>
      <c r="BD124" s="317" t="n"/>
      <c r="BE124" s="257" t="n"/>
      <c r="BF124" s="258" t="n"/>
      <c r="BG124" s="89" t="n"/>
      <c r="BH1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4">
        <f>_xlfn.LET(r,ROW(),oc,INDEX($A:$A,r),cv,TRIM(INDEX($Y:$Y,r)&amp;""),IF(oc&lt;&gt;"P1","",IF(cv="45","V45 - novo, nao alimentado pelo spool atual","V44 - alimentado pelo spool atual")))</f>
        <v/>
      </c>
    </row>
    <row r="125" ht="54" customFormat="1" customHeight="1" s="90">
      <c r="A125" s="306" t="inlineStr">
        <is>
          <t>F1</t>
        </is>
      </c>
      <c r="B125" s="307" t="n">
        <v>9</v>
      </c>
      <c r="C125" s="269" t="inlineStr">
        <is>
          <t>02 - Caractéristiques d'identification fonctionnelles</t>
        </is>
      </c>
      <c r="D125" s="310" t="inlineStr">
        <is>
          <t>02 - Functional identification characteristics</t>
        </is>
      </c>
      <c r="E125" s="307" t="inlineStr">
        <is>
          <t>0.9 (F1)</t>
        </is>
      </c>
      <c r="F125" s="308" t="inlineStr">
        <is>
          <t>Unité d'exploitation (Zone réservée CACIB)</t>
        </is>
      </c>
      <c r="G125" s="309" t="inlineStr">
        <is>
          <t>Operating unit in the risk taker (Zone reserved for CACIB)</t>
        </is>
      </c>
      <c r="H125" s="309" t="n"/>
      <c r="I125" s="241" t="inlineStr">
        <is>
          <t>Permet d'indiquer l'unité d'exploitation</t>
        </is>
      </c>
      <c r="J125" s="233" t="inlineStr">
        <is>
          <t>Allows to indicate operating unit in the risk taker entity</t>
        </is>
      </c>
      <c r="K125" s="269" t="inlineStr">
        <is>
          <t>ND</t>
        </is>
      </c>
      <c r="L125" s="310" t="inlineStr">
        <is>
          <t>ND</t>
        </is>
      </c>
      <c r="M125" s="1420" t="inlineStr">
        <is>
          <t>UniteExploit</t>
        </is>
      </c>
      <c r="N125" s="231" t="inlineStr">
        <is>
          <t>Obligatoire sous conditions</t>
        </is>
      </c>
      <c r="O125" s="236" t="inlineStr">
        <is>
          <t>Mandatory under conditions</t>
        </is>
      </c>
      <c r="P125" s="994" t="inlineStr">
        <is>
          <t>NA</t>
        </is>
      </c>
      <c r="Q125" s="269" t="inlineStr">
        <is>
          <t>NA</t>
        </is>
      </c>
      <c r="R125" s="311" t="inlineStr">
        <is>
          <t xml:space="preserve"> Réservé CACIB - laisser à vide si non concerné</t>
        </is>
      </c>
      <c r="S125" s="312" t="inlineStr">
        <is>
          <t>Zone reserved for CACIB. Leave empty if not concerned</t>
        </is>
      </c>
      <c r="T125" s="313" t="inlineStr">
        <is>
          <t xml:space="preserve"> ALPHA</t>
        </is>
      </c>
      <c r="U125" s="237" t="inlineStr">
        <is>
          <t>NA</t>
        </is>
      </c>
      <c r="V125" s="238" t="inlineStr">
        <is>
          <t>NA</t>
        </is>
      </c>
      <c r="W125" s="257" t="n">
        <v>4</v>
      </c>
      <c r="X125" s="945" t="inlineStr">
        <is>
          <t>NA</t>
        </is>
      </c>
      <c r="Y125" s="237" t="inlineStr">
        <is>
          <t>40</t>
        </is>
      </c>
      <c r="Z125" s="237" t="inlineStr">
        <is>
          <t>NA</t>
        </is>
      </c>
      <c r="AA125" s="237" t="inlineStr">
        <is>
          <t>NA</t>
        </is>
      </c>
      <c r="AB125" s="636" t="inlineStr">
        <is>
          <t>USAGE ZP</t>
        </is>
      </c>
      <c r="AC125" s="231" t="inlineStr">
        <is>
          <t>ND</t>
        </is>
      </c>
      <c r="AD125" s="315" t="inlineStr">
        <is>
          <t>N</t>
        </is>
      </c>
      <c r="AE125" s="257" t="inlineStr">
        <is>
          <t>NA</t>
        </is>
      </c>
      <c r="AF125" s="257" t="inlineStr">
        <is>
          <t>NA</t>
        </is>
      </c>
      <c r="AG125" s="258" t="inlineStr">
        <is>
          <t>NA</t>
        </is>
      </c>
      <c r="AH125" s="89" t="n"/>
      <c r="AI125" s="323" t="inlineStr">
        <is>
          <t>La donnée est obligatoire si le Type d'enregistrement [0.6 (F1)] est différent de 'C1' et de 'Z9', et que, dans la table START "TA 0990 KVAPPBK", KVBAPPID commence par 'CACI' pour le KVAPPBK valant la concaténation "Entité porteuse de risque" [0.2 (F1)] et "Application source" [0.3 (F1)]</t>
        </is>
      </c>
      <c r="AJ125" s="317" t="inlineStr">
        <is>
          <t>The data is mandatory if the record type [0.6 (F1)] is different from 'C1' and 'Z9', and in the START table "TA 0990 KVAPPBK", KVBAPPID starts with 'CACI' for the KVAPPBK with the concatenation 'Risk taker entity' [0.2 (F1)]and 'Source application' [0.3 (F1)]</t>
        </is>
      </c>
      <c r="AK125" s="257" t="n"/>
      <c r="AL125" s="258" t="inlineStr">
        <is>
          <t>EN0091</t>
        </is>
      </c>
      <c r="AM125" s="324" t="inlineStr">
        <is>
          <t>Si renseignée, et si le type d'enregistrement [0.6 (F1] est différent de 'C1' et de 'Z9' :
1/ Si dans la table START "TA 0990 KVAPPBK", KVBAPPID commence par 'CACI' pour le KVAPPBK valant la concaténation "Entité porteuse de risque" [0.2 (F1)] et "Application source" [0.3 (F1)], alors, dans la table START "TA TMTAKOBU", la concaténation 'CA-CIB' + un blanc + [0.9 (F1)] + "_" + [0.2 (F1)] doit être présente dans le champ TMNOMOBU.
2/ Sinon, dans la table START "TA TMTAKOBU", la concaténation des 9 premiers caractères du BAPPID + '_' + 0.9 (F1)] doit être présente dans le champ TMNOMOBU.</t>
        </is>
      </c>
      <c r="AN125" s="317" t="inlineStr">
        <is>
          <t>If filled in, and the type of record [0.6 (F1] is different from 'C1' and 'Z9':
1/ If in the START table "TA 0990 KVAPPBK", KVBAPPID starts with "CACI" for the KVAPPBK with the concatenation "risk carrying Entity" [0.2 (F1)] and "Source application" [0.3 (F1)], then in the START table "TA TMTAKOBU", the concatenation 'CA-CIB' + a blank + [0.9 (F1)] + "_" + [0.2 (F1)] must be present in the TMNOMOBU field.
2/ Otherwise, in the START table "TA TMTAKOBU", the concatenation of the first 9 characters of the BAPPID + '_' + [0.9 (F1)] must be present in the TMNOMOBU field.</t>
        </is>
      </c>
      <c r="AO125" s="257" t="n"/>
      <c r="AP125" s="258" t="inlineStr">
        <is>
          <t>EN0092</t>
        </is>
      </c>
      <c r="AQ125" s="318" t="n"/>
      <c r="AR125" s="317" t="n"/>
      <c r="AS125" s="257" t="n"/>
      <c r="AT125" s="258" t="n"/>
      <c r="AU125" s="318" t="n"/>
      <c r="AV125" s="317" t="n"/>
      <c r="AW125" s="257" t="n"/>
      <c r="AX125" s="258" t="n"/>
      <c r="AY125" s="318" t="n"/>
      <c r="AZ125" s="317" t="n"/>
      <c r="BA125" s="257" t="n"/>
      <c r="BB125" s="258" t="n"/>
      <c r="BC125" s="316" t="n"/>
      <c r="BD125" s="317" t="n"/>
      <c r="BE125" s="257" t="n"/>
      <c r="BF125" s="258" t="n"/>
      <c r="BG125" s="89" t="n"/>
      <c r="BH1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5">
        <f>_xlfn.LET(r,ROW(),oc,INDEX($A:$A,r),cv,TRIM(INDEX($Y:$Y,r)&amp;""),IF(oc&lt;&gt;"P1","",IF(cv="45","V45 - novo, nao alimentado pelo spool atual","V44 - alimentado pelo spool atual")))</f>
        <v/>
      </c>
    </row>
    <row r="126" ht="54" customFormat="1" customHeight="1" s="55">
      <c r="A126" s="325" t="inlineStr">
        <is>
          <t>F1</t>
        </is>
      </c>
      <c r="B126" s="326" t="n">
        <v>10</v>
      </c>
      <c r="C126" s="284" t="inlineStr">
        <is>
          <t>NA</t>
        </is>
      </c>
      <c r="D126" s="284" t="inlineStr">
        <is>
          <t>NA</t>
        </is>
      </c>
      <c r="E126" s="326" t="inlineStr">
        <is>
          <t>0.99 (F1)</t>
        </is>
      </c>
      <c r="F126" s="327" t="inlineStr">
        <is>
          <t>Filler</t>
        </is>
      </c>
      <c r="G126" s="327" t="inlineStr">
        <is>
          <t>Filler</t>
        </is>
      </c>
      <c r="H126" s="327" t="n"/>
      <c r="I126" s="247" t="inlineStr">
        <is>
          <t>Zone libre</t>
        </is>
      </c>
      <c r="J126" s="245" t="inlineStr">
        <is>
          <t>Free zone</t>
        </is>
      </c>
      <c r="K126" s="284" t="inlineStr">
        <is>
          <t>NA</t>
        </is>
      </c>
      <c r="L126" s="284" t="inlineStr">
        <is>
          <t>NA</t>
        </is>
      </c>
      <c r="M126" s="1421" t="inlineStr">
        <is>
          <t>ZoneLibre0</t>
        </is>
      </c>
      <c r="N126" s="328" t="inlineStr">
        <is>
          <t>NA</t>
        </is>
      </c>
      <c r="O126" s="284" t="inlineStr">
        <is>
          <t>NA</t>
        </is>
      </c>
      <c r="P126" s="284" t="inlineStr">
        <is>
          <t>NA</t>
        </is>
      </c>
      <c r="Q126" s="284" t="inlineStr">
        <is>
          <t>NA</t>
        </is>
      </c>
      <c r="R126" s="247" t="inlineStr">
        <is>
          <t>Laisser à vide</t>
        </is>
      </c>
      <c r="S126" s="247" t="inlineStr">
        <is>
          <t>Leave empty</t>
        </is>
      </c>
      <c r="T126" s="326" t="inlineStr">
        <is>
          <t>ALPHA</t>
        </is>
      </c>
      <c r="U126" s="248" t="inlineStr">
        <is>
          <t>NA</t>
        </is>
      </c>
      <c r="V126" s="248" t="inlineStr">
        <is>
          <t>NA</t>
        </is>
      </c>
      <c r="W126" s="284" t="n">
        <v>3</v>
      </c>
      <c r="X126" s="244" t="inlineStr">
        <is>
          <t>NA</t>
        </is>
      </c>
      <c r="Y126" s="248" t="inlineStr">
        <is>
          <t>NA</t>
        </is>
      </c>
      <c r="Z126" s="248" t="inlineStr">
        <is>
          <t>NA</t>
        </is>
      </c>
      <c r="AA126" s="248" t="inlineStr">
        <is>
          <t>NA</t>
        </is>
      </c>
      <c r="AB126" s="328" t="inlineStr">
        <is>
          <t>NA</t>
        </is>
      </c>
      <c r="AC126" s="244" t="inlineStr">
        <is>
          <t>NA</t>
        </is>
      </c>
      <c r="AD126" s="328" t="inlineStr">
        <is>
          <t>N</t>
        </is>
      </c>
      <c r="AE126" s="284" t="inlineStr">
        <is>
          <t>NA</t>
        </is>
      </c>
      <c r="AF126" s="284" t="inlineStr">
        <is>
          <t>NA</t>
        </is>
      </c>
      <c r="AG126" s="285" t="inlineStr">
        <is>
          <t>NA</t>
        </is>
      </c>
      <c r="AH126" s="89" t="n"/>
      <c r="AI126" s="330" t="n"/>
      <c r="AJ126" s="331" t="n"/>
      <c r="AK126" s="284" t="n"/>
      <c r="AL126" s="285" t="n"/>
      <c r="AM126" s="331" t="n"/>
      <c r="AN126" s="331" t="n"/>
      <c r="AO126" s="284" t="n"/>
      <c r="AP126" s="285" t="n"/>
      <c r="AQ126" s="331" t="n"/>
      <c r="AR126" s="331" t="n"/>
      <c r="AS126" s="284" t="n"/>
      <c r="AT126" s="285" t="n"/>
      <c r="AU126" s="331" t="n"/>
      <c r="AV126" s="331" t="n"/>
      <c r="AW126" s="284" t="n"/>
      <c r="AX126" s="285" t="n"/>
      <c r="AY126" s="331" t="n"/>
      <c r="AZ126" s="331" t="n"/>
      <c r="BA126" s="284" t="n"/>
      <c r="BB126" s="285" t="n"/>
      <c r="BC126" s="330" t="n"/>
      <c r="BD126" s="331" t="n"/>
      <c r="BE126" s="284" t="n"/>
      <c r="BF126" s="285" t="n"/>
      <c r="BG126" s="89" t="n"/>
      <c r="BH1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6">
        <f>_xlfn.LET(r,ROW(),oc,INDEX($A:$A,r),cv,TRIM(INDEX($Y:$Y,r)&amp;""),IF(oc&lt;&gt;"P1","",IF(cv="45","V45 - novo, nao alimentado pelo spool atual","V44 - alimentado pelo spool atual")))</f>
        <v/>
      </c>
    </row>
    <row r="127" ht="54" customFormat="1" customHeight="1" s="55">
      <c r="A127" s="325" t="inlineStr">
        <is>
          <t>F1</t>
        </is>
      </c>
      <c r="B127" s="326" t="n">
        <v>11</v>
      </c>
      <c r="C127" s="284" t="inlineStr">
        <is>
          <t>NA</t>
        </is>
      </c>
      <c r="D127" s="244" t="inlineStr">
        <is>
          <t>NA</t>
        </is>
      </c>
      <c r="E127" s="326" t="inlineStr">
        <is>
          <t>1.1 (F1)</t>
        </is>
      </c>
      <c r="F127" s="327" t="inlineStr">
        <is>
          <t>Identifiant local du tiers en risque</t>
        </is>
      </c>
      <c r="G127" s="327" t="inlineStr">
        <is>
          <t>Local identifier for the counterparty</t>
        </is>
      </c>
      <c r="H127" s="327" t="n"/>
      <c r="I127" s="245" t="inlineStr">
        <is>
          <t>Identifiant du tiers dans le système utilisé pour générer le PACT</t>
        </is>
      </c>
      <c r="J127" s="245" t="inlineStr">
        <is>
          <t>ID of external counterparty in the system used to generate the PACT</t>
        </is>
      </c>
      <c r="K127" s="284" t="inlineStr">
        <is>
          <t>NA</t>
        </is>
      </c>
      <c r="L127" s="284" t="inlineStr">
        <is>
          <t>NA</t>
        </is>
      </c>
      <c r="M127" s="1421" t="inlineStr">
        <is>
          <t>IdLocalTiersRisq</t>
        </is>
      </c>
      <c r="N127" s="328" t="inlineStr">
        <is>
          <t>NA</t>
        </is>
      </c>
      <c r="O127" s="284" t="inlineStr">
        <is>
          <t>NA</t>
        </is>
      </c>
      <c r="P127" s="284" t="inlineStr">
        <is>
          <t>NA</t>
        </is>
      </c>
      <c r="Q127" s="284" t="inlineStr">
        <is>
          <t>NA</t>
        </is>
      </c>
      <c r="R127" s="247" t="inlineStr">
        <is>
          <t>Laisser à vide</t>
        </is>
      </c>
      <c r="S127" s="247" t="inlineStr">
        <is>
          <t>Leave empty</t>
        </is>
      </c>
      <c r="T127" s="326" t="inlineStr">
        <is>
          <t>ALPHA</t>
        </is>
      </c>
      <c r="U127" s="248" t="inlineStr">
        <is>
          <t>NA</t>
        </is>
      </c>
      <c r="V127" s="248" t="inlineStr">
        <is>
          <t>NA</t>
        </is>
      </c>
      <c r="W127" s="284" t="n">
        <v>20</v>
      </c>
      <c r="X127" s="244" t="inlineStr">
        <is>
          <t>NA</t>
        </is>
      </c>
      <c r="Y127" s="248" t="inlineStr">
        <is>
          <t>NA</t>
        </is>
      </c>
      <c r="Z127" s="248" t="n">
        <v>43</v>
      </c>
      <c r="AA127" s="248" t="inlineStr">
        <is>
          <t>NA</t>
        </is>
      </c>
      <c r="AB127" s="328" t="inlineStr">
        <is>
          <t>NA</t>
        </is>
      </c>
      <c r="AC127" s="244" t="inlineStr">
        <is>
          <t>NA</t>
        </is>
      </c>
      <c r="AD127" s="328" t="inlineStr">
        <is>
          <t>N</t>
        </is>
      </c>
      <c r="AE127" s="284" t="inlineStr">
        <is>
          <t>NA</t>
        </is>
      </c>
      <c r="AF127" s="284" t="inlineStr">
        <is>
          <t>NA</t>
        </is>
      </c>
      <c r="AG127" s="285" t="inlineStr">
        <is>
          <t>NA</t>
        </is>
      </c>
      <c r="AH127" s="89" t="n"/>
      <c r="AI127" s="330" t="n"/>
      <c r="AJ127" s="331" t="n"/>
      <c r="AK127" s="284" t="n"/>
      <c r="AL127" s="285" t="n"/>
      <c r="AM127" s="331" t="n"/>
      <c r="AN127" s="331" t="n"/>
      <c r="AO127" s="284" t="n"/>
      <c r="AP127" s="285" t="n"/>
      <c r="AQ127" s="331" t="n"/>
      <c r="AR127" s="331" t="n"/>
      <c r="AS127" s="284" t="n"/>
      <c r="AT127" s="285" t="n"/>
      <c r="AU127" s="331" t="n"/>
      <c r="AV127" s="331" t="n"/>
      <c r="AW127" s="284" t="n"/>
      <c r="AX127" s="285" t="n"/>
      <c r="AY127" s="331" t="n"/>
      <c r="AZ127" s="331" t="n"/>
      <c r="BA127" s="284" t="n"/>
      <c r="BB127" s="285" t="n"/>
      <c r="BC127" s="330" t="n"/>
      <c r="BD127" s="331" t="n"/>
      <c r="BE127" s="284" t="n"/>
      <c r="BF127" s="285" t="n"/>
      <c r="BG127" s="89" t="n"/>
      <c r="BH1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7">
        <f>_xlfn.LET(r,ROW(),oc,INDEX($A:$A,r),cv,TRIM(INDEX($Y:$Y,r)&amp;""),IF(oc&lt;&gt;"P1","",IF(cv="45","V45 - novo, nao alimentado pelo spool atual","V44 - alimentado pelo spool atual")))</f>
        <v/>
      </c>
    </row>
    <row r="128" ht="54" customFormat="1" customHeight="1" s="55">
      <c r="A128" s="325" t="inlineStr">
        <is>
          <t>F1</t>
        </is>
      </c>
      <c r="B128" s="326" t="n">
        <v>12</v>
      </c>
      <c r="C128" s="284" t="inlineStr">
        <is>
          <t>NA</t>
        </is>
      </c>
      <c r="D128" s="244" t="inlineStr">
        <is>
          <t>NA</t>
        </is>
      </c>
      <c r="E128" s="326" t="inlineStr">
        <is>
          <t>1.2 (F1)</t>
        </is>
      </c>
      <c r="F128" s="327" t="inlineStr">
        <is>
          <t>Identifiant central du tiers en risque</t>
        </is>
      </c>
      <c r="G128" s="327" t="inlineStr">
        <is>
          <t>Central identifier for the counterparty</t>
        </is>
      </c>
      <c r="H128" s="327" t="n"/>
      <c r="I128" s="245" t="inlineStr">
        <is>
          <t>Identifiant du tiers dans le système central DRG</t>
        </is>
      </c>
      <c r="J128" s="245" t="inlineStr">
        <is>
          <t>ID of the external counterparty in the Group Risk Management Division IT System</t>
        </is>
      </c>
      <c r="K128" s="284" t="inlineStr">
        <is>
          <t>NA</t>
        </is>
      </c>
      <c r="L128" s="284" t="inlineStr">
        <is>
          <t>NA</t>
        </is>
      </c>
      <c r="M128" s="1421" t="inlineStr">
        <is>
          <t>cdCentralTiers</t>
        </is>
      </c>
      <c r="N128" s="328" t="inlineStr">
        <is>
          <t>NA</t>
        </is>
      </c>
      <c r="O128" s="284" t="inlineStr">
        <is>
          <t>NA</t>
        </is>
      </c>
      <c r="P128" s="284" t="inlineStr">
        <is>
          <t>NA</t>
        </is>
      </c>
      <c r="Q128" s="284" t="inlineStr">
        <is>
          <t>NA</t>
        </is>
      </c>
      <c r="R128" s="247" t="inlineStr">
        <is>
          <t>Laisser à vide</t>
        </is>
      </c>
      <c r="S128" s="247" t="inlineStr">
        <is>
          <t>Leave empty</t>
        </is>
      </c>
      <c r="T128" s="326" t="inlineStr">
        <is>
          <t>ALPHA</t>
        </is>
      </c>
      <c r="U128" s="248" t="inlineStr">
        <is>
          <t>NA</t>
        </is>
      </c>
      <c r="V128" s="248" t="inlineStr">
        <is>
          <t>NA</t>
        </is>
      </c>
      <c r="W128" s="284" t="n">
        <v>10</v>
      </c>
      <c r="X128" s="244" t="inlineStr">
        <is>
          <t>NA</t>
        </is>
      </c>
      <c r="Y128" s="248" t="inlineStr">
        <is>
          <t>NA</t>
        </is>
      </c>
      <c r="Z128" s="248" t="n">
        <v>43</v>
      </c>
      <c r="AA128" s="248" t="inlineStr">
        <is>
          <t>NA</t>
        </is>
      </c>
      <c r="AB128" s="328" t="inlineStr">
        <is>
          <t>NA</t>
        </is>
      </c>
      <c r="AC128" s="244" t="inlineStr">
        <is>
          <t>NA</t>
        </is>
      </c>
      <c r="AD128" s="328" t="inlineStr">
        <is>
          <t>N</t>
        </is>
      </c>
      <c r="AE128" s="284" t="inlineStr">
        <is>
          <t>NA</t>
        </is>
      </c>
      <c r="AF128" s="284" t="inlineStr">
        <is>
          <t>NA</t>
        </is>
      </c>
      <c r="AG128" s="285" t="inlineStr">
        <is>
          <t>NA</t>
        </is>
      </c>
      <c r="AH128" s="89" t="n"/>
      <c r="AI128" s="330" t="n"/>
      <c r="AJ128" s="331" t="n"/>
      <c r="AK128" s="284" t="n"/>
      <c r="AL128" s="285" t="n"/>
      <c r="AM128" s="331" t="n"/>
      <c r="AN128" s="331" t="n"/>
      <c r="AO128" s="284" t="n"/>
      <c r="AP128" s="285" t="n"/>
      <c r="AQ128" s="331" t="n"/>
      <c r="AR128" s="331" t="n"/>
      <c r="AS128" s="284" t="n"/>
      <c r="AT128" s="285" t="n"/>
      <c r="AU128" s="331" t="n"/>
      <c r="AV128" s="331" t="n"/>
      <c r="AW128" s="284" t="n"/>
      <c r="AX128" s="285" t="n"/>
      <c r="AY128" s="331" t="n"/>
      <c r="AZ128" s="331" t="n"/>
      <c r="BA128" s="284" t="n"/>
      <c r="BB128" s="285" t="n"/>
      <c r="BC128" s="330" t="n"/>
      <c r="BD128" s="331" t="n"/>
      <c r="BE128" s="284" t="n"/>
      <c r="BF128" s="285" t="n"/>
      <c r="BG128" s="89" t="n"/>
      <c r="BH1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8">
        <f>_xlfn.LET(r,ROW(),oc,INDEX($A:$A,r),cv,TRIM(INDEX($Y:$Y,r)&amp;""),IF(oc&lt;&gt;"P1","",IF(cv="45","V45 - novo, nao alimentado pelo spool atual","V44 - alimentado pelo spool atual")))</f>
        <v/>
      </c>
    </row>
    <row r="129" ht="54" customFormat="1" customHeight="1" s="90">
      <c r="A129" s="306" t="inlineStr">
        <is>
          <t>F1</t>
        </is>
      </c>
      <c r="B129" s="307" t="n">
        <v>13</v>
      </c>
      <c r="C129" s="269" t="inlineStr">
        <is>
          <t>02a - Caractéristiques d'identification fonctionnelles (clé)</t>
        </is>
      </c>
      <c r="D129" s="236" t="inlineStr">
        <is>
          <t>02a - Functional identification characteristics (key)</t>
        </is>
      </c>
      <c r="E129" s="307" t="inlineStr">
        <is>
          <t>1.4 (F1)</t>
        </is>
      </c>
      <c r="F129" s="308" t="inlineStr">
        <is>
          <t xml:space="preserve">Référence de l'Autorisation Mise En Place </t>
        </is>
      </c>
      <c r="G129" s="309" t="inlineStr">
        <is>
          <t xml:space="preserve">Overall facility reference </t>
        </is>
      </c>
      <c r="H129" s="309" t="n"/>
      <c r="I129" s="241" t="inlineStr">
        <is>
          <t xml:space="preserve">Référence de l'Autorisation Mise En Place </t>
        </is>
      </c>
      <c r="J129" s="233" t="inlineStr">
        <is>
          <t xml:space="preserve">Reference code of the overall facility </t>
        </is>
      </c>
      <c r="K129" s="269" t="inlineStr">
        <is>
          <t>ND</t>
        </is>
      </c>
      <c r="L129" s="310" t="inlineStr">
        <is>
          <t>ND</t>
        </is>
      </c>
      <c r="M129" s="1420" t="inlineStr">
        <is>
          <t>IdAuto</t>
        </is>
      </c>
      <c r="N129" s="231" t="inlineStr">
        <is>
          <t>Obligatoire</t>
        </is>
      </c>
      <c r="O129" s="236" t="inlineStr">
        <is>
          <t>Mandatory</t>
        </is>
      </c>
      <c r="P129" s="269" t="inlineStr">
        <is>
          <t>NA</t>
        </is>
      </c>
      <c r="Q129" s="269" t="inlineStr">
        <is>
          <t>NA</t>
        </is>
      </c>
      <c r="R129" s="311" t="inlineStr">
        <is>
          <t>Pour un lot déterminé, la référence de l'autorisation mise en place doit être unique au sein du lot et et ne doit pas avoir de référence de ligne d'autorisation, d'encours, de garantie ou de provision ayant la même valeur dans le lot</t>
        </is>
      </c>
      <c r="S129" s="312" t="inlineStr">
        <is>
          <t>For a given batch, the reference code of the arranged facility must be unique within the batch and no facility line, outstanding amount, mitigant or provision within the batch may have the same reference code</t>
        </is>
      </c>
      <c r="T129" s="313" t="inlineStr">
        <is>
          <t>ALPHA</t>
        </is>
      </c>
      <c r="U129" s="237" t="inlineStr">
        <is>
          <t>NA</t>
        </is>
      </c>
      <c r="V129" s="238" t="inlineStr">
        <is>
          <t>NA</t>
        </is>
      </c>
      <c r="W129" s="257" t="n">
        <v>30</v>
      </c>
      <c r="X129" s="945" t="inlineStr">
        <is>
          <t>NA</t>
        </is>
      </c>
      <c r="Y129" s="237" t="inlineStr">
        <is>
          <t>40</t>
        </is>
      </c>
      <c r="Z129" s="237" t="inlineStr">
        <is>
          <t>NA</t>
        </is>
      </c>
      <c r="AA129" s="270" t="inlineStr">
        <is>
          <t>NA</t>
        </is>
      </c>
      <c r="AB129" s="1287" t="inlineStr">
        <is>
          <t>ASTRE, CALCULS PRUDENTIELS</t>
        </is>
      </c>
      <c r="AC129" s="231" t="inlineStr">
        <is>
          <t>ND</t>
        </is>
      </c>
      <c r="AD129" s="315" t="inlineStr">
        <is>
          <t>N</t>
        </is>
      </c>
      <c r="AE129" s="257" t="inlineStr">
        <is>
          <t>NA</t>
        </is>
      </c>
      <c r="AF129" s="257" t="inlineStr">
        <is>
          <t>NA</t>
        </is>
      </c>
      <c r="AG129" s="258" t="inlineStr">
        <is>
          <t>NA</t>
        </is>
      </c>
      <c r="AH129" s="89" t="n"/>
      <c r="AI129" s="316" t="inlineStr">
        <is>
          <t>La donnée est obligatoire</t>
        </is>
      </c>
      <c r="AJ129" s="317" t="inlineStr">
        <is>
          <t>The data is mandatory</t>
        </is>
      </c>
      <c r="AK129" s="257" t="n">
        <v>7</v>
      </c>
      <c r="AL129" s="258" t="inlineStr">
        <is>
          <t>TP0001</t>
        </is>
      </c>
      <c r="AM129" s="318" t="n"/>
      <c r="AN129" s="317" t="n"/>
      <c r="AO129" s="257" t="n"/>
      <c r="AP129" s="258" t="n"/>
      <c r="AQ129" s="318" t="n"/>
      <c r="AR129" s="317" t="n"/>
      <c r="AS129" s="257" t="n"/>
      <c r="AT129" s="258" t="n"/>
      <c r="AU129" s="318" t="n"/>
      <c r="AV129" s="317" t="n"/>
      <c r="AW129" s="257" t="n"/>
      <c r="AX129" s="258" t="n"/>
      <c r="AY129" s="332" t="inlineStr">
        <is>
          <t xml:space="preserve">Si la donnée « contrôle interlot » (donnée Enreg A0) pour le lot en cours de traitement n'est pas renseignée, vérification de la présence d'au moins un enregistrement F2 doté de cette référence dans le même lot
---
Si la donnée « contrôle interlot » (donnée Enreg A0) pour le lot en cours de traitement est renseignée, vérification de la présence d'au moins un enregistrement F2 doté de cette référence dans tous les lots du flux Global ayant la même valeur « contrôle interlot » (donnée Enreg A0).
---
L'identifiant renseigné doit être unique au sein de l'entité porteuse de risque
---
Il ne doit pas y avoir de doublon (quelque soit l'entité et quelque soit le flux)
---
Unicité absolue de la donnée au sein du lot
</t>
        </is>
      </c>
      <c r="AZ129" s="317" t="inlineStr">
        <is>
          <t>If the data item ‘interlot check' (data item Reg A0) for the batch being processed is not filled in, check that at least one F2 record with this reference is present in the same batch
---
If the data ‘interlot control' (data Enreg A0) for the batch being processed is entered, verification of the presence of at least one F2 record with this reference in all batches of the Global flow having the same value ‘interlot control' (data Enreg A0).
---
The identifier provided must be unique within the entity carrying the risk
---
There should be no duplicates (whatever the entity and flow are)
---
The data must be unique within the batch</t>
        </is>
      </c>
      <c r="BA129" s="257" t="n">
        <v>7</v>
      </c>
      <c r="BB129" s="320" t="inlineStr">
        <is>
          <t>TC0265
TC0274
TU0001
TU0003
TU0007</t>
        </is>
      </c>
      <c r="BC129" s="316" t="n"/>
      <c r="BD129" s="317" t="n"/>
      <c r="BE129" s="257" t="n"/>
      <c r="BF129" s="258" t="n"/>
      <c r="BG129" s="89" t="n"/>
      <c r="BH1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9">
        <f>_xlfn.LET(r,ROW(),oc,INDEX($A:$A,r),cv,TRIM(INDEX($Y:$Y,r)&amp;""),IF(oc&lt;&gt;"P1","",IF(cv="45","V45 - novo, nao alimentado pelo spool atual","V44 - alimentado pelo spool atual")))</f>
        <v/>
      </c>
    </row>
    <row r="130" ht="54" customFormat="1" customHeight="1" s="54">
      <c r="A130" s="243" t="inlineStr">
        <is>
          <t>F1</t>
        </is>
      </c>
      <c r="B130" s="244" t="n">
        <v>14</v>
      </c>
      <c r="C130" s="284" t="inlineStr">
        <is>
          <t>02 - Caractéristiques d'identification fonctionnelles</t>
        </is>
      </c>
      <c r="D130" s="244" t="inlineStr">
        <is>
          <t>02 - Functional identification characteristics</t>
        </is>
      </c>
      <c r="E130" s="246" t="inlineStr">
        <is>
          <t>1.6 (F1)</t>
        </is>
      </c>
      <c r="F130" s="247" t="inlineStr">
        <is>
          <t>Référence de la ligne de détail de l'Autorisation Mise En Place</t>
        </is>
      </c>
      <c r="G130" s="247" t="inlineStr">
        <is>
          <t>Facility detail line reference</t>
        </is>
      </c>
      <c r="H130" s="247" t="n"/>
      <c r="I130" s="247" t="inlineStr">
        <is>
          <t>Référence de la ligne de détail de l'Autorisation Mise En Place</t>
        </is>
      </c>
      <c r="J130" s="247" t="inlineStr">
        <is>
          <t>Reference code of the facility detail line</t>
        </is>
      </c>
      <c r="K130" s="244" t="inlineStr">
        <is>
          <t>NA</t>
        </is>
      </c>
      <c r="L130" s="244" t="inlineStr">
        <is>
          <t>NA</t>
        </is>
      </c>
      <c r="M130" s="1408" t="inlineStr">
        <is>
          <t>IdLigneAuto</t>
        </is>
      </c>
      <c r="N130" s="244" t="inlineStr">
        <is>
          <t>NA</t>
        </is>
      </c>
      <c r="O130" s="244" t="inlineStr">
        <is>
          <t>NA</t>
        </is>
      </c>
      <c r="P130" s="246" t="inlineStr">
        <is>
          <t>NA</t>
        </is>
      </c>
      <c r="Q130" s="246" t="inlineStr">
        <is>
          <t>NA</t>
        </is>
      </c>
      <c r="R130" s="247" t="inlineStr">
        <is>
          <t>NA</t>
        </is>
      </c>
      <c r="S130" s="247" t="inlineStr">
        <is>
          <t>NA</t>
        </is>
      </c>
      <c r="T130" s="246" t="inlineStr">
        <is>
          <t>ALPHA</t>
        </is>
      </c>
      <c r="U130" s="248" t="inlineStr">
        <is>
          <t>NA</t>
        </is>
      </c>
      <c r="V130" s="248" t="inlineStr">
        <is>
          <t>NA</t>
        </is>
      </c>
      <c r="W130" s="244" t="n">
        <v>30</v>
      </c>
      <c r="X130" s="244" t="inlineStr">
        <is>
          <t>NA</t>
        </is>
      </c>
      <c r="Y130" s="249" t="inlineStr">
        <is>
          <t>NA</t>
        </is>
      </c>
      <c r="Z130" s="249" t="inlineStr">
        <is>
          <t>NA</t>
        </is>
      </c>
      <c r="AA130" s="249" t="inlineStr">
        <is>
          <t>NA</t>
        </is>
      </c>
      <c r="AB130" s="244" t="inlineStr">
        <is>
          <t>NA</t>
        </is>
      </c>
      <c r="AC130" s="244" t="inlineStr">
        <is>
          <t>NA</t>
        </is>
      </c>
      <c r="AD130" s="244" t="inlineStr">
        <is>
          <t>N</t>
        </is>
      </c>
      <c r="AE130" s="244" t="inlineStr">
        <is>
          <t>NA</t>
        </is>
      </c>
      <c r="AF130" s="244" t="inlineStr">
        <is>
          <t>NA</t>
        </is>
      </c>
      <c r="AG130" s="250" t="inlineStr">
        <is>
          <t>NA</t>
        </is>
      </c>
      <c r="AH130" s="89" t="n"/>
      <c r="AI130" s="251" t="n"/>
      <c r="AJ130" s="252" t="n"/>
      <c r="AK130" s="246" t="n"/>
      <c r="AL130" s="253" t="n"/>
      <c r="AM130" s="252" t="n"/>
      <c r="AN130" s="252" t="n"/>
      <c r="AO130" s="246" t="n"/>
      <c r="AP130" s="253" t="n"/>
      <c r="AQ130" s="252" t="n"/>
      <c r="AR130" s="252" t="n"/>
      <c r="AS130" s="246" t="n"/>
      <c r="AT130" s="253" t="n"/>
      <c r="AU130" s="254" t="n"/>
      <c r="AV130" s="254" t="n"/>
      <c r="AW130" s="246" t="n"/>
      <c r="AX130" s="253" t="n"/>
      <c r="AY130" s="252" t="n"/>
      <c r="AZ130" s="252" t="n"/>
      <c r="BA130" s="246" t="n"/>
      <c r="BB130" s="253" t="n"/>
      <c r="BC130" s="251" t="n"/>
      <c r="BD130" s="252" t="n"/>
      <c r="BE130" s="246" t="n"/>
      <c r="BF130" s="253" t="n"/>
      <c r="BG130" s="89" t="n"/>
      <c r="BH1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0">
        <f>_xlfn.LET(r,ROW(),oc,INDEX($A:$A,r),cv,TRIM(INDEX($Y:$Y,r)&amp;""),IF(oc&lt;&gt;"P1","",IF(cv="45","V45 - novo, nao alimentado pelo spool atual","V44 - alimentado pelo spool atual")))</f>
        <v/>
      </c>
    </row>
    <row r="131" ht="54" customFormat="1" customHeight="1" s="55">
      <c r="A131" s="325" t="inlineStr">
        <is>
          <t>F1</t>
        </is>
      </c>
      <c r="B131" s="326" t="n">
        <v>15</v>
      </c>
      <c r="C131" s="284" t="inlineStr">
        <is>
          <t>NA</t>
        </is>
      </c>
      <c r="D131" s="244" t="inlineStr">
        <is>
          <t>NA</t>
        </is>
      </c>
      <c r="E131" s="326" t="inlineStr">
        <is>
          <t>1.8 (F1)</t>
        </is>
      </c>
      <c r="F131" s="327" t="inlineStr">
        <is>
          <t>Identifiant de la sûreté reçue</t>
        </is>
      </c>
      <c r="G131" s="327" t="inlineStr">
        <is>
          <t>Mitigant identifier</t>
        </is>
      </c>
      <c r="H131" s="327" t="n"/>
      <c r="I131" s="245" t="inlineStr">
        <is>
          <t>Identifiant de la sûreté reçue</t>
        </is>
      </c>
      <c r="J131" s="245" t="inlineStr">
        <is>
          <t>ID of Mitigant received</t>
        </is>
      </c>
      <c r="K131" s="284" t="inlineStr">
        <is>
          <t>NA</t>
        </is>
      </c>
      <c r="L131" s="284" t="inlineStr">
        <is>
          <t>NA</t>
        </is>
      </c>
      <c r="M131" s="1421" t="inlineStr">
        <is>
          <t>IdSurRecue</t>
        </is>
      </c>
      <c r="N131" s="284" t="inlineStr">
        <is>
          <t>NA</t>
        </is>
      </c>
      <c r="O131" s="284" t="inlineStr">
        <is>
          <t>NA</t>
        </is>
      </c>
      <c r="P131" s="284" t="inlineStr">
        <is>
          <t>NA</t>
        </is>
      </c>
      <c r="Q131" s="284" t="inlineStr">
        <is>
          <t>NA</t>
        </is>
      </c>
      <c r="R131" s="329" t="inlineStr">
        <is>
          <t>NA</t>
        </is>
      </c>
      <c r="S131" s="329" t="inlineStr">
        <is>
          <t>NA</t>
        </is>
      </c>
      <c r="T131" s="326" t="inlineStr">
        <is>
          <t>ALPHA</t>
        </is>
      </c>
      <c r="U131" s="248" t="inlineStr">
        <is>
          <t>NA</t>
        </is>
      </c>
      <c r="V131" s="248" t="inlineStr">
        <is>
          <t>NA</t>
        </is>
      </c>
      <c r="W131" s="284" t="n">
        <v>40</v>
      </c>
      <c r="X131" s="244" t="inlineStr">
        <is>
          <t>NA</t>
        </is>
      </c>
      <c r="Y131" s="248" t="inlineStr">
        <is>
          <t>NA</t>
        </is>
      </c>
      <c r="Z131" s="248" t="n">
        <v>43</v>
      </c>
      <c r="AA131" s="248" t="inlineStr">
        <is>
          <t>NA</t>
        </is>
      </c>
      <c r="AB131" s="328" t="inlineStr">
        <is>
          <t>NA</t>
        </is>
      </c>
      <c r="AC131" s="244" t="inlineStr">
        <is>
          <t>NA</t>
        </is>
      </c>
      <c r="AD131" s="328" t="inlineStr">
        <is>
          <t>N</t>
        </is>
      </c>
      <c r="AE131" s="284" t="inlineStr">
        <is>
          <t>NA</t>
        </is>
      </c>
      <c r="AF131" s="284" t="inlineStr">
        <is>
          <t>NA</t>
        </is>
      </c>
      <c r="AG131" s="285" t="inlineStr">
        <is>
          <t>NA</t>
        </is>
      </c>
      <c r="AH131" s="89" t="n"/>
      <c r="AI131" s="330" t="n"/>
      <c r="AJ131" s="331" t="n"/>
      <c r="AK131" s="284" t="n"/>
      <c r="AL131" s="285" t="n"/>
      <c r="AM131" s="331" t="n"/>
      <c r="AN131" s="331" t="n"/>
      <c r="AO131" s="284" t="n"/>
      <c r="AP131" s="285" t="n"/>
      <c r="AQ131" s="331" t="n"/>
      <c r="AR131" s="331" t="n"/>
      <c r="AS131" s="284" t="n"/>
      <c r="AT131" s="285" t="n"/>
      <c r="AU131" s="331" t="n"/>
      <c r="AV131" s="331" t="n"/>
      <c r="AW131" s="284" t="n"/>
      <c r="AX131" s="285" t="n"/>
      <c r="AY131" s="331" t="n"/>
      <c r="AZ131" s="331" t="n"/>
      <c r="BA131" s="284" t="n"/>
      <c r="BB131" s="285" t="n"/>
      <c r="BC131" s="330" t="n"/>
      <c r="BD131" s="331" t="n"/>
      <c r="BE131" s="284" t="n"/>
      <c r="BF131" s="285" t="n"/>
      <c r="BG131" s="89" t="n"/>
      <c r="BH1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1">
        <f>_xlfn.LET(r,ROW(),oc,INDEX($A:$A,r),cv,TRIM(INDEX($Y:$Y,r)&amp;""),IF(oc&lt;&gt;"P1","",IF(cv="45","V45 - novo, nao alimentado pelo spool atual","V44 - alimentado pelo spool atual")))</f>
        <v/>
      </c>
    </row>
    <row r="132" ht="54" customFormat="1" customHeight="1" s="55">
      <c r="A132" s="325" t="inlineStr">
        <is>
          <t>F1</t>
        </is>
      </c>
      <c r="B132" s="326" t="n">
        <v>16</v>
      </c>
      <c r="C132" s="284" t="inlineStr">
        <is>
          <t>NA</t>
        </is>
      </c>
      <c r="D132" s="244" t="inlineStr">
        <is>
          <t>NA</t>
        </is>
      </c>
      <c r="E132" s="326" t="inlineStr">
        <is>
          <t>1.11 (F1)</t>
        </is>
      </c>
      <c r="F132" s="327" t="inlineStr">
        <is>
          <t>Identifiant de l'engagement</t>
        </is>
      </c>
      <c r="G132" s="327" t="inlineStr">
        <is>
          <t>Product identifier</t>
        </is>
      </c>
      <c r="H132" s="327" t="n"/>
      <c r="I132" s="245" t="inlineStr">
        <is>
          <t>Identifiant unique de l'engagement dans le système local utilisé pour générer le flux</t>
        </is>
      </c>
      <c r="J132" s="245" t="inlineStr">
        <is>
          <t>Unique ID of the commitment in the local system used to generate the flow</t>
        </is>
      </c>
      <c r="K132" s="284" t="inlineStr">
        <is>
          <t>NA</t>
        </is>
      </c>
      <c r="L132" s="284" t="inlineStr">
        <is>
          <t>NA</t>
        </is>
      </c>
      <c r="M132" s="1421" t="inlineStr">
        <is>
          <t>IdEng</t>
        </is>
      </c>
      <c r="N132" s="328" t="inlineStr">
        <is>
          <t>NA</t>
        </is>
      </c>
      <c r="O132" s="284" t="inlineStr">
        <is>
          <t>NA</t>
        </is>
      </c>
      <c r="P132" s="284" t="inlineStr">
        <is>
          <t>NA</t>
        </is>
      </c>
      <c r="Q132" s="284" t="inlineStr">
        <is>
          <t>NA</t>
        </is>
      </c>
      <c r="R132" s="329" t="inlineStr">
        <is>
          <t>NA</t>
        </is>
      </c>
      <c r="S132" s="329" t="inlineStr">
        <is>
          <t>NA</t>
        </is>
      </c>
      <c r="T132" s="326" t="inlineStr">
        <is>
          <t>ALPHA</t>
        </is>
      </c>
      <c r="U132" s="248" t="inlineStr">
        <is>
          <t>NA</t>
        </is>
      </c>
      <c r="V132" s="248" t="inlineStr">
        <is>
          <t>NA</t>
        </is>
      </c>
      <c r="W132" s="284" t="n">
        <v>40</v>
      </c>
      <c r="X132" s="244" t="inlineStr">
        <is>
          <t>NA</t>
        </is>
      </c>
      <c r="Y132" s="248" t="inlineStr">
        <is>
          <t>NA</t>
        </is>
      </c>
      <c r="Z132" s="248" t="n">
        <v>43</v>
      </c>
      <c r="AA132" s="248" t="inlineStr">
        <is>
          <t>NA</t>
        </is>
      </c>
      <c r="AB132" s="328" t="inlineStr">
        <is>
          <t>NA</t>
        </is>
      </c>
      <c r="AC132" s="244" t="inlineStr">
        <is>
          <t>NA</t>
        </is>
      </c>
      <c r="AD132" s="328" t="inlineStr">
        <is>
          <t>N</t>
        </is>
      </c>
      <c r="AE132" s="284" t="inlineStr">
        <is>
          <t>NA</t>
        </is>
      </c>
      <c r="AF132" s="284" t="inlineStr">
        <is>
          <t>NA</t>
        </is>
      </c>
      <c r="AG132" s="285" t="inlineStr">
        <is>
          <t>NA</t>
        </is>
      </c>
      <c r="AH132" s="89" t="n"/>
      <c r="AI132" s="330" t="n"/>
      <c r="AJ132" s="331" t="n"/>
      <c r="AK132" s="284" t="n"/>
      <c r="AL132" s="285" t="n"/>
      <c r="AM132" s="331" t="n"/>
      <c r="AN132" s="331" t="n"/>
      <c r="AO132" s="284" t="n"/>
      <c r="AP132" s="285" t="n"/>
      <c r="AQ132" s="331" t="n"/>
      <c r="AR132" s="331" t="n"/>
      <c r="AS132" s="284" t="n"/>
      <c r="AT132" s="285" t="n"/>
      <c r="AU132" s="331" t="n"/>
      <c r="AV132" s="331" t="n"/>
      <c r="AW132" s="284" t="n"/>
      <c r="AX132" s="285" t="n"/>
      <c r="AY132" s="331" t="n"/>
      <c r="AZ132" s="331" t="n"/>
      <c r="BA132" s="284" t="n"/>
      <c r="BB132" s="285" t="n"/>
      <c r="BC132" s="330" t="n"/>
      <c r="BD132" s="331" t="n"/>
      <c r="BE132" s="284" t="n"/>
      <c r="BF132" s="285" t="n"/>
      <c r="BG132" s="89" t="n"/>
      <c r="BH1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2">
        <f>_xlfn.LET(r,ROW(),oc,INDEX($A:$A,r),cv,TRIM(INDEX($Y:$Y,r)&amp;""),IF(oc&lt;&gt;"P1","",IF(cv="45","V45 - novo, nao alimentado pelo spool atual","V44 - alimentado pelo spool atual")))</f>
        <v/>
      </c>
    </row>
    <row r="133" ht="54" customFormat="1" customHeight="1" s="54">
      <c r="A133" s="243" t="inlineStr">
        <is>
          <t>F1</t>
        </is>
      </c>
      <c r="B133" s="244" t="n">
        <v>17</v>
      </c>
      <c r="C133" s="284" t="inlineStr">
        <is>
          <t>16 - Identification Tiers</t>
        </is>
      </c>
      <c r="D133" s="244" t="inlineStr">
        <is>
          <t>16 - Third party identification</t>
        </is>
      </c>
      <c r="E133" s="246" t="inlineStr">
        <is>
          <t>1.16 (F1)</t>
        </is>
      </c>
      <c r="F133" s="247" t="inlineStr">
        <is>
          <t>Référence de la provision sur tiers</t>
        </is>
      </c>
      <c r="G133" s="247" t="inlineStr">
        <is>
          <t xml:space="preserve">Reference for the counterparty provision </t>
        </is>
      </c>
      <c r="H133" s="247" t="n"/>
      <c r="I133" s="247" t="inlineStr">
        <is>
          <t>Référence de la provision sur tiers</t>
        </is>
      </c>
      <c r="J133" s="247" t="inlineStr">
        <is>
          <t>Reference code of the provision for external counterparties</t>
        </is>
      </c>
      <c r="K133" s="244" t="inlineStr">
        <is>
          <t>NA</t>
        </is>
      </c>
      <c r="L133" s="244" t="inlineStr">
        <is>
          <t>NA</t>
        </is>
      </c>
      <c r="M133" s="1408" t="inlineStr">
        <is>
          <t>IdProvTiers</t>
        </is>
      </c>
      <c r="N133" s="244" t="inlineStr">
        <is>
          <t>NA</t>
        </is>
      </c>
      <c r="O133" s="244" t="inlineStr">
        <is>
          <t>NA</t>
        </is>
      </c>
      <c r="P133" s="246" t="inlineStr">
        <is>
          <t>NA</t>
        </is>
      </c>
      <c r="Q133" s="246" t="inlineStr">
        <is>
          <t>NA</t>
        </is>
      </c>
      <c r="R133" s="247" t="inlineStr">
        <is>
          <t>NA</t>
        </is>
      </c>
      <c r="S133" s="247" t="inlineStr">
        <is>
          <t>NA</t>
        </is>
      </c>
      <c r="T133" s="246" t="inlineStr">
        <is>
          <t>ALPHA</t>
        </is>
      </c>
      <c r="U133" s="248" t="inlineStr">
        <is>
          <t>NA</t>
        </is>
      </c>
      <c r="V133" s="248" t="inlineStr">
        <is>
          <t>NA</t>
        </is>
      </c>
      <c r="W133" s="244" t="n">
        <v>40</v>
      </c>
      <c r="X133" s="244" t="inlineStr">
        <is>
          <t>NA</t>
        </is>
      </c>
      <c r="Y133" s="249" t="inlineStr">
        <is>
          <t>NA</t>
        </is>
      </c>
      <c r="Z133" s="249" t="inlineStr">
        <is>
          <t>NA</t>
        </is>
      </c>
      <c r="AA133" s="249" t="inlineStr">
        <is>
          <t>NA</t>
        </is>
      </c>
      <c r="AB133" s="244" t="inlineStr">
        <is>
          <t>USAGE ZP</t>
        </is>
      </c>
      <c r="AC133" s="244" t="inlineStr">
        <is>
          <t>NA</t>
        </is>
      </c>
      <c r="AD133" s="244" t="inlineStr">
        <is>
          <t>N</t>
        </is>
      </c>
      <c r="AE133" s="244" t="inlineStr">
        <is>
          <t>NA</t>
        </is>
      </c>
      <c r="AF133" s="244" t="inlineStr">
        <is>
          <t>NA</t>
        </is>
      </c>
      <c r="AG133" s="250" t="inlineStr">
        <is>
          <t>NA</t>
        </is>
      </c>
      <c r="AH133" s="89" t="n"/>
      <c r="AI133" s="251" t="n"/>
      <c r="AJ133" s="252" t="n"/>
      <c r="AK133" s="246" t="n"/>
      <c r="AL133" s="253" t="n"/>
      <c r="AM133" s="252" t="n"/>
      <c r="AN133" s="252" t="n"/>
      <c r="AO133" s="246" t="n"/>
      <c r="AP133" s="253" t="n"/>
      <c r="AQ133" s="252" t="n"/>
      <c r="AR133" s="252" t="n"/>
      <c r="AS133" s="246" t="n"/>
      <c r="AT133" s="253" t="n"/>
      <c r="AU133" s="254" t="n"/>
      <c r="AV133" s="254" t="n"/>
      <c r="AW133" s="246" t="n"/>
      <c r="AX133" s="253" t="n"/>
      <c r="AY133" s="252" t="n"/>
      <c r="AZ133" s="252" t="n"/>
      <c r="BA133" s="246" t="n"/>
      <c r="BB133" s="253" t="n"/>
      <c r="BC133" s="251" t="n"/>
      <c r="BD133" s="252" t="n"/>
      <c r="BE133" s="246" t="n"/>
      <c r="BF133" s="253" t="n"/>
      <c r="BG133" s="89" t="n"/>
      <c r="BH1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3">
        <f>_xlfn.LET(r,ROW(),oc,INDEX($A:$A,r),cv,TRIM(INDEX($Y:$Y,r)&amp;""),IF(oc&lt;&gt;"P1","",IF(cv="45","V45 - novo, nao alimentado pelo spool atual","V44 - alimentado pelo spool atual")))</f>
        <v/>
      </c>
    </row>
    <row r="134" ht="54" customFormat="1" customHeight="1" s="56">
      <c r="A134" s="325" t="inlineStr">
        <is>
          <t>F1</t>
        </is>
      </c>
      <c r="B134" s="326" t="n">
        <v>18</v>
      </c>
      <c r="C134" s="284" t="inlineStr">
        <is>
          <t>NA</t>
        </is>
      </c>
      <c r="D134" s="244" t="inlineStr">
        <is>
          <t>NA</t>
        </is>
      </c>
      <c r="E134" s="333" t="inlineStr">
        <is>
          <t>1.99 (F1)</t>
        </is>
      </c>
      <c r="F134" s="329" t="inlineStr">
        <is>
          <t>Filler</t>
        </is>
      </c>
      <c r="G134" s="329" t="inlineStr">
        <is>
          <t>Filler</t>
        </is>
      </c>
      <c r="H134" s="329" t="n"/>
      <c r="I134" s="247" t="inlineStr">
        <is>
          <t>Zone libre</t>
        </is>
      </c>
      <c r="J134" s="329" t="inlineStr">
        <is>
          <t>Free zone</t>
        </is>
      </c>
      <c r="K134" s="328" t="inlineStr">
        <is>
          <t>NA</t>
        </is>
      </c>
      <c r="L134" s="328" t="inlineStr">
        <is>
          <t>NA</t>
        </is>
      </c>
      <c r="M134" s="1421" t="inlineStr">
        <is>
          <t>ZoneLibre1</t>
        </is>
      </c>
      <c r="N134" s="328" t="inlineStr">
        <is>
          <t>NA</t>
        </is>
      </c>
      <c r="O134" s="284" t="inlineStr">
        <is>
          <t>NA</t>
        </is>
      </c>
      <c r="P134" s="284" t="inlineStr">
        <is>
          <t>NA</t>
        </is>
      </c>
      <c r="Q134" s="284" t="inlineStr">
        <is>
          <t>NA</t>
        </is>
      </c>
      <c r="R134" s="247" t="inlineStr">
        <is>
          <t>Laisser à vide</t>
        </is>
      </c>
      <c r="S134" s="247" t="inlineStr">
        <is>
          <t>Leave empty</t>
        </is>
      </c>
      <c r="T134" s="333" t="inlineStr">
        <is>
          <t>ALPHA</t>
        </is>
      </c>
      <c r="U134" s="256" t="inlineStr">
        <is>
          <t>NA</t>
        </is>
      </c>
      <c r="V134" s="256" t="inlineStr">
        <is>
          <t>NA</t>
        </is>
      </c>
      <c r="W134" s="328" t="n">
        <v>11</v>
      </c>
      <c r="X134" s="244" t="inlineStr">
        <is>
          <t>NA</t>
        </is>
      </c>
      <c r="Y134" s="248" t="inlineStr">
        <is>
          <t>NA</t>
        </is>
      </c>
      <c r="Z134" s="256" t="inlineStr">
        <is>
          <t>NA</t>
        </is>
      </c>
      <c r="AA134" s="256" t="inlineStr">
        <is>
          <t>NA</t>
        </is>
      </c>
      <c r="AB134" s="328" t="inlineStr">
        <is>
          <t>NA</t>
        </is>
      </c>
      <c r="AC134" s="244" t="inlineStr">
        <is>
          <t>NA</t>
        </is>
      </c>
      <c r="AD134" s="328" t="inlineStr">
        <is>
          <t>N</t>
        </is>
      </c>
      <c r="AE134" s="328" t="inlineStr">
        <is>
          <t>NA</t>
        </is>
      </c>
      <c r="AF134" s="328" t="inlineStr">
        <is>
          <t>NA</t>
        </is>
      </c>
      <c r="AG134" s="334" t="inlineStr">
        <is>
          <t>NA</t>
        </is>
      </c>
      <c r="AH134" s="89" t="n"/>
      <c r="AI134" s="330" t="n"/>
      <c r="AJ134" s="331" t="n"/>
      <c r="AK134" s="284" t="n"/>
      <c r="AL134" s="285" t="n"/>
      <c r="AM134" s="331" t="n"/>
      <c r="AN134" s="331" t="n"/>
      <c r="AO134" s="284" t="n"/>
      <c r="AP134" s="285" t="n"/>
      <c r="AQ134" s="331" t="n"/>
      <c r="AR134" s="331" t="n"/>
      <c r="AS134" s="284" t="n"/>
      <c r="AT134" s="285" t="n"/>
      <c r="AU134" s="331" t="n"/>
      <c r="AV134" s="331" t="n"/>
      <c r="AW134" s="284" t="n"/>
      <c r="AX134" s="285" t="n"/>
      <c r="AY134" s="331" t="n"/>
      <c r="AZ134" s="331" t="n"/>
      <c r="BA134" s="284" t="n"/>
      <c r="BB134" s="285" t="n"/>
      <c r="BC134" s="330" t="n"/>
      <c r="BD134" s="331" t="n"/>
      <c r="BE134" s="284" t="n"/>
      <c r="BF134" s="285" t="n"/>
      <c r="BG134" s="89" t="n"/>
      <c r="BH1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4">
        <f>_xlfn.LET(r,ROW(),oc,INDEX($A:$A,r),cv,TRIM(INDEX($Y:$Y,r)&amp;""),IF(oc&lt;&gt;"P1","",IF(cv="45","V45 - novo, nao alimentado pelo spool atual","V44 - alimentado pelo spool atual")))</f>
        <v/>
      </c>
    </row>
    <row r="135" ht="54" customFormat="1" customHeight="1" s="56">
      <c r="A135" s="325" t="inlineStr">
        <is>
          <t>F1</t>
        </is>
      </c>
      <c r="B135" s="326" t="n">
        <v>19</v>
      </c>
      <c r="C135" s="284" t="inlineStr">
        <is>
          <t>NA</t>
        </is>
      </c>
      <c r="D135" s="244" t="inlineStr">
        <is>
          <t>NA</t>
        </is>
      </c>
      <c r="E135" s="333" t="inlineStr">
        <is>
          <t>1.98 (F1)</t>
        </is>
      </c>
      <c r="F135" s="329" t="inlineStr">
        <is>
          <t>Filler</t>
        </is>
      </c>
      <c r="G135" s="329" t="inlineStr">
        <is>
          <t>Filler</t>
        </is>
      </c>
      <c r="H135" s="329" t="n"/>
      <c r="I135" s="247" t="inlineStr">
        <is>
          <t>Zone libre</t>
        </is>
      </c>
      <c r="J135" s="329" t="inlineStr">
        <is>
          <t>Free zone</t>
        </is>
      </c>
      <c r="K135" s="328" t="inlineStr">
        <is>
          <t>NA</t>
        </is>
      </c>
      <c r="L135" s="328" t="inlineStr">
        <is>
          <t>NA</t>
        </is>
      </c>
      <c r="M135" s="1421" t="inlineStr">
        <is>
          <t>NA</t>
        </is>
      </c>
      <c r="N135" s="328" t="inlineStr">
        <is>
          <t>NA</t>
        </is>
      </c>
      <c r="O135" s="328" t="inlineStr">
        <is>
          <t>NA</t>
        </is>
      </c>
      <c r="P135" s="284" t="inlineStr">
        <is>
          <t>NA</t>
        </is>
      </c>
      <c r="Q135" s="284" t="inlineStr">
        <is>
          <t>NA</t>
        </is>
      </c>
      <c r="R135" s="247" t="inlineStr">
        <is>
          <t>Laisser à vide</t>
        </is>
      </c>
      <c r="S135" s="247" t="inlineStr">
        <is>
          <t>Leave empty</t>
        </is>
      </c>
      <c r="T135" s="333" t="inlineStr">
        <is>
          <t>ALPHA</t>
        </is>
      </c>
      <c r="U135" s="256" t="inlineStr">
        <is>
          <t>NA</t>
        </is>
      </c>
      <c r="V135" s="256" t="inlineStr">
        <is>
          <t>NA</t>
        </is>
      </c>
      <c r="W135" s="328" t="n">
        <v>7</v>
      </c>
      <c r="X135" s="244" t="inlineStr">
        <is>
          <t>NA</t>
        </is>
      </c>
      <c r="Y135" s="248" t="inlineStr">
        <is>
          <t>NA</t>
        </is>
      </c>
      <c r="Z135" s="256" t="inlineStr">
        <is>
          <t>NA</t>
        </is>
      </c>
      <c r="AA135" s="256" t="inlineStr">
        <is>
          <t>NA</t>
        </is>
      </c>
      <c r="AB135" s="328" t="inlineStr">
        <is>
          <t>NA</t>
        </is>
      </c>
      <c r="AC135" s="244" t="inlineStr">
        <is>
          <t>NA</t>
        </is>
      </c>
      <c r="AD135" s="328" t="inlineStr">
        <is>
          <t>N</t>
        </is>
      </c>
      <c r="AE135" s="328" t="inlineStr">
        <is>
          <t>NA</t>
        </is>
      </c>
      <c r="AF135" s="328" t="inlineStr">
        <is>
          <t>NA</t>
        </is>
      </c>
      <c r="AG135" s="334" t="inlineStr">
        <is>
          <t>NA</t>
        </is>
      </c>
      <c r="AH135" s="89" t="n"/>
      <c r="AI135" s="330" t="n"/>
      <c r="AJ135" s="331" t="n"/>
      <c r="AK135" s="284" t="n"/>
      <c r="AL135" s="285" t="n"/>
      <c r="AM135" s="331" t="n"/>
      <c r="AN135" s="331" t="n"/>
      <c r="AO135" s="284" t="n"/>
      <c r="AP135" s="285" t="n"/>
      <c r="AQ135" s="331" t="n"/>
      <c r="AR135" s="331" t="n"/>
      <c r="AS135" s="284" t="n"/>
      <c r="AT135" s="285" t="n"/>
      <c r="AU135" s="331" t="n"/>
      <c r="AV135" s="331" t="n"/>
      <c r="AW135" s="284" t="n"/>
      <c r="AX135" s="285" t="n"/>
      <c r="AY135" s="331" t="n"/>
      <c r="AZ135" s="331" t="n"/>
      <c r="BA135" s="284" t="n"/>
      <c r="BB135" s="285" t="n"/>
      <c r="BC135" s="330" t="n"/>
      <c r="BD135" s="331" t="n"/>
      <c r="BE135" s="284" t="n"/>
      <c r="BF135" s="285" t="n"/>
      <c r="BG135" s="89" t="n"/>
      <c r="BH1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5">
        <f>_xlfn.LET(r,ROW(),oc,INDEX($A:$A,r),cv,TRIM(INDEX($Y:$Y,r)&amp;""),IF(oc&lt;&gt;"P1","",IF(cv="45","V45 - novo, nao alimentado pelo spool atual","V44 - alimentado pelo spool atual")))</f>
        <v/>
      </c>
    </row>
    <row r="136" ht="54" customFormat="1" customHeight="1" s="56">
      <c r="A136" s="325" t="inlineStr">
        <is>
          <t>F1</t>
        </is>
      </c>
      <c r="B136" s="326" t="n">
        <v>20</v>
      </c>
      <c r="C136" s="284" t="inlineStr">
        <is>
          <t>NA</t>
        </is>
      </c>
      <c r="D136" s="244" t="inlineStr">
        <is>
          <t>NA</t>
        </is>
      </c>
      <c r="E136" s="333" t="inlineStr">
        <is>
          <t>1.97 (F1)</t>
        </is>
      </c>
      <c r="F136" s="329" t="inlineStr">
        <is>
          <t>Filler</t>
        </is>
      </c>
      <c r="G136" s="329" t="inlineStr">
        <is>
          <t>Filler</t>
        </is>
      </c>
      <c r="H136" s="329" t="n"/>
      <c r="I136" s="247" t="inlineStr">
        <is>
          <t>Zone libre</t>
        </is>
      </c>
      <c r="J136" s="329" t="inlineStr">
        <is>
          <t>Free zone</t>
        </is>
      </c>
      <c r="K136" s="328" t="inlineStr">
        <is>
          <t>NA</t>
        </is>
      </c>
      <c r="L136" s="328" t="inlineStr">
        <is>
          <t>NA</t>
        </is>
      </c>
      <c r="M136" s="1421" t="inlineStr">
        <is>
          <t>NA</t>
        </is>
      </c>
      <c r="N136" s="328" t="inlineStr">
        <is>
          <t>NA</t>
        </is>
      </c>
      <c r="O136" s="328" t="inlineStr">
        <is>
          <t>NA</t>
        </is>
      </c>
      <c r="P136" s="284" t="inlineStr">
        <is>
          <t>NA</t>
        </is>
      </c>
      <c r="Q136" s="284" t="inlineStr">
        <is>
          <t>NA</t>
        </is>
      </c>
      <c r="R136" s="247" t="inlineStr">
        <is>
          <t>Laisser à vide</t>
        </is>
      </c>
      <c r="S136" s="247" t="inlineStr">
        <is>
          <t>Leave empty</t>
        </is>
      </c>
      <c r="T136" s="333" t="inlineStr">
        <is>
          <t>ALPHA</t>
        </is>
      </c>
      <c r="U136" s="256" t="inlineStr">
        <is>
          <t>NA</t>
        </is>
      </c>
      <c r="V136" s="256" t="inlineStr">
        <is>
          <t>NA</t>
        </is>
      </c>
      <c r="W136" s="328" t="n">
        <v>2</v>
      </c>
      <c r="X136" s="244" t="inlineStr">
        <is>
          <t>NA</t>
        </is>
      </c>
      <c r="Y136" s="248" t="inlineStr">
        <is>
          <t>NA</t>
        </is>
      </c>
      <c r="Z136" s="256" t="inlineStr">
        <is>
          <t>NA</t>
        </is>
      </c>
      <c r="AA136" s="256" t="inlineStr">
        <is>
          <t>NA</t>
        </is>
      </c>
      <c r="AB136" s="328" t="inlineStr">
        <is>
          <t>NA</t>
        </is>
      </c>
      <c r="AC136" s="244" t="inlineStr">
        <is>
          <t>NA</t>
        </is>
      </c>
      <c r="AD136" s="328" t="inlineStr">
        <is>
          <t>N</t>
        </is>
      </c>
      <c r="AE136" s="328" t="inlineStr">
        <is>
          <t>NA</t>
        </is>
      </c>
      <c r="AF136" s="328" t="inlineStr">
        <is>
          <t>NA</t>
        </is>
      </c>
      <c r="AG136" s="334" t="inlineStr">
        <is>
          <t>NA</t>
        </is>
      </c>
      <c r="AH136" s="89" t="n"/>
      <c r="AI136" s="330" t="n"/>
      <c r="AJ136" s="331" t="n"/>
      <c r="AK136" s="284" t="n"/>
      <c r="AL136" s="285" t="n"/>
      <c r="AM136" s="331" t="n"/>
      <c r="AN136" s="331" t="n"/>
      <c r="AO136" s="284" t="n"/>
      <c r="AP136" s="285" t="n"/>
      <c r="AQ136" s="331" t="n"/>
      <c r="AR136" s="331" t="n"/>
      <c r="AS136" s="284" t="n"/>
      <c r="AT136" s="285" t="n"/>
      <c r="AU136" s="331" t="n"/>
      <c r="AV136" s="331" t="n"/>
      <c r="AW136" s="284" t="n"/>
      <c r="AX136" s="285" t="n"/>
      <c r="AY136" s="331" t="n"/>
      <c r="AZ136" s="331" t="n"/>
      <c r="BA136" s="284" t="n"/>
      <c r="BB136" s="285" t="n"/>
      <c r="BC136" s="330" t="n"/>
      <c r="BD136" s="331" t="n"/>
      <c r="BE136" s="284" t="n"/>
      <c r="BF136" s="285" t="n"/>
      <c r="BG136" s="89" t="n"/>
      <c r="BH1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6">
        <f>_xlfn.LET(r,ROW(),oc,INDEX($A:$A,r),cv,TRIM(INDEX($Y:$Y,r)&amp;""),IF(oc&lt;&gt;"P1","",IF(cv="45","V45 - novo, nao alimentado pelo spool atual","V44 - alimentado pelo spool atual")))</f>
        <v/>
      </c>
    </row>
    <row r="137" ht="54" customFormat="1" customHeight="1" s="90">
      <c r="A137" s="306" t="inlineStr">
        <is>
          <t>F1</t>
        </is>
      </c>
      <c r="B137" s="307" t="n">
        <v>21</v>
      </c>
      <c r="C137" s="269" t="inlineStr">
        <is>
          <t>03 - Caractéristiques Générales</t>
        </is>
      </c>
      <c r="D137" s="236" t="inlineStr">
        <is>
          <t>03 - General characteristics</t>
        </is>
      </c>
      <c r="E137" s="307" t="inlineStr">
        <is>
          <t>F1 2.2</t>
        </is>
      </c>
      <c r="F137" s="308" t="inlineStr">
        <is>
          <t>Identifiant de regroupement</t>
        </is>
      </c>
      <c r="G137" s="309" t="inlineStr">
        <is>
          <t>ID of grouping</t>
        </is>
      </c>
      <c r="H137" s="309" t="n"/>
      <c r="I137" s="241" t="inlineStr">
        <is>
          <t>Identifiant permettant de regrouper plusieurs objets de type ‘autorisation - crédit ' afin de matérialiser le fait qu'elles sont issues d'un même dossier de financement</t>
        </is>
      </c>
      <c r="J137" s="233" t="inlineStr">
        <is>
          <t>ID making it possible to pool a number of “facility – loan” type objects in order to reflect the fact that they stem from a single financing</t>
        </is>
      </c>
      <c r="K137" s="269" t="inlineStr">
        <is>
          <t>ND</t>
        </is>
      </c>
      <c r="L137" s="310" t="inlineStr">
        <is>
          <t>ND</t>
        </is>
      </c>
      <c r="M137" s="1420" t="inlineStr">
        <is>
          <t>IdRegrpmt</t>
        </is>
      </c>
      <c r="N137" s="231" t="inlineStr">
        <is>
          <t>Facultatif</t>
        </is>
      </c>
      <c r="O137" s="236" t="inlineStr">
        <is>
          <t>Optional</t>
        </is>
      </c>
      <c r="P137" s="269" t="inlineStr">
        <is>
          <t>NA</t>
        </is>
      </c>
      <c r="Q137" s="269" t="inlineStr">
        <is>
          <t>NA</t>
        </is>
      </c>
      <c r="R137" s="311" t="inlineStr">
        <is>
          <t>Ex : dans le cas des financements spécialisés, cet identifiant permet de regrouper les tranches d'un même projet</t>
        </is>
      </c>
      <c r="S137" s="312" t="inlineStr">
        <is>
          <t>E.g.: in the case of specialised financing, this ID makes it possible to group together the tranches within a single project</t>
        </is>
      </c>
      <c r="T137" s="313" t="inlineStr">
        <is>
          <t>ALPHA</t>
        </is>
      </c>
      <c r="U137" s="237" t="inlineStr">
        <is>
          <t>NA</t>
        </is>
      </c>
      <c r="V137" s="238" t="inlineStr">
        <is>
          <t>NA</t>
        </is>
      </c>
      <c r="W137" s="257" t="n">
        <v>50</v>
      </c>
      <c r="X137" s="945" t="inlineStr">
        <is>
          <t>NA</t>
        </is>
      </c>
      <c r="Y137" s="237" t="n">
        <v>40</v>
      </c>
      <c r="Z137" s="237" t="inlineStr">
        <is>
          <t>NA</t>
        </is>
      </c>
      <c r="AA137" s="237" t="inlineStr">
        <is>
          <t>NA</t>
        </is>
      </c>
      <c r="AB137" s="636" t="inlineStr">
        <is>
          <t>USAGE ZP</t>
        </is>
      </c>
      <c r="AC137" s="231" t="inlineStr">
        <is>
          <t>ND</t>
        </is>
      </c>
      <c r="AD137" s="315" t="inlineStr">
        <is>
          <t>N</t>
        </is>
      </c>
      <c r="AE137" s="257" t="inlineStr">
        <is>
          <t>NA</t>
        </is>
      </c>
      <c r="AF137" s="257" t="inlineStr">
        <is>
          <t>NA</t>
        </is>
      </c>
      <c r="AG137" s="258" t="inlineStr">
        <is>
          <t>NA</t>
        </is>
      </c>
      <c r="AH137" s="89" t="n"/>
      <c r="AI137" s="316" t="n"/>
      <c r="AJ137" s="317" t="n"/>
      <c r="AK137" s="257" t="n"/>
      <c r="AL137" s="258" t="n"/>
      <c r="AM137" s="318" t="n"/>
      <c r="AN137" s="317" t="n"/>
      <c r="AO137" s="257" t="n"/>
      <c r="AP137" s="258" t="n"/>
      <c r="AQ137" s="318" t="n"/>
      <c r="AR137" s="317" t="n"/>
      <c r="AS137" s="257" t="n"/>
      <c r="AT137" s="258" t="n"/>
      <c r="AU137" s="318" t="n"/>
      <c r="AV137" s="317" t="n"/>
      <c r="AW137" s="257" t="n"/>
      <c r="AX137" s="258" t="n"/>
      <c r="AY137" s="318" t="n"/>
      <c r="AZ137" s="317" t="n"/>
      <c r="BA137" s="257" t="n"/>
      <c r="BB137" s="258" t="n"/>
      <c r="BC137" s="316" t="n"/>
      <c r="BD137" s="317" t="n"/>
      <c r="BE137" s="257" t="n"/>
      <c r="BF137" s="258" t="n"/>
      <c r="BG137" s="89" t="n"/>
      <c r="BH1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7">
        <f>_xlfn.LET(r,ROW(),oc,INDEX($A:$A,r),cv,TRIM(INDEX($Y:$Y,r)&amp;""),IF(oc&lt;&gt;"P1","",IF(cv="45","V45 - novo, nao alimentado pelo spool atual","V44 - alimentado pelo spool atual")))</f>
        <v/>
      </c>
    </row>
    <row r="138" ht="54" customFormat="1" customHeight="1" s="90">
      <c r="A138" s="306" t="inlineStr">
        <is>
          <t>F1</t>
        </is>
      </c>
      <c r="B138" s="307" t="n">
        <v>22</v>
      </c>
      <c r="C138" s="269" t="inlineStr">
        <is>
          <t>03 - Caractéristiques Générales</t>
        </is>
      </c>
      <c r="D138" s="236" t="inlineStr">
        <is>
          <t>03 - General characteristics</t>
        </is>
      </c>
      <c r="E138" s="307" t="inlineStr">
        <is>
          <t>F1 2.5</t>
        </is>
      </c>
      <c r="F138" s="308" t="inlineStr">
        <is>
          <t>Entité initiatrice</t>
        </is>
      </c>
      <c r="G138" s="309" t="inlineStr">
        <is>
          <t>Originating entity</t>
        </is>
      </c>
      <c r="H138" s="309" t="n"/>
      <c r="I138" s="241" t="inlineStr">
        <is>
          <t>Correspond au code Consolidation Comptable de l'entité initiatrice (demandeuse) de l'autorisation. Il s'agit de l'entité ayant initialisé la demande</t>
        </is>
      </c>
      <c r="J138" s="233" t="inlineStr">
        <is>
          <t>Represents the Accounting Consolidation code of the originating entity (applicant) of the facility. This is the entity having initiated the application</t>
        </is>
      </c>
      <c r="K138" s="269" t="inlineStr">
        <is>
          <t>ND</t>
        </is>
      </c>
      <c r="L138" s="310" t="inlineStr">
        <is>
          <t>ND</t>
        </is>
      </c>
      <c r="M138" s="1420" t="inlineStr">
        <is>
          <t>EntInitiat</t>
        </is>
      </c>
      <c r="N138" s="231" t="inlineStr">
        <is>
          <t>Facultatif</t>
        </is>
      </c>
      <c r="O138" s="236" t="inlineStr">
        <is>
          <t>Optional</t>
        </is>
      </c>
      <c r="P138" s="269" t="inlineStr">
        <is>
          <t>LC.0003</t>
        </is>
      </c>
      <c r="Q138" s="269" t="inlineStr">
        <is>
          <t>TA FI59</t>
        </is>
      </c>
      <c r="R138" s="311" t="inlineStr">
        <is>
          <t>NA</t>
        </is>
      </c>
      <c r="S138" s="312" t="inlineStr">
        <is>
          <t>NA</t>
        </is>
      </c>
      <c r="T138" s="313" t="inlineStr">
        <is>
          <t>ALPHA</t>
        </is>
      </c>
      <c r="U138" s="237" t="inlineStr">
        <is>
          <t>NA</t>
        </is>
      </c>
      <c r="V138" s="238" t="inlineStr">
        <is>
          <t>NA</t>
        </is>
      </c>
      <c r="W138" s="257" t="n">
        <v>5</v>
      </c>
      <c r="X138" s="945" t="inlineStr">
        <is>
          <t>NA</t>
        </is>
      </c>
      <c r="Y138" s="237" t="n">
        <v>40</v>
      </c>
      <c r="Z138" s="237" t="inlineStr">
        <is>
          <t>NA</t>
        </is>
      </c>
      <c r="AA138" s="237" t="inlineStr">
        <is>
          <t>NA</t>
        </is>
      </c>
      <c r="AB138" s="269" t="inlineStr">
        <is>
          <t>USAGE ZP</t>
        </is>
      </c>
      <c r="AC138" s="231" t="inlineStr">
        <is>
          <t>ND</t>
        </is>
      </c>
      <c r="AD138" s="315" t="inlineStr">
        <is>
          <t>N</t>
        </is>
      </c>
      <c r="AE138" s="257" t="inlineStr">
        <is>
          <t>NA</t>
        </is>
      </c>
      <c r="AF138" s="257" t="inlineStr">
        <is>
          <t>NA</t>
        </is>
      </c>
      <c r="AG138" s="258" t="inlineStr">
        <is>
          <t>NA</t>
        </is>
      </c>
      <c r="AH138" s="89" t="n"/>
      <c r="AI138" s="316" t="n"/>
      <c r="AJ138" s="317" t="n"/>
      <c r="AK138" s="257" t="n"/>
      <c r="AL138" s="335" t="n"/>
      <c r="AM138" s="336" t="inlineStr">
        <is>
          <t>Si elle est renseignée, la valeur doit être connue du Langage Commun associé</t>
        </is>
      </c>
      <c r="AN138" s="317" t="inlineStr">
        <is>
          <t>If specified, the value must be known to the associated Common Language</t>
        </is>
      </c>
      <c r="AO138" s="257" t="n">
        <v>7</v>
      </c>
      <c r="AP138" s="258" t="inlineStr">
        <is>
          <t>TIG0001</t>
        </is>
      </c>
      <c r="AQ138" s="318" t="n"/>
      <c r="AR138" s="317" t="n"/>
      <c r="AS138" s="257" t="n"/>
      <c r="AT138" s="258" t="n"/>
      <c r="AU138" s="318" t="n"/>
      <c r="AV138" s="317" t="n"/>
      <c r="AW138" s="257" t="n"/>
      <c r="AX138" s="258" t="n"/>
      <c r="AY138" s="318" t="n"/>
      <c r="AZ138" s="317" t="n"/>
      <c r="BA138" s="257" t="n"/>
      <c r="BB138" s="258" t="n"/>
      <c r="BC138" s="316" t="n"/>
      <c r="BD138" s="317" t="n"/>
      <c r="BE138" s="257" t="n"/>
      <c r="BF138" s="258" t="n"/>
      <c r="BG138" s="89" t="n"/>
      <c r="BH1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8">
        <f>_xlfn.LET(r,ROW(),oc,INDEX($A:$A,r),cv,TRIM(INDEX($Y:$Y,r)&amp;""),IF(oc&lt;&gt;"P1","",IF(cv="45","V45 - novo, nao alimentado pelo spool atual","V44 - alimentado pelo spool atual")))</f>
        <v/>
      </c>
    </row>
    <row r="139" ht="54" customFormat="1" customHeight="1" s="90">
      <c r="A139" s="306" t="inlineStr">
        <is>
          <t>F1</t>
        </is>
      </c>
      <c r="B139" s="307" t="n">
        <v>23</v>
      </c>
      <c r="C139" s="269" t="inlineStr">
        <is>
          <t>03 - Caractéristiques Générales</t>
        </is>
      </c>
      <c r="D139" s="236" t="inlineStr">
        <is>
          <t>03 - General characteristics</t>
        </is>
      </c>
      <c r="E139" s="307" t="inlineStr">
        <is>
          <t>F1 2.6</t>
        </is>
      </c>
      <c r="F139" s="308" t="inlineStr">
        <is>
          <t>Identifiant local du tiers principal</t>
        </is>
      </c>
      <c r="G139" s="309" t="inlineStr">
        <is>
          <t>Local ID of principal external counterparty</t>
        </is>
      </c>
      <c r="H139" s="309" t="n"/>
      <c r="I139" s="241" t="inlineStr">
        <is>
          <t>Identifiant du tiers principal dans le système local utilisé pour générer le flux</t>
        </is>
      </c>
      <c r="J139" s="233" t="inlineStr">
        <is>
          <t>ID of principal external counterparty in the local system used to generate the flow</t>
        </is>
      </c>
      <c r="K139" s="269" t="inlineStr">
        <is>
          <t>ND</t>
        </is>
      </c>
      <c r="L139" s="310" t="inlineStr">
        <is>
          <t>ND</t>
        </is>
      </c>
      <c r="M139" s="1420" t="inlineStr">
        <is>
          <t>IdLocalTiersPrn</t>
        </is>
      </c>
      <c r="N139" s="231" t="inlineStr">
        <is>
          <t>Obligatoire</t>
        </is>
      </c>
      <c r="O139" s="236" t="inlineStr">
        <is>
          <t>Mandatory</t>
        </is>
      </c>
      <c r="P139" s="269" t="inlineStr">
        <is>
          <t>NA</t>
        </is>
      </c>
      <c r="Q139" s="269" t="inlineStr">
        <is>
          <t>NA</t>
        </is>
      </c>
      <c r="R139" s="311" t="inlineStr">
        <is>
          <t>Le tiers principal est le tiers privilégié au nom duquel la demande d'autorisation est réalisée par l'entité initiatrice.
Peut être différent des tiers inscrits sur les lignes d'autorisation attachées. Ce tiers doit donc être connu du Référentiel Groupe au même titre que les contreparties "directes"</t>
        </is>
      </c>
      <c r="S139" s="312" t="inlineStr">
        <is>
          <t>The principal external counterparty is the preferred external counterparty on whose behalf the originating entity seeks the facility.
May differ from the external counterparties specified in the associated facility lines. This external counterparty can thus be found in the Group Reference Base on the same basis as “direct” counterparties</t>
        </is>
      </c>
      <c r="T139" s="313" t="inlineStr">
        <is>
          <t>ALPHA</t>
        </is>
      </c>
      <c r="U139" s="237" t="inlineStr">
        <is>
          <t>NA</t>
        </is>
      </c>
      <c r="V139" s="238" t="inlineStr">
        <is>
          <t>NA</t>
        </is>
      </c>
      <c r="W139" s="257" t="n">
        <v>20</v>
      </c>
      <c r="X139" s="945" t="inlineStr">
        <is>
          <t>NA</t>
        </is>
      </c>
      <c r="Y139" s="237" t="n">
        <v>40</v>
      </c>
      <c r="Z139" s="237" t="inlineStr">
        <is>
          <t>NA</t>
        </is>
      </c>
      <c r="AA139" s="237" t="inlineStr">
        <is>
          <t>NA</t>
        </is>
      </c>
      <c r="AB139" s="636" t="inlineStr">
        <is>
          <t>USAGE ZP</t>
        </is>
      </c>
      <c r="AC139" s="231" t="inlineStr">
        <is>
          <t>ND</t>
        </is>
      </c>
      <c r="AD139" s="315" t="inlineStr">
        <is>
          <t>N</t>
        </is>
      </c>
      <c r="AE139" s="257" t="inlineStr">
        <is>
          <t>NA</t>
        </is>
      </c>
      <c r="AF139" s="257" t="inlineStr">
        <is>
          <t>NA</t>
        </is>
      </c>
      <c r="AG139" s="258" t="inlineStr">
        <is>
          <t>NA</t>
        </is>
      </c>
      <c r="AH139" s="89" t="n"/>
      <c r="AI139" s="316" t="inlineStr">
        <is>
          <t>La donnée est obligatoire</t>
        </is>
      </c>
      <c r="AJ139" s="317" t="inlineStr">
        <is>
          <t>The data is mandatory</t>
        </is>
      </c>
      <c r="AK139" s="257" t="n">
        <v>7</v>
      </c>
      <c r="AL139" s="335" t="inlineStr">
        <is>
          <t>TPG0001</t>
        </is>
      </c>
      <c r="AM139" s="318" t="n"/>
      <c r="AN139" s="317" t="n"/>
      <c r="AO139" s="257" t="n"/>
      <c r="AP139" s="258" t="n"/>
      <c r="AQ139" s="318" t="n"/>
      <c r="AR139" s="317" t="n"/>
      <c r="AS139" s="257" t="n"/>
      <c r="AT139" s="258" t="n"/>
      <c r="AU139" s="318" t="n"/>
      <c r="AV139" s="317" t="n"/>
      <c r="AW139" s="257" t="n"/>
      <c r="AX139" s="258" t="n"/>
      <c r="AY139" s="337" t="inlineStr">
        <is>
          <t>Le tiers doit exister (présence du tiers dans TIGRE)</t>
        </is>
      </c>
      <c r="AZ139" s="317" t="inlineStr">
        <is>
          <t>The third-party must exist (presence of the third-party in TIGRE)</t>
        </is>
      </c>
      <c r="BA139" s="257" t="n">
        <v>7</v>
      </c>
      <c r="BB139" s="338" t="inlineStr">
        <is>
          <t>TIG0002</t>
        </is>
      </c>
      <c r="BC139" s="316" t="n"/>
      <c r="BD139" s="317" t="n"/>
      <c r="BE139" s="257" t="n"/>
      <c r="BF139" s="258" t="n"/>
      <c r="BG139" s="89" t="n"/>
      <c r="BH1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9">
        <f>_xlfn.LET(r,ROW(),oc,INDEX($A:$A,r),cv,TRIM(INDEX($Y:$Y,r)&amp;""),IF(oc&lt;&gt;"P1","",IF(cv="45","V45 - novo, nao alimentado pelo spool atual","V44 - alimentado pelo spool atual")))</f>
        <v/>
      </c>
    </row>
    <row r="140" ht="54" customFormat="1" customHeight="1" s="90">
      <c r="A140" s="306" t="inlineStr">
        <is>
          <t>F1</t>
        </is>
      </c>
      <c r="B140" s="307" t="n">
        <v>24</v>
      </c>
      <c r="C140" s="269" t="inlineStr">
        <is>
          <t>03 - Caractéristiques Générales</t>
        </is>
      </c>
      <c r="D140" s="236" t="inlineStr">
        <is>
          <t>03 - General characteristics</t>
        </is>
      </c>
      <c r="E140" s="307" t="inlineStr">
        <is>
          <t>F1 2.7</t>
        </is>
      </c>
      <c r="F140" s="308" t="inlineStr">
        <is>
          <t>Identifiant central du tiers principal</t>
        </is>
      </c>
      <c r="G140" s="309" t="inlineStr">
        <is>
          <t>Central ID of principal external counterparty</t>
        </is>
      </c>
      <c r="H140" s="309" t="n"/>
      <c r="I140" s="339" t="inlineStr">
        <is>
          <t>Identifiant du Tiers principal dans le système central DRG</t>
        </is>
      </c>
      <c r="J140" s="233" t="inlineStr">
        <is>
          <t>ID of the principal External Counterparty in the Group Risk Management Division IT system</t>
        </is>
      </c>
      <c r="K140" s="269" t="inlineStr">
        <is>
          <t>ND</t>
        </is>
      </c>
      <c r="L140" s="310" t="inlineStr">
        <is>
          <t>ND</t>
        </is>
      </c>
      <c r="M140" s="1420" t="inlineStr">
        <is>
          <t>IdCentralTiersPrn</t>
        </is>
      </c>
      <c r="N140" s="231" t="inlineStr">
        <is>
          <t>Facultatif</t>
        </is>
      </c>
      <c r="O140" s="236" t="inlineStr">
        <is>
          <t>Optional</t>
        </is>
      </c>
      <c r="P140" s="269" t="inlineStr">
        <is>
          <t>NA</t>
        </is>
      </c>
      <c r="Q140" s="269" t="inlineStr">
        <is>
          <t>NA</t>
        </is>
      </c>
      <c r="R140" s="311" t="inlineStr">
        <is>
          <t>Identifiant fourni par DRG dans le fichier mensuel Référentiel ‘Tiers groupes' transmis aux entités émettrices du flux.
Obligatoire pour une entité amettrice d'un flux FTCA</t>
        </is>
      </c>
      <c r="S140" s="312" t="inlineStr">
        <is>
          <t>ID provided by the Group Risk Management Division in the monthly “External Counterparties Groups” file (DTG) sent to entities issuing flows.
Mandatory for entities issuing an FTCA flow</t>
        </is>
      </c>
      <c r="T140" s="313" t="inlineStr">
        <is>
          <t>ALPHA</t>
        </is>
      </c>
      <c r="U140" s="237" t="inlineStr">
        <is>
          <t>NA</t>
        </is>
      </c>
      <c r="V140" s="238" t="inlineStr">
        <is>
          <t>NA</t>
        </is>
      </c>
      <c r="W140" s="257" t="n">
        <v>10</v>
      </c>
      <c r="X140" s="945" t="inlineStr">
        <is>
          <t>NA</t>
        </is>
      </c>
      <c r="Y140" s="237" t="n">
        <v>40</v>
      </c>
      <c r="Z140" s="237" t="inlineStr">
        <is>
          <t>NA</t>
        </is>
      </c>
      <c r="AA140" s="237" t="inlineStr">
        <is>
          <t>45.00</t>
        </is>
      </c>
      <c r="AB140" s="636" t="inlineStr">
        <is>
          <t>PALMA</t>
        </is>
      </c>
      <c r="AC140" s="231" t="inlineStr">
        <is>
          <t>ND</t>
        </is>
      </c>
      <c r="AD140" s="315" t="inlineStr">
        <is>
          <t>N</t>
        </is>
      </c>
      <c r="AE140" s="257" t="inlineStr">
        <is>
          <t>NA</t>
        </is>
      </c>
      <c r="AF140" s="257" t="inlineStr">
        <is>
          <t>NA</t>
        </is>
      </c>
      <c r="AG140" s="258" t="inlineStr">
        <is>
          <t>NA</t>
        </is>
      </c>
      <c r="AH140" s="89" t="n"/>
      <c r="AI140" s="316" t="n"/>
      <c r="AJ140" s="317" t="n"/>
      <c r="AK140" s="257" t="n"/>
      <c r="AL140" s="258" t="n"/>
      <c r="AM140" s="318" t="n"/>
      <c r="AN140" s="317" t="n"/>
      <c r="AO140" s="257" t="n"/>
      <c r="AP140" s="258" t="n"/>
      <c r="AQ140" s="318" t="n"/>
      <c r="AR140" s="317" t="n"/>
      <c r="AS140" s="257" t="n"/>
      <c r="AT140" s="258" t="n"/>
      <c r="AU140" s="318" t="n"/>
      <c r="AV140" s="317" t="n"/>
      <c r="AW140" s="257" t="n"/>
      <c r="AX140" s="258" t="n"/>
      <c r="AY140" s="1240" t="inlineStr">
        <is>
          <t xml:space="preserve">S'il est renseigné, l'identifiant doit correspondre à un enregistrement dans l'objet associé, indépendamment de l'entité
---
Le tiers doit exister (présence du tiers dans TIGRE)
---
Le couple identifiant local / central (F1 2.6 et F1 2.7) doit exister dans TIGRE
</t>
        </is>
      </c>
      <c r="AZ140" s="931" t="inlineStr">
        <is>
          <t xml:space="preserve">If it is filled in, the identifier must correspond to a record in the associated object, regardless of the entity
---
The third-party must exist (presence of the third-party in TIGRE)
---
The local/central identifier pair (F1 2.6 and F1 2.7) must exist in TIGRE
</t>
        </is>
      </c>
      <c r="BA140" s="1181" t="inlineStr">
        <is>
          <t>7
6
6</t>
        </is>
      </c>
      <c r="BB140" s="1238" t="inlineStr">
        <is>
          <t>TI0003
TIG0002
TIG0004</t>
        </is>
      </c>
      <c r="BC140" s="316" t="n"/>
      <c r="BD140" s="317" t="n"/>
      <c r="BE140" s="257" t="n"/>
      <c r="BF140" s="258" t="n"/>
      <c r="BG140" s="89" t="n"/>
      <c r="BH1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0">
        <f>_xlfn.LET(r,ROW(),oc,INDEX($A:$A,r),cv,TRIM(INDEX($Y:$Y,r)&amp;""),IF(oc&lt;&gt;"P1","",IF(cv="45","V45 - novo, nao alimentado pelo spool atual","V44 - alimentado pelo spool atual")))</f>
        <v/>
      </c>
    </row>
    <row r="141" ht="54" customFormat="1" customHeight="1" s="90">
      <c r="A141" s="306" t="inlineStr">
        <is>
          <t>F1</t>
        </is>
      </c>
      <c r="B141" s="307" t="n">
        <v>25</v>
      </c>
      <c r="C141" s="269" t="inlineStr">
        <is>
          <t>03 - Caractéristiques Générales</t>
        </is>
      </c>
      <c r="D141" s="236" t="inlineStr">
        <is>
          <t>03 - General characteristics</t>
        </is>
      </c>
      <c r="E141" s="307" t="inlineStr">
        <is>
          <t>F1 2.8</t>
        </is>
      </c>
      <c r="F141" s="308" t="inlineStr">
        <is>
          <t>Type Opération</t>
        </is>
      </c>
      <c r="G141" s="309" t="inlineStr">
        <is>
          <t>Transaction Type</t>
        </is>
      </c>
      <c r="H141" s="309" t="n"/>
      <c r="I141" s="241" t="inlineStr">
        <is>
          <t>Correspond au type des opérations autorisées à être tirées dans le cadre de l'autorisation mise en place</t>
        </is>
      </c>
      <c r="J141" s="233" t="inlineStr">
        <is>
          <t>Represents the type of transactions authorised for draw-down under the arranged facility</t>
        </is>
      </c>
      <c r="K141" s="269" t="inlineStr">
        <is>
          <t>ND</t>
        </is>
      </c>
      <c r="L141" s="310" t="inlineStr">
        <is>
          <t>ND</t>
        </is>
      </c>
      <c r="M141" s="1420" t="inlineStr">
        <is>
          <t>cdTypeOpe</t>
        </is>
      </c>
      <c r="N141" s="231" t="inlineStr">
        <is>
          <t>Facultatif</t>
        </is>
      </c>
      <c r="O141" s="236" t="inlineStr">
        <is>
          <t>Optional</t>
        </is>
      </c>
      <c r="P141" s="269" t="inlineStr">
        <is>
          <t>LC.0021</t>
        </is>
      </c>
      <c r="Q141" s="269" t="inlineStr">
        <is>
          <t>TA KVOPER</t>
        </is>
      </c>
      <c r="R141" s="311" t="inlineStr">
        <is>
          <t>NA</t>
        </is>
      </c>
      <c r="S141" s="312" t="inlineStr">
        <is>
          <t>NA</t>
        </is>
      </c>
      <c r="T141" s="313" t="inlineStr">
        <is>
          <t>NUM</t>
        </is>
      </c>
      <c r="U141" s="237" t="inlineStr">
        <is>
          <t>NA</t>
        </is>
      </c>
      <c r="V141" s="238" t="inlineStr">
        <is>
          <t>NA</t>
        </is>
      </c>
      <c r="W141" s="257" t="n">
        <v>2</v>
      </c>
      <c r="X141" s="945" t="inlineStr">
        <is>
          <t>NA</t>
        </is>
      </c>
      <c r="Y141" s="237" t="n">
        <v>40</v>
      </c>
      <c r="Z141" s="237" t="inlineStr">
        <is>
          <t>NA</t>
        </is>
      </c>
      <c r="AA141" s="270" t="inlineStr">
        <is>
          <t>NA</t>
        </is>
      </c>
      <c r="AB141" s="1287" t="inlineStr">
        <is>
          <t>USAGE ZP</t>
        </is>
      </c>
      <c r="AC141" s="231" t="inlineStr">
        <is>
          <t>ND</t>
        </is>
      </c>
      <c r="AD141" s="315" t="inlineStr">
        <is>
          <t>N</t>
        </is>
      </c>
      <c r="AE141" s="257" t="inlineStr">
        <is>
          <t>NA</t>
        </is>
      </c>
      <c r="AF141" s="257" t="inlineStr">
        <is>
          <t>NA</t>
        </is>
      </c>
      <c r="AG141" s="258" t="inlineStr">
        <is>
          <t>NA</t>
        </is>
      </c>
      <c r="AH141" s="89" t="n"/>
      <c r="AI141" s="316" t="n"/>
      <c r="AJ141" s="317" t="n"/>
      <c r="AK141" s="257" t="n"/>
      <c r="AL141" s="258" t="n"/>
      <c r="AM141" s="210" t="inlineStr">
        <is>
          <t>Si elle est renseignée, la valeur doit être connue du Langage Commun associé</t>
        </is>
      </c>
      <c r="AN141" s="211" t="inlineStr">
        <is>
          <t>If specified, the value must be known to the associated Common Language</t>
        </is>
      </c>
      <c r="AO141" s="257" t="n">
        <v>7</v>
      </c>
      <c r="AP141" s="212" t="inlineStr">
        <is>
          <t>TIG0001</t>
        </is>
      </c>
      <c r="AQ141" s="318" t="n"/>
      <c r="AR141" s="317" t="n"/>
      <c r="AS141" s="257" t="n"/>
      <c r="AT141" s="258" t="n"/>
      <c r="AU141" s="318" t="n"/>
      <c r="AV141" s="317" t="n"/>
      <c r="AW141" s="257" t="n"/>
      <c r="AX141" s="258" t="n"/>
      <c r="AY141" s="318" t="n"/>
      <c r="AZ141" s="317" t="n"/>
      <c r="BA141" s="257" t="n"/>
      <c r="BB141" s="258" t="n"/>
      <c r="BC141" s="316" t="n"/>
      <c r="BD141" s="317" t="n"/>
      <c r="BE141" s="257" t="n"/>
      <c r="BF141" s="258" t="n"/>
      <c r="BG141" s="89" t="n"/>
      <c r="BH1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1">
        <f>_xlfn.LET(r,ROW(),oc,INDEX($A:$A,r),cv,TRIM(INDEX($Y:$Y,r)&amp;""),IF(oc&lt;&gt;"P1","",IF(cv="45","V45 - novo, nao alimentado pelo spool atual","V44 - alimentado pelo spool atual")))</f>
        <v/>
      </c>
    </row>
    <row r="142" ht="54" customFormat="1" customHeight="1" s="90">
      <c r="A142" s="306" t="inlineStr">
        <is>
          <t>F1</t>
        </is>
      </c>
      <c r="B142" s="307" t="n">
        <v>26</v>
      </c>
      <c r="C142" s="269" t="inlineStr">
        <is>
          <t>03 - Caractéristiques Générales</t>
        </is>
      </c>
      <c r="D142" s="236" t="inlineStr">
        <is>
          <t>03 - General characteristics</t>
        </is>
      </c>
      <c r="E142" s="307" t="inlineStr">
        <is>
          <t>F1 2.9</t>
        </is>
      </c>
      <c r="F142" s="308" t="inlineStr">
        <is>
          <t>Objet du crédit</t>
        </is>
      </c>
      <c r="G142" s="309" t="inlineStr">
        <is>
          <t>Purpose of loan</t>
        </is>
      </c>
      <c r="H142" s="309" t="n"/>
      <c r="I142" s="241" t="inlineStr">
        <is>
          <t>Correspond à la destination économique du financement lié à l'autorisation mise en place</t>
        </is>
      </c>
      <c r="J142" s="233" t="inlineStr">
        <is>
          <t>Represents the economic purpose of the financing associated with the arranged facility</t>
        </is>
      </c>
      <c r="K142" s="269" t="inlineStr">
        <is>
          <t>ND</t>
        </is>
      </c>
      <c r="L142" s="310" t="inlineStr">
        <is>
          <t>ND</t>
        </is>
      </c>
      <c r="M142" s="1420" t="inlineStr">
        <is>
          <t>OcdbjCred</t>
        </is>
      </c>
      <c r="N142" s="231" t="inlineStr">
        <is>
          <t>Facultatif</t>
        </is>
      </c>
      <c r="O142" s="236" t="inlineStr">
        <is>
          <t>Optional</t>
        </is>
      </c>
      <c r="P142" s="269" t="inlineStr">
        <is>
          <t>LC.0022</t>
        </is>
      </c>
      <c r="Q142" s="269" t="inlineStr">
        <is>
          <t>TA KVOBJET</t>
        </is>
      </c>
      <c r="R142" s="311" t="inlineStr">
        <is>
          <t>NA</t>
        </is>
      </c>
      <c r="S142" s="312" t="inlineStr">
        <is>
          <t>NA</t>
        </is>
      </c>
      <c r="T142" s="313" t="inlineStr">
        <is>
          <t>NUM</t>
        </is>
      </c>
      <c r="U142" s="237" t="inlineStr">
        <is>
          <t>NA</t>
        </is>
      </c>
      <c r="V142" s="238" t="inlineStr">
        <is>
          <t>NA</t>
        </is>
      </c>
      <c r="W142" s="257" t="n">
        <v>2</v>
      </c>
      <c r="X142" s="945" t="inlineStr">
        <is>
          <t>NA</t>
        </is>
      </c>
      <c r="Y142" s="237" t="n">
        <v>40</v>
      </c>
      <c r="Z142" s="237" t="inlineStr">
        <is>
          <t>NA</t>
        </is>
      </c>
      <c r="AA142" s="270" t="inlineStr">
        <is>
          <t>NA</t>
        </is>
      </c>
      <c r="AB142" s="1287" t="inlineStr">
        <is>
          <t>USAGE ZP</t>
        </is>
      </c>
      <c r="AC142" s="231" t="inlineStr">
        <is>
          <t>ND</t>
        </is>
      </c>
      <c r="AD142" s="315" t="inlineStr">
        <is>
          <t>N</t>
        </is>
      </c>
      <c r="AE142" s="257" t="inlineStr">
        <is>
          <t>NA</t>
        </is>
      </c>
      <c r="AF142" s="257" t="inlineStr">
        <is>
          <t>NA</t>
        </is>
      </c>
      <c r="AG142" s="258" t="inlineStr">
        <is>
          <t>NA</t>
        </is>
      </c>
      <c r="AH142" s="89" t="n"/>
      <c r="AI142" s="316" t="n"/>
      <c r="AJ142" s="317" t="n"/>
      <c r="AK142" s="257" t="n"/>
      <c r="AL142" s="258" t="n"/>
      <c r="AM142" s="210" t="inlineStr">
        <is>
          <t>Si elle est renseignée, la valeur doit être connue du Langage Commun associé</t>
        </is>
      </c>
      <c r="AN142" s="211" t="inlineStr">
        <is>
          <t>If specified, the value must be known to the associated Common Language</t>
        </is>
      </c>
      <c r="AO142" s="257" t="n">
        <v>7</v>
      </c>
      <c r="AP142" s="212" t="inlineStr">
        <is>
          <t>TIG0001</t>
        </is>
      </c>
      <c r="AQ142" s="318" t="n"/>
      <c r="AR142" s="317" t="n"/>
      <c r="AS142" s="257" t="n"/>
      <c r="AT142" s="258" t="n"/>
      <c r="AU142" s="318" t="n"/>
      <c r="AV142" s="317" t="n"/>
      <c r="AW142" s="257" t="n"/>
      <c r="AX142" s="258" t="n"/>
      <c r="AY142" s="318" t="n"/>
      <c r="AZ142" s="317" t="n"/>
      <c r="BA142" s="257" t="n"/>
      <c r="BB142" s="258" t="n"/>
      <c r="BC142" s="316" t="n"/>
      <c r="BD142" s="317" t="n"/>
      <c r="BE142" s="257" t="n"/>
      <c r="BF142" s="258" t="n"/>
      <c r="BG142" s="89" t="n"/>
      <c r="BH1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2">
        <f>_xlfn.LET(r,ROW(),oc,INDEX($A:$A,r),cv,TRIM(INDEX($Y:$Y,r)&amp;""),IF(oc&lt;&gt;"P1","",IF(cv="45","V45 - novo, nao alimentado pelo spool atual","V44 - alimentado pelo spool atual")))</f>
        <v/>
      </c>
    </row>
    <row r="143" ht="54" customFormat="1" customHeight="1" s="90">
      <c r="A143" s="306" t="inlineStr">
        <is>
          <t>F1</t>
        </is>
      </c>
      <c r="B143" s="307" t="n">
        <v>27</v>
      </c>
      <c r="C143" s="269" t="inlineStr">
        <is>
          <t>03 - Caractéristiques Générales</t>
        </is>
      </c>
      <c r="D143" s="236" t="inlineStr">
        <is>
          <t>03 - General characteristics</t>
        </is>
      </c>
      <c r="E143" s="307" t="inlineStr">
        <is>
          <t>F1 2.10</t>
        </is>
      </c>
      <c r="F143" s="308" t="inlineStr">
        <is>
          <t>Hiérarchie d'accord</t>
        </is>
      </c>
      <c r="G143" s="309" t="inlineStr">
        <is>
          <t>Approval hierarchy</t>
        </is>
      </c>
      <c r="H143" s="309" t="n"/>
      <c r="I143" s="241" t="inlineStr">
        <is>
          <t>Correspond au cadre de délégation ayant accordé l'autorisation</t>
        </is>
      </c>
      <c r="J143" s="233" t="inlineStr">
        <is>
          <t>Represents the delegation framework having granted the facility</t>
        </is>
      </c>
      <c r="K143" s="269" t="inlineStr">
        <is>
          <t>ND</t>
        </is>
      </c>
      <c r="L143" s="310" t="inlineStr">
        <is>
          <t>ND</t>
        </is>
      </c>
      <c r="M143" s="1420" t="inlineStr">
        <is>
          <t>cdHierarAccor</t>
        </is>
      </c>
      <c r="N143" s="231" t="inlineStr">
        <is>
          <t>Facultatif</t>
        </is>
      </c>
      <c r="O143" s="236" t="inlineStr">
        <is>
          <t>Optional</t>
        </is>
      </c>
      <c r="P143" s="269" t="inlineStr">
        <is>
          <t>LC.0023</t>
        </is>
      </c>
      <c r="Q143" s="269" t="inlineStr">
        <is>
          <t>TA KVHIER</t>
        </is>
      </c>
      <c r="R143" s="311" t="inlineStr">
        <is>
          <t>Information nécessaire pour déterminer si l'autorisation est de délégation locale ou Siège</t>
        </is>
      </c>
      <c r="S143" s="312" t="inlineStr">
        <is>
          <t>Information required to determine whether the facility has been granted locally or by HQ</t>
        </is>
      </c>
      <c r="T143" s="313" t="inlineStr">
        <is>
          <t>NUM</t>
        </is>
      </c>
      <c r="U143" s="237" t="inlineStr">
        <is>
          <t>NA</t>
        </is>
      </c>
      <c r="V143" s="238" t="inlineStr">
        <is>
          <t>NA</t>
        </is>
      </c>
      <c r="W143" s="257" t="n">
        <v>2</v>
      </c>
      <c r="X143" s="945" t="inlineStr">
        <is>
          <t>NA</t>
        </is>
      </c>
      <c r="Y143" s="237" t="n">
        <v>40</v>
      </c>
      <c r="Z143" s="237" t="inlineStr">
        <is>
          <t>NA</t>
        </is>
      </c>
      <c r="AA143" s="270" t="inlineStr">
        <is>
          <t>NA</t>
        </is>
      </c>
      <c r="AB143" s="1287" t="inlineStr">
        <is>
          <t>USAGE ZP</t>
        </is>
      </c>
      <c r="AC143" s="231" t="inlineStr">
        <is>
          <t>ND</t>
        </is>
      </c>
      <c r="AD143" s="315" t="inlineStr">
        <is>
          <t>N</t>
        </is>
      </c>
      <c r="AE143" s="257" t="inlineStr">
        <is>
          <t>NA</t>
        </is>
      </c>
      <c r="AF143" s="257" t="inlineStr">
        <is>
          <t>NA</t>
        </is>
      </c>
      <c r="AG143" s="258" t="inlineStr">
        <is>
          <t>NA</t>
        </is>
      </c>
      <c r="AH143" s="89" t="n"/>
      <c r="AI143" s="316" t="n"/>
      <c r="AJ143" s="317" t="n"/>
      <c r="AK143" s="257" t="n"/>
      <c r="AL143" s="258" t="n"/>
      <c r="AM143" s="210" t="inlineStr">
        <is>
          <t>Si elle est renseignée, la valeur doit être connue du Langage Commun associé</t>
        </is>
      </c>
      <c r="AN143" s="211" t="inlineStr">
        <is>
          <t>If specified, the value must be known to the associated Common Language</t>
        </is>
      </c>
      <c r="AO143" s="257" t="n">
        <v>7</v>
      </c>
      <c r="AP143" s="212" t="inlineStr">
        <is>
          <t>TIG0001</t>
        </is>
      </c>
      <c r="AQ143" s="318" t="n"/>
      <c r="AR143" s="317" t="n"/>
      <c r="AS143" s="257" t="n"/>
      <c r="AT143" s="258" t="n"/>
      <c r="AU143" s="318" t="n"/>
      <c r="AV143" s="317" t="n"/>
      <c r="AW143" s="257" t="n"/>
      <c r="AX143" s="258" t="n"/>
      <c r="AY143" s="318" t="n"/>
      <c r="AZ143" s="317" t="n"/>
      <c r="BA143" s="257" t="n"/>
      <c r="BB143" s="258" t="n"/>
      <c r="BC143" s="316" t="n"/>
      <c r="BD143" s="317" t="n"/>
      <c r="BE143" s="257" t="n"/>
      <c r="BF143" s="258" t="n"/>
      <c r="BG143" s="89" t="n"/>
      <c r="BH1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3">
        <f>_xlfn.LET(r,ROW(),oc,INDEX($A:$A,r),cv,TRIM(INDEX($Y:$Y,r)&amp;""),IF(oc&lt;&gt;"P1","",IF(cv="45","V45 - novo, nao alimentado pelo spool atual","V44 - alimentado pelo spool atual")))</f>
        <v/>
      </c>
    </row>
    <row r="144" ht="54" customFormat="1" customHeight="1" s="90">
      <c r="A144" s="306" t="inlineStr">
        <is>
          <t>F1</t>
        </is>
      </c>
      <c r="B144" s="307" t="n">
        <v>28</v>
      </c>
      <c r="C144" s="269" t="inlineStr">
        <is>
          <t>03 - Caractéristiques Générales</t>
        </is>
      </c>
      <c r="D144" s="236" t="inlineStr">
        <is>
          <t>03 - General characteristics</t>
        </is>
      </c>
      <c r="E144" s="307" t="inlineStr">
        <is>
          <t>F1 2.11</t>
        </is>
      </c>
      <c r="F144" s="308" t="inlineStr">
        <is>
          <t>Code confirmation de l'autorisation</t>
        </is>
      </c>
      <c r="G144" s="309" t="inlineStr">
        <is>
          <t>Facility confirmation code</t>
        </is>
      </c>
      <c r="H144" s="309" t="n"/>
      <c r="I144" s="241" t="inlineStr">
        <is>
          <t>Correspond au niveau d'engagement de l'établissement dans une opération</t>
        </is>
      </c>
      <c r="J144" s="233" t="inlineStr">
        <is>
          <t>Represents the institution's level of commitment in a transaction</t>
        </is>
      </c>
      <c r="K144" s="269" t="inlineStr">
        <is>
          <t>ND</t>
        </is>
      </c>
      <c r="L144" s="310" t="inlineStr">
        <is>
          <t>ND</t>
        </is>
      </c>
      <c r="M144" s="1420" t="inlineStr">
        <is>
          <t>cdConfAut</t>
        </is>
      </c>
      <c r="N144" s="231" t="inlineStr">
        <is>
          <t>Obligatoire</t>
        </is>
      </c>
      <c r="O144" s="236" t="inlineStr">
        <is>
          <t>Mandatory</t>
        </is>
      </c>
      <c r="P144" s="269" t="inlineStr">
        <is>
          <t>LC.0024</t>
        </is>
      </c>
      <c r="Q144" s="269" t="inlineStr">
        <is>
          <t>TA KVCONF</t>
        </is>
      </c>
      <c r="R144" s="311" t="inlineStr">
        <is>
          <t>Seuls les encours portés par une autorisation confirmée sont pris en compte dans les traitements règlementaires (Bâle, GRR ..)</t>
        </is>
      </c>
      <c r="S144" s="312" t="inlineStr">
        <is>
          <t>Only outstanding amounts relating to a confirmed facility are taken into account for regulatory treatments (Basel II, Large Exposures..)</t>
        </is>
      </c>
      <c r="T144" s="313" t="inlineStr">
        <is>
          <t>ALPHA</t>
        </is>
      </c>
      <c r="U144" s="237" t="inlineStr">
        <is>
          <t>NA</t>
        </is>
      </c>
      <c r="V144" s="238" t="inlineStr">
        <is>
          <t>NA</t>
        </is>
      </c>
      <c r="W144" s="257" t="n">
        <v>1</v>
      </c>
      <c r="X144" s="945" t="inlineStr">
        <is>
          <t>NA</t>
        </is>
      </c>
      <c r="Y144" s="237" t="n">
        <v>40</v>
      </c>
      <c r="Z144" s="237" t="inlineStr">
        <is>
          <t>NA</t>
        </is>
      </c>
      <c r="AA144" s="270" t="inlineStr">
        <is>
          <t>NA</t>
        </is>
      </c>
      <c r="AB144" s="1287" t="inlineStr">
        <is>
          <t>ANACREDIT, DEI, LOAN TAPE</t>
        </is>
      </c>
      <c r="AC144" s="231" t="inlineStr">
        <is>
          <t>ND</t>
        </is>
      </c>
      <c r="AD144" s="315" t="inlineStr">
        <is>
          <t>N</t>
        </is>
      </c>
      <c r="AE144" s="257" t="inlineStr">
        <is>
          <t>NA</t>
        </is>
      </c>
      <c r="AF144" s="257" t="inlineStr">
        <is>
          <t>NA</t>
        </is>
      </c>
      <c r="AG144" s="258" t="inlineStr">
        <is>
          <t>NA</t>
        </is>
      </c>
      <c r="AH144" s="89" t="n"/>
      <c r="AI144" s="316" t="inlineStr">
        <is>
          <t>La donnée est obligatoire</t>
        </is>
      </c>
      <c r="AJ144" s="317" t="inlineStr">
        <is>
          <t>The data is mandatory</t>
        </is>
      </c>
      <c r="AK144" s="257" t="n">
        <v>7</v>
      </c>
      <c r="AL144" s="335" t="inlineStr">
        <is>
          <t>TPG0001</t>
        </is>
      </c>
      <c r="AM144" s="210" t="inlineStr">
        <is>
          <t>Si elle est renseignée, la valeur doit être connue du Langage Commun associé</t>
        </is>
      </c>
      <c r="AN144" s="211" t="inlineStr">
        <is>
          <t>If specified, the value must be known to the associated Common Language</t>
        </is>
      </c>
      <c r="AO144" s="257" t="n">
        <v>7</v>
      </c>
      <c r="AP144" s="212" t="inlineStr">
        <is>
          <t>TIG0001</t>
        </is>
      </c>
      <c r="AQ144" s="318" t="n"/>
      <c r="AR144" s="317" t="n"/>
      <c r="AS144" s="257" t="n"/>
      <c r="AT144" s="258" t="n"/>
      <c r="AU144" s="318" t="n"/>
      <c r="AV144" s="317" t="n"/>
      <c r="AW144" s="257" t="n"/>
      <c r="AX144" s="258" t="n"/>
      <c r="AY144" s="318" t="n"/>
      <c r="AZ144" s="317" t="n"/>
      <c r="BA144" s="257" t="n"/>
      <c r="BB144" s="258" t="n"/>
      <c r="BC144" s="316" t="n"/>
      <c r="BD144" s="317" t="n"/>
      <c r="BE144" s="257" t="n"/>
      <c r="BF144" s="258" t="n"/>
      <c r="BG144" s="89" t="n"/>
      <c r="BH1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4">
        <f>_xlfn.LET(r,ROW(),oc,INDEX($A:$A,r),cv,TRIM(INDEX($Y:$Y,r)&amp;""),IF(oc&lt;&gt;"P1","",IF(cv="45","V45 - novo, nao alimentado pelo spool atual","V44 - alimentado pelo spool atual")))</f>
        <v/>
      </c>
    </row>
    <row r="145" ht="54" customFormat="1" customHeight="1" s="90">
      <c r="A145" s="306" t="inlineStr">
        <is>
          <t>F1</t>
        </is>
      </c>
      <c r="B145" s="307" t="n">
        <v>29</v>
      </c>
      <c r="C145" s="269" t="inlineStr">
        <is>
          <t>03 - Caractéristiques Générales</t>
        </is>
      </c>
      <c r="D145" s="236" t="inlineStr">
        <is>
          <t>03 - General characteristics</t>
        </is>
      </c>
      <c r="E145" s="307" t="inlineStr">
        <is>
          <t>F1 2.12</t>
        </is>
      </c>
      <c r="F145" s="342" t="inlineStr">
        <is>
          <t>Montant global initial</t>
        </is>
      </c>
      <c r="G145" s="309" t="inlineStr">
        <is>
          <t>Initial overall amount</t>
        </is>
      </c>
      <c r="H145" s="309" t="n"/>
      <c r="I145" s="308" t="inlineStr">
        <is>
          <t>Montant global initial</t>
        </is>
      </c>
      <c r="J145" s="309" t="inlineStr">
        <is>
          <t>Initial overall amount</t>
        </is>
      </c>
      <c r="K145" s="269" t="inlineStr">
        <is>
          <t>ND</t>
        </is>
      </c>
      <c r="L145" s="310" t="inlineStr">
        <is>
          <t>ND</t>
        </is>
      </c>
      <c r="M145" s="1420" t="inlineStr">
        <is>
          <t>MtGloIni</t>
        </is>
      </c>
      <c r="N145" s="231" t="inlineStr">
        <is>
          <t>Obligatoire</t>
        </is>
      </c>
      <c r="O145" s="236" t="inlineStr">
        <is>
          <t>Mandatory</t>
        </is>
      </c>
      <c r="P145" s="269" t="inlineStr">
        <is>
          <t>NA</t>
        </is>
      </c>
      <c r="Q145" s="269" t="inlineStr">
        <is>
          <t>NA</t>
        </is>
      </c>
      <c r="R145" s="311" t="inlineStr">
        <is>
          <t>NA</t>
        </is>
      </c>
      <c r="S145" s="312" t="inlineStr">
        <is>
          <t>NA</t>
        </is>
      </c>
      <c r="T145" s="313" t="inlineStr">
        <is>
          <t>NUM</t>
        </is>
      </c>
      <c r="U145" s="237" t="inlineStr">
        <is>
          <t>19 dont signe et 2 décimales</t>
        </is>
      </c>
      <c r="V145" s="238" t="inlineStr">
        <is>
          <t>19 including sign and 2 decimals</t>
        </is>
      </c>
      <c r="W145" s="257" t="n">
        <v>19</v>
      </c>
      <c r="X145" s="945" t="inlineStr">
        <is>
          <t>NA</t>
        </is>
      </c>
      <c r="Y145" s="237" t="n">
        <v>40</v>
      </c>
      <c r="Z145" s="237" t="inlineStr">
        <is>
          <t>NA</t>
        </is>
      </c>
      <c r="AA145" s="978" t="inlineStr">
        <is>
          <t>NA</t>
        </is>
      </c>
      <c r="AB145" s="1287" t="inlineStr">
        <is>
          <t>ANACREDIT, DEI, PALMA</t>
        </is>
      </c>
      <c r="AC145" s="231" t="inlineStr">
        <is>
          <t>ND</t>
        </is>
      </c>
      <c r="AD145" s="315" t="inlineStr">
        <is>
          <t>N</t>
        </is>
      </c>
      <c r="AE145" s="257" t="inlineStr">
        <is>
          <t>NA</t>
        </is>
      </c>
      <c r="AF145" s="257" t="inlineStr">
        <is>
          <t>NA</t>
        </is>
      </c>
      <c r="AG145" s="258" t="inlineStr">
        <is>
          <t>NA</t>
        </is>
      </c>
      <c r="AH145" s="89" t="n"/>
      <c r="AI145" s="316" t="inlineStr">
        <is>
          <t>La donnée est obligatoire</t>
        </is>
      </c>
      <c r="AJ145" s="317" t="inlineStr">
        <is>
          <t>The data is mandatory</t>
        </is>
      </c>
      <c r="AK145" s="257" t="n">
        <v>7</v>
      </c>
      <c r="AL145" s="335" t="inlineStr">
        <is>
          <t>TPG0001</t>
        </is>
      </c>
      <c r="AM145" s="318" t="n"/>
      <c r="AN145" s="317" t="n"/>
      <c r="AO145" s="257" t="n"/>
      <c r="AP145" s="258" t="n"/>
      <c r="AQ145" s="343" t="inlineStr">
        <is>
          <t>Si renseignée, la donnée doit être positive (supérieure ou égale à 0)</t>
        </is>
      </c>
      <c r="AR145" s="317" t="inlineStr">
        <is>
          <t xml:space="preserve">If filled, data must be positive (greater or equal to 0) </t>
        </is>
      </c>
      <c r="AS145" s="344" t="n">
        <v>7</v>
      </c>
      <c r="AT145" s="345" t="inlineStr">
        <is>
          <t>TVG0001</t>
        </is>
      </c>
      <c r="AU145" s="318" t="n"/>
      <c r="AV145" s="317" t="n"/>
      <c r="AW145" s="257" t="n"/>
      <c r="AX145" s="258" t="n"/>
      <c r="AY145" s="318" t="n"/>
      <c r="AZ145" s="317" t="n"/>
      <c r="BA145" s="257" t="n"/>
      <c r="BB145" s="258" t="n"/>
      <c r="BC145" s="316" t="n"/>
      <c r="BD145" s="317" t="n"/>
      <c r="BE145" s="257" t="n"/>
      <c r="BF145" s="258" t="n"/>
      <c r="BG145" s="89" t="n"/>
      <c r="BH1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5">
        <f>_xlfn.LET(r,ROW(),oc,INDEX($A:$A,r),cv,TRIM(INDEX($Y:$Y,r)&amp;""),IF(oc&lt;&gt;"P1","",IF(cv="45","V45 - novo, nao alimentado pelo spool atual","V44 - alimentado pelo spool atual")))</f>
        <v/>
      </c>
    </row>
    <row r="146" ht="54" customFormat="1" customHeight="1" s="90">
      <c r="A146" s="306" t="inlineStr">
        <is>
          <t>F1</t>
        </is>
      </c>
      <c r="B146" s="307" t="n">
        <v>30</v>
      </c>
      <c r="C146" s="269" t="inlineStr">
        <is>
          <t>03 - Caractéristiques Générales</t>
        </is>
      </c>
      <c r="D146" s="236" t="inlineStr">
        <is>
          <t>03 - General characteristics</t>
        </is>
      </c>
      <c r="E146" s="307" t="inlineStr">
        <is>
          <t>F1 2.13</t>
        </is>
      </c>
      <c r="F146" s="308" t="inlineStr">
        <is>
          <t>Montant global révisé</t>
        </is>
      </c>
      <c r="G146" s="309" t="inlineStr">
        <is>
          <t>Revised overall amount</t>
        </is>
      </c>
      <c r="H146" s="309" t="n"/>
      <c r="I146" s="241" t="inlineStr">
        <is>
          <t>Montant révisé de l'autorisation (après prise en compte des échéanciers éventuels de l'autorisation)</t>
        </is>
      </c>
      <c r="J146" s="233" t="inlineStr">
        <is>
          <t>Revised amount of the facility (after taking account of any due dates under the facility)</t>
        </is>
      </c>
      <c r="K146" s="269" t="inlineStr">
        <is>
          <t>ND</t>
        </is>
      </c>
      <c r="L146" s="310" t="inlineStr">
        <is>
          <t>ND</t>
        </is>
      </c>
      <c r="M146" s="1420" t="inlineStr">
        <is>
          <t>MtGloRev</t>
        </is>
      </c>
      <c r="N146" s="231" t="inlineStr">
        <is>
          <t>Obligatoire</t>
        </is>
      </c>
      <c r="O146" s="236" t="inlineStr">
        <is>
          <t>Mandatory</t>
        </is>
      </c>
      <c r="P146" s="269" t="inlineStr">
        <is>
          <t>NA</t>
        </is>
      </c>
      <c r="Q146" s="269" t="inlineStr">
        <is>
          <t>NA</t>
        </is>
      </c>
      <c r="R146" s="311" t="inlineStr">
        <is>
          <t>Il s'agit du montant en vie au moment de la génération du flux et sur lequel s'appuie, le cas échéant, le calcul de la PNU "globale"</t>
        </is>
      </c>
      <c r="S146" s="312" t="inlineStr">
        <is>
          <t>It is the outstanding amount when the flow is generated and on which the calculation, as the case may be, of the “overall” undrawn portion is based</t>
        </is>
      </c>
      <c r="T146" s="313" t="inlineStr">
        <is>
          <t>NUM</t>
        </is>
      </c>
      <c r="U146" s="237" t="inlineStr">
        <is>
          <t>19 dont signe et 2 décimales</t>
        </is>
      </c>
      <c r="V146" s="238" t="inlineStr">
        <is>
          <t>19 including sign and 2 decimals</t>
        </is>
      </c>
      <c r="W146" s="257" t="n">
        <v>19</v>
      </c>
      <c r="X146" s="945" t="inlineStr">
        <is>
          <t>NA</t>
        </is>
      </c>
      <c r="Y146" s="237" t="n">
        <v>40</v>
      </c>
      <c r="Z146" s="237" t="inlineStr">
        <is>
          <t>NA</t>
        </is>
      </c>
      <c r="AA146" s="237" t="inlineStr">
        <is>
          <t>NA</t>
        </is>
      </c>
      <c r="AB146" s="636" t="inlineStr">
        <is>
          <t>ANACREDIT, DEI</t>
        </is>
      </c>
      <c r="AC146" s="231" t="inlineStr">
        <is>
          <t>ND</t>
        </is>
      </c>
      <c r="AD146" s="315" t="inlineStr">
        <is>
          <t>N</t>
        </is>
      </c>
      <c r="AE146" s="257" t="inlineStr">
        <is>
          <t>NA</t>
        </is>
      </c>
      <c r="AF146" s="257" t="inlineStr">
        <is>
          <t>NA</t>
        </is>
      </c>
      <c r="AG146" s="258" t="inlineStr">
        <is>
          <t>NA</t>
        </is>
      </c>
      <c r="AH146" s="89" t="n"/>
      <c r="AI146" s="316" t="inlineStr">
        <is>
          <t>La donnée est obligatoire</t>
        </is>
      </c>
      <c r="AJ146" s="317" t="inlineStr">
        <is>
          <t>The data is mandatory</t>
        </is>
      </c>
      <c r="AK146" s="257" t="n">
        <v>7</v>
      </c>
      <c r="AL146" s="335" t="inlineStr">
        <is>
          <t>TPG0001</t>
        </is>
      </c>
      <c r="AM146" s="318" t="n"/>
      <c r="AN146" s="317" t="n"/>
      <c r="AO146" s="257" t="n"/>
      <c r="AP146" s="258" t="n"/>
      <c r="AQ146" s="318" t="n"/>
      <c r="AR146" s="317" t="n"/>
      <c r="AS146" s="257" t="n"/>
      <c r="AT146" s="258" t="n"/>
      <c r="AU146" s="318" t="n"/>
      <c r="AV146" s="317" t="n"/>
      <c r="AW146" s="257" t="n"/>
      <c r="AX146" s="258" t="n"/>
      <c r="AY146" s="318" t="n"/>
      <c r="AZ146" s="317" t="n"/>
      <c r="BA146" s="257" t="n"/>
      <c r="BB146" s="258" t="n"/>
      <c r="BC146" s="316" t="n"/>
      <c r="BD146" s="317" t="n"/>
      <c r="BE146" s="257" t="n"/>
      <c r="BF146" s="258" t="n"/>
      <c r="BG146" s="89" t="n"/>
      <c r="BH1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6">
        <f>_xlfn.LET(r,ROW(),oc,INDEX($A:$A,r),cv,TRIM(INDEX($Y:$Y,r)&amp;""),IF(oc&lt;&gt;"P1","",IF(cv="45","V45 - novo, nao alimentado pelo spool atual","V44 - alimentado pelo spool atual")))</f>
        <v/>
      </c>
    </row>
    <row r="147" ht="54" customFormat="1" customHeight="1" s="90">
      <c r="A147" s="306" t="inlineStr">
        <is>
          <t>F1</t>
        </is>
      </c>
      <c r="B147" s="307" t="n">
        <v>31</v>
      </c>
      <c r="C147" s="269" t="inlineStr">
        <is>
          <t>03 - Caractéristiques Générales</t>
        </is>
      </c>
      <c r="D147" s="236" t="inlineStr">
        <is>
          <t>03 - General characteristics</t>
        </is>
      </c>
      <c r="E147" s="307" t="inlineStr">
        <is>
          <t>F1 2.14</t>
        </is>
      </c>
      <c r="F147" s="308" t="inlineStr">
        <is>
          <t>Devise de l'autorisation</t>
        </is>
      </c>
      <c r="G147" s="309" t="inlineStr">
        <is>
          <t>Currency of facility</t>
        </is>
      </c>
      <c r="H147" s="309" t="n"/>
      <c r="I147" s="241" t="inlineStr">
        <is>
          <t>Devise d'expression des montants F1 2.12 et F1 2.13</t>
        </is>
      </c>
      <c r="J147" s="233" t="inlineStr">
        <is>
          <t>Currency in which amounts F1 2.12 and F1 2.13 are denominated</t>
        </is>
      </c>
      <c r="K147" s="269" t="inlineStr">
        <is>
          <t>ND</t>
        </is>
      </c>
      <c r="L147" s="310" t="inlineStr">
        <is>
          <t>ND</t>
        </is>
      </c>
      <c r="M147" s="1420" t="inlineStr">
        <is>
          <t>cdDevAuto</t>
        </is>
      </c>
      <c r="N147" s="231" t="inlineStr">
        <is>
          <t>Obligatoire</t>
        </is>
      </c>
      <c r="O147" s="236" t="inlineStr">
        <is>
          <t>Mandatory</t>
        </is>
      </c>
      <c r="P147" s="269" t="inlineStr">
        <is>
          <t>LC.0005</t>
        </is>
      </c>
      <c r="Q147" s="269" t="inlineStr">
        <is>
          <t>TA NM253</t>
        </is>
      </c>
      <c r="R147" s="311" t="inlineStr">
        <is>
          <t>NA</t>
        </is>
      </c>
      <c r="S147" s="312" t="inlineStr">
        <is>
          <t>NA</t>
        </is>
      </c>
      <c r="T147" s="313" t="inlineStr">
        <is>
          <t>ALPHA</t>
        </is>
      </c>
      <c r="U147" s="237" t="inlineStr">
        <is>
          <t>NA</t>
        </is>
      </c>
      <c r="V147" s="238" t="inlineStr">
        <is>
          <t>NA</t>
        </is>
      </c>
      <c r="W147" s="257" t="n">
        <v>3</v>
      </c>
      <c r="X147" s="945" t="inlineStr">
        <is>
          <t>NA</t>
        </is>
      </c>
      <c r="Y147" s="237" t="n">
        <v>40</v>
      </c>
      <c r="Z147" s="237" t="inlineStr">
        <is>
          <t>NA</t>
        </is>
      </c>
      <c r="AA147" s="270" t="inlineStr">
        <is>
          <t>NA</t>
        </is>
      </c>
      <c r="AB147" s="1287" t="inlineStr">
        <is>
          <t>ANACREDIT, CALCULS PRUDENTIELS, DEI, PALMA</t>
        </is>
      </c>
      <c r="AC147" s="231" t="inlineStr">
        <is>
          <t>ND</t>
        </is>
      </c>
      <c r="AD147" s="315" t="inlineStr">
        <is>
          <t>N</t>
        </is>
      </c>
      <c r="AE147" s="257" t="inlineStr">
        <is>
          <t>NA</t>
        </is>
      </c>
      <c r="AF147" s="257" t="inlineStr">
        <is>
          <t>NA</t>
        </is>
      </c>
      <c r="AG147" s="258" t="inlineStr">
        <is>
          <t>NA</t>
        </is>
      </c>
      <c r="AH147" s="89" t="n"/>
      <c r="AI147" s="316" t="inlineStr">
        <is>
          <t>La donnée est obligatoire</t>
        </is>
      </c>
      <c r="AJ147" s="317" t="inlineStr">
        <is>
          <t>The data is mandatory</t>
        </is>
      </c>
      <c r="AK147" s="257" t="n">
        <v>7</v>
      </c>
      <c r="AL147" s="335" t="inlineStr">
        <is>
          <t>TPG0001</t>
        </is>
      </c>
      <c r="AM147" s="210" t="inlineStr">
        <is>
          <t>Si elle est renseignée, la valeur doit être connue du Langage Commun associé</t>
        </is>
      </c>
      <c r="AN147" s="211" t="inlineStr">
        <is>
          <t>If specified, the value must be known to the associated Common Language</t>
        </is>
      </c>
      <c r="AO147" s="257" t="n">
        <v>7</v>
      </c>
      <c r="AP147" s="212" t="inlineStr">
        <is>
          <t>TIG0001</t>
        </is>
      </c>
      <c r="AQ147" s="318" t="n"/>
      <c r="AR147" s="317" t="n"/>
      <c r="AS147" s="257" t="n"/>
      <c r="AT147" s="258" t="n"/>
      <c r="AU147" s="318" t="n"/>
      <c r="AV147" s="317" t="n"/>
      <c r="AW147" s="257" t="n"/>
      <c r="AX147" s="258" t="n"/>
      <c r="AY147" s="318" t="n"/>
      <c r="AZ147" s="317" t="n"/>
      <c r="BA147" s="257" t="n"/>
      <c r="BB147" s="258" t="n"/>
      <c r="BC147" s="316" t="n"/>
      <c r="BD147" s="317" t="n"/>
      <c r="BE147" s="257" t="n"/>
      <c r="BF147" s="258" t="n"/>
      <c r="BG147" s="89" t="n"/>
      <c r="BH1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7">
        <f>_xlfn.LET(r,ROW(),oc,INDEX($A:$A,r),cv,TRIM(INDEX($Y:$Y,r)&amp;""),IF(oc&lt;&gt;"P1","",IF(cv="45","V45 - novo, nao alimentado pelo spool atual","V44 - alimentado pelo spool atual")))</f>
        <v/>
      </c>
    </row>
    <row r="148" ht="54" customFormat="1" customHeight="1" s="90">
      <c r="A148" s="306" t="inlineStr">
        <is>
          <t>F1</t>
        </is>
      </c>
      <c r="B148" s="307" t="n">
        <v>32</v>
      </c>
      <c r="C148" s="269" t="inlineStr">
        <is>
          <t>03 - Caractéristiques Générales</t>
        </is>
      </c>
      <c r="D148" s="236" t="inlineStr">
        <is>
          <t>03 - General characteristics</t>
        </is>
      </c>
      <c r="E148" s="307" t="inlineStr">
        <is>
          <t>F1 2.16</t>
        </is>
      </c>
      <c r="F148" s="308" t="inlineStr">
        <is>
          <t>Indicateur Autorisation Spécifique</t>
        </is>
      </c>
      <c r="G148" s="309" t="inlineStr">
        <is>
          <t>Special facility Indicator</t>
        </is>
      </c>
      <c r="H148" s="309" t="n"/>
      <c r="I148" s="241" t="inlineStr">
        <is>
          <t>Indicateur permettant de préciser la nature spécifique de l'autorisation</t>
        </is>
      </c>
      <c r="J148" s="233" t="inlineStr">
        <is>
          <t>Indicator making it possible to indicate the exact nature of the facility</t>
        </is>
      </c>
      <c r="K148" s="269" t="inlineStr">
        <is>
          <t>ND</t>
        </is>
      </c>
      <c r="L148" s="310" t="inlineStr">
        <is>
          <t>ND</t>
        </is>
      </c>
      <c r="M148" s="1420" t="inlineStr">
        <is>
          <t>IndAutoSpecif</t>
        </is>
      </c>
      <c r="N148" s="231" t="inlineStr">
        <is>
          <t>Facultatif</t>
        </is>
      </c>
      <c r="O148" s="236" t="inlineStr">
        <is>
          <t>Optional</t>
        </is>
      </c>
      <c r="P148" s="269" t="inlineStr">
        <is>
          <t>LC.0251</t>
        </is>
      </c>
      <c r="Q148" s="269" t="inlineStr">
        <is>
          <t>TA KVIAUTSP</t>
        </is>
      </c>
      <c r="R148" s="311" t="inlineStr">
        <is>
          <t>NA</t>
        </is>
      </c>
      <c r="S148" s="312" t="inlineStr">
        <is>
          <t>NA</t>
        </is>
      </c>
      <c r="T148" s="313" t="inlineStr">
        <is>
          <t>ALPHA</t>
        </is>
      </c>
      <c r="U148" s="237" t="inlineStr">
        <is>
          <t>NA</t>
        </is>
      </c>
      <c r="V148" s="238" t="inlineStr">
        <is>
          <t>NA</t>
        </is>
      </c>
      <c r="W148" s="257" t="n">
        <v>1</v>
      </c>
      <c r="X148" s="945" t="inlineStr">
        <is>
          <t>NA</t>
        </is>
      </c>
      <c r="Y148" s="237" t="n">
        <v>40</v>
      </c>
      <c r="Z148" s="237" t="inlineStr">
        <is>
          <t>NA</t>
        </is>
      </c>
      <c r="AA148" s="237" t="inlineStr">
        <is>
          <t>NA</t>
        </is>
      </c>
      <c r="AB148" s="636" t="inlineStr">
        <is>
          <t>ANACREDIT</t>
        </is>
      </c>
      <c r="AC148" s="231" t="inlineStr">
        <is>
          <t>ND</t>
        </is>
      </c>
      <c r="AD148" s="315" t="inlineStr">
        <is>
          <t>N</t>
        </is>
      </c>
      <c r="AE148" s="257" t="inlineStr">
        <is>
          <t>NA</t>
        </is>
      </c>
      <c r="AF148" s="257" t="inlineStr">
        <is>
          <t>NA</t>
        </is>
      </c>
      <c r="AG148" s="258" t="inlineStr">
        <is>
          <t>NA</t>
        </is>
      </c>
      <c r="AH148" s="89" t="n"/>
      <c r="AI148" s="316" t="n"/>
      <c r="AJ148" s="317" t="n"/>
      <c r="AK148" s="257" t="n"/>
      <c r="AL148" s="258" t="n"/>
      <c r="AM148" s="318" t="inlineStr">
        <is>
          <t>Si elle est renseignée, la valeur doit être connue du Langage Commun associé</t>
        </is>
      </c>
      <c r="AN148" s="317" t="inlineStr">
        <is>
          <t>If specified, the value must be known to the associated Common Language</t>
        </is>
      </c>
      <c r="AO148" s="257" t="n">
        <v>7</v>
      </c>
      <c r="AP148" s="212" t="inlineStr">
        <is>
          <t>TIG0001</t>
        </is>
      </c>
      <c r="AQ148" s="346" t="n"/>
      <c r="AR148" s="347" t="n"/>
      <c r="AS148" s="348" t="n"/>
      <c r="AT148" s="349" t="n"/>
      <c r="AU148" s="318" t="n"/>
      <c r="AV148" s="317" t="n"/>
      <c r="AW148" s="257" t="n"/>
      <c r="AX148" s="258" t="n"/>
      <c r="AY148" s="318" t="n"/>
      <c r="AZ148" s="317" t="n"/>
      <c r="BA148" s="257" t="n"/>
      <c r="BB148" s="258" t="n"/>
      <c r="BC148" s="316" t="n"/>
      <c r="BD148" s="317" t="n"/>
      <c r="BE148" s="257" t="n"/>
      <c r="BF148" s="258" t="n"/>
      <c r="BG148" s="89" t="n"/>
      <c r="BH1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8">
        <f>_xlfn.LET(r,ROW(),oc,INDEX($A:$A,r),cv,TRIM(INDEX($Y:$Y,r)&amp;""),IF(oc&lt;&gt;"P1","",IF(cv="45","V45 - novo, nao alimentado pelo spool atual","V44 - alimentado pelo spool atual")))</f>
        <v/>
      </c>
    </row>
    <row r="149" ht="54" customFormat="1" customHeight="1" s="90">
      <c r="A149" s="306" t="inlineStr">
        <is>
          <t>F1</t>
        </is>
      </c>
      <c r="B149" s="307" t="n">
        <v>33</v>
      </c>
      <c r="C149" s="269" t="inlineStr">
        <is>
          <t>03 - Caractéristiques Générales</t>
        </is>
      </c>
      <c r="D149" s="236" t="inlineStr">
        <is>
          <t>03 - General characteristics</t>
        </is>
      </c>
      <c r="E149" s="307" t="inlineStr">
        <is>
          <t>F1 2.17</t>
        </is>
      </c>
      <c r="F149" s="350" t="inlineStr">
        <is>
          <t>Unité d'exploitation (Zone réservée CACIB)</t>
        </is>
      </c>
      <c r="G149" s="309" t="inlineStr">
        <is>
          <t>Operating unit in the risk taker (Zone reserved for CACIB)</t>
        </is>
      </c>
      <c r="H149" s="309" t="n"/>
      <c r="I149" s="339" t="inlineStr">
        <is>
          <t>Permet d'indiquer l'unité d'exploitation au sein de CACIB entité initiatrice de l'autorisation</t>
        </is>
      </c>
      <c r="J149" s="233" t="inlineStr">
        <is>
          <t>Allows to indicate the operating unit in the originating entity (applicant) of the facility (F1 2.5)</t>
        </is>
      </c>
      <c r="K149" s="269" t="inlineStr">
        <is>
          <t>ND</t>
        </is>
      </c>
      <c r="L149" s="310" t="inlineStr">
        <is>
          <t>ND</t>
        </is>
      </c>
      <c r="M149" s="1420" t="inlineStr">
        <is>
          <t>UniteExploitEntAuto</t>
        </is>
      </c>
      <c r="N149" s="231" t="inlineStr">
        <is>
          <t>Facultatif</t>
        </is>
      </c>
      <c r="O149" s="236" t="inlineStr">
        <is>
          <t>Optional</t>
        </is>
      </c>
      <c r="P149" s="269" t="inlineStr">
        <is>
          <t>NA</t>
        </is>
      </c>
      <c r="Q149" s="269" t="inlineStr">
        <is>
          <t>TA TMTAKOBU rubrique TMNOMOBU</t>
        </is>
      </c>
      <c r="R149" s="311" t="inlineStr">
        <is>
          <t xml:space="preserve"> Réservé CACIB - laisser à vide si non concerné</t>
        </is>
      </c>
      <c r="S149" s="312" t="inlineStr">
        <is>
          <t xml:space="preserve"> Zone reserved for CACIB. Leave empty if not concerned</t>
        </is>
      </c>
      <c r="T149" s="313" t="inlineStr">
        <is>
          <t xml:space="preserve"> ALPHA</t>
        </is>
      </c>
      <c r="U149" s="237" t="inlineStr">
        <is>
          <t>NA</t>
        </is>
      </c>
      <c r="V149" s="238" t="inlineStr">
        <is>
          <t>NA</t>
        </is>
      </c>
      <c r="W149" s="257" t="n">
        <v>4</v>
      </c>
      <c r="X149" s="945" t="inlineStr">
        <is>
          <t>NA</t>
        </is>
      </c>
      <c r="Y149" s="237" t="n">
        <v>42</v>
      </c>
      <c r="Z149" s="237" t="inlineStr">
        <is>
          <t>NA</t>
        </is>
      </c>
      <c r="AA149" s="237" t="inlineStr">
        <is>
          <t>NA</t>
        </is>
      </c>
      <c r="AB149" s="269" t="inlineStr">
        <is>
          <t>USAGE ZP</t>
        </is>
      </c>
      <c r="AC149" s="231" t="inlineStr">
        <is>
          <t>ND</t>
        </is>
      </c>
      <c r="AD149" s="315" t="inlineStr">
        <is>
          <t>N</t>
        </is>
      </c>
      <c r="AE149" s="257" t="inlineStr">
        <is>
          <t>NA</t>
        </is>
      </c>
      <c r="AF149" s="257" t="inlineStr">
        <is>
          <t>NA</t>
        </is>
      </c>
      <c r="AG149" s="258" t="inlineStr">
        <is>
          <t>NA</t>
        </is>
      </c>
      <c r="AH149" s="89" t="n"/>
      <c r="AI149" s="316" t="n"/>
      <c r="AJ149" s="317" t="n"/>
      <c r="AK149" s="257" t="n"/>
      <c r="AL149" s="345" t="n"/>
      <c r="AM149" s="351" t="n"/>
      <c r="AN149" s="317" t="n"/>
      <c r="AO149" s="257" t="n"/>
      <c r="AP149" s="352" t="n"/>
      <c r="AQ149" s="318" t="n"/>
      <c r="AR149" s="317" t="n"/>
      <c r="AS149" s="257" t="n"/>
      <c r="AT149" s="258" t="n"/>
      <c r="AU149" s="318" t="n"/>
      <c r="AV149" s="317" t="n"/>
      <c r="AW149" s="257" t="n"/>
      <c r="AX149" s="258" t="n"/>
      <c r="AY149" s="318" t="n"/>
      <c r="AZ149" s="317" t="n"/>
      <c r="BA149" s="257" t="n"/>
      <c r="BB149" s="258" t="n"/>
      <c r="BC149" s="316" t="n"/>
      <c r="BD149" s="317" t="n"/>
      <c r="BE149" s="257" t="n"/>
      <c r="BF149" s="258" t="n"/>
      <c r="BG149" s="89" t="n"/>
      <c r="BH1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9">
        <f>_xlfn.LET(r,ROW(),oc,INDEX($A:$A,r),cv,TRIM(INDEX($Y:$Y,r)&amp;""),IF(oc&lt;&gt;"P1","",IF(cv="45","V45 - novo, nao alimentado pelo spool atual","V44 - alimentado pelo spool atual")))</f>
        <v/>
      </c>
    </row>
    <row r="150" ht="54" customFormat="1" customHeight="1" s="90">
      <c r="A150" s="306" t="inlineStr">
        <is>
          <t>F1</t>
        </is>
      </c>
      <c r="B150" s="307" t="n">
        <v>34</v>
      </c>
      <c r="C150" s="269" t="inlineStr">
        <is>
          <t>03 - Caractéristiques Générales</t>
        </is>
      </c>
      <c r="D150" s="236" t="inlineStr">
        <is>
          <t>03 - General characteristics</t>
        </is>
      </c>
      <c r="E150" s="307" t="inlineStr">
        <is>
          <t>F1 2.18</t>
        </is>
      </c>
      <c r="F150" s="314" t="inlineStr">
        <is>
          <t>Type de produit bancaire</t>
        </is>
      </c>
      <c r="G150" s="309" t="inlineStr">
        <is>
          <t>Banking Product type</t>
        </is>
      </c>
      <c r="H150" s="309" t="n"/>
      <c r="I150" s="314" t="inlineStr">
        <is>
          <t>Classification des produits bancaires et financiers</t>
        </is>
      </c>
      <c r="J150" s="233" t="inlineStr">
        <is>
          <t>Banking and financial products classification</t>
        </is>
      </c>
      <c r="K150" s="269" t="inlineStr">
        <is>
          <t>ND</t>
        </is>
      </c>
      <c r="L150" s="310" t="inlineStr">
        <is>
          <t>ND</t>
        </is>
      </c>
      <c r="M150" s="1420" t="inlineStr">
        <is>
          <t>TypProdCd</t>
        </is>
      </c>
      <c r="N150" s="231" t="inlineStr">
        <is>
          <t>Obligatoire</t>
        </is>
      </c>
      <c r="O150" s="236" t="inlineStr">
        <is>
          <t>Mandatory</t>
        </is>
      </c>
      <c r="P150" s="269" t="inlineStr">
        <is>
          <t>LC.0303</t>
        </is>
      </c>
      <c r="Q150" s="269" t="inlineStr">
        <is>
          <t xml:space="preserve">TA Z8PRODUI </t>
        </is>
      </c>
      <c r="R150" s="311" t="inlineStr">
        <is>
          <t>NA</t>
        </is>
      </c>
      <c r="S150" s="312" t="inlineStr">
        <is>
          <t>NA</t>
        </is>
      </c>
      <c r="T150" s="313" t="inlineStr">
        <is>
          <t xml:space="preserve"> ALPHA</t>
        </is>
      </c>
      <c r="U150" s="237" t="inlineStr">
        <is>
          <t>NA</t>
        </is>
      </c>
      <c r="V150" s="238" t="inlineStr">
        <is>
          <t>NA</t>
        </is>
      </c>
      <c r="W150" s="257" t="n">
        <v>6</v>
      </c>
      <c r="X150" s="945" t="inlineStr">
        <is>
          <t>NA</t>
        </is>
      </c>
      <c r="Y150" s="237" t="n">
        <v>43</v>
      </c>
      <c r="Z150" s="237" t="inlineStr">
        <is>
          <t>NA</t>
        </is>
      </c>
      <c r="AA150" s="239" t="inlineStr">
        <is>
          <t>NA</t>
        </is>
      </c>
      <c r="AB150" s="636" t="inlineStr">
        <is>
          <t>USAGE ZP</t>
        </is>
      </c>
      <c r="AC150" s="231" t="inlineStr">
        <is>
          <t>ND</t>
        </is>
      </c>
      <c r="AD150" s="315" t="inlineStr">
        <is>
          <t>N</t>
        </is>
      </c>
      <c r="AE150" s="257" t="inlineStr">
        <is>
          <t>NA</t>
        </is>
      </c>
      <c r="AF150" s="257" t="inlineStr">
        <is>
          <t>NA</t>
        </is>
      </c>
      <c r="AG150" s="258" t="inlineStr">
        <is>
          <t>NA</t>
        </is>
      </c>
      <c r="AH150" s="89" t="n"/>
      <c r="AI150" s="353" t="inlineStr">
        <is>
          <t>La donnée est obligatoire</t>
        </is>
      </c>
      <c r="AJ150" s="317" t="inlineStr">
        <is>
          <t>The data is mandatory</t>
        </is>
      </c>
      <c r="AK150" s="269" t="n">
        <v>7</v>
      </c>
      <c r="AL150" s="335" t="inlineStr">
        <is>
          <t>TPG0001</t>
        </is>
      </c>
      <c r="AM150" s="210" t="inlineStr">
        <is>
          <t>Si elle est renseignée, la valeur doit être connue du Langage Commun associé</t>
        </is>
      </c>
      <c r="AN150" s="211" t="inlineStr">
        <is>
          <t>If specified, the value must be known to the associated Common Language</t>
        </is>
      </c>
      <c r="AO150" s="269" t="n">
        <v>7</v>
      </c>
      <c r="AP150" s="212" t="inlineStr">
        <is>
          <t>TIG0001</t>
        </is>
      </c>
      <c r="AQ150" s="318" t="n"/>
      <c r="AR150" s="317" t="n"/>
      <c r="AS150" s="257" t="n"/>
      <c r="AT150" s="258" t="n"/>
      <c r="AU150" s="354" t="inlineStr">
        <is>
          <t>Le type de produit bancaire doit être cohérent avec le type d'enregistrement (la colonne Z8OMZPFR lié au type de produit de la table Z8COPROM doit correspondre à l'objet métier concerné)</t>
        </is>
      </c>
      <c r="AV150" s="317" t="inlineStr">
        <is>
          <t>The type of banking product must be consistent with the type of record (the Z8OMZPFR column linked to the product type of the Z8COPROM table must correspond to the business object concerned)</t>
        </is>
      </c>
      <c r="AW150" s="269" t="n">
        <v>7</v>
      </c>
      <c r="AX150" s="355" t="inlineStr">
        <is>
          <t>TCG0001</t>
        </is>
      </c>
      <c r="AY150" s="318" t="n"/>
      <c r="AZ150" s="317" t="n"/>
      <c r="BA150" s="257" t="n"/>
      <c r="BB150" s="258" t="n"/>
      <c r="BC150" s="316" t="n"/>
      <c r="BD150" s="317" t="n"/>
      <c r="BE150" s="257" t="n"/>
      <c r="BF150" s="258" t="n"/>
      <c r="BG150" s="89" t="n"/>
      <c r="BH1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0">
        <f>_xlfn.LET(r,ROW(),oc,INDEX($A:$A,r),cv,TRIM(INDEX($Y:$Y,r)&amp;""),IF(oc&lt;&gt;"P1","",IF(cv="45","V45 - novo, nao alimentado pelo spool atual","V44 - alimentado pelo spool atual")))</f>
        <v/>
      </c>
    </row>
    <row r="151" ht="54" customFormat="1" customHeight="1" s="55">
      <c r="A151" s="325" t="inlineStr">
        <is>
          <t>F1</t>
        </is>
      </c>
      <c r="B151" s="326" t="n">
        <v>35</v>
      </c>
      <c r="C151" s="284" t="inlineStr">
        <is>
          <t>NA</t>
        </is>
      </c>
      <c r="D151" s="244" t="inlineStr">
        <is>
          <t>NA</t>
        </is>
      </c>
      <c r="E151" s="326" t="inlineStr">
        <is>
          <t>F1 2.99</t>
        </is>
      </c>
      <c r="F151" s="327" t="inlineStr">
        <is>
          <t>Filler</t>
        </is>
      </c>
      <c r="G151" s="327" t="inlineStr">
        <is>
          <t>Filler</t>
        </is>
      </c>
      <c r="H151" s="327" t="n"/>
      <c r="I151" s="247" t="inlineStr">
        <is>
          <t>Zone libre</t>
        </is>
      </c>
      <c r="J151" s="245" t="inlineStr">
        <is>
          <t>Free zone</t>
        </is>
      </c>
      <c r="K151" s="284" t="inlineStr">
        <is>
          <t>NA</t>
        </is>
      </c>
      <c r="L151" s="284" t="inlineStr">
        <is>
          <t>NA</t>
        </is>
      </c>
      <c r="M151" s="1421" t="inlineStr">
        <is>
          <t>ZoneLibre2</t>
        </is>
      </c>
      <c r="N151" s="328" t="inlineStr">
        <is>
          <t>NA</t>
        </is>
      </c>
      <c r="O151" s="284" t="inlineStr">
        <is>
          <t>NA</t>
        </is>
      </c>
      <c r="P151" s="284" t="inlineStr">
        <is>
          <t>NA</t>
        </is>
      </c>
      <c r="Q151" s="284" t="inlineStr">
        <is>
          <t>NA</t>
        </is>
      </c>
      <c r="R151" s="247" t="inlineStr">
        <is>
          <t>Laisser à vide</t>
        </is>
      </c>
      <c r="S151" s="247" t="inlineStr">
        <is>
          <t>Leave empty</t>
        </is>
      </c>
      <c r="T151" s="326" t="inlineStr">
        <is>
          <t>ALPHA</t>
        </is>
      </c>
      <c r="U151" s="248" t="inlineStr">
        <is>
          <t>NA</t>
        </is>
      </c>
      <c r="V151" s="248" t="inlineStr">
        <is>
          <t>NA</t>
        </is>
      </c>
      <c r="W151" s="284" t="n">
        <v>10</v>
      </c>
      <c r="X151" s="244" t="inlineStr">
        <is>
          <t>NA</t>
        </is>
      </c>
      <c r="Y151" s="248" t="inlineStr">
        <is>
          <t>NA</t>
        </is>
      </c>
      <c r="Z151" s="248" t="inlineStr">
        <is>
          <t>NA</t>
        </is>
      </c>
      <c r="AA151" s="249" t="inlineStr">
        <is>
          <t>NA</t>
        </is>
      </c>
      <c r="AB151" s="328" t="inlineStr">
        <is>
          <t>NA</t>
        </is>
      </c>
      <c r="AC151" s="244" t="inlineStr">
        <is>
          <t>NA</t>
        </is>
      </c>
      <c r="AD151" s="328" t="inlineStr">
        <is>
          <t>N</t>
        </is>
      </c>
      <c r="AE151" s="284" t="inlineStr">
        <is>
          <t>NA</t>
        </is>
      </c>
      <c r="AF151" s="284" t="inlineStr">
        <is>
          <t>NA</t>
        </is>
      </c>
      <c r="AG151" s="285" t="inlineStr">
        <is>
          <t>NA</t>
        </is>
      </c>
      <c r="AH151" s="89" t="n"/>
      <c r="AI151" s="330" t="n"/>
      <c r="AJ151" s="331" t="n"/>
      <c r="AK151" s="284" t="n"/>
      <c r="AL151" s="285" t="n"/>
      <c r="AM151" s="331" t="n"/>
      <c r="AN151" s="331" t="n"/>
      <c r="AO151" s="284" t="n"/>
      <c r="AP151" s="285" t="n"/>
      <c r="AQ151" s="331" t="n"/>
      <c r="AR151" s="331" t="n"/>
      <c r="AS151" s="284" t="n"/>
      <c r="AT151" s="285" t="n"/>
      <c r="AU151" s="331" t="n"/>
      <c r="AV151" s="331" t="n"/>
      <c r="AW151" s="284" t="n"/>
      <c r="AX151" s="285" t="n"/>
      <c r="AY151" s="331" t="n"/>
      <c r="AZ151" s="331" t="n"/>
      <c r="BA151" s="284" t="n"/>
      <c r="BB151" s="285" t="n"/>
      <c r="BC151" s="330" t="n"/>
      <c r="BD151" s="331" t="n"/>
      <c r="BE151" s="284" t="n"/>
      <c r="BF151" s="285" t="n"/>
      <c r="BG151" s="89" t="n"/>
      <c r="BH1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1">
        <f>_xlfn.LET(r,ROW(),oc,INDEX($A:$A,r),cv,TRIM(INDEX($Y:$Y,r)&amp;""),IF(oc&lt;&gt;"P1","",IF(cv="45","V45 - novo, nao alimentado pelo spool atual","V44 - alimentado pelo spool atual")))</f>
        <v/>
      </c>
    </row>
    <row r="152" ht="54" customFormat="1" customHeight="1" s="90">
      <c r="A152" s="306" t="inlineStr">
        <is>
          <t>F1</t>
        </is>
      </c>
      <c r="B152" s="307" t="n">
        <v>36</v>
      </c>
      <c r="C152" s="269" t="inlineStr">
        <is>
          <t>03 - Caractéristiques Générales</t>
        </is>
      </c>
      <c r="D152" s="236" t="inlineStr">
        <is>
          <t>03 - General characteristics</t>
        </is>
      </c>
      <c r="E152" s="307" t="inlineStr">
        <is>
          <t>F1 3.1</t>
        </is>
      </c>
      <c r="F152" s="308" t="inlineStr">
        <is>
          <t>Date de début de validité de l'autorisation</t>
        </is>
      </c>
      <c r="G152" s="309" t="inlineStr">
        <is>
          <t>Start date of validity of facility</t>
        </is>
      </c>
      <c r="H152" s="309" t="n"/>
      <c r="I152" s="241" t="inlineStr">
        <is>
          <t>Date à partir de laquelle un tirage peut être initié</t>
        </is>
      </c>
      <c r="J152" s="233" t="inlineStr">
        <is>
          <t>Date from which draw-downs can be started</t>
        </is>
      </c>
      <c r="K152" s="269" t="inlineStr">
        <is>
          <t>ND</t>
        </is>
      </c>
      <c r="L152" s="310" t="inlineStr">
        <is>
          <t>ND</t>
        </is>
      </c>
      <c r="M152" s="1420" t="inlineStr">
        <is>
          <t>dtDebAuto</t>
        </is>
      </c>
      <c r="N152" s="231" t="inlineStr">
        <is>
          <t>Obligatoire</t>
        </is>
      </c>
      <c r="O152" s="236" t="inlineStr">
        <is>
          <t>Mandatory</t>
        </is>
      </c>
      <c r="P152" s="269" t="inlineStr">
        <is>
          <t>NA</t>
        </is>
      </c>
      <c r="Q152" s="269" t="inlineStr">
        <is>
          <t>NA</t>
        </is>
      </c>
      <c r="R152" s="311" t="inlineStr">
        <is>
          <t>NA</t>
        </is>
      </c>
      <c r="S152" s="312" t="inlineStr">
        <is>
          <t>NA</t>
        </is>
      </c>
      <c r="T152" s="206" t="inlineStr">
        <is>
          <t>DATE</t>
        </is>
      </c>
      <c r="U152" s="237" t="inlineStr">
        <is>
          <t>AAAAMMJJ</t>
        </is>
      </c>
      <c r="V152" s="238" t="inlineStr">
        <is>
          <t>YYYYMMDD</t>
        </is>
      </c>
      <c r="W152" s="257" t="n">
        <v>8</v>
      </c>
      <c r="X152" s="945" t="inlineStr">
        <is>
          <t>NA</t>
        </is>
      </c>
      <c r="Y152" s="237" t="n">
        <v>40</v>
      </c>
      <c r="Z152" s="237" t="inlineStr">
        <is>
          <t>NA</t>
        </is>
      </c>
      <c r="AA152" s="283" t="inlineStr">
        <is>
          <t>NA</t>
        </is>
      </c>
      <c r="AB152" s="636" t="inlineStr">
        <is>
          <t>ANACREDIT, PALMA</t>
        </is>
      </c>
      <c r="AC152" s="231" t="inlineStr">
        <is>
          <t>ND</t>
        </is>
      </c>
      <c r="AD152" s="315" t="inlineStr">
        <is>
          <t>N</t>
        </is>
      </c>
      <c r="AE152" s="257" t="inlineStr">
        <is>
          <t>NA</t>
        </is>
      </c>
      <c r="AF152" s="257" t="inlineStr">
        <is>
          <t>NA</t>
        </is>
      </c>
      <c r="AG152" s="258" t="inlineStr">
        <is>
          <t>NA</t>
        </is>
      </c>
      <c r="AH152" s="89" t="n"/>
      <c r="AI152" s="316" t="inlineStr">
        <is>
          <t>La donnée est obligatoire</t>
        </is>
      </c>
      <c r="AJ152" s="317" t="inlineStr">
        <is>
          <t>The data is mandatory</t>
        </is>
      </c>
      <c r="AK152" s="257" t="n">
        <v>7</v>
      </c>
      <c r="AL152" s="335" t="inlineStr">
        <is>
          <t>TPG0001</t>
        </is>
      </c>
      <c r="AM152" s="318" t="n"/>
      <c r="AN152" s="317" t="n"/>
      <c r="AO152" s="257" t="n"/>
      <c r="AP152" s="258" t="n"/>
      <c r="AQ152" s="356" t="inlineStr">
        <is>
          <t>Si renseignée, la donnée doit être supérieure ou égale à '19000101'</t>
        </is>
      </c>
      <c r="AR152" s="317" t="inlineStr">
        <is>
          <t>If filled, data must be greater or equal to '19000101'</t>
        </is>
      </c>
      <c r="AS152" s="257" t="n">
        <v>7</v>
      </c>
      <c r="AT152" s="258" t="inlineStr">
        <is>
          <t>TVG0005</t>
        </is>
      </c>
      <c r="AU152" s="322" t="inlineStr">
        <is>
          <t>La donnée doit être inférieure ou égale à la date d'arrêté</t>
        </is>
      </c>
      <c r="AV152" s="317" t="inlineStr">
        <is>
          <t>Data must be lower or equal than closing date</t>
        </is>
      </c>
      <c r="AW152" s="257" t="n">
        <v>6</v>
      </c>
      <c r="AX152" s="345" t="inlineStr">
        <is>
          <t>TCG0004</t>
        </is>
      </c>
      <c r="AY152" s="318" t="n"/>
      <c r="AZ152" s="317" t="n"/>
      <c r="BA152" s="257" t="n"/>
      <c r="BB152" s="258" t="n"/>
      <c r="BC152" s="316" t="n"/>
      <c r="BD152" s="317" t="n"/>
      <c r="BE152" s="257" t="n"/>
      <c r="BF152" s="258" t="n"/>
      <c r="BG152" s="89" t="n"/>
      <c r="BH1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2">
        <f>_xlfn.LET(r,ROW(),oc,INDEX($A:$A,r),cv,TRIM(INDEX($Y:$Y,r)&amp;""),IF(oc&lt;&gt;"P1","",IF(cv="45","V45 - novo, nao alimentado pelo spool atual","V44 - alimentado pelo spool atual")))</f>
        <v/>
      </c>
    </row>
    <row r="153" ht="54" customFormat="1" customHeight="1" s="90">
      <c r="A153" s="306" t="inlineStr">
        <is>
          <t>F1</t>
        </is>
      </c>
      <c r="B153" s="307" t="n">
        <v>37</v>
      </c>
      <c r="C153" s="269" t="inlineStr">
        <is>
          <t>03 - Caractéristiques Générales</t>
        </is>
      </c>
      <c r="D153" s="236" t="inlineStr">
        <is>
          <t>03 - General characteristics</t>
        </is>
      </c>
      <c r="E153" s="307" t="inlineStr">
        <is>
          <t>F1 3.2</t>
        </is>
      </c>
      <c r="F153" s="357" t="inlineStr">
        <is>
          <t>Date limite de tirage de l'autorisation</t>
        </is>
      </c>
      <c r="G153" s="309" t="inlineStr">
        <is>
          <t>Draw-down cut-off date of facility</t>
        </is>
      </c>
      <c r="H153" s="309" t="n"/>
      <c r="I153" s="241" t="inlineStr">
        <is>
          <t>Date limite d'initialisation d'un tirage</t>
        </is>
      </c>
      <c r="J153" s="233" t="inlineStr">
        <is>
          <t>Cut-off date for commencing draw-downs</t>
        </is>
      </c>
      <c r="K153" s="269" t="inlineStr">
        <is>
          <t>ND</t>
        </is>
      </c>
      <c r="L153" s="310" t="inlineStr">
        <is>
          <t>ND</t>
        </is>
      </c>
      <c r="M153" s="1420" t="inlineStr">
        <is>
          <t>dtLimTirAuto</t>
        </is>
      </c>
      <c r="N153" s="231" t="inlineStr">
        <is>
          <t>Facultatif</t>
        </is>
      </c>
      <c r="O153" s="236" t="inlineStr">
        <is>
          <t>Optional</t>
        </is>
      </c>
      <c r="P153" s="269" t="inlineStr">
        <is>
          <t>NA</t>
        </is>
      </c>
      <c r="Q153" s="269" t="inlineStr">
        <is>
          <t>NA</t>
        </is>
      </c>
      <c r="R153" s="311" t="inlineStr">
        <is>
          <t>Par défaut, F1 3.2 = F1 3.3 (date de fin de tirage = date de fin de validité)</t>
        </is>
      </c>
      <c r="S153" s="312" t="inlineStr">
        <is>
          <t>By default, F1 3.2 = F1 3.3 (last draw-down date = date of expiry)</t>
        </is>
      </c>
      <c r="T153" s="206" t="inlineStr">
        <is>
          <t>DATE</t>
        </is>
      </c>
      <c r="U153" s="237" t="inlineStr">
        <is>
          <t>AAAAMMJJ</t>
        </is>
      </c>
      <c r="V153" s="238" t="inlineStr">
        <is>
          <t>YYYYMMDD</t>
        </is>
      </c>
      <c r="W153" s="257" t="n">
        <v>8</v>
      </c>
      <c r="X153" s="945" t="inlineStr">
        <is>
          <t>NA</t>
        </is>
      </c>
      <c r="Y153" s="237" t="n">
        <v>40</v>
      </c>
      <c r="Z153" s="237" t="inlineStr">
        <is>
          <t>NA</t>
        </is>
      </c>
      <c r="AA153" s="283" t="inlineStr">
        <is>
          <t>NA</t>
        </is>
      </c>
      <c r="AB153" s="636" t="inlineStr">
        <is>
          <t>USAGE ZP</t>
        </is>
      </c>
      <c r="AC153" s="231" t="inlineStr">
        <is>
          <t>ND</t>
        </is>
      </c>
      <c r="AD153" s="315" t="inlineStr">
        <is>
          <t>N</t>
        </is>
      </c>
      <c r="AE153" s="257" t="inlineStr">
        <is>
          <t>NA</t>
        </is>
      </c>
      <c r="AF153" s="257" t="inlineStr">
        <is>
          <t>NA</t>
        </is>
      </c>
      <c r="AG153" s="258" t="inlineStr">
        <is>
          <t>NA</t>
        </is>
      </c>
      <c r="AH153" s="89" t="n"/>
      <c r="AI153" s="316" t="n"/>
      <c r="AJ153" s="317" t="n"/>
      <c r="AK153" s="257" t="n"/>
      <c r="AL153" s="258" t="n"/>
      <c r="AM153" s="318" t="n"/>
      <c r="AN153" s="317" t="n"/>
      <c r="AO153" s="257" t="n"/>
      <c r="AP153" s="258" t="n"/>
      <c r="AQ153" s="358" t="inlineStr">
        <is>
          <t>Si la donnée est renseignée et si l'année de la date est égale à '9999', alors la donnée doit être égale à '99990630'</t>
        </is>
      </c>
      <c r="AR153" s="317" t="inlineStr">
        <is>
          <t>If filled, and if the year of the date = '9999', then the data must be equal to '99990630'</t>
        </is>
      </c>
      <c r="AS153" s="257" t="n">
        <v>7</v>
      </c>
      <c r="AT153" s="359" t="inlineStr">
        <is>
          <t>TVG0008</t>
        </is>
      </c>
      <c r="AU153" s="360" t="inlineStr">
        <is>
          <t>Si renseignée, la Date limite de tirage de l'autorisation [F1 3.2] doit être antérieure ou égale à la date de fin de validité de l'autorisation [F1 3.3]</t>
        </is>
      </c>
      <c r="AV153" s="317" t="inlineStr">
        <is>
          <t>If filled, the Draw-down cut-off date of facility [F1 3.2] must be before or equal to the date of expiry of facility [F1 3.3]</t>
        </is>
      </c>
      <c r="AW153" s="257" t="n">
        <v>6</v>
      </c>
      <c r="AX153" s="345" t="inlineStr">
        <is>
          <t>TCS0700</t>
        </is>
      </c>
      <c r="AY153" s="318" t="n"/>
      <c r="AZ153" s="317" t="n"/>
      <c r="BA153" s="257" t="n"/>
      <c r="BB153" s="258" t="n"/>
      <c r="BC153" s="316" t="n"/>
      <c r="BD153" s="317" t="n"/>
      <c r="BE153" s="257" t="n"/>
      <c r="BF153" s="258" t="n"/>
      <c r="BG153" s="89" t="n"/>
      <c r="BH1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3">
        <f>_xlfn.LET(r,ROW(),oc,INDEX($A:$A,r),cv,TRIM(INDEX($Y:$Y,r)&amp;""),IF(oc&lt;&gt;"P1","",IF(cv="45","V45 - novo, nao alimentado pelo spool atual","V44 - alimentado pelo spool atual")))</f>
        <v/>
      </c>
    </row>
    <row r="154" ht="54" customFormat="1" customHeight="1" s="90">
      <c r="A154" s="306" t="inlineStr">
        <is>
          <t>F1</t>
        </is>
      </c>
      <c r="B154" s="307" t="n">
        <v>38</v>
      </c>
      <c r="C154" s="269" t="inlineStr">
        <is>
          <t>03 - Caractéristiques Générales</t>
        </is>
      </c>
      <c r="D154" s="236" t="inlineStr">
        <is>
          <t>03 - General characteristics</t>
        </is>
      </c>
      <c r="E154" s="307" t="inlineStr">
        <is>
          <t>F1 3.3</t>
        </is>
      </c>
      <c r="F154" s="357" t="inlineStr">
        <is>
          <t>Date de fin de validité de l'autorisation</t>
        </is>
      </c>
      <c r="G154" s="309" t="inlineStr">
        <is>
          <t>Date of expiry of facility</t>
        </is>
      </c>
      <c r="H154" s="309" t="n"/>
      <c r="I154" s="241" t="inlineStr">
        <is>
          <t>Date limite à partir de laquelle tous les tirages réalisés doivent être remboursés</t>
        </is>
      </c>
      <c r="J154" s="233" t="inlineStr">
        <is>
          <t>Cut-off date following which all draw-downs must be repaid</t>
        </is>
      </c>
      <c r="K154" s="269" t="inlineStr">
        <is>
          <t>ND</t>
        </is>
      </c>
      <c r="L154" s="310" t="inlineStr">
        <is>
          <t>ND</t>
        </is>
      </c>
      <c r="M154" s="1420" t="inlineStr">
        <is>
          <t>dtMatur</t>
        </is>
      </c>
      <c r="N154" s="231" t="inlineStr">
        <is>
          <t>Obligatoire</t>
        </is>
      </c>
      <c r="O154" s="236" t="inlineStr">
        <is>
          <t>Mandatory</t>
        </is>
      </c>
      <c r="P154" s="269" t="inlineStr">
        <is>
          <t>NA</t>
        </is>
      </c>
      <c r="Q154" s="269" t="inlineStr">
        <is>
          <t>NA</t>
        </is>
      </c>
      <c r="R154" s="311" t="inlineStr">
        <is>
          <t>NA</t>
        </is>
      </c>
      <c r="S154" s="312" t="inlineStr">
        <is>
          <t>NA</t>
        </is>
      </c>
      <c r="T154" s="206" t="inlineStr">
        <is>
          <t>DATE</t>
        </is>
      </c>
      <c r="U154" s="237" t="inlineStr">
        <is>
          <t>AAAAMMJJ</t>
        </is>
      </c>
      <c r="V154" s="238" t="inlineStr">
        <is>
          <t>YYYYMMDD</t>
        </is>
      </c>
      <c r="W154" s="257" t="n">
        <v>8</v>
      </c>
      <c r="X154" s="945" t="inlineStr">
        <is>
          <t>NA</t>
        </is>
      </c>
      <c r="Y154" s="237" t="n">
        <v>40</v>
      </c>
      <c r="Z154" s="237" t="inlineStr">
        <is>
          <t>NA</t>
        </is>
      </c>
      <c r="AA154" s="270" t="inlineStr">
        <is>
          <t>45.00</t>
        </is>
      </c>
      <c r="AB154" s="636" t="inlineStr">
        <is>
          <t>ANACREDIT, PALMA</t>
        </is>
      </c>
      <c r="AC154" s="231" t="inlineStr">
        <is>
          <t>ND</t>
        </is>
      </c>
      <c r="AD154" s="315" t="inlineStr">
        <is>
          <t>N</t>
        </is>
      </c>
      <c r="AE154" s="257" t="inlineStr">
        <is>
          <t>NA</t>
        </is>
      </c>
      <c r="AF154" s="257" t="inlineStr">
        <is>
          <t>NA</t>
        </is>
      </c>
      <c r="AG154" s="258" t="inlineStr">
        <is>
          <t>NA</t>
        </is>
      </c>
      <c r="AH154" s="89" t="n"/>
      <c r="AI154" s="316" t="inlineStr">
        <is>
          <t>La donnée est obligatoire</t>
        </is>
      </c>
      <c r="AJ154" s="317" t="inlineStr">
        <is>
          <t>The data is mandatory</t>
        </is>
      </c>
      <c r="AK154" s="257" t="n">
        <v>7</v>
      </c>
      <c r="AL154" s="335" t="inlineStr">
        <is>
          <t>TPG0001</t>
        </is>
      </c>
      <c r="AM154" s="318" t="n"/>
      <c r="AN154" s="317" t="n"/>
      <c r="AO154" s="257" t="n"/>
      <c r="AP154" s="258" t="n"/>
      <c r="AQ154" s="358" t="inlineStr">
        <is>
          <t>Si la donnée est renseignée et si l'année de la date est égale à '9999', alors la donnée doit être égale à '99990630'</t>
        </is>
      </c>
      <c r="AR154" s="317" t="inlineStr">
        <is>
          <t>If filled, and if the year of the date = '9999', then the data must be equal to '99990630'</t>
        </is>
      </c>
      <c r="AS154" s="257" t="n">
        <v>7</v>
      </c>
      <c r="AT154" s="359" t="inlineStr">
        <is>
          <t>TVG0008</t>
        </is>
      </c>
      <c r="AU154" s="318" t="inlineStr">
        <is>
          <t>La donnée doit être supérieure ou égale à la date d'arrêté</t>
        </is>
      </c>
      <c r="AV154" s="317" t="inlineStr">
        <is>
          <t>Data must be greater or equal than closing date</t>
        </is>
      </c>
      <c r="AW154" s="958" t="n">
        <v>6</v>
      </c>
      <c r="AX154" s="345" t="inlineStr">
        <is>
          <t>TCG0002</t>
        </is>
      </c>
      <c r="AY154" s="318" t="n"/>
      <c r="AZ154" s="317" t="n"/>
      <c r="BA154" s="257" t="n"/>
      <c r="BB154" s="258" t="n"/>
      <c r="BC154" s="316" t="n"/>
      <c r="BD154" s="317" t="n"/>
      <c r="BE154" s="257" t="n"/>
      <c r="BF154" s="258" t="n"/>
      <c r="BG154" s="89" t="n"/>
      <c r="BH1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4">
        <f>_xlfn.LET(r,ROW(),oc,INDEX($A:$A,r),cv,TRIM(INDEX($Y:$Y,r)&amp;""),IF(oc&lt;&gt;"P1","",IF(cv="45","V45 - novo, nao alimentado pelo spool atual","V44 - alimentado pelo spool atual")))</f>
        <v/>
      </c>
    </row>
    <row r="155" ht="54" customFormat="1" customHeight="1" s="90">
      <c r="A155" s="306" t="inlineStr">
        <is>
          <t>F1</t>
        </is>
      </c>
      <c r="B155" s="307" t="n">
        <v>39</v>
      </c>
      <c r="C155" s="269" t="inlineStr">
        <is>
          <t>03 - Caractéristiques Générales</t>
        </is>
      </c>
      <c r="D155" s="236" t="inlineStr">
        <is>
          <t>03 - General characteristics</t>
        </is>
      </c>
      <c r="E155" s="307" t="inlineStr">
        <is>
          <t>F1 3.4</t>
        </is>
      </c>
      <c r="F155" s="937" t="inlineStr">
        <is>
          <t>Date de prochaine révision de l'autorisation</t>
        </is>
      </c>
      <c r="G155" s="309" t="inlineStr">
        <is>
          <t>Next facility review date</t>
        </is>
      </c>
      <c r="H155" s="309" t="n"/>
      <c r="I155" s="241" t="inlineStr">
        <is>
          <t>Date à laquelle est prévue la prochaine révision de l'autorisation</t>
        </is>
      </c>
      <c r="J155" s="233" t="inlineStr">
        <is>
          <t>Scheduled date of next facility review</t>
        </is>
      </c>
      <c r="K155" s="269" t="inlineStr">
        <is>
          <t>ND</t>
        </is>
      </c>
      <c r="L155" s="310" t="inlineStr">
        <is>
          <t>ND</t>
        </is>
      </c>
      <c r="M155" s="1420" t="inlineStr">
        <is>
          <t>dtProchRevAuto</t>
        </is>
      </c>
      <c r="N155" s="231" t="inlineStr">
        <is>
          <t>Facultatif</t>
        </is>
      </c>
      <c r="O155" s="236" t="inlineStr">
        <is>
          <t>Optional</t>
        </is>
      </c>
      <c r="P155" s="269" t="inlineStr">
        <is>
          <t>NA</t>
        </is>
      </c>
      <c r="Q155" s="269" t="inlineStr">
        <is>
          <t>NA</t>
        </is>
      </c>
      <c r="R155" s="311" t="inlineStr">
        <is>
          <t>NA</t>
        </is>
      </c>
      <c r="S155" s="312" t="inlineStr">
        <is>
          <t>NA</t>
        </is>
      </c>
      <c r="T155" s="206" t="inlineStr">
        <is>
          <t>DATE</t>
        </is>
      </c>
      <c r="U155" s="237" t="inlineStr">
        <is>
          <t>AAAAMMJJ</t>
        </is>
      </c>
      <c r="V155" s="238" t="inlineStr">
        <is>
          <t>YYYYMMDD</t>
        </is>
      </c>
      <c r="W155" s="257" t="n">
        <v>8</v>
      </c>
      <c r="X155" s="945" t="inlineStr">
        <is>
          <t>NA</t>
        </is>
      </c>
      <c r="Y155" s="237" t="n">
        <v>40</v>
      </c>
      <c r="Z155" s="237" t="inlineStr">
        <is>
          <t>NA</t>
        </is>
      </c>
      <c r="AA155" s="270" t="inlineStr">
        <is>
          <t>45.00</t>
        </is>
      </c>
      <c r="AB155" s="636" t="inlineStr">
        <is>
          <t>ANACREDIT</t>
        </is>
      </c>
      <c r="AC155" s="231" t="inlineStr">
        <is>
          <t>ND</t>
        </is>
      </c>
      <c r="AD155" s="315" t="inlineStr">
        <is>
          <t>N</t>
        </is>
      </c>
      <c r="AE155" s="257" t="inlineStr">
        <is>
          <t>NA</t>
        </is>
      </c>
      <c r="AF155" s="257" t="inlineStr">
        <is>
          <t>NA</t>
        </is>
      </c>
      <c r="AG155" s="258" t="inlineStr">
        <is>
          <t>NA</t>
        </is>
      </c>
      <c r="AH155" s="89" t="n"/>
      <c r="AI155" s="316" t="n"/>
      <c r="AJ155" s="317" t="n"/>
      <c r="AK155" s="257" t="n"/>
      <c r="AL155" s="258" t="n"/>
      <c r="AM155" s="318" t="n"/>
      <c r="AN155" s="317" t="n"/>
      <c r="AO155" s="257" t="n"/>
      <c r="AP155" s="258" t="n"/>
      <c r="AQ155" s="362" t="inlineStr">
        <is>
          <t>Si la donnée est renseignée et si l'année de la date est égale à '9999', alors la donnée doit être égale à '99990630'</t>
        </is>
      </c>
      <c r="AR155" s="317" t="inlineStr">
        <is>
          <t>If filled, and if the year of the date = '9999', then the data must be equal to '99990630'</t>
        </is>
      </c>
      <c r="AS155" s="257" t="n">
        <v>7</v>
      </c>
      <c r="AT155" s="359" t="inlineStr">
        <is>
          <t>TVG0008</t>
        </is>
      </c>
      <c r="AU155" s="985" t="inlineStr">
        <is>
          <t>Si renseignée, la date de prochaine révision de l'autorisation [F1 3.4] doit être antérieure ou égale à la date de fin de validité de l'autorisation [F1 3.3]</t>
        </is>
      </c>
      <c r="AV155" s="931" t="inlineStr">
        <is>
          <t>If filled, the next facility review date [F1 3.4] must be before or equal to the date of expiry of facility [F1 3.3]</t>
        </is>
      </c>
      <c r="AW155" s="982" t="n">
        <v>6</v>
      </c>
      <c r="AX155" s="983" t="inlineStr">
        <is>
          <t>TCS0701</t>
        </is>
      </c>
      <c r="AY155" s="318" t="n"/>
      <c r="AZ155" s="317" t="n"/>
      <c r="BA155" s="257" t="n"/>
      <c r="BB155" s="258" t="n"/>
      <c r="BC155" s="316" t="n"/>
      <c r="BD155" s="317" t="n"/>
      <c r="BE155" s="257" t="n"/>
      <c r="BF155" s="258" t="n"/>
      <c r="BG155" s="89" t="n"/>
      <c r="BH1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5">
        <f>_xlfn.LET(r,ROW(),oc,INDEX($A:$A,r),cv,TRIM(INDEX($Y:$Y,r)&amp;""),IF(oc&lt;&gt;"P1","",IF(cv="45","V45 - novo, nao alimentado pelo spool atual","V44 - alimentado pelo spool atual")))</f>
        <v/>
      </c>
    </row>
    <row r="156" ht="54" customFormat="1" customHeight="1" s="55">
      <c r="A156" s="325" t="inlineStr">
        <is>
          <t>F1</t>
        </is>
      </c>
      <c r="B156" s="326" t="n">
        <v>40</v>
      </c>
      <c r="C156" s="284" t="inlineStr">
        <is>
          <t>NA</t>
        </is>
      </c>
      <c r="D156" s="244" t="inlineStr">
        <is>
          <t>NA</t>
        </is>
      </c>
      <c r="E156" s="326" t="inlineStr">
        <is>
          <t>F1 3.99</t>
        </is>
      </c>
      <c r="F156" s="327" t="inlineStr">
        <is>
          <t>Filler</t>
        </is>
      </c>
      <c r="G156" s="327" t="inlineStr">
        <is>
          <t>Filler</t>
        </is>
      </c>
      <c r="H156" s="327" t="n"/>
      <c r="I156" s="247" t="inlineStr">
        <is>
          <t>Zone libre</t>
        </is>
      </c>
      <c r="J156" s="245" t="inlineStr">
        <is>
          <t>Free zone</t>
        </is>
      </c>
      <c r="K156" s="284" t="inlineStr">
        <is>
          <t>NA</t>
        </is>
      </c>
      <c r="L156" s="284" t="inlineStr">
        <is>
          <t>NA</t>
        </is>
      </c>
      <c r="M156" s="1421" t="inlineStr">
        <is>
          <t>ZoneLibre3</t>
        </is>
      </c>
      <c r="N156" s="328" t="inlineStr">
        <is>
          <t>NA</t>
        </is>
      </c>
      <c r="O156" s="284" t="inlineStr">
        <is>
          <t>NA</t>
        </is>
      </c>
      <c r="P156" s="284" t="inlineStr">
        <is>
          <t>NA</t>
        </is>
      </c>
      <c r="Q156" s="284" t="inlineStr">
        <is>
          <t>NA</t>
        </is>
      </c>
      <c r="R156" s="247" t="inlineStr">
        <is>
          <t>Laisser à vide</t>
        </is>
      </c>
      <c r="S156" s="247" t="inlineStr">
        <is>
          <t>Leave empty</t>
        </is>
      </c>
      <c r="T156" s="326" t="inlineStr">
        <is>
          <t>ALPHA</t>
        </is>
      </c>
      <c r="U156" s="248" t="inlineStr">
        <is>
          <t>NA</t>
        </is>
      </c>
      <c r="V156" s="248" t="inlineStr">
        <is>
          <t>NA</t>
        </is>
      </c>
      <c r="W156" s="284" t="n">
        <v>20</v>
      </c>
      <c r="X156" s="244" t="inlineStr">
        <is>
          <t>NA</t>
        </is>
      </c>
      <c r="Y156" s="248" t="inlineStr">
        <is>
          <t>NA</t>
        </is>
      </c>
      <c r="Z156" s="248" t="inlineStr">
        <is>
          <t>NA</t>
        </is>
      </c>
      <c r="AA156" s="248" t="inlineStr">
        <is>
          <t>NA</t>
        </is>
      </c>
      <c r="AB156" s="328" t="inlineStr">
        <is>
          <t>NA</t>
        </is>
      </c>
      <c r="AC156" s="244" t="inlineStr">
        <is>
          <t>NA</t>
        </is>
      </c>
      <c r="AD156" s="328" t="inlineStr">
        <is>
          <t>N</t>
        </is>
      </c>
      <c r="AE156" s="284" t="inlineStr">
        <is>
          <t>NA</t>
        </is>
      </c>
      <c r="AF156" s="284" t="inlineStr">
        <is>
          <t>NA</t>
        </is>
      </c>
      <c r="AG156" s="285" t="inlineStr">
        <is>
          <t>NA</t>
        </is>
      </c>
      <c r="AH156" s="89" t="n"/>
      <c r="AI156" s="330" t="n"/>
      <c r="AJ156" s="331" t="n"/>
      <c r="AK156" s="284" t="n"/>
      <c r="AL156" s="285" t="n"/>
      <c r="AM156" s="331" t="n"/>
      <c r="AN156" s="331" t="n"/>
      <c r="AO156" s="284" t="n"/>
      <c r="AP156" s="285" t="n"/>
      <c r="AQ156" s="331" t="n"/>
      <c r="AR156" s="331" t="n"/>
      <c r="AS156" s="284" t="n"/>
      <c r="AT156" s="285" t="n"/>
      <c r="AU156" s="331" t="n"/>
      <c r="AV156" s="331" t="n"/>
      <c r="AW156" s="284" t="n"/>
      <c r="AX156" s="285" t="n"/>
      <c r="AY156" s="331" t="n"/>
      <c r="AZ156" s="331" t="n"/>
      <c r="BA156" s="284" t="n"/>
      <c r="BB156" s="285" t="n"/>
      <c r="BC156" s="330" t="n"/>
      <c r="BD156" s="331" t="n"/>
      <c r="BE156" s="284" t="n"/>
      <c r="BF156" s="285" t="n"/>
      <c r="BG156" s="89" t="n"/>
      <c r="BH1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6">
        <f>_xlfn.LET(r,ROW(),oc,INDEX($A:$A,r),cv,TRIM(INDEX($Y:$Y,r)&amp;""),IF(oc&lt;&gt;"P1","",IF(cv="45","V45 - novo, nao alimentado pelo spool atual","V44 - alimentado pelo spool atual")))</f>
        <v/>
      </c>
    </row>
    <row r="157" ht="54" customFormat="1" customHeight="1" s="90">
      <c r="A157" s="306" t="inlineStr">
        <is>
          <t>F1</t>
        </is>
      </c>
      <c r="B157" s="307" t="n">
        <v>41</v>
      </c>
      <c r="C157" s="269" t="inlineStr">
        <is>
          <t>28 - Caractéristiques de syndication</t>
        </is>
      </c>
      <c r="D157" s="236" t="inlineStr">
        <is>
          <t>28 - Syndication caracteristics</t>
        </is>
      </c>
      <c r="E157" s="307" t="inlineStr">
        <is>
          <t>F1 4.1</t>
        </is>
      </c>
      <c r="F157" s="308" t="inlineStr">
        <is>
          <t>Indicateur 'Syndication'</t>
        </is>
      </c>
      <c r="G157" s="363" t="inlineStr">
        <is>
          <t>Syndication' Indicator</t>
        </is>
      </c>
      <c r="H157" s="363" t="n"/>
      <c r="I157" s="241" t="inlineStr">
        <is>
          <t>Indicateur permettant de préciser s'il s'agit d'une syndication</t>
        </is>
      </c>
      <c r="J157" s="233" t="inlineStr">
        <is>
          <t>Indicator showing whether there has been syndication</t>
        </is>
      </c>
      <c r="K157" s="269" t="inlineStr">
        <is>
          <t>ND</t>
        </is>
      </c>
      <c r="L157" s="310" t="inlineStr">
        <is>
          <t>ND</t>
        </is>
      </c>
      <c r="M157" s="1420" t="inlineStr">
        <is>
          <t>IndSynd</t>
        </is>
      </c>
      <c r="N157" s="231" t="inlineStr">
        <is>
          <t>Obligatoire</t>
        </is>
      </c>
      <c r="O157" s="236" t="inlineStr">
        <is>
          <t>Mandatory</t>
        </is>
      </c>
      <c r="P157" s="269" t="inlineStr">
        <is>
          <t>LC.0252</t>
        </is>
      </c>
      <c r="Q157" s="269" t="inlineStr">
        <is>
          <t>TA KVISYNDI</t>
        </is>
      </c>
      <c r="R157" s="311" t="inlineStr">
        <is>
          <t>Il est possible d'avoir soit la convention de partage, soit la syndication mais pas les 2</t>
        </is>
      </c>
      <c r="S157" s="312" t="inlineStr">
        <is>
          <t>It is possible to have either the risk transfert convention or the syndication but not both</t>
        </is>
      </c>
      <c r="T157" s="313" t="inlineStr">
        <is>
          <t>ALPHA</t>
        </is>
      </c>
      <c r="U157" s="237" t="inlineStr">
        <is>
          <t>NA</t>
        </is>
      </c>
      <c r="V157" s="238" t="inlineStr">
        <is>
          <t>NA</t>
        </is>
      </c>
      <c r="W157" s="257" t="n">
        <v>1</v>
      </c>
      <c r="X157" s="945" t="inlineStr">
        <is>
          <t>NA</t>
        </is>
      </c>
      <c r="Y157" s="237" t="n">
        <v>40</v>
      </c>
      <c r="Z157" s="237" t="inlineStr">
        <is>
          <t>NA</t>
        </is>
      </c>
      <c r="AA157" s="237" t="inlineStr">
        <is>
          <t>NA</t>
        </is>
      </c>
      <c r="AB157" s="636" t="inlineStr">
        <is>
          <t>ANACREDIT, LOAN TAPE</t>
        </is>
      </c>
      <c r="AC157" s="231" t="inlineStr">
        <is>
          <t>ND</t>
        </is>
      </c>
      <c r="AD157" s="315" t="inlineStr">
        <is>
          <t>N</t>
        </is>
      </c>
      <c r="AE157" s="257" t="inlineStr">
        <is>
          <t>NA</t>
        </is>
      </c>
      <c r="AF157" s="257" t="inlineStr">
        <is>
          <t>NA</t>
        </is>
      </c>
      <c r="AG157" s="258" t="inlineStr">
        <is>
          <t>NA</t>
        </is>
      </c>
      <c r="AH157" s="89" t="n"/>
      <c r="AI157" s="316" t="inlineStr">
        <is>
          <t>La donnée est obligatoire</t>
        </is>
      </c>
      <c r="AJ157" s="317" t="inlineStr">
        <is>
          <t>The data is mandatory</t>
        </is>
      </c>
      <c r="AK157" s="257" t="n">
        <v>7</v>
      </c>
      <c r="AL157" s="335" t="inlineStr">
        <is>
          <t>TPG0001</t>
        </is>
      </c>
      <c r="AM157" s="210" t="inlineStr">
        <is>
          <t>Si elle est renseignée, la valeur doit être connue du Langage Commun associé</t>
        </is>
      </c>
      <c r="AN157" s="211" t="inlineStr">
        <is>
          <t>If specified, the value must be known to the associated Common Language</t>
        </is>
      </c>
      <c r="AO157" s="257" t="n">
        <v>7</v>
      </c>
      <c r="AP157" s="212" t="inlineStr">
        <is>
          <t>TIG0001</t>
        </is>
      </c>
      <c r="AQ157" s="354" t="inlineStr">
        <is>
          <t>Si renseigné et si l'indicateur convention de partage [F1 4.18] est renseigné et &lt;&gt; '0', alors l'indicateur Syndication [F1 4.1] = 'N'</t>
        </is>
      </c>
      <c r="AR157" s="317" t="inlineStr">
        <is>
          <t>If filled and if the sharing convention flag [F1 4.18] is filled and &lt;&gt; '0', then the Syndication flag [F1 4.1] = 'N'</t>
        </is>
      </c>
      <c r="AS157" s="269" t="n">
        <v>7</v>
      </c>
      <c r="AT157" s="345" t="inlineStr">
        <is>
          <t>TVS0703</t>
        </is>
      </c>
      <c r="AU157" s="354" t="n"/>
      <c r="AV157" s="317" t="n"/>
      <c r="AW157" s="269" t="n"/>
      <c r="AX157" s="364" t="n"/>
      <c r="AY157" s="318" t="n"/>
      <c r="AZ157" s="317" t="n"/>
      <c r="BA157" s="257" t="n"/>
      <c r="BB157" s="258" t="n"/>
      <c r="BC157" s="316" t="n"/>
      <c r="BD157" s="317" t="n"/>
      <c r="BE157" s="257" t="n"/>
      <c r="BF157" s="258" t="n"/>
      <c r="BG157" s="89" t="n"/>
      <c r="BH1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7">
        <f>_xlfn.LET(r,ROW(),oc,INDEX($A:$A,r),cv,TRIM(INDEX($Y:$Y,r)&amp;""),IF(oc&lt;&gt;"P1","",IF(cv="45","V45 - novo, nao alimentado pelo spool atual","V44 - alimentado pelo spool atual")))</f>
        <v/>
      </c>
    </row>
    <row r="158" ht="54" customFormat="1" customHeight="1" s="90">
      <c r="A158" s="306" t="inlineStr">
        <is>
          <t>F1</t>
        </is>
      </c>
      <c r="B158" s="307" t="n">
        <v>42</v>
      </c>
      <c r="C158" s="269" t="inlineStr">
        <is>
          <t>28 - Caractéristiques de syndication</t>
        </is>
      </c>
      <c r="D158" s="236" t="inlineStr">
        <is>
          <t>28 - Syndication caracteristics</t>
        </is>
      </c>
      <c r="E158" s="307" t="inlineStr">
        <is>
          <t>F1 4.2</t>
        </is>
      </c>
      <c r="F158" s="365" t="inlineStr">
        <is>
          <t>Position de l'entité porteuse de risques</t>
        </is>
      </c>
      <c r="G158" s="309" t="inlineStr">
        <is>
          <t>Position of entity bearing risks</t>
        </is>
      </c>
      <c r="H158" s="309" t="n"/>
      <c r="I158" s="241" t="inlineStr">
        <is>
          <t>Position de l'entité dans la syndication</t>
        </is>
      </c>
      <c r="J158" s="233" t="inlineStr">
        <is>
          <t>Position of entity in syndication</t>
        </is>
      </c>
      <c r="K158" s="269" t="inlineStr">
        <is>
          <t>ND</t>
        </is>
      </c>
      <c r="L158" s="310" t="inlineStr">
        <is>
          <t>ND</t>
        </is>
      </c>
      <c r="M158" s="1420" t="inlineStr">
        <is>
          <t>cdPosEntRisq</t>
        </is>
      </c>
      <c r="N158" s="231" t="inlineStr">
        <is>
          <t>Obligatoire sous conditions</t>
        </is>
      </c>
      <c r="O158" s="236" t="inlineStr">
        <is>
          <t>Mandatory under conditions</t>
        </is>
      </c>
      <c r="P158" s="269" t="inlineStr">
        <is>
          <t>LC.0025</t>
        </is>
      </c>
      <c r="Q158" s="269" t="inlineStr">
        <is>
          <t>TA KVPOSI</t>
        </is>
      </c>
      <c r="R158" s="311" t="inlineStr">
        <is>
          <t>NA</t>
        </is>
      </c>
      <c r="S158" s="312" t="inlineStr">
        <is>
          <t>NA</t>
        </is>
      </c>
      <c r="T158" s="313" t="inlineStr">
        <is>
          <t>ALPHA</t>
        </is>
      </c>
      <c r="U158" s="237" t="inlineStr">
        <is>
          <t>NA</t>
        </is>
      </c>
      <c r="V158" s="238" t="inlineStr">
        <is>
          <t>NA</t>
        </is>
      </c>
      <c r="W158" s="257" t="n">
        <v>1</v>
      </c>
      <c r="X158" s="945" t="inlineStr">
        <is>
          <t>NA</t>
        </is>
      </c>
      <c r="Y158" s="237" t="n">
        <v>40</v>
      </c>
      <c r="Z158" s="237" t="inlineStr">
        <is>
          <t>NA</t>
        </is>
      </c>
      <c r="AA158" s="237" t="inlineStr">
        <is>
          <t>NA</t>
        </is>
      </c>
      <c r="AB158" s="636" t="inlineStr">
        <is>
          <t>LOAN TAPE</t>
        </is>
      </c>
      <c r="AC158" s="231" t="inlineStr">
        <is>
          <t>ND</t>
        </is>
      </c>
      <c r="AD158" s="315" t="inlineStr">
        <is>
          <t>N</t>
        </is>
      </c>
      <c r="AE158" s="257" t="inlineStr">
        <is>
          <t>NA</t>
        </is>
      </c>
      <c r="AF158" s="257" t="inlineStr">
        <is>
          <t>NA</t>
        </is>
      </c>
      <c r="AG158" s="258" t="inlineStr">
        <is>
          <t>NA</t>
        </is>
      </c>
      <c r="AH158" s="89" t="n"/>
      <c r="AI158" s="316" t="inlineStr">
        <is>
          <t>La donnée est obligatoire si l'indicateur 'Syndication' [F1 4.1] est égal à 'Y'</t>
        </is>
      </c>
      <c r="AJ158" s="317" t="inlineStr">
        <is>
          <t>The data is mandatory if 'Syndication' flag [F1 4.1] equals 'Y'</t>
        </is>
      </c>
      <c r="AK158" s="269" t="n">
        <v>6</v>
      </c>
      <c r="AL158" s="366" t="inlineStr">
        <is>
          <t>TPS0700</t>
        </is>
      </c>
      <c r="AM158" s="210" t="inlineStr">
        <is>
          <t>Si elle est renseignée, la valeur doit être connue du Langage Commun associé</t>
        </is>
      </c>
      <c r="AN158" s="211" t="inlineStr">
        <is>
          <t>If specified, the value must be known to the associated Common Language</t>
        </is>
      </c>
      <c r="AO158" s="257" t="n">
        <v>7</v>
      </c>
      <c r="AP158" s="212" t="inlineStr">
        <is>
          <t>TIG0001</t>
        </is>
      </c>
      <c r="AQ158" s="318" t="n"/>
      <c r="AR158" s="317" t="n"/>
      <c r="AS158" s="257" t="n"/>
      <c r="AT158" s="258" t="n"/>
      <c r="AU158" s="318" t="inlineStr">
        <is>
          <t> </t>
        </is>
      </c>
      <c r="AV158" s="317" t="n"/>
      <c r="AW158" s="257" t="n"/>
      <c r="AX158" s="258" t="n"/>
      <c r="AY158" s="318" t="n"/>
      <c r="AZ158" s="317" t="n"/>
      <c r="BA158" s="257" t="n"/>
      <c r="BB158" s="258" t="n"/>
      <c r="BC158" s="316" t="n"/>
      <c r="BD158" s="317" t="n"/>
      <c r="BE158" s="257" t="n"/>
      <c r="BF158" s="258" t="n"/>
      <c r="BG158" s="89" t="n"/>
      <c r="BH1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8">
        <f>_xlfn.LET(r,ROW(),oc,INDEX($A:$A,r),cv,TRIM(INDEX($Y:$Y,r)&amp;""),IF(oc&lt;&gt;"P1","",IF(cv="45","V45 - novo, nao alimentado pelo spool atual","V44 - alimentado pelo spool atual")))</f>
        <v/>
      </c>
    </row>
    <row r="159" ht="54" customFormat="1" customHeight="1" s="90">
      <c r="A159" s="306" t="inlineStr">
        <is>
          <t>F1</t>
        </is>
      </c>
      <c r="B159" s="307" t="n">
        <v>43</v>
      </c>
      <c r="C159" s="269" t="inlineStr">
        <is>
          <t>28 - Caractéristiques de syndication</t>
        </is>
      </c>
      <c r="D159" s="236" t="inlineStr">
        <is>
          <t>28 - Syndication caracteristics</t>
        </is>
      </c>
      <c r="E159" s="307" t="inlineStr">
        <is>
          <t>F1 4.3</t>
        </is>
      </c>
      <c r="F159" s="308" t="inlineStr">
        <is>
          <t>Entité du groupe CA pilote de l'opération</t>
        </is>
      </c>
      <c r="G159" s="309" t="inlineStr">
        <is>
          <t>CA Group entity transaction lead</t>
        </is>
      </c>
      <c r="H159" s="309" t="n"/>
      <c r="I159" s="241" t="inlineStr">
        <is>
          <t>Correspond au code consolidation comptable du pilote, ou chef de file, de l'opération au sein du groupe CA</t>
        </is>
      </c>
      <c r="J159" s="233" t="inlineStr">
        <is>
          <t>Represents the accounting consolidation code of the transaction lead manager within the CA Group</t>
        </is>
      </c>
      <c r="K159" s="269" t="inlineStr">
        <is>
          <t>ND</t>
        </is>
      </c>
      <c r="L159" s="310" t="inlineStr">
        <is>
          <t>ND</t>
        </is>
      </c>
      <c r="M159" s="1420" t="inlineStr">
        <is>
          <t>IdEntPil</t>
        </is>
      </c>
      <c r="N159" s="231" t="inlineStr">
        <is>
          <t>Obligatoire sous conditions</t>
        </is>
      </c>
      <c r="O159" s="236" t="inlineStr">
        <is>
          <t>Mandatory under conditions</t>
        </is>
      </c>
      <c r="P159" s="269" t="inlineStr">
        <is>
          <t>LC.0003</t>
        </is>
      </c>
      <c r="Q159" s="269" t="inlineStr">
        <is>
          <t>TA FI59</t>
        </is>
      </c>
      <c r="R159" s="311" t="inlineStr">
        <is>
          <t>NA</t>
        </is>
      </c>
      <c r="S159" s="312" t="inlineStr">
        <is>
          <t>NA</t>
        </is>
      </c>
      <c r="T159" s="313" t="inlineStr">
        <is>
          <t>ALPHA</t>
        </is>
      </c>
      <c r="U159" s="237" t="inlineStr">
        <is>
          <t>NA</t>
        </is>
      </c>
      <c r="V159" s="238" t="inlineStr">
        <is>
          <t>NA</t>
        </is>
      </c>
      <c r="W159" s="257" t="n">
        <v>5</v>
      </c>
      <c r="X159" s="945" t="inlineStr">
        <is>
          <t>NA</t>
        </is>
      </c>
      <c r="Y159" s="237" t="n">
        <v>40</v>
      </c>
      <c r="Z159" s="237" t="inlineStr">
        <is>
          <t>NA</t>
        </is>
      </c>
      <c r="AA159" s="237" t="inlineStr">
        <is>
          <t>NA</t>
        </is>
      </c>
      <c r="AB159" s="636" t="inlineStr">
        <is>
          <t>ANACREDIT</t>
        </is>
      </c>
      <c r="AC159" s="231" t="inlineStr">
        <is>
          <t>ND</t>
        </is>
      </c>
      <c r="AD159" s="315" t="inlineStr">
        <is>
          <t>N</t>
        </is>
      </c>
      <c r="AE159" s="257" t="inlineStr">
        <is>
          <t>NA</t>
        </is>
      </c>
      <c r="AF159" s="257" t="inlineStr">
        <is>
          <t>NA</t>
        </is>
      </c>
      <c r="AG159" s="258" t="inlineStr">
        <is>
          <t>NA</t>
        </is>
      </c>
      <c r="AH159" s="89" t="n"/>
      <c r="AI159" s="353" t="inlineStr">
        <is>
          <t>La donnée est obligatoire si [l'indicateur 'Syndication' [F1 4.1] est égal à 'Y' OU l'Indicateur convention-de-partage-en-risque pour le crédit-bail [F1 4.18] est renseigné et différent de 0] ET si la donnée 'Entité hors groupe CA pilote de l'opération - identifiant local' [F1 4.4] n'est pas renseignée</t>
        </is>
      </c>
      <c r="AJ159" s="317" t="inlineStr">
        <is>
          <t>The data is mandatory if [the “Syndication” Indicator [F1 4.1] is equal to 'Y' OR the 'Risk-transfer-convention indicator for leasing' [F1 4.18] is filled and different from 0] AND if the data 'Non CA Group entity transaction lead – local ID' [F1 4.4] is not filled</t>
        </is>
      </c>
      <c r="AK159" s="269" t="n">
        <v>6</v>
      </c>
      <c r="AL159" s="345" t="inlineStr">
        <is>
          <t>TPS0701</t>
        </is>
      </c>
      <c r="AM159" s="210" t="inlineStr">
        <is>
          <t>Si elle est renseignée, la valeur doit être connue du Langage Commun associé</t>
        </is>
      </c>
      <c r="AN159" s="211" t="inlineStr">
        <is>
          <t>If specified, the value must be known to the associated Common Language</t>
        </is>
      </c>
      <c r="AO159" s="257" t="n">
        <v>7</v>
      </c>
      <c r="AP159" s="212" t="inlineStr">
        <is>
          <t>TIG0001</t>
        </is>
      </c>
      <c r="AQ159" s="318" t="n"/>
      <c r="AR159" s="317" t="n"/>
      <c r="AS159" s="257" t="n"/>
      <c r="AT159" s="258" t="n"/>
      <c r="AU159" s="318" t="n"/>
      <c r="AV159" s="317" t="n"/>
      <c r="AW159" s="257" t="n"/>
      <c r="AX159" s="258" t="n"/>
      <c r="AY159" s="318" t="n"/>
      <c r="AZ159" s="317" t="n"/>
      <c r="BA159" s="257" t="n"/>
      <c r="BB159" s="258" t="n"/>
      <c r="BC159" s="316" t="n"/>
      <c r="BD159" s="317" t="n"/>
      <c r="BE159" s="257" t="n"/>
      <c r="BF159" s="258" t="n"/>
      <c r="BG159" s="89" t="n"/>
      <c r="BH1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9">
        <f>_xlfn.LET(r,ROW(),oc,INDEX($A:$A,r),cv,TRIM(INDEX($Y:$Y,r)&amp;""),IF(oc&lt;&gt;"P1","",IF(cv="45","V45 - novo, nao alimentado pelo spool atual","V44 - alimentado pelo spool atual")))</f>
        <v/>
      </c>
    </row>
    <row r="160" ht="54" customFormat="1" customHeight="1" s="90">
      <c r="A160" s="306" t="inlineStr">
        <is>
          <t>F1</t>
        </is>
      </c>
      <c r="B160" s="307" t="n">
        <v>44</v>
      </c>
      <c r="C160" s="269" t="inlineStr">
        <is>
          <t>28 - Caractéristiques de syndication</t>
        </is>
      </c>
      <c r="D160" s="236" t="inlineStr">
        <is>
          <t>28 - Syndication caracteristics</t>
        </is>
      </c>
      <c r="E160" s="307" t="inlineStr">
        <is>
          <t>F1 4.4</t>
        </is>
      </c>
      <c r="F160" s="308" t="inlineStr">
        <is>
          <t>Entité hors groupe CA pilote de l'opération - identifiant local</t>
        </is>
      </c>
      <c r="G160" s="309" t="inlineStr">
        <is>
          <t>Non CA Group entity transaction lead – local ID</t>
        </is>
      </c>
      <c r="H160" s="309" t="n"/>
      <c r="I160" s="241" t="inlineStr">
        <is>
          <t>Identifiant du tiers pilote de l'opération dans le système local utilisé pour générer le flux</t>
        </is>
      </c>
      <c r="J160" s="233" t="inlineStr">
        <is>
          <t>ID of external counterparty transaction lead in the local system used to generate the flow</t>
        </is>
      </c>
      <c r="K160" s="269" t="inlineStr">
        <is>
          <t>ND</t>
        </is>
      </c>
      <c r="L160" s="310" t="inlineStr">
        <is>
          <t>ND</t>
        </is>
      </c>
      <c r="M160" s="1420" t="inlineStr">
        <is>
          <t>IdLocalTiersPil</t>
        </is>
      </c>
      <c r="N160" s="231" t="inlineStr">
        <is>
          <t>Obligatoire sous conditions</t>
        </is>
      </c>
      <c r="O160" s="236" t="inlineStr">
        <is>
          <t>Mandatory under conditions</t>
        </is>
      </c>
      <c r="P160" s="269" t="inlineStr">
        <is>
          <t>NA</t>
        </is>
      </c>
      <c r="Q160" s="269" t="inlineStr">
        <is>
          <t>NA</t>
        </is>
      </c>
      <c r="R160" s="311" t="inlineStr">
        <is>
          <t>NA</t>
        </is>
      </c>
      <c r="S160" s="312" t="inlineStr">
        <is>
          <t>NA</t>
        </is>
      </c>
      <c r="T160" s="313" t="inlineStr">
        <is>
          <t>ALPHA</t>
        </is>
      </c>
      <c r="U160" s="237" t="inlineStr">
        <is>
          <t>NA</t>
        </is>
      </c>
      <c r="V160" s="238" t="inlineStr">
        <is>
          <t>NA</t>
        </is>
      </c>
      <c r="W160" s="257" t="n">
        <v>20</v>
      </c>
      <c r="X160" s="945" t="inlineStr">
        <is>
          <t>NA</t>
        </is>
      </c>
      <c r="Y160" s="237" t="n">
        <v>40</v>
      </c>
      <c r="Z160" s="237" t="inlineStr">
        <is>
          <t>NA</t>
        </is>
      </c>
      <c r="AA160" s="237" t="inlineStr">
        <is>
          <t>NA</t>
        </is>
      </c>
      <c r="AB160" s="636" t="inlineStr">
        <is>
          <t>ANACREDIT</t>
        </is>
      </c>
      <c r="AC160" s="231" t="inlineStr">
        <is>
          <t>ND</t>
        </is>
      </c>
      <c r="AD160" s="315" t="inlineStr">
        <is>
          <t>N</t>
        </is>
      </c>
      <c r="AE160" s="257" t="inlineStr">
        <is>
          <t>NA</t>
        </is>
      </c>
      <c r="AF160" s="257" t="inlineStr">
        <is>
          <t>NA</t>
        </is>
      </c>
      <c r="AG160" s="258" t="inlineStr">
        <is>
          <t>NA</t>
        </is>
      </c>
      <c r="AH160" s="89" t="n"/>
      <c r="AI160" s="367" t="inlineStr">
        <is>
          <t>La donnée est obligatoire si [l'indicateur 'Syndication' [F1 4.1] est égal à 'Y' OU l'Indicateur convention-de-partage-en-risque pour le crédit-bail [F1 4.18] est renseigné et différent de 0] ET si la donnée 'Entité du groupe CA pilote de l'opération' [F1 4.3] n'est pas renseignée</t>
        </is>
      </c>
      <c r="AJ160" s="317" t="inlineStr">
        <is>
          <t>The data is mandatory if [the “Syndication” Indicator [F1 4.1] is equal to 'Y' OR the 'Risk-transfer-convention indicator for leasing' [F1 4.18] is filled and different from 0] AND if the data 'CA Group entity transaction lead' [F1 4.3] is not filled</t>
        </is>
      </c>
      <c r="AK160" s="257" t="n">
        <v>5</v>
      </c>
      <c r="AL160" s="345" t="inlineStr">
        <is>
          <t>TPS0702</t>
        </is>
      </c>
      <c r="AM160" s="318" t="n"/>
      <c r="AN160" s="317" t="n"/>
      <c r="AO160" s="257" t="n"/>
      <c r="AP160" s="258" t="n"/>
      <c r="AQ160" s="318" t="n"/>
      <c r="AR160" s="317" t="n"/>
      <c r="AS160" s="257" t="n"/>
      <c r="AT160" s="258" t="n"/>
      <c r="AU160" s="318" t="n"/>
      <c r="AV160" s="317" t="n"/>
      <c r="AW160" s="257" t="n"/>
      <c r="AX160" s="258" t="n"/>
      <c r="AY160" s="337" t="inlineStr">
        <is>
          <t>Le tiers doit exister (présence du tiers dans TIGRE)</t>
        </is>
      </c>
      <c r="AZ160" s="317" t="inlineStr">
        <is>
          <t>The third-party must exist (presence of the third-party in TIGRE)</t>
        </is>
      </c>
      <c r="BA160" s="257" t="n">
        <v>6</v>
      </c>
      <c r="BB160" s="338" t="inlineStr">
        <is>
          <t>TIG0002</t>
        </is>
      </c>
      <c r="BC160" s="316" t="n"/>
      <c r="BD160" s="317" t="n"/>
      <c r="BE160" s="257" t="n"/>
      <c r="BF160" s="258" t="n"/>
      <c r="BG160" s="89" t="n"/>
      <c r="BH1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60">
        <f>_xlfn.LET(r,ROW(),oc,INDEX($A:$A,r),cv,TRIM(INDEX($Y:$Y,r)&amp;""),IF(oc&lt;&gt;"P1","",IF(cv="45","V45 - novo, nao alimentado pelo spool atual","V44 - alimentado pelo spool atual")))</f>
        <v/>
      </c>
    </row>
    <row r="161" ht="54" customFormat="1" customHeight="1" s="90">
      <c r="A161" s="306" t="inlineStr">
        <is>
          <t>F1</t>
        </is>
      </c>
      <c r="B161" s="307" t="n">
        <v>45</v>
      </c>
      <c r="C161" s="269" t="inlineStr">
        <is>
          <t>28 - Caractéristiques de syndication</t>
        </is>
      </c>
      <c r="D161" s="236" t="inlineStr">
        <is>
          <t>28 - Syndication caracteristics</t>
        </is>
      </c>
      <c r="E161" s="307" t="inlineStr">
        <is>
          <t>F1 4.5</t>
        </is>
      </c>
      <c r="F161" s="308" t="inlineStr">
        <is>
          <t>Entité hors groupe CA pilote de l'opération - identifiant central</t>
        </is>
      </c>
      <c r="G161" s="309" t="inlineStr">
        <is>
          <t>Non CA Group entity transaction lead – central ID</t>
        </is>
      </c>
      <c r="H161" s="309" t="n"/>
      <c r="I161" s="241" t="inlineStr">
        <is>
          <t>Identifiant du tiers pilote de l'opération dans le système central DRG</t>
        </is>
      </c>
      <c r="J161" s="233" t="inlineStr">
        <is>
          <t>ID of external counterparty transaction lead in the central database</t>
        </is>
      </c>
      <c r="K161" s="269" t="inlineStr">
        <is>
          <t>ND</t>
        </is>
      </c>
      <c r="L161" s="310" t="inlineStr">
        <is>
          <t>ND</t>
        </is>
      </c>
      <c r="M161" s="1420" t="inlineStr">
        <is>
          <t>IdCentralTiersPil</t>
        </is>
      </c>
      <c r="N161" s="231" t="inlineStr">
        <is>
          <t>Facultatif</t>
        </is>
      </c>
      <c r="O161" s="236" t="inlineStr">
        <is>
          <t>Optional</t>
        </is>
      </c>
      <c r="P161" s="269" t="inlineStr">
        <is>
          <t>NA</t>
        </is>
      </c>
      <c r="Q161" s="269" t="inlineStr">
        <is>
          <t>NA</t>
        </is>
      </c>
      <c r="R161" s="311" t="inlineStr">
        <is>
          <t>Si renseigné, identifiant fourni par DRG dans le fichier mensuel Référentiel ‘Tiers groupes' transmis aux entités émettrices du flux</t>
        </is>
      </c>
      <c r="S161" s="312" t="inlineStr">
        <is>
          <t>If indicated, ID provided by the Group Risk Management Division in the monthly “External Counterparties Groups” file (DTG) sent to entities issuing flows</t>
        </is>
      </c>
      <c r="T161" s="313" t="inlineStr">
        <is>
          <t>ALPHA</t>
        </is>
      </c>
      <c r="U161" s="237" t="inlineStr">
        <is>
          <t>NA</t>
        </is>
      </c>
      <c r="V161" s="238" t="inlineStr">
        <is>
          <t>NA</t>
        </is>
      </c>
      <c r="W161" s="257" t="n">
        <v>10</v>
      </c>
      <c r="X161" s="945" t="inlineStr">
        <is>
          <t>NA</t>
        </is>
      </c>
      <c r="Y161" s="237" t="n">
        <v>40</v>
      </c>
      <c r="Z161" s="237" t="inlineStr">
        <is>
          <t>NA</t>
        </is>
      </c>
      <c r="AA161" s="237" t="inlineStr">
        <is>
          <t>45.00</t>
        </is>
      </c>
      <c r="AB161" s="636" t="inlineStr">
        <is>
          <t>ANACREDIT, ASTRE</t>
        </is>
      </c>
      <c r="AC161" s="231" t="inlineStr">
        <is>
          <t>ND</t>
        </is>
      </c>
      <c r="AD161" s="315" t="inlineStr">
        <is>
          <t>N</t>
        </is>
      </c>
      <c r="AE161" s="257" t="inlineStr">
        <is>
          <t>NA</t>
        </is>
      </c>
      <c r="AF161" s="257" t="inlineStr">
        <is>
          <t>NA</t>
        </is>
      </c>
      <c r="AG161" s="258" t="inlineStr">
        <is>
          <t>NA</t>
        </is>
      </c>
      <c r="AH161" s="89" t="n"/>
      <c r="AI161" s="316" t="n"/>
      <c r="AJ161" s="317" t="n"/>
      <c r="AK161" s="257" t="n"/>
      <c r="AL161" s="258" t="n"/>
      <c r="AM161" s="318" t="n"/>
      <c r="AN161" s="317" t="n"/>
      <c r="AO161" s="257" t="n"/>
      <c r="AP161" s="258" t="n"/>
      <c r="AQ161" s="318" t="n"/>
      <c r="AR161" s="317" t="n"/>
      <c r="AS161" s="257" t="n"/>
      <c r="AT161" s="258" t="n"/>
      <c r="AU161" s="318" t="n"/>
      <c r="AV161" s="317" t="n"/>
      <c r="AW161" s="257" t="n"/>
      <c r="AX161" s="258" t="n"/>
      <c r="AY161" s="1180" t="inlineStr">
        <is>
          <t>S'il est renseigné, l'identifiant doit correspondre à un enregistrement dans l'objet associé, indépendamment de l'entité
---
Le tiers doit exister (présence du tiers dans TIGRE)
---
Le couple identifiant local / central (F1 4.4 et F1 4.5) doit exister dans TIGRE</t>
        </is>
      </c>
      <c r="AZ161" s="931" t="inlineStr">
        <is>
          <t>If it is filled in, the identifier must correspond to a record in the associated object, regardless of the entity
---
The third-party must exist (presence of the third-party in TIGRE)
---
The local/central identifier pair (F1 4.4 and F1 4.5) must exist in TIGRE</t>
        </is>
      </c>
      <c r="BA161" s="1181" t="inlineStr">
        <is>
          <t>7
6
6</t>
        </is>
      </c>
      <c r="BB161" s="1238" t="inlineStr">
        <is>
          <t>TI0003
TIG0002
TIG0004</t>
        </is>
      </c>
      <c r="BC161" s="316" t="n"/>
      <c r="BD161" s="317" t="n"/>
      <c r="BE161" s="257" t="n"/>
      <c r="BF161" s="258" t="n"/>
      <c r="BG161" s="89" t="n"/>
      <c r="BH1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61">
        <f>_xlfn.LET(r,ROW(),oc,INDEX($A:$A,r),cv,TRIM(INDEX($Y:$Y,r)&amp;""),IF(oc&lt;&gt;"P1","",IF(cv="45","V45 - novo, nao alimentado pelo spool atual","V44 - alimentado pelo spool atual")))</f>
        <v/>
      </c>
    </row>
    <row r="162" ht="54" customFormat="1" customHeight="1" s="90">
      <c r="A162" s="306" t="inlineStr">
        <is>
          <t>F1</t>
        </is>
      </c>
      <c r="B162" s="307" t="n">
        <v>46</v>
      </c>
      <c r="C162" s="269" t="inlineStr">
        <is>
          <t>28 - Caractéristiques de syndication</t>
        </is>
      </c>
      <c r="D162" s="236" t="inlineStr">
        <is>
          <t>28 - Syndication caracteristics</t>
        </is>
      </c>
      <c r="E162" s="307" t="inlineStr">
        <is>
          <t>F1 4.6</t>
        </is>
      </c>
      <c r="F162" s="308" t="inlineStr">
        <is>
          <t>Montant initial global toutes banques toutes tranches confondues</t>
        </is>
      </c>
      <c r="G162" s="309" t="inlineStr">
        <is>
          <t>Initial overall amount all banks all tranches combined</t>
        </is>
      </c>
      <c r="H162" s="309" t="n"/>
      <c r="I162" s="241" t="inlineStr">
        <is>
          <t>Montant initial total de la syndication (toutes banques et toutes tranches confondues)</t>
        </is>
      </c>
      <c r="J162" s="233" t="inlineStr">
        <is>
          <t>Total initial syndicated amount (all banks and all tranches combined)</t>
        </is>
      </c>
      <c r="K162" s="269" t="inlineStr">
        <is>
          <t>ND</t>
        </is>
      </c>
      <c r="L162" s="310" t="inlineStr">
        <is>
          <t>ND</t>
        </is>
      </c>
      <c r="M162" s="1420" t="inlineStr">
        <is>
          <t>MtIniTteTran</t>
        </is>
      </c>
      <c r="N162" s="231" t="inlineStr">
        <is>
          <t>Obligatoire sous conditions</t>
        </is>
      </c>
      <c r="O162" s="236" t="inlineStr">
        <is>
          <t>Mandatory under conditions</t>
        </is>
      </c>
      <c r="P162" s="269" t="inlineStr">
        <is>
          <t>NA</t>
        </is>
      </c>
      <c r="Q162" s="269" t="inlineStr">
        <is>
          <t>NA</t>
        </is>
      </c>
      <c r="R162" s="311" t="inlineStr">
        <is>
          <t>NA</t>
        </is>
      </c>
      <c r="S162" s="312" t="inlineStr">
        <is>
          <t>NA</t>
        </is>
      </c>
      <c r="T162" s="313" t="inlineStr">
        <is>
          <t>NUM</t>
        </is>
      </c>
      <c r="U162" s="237" t="inlineStr">
        <is>
          <t>19 dont signe et 2 décimales</t>
        </is>
      </c>
      <c r="V162" s="238" t="inlineStr">
        <is>
          <t>19 including sign and 2 decimals</t>
        </is>
      </c>
      <c r="W162" s="257" t="n">
        <v>19</v>
      </c>
      <c r="X162" s="945" t="inlineStr">
        <is>
          <t>NA</t>
        </is>
      </c>
      <c r="Y162" s="237" t="n">
        <v>40</v>
      </c>
      <c r="Z162" s="237" t="inlineStr">
        <is>
          <t>NA</t>
        </is>
      </c>
      <c r="AA162" s="237" t="inlineStr">
        <is>
          <t>NA</t>
        </is>
      </c>
      <c r="AB162" s="636" t="inlineStr">
        <is>
          <t>ANACREDIT</t>
        </is>
      </c>
      <c r="AC162" s="231" t="inlineStr">
        <is>
          <t>ND</t>
        </is>
      </c>
      <c r="AD162" s="315" t="inlineStr">
        <is>
          <t>N</t>
        </is>
      </c>
      <c r="AE162" s="257" t="inlineStr">
        <is>
          <t>NA</t>
        </is>
      </c>
      <c r="AF162" s="257" t="inlineStr">
        <is>
          <t>NA</t>
        </is>
      </c>
      <c r="AG162" s="258" t="inlineStr">
        <is>
          <t>NA</t>
        </is>
      </c>
      <c r="AH162" s="89" t="n"/>
      <c r="AI162" s="353" t="inlineStr">
        <is>
          <t xml:space="preserve">La donnée est obligatoire si l'indicateur 'Syndication' [F1 4.1] est égal à 'Y' OU l'indicateur convention de partage [F1 4.18] est renseigné et différent de 0 </t>
        </is>
      </c>
      <c r="AJ162" s="317" t="inlineStr">
        <is>
          <t xml:space="preserve">The data is mandatory if the 'Syndication' flag [F1 4.1] is equal to 'Y' OR the sharing convention flag [F1 4.18] is filled in and not equal to 0 </t>
        </is>
      </c>
      <c r="AK162" s="269" t="n">
        <v>5</v>
      </c>
      <c r="AL162" s="366" t="inlineStr">
        <is>
          <t>TPS0703</t>
        </is>
      </c>
      <c r="AM162" s="318" t="n"/>
      <c r="AN162" s="317" t="n"/>
      <c r="AO162" s="257" t="n"/>
      <c r="AP162" s="258" t="n"/>
      <c r="AQ162" s="343" t="inlineStr">
        <is>
          <t>Si renseignée, la donnée doit être positive (supérieure ou égale à 0)</t>
        </is>
      </c>
      <c r="AR162" s="317" t="inlineStr">
        <is>
          <t xml:space="preserve">If filled, data must be positive (greater or equal to 0) </t>
        </is>
      </c>
      <c r="AS162" s="344" t="n">
        <v>7</v>
      </c>
      <c r="AT162" s="345" t="inlineStr">
        <is>
          <t>TVG0001</t>
        </is>
      </c>
      <c r="AU162" s="318" t="n"/>
      <c r="AV162" s="317" t="n"/>
      <c r="AW162" s="257" t="n"/>
      <c r="AX162" s="258" t="n"/>
      <c r="AY162" s="318" t="n"/>
      <c r="AZ162" s="317" t="n"/>
      <c r="BA162" s="257" t="n"/>
      <c r="BB162" s="258" t="n"/>
      <c r="BC162" s="316" t="n"/>
      <c r="BD162" s="317" t="n"/>
      <c r="BE162" s="257" t="n"/>
      <c r="BF162" s="258" t="n"/>
      <c r="BG162" s="89" t="n"/>
      <c r="BH1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62">
        <f>_xlfn.LET(r,ROW(),oc,INDEX($A:$A,r),cv,TRIM(INDEX($Y:$Y,r)&amp;""),IF(oc&lt;&gt;"P1","",IF(cv="45","V45 - novo, nao alimentado pelo spool atual","V44 - alimentado pelo spool atual")))</f>
        <v/>
      </c>
    </row>
    <row r="163" ht="54" customFormat="1" customHeight="1" s="90">
      <c r="A163" s="306" t="inlineStr">
        <is>
          <t>F1</t>
        </is>
      </c>
      <c r="B163" s="307" t="n">
        <v>47</v>
      </c>
      <c r="C163" s="269" t="inlineStr">
        <is>
          <t>28 - Caractéristiques de syndication</t>
        </is>
      </c>
      <c r="D163" s="236" t="inlineStr">
        <is>
          <t>28 - Syndication caracteristics</t>
        </is>
      </c>
      <c r="E163" s="307" t="inlineStr">
        <is>
          <t>F1 4.7</t>
        </is>
      </c>
      <c r="F163" s="308" t="inlineStr">
        <is>
          <t>Montant mis à jour global toutes banques toutes tranches confondues</t>
        </is>
      </c>
      <c r="G163" s="309" t="inlineStr">
        <is>
          <t>Updated overall amount all banks all tranches combined</t>
        </is>
      </c>
      <c r="H163" s="309" t="n"/>
      <c r="I163" s="241" t="inlineStr">
        <is>
          <t>Montant révisé (après prise en compte des échéanciers) total de la syndication (toutes banques et toutes tranches confondues)</t>
        </is>
      </c>
      <c r="J163" s="233" t="inlineStr">
        <is>
          <t>The revised (after taking account of due dates) total syndicated amount (all banks and all tranches combined)</t>
        </is>
      </c>
      <c r="K163" s="269" t="inlineStr">
        <is>
          <t>ND</t>
        </is>
      </c>
      <c r="L163" s="310" t="inlineStr">
        <is>
          <t>ND</t>
        </is>
      </c>
      <c r="M163" s="1420" t="inlineStr">
        <is>
          <t>MtMajTteTran</t>
        </is>
      </c>
      <c r="N163" s="231" t="inlineStr">
        <is>
          <t>Obligatoire sous conditions</t>
        </is>
      </c>
      <c r="O163" s="236" t="inlineStr">
        <is>
          <t>Mandatory under conditions</t>
        </is>
      </c>
      <c r="P163" s="269" t="inlineStr">
        <is>
          <t>NA</t>
        </is>
      </c>
      <c r="Q163" s="269" t="inlineStr">
        <is>
          <t>NA</t>
        </is>
      </c>
      <c r="R163" s="311" t="inlineStr">
        <is>
          <t>NA</t>
        </is>
      </c>
      <c r="S163" s="312" t="inlineStr">
        <is>
          <t>NA</t>
        </is>
      </c>
      <c r="T163" s="313" t="inlineStr">
        <is>
          <t>NUM</t>
        </is>
      </c>
      <c r="U163" s="237" t="inlineStr">
        <is>
          <t>19 dont signe et 2 décimales</t>
        </is>
      </c>
      <c r="V163" s="238" t="inlineStr">
        <is>
          <t>19 including sign and 2 decimals</t>
        </is>
      </c>
      <c r="W163" s="257" t="n">
        <v>19</v>
      </c>
      <c r="X163" s="945" t="inlineStr">
        <is>
          <t>NA</t>
        </is>
      </c>
      <c r="Y163" s="237" t="n">
        <v>40</v>
      </c>
      <c r="Z163" s="237" t="inlineStr">
        <is>
          <t>NA</t>
        </is>
      </c>
      <c r="AA163" s="237" t="inlineStr">
        <is>
          <t>NA</t>
        </is>
      </c>
      <c r="AB163" s="636" t="inlineStr">
        <is>
          <t>ANACREDIT</t>
        </is>
      </c>
      <c r="AC163" s="231" t="inlineStr">
        <is>
          <t>ND</t>
        </is>
      </c>
      <c r="AD163" s="315" t="inlineStr">
        <is>
          <t>N</t>
        </is>
      </c>
      <c r="AE163" s="257" t="inlineStr">
        <is>
          <t>NA</t>
        </is>
      </c>
      <c r="AF163" s="257" t="inlineStr">
        <is>
          <t>NA</t>
        </is>
      </c>
      <c r="AG163" s="258" t="inlineStr">
        <is>
          <t>NA</t>
        </is>
      </c>
      <c r="AH163" s="89" t="n"/>
      <c r="AI163" s="353" t="inlineStr">
        <is>
          <t xml:space="preserve">La donnée est obligatoire si l'indicateur 'Syndication' [F1 4.1] est égal à 'Y' OU l'indicateur convention de partage [F1 4.18] est renseigné et différent de 0 </t>
        </is>
      </c>
      <c r="AJ163" s="317" t="inlineStr">
        <is>
          <t xml:space="preserve">The data is mandatory if the 'Syndication' flag [F1 4.1] is equal to 'Y' OR the sharing convention flag [F1 4.18] is filled in and not equal to 0 </t>
        </is>
      </c>
      <c r="AK163" s="269" t="n">
        <v>5</v>
      </c>
      <c r="AL163" s="366" t="inlineStr">
        <is>
          <t>TPS0703</t>
        </is>
      </c>
      <c r="AM163" s="318" t="n"/>
      <c r="AN163" s="317" t="n"/>
      <c r="AO163" s="257" t="n"/>
      <c r="AP163" s="258" t="n"/>
      <c r="AQ163" s="343" t="inlineStr">
        <is>
          <t>Si renseignée, la donnée doit être positive (supérieure ou égale à 0)</t>
        </is>
      </c>
      <c r="AR163" s="317" t="inlineStr">
        <is>
          <t xml:space="preserve">If filled, data must be positive (greater or equal to 0) </t>
        </is>
      </c>
      <c r="AS163" s="344" t="n">
        <v>7</v>
      </c>
      <c r="AT163" s="345" t="inlineStr">
        <is>
          <t>TVG0001</t>
        </is>
      </c>
      <c r="AU163" s="318" t="n"/>
      <c r="AV163" s="317" t="n"/>
      <c r="AW163" s="257" t="n"/>
      <c r="AX163" s="258" t="n"/>
      <c r="AY163" s="318" t="n"/>
      <c r="AZ163" s="317" t="n"/>
      <c r="BA163" s="257" t="n"/>
      <c r="BB163" s="258" t="n"/>
      <c r="BC163" s="316" t="n"/>
      <c r="BD163" s="317" t="n"/>
      <c r="BE163" s="257" t="n"/>
      <c r="BF163" s="258" t="n"/>
      <c r="BG163" s="89" t="n"/>
      <c r="BH1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63">
        <f>_xlfn.LET(r,ROW(),oc,INDEX($A:$A,r),cv,TRIM(INDEX($Y:$Y,r)&amp;""),IF(oc&lt;&gt;"P1","",IF(cv="45","V45 - novo, nao alimentado pelo spool atual","V44 - alimentado pelo spool atual")))</f>
        <v/>
      </c>
    </row>
    <row r="164" ht="54" customFormat="1" customHeight="1" s="90">
      <c r="A164" s="306" t="inlineStr">
        <is>
          <t>F1</t>
        </is>
      </c>
      <c r="B164" s="307" t="n">
        <v>48</v>
      </c>
      <c r="C164" s="269" t="inlineStr">
        <is>
          <t>28 - Caractéristiques de syndication</t>
        </is>
      </c>
      <c r="D164" s="236" t="inlineStr">
        <is>
          <t>28 - Syndication caracteristics</t>
        </is>
      </c>
      <c r="E164" s="307" t="inlineStr">
        <is>
          <t>F1 4.8</t>
        </is>
      </c>
      <c r="F164" s="368" t="inlineStr">
        <is>
          <t>Devise des montants de syndication toutes tranches</t>
        </is>
      </c>
      <c r="G164" s="309" t="inlineStr">
        <is>
          <t>Currency in which syndicated amounts are denominated all tranches</t>
        </is>
      </c>
      <c r="H164" s="309" t="n"/>
      <c r="I164" s="241" t="inlineStr">
        <is>
          <t>Devise d'expression des montants de syndication toutes tranches</t>
        </is>
      </c>
      <c r="J164" s="233" t="inlineStr">
        <is>
          <t>Currency in which syndicated amounts are denominated all tranches</t>
        </is>
      </c>
      <c r="K164" s="269" t="inlineStr">
        <is>
          <t>ND</t>
        </is>
      </c>
      <c r="L164" s="310" t="inlineStr">
        <is>
          <t>ND</t>
        </is>
      </c>
      <c r="M164" s="1420" t="inlineStr">
        <is>
          <t>cdDevSyndTteTran</t>
        </is>
      </c>
      <c r="N164" s="231" t="inlineStr">
        <is>
          <t>Obligatoire sous conditions</t>
        </is>
      </c>
      <c r="O164" s="236" t="inlineStr">
        <is>
          <t>Mandatory under conditions</t>
        </is>
      </c>
      <c r="P164" s="269" t="inlineStr">
        <is>
          <t>LC.0005</t>
        </is>
      </c>
      <c r="Q164" s="269" t="inlineStr">
        <is>
          <t>TA NM253</t>
        </is>
      </c>
      <c r="R164" s="311" t="inlineStr">
        <is>
          <t>NA</t>
        </is>
      </c>
      <c r="S164" s="312" t="inlineStr">
        <is>
          <t>NA</t>
        </is>
      </c>
      <c r="T164" s="313" t="inlineStr">
        <is>
          <t>ALPHA</t>
        </is>
      </c>
      <c r="U164" s="237" t="inlineStr">
        <is>
          <t>NA</t>
        </is>
      </c>
      <c r="V164" s="238" t="inlineStr">
        <is>
          <t>NA</t>
        </is>
      </c>
      <c r="W164" s="257" t="n">
        <v>3</v>
      </c>
      <c r="X164" s="945" t="inlineStr">
        <is>
          <t>NA</t>
        </is>
      </c>
      <c r="Y164" s="237" t="n">
        <v>40</v>
      </c>
      <c r="Z164" s="237" t="inlineStr">
        <is>
          <t>NA</t>
        </is>
      </c>
      <c r="AA164" s="237" t="inlineStr">
        <is>
          <t>NA</t>
        </is>
      </c>
      <c r="AB164" s="636" t="inlineStr">
        <is>
          <t>ANACREDIT</t>
        </is>
      </c>
      <c r="AC164" s="231" t="inlineStr">
        <is>
          <t>ND</t>
        </is>
      </c>
      <c r="AD164" s="315" t="inlineStr">
        <is>
          <t>N</t>
        </is>
      </c>
      <c r="AE164" s="257" t="inlineStr">
        <is>
          <t>NA</t>
        </is>
      </c>
      <c r="AF164" s="257" t="inlineStr">
        <is>
          <t>NA</t>
        </is>
      </c>
      <c r="AG164" s="258" t="inlineStr">
        <is>
          <t>NA</t>
        </is>
      </c>
      <c r="AH164" s="89" t="n"/>
      <c r="AI164" s="369" t="inlineStr">
        <is>
          <t xml:space="preserve">La donnée est obligatoire si l'un des montants suivants est renseigné : 'Montant initial global toutes banques toutes tranches confondues' [F1 4.6] ou 'Montant mis à jour global toutes banques toutes tranches confondues' [F1 4.7] ou 'Part en risque (montant) de l'entité pour la tranche en cours' [F1 4.13] ou 'Part en trésorerie (montant) de l'entité pour la tranche en cours' [F1 4.15] </t>
        </is>
      </c>
      <c r="AJ164" s="317" t="inlineStr">
        <is>
          <t xml:space="preserve">The data is mandatory if one of the following amounts is filled: 'Initial overall amount all banks all tranches combined' [F1 4.6] or 'Updated overall amount all banks all tranches combined' [F1 4.7] or 'Risk portion (amount) of entity for current tranche' [F1 4.13] or 'Cash portion (amount) of entity for current tranche' [F1 4.15] </t>
        </is>
      </c>
      <c r="AK164" s="269" t="n">
        <v>7</v>
      </c>
      <c r="AL164" s="335" t="inlineStr">
        <is>
          <t>TPG0002</t>
        </is>
      </c>
      <c r="AM164" s="210" t="inlineStr">
        <is>
          <t>Si elle est renseignée, la valeur doit être connue du Langage Commun associé</t>
        </is>
      </c>
      <c r="AN164" s="211" t="inlineStr">
        <is>
          <t>If specified, the value must be known to the associated Common Language</t>
        </is>
      </c>
      <c r="AO164" s="257" t="n">
        <v>7</v>
      </c>
      <c r="AP164" s="212" t="inlineStr">
        <is>
          <t>TIG0001</t>
        </is>
      </c>
      <c r="AQ164" s="318" t="n"/>
      <c r="AR164" s="317" t="n"/>
      <c r="AS164" s="257" t="n"/>
      <c r="AT164" s="258" t="n"/>
      <c r="AU164" s="318" t="inlineStr">
        <is>
          <t> </t>
        </is>
      </c>
      <c r="AV164" s="317" t="n"/>
      <c r="AW164" s="257" t="n"/>
      <c r="AX164" s="258" t="n"/>
      <c r="AY164" s="318" t="n"/>
      <c r="AZ164" s="317" t="n"/>
      <c r="BA164" s="257" t="n"/>
      <c r="BB164" s="258" t="n"/>
      <c r="BC164" s="316" t="n"/>
      <c r="BD164" s="317" t="n"/>
      <c r="BE164" s="257" t="n"/>
      <c r="BF164" s="258" t="n"/>
      <c r="BG164" s="89" t="n"/>
      <c r="BH1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64">
        <f>_xlfn.LET(r,ROW(),oc,INDEX($A:$A,r),cv,TRIM(INDEX($Y:$Y,r)&amp;""),IF(oc&lt;&gt;"P1","",IF(cv="45","V45 - novo, nao alimentado pelo spool atual","V44 - alimentado pelo spool atual")))</f>
        <v/>
      </c>
    </row>
    <row r="165" ht="54" customFormat="1" customHeight="1" s="90">
      <c r="A165" s="306" t="inlineStr">
        <is>
          <t>F1</t>
        </is>
      </c>
      <c r="B165" s="307" t="n">
        <v>49</v>
      </c>
      <c r="C165" s="269" t="inlineStr">
        <is>
          <t>28 - Caractéristiques de syndication</t>
        </is>
      </c>
      <c r="D165" s="236" t="inlineStr">
        <is>
          <t>28 - Syndication caracteristics</t>
        </is>
      </c>
      <c r="E165" s="307" t="inlineStr">
        <is>
          <t>F1 4.9</t>
        </is>
      </c>
      <c r="F165" s="308" t="inlineStr">
        <is>
          <t>Montant initial global toutes banques pour la tranche de l'autorisation</t>
        </is>
      </c>
      <c r="G165" s="309" t="inlineStr">
        <is>
          <t>Initial overall amount all banks for the facility tranche</t>
        </is>
      </c>
      <c r="H165" s="309" t="n"/>
      <c r="I165" s="241" t="inlineStr">
        <is>
          <t>Montant initial de la syndication pour la tranche en cours (toutes banques confondues)</t>
        </is>
      </c>
      <c r="J165" s="233" t="inlineStr">
        <is>
          <t>The initial syndicated amount for the current tranche (all banks combined)</t>
        </is>
      </c>
      <c r="K165" s="269" t="inlineStr">
        <is>
          <t>ND</t>
        </is>
      </c>
      <c r="L165" s="310" t="inlineStr">
        <is>
          <t>ND</t>
        </is>
      </c>
      <c r="M165" s="1420" t="inlineStr">
        <is>
          <t>MtIniTranAuto</t>
        </is>
      </c>
      <c r="N165" s="231" t="inlineStr">
        <is>
          <t>Obligatoire sous conditions</t>
        </is>
      </c>
      <c r="O165" s="236" t="inlineStr">
        <is>
          <t>Mandatory under conditions</t>
        </is>
      </c>
      <c r="P165" s="269" t="inlineStr">
        <is>
          <t>NA</t>
        </is>
      </c>
      <c r="Q165" s="269" t="inlineStr">
        <is>
          <t>NA</t>
        </is>
      </c>
      <c r="R165" s="311" t="inlineStr">
        <is>
          <t>NA</t>
        </is>
      </c>
      <c r="S165" s="312" t="inlineStr">
        <is>
          <t>NA</t>
        </is>
      </c>
      <c r="T165" s="313" t="inlineStr">
        <is>
          <t>NUM</t>
        </is>
      </c>
      <c r="U165" s="237" t="inlineStr">
        <is>
          <t>19 dont signe et 2 décimales</t>
        </is>
      </c>
      <c r="V165" s="238" t="inlineStr">
        <is>
          <t>19 including sign and 2 decimals</t>
        </is>
      </c>
      <c r="W165" s="257" t="n">
        <v>19</v>
      </c>
      <c r="X165" s="945" t="inlineStr">
        <is>
          <t>NA</t>
        </is>
      </c>
      <c r="Y165" s="237" t="n">
        <v>40</v>
      </c>
      <c r="Z165" s="237" t="inlineStr">
        <is>
          <t>NA</t>
        </is>
      </c>
      <c r="AA165" s="237" t="inlineStr">
        <is>
          <t>NA</t>
        </is>
      </c>
      <c r="AB165" s="636" t="inlineStr">
        <is>
          <t>ANACREDIT</t>
        </is>
      </c>
      <c r="AC165" s="231" t="inlineStr">
        <is>
          <t>ND</t>
        </is>
      </c>
      <c r="AD165" s="315" t="inlineStr">
        <is>
          <t>N</t>
        </is>
      </c>
      <c r="AE165" s="257" t="inlineStr">
        <is>
          <t>NA</t>
        </is>
      </c>
      <c r="AF165" s="257" t="inlineStr">
        <is>
          <t>NA</t>
        </is>
      </c>
      <c r="AG165" s="258" t="inlineStr">
        <is>
          <t>NA</t>
        </is>
      </c>
      <c r="AH165" s="89" t="n"/>
      <c r="AI165" s="353" t="inlineStr">
        <is>
          <t xml:space="preserve">La donnée est obligatoire si l'indicateur 'Syndication' [F1 4.1] est égal à 'Y' OU l'indicateur convention de partage [F1 4.18] est renseigné et différent de 0 </t>
        </is>
      </c>
      <c r="AJ165" s="317" t="inlineStr">
        <is>
          <t xml:space="preserve">The data is mandatory if the 'Syndication' flag [F1 4.1] is equal to 'Y' OR the sharing convention flag [F1 4.18] is filled in and not equal to 0 </t>
        </is>
      </c>
      <c r="AK165" s="269" t="n">
        <v>5</v>
      </c>
      <c r="AL165" s="366" t="inlineStr">
        <is>
          <t>TPS0703</t>
        </is>
      </c>
      <c r="AM165" s="318" t="n"/>
      <c r="AN165" s="317" t="n"/>
      <c r="AO165" s="257" t="n"/>
      <c r="AP165" s="258" t="n"/>
      <c r="AQ165" s="343" t="inlineStr">
        <is>
          <t>Si renseignée, la donnée doit être positive (supérieure ou égale à 0)</t>
        </is>
      </c>
      <c r="AR165" s="317" t="inlineStr">
        <is>
          <t xml:space="preserve">If filled, data must be positive (greater or equal to 0) </t>
        </is>
      </c>
      <c r="AS165" s="344" t="n">
        <v>7</v>
      </c>
      <c r="AT165" s="345" t="inlineStr">
        <is>
          <t>TVG0001</t>
        </is>
      </c>
      <c r="AU165" s="318" t="n"/>
      <c r="AV165" s="317" t="n"/>
      <c r="AW165" s="257" t="n"/>
      <c r="AX165" s="258" t="n"/>
      <c r="AY165" s="318" t="n"/>
      <c r="AZ165" s="317" t="n"/>
      <c r="BA165" s="257" t="n"/>
      <c r="BB165" s="258" t="n"/>
      <c r="BC165" s="316" t="n"/>
      <c r="BD165" s="317" t="n"/>
      <c r="BE165" s="257" t="n"/>
      <c r="BF165" s="258" t="n"/>
      <c r="BG165" s="89" t="n"/>
      <c r="BH1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65">
        <f>_xlfn.LET(r,ROW(),oc,INDEX($A:$A,r),cv,TRIM(INDEX($Y:$Y,r)&amp;""),IF(oc&lt;&gt;"P1","",IF(cv="45","V45 - novo, nao alimentado pelo spool atual","V44 - alimentado pelo spool atual")))</f>
        <v/>
      </c>
    </row>
    <row r="166" ht="54" customFormat="1" customHeight="1" s="90">
      <c r="A166" s="306" t="inlineStr">
        <is>
          <t>F1</t>
        </is>
      </c>
      <c r="B166" s="307" t="n">
        <v>50</v>
      </c>
      <c r="C166" s="269" t="inlineStr">
        <is>
          <t>28 - Caractéristiques de syndication</t>
        </is>
      </c>
      <c r="D166" s="236" t="inlineStr">
        <is>
          <t>28 - Syndication caracteristics</t>
        </is>
      </c>
      <c r="E166" s="307" t="inlineStr">
        <is>
          <t>F1 4.10</t>
        </is>
      </c>
      <c r="F166" s="308" t="inlineStr">
        <is>
          <t>Montant mis à jour global toutes banques pour la tranche de l'autorisation</t>
        </is>
      </c>
      <c r="G166" s="309" t="inlineStr">
        <is>
          <t>Updated overall amount all banks for the facility tranche</t>
        </is>
      </c>
      <c r="H166" s="309" t="n"/>
      <c r="I166" s="241" t="inlineStr">
        <is>
          <t>Montant révisé (après prise en compte des échéanciers) de la syndication pour la tranche en cours (toutes banques confondues)</t>
        </is>
      </c>
      <c r="J166" s="233" t="inlineStr">
        <is>
          <t>The revised (after taking account of due dates) syndicated amount for the current tranche (all banks combined)</t>
        </is>
      </c>
      <c r="K166" s="269" t="inlineStr">
        <is>
          <t>ND</t>
        </is>
      </c>
      <c r="L166" s="310" t="inlineStr">
        <is>
          <t>ND</t>
        </is>
      </c>
      <c r="M166" s="1420" t="inlineStr">
        <is>
          <t>MtMajTranAuto</t>
        </is>
      </c>
      <c r="N166" s="231" t="inlineStr">
        <is>
          <t>Obligatoire sous conditions</t>
        </is>
      </c>
      <c r="O166" s="236" t="inlineStr">
        <is>
          <t>Mandatory under conditions</t>
        </is>
      </c>
      <c r="P166" s="269" t="inlineStr">
        <is>
          <t>NA</t>
        </is>
      </c>
      <c r="Q166" s="269" t="inlineStr">
        <is>
          <t>NA</t>
        </is>
      </c>
      <c r="R166" s="311" t="inlineStr">
        <is>
          <t>NA</t>
        </is>
      </c>
      <c r="S166" s="312" t="inlineStr">
        <is>
          <t>NA</t>
        </is>
      </c>
      <c r="T166" s="313" t="inlineStr">
        <is>
          <t>NUM</t>
        </is>
      </c>
      <c r="U166" s="237" t="inlineStr">
        <is>
          <t>19 dont signe et 2 décimales</t>
        </is>
      </c>
      <c r="V166" s="238" t="inlineStr">
        <is>
          <t>19 including sign and 2 decimals</t>
        </is>
      </c>
      <c r="W166" s="257" t="n">
        <v>19</v>
      </c>
      <c r="X166" s="945" t="inlineStr">
        <is>
          <t>NA</t>
        </is>
      </c>
      <c r="Y166" s="237" t="n">
        <v>40</v>
      </c>
      <c r="Z166" s="237" t="inlineStr">
        <is>
          <t>NA</t>
        </is>
      </c>
      <c r="AA166" s="237" t="inlineStr">
        <is>
          <t>NA</t>
        </is>
      </c>
      <c r="AB166" s="636" t="inlineStr">
        <is>
          <t>ANACREDIT</t>
        </is>
      </c>
      <c r="AC166" s="231" t="inlineStr">
        <is>
          <t>ND</t>
        </is>
      </c>
      <c r="AD166" s="315" t="inlineStr">
        <is>
          <t>N</t>
        </is>
      </c>
      <c r="AE166" s="257" t="inlineStr">
        <is>
          <t>NA</t>
        </is>
      </c>
      <c r="AF166" s="257" t="inlineStr">
        <is>
          <t>NA</t>
        </is>
      </c>
      <c r="AG166" s="258" t="inlineStr">
        <is>
          <t>NA</t>
        </is>
      </c>
      <c r="AH166" s="89" t="n"/>
      <c r="AI166" s="353" t="inlineStr">
        <is>
          <t xml:space="preserve">La donnée est obligatoire si l'indicateur 'Syndication' [F1 4.1] est égal à 'Y' OU l'indicateur convention de partage [F1 4.18] est renseigné et différent de 0 </t>
        </is>
      </c>
      <c r="AJ166" s="317" t="inlineStr">
        <is>
          <t xml:space="preserve">The data is mandatory if the 'Syndication' flag [F1 4.1] is equal to 'Y' OR the sharing convention flag [F1 4.18] is filled in and not equal to 0 </t>
        </is>
      </c>
      <c r="AK166" s="269" t="n">
        <v>5</v>
      </c>
      <c r="AL166" s="366" t="inlineStr">
        <is>
          <t>TPS0703</t>
        </is>
      </c>
      <c r="AM166" s="318" t="n"/>
      <c r="AN166" s="317" t="n"/>
      <c r="AO166" s="257" t="n"/>
      <c r="AP166" s="258" t="n"/>
      <c r="AQ166" s="343" t="inlineStr">
        <is>
          <t>Si renseignée, la donnée doit être positive (supérieure ou égale à 0)</t>
        </is>
      </c>
      <c r="AR166" s="317" t="inlineStr">
        <is>
          <t xml:space="preserve">If filled, data must be positive (greater or equal to 0) </t>
        </is>
      </c>
      <c r="AS166" s="344" t="n">
        <v>7</v>
      </c>
      <c r="AT166" s="345" t="inlineStr">
        <is>
          <t>TVG0001</t>
        </is>
      </c>
      <c r="AU166" s="318" t="n"/>
      <c r="AV166" s="317" t="n"/>
      <c r="AW166" s="257" t="n"/>
      <c r="AX166" s="258" t="n"/>
      <c r="AY166" s="318" t="n"/>
      <c r="AZ166" s="317" t="n"/>
      <c r="BA166" s="257" t="n"/>
      <c r="BB166" s="258" t="n"/>
      <c r="BC166" s="316" t="n"/>
      <c r="BD166" s="317" t="n"/>
      <c r="BE166" s="257" t="n"/>
      <c r="BF166" s="258" t="n"/>
      <c r="BG166" s="89" t="n"/>
      <c r="BH1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66">
        <f>_xlfn.LET(r,ROW(),oc,INDEX($A:$A,r),cv,TRIM(INDEX($Y:$Y,r)&amp;""),IF(oc&lt;&gt;"P1","",IF(cv="45","V45 - novo, nao alimentado pelo spool atual","V44 - alimentado pelo spool atual")))</f>
        <v/>
      </c>
    </row>
    <row r="167" ht="54" customFormat="1" customHeight="1" s="90">
      <c r="A167" s="306" t="inlineStr">
        <is>
          <t>F1</t>
        </is>
      </c>
      <c r="B167" s="307" t="n">
        <v>51</v>
      </c>
      <c r="C167" s="269" t="inlineStr">
        <is>
          <t>28 - Caractéristiques de syndication</t>
        </is>
      </c>
      <c r="D167" s="236" t="inlineStr">
        <is>
          <t>28 - Syndication caracteristics</t>
        </is>
      </c>
      <c r="E167" s="307" t="inlineStr">
        <is>
          <t>F1 4.11</t>
        </is>
      </c>
      <c r="F167" s="368" t="inlineStr">
        <is>
          <t>Devise des montants de syndication pour la tranche de l'autorisation</t>
        </is>
      </c>
      <c r="G167" s="309" t="inlineStr">
        <is>
          <t>Currency of syndicated amounts for the facility tranche</t>
        </is>
      </c>
      <c r="H167" s="309" t="n"/>
      <c r="I167" s="241" t="inlineStr">
        <is>
          <t>Devise d'expression des montants de syndication pour la tranche de l'autorisation</t>
        </is>
      </c>
      <c r="J167" s="233" t="inlineStr">
        <is>
          <t>Currency in which syndicated amounts are denominated for the facility tranche</t>
        </is>
      </c>
      <c r="K167" s="269" t="inlineStr">
        <is>
          <t>ND</t>
        </is>
      </c>
      <c r="L167" s="310" t="inlineStr">
        <is>
          <t>ND</t>
        </is>
      </c>
      <c r="M167" s="1420" t="inlineStr">
        <is>
          <t>cdDevSyndTranAuto</t>
        </is>
      </c>
      <c r="N167" s="231" t="inlineStr">
        <is>
          <t>Obligatoire sous conditions</t>
        </is>
      </c>
      <c r="O167" s="236" t="inlineStr">
        <is>
          <t>Mandatory under conditions</t>
        </is>
      </c>
      <c r="P167" s="269" t="inlineStr">
        <is>
          <t>LC.0005</t>
        </is>
      </c>
      <c r="Q167" s="269" t="inlineStr">
        <is>
          <t>TA NM253</t>
        </is>
      </c>
      <c r="R167" s="311" t="inlineStr">
        <is>
          <t>NA</t>
        </is>
      </c>
      <c r="S167" s="312" t="inlineStr">
        <is>
          <t>NA</t>
        </is>
      </c>
      <c r="T167" s="313" t="inlineStr">
        <is>
          <t>ALPHA</t>
        </is>
      </c>
      <c r="U167" s="237" t="inlineStr">
        <is>
          <t>NA</t>
        </is>
      </c>
      <c r="V167" s="238" t="inlineStr">
        <is>
          <t>NA</t>
        </is>
      </c>
      <c r="W167" s="257" t="n">
        <v>3</v>
      </c>
      <c r="X167" s="945" t="inlineStr">
        <is>
          <t>NA</t>
        </is>
      </c>
      <c r="Y167" s="237" t="n">
        <v>40</v>
      </c>
      <c r="Z167" s="237" t="inlineStr">
        <is>
          <t>NA</t>
        </is>
      </c>
      <c r="AA167" s="237" t="inlineStr">
        <is>
          <t>NA</t>
        </is>
      </c>
      <c r="AB167" s="636" t="inlineStr">
        <is>
          <t>ANACREDIT</t>
        </is>
      </c>
      <c r="AC167" s="231" t="inlineStr">
        <is>
          <t>ND</t>
        </is>
      </c>
      <c r="AD167" s="315" t="inlineStr">
        <is>
          <t>N</t>
        </is>
      </c>
      <c r="AE167" s="257" t="inlineStr">
        <is>
          <t>NA</t>
        </is>
      </c>
      <c r="AF167" s="257" t="inlineStr">
        <is>
          <t>NA</t>
        </is>
      </c>
      <c r="AG167" s="258" t="inlineStr">
        <is>
          <t>NA</t>
        </is>
      </c>
      <c r="AH167" s="89" t="n"/>
      <c r="AI167" s="353" t="inlineStr">
        <is>
          <t>La donnée est obligatoire si le 'Montant initial global toutes banques pour la tranche de l'autorisation' [F1 4.9] et/ou le 'Montant mis à jour global toutes banques pour la tranche de l'autorisation' [F1 4.10] est renseigné</t>
        </is>
      </c>
      <c r="AJ167" s="317" t="inlineStr">
        <is>
          <t>The data is mandatory if the 'Initial overall amount all banks for the facility tranche' [F1 4.9] and/or the 'Updated overall amount all banks for the facility tranche' [F1 4.10] is filled</t>
        </is>
      </c>
      <c r="AK167" s="269" t="n">
        <v>7</v>
      </c>
      <c r="AL167" s="335" t="inlineStr">
        <is>
          <t>TPG0002</t>
        </is>
      </c>
      <c r="AM167" s="210" t="inlineStr">
        <is>
          <t>Si elle est renseignée, la valeur doit être connue du Langage Commun associé</t>
        </is>
      </c>
      <c r="AN167" s="211" t="inlineStr">
        <is>
          <t>If specified, the value must be known to the associated Common Language</t>
        </is>
      </c>
      <c r="AO167" s="257" t="n">
        <v>7</v>
      </c>
      <c r="AP167" s="212" t="inlineStr">
        <is>
          <t>TIG0001</t>
        </is>
      </c>
      <c r="AQ167" s="318" t="n"/>
      <c r="AR167" s="317" t="n"/>
      <c r="AS167" s="257" t="n"/>
      <c r="AT167" s="258" t="n"/>
      <c r="AU167" s="318" t="n"/>
      <c r="AV167" s="317" t="n"/>
      <c r="AW167" s="257" t="n"/>
      <c r="AX167" s="258" t="n"/>
      <c r="AY167" s="318" t="n"/>
      <c r="AZ167" s="317" t="n"/>
      <c r="BA167" s="257" t="n"/>
      <c r="BB167" s="258" t="n"/>
      <c r="BC167" s="316" t="n"/>
      <c r="BD167" s="317" t="n"/>
      <c r="BE167" s="257" t="n"/>
      <c r="BF167" s="258" t="n"/>
      <c r="BG167" s="89" t="n"/>
      <c r="BH1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67">
        <f>_xlfn.LET(r,ROW(),oc,INDEX($A:$A,r),cv,TRIM(INDEX($Y:$Y,r)&amp;""),IF(oc&lt;&gt;"P1","",IF(cv="45","V45 - novo, nao alimentado pelo spool atual","V44 - alimentado pelo spool atual")))</f>
        <v/>
      </c>
    </row>
    <row r="168" ht="54" customFormat="1" customHeight="1" s="90">
      <c r="A168" s="306" t="inlineStr">
        <is>
          <t>F1</t>
        </is>
      </c>
      <c r="B168" s="307" t="n">
        <v>52</v>
      </c>
      <c r="C168" s="269" t="inlineStr">
        <is>
          <t>28 - Caractéristiques de syndication</t>
        </is>
      </c>
      <c r="D168" s="236" t="inlineStr">
        <is>
          <t>28 - Syndication caracteristics</t>
        </is>
      </c>
      <c r="E168" s="307" t="inlineStr">
        <is>
          <t>F1 4.12</t>
        </is>
      </c>
      <c r="F168" s="308" t="inlineStr">
        <is>
          <t>Part en risque (%) de l'entité pour la tranche en cours</t>
        </is>
      </c>
      <c r="G168" s="309" t="inlineStr">
        <is>
          <t>Risk portion (%) of entity for current tranche</t>
        </is>
      </c>
      <c r="H168" s="309" t="n"/>
      <c r="I168" s="241" t="inlineStr">
        <is>
          <t>% de la part en risque de l'entité pour la tranche en cours (% par rapport au champ F1 2.12)</t>
        </is>
      </c>
      <c r="J168" s="233" t="inlineStr">
        <is>
          <t>The % of the portion at-risk of the entity for the current tranche (% with respect to field F1 2.12)</t>
        </is>
      </c>
      <c r="K168" s="269" t="inlineStr">
        <is>
          <t>ND</t>
        </is>
      </c>
      <c r="L168" s="310" t="inlineStr">
        <is>
          <t>ND</t>
        </is>
      </c>
      <c r="M168" s="1420" t="inlineStr">
        <is>
          <t>ParRisqSyndTran</t>
        </is>
      </c>
      <c r="N168" s="231" t="inlineStr">
        <is>
          <t>Obligatoire sous conditions</t>
        </is>
      </c>
      <c r="O168" s="236" t="inlineStr">
        <is>
          <t>Mandatory under conditions</t>
        </is>
      </c>
      <c r="P168" s="269" t="inlineStr">
        <is>
          <t>NA</t>
        </is>
      </c>
      <c r="Q168" s="269" t="inlineStr">
        <is>
          <t>NA</t>
        </is>
      </c>
      <c r="R168" s="311" t="inlineStr">
        <is>
          <t>NA</t>
        </is>
      </c>
      <c r="S168" s="312" t="inlineStr">
        <is>
          <t>NA</t>
        </is>
      </c>
      <c r="T168" s="313" t="inlineStr">
        <is>
          <t>NUM</t>
        </is>
      </c>
      <c r="U168" s="237" t="inlineStr">
        <is>
          <t>10 dont signe et 5 décimales</t>
        </is>
      </c>
      <c r="V168" s="238" t="inlineStr">
        <is>
          <t>10 including sign and 5 decimals</t>
        </is>
      </c>
      <c r="W168" s="257" t="n">
        <v>10</v>
      </c>
      <c r="X168" s="945" t="inlineStr">
        <is>
          <t>NA</t>
        </is>
      </c>
      <c r="Y168" s="237" t="n">
        <v>40</v>
      </c>
      <c r="Z168" s="237" t="inlineStr">
        <is>
          <t>NA</t>
        </is>
      </c>
      <c r="AA168" s="237" t="inlineStr">
        <is>
          <t>NA</t>
        </is>
      </c>
      <c r="AB168" s="636" t="inlineStr">
        <is>
          <t>ANACREDIT, LOAN TAPE</t>
        </is>
      </c>
      <c r="AC168" s="231" t="inlineStr">
        <is>
          <t>ND</t>
        </is>
      </c>
      <c r="AD168" s="315" t="inlineStr">
        <is>
          <t>N</t>
        </is>
      </c>
      <c r="AE168" s="257" t="inlineStr">
        <is>
          <t>NA</t>
        </is>
      </c>
      <c r="AF168" s="257" t="inlineStr">
        <is>
          <t>NA</t>
        </is>
      </c>
      <c r="AG168" s="258" t="inlineStr">
        <is>
          <t>NA</t>
        </is>
      </c>
      <c r="AH168" s="89" t="n"/>
      <c r="AI168" s="353" t="inlineStr">
        <is>
          <t xml:space="preserve">La donnée est obligatoire si l'indicateur 'Syndication' [F1 4.1] est égal à 'Y' OU l'indicateur convention de partage [F1 4.18] est renseigné et différent de 0 </t>
        </is>
      </c>
      <c r="AJ168" s="317" t="inlineStr">
        <is>
          <t xml:space="preserve">The data is mandatory if the 'Syndication' flag [F1 4.1] is equal to 'Y' OR the sharing convention flag [F1 4.18] is filled in and not equal to 0 </t>
        </is>
      </c>
      <c r="AK168" s="269" t="n">
        <v>6</v>
      </c>
      <c r="AL168" s="366" t="inlineStr">
        <is>
          <t>TPS0703</t>
        </is>
      </c>
      <c r="AM168" s="318" t="n"/>
      <c r="AN168" s="317" t="n"/>
      <c r="AO168" s="257" t="n"/>
      <c r="AP168" s="258" t="n"/>
      <c r="AQ168" s="343" t="inlineStr">
        <is>
          <t>Si renseignée, la donnée doit être comprise entre 0 et 100</t>
        </is>
      </c>
      <c r="AR168" s="317" t="inlineStr">
        <is>
          <t>If filled, data must be between 0 and 100</t>
        </is>
      </c>
      <c r="AS168" s="344" t="n">
        <v>7</v>
      </c>
      <c r="AT168" s="345" t="inlineStr">
        <is>
          <t>TVG0004</t>
        </is>
      </c>
      <c r="AU168" s="318" t="n"/>
      <c r="AV168" s="317" t="n"/>
      <c r="AW168" s="257" t="n"/>
      <c r="AX168" s="258" t="n"/>
      <c r="AY168" s="318" t="n"/>
      <c r="AZ168" s="317" t="n"/>
      <c r="BA168" s="257" t="n"/>
      <c r="BB168" s="258" t="n"/>
      <c r="BC168" s="316" t="n"/>
      <c r="BD168" s="317" t="n"/>
      <c r="BE168" s="257" t="n"/>
      <c r="BF168" s="258" t="n"/>
      <c r="BG168" s="89" t="n"/>
      <c r="BH1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68">
        <f>_xlfn.LET(r,ROW(),oc,INDEX($A:$A,r),cv,TRIM(INDEX($Y:$Y,r)&amp;""),IF(oc&lt;&gt;"P1","",IF(cv="45","V45 - novo, nao alimentado pelo spool atual","V44 - alimentado pelo spool atual")))</f>
        <v/>
      </c>
    </row>
    <row r="169" ht="54" customFormat="1" customHeight="1" s="90">
      <c r="A169" s="306" t="inlineStr">
        <is>
          <t>F1</t>
        </is>
      </c>
      <c r="B169" s="307" t="n">
        <v>53</v>
      </c>
      <c r="C169" s="269" t="inlineStr">
        <is>
          <t>28 - Caractéristiques de syndication</t>
        </is>
      </c>
      <c r="D169" s="236" t="inlineStr">
        <is>
          <t>28 - Syndication caracteristics</t>
        </is>
      </c>
      <c r="E169" s="307" t="inlineStr">
        <is>
          <t>F1 4.13</t>
        </is>
      </c>
      <c r="F169" s="308" t="inlineStr">
        <is>
          <t>Montant de part en risque de l'entité pour la tranche en cours</t>
        </is>
      </c>
      <c r="G169" s="309" t="inlineStr">
        <is>
          <t>Amount of risk portion of entity for current tranche</t>
        </is>
      </c>
      <c r="H169" s="309" t="n"/>
      <c r="I169" s="241" t="inlineStr">
        <is>
          <t>Montant de part en risque de l'entité pour la tranche en cours</t>
        </is>
      </c>
      <c r="J169" s="233" t="inlineStr">
        <is>
          <t>Amount of risk portion of entity for current tranche</t>
        </is>
      </c>
      <c r="K169" s="269" t="inlineStr">
        <is>
          <t>ND</t>
        </is>
      </c>
      <c r="L169" s="310" t="inlineStr">
        <is>
          <t>ND</t>
        </is>
      </c>
      <c r="M169" s="1420" t="inlineStr">
        <is>
          <t>MtRisqSyndTran</t>
        </is>
      </c>
      <c r="N169" s="231" t="inlineStr">
        <is>
          <t>Obligatoire sous conditions</t>
        </is>
      </c>
      <c r="O169" s="236" t="inlineStr">
        <is>
          <t>Mandatory under conditions</t>
        </is>
      </c>
      <c r="P169" s="269" t="inlineStr">
        <is>
          <t>NA</t>
        </is>
      </c>
      <c r="Q169" s="269" t="inlineStr">
        <is>
          <t>NA</t>
        </is>
      </c>
      <c r="R169" s="311" t="inlineStr">
        <is>
          <t>NA</t>
        </is>
      </c>
      <c r="S169" s="312" t="inlineStr">
        <is>
          <t>NA</t>
        </is>
      </c>
      <c r="T169" s="313" t="inlineStr">
        <is>
          <t>NUM</t>
        </is>
      </c>
      <c r="U169" s="237" t="inlineStr">
        <is>
          <t>19 dont signe et 2 décimales</t>
        </is>
      </c>
      <c r="V169" s="238" t="inlineStr">
        <is>
          <t>19 including sign and 2 decimals</t>
        </is>
      </c>
      <c r="W169" s="257" t="n">
        <v>19</v>
      </c>
      <c r="X169" s="945" t="inlineStr">
        <is>
          <t>NA</t>
        </is>
      </c>
      <c r="Y169" s="237" t="n">
        <v>40</v>
      </c>
      <c r="Z169" s="237" t="inlineStr">
        <is>
          <t>NA</t>
        </is>
      </c>
      <c r="AA169" s="237" t="inlineStr">
        <is>
          <t>NA</t>
        </is>
      </c>
      <c r="AB169" s="636" t="inlineStr">
        <is>
          <t>ANACREDIT, LOAN TAPE</t>
        </is>
      </c>
      <c r="AC169" s="231" t="inlineStr">
        <is>
          <t>ND</t>
        </is>
      </c>
      <c r="AD169" s="315" t="inlineStr">
        <is>
          <t>N</t>
        </is>
      </c>
      <c r="AE169" s="257" t="inlineStr">
        <is>
          <t>NA</t>
        </is>
      </c>
      <c r="AF169" s="257" t="inlineStr">
        <is>
          <t>NA</t>
        </is>
      </c>
      <c r="AG169" s="258" t="inlineStr">
        <is>
          <t>NA</t>
        </is>
      </c>
      <c r="AH169" s="89" t="n"/>
      <c r="AI169" s="316" t="inlineStr">
        <is>
          <t>La donnée est obligatoire si l'indicateur 'Syndication' [F1 4.1] est égal à 'Y'</t>
        </is>
      </c>
      <c r="AJ169" s="317" t="inlineStr">
        <is>
          <t>The data is mandatory if 'Syndication' flag [F1 4.1] equals 'Y'</t>
        </is>
      </c>
      <c r="AK169" s="269" t="n">
        <v>5</v>
      </c>
      <c r="AL169" s="366" t="inlineStr">
        <is>
          <t>TPS0700</t>
        </is>
      </c>
      <c r="AM169" s="318" t="n"/>
      <c r="AN169" s="317" t="n"/>
      <c r="AO169" s="257" t="n"/>
      <c r="AP169" s="258" t="n"/>
      <c r="AQ169" s="343" t="inlineStr">
        <is>
          <t>Si renseignée, la donnée doit être positive (supérieure ou égale à 0)</t>
        </is>
      </c>
      <c r="AR169" s="317" t="inlineStr">
        <is>
          <t xml:space="preserve">If filled, data must be positive (greater or equal to 0) </t>
        </is>
      </c>
      <c r="AS169" s="344" t="n">
        <v>7</v>
      </c>
      <c r="AT169" s="345" t="inlineStr">
        <is>
          <t>TVG0001</t>
        </is>
      </c>
      <c r="AU169" s="318" t="n"/>
      <c r="AV169" s="317" t="n"/>
      <c r="AW169" s="257" t="n"/>
      <c r="AX169" s="258" t="n"/>
      <c r="AY169" s="318" t="n"/>
      <c r="AZ169" s="317" t="n"/>
      <c r="BA169" s="257" t="n"/>
      <c r="BB169" s="258" t="n"/>
      <c r="BC169" s="316" t="n"/>
      <c r="BD169" s="317" t="n"/>
      <c r="BE169" s="257" t="n"/>
      <c r="BF169" s="258" t="n"/>
      <c r="BG169" s="89" t="n"/>
      <c r="BH1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69">
        <f>_xlfn.LET(r,ROW(),oc,INDEX($A:$A,r),cv,TRIM(INDEX($Y:$Y,r)&amp;""),IF(oc&lt;&gt;"P1","",IF(cv="45","V45 - novo, nao alimentado pelo spool atual","V44 - alimentado pelo spool atual")))</f>
        <v/>
      </c>
    </row>
    <row r="170" ht="54" customFormat="1" customHeight="1" s="90">
      <c r="A170" s="306" t="inlineStr">
        <is>
          <t>F1</t>
        </is>
      </c>
      <c r="B170" s="307" t="n">
        <v>54</v>
      </c>
      <c r="C170" s="269" t="inlineStr">
        <is>
          <t>28 - Caractéristiques de syndication</t>
        </is>
      </c>
      <c r="D170" s="236" t="inlineStr">
        <is>
          <t>28 - Syndication caracteristics</t>
        </is>
      </c>
      <c r="E170" s="307" t="inlineStr">
        <is>
          <t>F1 4.14</t>
        </is>
      </c>
      <c r="F170" s="308" t="inlineStr">
        <is>
          <t>Part en trésorerie (%) de l'entité pour la tranche en cours</t>
        </is>
      </c>
      <c r="G170" s="309" t="inlineStr">
        <is>
          <t>Cash portion (%) of entity for current tranche</t>
        </is>
      </c>
      <c r="H170" s="309" t="n"/>
      <c r="I170" s="241" t="inlineStr">
        <is>
          <t>% de la part en trésorerie de l'entité pour la tranche en cours (% par rapport au champ F1 2.12)</t>
        </is>
      </c>
      <c r="J170" s="233" t="inlineStr">
        <is>
          <t>% of the cash portion of the entity for the current tranche (% with respect to field F1 2.12)</t>
        </is>
      </c>
      <c r="K170" s="269" t="inlineStr">
        <is>
          <t>ND</t>
        </is>
      </c>
      <c r="L170" s="310" t="inlineStr">
        <is>
          <t>ND</t>
        </is>
      </c>
      <c r="M170" s="1420" t="inlineStr">
        <is>
          <t>ParTresSyndTran</t>
        </is>
      </c>
      <c r="N170" s="231" t="inlineStr">
        <is>
          <t>Obligatoire sous conditions</t>
        </is>
      </c>
      <c r="O170" s="236" t="inlineStr">
        <is>
          <t>Mandatory under conditions</t>
        </is>
      </c>
      <c r="P170" s="269" t="inlineStr">
        <is>
          <t>NA</t>
        </is>
      </c>
      <c r="Q170" s="269" t="inlineStr">
        <is>
          <t>NA</t>
        </is>
      </c>
      <c r="R170" s="311" t="inlineStr">
        <is>
          <t>NA</t>
        </is>
      </c>
      <c r="S170" s="312" t="inlineStr">
        <is>
          <t>NA</t>
        </is>
      </c>
      <c r="T170" s="313" t="inlineStr">
        <is>
          <t>NUM</t>
        </is>
      </c>
      <c r="U170" s="237" t="inlineStr">
        <is>
          <t>10 dont signe et 5 décimales</t>
        </is>
      </c>
      <c r="V170" s="238" t="inlineStr">
        <is>
          <t>10 including sign and 5 decimals</t>
        </is>
      </c>
      <c r="W170" s="257" t="n">
        <v>10</v>
      </c>
      <c r="X170" s="945" t="inlineStr">
        <is>
          <t>NA</t>
        </is>
      </c>
      <c r="Y170" s="237" t="n">
        <v>40</v>
      </c>
      <c r="Z170" s="237" t="inlineStr">
        <is>
          <t>NA</t>
        </is>
      </c>
      <c r="AA170" s="237" t="inlineStr">
        <is>
          <t>NA</t>
        </is>
      </c>
      <c r="AB170" s="636" t="inlineStr">
        <is>
          <t>ANACREDIT</t>
        </is>
      </c>
      <c r="AC170" s="231" t="inlineStr">
        <is>
          <t>ND</t>
        </is>
      </c>
      <c r="AD170" s="315" t="inlineStr">
        <is>
          <t>N</t>
        </is>
      </c>
      <c r="AE170" s="257" t="inlineStr">
        <is>
          <t>NA</t>
        </is>
      </c>
      <c r="AF170" s="257" t="inlineStr">
        <is>
          <t>NA</t>
        </is>
      </c>
      <c r="AG170" s="258" t="inlineStr">
        <is>
          <t>NA</t>
        </is>
      </c>
      <c r="AH170" s="89" t="n"/>
      <c r="AI170" s="316" t="inlineStr">
        <is>
          <t>La donnée est obligatoire si l'indicateur 'Syndication' [F1 4.1] est égal à 'Y'</t>
        </is>
      </c>
      <c r="AJ170" s="317" t="inlineStr">
        <is>
          <t>The data is mandatory if 'Syndication' flag [F1 4.1] equals 'Y'</t>
        </is>
      </c>
      <c r="AK170" s="269" t="n">
        <v>6</v>
      </c>
      <c r="AL170" s="366" t="inlineStr">
        <is>
          <t>TPS0700</t>
        </is>
      </c>
      <c r="AM170" s="318" t="n"/>
      <c r="AN170" s="317" t="n"/>
      <c r="AO170" s="257" t="n"/>
      <c r="AP170" s="258" t="n"/>
      <c r="AQ170" s="343" t="inlineStr">
        <is>
          <t>Si renseignée, la donnée doit être comprise entre 0 et 100</t>
        </is>
      </c>
      <c r="AR170" s="317" t="inlineStr">
        <is>
          <t>If filled, data must be between 0 and 100</t>
        </is>
      </c>
      <c r="AS170" s="344" t="n">
        <v>7</v>
      </c>
      <c r="AT170" s="345" t="inlineStr">
        <is>
          <t>TVG0004</t>
        </is>
      </c>
      <c r="AU170" s="318" t="n"/>
      <c r="AV170" s="317" t="n"/>
      <c r="AW170" s="257" t="n"/>
      <c r="AX170" s="258" t="n"/>
      <c r="AY170" s="318" t="n"/>
      <c r="AZ170" s="317" t="n"/>
      <c r="BA170" s="257" t="n"/>
      <c r="BB170" s="258" t="n"/>
      <c r="BC170" s="316" t="n"/>
      <c r="BD170" s="317" t="n"/>
      <c r="BE170" s="257" t="n"/>
      <c r="BF170" s="258" t="n"/>
      <c r="BG170" s="89" t="n"/>
      <c r="BH1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70">
        <f>_xlfn.LET(r,ROW(),oc,INDEX($A:$A,r),cv,TRIM(INDEX($Y:$Y,r)&amp;""),IF(oc&lt;&gt;"P1","",IF(cv="45","V45 - novo, nao alimentado pelo spool atual","V44 - alimentado pelo spool atual")))</f>
        <v/>
      </c>
    </row>
    <row r="171" ht="54" customFormat="1" customHeight="1" s="90">
      <c r="A171" s="306" t="inlineStr">
        <is>
          <t>F1</t>
        </is>
      </c>
      <c r="B171" s="307" t="n">
        <v>55</v>
      </c>
      <c r="C171" s="269" t="inlineStr">
        <is>
          <t>28 - Caractéristiques de syndication</t>
        </is>
      </c>
      <c r="D171" s="236" t="inlineStr">
        <is>
          <t>28 - Syndication caracteristics</t>
        </is>
      </c>
      <c r="E171" s="307" t="inlineStr">
        <is>
          <t>F1 4.15</t>
        </is>
      </c>
      <c r="F171" s="308" t="inlineStr">
        <is>
          <t>Montant de part en trésorerie de l'entité pour la tranche en cours</t>
        </is>
      </c>
      <c r="G171" s="309" t="inlineStr">
        <is>
          <t>Cash portion of entity for current tranche</t>
        </is>
      </c>
      <c r="H171" s="309" t="n"/>
      <c r="I171" s="308" t="inlineStr">
        <is>
          <t>Montant de part en trésorerie de l'entité pour la tranche en cours</t>
        </is>
      </c>
      <c r="J171" s="309" t="inlineStr">
        <is>
          <t>Cash portion of entity for current tranche</t>
        </is>
      </c>
      <c r="K171" s="370" t="inlineStr">
        <is>
          <t>ND</t>
        </is>
      </c>
      <c r="L171" s="371" t="inlineStr">
        <is>
          <t>ND</t>
        </is>
      </c>
      <c r="M171" s="1420" t="inlineStr">
        <is>
          <t>MtTresSyndTran</t>
        </is>
      </c>
      <c r="N171" s="231" t="inlineStr">
        <is>
          <t>Obligatoire sous conditions</t>
        </is>
      </c>
      <c r="O171" s="236" t="inlineStr">
        <is>
          <t>Mandatory under conditions</t>
        </is>
      </c>
      <c r="P171" s="269" t="inlineStr">
        <is>
          <t>NA</t>
        </is>
      </c>
      <c r="Q171" s="269" t="inlineStr">
        <is>
          <t>NA</t>
        </is>
      </c>
      <c r="R171" s="311" t="inlineStr">
        <is>
          <t>NA</t>
        </is>
      </c>
      <c r="S171" s="312" t="inlineStr">
        <is>
          <t>NA</t>
        </is>
      </c>
      <c r="T171" s="313" t="inlineStr">
        <is>
          <t>NUM</t>
        </is>
      </c>
      <c r="U171" s="237" t="inlineStr">
        <is>
          <t>19 dont signe et 2 décimales</t>
        </is>
      </c>
      <c r="V171" s="238" t="inlineStr">
        <is>
          <t>19 including sign and 2 decimals</t>
        </is>
      </c>
      <c r="W171" s="257" t="n">
        <v>19</v>
      </c>
      <c r="X171" s="945" t="inlineStr">
        <is>
          <t>NA</t>
        </is>
      </c>
      <c r="Y171" s="237" t="n">
        <v>40</v>
      </c>
      <c r="Z171" s="237" t="inlineStr">
        <is>
          <t>NA</t>
        </is>
      </c>
      <c r="AA171" s="237" t="inlineStr">
        <is>
          <t>NA</t>
        </is>
      </c>
      <c r="AB171" s="636" t="inlineStr">
        <is>
          <t>ANACREDIT</t>
        </is>
      </c>
      <c r="AC171" s="231" t="inlineStr">
        <is>
          <t>ND</t>
        </is>
      </c>
      <c r="AD171" s="315" t="inlineStr">
        <is>
          <t>N</t>
        </is>
      </c>
      <c r="AE171" s="257" t="inlineStr">
        <is>
          <t>NA</t>
        </is>
      </c>
      <c r="AF171" s="257" t="inlineStr">
        <is>
          <t>NA</t>
        </is>
      </c>
      <c r="AG171" s="258" t="inlineStr">
        <is>
          <t>NA</t>
        </is>
      </c>
      <c r="AH171" s="89" t="n"/>
      <c r="AI171" s="316" t="inlineStr">
        <is>
          <t>La donnée est obligatoire si l'indicateur 'Syndication' [F1 4.1] est égal à 'Y'</t>
        </is>
      </c>
      <c r="AJ171" s="317" t="inlineStr">
        <is>
          <t>The data is mandatory if 'Syndication' flag [F1 4.1] equals 'Y'</t>
        </is>
      </c>
      <c r="AK171" s="269" t="n">
        <v>6</v>
      </c>
      <c r="AL171" s="366" t="inlineStr">
        <is>
          <t>TPS0700</t>
        </is>
      </c>
      <c r="AM171" s="318" t="n"/>
      <c r="AN171" s="317" t="n"/>
      <c r="AO171" s="257" t="n"/>
      <c r="AP171" s="258" t="n"/>
      <c r="AQ171" s="343" t="inlineStr">
        <is>
          <t>Si renseignée, la donnée doit être positive (supérieure ou égale à 0)</t>
        </is>
      </c>
      <c r="AR171" s="317" t="inlineStr">
        <is>
          <t xml:space="preserve">If filled, data must be positive (greater or equal to 0) </t>
        </is>
      </c>
      <c r="AS171" s="344" t="n">
        <v>7</v>
      </c>
      <c r="AT171" s="345" t="inlineStr">
        <is>
          <t>TVG0001</t>
        </is>
      </c>
      <c r="AU171" s="318" t="n"/>
      <c r="AV171" s="317" t="n"/>
      <c r="AW171" s="257" t="n"/>
      <c r="AX171" s="258" t="n"/>
      <c r="AY171" s="318" t="n"/>
      <c r="AZ171" s="317" t="n"/>
      <c r="BA171" s="257" t="n"/>
      <c r="BB171" s="258" t="n"/>
      <c r="BC171" s="316" t="n"/>
      <c r="BD171" s="317" t="n"/>
      <c r="BE171" s="257" t="n"/>
      <c r="BF171" s="258" t="n"/>
      <c r="BG171" s="89" t="n"/>
      <c r="BH1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71">
        <f>_xlfn.LET(r,ROW(),oc,INDEX($A:$A,r),cv,TRIM(INDEX($Y:$Y,r)&amp;""),IF(oc&lt;&gt;"P1","",IF(cv="45","V45 - novo, nao alimentado pelo spool atual","V44 - alimentado pelo spool atual")))</f>
        <v/>
      </c>
    </row>
    <row r="172" ht="54" customFormat="1" customHeight="1" s="90">
      <c r="A172" s="306" t="inlineStr">
        <is>
          <t>F1</t>
        </is>
      </c>
      <c r="B172" s="307" t="n">
        <v>56</v>
      </c>
      <c r="C172" s="269" t="inlineStr">
        <is>
          <t>28 - Caractéristiques de syndication</t>
        </is>
      </c>
      <c r="D172" s="236" t="inlineStr">
        <is>
          <t>28 - Syndication caracteristics</t>
        </is>
      </c>
      <c r="E172" s="372" t="inlineStr">
        <is>
          <t>F1 4.16</t>
        </is>
      </c>
      <c r="F172" s="350" t="inlineStr">
        <is>
          <t>Unité d'exploitation au sein de l'entité du groupe CA pilote de l'opération</t>
        </is>
      </c>
      <c r="G172" s="309" t="inlineStr">
        <is>
          <t xml:space="preserve">Operating unit in the CA Group entity transaction lead </t>
        </is>
      </c>
      <c r="H172" s="309" t="n"/>
      <c r="I172" s="308" t="inlineStr">
        <is>
          <t>Permet d'indiquer l'unité d'exploitation au sein de l'entité du groupe CA pilote de l'opération de syndication - Donnée réservée CA-CIB</t>
        </is>
      </c>
      <c r="J172" s="309" t="inlineStr">
        <is>
          <t>Allows to indicate the operating unit in the CA Group entity transaction lead in syndication</t>
        </is>
      </c>
      <c r="K172" s="370" t="inlineStr">
        <is>
          <t>ND</t>
        </is>
      </c>
      <c r="L172" s="371" t="inlineStr">
        <is>
          <t>ND</t>
        </is>
      </c>
      <c r="M172" s="1420" t="inlineStr">
        <is>
          <t>UniteExploiEntSynd</t>
        </is>
      </c>
      <c r="N172" s="231" t="inlineStr">
        <is>
          <t>Facultatif</t>
        </is>
      </c>
      <c r="O172" s="236" t="inlineStr">
        <is>
          <t>Optional</t>
        </is>
      </c>
      <c r="P172" s="269" t="inlineStr">
        <is>
          <t>NA</t>
        </is>
      </c>
      <c r="Q172" s="269" t="inlineStr">
        <is>
          <t>TA TMNOMOBU</t>
        </is>
      </c>
      <c r="R172" s="311" t="inlineStr">
        <is>
          <t>Donnée réservée CA-CIB</t>
        </is>
      </c>
      <c r="S172" s="312" t="inlineStr">
        <is>
          <t>Zone reserved for CACIB</t>
        </is>
      </c>
      <c r="T172" s="307" t="inlineStr">
        <is>
          <t xml:space="preserve"> ALPHA</t>
        </is>
      </c>
      <c r="U172" s="237" t="inlineStr">
        <is>
          <t>NA</t>
        </is>
      </c>
      <c r="V172" s="238" t="inlineStr">
        <is>
          <t>NA</t>
        </is>
      </c>
      <c r="W172" s="269" t="n">
        <v>4</v>
      </c>
      <c r="X172" s="231" t="inlineStr">
        <is>
          <t>NA</t>
        </is>
      </c>
      <c r="Y172" s="237" t="n">
        <v>42</v>
      </c>
      <c r="Z172" s="237" t="inlineStr">
        <is>
          <t>NA</t>
        </is>
      </c>
      <c r="AA172" s="283" t="inlineStr">
        <is>
          <t>NA</t>
        </is>
      </c>
      <c r="AB172" s="636" t="inlineStr">
        <is>
          <t>ANACREDIT</t>
        </is>
      </c>
      <c r="AC172" s="231" t="inlineStr">
        <is>
          <t>ND</t>
        </is>
      </c>
      <c r="AD172" s="315" t="inlineStr">
        <is>
          <t>N</t>
        </is>
      </c>
      <c r="AE172" s="257" t="inlineStr">
        <is>
          <t>NA</t>
        </is>
      </c>
      <c r="AF172" s="257" t="inlineStr">
        <is>
          <t>NA</t>
        </is>
      </c>
      <c r="AG172" s="258" t="inlineStr">
        <is>
          <t>NA</t>
        </is>
      </c>
      <c r="AH172" s="89" t="n"/>
      <c r="AI172" s="369" t="n"/>
      <c r="AJ172" s="317" t="n"/>
      <c r="AK172" s="257" t="n"/>
      <c r="AL172" s="352" t="n"/>
      <c r="AM172" s="373" t="n"/>
      <c r="AN172" s="317" t="n"/>
      <c r="AO172" s="257" t="n"/>
      <c r="AP172" s="352" t="n"/>
      <c r="AQ172" s="318" t="n"/>
      <c r="AR172" s="317" t="n"/>
      <c r="AS172" s="257" t="n"/>
      <c r="AT172" s="258" t="n"/>
      <c r="AU172" s="318" t="n"/>
      <c r="AV172" s="317" t="n"/>
      <c r="AW172" s="257" t="n"/>
      <c r="AX172" s="258" t="n"/>
      <c r="AY172" s="318" t="n"/>
      <c r="AZ172" s="317" t="n"/>
      <c r="BA172" s="257" t="n"/>
      <c r="BB172" s="258" t="n"/>
      <c r="BC172" s="316" t="n"/>
      <c r="BD172" s="317" t="n"/>
      <c r="BE172" s="257" t="n"/>
      <c r="BF172" s="258" t="n"/>
      <c r="BG172" s="89" t="n"/>
      <c r="BH1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72">
        <f>_xlfn.LET(r,ROW(),oc,INDEX($A:$A,r),cv,TRIM(INDEX($Y:$Y,r)&amp;""),IF(oc&lt;&gt;"P1","",IF(cv="45","V45 - novo, nao alimentado pelo spool atual","V44 - alimentado pelo spool atual")))</f>
        <v/>
      </c>
    </row>
    <row r="173" ht="54" customFormat="1" customHeight="1" s="90">
      <c r="A173" s="306" t="inlineStr">
        <is>
          <t>F1</t>
        </is>
      </c>
      <c r="B173" s="307" t="n">
        <v>57</v>
      </c>
      <c r="C173" s="269" t="inlineStr">
        <is>
          <t>28 - Caractéristiques de syndication</t>
        </is>
      </c>
      <c r="D173" s="236" t="inlineStr">
        <is>
          <t>28 - Syndication caracteristics</t>
        </is>
      </c>
      <c r="E173" s="372" t="inlineStr">
        <is>
          <t>F1 4.17</t>
        </is>
      </c>
      <c r="F173" s="374" t="inlineStr">
        <is>
          <t xml:space="preserve">Indicateur position de la banque </t>
        </is>
      </c>
      <c r="G173" s="309" t="inlineStr">
        <is>
          <t>Role of the bank indicator</t>
        </is>
      </c>
      <c r="H173" s="309" t="n"/>
      <c r="I173" s="375" t="inlineStr">
        <is>
          <t>Permet d'indiquer la position de l'entité (Leader ou Participant) dans la syndication ou dans la convention de partage</t>
        </is>
      </c>
      <c r="J173" s="309" t="inlineStr">
        <is>
          <t>Used to indicate the position of the entity (Leader or Participant) in the syndication or in the risk transfert convention</t>
        </is>
      </c>
      <c r="K173" s="370" t="inlineStr">
        <is>
          <t>ND</t>
        </is>
      </c>
      <c r="L173" s="371" t="inlineStr">
        <is>
          <t>ND</t>
        </is>
      </c>
      <c r="M173" s="1420" t="inlineStr">
        <is>
          <t>IndPosEntPortRisq</t>
        </is>
      </c>
      <c r="N173" s="231" t="inlineStr">
        <is>
          <t>Obligatoire sous conditions</t>
        </is>
      </c>
      <c r="O173" s="236" t="inlineStr">
        <is>
          <t>Mandatory under conditions</t>
        </is>
      </c>
      <c r="P173" s="269" t="inlineStr">
        <is>
          <t>LC.0293</t>
        </is>
      </c>
      <c r="Q173" s="269" t="inlineStr">
        <is>
          <t>TA KVIPOSBQ</t>
        </is>
      </c>
      <c r="R173" s="311" t="inlineStr">
        <is>
          <t>Si indicateur convention de partage (F1 4.18) renseigné et différent de '0'</t>
        </is>
      </c>
      <c r="S173" s="312" t="inlineStr">
        <is>
          <t>If risk transfert convention indicator(F1 4.18) filled and different from '0'</t>
        </is>
      </c>
      <c r="T173" s="313" t="inlineStr">
        <is>
          <t xml:space="preserve"> ALPHA</t>
        </is>
      </c>
      <c r="U173" s="237" t="inlineStr">
        <is>
          <t>NA</t>
        </is>
      </c>
      <c r="V173" s="238" t="inlineStr">
        <is>
          <t>NA</t>
        </is>
      </c>
      <c r="W173" s="257" t="n">
        <v>1</v>
      </c>
      <c r="X173" s="945" t="inlineStr">
        <is>
          <t>NA</t>
        </is>
      </c>
      <c r="Y173" s="237" t="n">
        <v>42</v>
      </c>
      <c r="Z173" s="237" t="inlineStr">
        <is>
          <t>NA</t>
        </is>
      </c>
      <c r="AA173" s="237" t="inlineStr">
        <is>
          <t>NA</t>
        </is>
      </c>
      <c r="AB173" s="636" t="inlineStr">
        <is>
          <t>LOAN TAPE</t>
        </is>
      </c>
      <c r="AC173" s="231" t="inlineStr">
        <is>
          <t>ND</t>
        </is>
      </c>
      <c r="AD173" s="315" t="inlineStr">
        <is>
          <t>N</t>
        </is>
      </c>
      <c r="AE173" s="257" t="inlineStr">
        <is>
          <t>NA</t>
        </is>
      </c>
      <c r="AF173" s="257" t="inlineStr">
        <is>
          <t>NA</t>
        </is>
      </c>
      <c r="AG173" s="258" t="inlineStr">
        <is>
          <t>NA</t>
        </is>
      </c>
      <c r="AH173" s="89" t="n"/>
      <c r="AI173" s="353" t="inlineStr">
        <is>
          <t xml:space="preserve">La donnée est obligatoire si l'indicateur 'Syndication' [F1 4.1] est égal à 'Y' OU l'indicateur convention de partage [F1 4.18] est renseigné et différent de 0 </t>
        </is>
      </c>
      <c r="AJ173" s="317" t="inlineStr">
        <is>
          <t xml:space="preserve">The data is mandatory if the 'Syndication' flag [F1 4.1] is equal to 'Y' OR the sharing convention flag [F1 4.18] is filled in and not equal to 0 </t>
        </is>
      </c>
      <c r="AK173" s="269" t="n">
        <v>6</v>
      </c>
      <c r="AL173" s="366" t="inlineStr">
        <is>
          <t>TPS0703</t>
        </is>
      </c>
      <c r="AM173" s="210" t="inlineStr">
        <is>
          <t>Si elle est renseignée, la valeur doit être connue du Langage Commun associé</t>
        </is>
      </c>
      <c r="AN173" s="211" t="inlineStr">
        <is>
          <t>If specified, the value must be known to the associated Common Language</t>
        </is>
      </c>
      <c r="AO173" s="257" t="n">
        <v>7</v>
      </c>
      <c r="AP173" s="212" t="inlineStr">
        <is>
          <t>TIG0001</t>
        </is>
      </c>
      <c r="AQ173" s="376" t="inlineStr">
        <is>
          <t xml:space="preserve">Si renseigné ET si 'Indicateur 'Syndication''[F1 4.1] = 'Y' ET si 'Position de l'entité porteuse de risques' [F1 4.2] = ‘A', ‘B', ‘C' ou ‘G', alors Indicateur position de la banque [F1 4.17] = 'L'
---
Si renseigné ET si 'Indicateur 'Syndication''[F1 4.1] = 'Y' ET si 'Position de l'entité porteuse de risques' [F1 4.2] = 'D', 'E' ou 'F', alors Indicateur position de la banque [F1 4.17] = 'P' </t>
        </is>
      </c>
      <c r="AR173" s="377" t="inlineStr">
        <is>
          <t>If filled AND if ‘Syndication' indicator' [F1 4.1] = ‘Y' AND if ‘Position of risk-carrying entity' [F1 4.2] = ‘A', ‘B', ‘C' or ‘G', then Role of the bank indicator [F1 4.17] = 'L'
---
If filled AND if 'Syndication Indicator' [F1 4.1] = 'Y' AND if 'risk Carrier entity Position' [F1 4.2] = 'D', 'E' or 'F', then Role of the bank indicator [F1 4.17] = 'P'</t>
        </is>
      </c>
      <c r="AS173" s="257" t="n">
        <v>6</v>
      </c>
      <c r="AT173" s="378" t="inlineStr">
        <is>
          <t>TVS0704
TVS0705</t>
        </is>
      </c>
      <c r="AU173" s="376" t="n"/>
      <c r="AV173" s="377" t="n"/>
      <c r="AW173" s="257" t="n"/>
      <c r="AX173" s="258" t="n"/>
      <c r="AY173" s="318" t="n"/>
      <c r="AZ173" s="317" t="n"/>
      <c r="BA173" s="257" t="n"/>
      <c r="BB173" s="258" t="n"/>
      <c r="BC173" s="316" t="n"/>
      <c r="BD173" s="317" t="n"/>
      <c r="BE173" s="257" t="n"/>
      <c r="BF173" s="258" t="n"/>
      <c r="BG173" s="89" t="n"/>
      <c r="BH1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73">
        <f>_xlfn.LET(r,ROW(),oc,INDEX($A:$A,r),cv,TRIM(INDEX($Y:$Y,r)&amp;""),IF(oc&lt;&gt;"P1","",IF(cv="45","V45 - novo, nao alimentado pelo spool atual","V44 - alimentado pelo spool atual")))</f>
        <v/>
      </c>
    </row>
    <row r="174" ht="54" customFormat="1" customHeight="1" s="90">
      <c r="A174" s="306" t="inlineStr">
        <is>
          <t>F1</t>
        </is>
      </c>
      <c r="B174" s="307" t="n">
        <v>58</v>
      </c>
      <c r="C174" s="269" t="inlineStr">
        <is>
          <t>28 - Caractéristiques de syndication</t>
        </is>
      </c>
      <c r="D174" s="236" t="inlineStr">
        <is>
          <t>28 - Syndication caracteristics</t>
        </is>
      </c>
      <c r="E174" s="307" t="inlineStr">
        <is>
          <t>F1 4.18</t>
        </is>
      </c>
      <c r="F174" s="379" t="inlineStr">
        <is>
          <t>Indicateur convention-de-partage-en-risque pour le crédit-bail</t>
        </is>
      </c>
      <c r="G174" s="309" t="inlineStr">
        <is>
          <t>Risk-transfer-convention indicator for leasing</t>
        </is>
      </c>
      <c r="H174" s="309" t="n"/>
      <c r="I174" s="241" t="inlineStr">
        <is>
          <t>Indicateur permettant de préciser si l'autorisation porte sur une convention de partage en risque et en trésorerie</t>
        </is>
      </c>
      <c r="J174" s="233" t="inlineStr">
        <is>
          <t>Indicator making it possible to specify that the authorization relates to a risk transfert convention</t>
        </is>
      </c>
      <c r="K174" s="269" t="inlineStr">
        <is>
          <t>ND</t>
        </is>
      </c>
      <c r="L174" s="310" t="inlineStr">
        <is>
          <t>ND</t>
        </is>
      </c>
      <c r="M174" s="1420" t="inlineStr">
        <is>
          <t>indConPart</t>
        </is>
      </c>
      <c r="N174" s="231" t="inlineStr">
        <is>
          <t>Obligatoire</t>
        </is>
      </c>
      <c r="O174" s="236" t="inlineStr">
        <is>
          <t>Mandatory</t>
        </is>
      </c>
      <c r="P174" s="269" t="inlineStr">
        <is>
          <t>LC.0331</t>
        </is>
      </c>
      <c r="Q174" s="269" t="inlineStr">
        <is>
          <t>TA Z8ICVPAR</t>
        </is>
      </c>
      <c r="R174" s="1250" t="inlineStr">
        <is>
          <t>Si non concerné par la convention de partage et type de produit ‘crédit-bail', renseigner ‘0'
Il est possible d'avoir soit la convention de partage, soit la syndication mais pas les 2</t>
        </is>
      </c>
      <c r="S174" s="312" t="inlineStr">
        <is>
          <t>If not concerned by the risk transfer convention and type of product ‘ leasing' , fill ‘ 0 '
It is possible to have either the risk transfert convention or the syndication but not both</t>
        </is>
      </c>
      <c r="T174" s="313" t="inlineStr">
        <is>
          <t>ALPHA</t>
        </is>
      </c>
      <c r="U174" s="237" t="inlineStr">
        <is>
          <t>NA</t>
        </is>
      </c>
      <c r="V174" s="238" t="inlineStr">
        <is>
          <t>NA</t>
        </is>
      </c>
      <c r="W174" s="257" t="n">
        <v>1</v>
      </c>
      <c r="X174" s="945" t="inlineStr">
        <is>
          <t>NA</t>
        </is>
      </c>
      <c r="Y174" s="237" t="n">
        <v>43</v>
      </c>
      <c r="Z174" s="237" t="inlineStr">
        <is>
          <t>NA</t>
        </is>
      </c>
      <c r="AA174" s="239" t="inlineStr">
        <is>
          <t>NA</t>
        </is>
      </c>
      <c r="AB174" s="636" t="inlineStr">
        <is>
          <t>ANACREDIT</t>
        </is>
      </c>
      <c r="AC174" s="231" t="inlineStr">
        <is>
          <t>ND</t>
        </is>
      </c>
      <c r="AD174" s="315" t="inlineStr">
        <is>
          <t>N</t>
        </is>
      </c>
      <c r="AE174" s="257" t="inlineStr">
        <is>
          <t>NA</t>
        </is>
      </c>
      <c r="AF174" s="257" t="inlineStr">
        <is>
          <t>NA</t>
        </is>
      </c>
      <c r="AG174" s="258" t="inlineStr">
        <is>
          <t>NA</t>
        </is>
      </c>
      <c r="AH174" s="89" t="n"/>
      <c r="AI174" s="316" t="inlineStr">
        <is>
          <t>La donnée est obligatoire</t>
        </is>
      </c>
      <c r="AJ174" s="317" t="inlineStr">
        <is>
          <t>The data is mandatory</t>
        </is>
      </c>
      <c r="AK174" s="257" t="n">
        <v>7</v>
      </c>
      <c r="AL174" s="380" t="inlineStr">
        <is>
          <t>TPG0001
TPA0001</t>
        </is>
      </c>
      <c r="AM174" s="210" t="inlineStr">
        <is>
          <t>Si elle est renseignée, la valeur doit être connue du Langage Commun associé</t>
        </is>
      </c>
      <c r="AN174" s="211" t="inlineStr">
        <is>
          <t>If specified, the value must be known to the associated Common Language</t>
        </is>
      </c>
      <c r="AO174" s="257" t="n">
        <v>7</v>
      </c>
      <c r="AP174" s="212" t="inlineStr">
        <is>
          <t>TIG0001</t>
        </is>
      </c>
      <c r="AQ174" s="381" t="inlineStr">
        <is>
          <t>Si renseigné ET si l'indicateur Syndication [F1 4.1] est égal à 'Y', alors Indicateur convention-de-partage-en-risque pour le crédit-bail [F1 4.18] doit être égal à '0'</t>
        </is>
      </c>
      <c r="AR174" s="317" t="inlineStr">
        <is>
          <t>If filled and if the Syndication flag [F1 4.1] is equal to 'Y', then Risk-transfer-convention indicator for leasing [F1 4.18] must be equal to '0'</t>
        </is>
      </c>
      <c r="AS174" s="257" t="n">
        <v>7</v>
      </c>
      <c r="AT174" s="345" t="inlineStr">
        <is>
          <t>TVS0706</t>
        </is>
      </c>
      <c r="AU174" s="318" t="n"/>
      <c r="AV174" s="317" t="n"/>
      <c r="AW174" s="257" t="n"/>
      <c r="AX174" s="258" t="n"/>
      <c r="AY174" s="318" t="n"/>
      <c r="AZ174" s="317" t="n"/>
      <c r="BA174" s="257" t="n"/>
      <c r="BB174" s="258" t="n"/>
      <c r="BC174" s="316" t="n"/>
      <c r="BD174" s="317" t="n"/>
      <c r="BE174" s="257" t="n"/>
      <c r="BF174" s="258" t="n"/>
      <c r="BG174" s="89" t="n"/>
      <c r="BH1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74">
        <f>_xlfn.LET(r,ROW(),oc,INDEX($A:$A,r),cv,TRIM(INDEX($Y:$Y,r)&amp;""),IF(oc&lt;&gt;"P1","",IF(cv="45","V45 - novo, nao alimentado pelo spool atual","V44 - alimentado pelo spool atual")))</f>
        <v/>
      </c>
    </row>
    <row r="175" ht="54" customFormat="1" customHeight="1" s="90">
      <c r="A175" s="306" t="inlineStr">
        <is>
          <t>F1</t>
        </is>
      </c>
      <c r="B175" s="307" t="n">
        <v>59</v>
      </c>
      <c r="C175" s="269" t="inlineStr">
        <is>
          <t>28 - Caractéristiques de syndication</t>
        </is>
      </c>
      <c r="D175" s="236" t="inlineStr">
        <is>
          <t>28 - Syndication caracteristics</t>
        </is>
      </c>
      <c r="E175" s="307" t="inlineStr">
        <is>
          <t>F1 4.19</t>
        </is>
      </c>
      <c r="F175" s="308" t="inlineStr">
        <is>
          <t>Type de participation de l'entité</t>
        </is>
      </c>
      <c r="G175" s="309" t="inlineStr">
        <is>
          <t>Participation type</t>
        </is>
      </c>
      <c r="H175" s="309" t="n"/>
      <c r="I175" s="241" t="inlineStr">
        <is>
          <t>Indique le type de participation (transparent 
 opaque) de l'entité dans la syndication ou dans la convention de partage en risque et en trésorerie</t>
        </is>
      </c>
      <c r="J175" s="233" t="inlineStr">
        <is>
          <t>Indicates the type of participation (transparent 
 opaque) of the entity in the syndication or the risk transfert convention</t>
        </is>
      </c>
      <c r="K175" s="269" t="inlineStr">
        <is>
          <t>ND</t>
        </is>
      </c>
      <c r="L175" s="310" t="inlineStr">
        <is>
          <t>ND</t>
        </is>
      </c>
      <c r="M175" s="1420" t="inlineStr">
        <is>
          <t>cdTypPartiEnt</t>
        </is>
      </c>
      <c r="N175" s="231" t="inlineStr">
        <is>
          <t>Obligatoire sous conditions</t>
        </is>
      </c>
      <c r="O175" s="236" t="inlineStr">
        <is>
          <t>Mandatory under conditions</t>
        </is>
      </c>
      <c r="P175" s="269" t="inlineStr">
        <is>
          <t>LC.0332</t>
        </is>
      </c>
      <c r="Q175" s="269" t="inlineStr">
        <is>
          <t>TA Z8TYPART</t>
        </is>
      </c>
      <c r="R175" s="311" t="inlineStr">
        <is>
          <t>NA</t>
        </is>
      </c>
      <c r="S175" s="312" t="inlineStr">
        <is>
          <t>NA</t>
        </is>
      </c>
      <c r="T175" s="313" t="inlineStr">
        <is>
          <t>ALPHA</t>
        </is>
      </c>
      <c r="U175" s="237" t="inlineStr">
        <is>
          <t>NA</t>
        </is>
      </c>
      <c r="V175" s="238" t="inlineStr">
        <is>
          <t>NA</t>
        </is>
      </c>
      <c r="W175" s="257" t="n">
        <v>1</v>
      </c>
      <c r="X175" s="945" t="inlineStr">
        <is>
          <t>NA</t>
        </is>
      </c>
      <c r="Y175" s="237" t="n">
        <v>43</v>
      </c>
      <c r="Z175" s="237" t="inlineStr">
        <is>
          <t>NA</t>
        </is>
      </c>
      <c r="AA175" s="239" t="inlineStr">
        <is>
          <t>NA</t>
        </is>
      </c>
      <c r="AB175" s="636" t="inlineStr">
        <is>
          <t>ANACREDIT</t>
        </is>
      </c>
      <c r="AC175" s="231" t="inlineStr">
        <is>
          <t>ND</t>
        </is>
      </c>
      <c r="AD175" s="315" t="inlineStr">
        <is>
          <t>N</t>
        </is>
      </c>
      <c r="AE175" s="257" t="inlineStr">
        <is>
          <t>NA</t>
        </is>
      </c>
      <c r="AF175" s="257" t="inlineStr">
        <is>
          <t>NA</t>
        </is>
      </c>
      <c r="AG175" s="258" t="inlineStr">
        <is>
          <t>NA</t>
        </is>
      </c>
      <c r="AH175" s="89" t="n"/>
      <c r="AI175" s="353" t="inlineStr">
        <is>
          <t xml:space="preserve">La donnée est obligatoire si l'indicateur 'Syndication' [F1 4.1] est égal à 'Y' OU l'indicateur convention de partage [F1 4.18] est renseigné et différent de 0 </t>
        </is>
      </c>
      <c r="AJ175" s="317" t="inlineStr">
        <is>
          <t xml:space="preserve">The data is mandatory if the 'Syndication' flag [F1 4.1] is equal to 'Y' OR the sharing convention flag [F1 4.18] is filled in and not equal to 0 </t>
        </is>
      </c>
      <c r="AK175" s="257" t="n">
        <v>6</v>
      </c>
      <c r="AL175" s="366" t="inlineStr">
        <is>
          <t>TPS0703</t>
        </is>
      </c>
      <c r="AM175" s="210" t="inlineStr">
        <is>
          <t>Si elle est renseignée, la valeur doit être connue du Langage Commun associé</t>
        </is>
      </c>
      <c r="AN175" s="211" t="inlineStr">
        <is>
          <t>If specified, the value must be known to the associated Common Language</t>
        </is>
      </c>
      <c r="AO175" s="257" t="n">
        <v>7</v>
      </c>
      <c r="AP175" s="212" t="inlineStr">
        <is>
          <t>TIG0001</t>
        </is>
      </c>
      <c r="AQ175" s="318" t="n"/>
      <c r="AR175" s="317" t="n"/>
      <c r="AS175" s="257" t="n"/>
      <c r="AT175" s="258" t="n"/>
      <c r="AU175" s="318" t="n"/>
      <c r="AV175" s="317" t="n"/>
      <c r="AW175" s="257" t="n"/>
      <c r="AX175" s="258" t="n"/>
      <c r="AY175" s="318" t="n"/>
      <c r="AZ175" s="317" t="n"/>
      <c r="BA175" s="257" t="n"/>
      <c r="BB175" s="258" t="n"/>
      <c r="BC175" s="316" t="n"/>
      <c r="BD175" s="317" t="n"/>
      <c r="BE175" s="257" t="n"/>
      <c r="BF175" s="258" t="n"/>
      <c r="BG175" s="89" t="n"/>
      <c r="BH1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75">
        <f>_xlfn.LET(r,ROW(),oc,INDEX($A:$A,r),cv,TRIM(INDEX($Y:$Y,r)&amp;""),IF(oc&lt;&gt;"P1","",IF(cv="45","V45 - novo, nao alimentado pelo spool atual","V44 - alimentado pelo spool atual")))</f>
        <v/>
      </c>
    </row>
    <row r="176" ht="54" customFormat="1" customHeight="1" s="55">
      <c r="A176" s="325" t="inlineStr">
        <is>
          <t>F1</t>
        </is>
      </c>
      <c r="B176" s="326" t="n">
        <v>60</v>
      </c>
      <c r="C176" s="284" t="inlineStr">
        <is>
          <t>NA</t>
        </is>
      </c>
      <c r="D176" s="244" t="inlineStr">
        <is>
          <t>NA</t>
        </is>
      </c>
      <c r="E176" s="326" t="inlineStr">
        <is>
          <t>F1 4.99</t>
        </is>
      </c>
      <c r="F176" s="327" t="inlineStr">
        <is>
          <t>Filler</t>
        </is>
      </c>
      <c r="G176" s="327" t="inlineStr">
        <is>
          <t>Filler</t>
        </is>
      </c>
      <c r="H176" s="327" t="n"/>
      <c r="I176" s="247" t="inlineStr">
        <is>
          <t>Zone libre</t>
        </is>
      </c>
      <c r="J176" s="245" t="inlineStr">
        <is>
          <t>Free zone</t>
        </is>
      </c>
      <c r="K176" s="284" t="inlineStr">
        <is>
          <t>NA</t>
        </is>
      </c>
      <c r="L176" s="284" t="inlineStr">
        <is>
          <t>NA</t>
        </is>
      </c>
      <c r="M176" s="1421" t="inlineStr">
        <is>
          <t>ZoneLibre4</t>
        </is>
      </c>
      <c r="N176" s="328" t="inlineStr">
        <is>
          <t>NA</t>
        </is>
      </c>
      <c r="O176" s="284" t="inlineStr">
        <is>
          <t>NA</t>
        </is>
      </c>
      <c r="P176" s="284" t="inlineStr">
        <is>
          <t>NA</t>
        </is>
      </c>
      <c r="Q176" s="284" t="inlineStr">
        <is>
          <t>NA</t>
        </is>
      </c>
      <c r="R176" s="247" t="inlineStr">
        <is>
          <t>Laisser à vide</t>
        </is>
      </c>
      <c r="S176" s="247" t="inlineStr">
        <is>
          <t>Leave empty</t>
        </is>
      </c>
      <c r="T176" s="326" t="inlineStr">
        <is>
          <t>ALPHA</t>
        </is>
      </c>
      <c r="U176" s="248" t="inlineStr">
        <is>
          <t>NA</t>
        </is>
      </c>
      <c r="V176" s="248" t="inlineStr">
        <is>
          <t>NA</t>
        </is>
      </c>
      <c r="W176" s="284" t="n">
        <v>13</v>
      </c>
      <c r="X176" s="244" t="inlineStr">
        <is>
          <t>NA</t>
        </is>
      </c>
      <c r="Y176" s="248" t="inlineStr">
        <is>
          <t>NA</t>
        </is>
      </c>
      <c r="Z176" s="248" t="inlineStr">
        <is>
          <t>NA</t>
        </is>
      </c>
      <c r="AA176" s="248" t="inlineStr">
        <is>
          <t>NA</t>
        </is>
      </c>
      <c r="AB176" s="328" t="inlineStr">
        <is>
          <t>NA</t>
        </is>
      </c>
      <c r="AC176" s="244" t="inlineStr">
        <is>
          <t>NA</t>
        </is>
      </c>
      <c r="AD176" s="328" t="inlineStr">
        <is>
          <t>N</t>
        </is>
      </c>
      <c r="AE176" s="284" t="inlineStr">
        <is>
          <t>NA</t>
        </is>
      </c>
      <c r="AF176" s="284" t="inlineStr">
        <is>
          <t>NA</t>
        </is>
      </c>
      <c r="AG176" s="285" t="inlineStr">
        <is>
          <t>NA</t>
        </is>
      </c>
      <c r="AH176" s="89" t="n"/>
      <c r="AI176" s="330" t="n"/>
      <c r="AJ176" s="331" t="n"/>
      <c r="AK176" s="284" t="n"/>
      <c r="AL176" s="285" t="n"/>
      <c r="AM176" s="331" t="n"/>
      <c r="AN176" s="331" t="n"/>
      <c r="AO176" s="284" t="n"/>
      <c r="AP176" s="285" t="n"/>
      <c r="AQ176" s="331" t="n"/>
      <c r="AR176" s="331" t="n"/>
      <c r="AS176" s="284" t="n"/>
      <c r="AT176" s="285" t="n"/>
      <c r="AU176" s="331" t="n"/>
      <c r="AV176" s="331" t="n"/>
      <c r="AW176" s="284" t="n"/>
      <c r="AX176" s="285" t="n"/>
      <c r="AY176" s="331" t="n"/>
      <c r="AZ176" s="331" t="n"/>
      <c r="BA176" s="284" t="n"/>
      <c r="BB176" s="285" t="n"/>
      <c r="BC176" s="330" t="n"/>
      <c r="BD176" s="331" t="n"/>
      <c r="BE176" s="284" t="n"/>
      <c r="BF176" s="285" t="n"/>
      <c r="BG176" s="89" t="n"/>
      <c r="BH1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76">
        <f>_xlfn.LET(r,ROW(),oc,INDEX($A:$A,r),cv,TRIM(INDEX($Y:$Y,r)&amp;""),IF(oc&lt;&gt;"P1","",IF(cv="45","V45 - novo, nao alimentado pelo spool atual","V44 - alimentado pelo spool atual")))</f>
        <v/>
      </c>
    </row>
    <row r="177" ht="54" customFormat="1" customHeight="1" s="90">
      <c r="A177" s="306" t="inlineStr">
        <is>
          <t>F1</t>
        </is>
      </c>
      <c r="B177" s="307" t="n">
        <v>61</v>
      </c>
      <c r="C177" s="269" t="inlineStr">
        <is>
          <t>18 - Caractéristiques Titrisation</t>
        </is>
      </c>
      <c r="D177" s="236" t="inlineStr">
        <is>
          <t>18 - Securitization characteristics</t>
        </is>
      </c>
      <c r="E177" s="307" t="inlineStr">
        <is>
          <t>F1 5.1</t>
        </is>
      </c>
      <c r="F177" s="382" t="inlineStr">
        <is>
          <t>Indicateur Titrisation</t>
        </is>
      </c>
      <c r="G177" s="309" t="inlineStr">
        <is>
          <t>Securitisation indicator</t>
        </is>
      </c>
      <c r="H177" s="309" t="n"/>
      <c r="I177" s="241" t="inlineStr">
        <is>
          <t>Indicateur permettant de préciser si l'opération autorisée fait l'objet d'une titrisation</t>
        </is>
      </c>
      <c r="J177" s="233" t="inlineStr">
        <is>
          <t>Indicator specifying whether the authorised transaction has been securitised</t>
        </is>
      </c>
      <c r="K177" s="269" t="inlineStr">
        <is>
          <t>ND</t>
        </is>
      </c>
      <c r="L177" s="310" t="inlineStr">
        <is>
          <t>ND</t>
        </is>
      </c>
      <c r="M177" s="1420" t="inlineStr">
        <is>
          <t>IndTitri</t>
        </is>
      </c>
      <c r="N177" s="231" t="inlineStr">
        <is>
          <t>Obligatoire</t>
        </is>
      </c>
      <c r="O177" s="236" t="inlineStr">
        <is>
          <t>Mandatory</t>
        </is>
      </c>
      <c r="P177" s="269" t="inlineStr">
        <is>
          <t>LC.0187</t>
        </is>
      </c>
      <c r="Q177" s="269" t="inlineStr">
        <is>
          <t>TA KVICTITR</t>
        </is>
      </c>
      <c r="R177" s="311" t="inlineStr">
        <is>
          <t>NA</t>
        </is>
      </c>
      <c r="S177" s="312" t="inlineStr">
        <is>
          <t>NA</t>
        </is>
      </c>
      <c r="T177" s="313" t="inlineStr">
        <is>
          <t>ALPHA</t>
        </is>
      </c>
      <c r="U177" s="237" t="inlineStr">
        <is>
          <t>NA</t>
        </is>
      </c>
      <c r="V177" s="238" t="inlineStr">
        <is>
          <t>NA</t>
        </is>
      </c>
      <c r="W177" s="257" t="n">
        <v>1</v>
      </c>
      <c r="X177" s="945" t="inlineStr">
        <is>
          <t>NA</t>
        </is>
      </c>
      <c r="Y177" s="237" t="n">
        <v>40</v>
      </c>
      <c r="Z177" s="237" t="inlineStr">
        <is>
          <t>NA</t>
        </is>
      </c>
      <c r="AA177" s="283" t="inlineStr">
        <is>
          <t>NA</t>
        </is>
      </c>
      <c r="AB177" s="636" t="inlineStr">
        <is>
          <t>ANACREDIT</t>
        </is>
      </c>
      <c r="AC177" s="231" t="inlineStr">
        <is>
          <t>ND</t>
        </is>
      </c>
      <c r="AD177" s="315" t="inlineStr">
        <is>
          <t>N</t>
        </is>
      </c>
      <c r="AE177" s="257" t="inlineStr">
        <is>
          <t>NA</t>
        </is>
      </c>
      <c r="AF177" s="257" t="inlineStr">
        <is>
          <t>NA</t>
        </is>
      </c>
      <c r="AG177" s="258" t="inlineStr">
        <is>
          <t>NA</t>
        </is>
      </c>
      <c r="AH177" s="89" t="n"/>
      <c r="AI177" s="316" t="inlineStr">
        <is>
          <t>La donnée est obligatoire</t>
        </is>
      </c>
      <c r="AJ177" s="317" t="inlineStr">
        <is>
          <t>The data is mandatory</t>
        </is>
      </c>
      <c r="AK177" s="257" t="n">
        <v>7</v>
      </c>
      <c r="AL177" s="335" t="inlineStr">
        <is>
          <t>TPG0001</t>
        </is>
      </c>
      <c r="AM177" s="318" t="inlineStr">
        <is>
          <t>Si elle est renseignée, la valeur doit être connue du Langage Commun associé</t>
        </is>
      </c>
      <c r="AN177" s="317" t="inlineStr">
        <is>
          <t>If specified, the value must be known to the associated Common Language</t>
        </is>
      </c>
      <c r="AO177" s="257" t="n">
        <v>7</v>
      </c>
      <c r="AP177" s="212" t="inlineStr">
        <is>
          <t>TIG0001</t>
        </is>
      </c>
      <c r="AQ177" s="383" t="n"/>
      <c r="AR177" s="377" t="n"/>
      <c r="AS177" s="257" t="n"/>
      <c r="AT177" s="359" t="n"/>
      <c r="AU177" s="318" t="n"/>
      <c r="AV177" s="317" t="n"/>
      <c r="AW177" s="257" t="n"/>
      <c r="AX177" s="258" t="n"/>
      <c r="AY177" s="318" t="n"/>
      <c r="AZ177" s="317" t="n"/>
      <c r="BA177" s="257" t="n"/>
      <c r="BB177" s="258" t="n"/>
      <c r="BC177" s="316" t="n"/>
      <c r="BD177" s="317" t="n"/>
      <c r="BE177" s="257" t="n"/>
      <c r="BF177" s="258" t="n"/>
      <c r="BG177" s="89" t="n"/>
      <c r="BH1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77">
        <f>_xlfn.LET(r,ROW(),oc,INDEX($A:$A,r),cv,TRIM(INDEX($Y:$Y,r)&amp;""),IF(oc&lt;&gt;"P1","",IF(cv="45","V45 - novo, nao alimentado pelo spool atual","V44 - alimentado pelo spool atual")))</f>
        <v/>
      </c>
    </row>
    <row r="178" ht="54" customFormat="1" customHeight="1" s="90">
      <c r="A178" s="306" t="inlineStr">
        <is>
          <t>F1</t>
        </is>
      </c>
      <c r="B178" s="307" t="n">
        <v>62</v>
      </c>
      <c r="C178" s="269" t="inlineStr">
        <is>
          <t>18 - Caractéristiques Titrisation</t>
        </is>
      </c>
      <c r="D178" s="236" t="inlineStr">
        <is>
          <t>18 - Securitization characteristics</t>
        </is>
      </c>
      <c r="E178" s="307" t="inlineStr">
        <is>
          <t>F1 5.2</t>
        </is>
      </c>
      <c r="F178" s="308" t="inlineStr">
        <is>
          <t>Identifiant local du véhicule de titrisation</t>
        </is>
      </c>
      <c r="G178" s="309" t="inlineStr">
        <is>
          <t>Local ID of securitisation special purpose vehicle (SPV)</t>
        </is>
      </c>
      <c r="H178" s="309" t="n"/>
      <c r="I178" s="241" t="inlineStr">
        <is>
          <t>Identifiant du véhicule dans le système local utilisé pour générer le flux</t>
        </is>
      </c>
      <c r="J178" s="233" t="inlineStr">
        <is>
          <t>ID of vehicle in the local system used to generate the flow</t>
        </is>
      </c>
      <c r="K178" s="269" t="inlineStr">
        <is>
          <t>ND</t>
        </is>
      </c>
      <c r="L178" s="310" t="inlineStr">
        <is>
          <t>ND</t>
        </is>
      </c>
      <c r="M178" s="1420" t="inlineStr">
        <is>
          <t>IdLocVehTitri</t>
        </is>
      </c>
      <c r="N178" s="231" t="inlineStr">
        <is>
          <t>Obligatoire sous conditions</t>
        </is>
      </c>
      <c r="O178" s="236" t="inlineStr">
        <is>
          <t>Mandatory under conditions</t>
        </is>
      </c>
      <c r="P178" s="269" t="inlineStr">
        <is>
          <t>NA</t>
        </is>
      </c>
      <c r="Q178" s="269" t="inlineStr">
        <is>
          <t>NA</t>
        </is>
      </c>
      <c r="R178" s="311" t="inlineStr">
        <is>
          <t>NA</t>
        </is>
      </c>
      <c r="S178" s="312" t="inlineStr">
        <is>
          <t>NA</t>
        </is>
      </c>
      <c r="T178" s="313" t="inlineStr">
        <is>
          <t>ALPHA</t>
        </is>
      </c>
      <c r="U178" s="237" t="inlineStr">
        <is>
          <t>NA</t>
        </is>
      </c>
      <c r="V178" s="238" t="inlineStr">
        <is>
          <t>NA</t>
        </is>
      </c>
      <c r="W178" s="257" t="n">
        <v>20</v>
      </c>
      <c r="X178" s="945" t="inlineStr">
        <is>
          <t>NA</t>
        </is>
      </c>
      <c r="Y178" s="237" t="n">
        <v>40</v>
      </c>
      <c r="Z178" s="237" t="inlineStr">
        <is>
          <t>NA</t>
        </is>
      </c>
      <c r="AA178" s="237" t="inlineStr">
        <is>
          <t>NA</t>
        </is>
      </c>
      <c r="AB178" s="636" t="inlineStr">
        <is>
          <t>ANACREDIT</t>
        </is>
      </c>
      <c r="AC178" s="231" t="inlineStr">
        <is>
          <t>ND</t>
        </is>
      </c>
      <c r="AD178" s="315" t="inlineStr">
        <is>
          <t>N</t>
        </is>
      </c>
      <c r="AE178" s="257" t="inlineStr">
        <is>
          <t>NA</t>
        </is>
      </c>
      <c r="AF178" s="257" t="inlineStr">
        <is>
          <t>NA</t>
        </is>
      </c>
      <c r="AG178" s="258" t="inlineStr">
        <is>
          <t>NA</t>
        </is>
      </c>
      <c r="AH178" s="89" t="n"/>
      <c r="AI178" s="323" t="inlineStr">
        <is>
          <t>La donnée est obligatoire si Indicateur Titrisation [F1 5.1] = ‘Y'</t>
        </is>
      </c>
      <c r="AJ178" s="317" t="inlineStr">
        <is>
          <t>The data is mandatory if Securitisation indicator [F1 5.1] = ‘Y'</t>
        </is>
      </c>
      <c r="AK178" s="257" t="n">
        <v>5</v>
      </c>
      <c r="AL178" s="366" t="inlineStr">
        <is>
          <t>TPS0705</t>
        </is>
      </c>
      <c r="AM178" s="318" t="n"/>
      <c r="AN178" s="317" t="n"/>
      <c r="AO178" s="257" t="n"/>
      <c r="AP178" s="258" t="n"/>
      <c r="AQ178" s="318" t="n"/>
      <c r="AR178" s="317" t="n"/>
      <c r="AS178" s="257" t="n"/>
      <c r="AT178" s="258" t="n"/>
      <c r="AU178" s="318" t="n"/>
      <c r="AV178" s="317" t="n"/>
      <c r="AW178" s="257" t="n"/>
      <c r="AX178" s="258" t="n"/>
      <c r="AY178" s="337" t="inlineStr">
        <is>
          <t>Le tiers doit exister (présence du tiers dans TIGRE)</t>
        </is>
      </c>
      <c r="AZ178" s="317" t="inlineStr">
        <is>
          <t>The third-party must exist (presence of the third-party in TIGRE)</t>
        </is>
      </c>
      <c r="BA178" s="257" t="n">
        <v>6</v>
      </c>
      <c r="BB178" s="338" t="inlineStr">
        <is>
          <t>TIG0002</t>
        </is>
      </c>
      <c r="BC178" s="316" t="n"/>
      <c r="BD178" s="317" t="n"/>
      <c r="BE178" s="257" t="n"/>
      <c r="BF178" s="258" t="n"/>
      <c r="BG178" s="89" t="n"/>
      <c r="BH1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78">
        <f>_xlfn.LET(r,ROW(),oc,INDEX($A:$A,r),cv,TRIM(INDEX($Y:$Y,r)&amp;""),IF(oc&lt;&gt;"P1","",IF(cv="45","V45 - novo, nao alimentado pelo spool atual","V44 - alimentado pelo spool atual")))</f>
        <v/>
      </c>
    </row>
    <row r="179" ht="54" customFormat="1" customHeight="1" s="90">
      <c r="A179" s="306" t="inlineStr">
        <is>
          <t>F1</t>
        </is>
      </c>
      <c r="B179" s="307" t="n">
        <v>63</v>
      </c>
      <c r="C179" s="269" t="inlineStr">
        <is>
          <t>18 - Caractéristiques Titrisation</t>
        </is>
      </c>
      <c r="D179" s="236" t="inlineStr">
        <is>
          <t>18 - Securitization characteristics</t>
        </is>
      </c>
      <c r="E179" s="307" t="inlineStr">
        <is>
          <t>F1 5.7</t>
        </is>
      </c>
      <c r="F179" s="308" t="inlineStr">
        <is>
          <t>Identifiant central du véhicule de titrisation</t>
        </is>
      </c>
      <c r="G179" s="309" t="inlineStr">
        <is>
          <t>Central ID of securitisation SPV</t>
        </is>
      </c>
      <c r="H179" s="309" t="n"/>
      <c r="I179" s="241" t="inlineStr">
        <is>
          <t>Identifiant du véhicule de titrisation dans le système central DRG</t>
        </is>
      </c>
      <c r="J179" s="233" t="inlineStr">
        <is>
          <t>ID of the securitisation vehicle in the Group Risk Management Division IT system</t>
        </is>
      </c>
      <c r="K179" s="269" t="inlineStr">
        <is>
          <t>ND</t>
        </is>
      </c>
      <c r="L179" s="310" t="inlineStr">
        <is>
          <t>ND</t>
        </is>
      </c>
      <c r="M179" s="1420" t="inlineStr">
        <is>
          <t>IdCenVehTitri</t>
        </is>
      </c>
      <c r="N179" s="231" t="inlineStr">
        <is>
          <t>Facultatif</t>
        </is>
      </c>
      <c r="O179" s="236" t="inlineStr">
        <is>
          <t>Optional</t>
        </is>
      </c>
      <c r="P179" s="269" t="inlineStr">
        <is>
          <t>NA</t>
        </is>
      </c>
      <c r="Q179" s="269" t="inlineStr">
        <is>
          <t>NA</t>
        </is>
      </c>
      <c r="R179" s="311" t="inlineStr">
        <is>
          <t>Identifiant fourni par DRG dans le fichier mensuel Référentiel ‘Tiers groupes' transmis aux entités émettrices du flux</t>
        </is>
      </c>
      <c r="S179" s="312" t="inlineStr">
        <is>
          <t>ID provided by the Group Risk Management Division in the monthly “External Counterparties Groups” file (DTG) sent to entities issuing flows</t>
        </is>
      </c>
      <c r="T179" s="313" t="inlineStr">
        <is>
          <t>ALPHA</t>
        </is>
      </c>
      <c r="U179" s="237" t="inlineStr">
        <is>
          <t>NA</t>
        </is>
      </c>
      <c r="V179" s="238" t="inlineStr">
        <is>
          <t>NA</t>
        </is>
      </c>
      <c r="W179" s="257" t="n">
        <v>10</v>
      </c>
      <c r="X179" s="945" t="inlineStr">
        <is>
          <t>NA</t>
        </is>
      </c>
      <c r="Y179" s="237" t="n">
        <v>40</v>
      </c>
      <c r="Z179" s="237" t="inlineStr">
        <is>
          <t>NA</t>
        </is>
      </c>
      <c r="AA179" s="283" t="inlineStr">
        <is>
          <t>NA</t>
        </is>
      </c>
      <c r="AB179" s="636" t="inlineStr">
        <is>
          <t>ANACREDIT</t>
        </is>
      </c>
      <c r="AC179" s="231" t="inlineStr">
        <is>
          <t>ND</t>
        </is>
      </c>
      <c r="AD179" s="315" t="inlineStr">
        <is>
          <t>N</t>
        </is>
      </c>
      <c r="AE179" s="257" t="inlineStr">
        <is>
          <t>NA</t>
        </is>
      </c>
      <c r="AF179" s="257" t="inlineStr">
        <is>
          <t>NA</t>
        </is>
      </c>
      <c r="AG179" s="258" t="inlineStr">
        <is>
          <t>NA</t>
        </is>
      </c>
      <c r="AH179" s="89" t="n"/>
      <c r="AI179" s="316" t="n"/>
      <c r="AJ179" s="317" t="n"/>
      <c r="AK179" s="257" t="n"/>
      <c r="AL179" s="258" t="n"/>
      <c r="AM179" s="318" t="n"/>
      <c r="AN179" s="317" t="n"/>
      <c r="AO179" s="257" t="n"/>
      <c r="AP179" s="258" t="n"/>
      <c r="AQ179" s="318" t="n"/>
      <c r="AR179" s="317" t="n"/>
      <c r="AS179" s="257" t="n"/>
      <c r="AT179" s="258" t="n"/>
      <c r="AU179" s="318" t="inlineStr">
        <is>
          <t> </t>
        </is>
      </c>
      <c r="AV179" s="317" t="n"/>
      <c r="AW179" s="257" t="n"/>
      <c r="AX179" s="258" t="n"/>
      <c r="AY179" s="340" t="inlineStr">
        <is>
          <t>Le tiers doit exister (présence du tiers dans TIGRE)
---
Le couple identifiant local / central (F1 5.2 et F1 5.7) doit exister dans TIGRE</t>
        </is>
      </c>
      <c r="AZ179" s="317" t="inlineStr">
        <is>
          <t>The third-party must exist (presence of the third-party in TIGRE)
---
The local/central identifier pair (F1 5.2 and F1 5.7) must exist in TIGRE</t>
        </is>
      </c>
      <c r="BA179" s="257" t="n">
        <v>6</v>
      </c>
      <c r="BB179" s="341" t="inlineStr">
        <is>
          <t>TIG0002
TIG0004</t>
        </is>
      </c>
      <c r="BC179" s="316" t="n"/>
      <c r="BD179" s="317" t="n"/>
      <c r="BE179" s="257" t="n"/>
      <c r="BF179" s="258" t="n"/>
      <c r="BG179" s="89" t="n"/>
      <c r="BH1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79">
        <f>_xlfn.LET(r,ROW(),oc,INDEX($A:$A,r),cv,TRIM(INDEX($Y:$Y,r)&amp;""),IF(oc&lt;&gt;"P1","",IF(cv="45","V45 - novo, nao alimentado pelo spool atual","V44 - alimentado pelo spool atual")))</f>
        <v/>
      </c>
    </row>
    <row r="180" ht="54" customFormat="1" customHeight="1" s="90">
      <c r="A180" s="306" t="inlineStr">
        <is>
          <t>F1</t>
        </is>
      </c>
      <c r="B180" s="307" t="n">
        <v>64</v>
      </c>
      <c r="C180" s="269" t="inlineStr">
        <is>
          <t>18 - Caractéristiques Titrisation</t>
        </is>
      </c>
      <c r="D180" s="236" t="inlineStr">
        <is>
          <t>18 - Securitization characteristics</t>
        </is>
      </c>
      <c r="E180" s="307" t="inlineStr">
        <is>
          <t>F1 5.3</t>
        </is>
      </c>
      <c r="F180" s="308" t="inlineStr">
        <is>
          <t>Séniorité de la tranche dans le véhicule</t>
        </is>
      </c>
      <c r="G180" s="309" t="inlineStr">
        <is>
          <t>Seniority of tranche in SPV</t>
        </is>
      </c>
      <c r="H180" s="309" t="n"/>
      <c r="I180" s="241" t="inlineStr">
        <is>
          <t>Séniorité de la tranche associée à l'opération autorisée</t>
        </is>
      </c>
      <c r="J180" s="233" t="inlineStr">
        <is>
          <t>Seniority of the tranche associated with the authorised transaction</t>
        </is>
      </c>
      <c r="K180" s="269" t="inlineStr">
        <is>
          <t>ND</t>
        </is>
      </c>
      <c r="L180" s="310" t="inlineStr">
        <is>
          <t>ND</t>
        </is>
      </c>
      <c r="M180" s="1420" t="inlineStr">
        <is>
          <t>SenTranVeh</t>
        </is>
      </c>
      <c r="N180" s="231" t="inlineStr">
        <is>
          <t>Obligatoire sous conditions</t>
        </is>
      </c>
      <c r="O180" s="236" t="inlineStr">
        <is>
          <t>Mandatory under conditions</t>
        </is>
      </c>
      <c r="P180" s="269" t="inlineStr">
        <is>
          <t>LC.0026</t>
        </is>
      </c>
      <c r="Q180" s="269" t="inlineStr">
        <is>
          <t>TA KVSENIOR</t>
        </is>
      </c>
      <c r="R180" s="311" t="inlineStr">
        <is>
          <t>NA</t>
        </is>
      </c>
      <c r="S180" s="312" t="inlineStr">
        <is>
          <t>NA</t>
        </is>
      </c>
      <c r="T180" s="313" t="inlineStr">
        <is>
          <t>ALPHA</t>
        </is>
      </c>
      <c r="U180" s="237" t="inlineStr">
        <is>
          <t>NA</t>
        </is>
      </c>
      <c r="V180" s="238" t="inlineStr">
        <is>
          <t>NA</t>
        </is>
      </c>
      <c r="W180" s="257" t="n">
        <v>3</v>
      </c>
      <c r="X180" s="945" t="inlineStr">
        <is>
          <t>NA</t>
        </is>
      </c>
      <c r="Y180" s="237" t="n">
        <v>40</v>
      </c>
      <c r="Z180" s="237" t="inlineStr">
        <is>
          <t>NA</t>
        </is>
      </c>
      <c r="AA180" s="237" t="inlineStr">
        <is>
          <t>NA</t>
        </is>
      </c>
      <c r="AB180" s="636" t="inlineStr">
        <is>
          <t>ANACREDIT</t>
        </is>
      </c>
      <c r="AC180" s="231" t="inlineStr">
        <is>
          <t>ND</t>
        </is>
      </c>
      <c r="AD180" s="315" t="inlineStr">
        <is>
          <t>N</t>
        </is>
      </c>
      <c r="AE180" s="257" t="inlineStr">
        <is>
          <t>NA</t>
        </is>
      </c>
      <c r="AF180" s="257" t="inlineStr">
        <is>
          <t>NA</t>
        </is>
      </c>
      <c r="AG180" s="258" t="inlineStr">
        <is>
          <t>NA</t>
        </is>
      </c>
      <c r="AH180" s="89" t="n"/>
      <c r="AI180" s="323" t="inlineStr">
        <is>
          <t>La donnée est obligatoire si Indicateur Titrisation [F1 5.1] = ‘Y'</t>
        </is>
      </c>
      <c r="AJ180" s="317" t="inlineStr">
        <is>
          <t>The data is mandatory if Securitisation indicator [F1 5.1] = ‘Y'</t>
        </is>
      </c>
      <c r="AK180" s="257" t="n">
        <v>5</v>
      </c>
      <c r="AL180" s="366" t="inlineStr">
        <is>
          <t>TPS0705</t>
        </is>
      </c>
      <c r="AM180" s="210" t="inlineStr">
        <is>
          <t>Si elle est renseignée, la valeur doit être connue du Langage Commun associé</t>
        </is>
      </c>
      <c r="AN180" s="211" t="inlineStr">
        <is>
          <t>If specified, the value must be known to the associated Common Language</t>
        </is>
      </c>
      <c r="AO180" s="257" t="n">
        <v>7</v>
      </c>
      <c r="AP180" s="212" t="inlineStr">
        <is>
          <t>TIG0001</t>
        </is>
      </c>
      <c r="AQ180" s="318" t="n"/>
      <c r="AR180" s="317" t="n"/>
      <c r="AS180" s="257" t="n"/>
      <c r="AT180" s="258" t="n"/>
      <c r="AU180" s="318" t="inlineStr">
        <is>
          <t> </t>
        </is>
      </c>
      <c r="AV180" s="317" t="n"/>
      <c r="AW180" s="257" t="n"/>
      <c r="AX180" s="258" t="n"/>
      <c r="AY180" s="318" t="n"/>
      <c r="AZ180" s="317" t="n"/>
      <c r="BA180" s="257" t="n"/>
      <c r="BB180" s="258" t="n"/>
      <c r="BC180" s="316" t="n"/>
      <c r="BD180" s="317" t="n"/>
      <c r="BE180" s="257" t="n"/>
      <c r="BF180" s="258" t="n"/>
      <c r="BG180" s="89" t="n"/>
      <c r="BH1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80">
        <f>_xlfn.LET(r,ROW(),oc,INDEX($A:$A,r),cv,TRIM(INDEX($Y:$Y,r)&amp;""),IF(oc&lt;&gt;"P1","",IF(cv="45","V45 - novo, nao alimentado pelo spool atual","V44 - alimentado pelo spool atual")))</f>
        <v/>
      </c>
    </row>
    <row r="181" ht="54" customFormat="1" customHeight="1" s="90">
      <c r="A181" s="306" t="inlineStr">
        <is>
          <t>F1</t>
        </is>
      </c>
      <c r="B181" s="307" t="n">
        <v>65</v>
      </c>
      <c r="C181" s="269" t="inlineStr">
        <is>
          <t>18 - Caractéristiques Titrisation</t>
        </is>
      </c>
      <c r="D181" s="236" t="inlineStr">
        <is>
          <t>18 - Securitization characteristics</t>
        </is>
      </c>
      <c r="E181" s="307" t="inlineStr">
        <is>
          <t>F1 5.4</t>
        </is>
      </c>
      <c r="F181" s="384" t="inlineStr">
        <is>
          <t>Montant vendu à l'intérieur de la tranche</t>
        </is>
      </c>
      <c r="G181" s="309" t="inlineStr">
        <is>
          <t>Amount sold within tranche</t>
        </is>
      </c>
      <c r="H181" s="309" t="n"/>
      <c r="I181" s="308" t="inlineStr">
        <is>
          <t>Montant vendu à l'intérieur de la tranche</t>
        </is>
      </c>
      <c r="J181" s="309" t="inlineStr">
        <is>
          <t>Amount sold within tranche</t>
        </is>
      </c>
      <c r="K181" s="269" t="inlineStr">
        <is>
          <t>ND</t>
        </is>
      </c>
      <c r="L181" s="310" t="inlineStr">
        <is>
          <t>ND</t>
        </is>
      </c>
      <c r="M181" s="1420" t="inlineStr">
        <is>
          <t>MtPartVendue</t>
        </is>
      </c>
      <c r="N181" s="231" t="inlineStr">
        <is>
          <t>Facultatif</t>
        </is>
      </c>
      <c r="O181" s="236" t="inlineStr">
        <is>
          <t>Optional</t>
        </is>
      </c>
      <c r="P181" s="269" t="inlineStr">
        <is>
          <t>NA</t>
        </is>
      </c>
      <c r="Q181" s="269" t="inlineStr">
        <is>
          <t>NA</t>
        </is>
      </c>
      <c r="R181" s="311" t="inlineStr">
        <is>
          <t>NA</t>
        </is>
      </c>
      <c r="S181" s="312" t="inlineStr">
        <is>
          <t>NA</t>
        </is>
      </c>
      <c r="T181" s="313" t="inlineStr">
        <is>
          <t>NUM</t>
        </is>
      </c>
      <c r="U181" s="237" t="inlineStr">
        <is>
          <t>19 dont signe et 2 décimales</t>
        </is>
      </c>
      <c r="V181" s="238" t="inlineStr">
        <is>
          <t>19 including sign and 2 decimals</t>
        </is>
      </c>
      <c r="W181" s="257" t="n">
        <v>19</v>
      </c>
      <c r="X181" s="945" t="inlineStr">
        <is>
          <t>NA</t>
        </is>
      </c>
      <c r="Y181" s="237" t="inlineStr">
        <is>
          <t>40</t>
        </is>
      </c>
      <c r="Z181" s="237" t="inlineStr">
        <is>
          <t>NA</t>
        </is>
      </c>
      <c r="AA181" s="237" t="inlineStr">
        <is>
          <t>NA</t>
        </is>
      </c>
      <c r="AB181" s="636" t="inlineStr">
        <is>
          <t>ANACREDIT</t>
        </is>
      </c>
      <c r="AC181" s="231" t="inlineStr">
        <is>
          <t>ND</t>
        </is>
      </c>
      <c r="AD181" s="315" t="inlineStr">
        <is>
          <t>N</t>
        </is>
      </c>
      <c r="AE181" s="257" t="inlineStr">
        <is>
          <t>NA</t>
        </is>
      </c>
      <c r="AF181" s="257" t="inlineStr">
        <is>
          <t>NA</t>
        </is>
      </c>
      <c r="AG181" s="258" t="inlineStr">
        <is>
          <t>NA</t>
        </is>
      </c>
      <c r="AH181" s="89" t="n"/>
      <c r="AI181" s="316" t="n"/>
      <c r="AJ181" s="317" t="n"/>
      <c r="AK181" s="257" t="n"/>
      <c r="AL181" s="258" t="n"/>
      <c r="AM181" s="318" t="n"/>
      <c r="AN181" s="317" t="n"/>
      <c r="AO181" s="257" t="n"/>
      <c r="AP181" s="258" t="n"/>
      <c r="AQ181" s="318" t="n"/>
      <c r="AR181" s="317" t="n"/>
      <c r="AS181" s="257" t="n"/>
      <c r="AT181" s="258" t="n"/>
      <c r="AU181" s="318" t="n"/>
      <c r="AV181" s="317" t="n"/>
      <c r="AW181" s="257" t="n"/>
      <c r="AX181" s="258" t="n"/>
      <c r="AY181" s="318" t="n"/>
      <c r="AZ181" s="317" t="n"/>
      <c r="BA181" s="257" t="n"/>
      <c r="BB181" s="258" t="n"/>
      <c r="BC181" s="316" t="n"/>
      <c r="BD181" s="317" t="n"/>
      <c r="BE181" s="257" t="n"/>
      <c r="BF181" s="258" t="n"/>
      <c r="BG181" s="89" t="n"/>
      <c r="BH1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81">
        <f>_xlfn.LET(r,ROW(),oc,INDEX($A:$A,r),cv,TRIM(INDEX($Y:$Y,r)&amp;""),IF(oc&lt;&gt;"P1","",IF(cv="45","V45 - novo, nao alimentado pelo spool atual","V44 - alimentado pelo spool atual")))</f>
        <v/>
      </c>
    </row>
    <row r="182" ht="54" customFormat="1" customHeight="1" s="90">
      <c r="A182" s="306" t="inlineStr">
        <is>
          <t>F1</t>
        </is>
      </c>
      <c r="B182" s="307" t="n">
        <v>66</v>
      </c>
      <c r="C182" s="269" t="inlineStr">
        <is>
          <t>18 - Caractéristiques Titrisation</t>
        </is>
      </c>
      <c r="D182" s="236" t="inlineStr">
        <is>
          <t>18 - Securitization characteristics</t>
        </is>
      </c>
      <c r="E182" s="307" t="inlineStr">
        <is>
          <t>F1 5.5</t>
        </is>
      </c>
      <c r="F182" s="384" t="inlineStr">
        <is>
          <t>Devise du montant vendu à l'intérieur de la tranche</t>
        </is>
      </c>
      <c r="G182" s="309" t="inlineStr">
        <is>
          <t>Currency of the amount sold within tranche</t>
        </is>
      </c>
      <c r="H182" s="309" t="n"/>
      <c r="I182" s="308" t="inlineStr">
        <is>
          <t>Devise de la part vendue</t>
        </is>
      </c>
      <c r="J182" s="309" t="inlineStr">
        <is>
          <t>Currency of the portion sold</t>
        </is>
      </c>
      <c r="K182" s="269" t="inlineStr">
        <is>
          <t>ND</t>
        </is>
      </c>
      <c r="L182" s="310" t="inlineStr">
        <is>
          <t>ND</t>
        </is>
      </c>
      <c r="M182" s="1420" t="inlineStr">
        <is>
          <t>cdDevPartVendue</t>
        </is>
      </c>
      <c r="N182" s="231" t="inlineStr">
        <is>
          <t>Obligatoire sous conditions</t>
        </is>
      </c>
      <c r="O182" s="236" t="inlineStr">
        <is>
          <t>Mandatory under conditions</t>
        </is>
      </c>
      <c r="P182" s="269" t="inlineStr">
        <is>
          <t>LC.0005</t>
        </is>
      </c>
      <c r="Q182" s="269" t="inlineStr">
        <is>
          <t>TA NM253</t>
        </is>
      </c>
      <c r="R182" s="311" t="inlineStr">
        <is>
          <t>NA</t>
        </is>
      </c>
      <c r="S182" s="312" t="inlineStr">
        <is>
          <t>NA</t>
        </is>
      </c>
      <c r="T182" s="313" t="inlineStr">
        <is>
          <t>ALPHA</t>
        </is>
      </c>
      <c r="U182" s="237" t="inlineStr">
        <is>
          <t>NA</t>
        </is>
      </c>
      <c r="V182" s="238" t="inlineStr">
        <is>
          <t>NA</t>
        </is>
      </c>
      <c r="W182" s="257" t="n">
        <v>3</v>
      </c>
      <c r="X182" s="945" t="inlineStr">
        <is>
          <t>NA</t>
        </is>
      </c>
      <c r="Y182" s="237" t="inlineStr">
        <is>
          <t>40</t>
        </is>
      </c>
      <c r="Z182" s="237" t="inlineStr">
        <is>
          <t>NA</t>
        </is>
      </c>
      <c r="AA182" s="237" t="inlineStr">
        <is>
          <t>NA</t>
        </is>
      </c>
      <c r="AB182" s="636" t="inlineStr">
        <is>
          <t>ANACREDIT</t>
        </is>
      </c>
      <c r="AC182" s="231" t="inlineStr">
        <is>
          <t>ND</t>
        </is>
      </c>
      <c r="AD182" s="315" t="inlineStr">
        <is>
          <t>N</t>
        </is>
      </c>
      <c r="AE182" s="257" t="inlineStr">
        <is>
          <t>NA</t>
        </is>
      </c>
      <c r="AF182" s="257" t="inlineStr">
        <is>
          <t>NA</t>
        </is>
      </c>
      <c r="AG182" s="258" t="inlineStr">
        <is>
          <t>NA</t>
        </is>
      </c>
      <c r="AH182" s="89" t="n"/>
      <c r="AI182" s="385" t="inlineStr">
        <is>
          <t>La donnée est obligatoire si le Montant vendu à l'intérieur de la tranche [F1 5.4] est renseigné</t>
        </is>
      </c>
      <c r="AJ182" s="317" t="inlineStr">
        <is>
          <t>The data is mandatory if the Amount sold within tranche [F1 5.4] is filled</t>
        </is>
      </c>
      <c r="AK182" s="257" t="n">
        <v>7</v>
      </c>
      <c r="AL182" s="335" t="inlineStr">
        <is>
          <t>TPG0002</t>
        </is>
      </c>
      <c r="AM182" s="210" t="inlineStr">
        <is>
          <t>Si elle est renseignée, la valeur doit être connue du Langage Commun associé</t>
        </is>
      </c>
      <c r="AN182" s="211" t="inlineStr">
        <is>
          <t>If specified, the value must be known to the associated Common Language</t>
        </is>
      </c>
      <c r="AO182" s="257" t="n">
        <v>7</v>
      </c>
      <c r="AP182" s="212" t="inlineStr">
        <is>
          <t>TIG0001</t>
        </is>
      </c>
      <c r="AQ182" s="318" t="n"/>
      <c r="AR182" s="317" t="n"/>
      <c r="AS182" s="257" t="n"/>
      <c r="AT182" s="258" t="n"/>
      <c r="AU182" s="318" t="n"/>
      <c r="AV182" s="317" t="n"/>
      <c r="AW182" s="257" t="n"/>
      <c r="AX182" s="258" t="n"/>
      <c r="AY182" s="318" t="n"/>
      <c r="AZ182" s="317" t="n"/>
      <c r="BA182" s="257" t="n"/>
      <c r="BB182" s="258" t="n"/>
      <c r="BC182" s="316" t="n"/>
      <c r="BD182" s="317" t="n"/>
      <c r="BE182" s="257" t="n"/>
      <c r="BF182" s="258" t="n"/>
      <c r="BG182" s="89" t="n"/>
      <c r="BH1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82">
        <f>_xlfn.LET(r,ROW(),oc,INDEX($A:$A,r),cv,TRIM(INDEX($Y:$Y,r)&amp;""),IF(oc&lt;&gt;"P1","",IF(cv="45","V45 - novo, nao alimentado pelo spool atual","V44 - alimentado pelo spool atual")))</f>
        <v/>
      </c>
    </row>
    <row r="183" ht="54" customFormat="1" customHeight="1" s="55">
      <c r="A183" s="325" t="inlineStr">
        <is>
          <t>F1</t>
        </is>
      </c>
      <c r="B183" s="326" t="n">
        <v>67</v>
      </c>
      <c r="C183" s="284" t="inlineStr">
        <is>
          <t>NA</t>
        </is>
      </c>
      <c r="D183" s="244" t="inlineStr">
        <is>
          <t>NA</t>
        </is>
      </c>
      <c r="E183" s="326" t="inlineStr">
        <is>
          <t>F1 5.99</t>
        </is>
      </c>
      <c r="F183" s="327" t="inlineStr">
        <is>
          <t>Filler</t>
        </is>
      </c>
      <c r="G183" s="327" t="inlineStr">
        <is>
          <t>Filler</t>
        </is>
      </c>
      <c r="H183" s="327" t="n"/>
      <c r="I183" s="247" t="inlineStr">
        <is>
          <t>Zone libre</t>
        </is>
      </c>
      <c r="J183" s="245" t="inlineStr">
        <is>
          <t>Free zone</t>
        </is>
      </c>
      <c r="K183" s="284" t="inlineStr">
        <is>
          <t>NA</t>
        </is>
      </c>
      <c r="L183" s="284" t="inlineStr">
        <is>
          <t>NA</t>
        </is>
      </c>
      <c r="M183" s="1421" t="inlineStr">
        <is>
          <t>ZoneLibre5</t>
        </is>
      </c>
      <c r="N183" s="328" t="inlineStr">
        <is>
          <t>NA</t>
        </is>
      </c>
      <c r="O183" s="284" t="inlineStr">
        <is>
          <t>NA</t>
        </is>
      </c>
      <c r="P183" s="284" t="inlineStr">
        <is>
          <t>NA</t>
        </is>
      </c>
      <c r="Q183" s="284" t="inlineStr">
        <is>
          <t>NA</t>
        </is>
      </c>
      <c r="R183" s="247" t="inlineStr">
        <is>
          <t>Laisser à vide</t>
        </is>
      </c>
      <c r="S183" s="247" t="inlineStr">
        <is>
          <t>Leave empty</t>
        </is>
      </c>
      <c r="T183" s="326" t="inlineStr">
        <is>
          <t>ALPHA</t>
        </is>
      </c>
      <c r="U183" s="248" t="inlineStr">
        <is>
          <t>NA</t>
        </is>
      </c>
      <c r="V183" s="248" t="inlineStr">
        <is>
          <t>NA</t>
        </is>
      </c>
      <c r="W183" s="284" t="n">
        <v>20</v>
      </c>
      <c r="X183" s="244" t="inlineStr">
        <is>
          <t>NA</t>
        </is>
      </c>
      <c r="Y183" s="248" t="inlineStr">
        <is>
          <t>NA</t>
        </is>
      </c>
      <c r="Z183" s="248" t="inlineStr">
        <is>
          <t>NA</t>
        </is>
      </c>
      <c r="AA183" s="248" t="inlineStr">
        <is>
          <t>NA</t>
        </is>
      </c>
      <c r="AB183" s="328" t="inlineStr">
        <is>
          <t>NA</t>
        </is>
      </c>
      <c r="AC183" s="244" t="inlineStr">
        <is>
          <t>NA</t>
        </is>
      </c>
      <c r="AD183" s="328" t="inlineStr">
        <is>
          <t>N</t>
        </is>
      </c>
      <c r="AE183" s="284" t="inlineStr">
        <is>
          <t>NA</t>
        </is>
      </c>
      <c r="AF183" s="284" t="inlineStr">
        <is>
          <t>NA</t>
        </is>
      </c>
      <c r="AG183" s="285" t="inlineStr">
        <is>
          <t>NA</t>
        </is>
      </c>
      <c r="AH183" s="89" t="n"/>
      <c r="AI183" s="330" t="n"/>
      <c r="AJ183" s="331" t="n"/>
      <c r="AK183" s="284" t="n"/>
      <c r="AL183" s="285" t="n"/>
      <c r="AM183" s="331" t="n"/>
      <c r="AN183" s="331" t="n"/>
      <c r="AO183" s="284" t="n"/>
      <c r="AP183" s="285" t="n"/>
      <c r="AQ183" s="331" t="n"/>
      <c r="AR183" s="331" t="n"/>
      <c r="AS183" s="284" t="n"/>
      <c r="AT183" s="285" t="n"/>
      <c r="AU183" s="331" t="n"/>
      <c r="AV183" s="331" t="n"/>
      <c r="AW183" s="284" t="n"/>
      <c r="AX183" s="285" t="n"/>
      <c r="AY183" s="331" t="n"/>
      <c r="AZ183" s="331" t="n"/>
      <c r="BA183" s="284" t="n"/>
      <c r="BB183" s="285" t="n"/>
      <c r="BC183" s="330" t="n"/>
      <c r="BD183" s="331" t="n"/>
      <c r="BE183" s="284" t="n"/>
      <c r="BF183" s="285" t="n"/>
      <c r="BG183" s="89" t="n"/>
      <c r="BH1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83">
        <f>_xlfn.LET(r,ROW(),oc,INDEX($A:$A,r),cv,TRIM(INDEX($Y:$Y,r)&amp;""),IF(oc&lt;&gt;"P1","",IF(cv="45","V45 - novo, nao alimentado pelo spool atual","V44 - alimentado pelo spool atual")))</f>
        <v/>
      </c>
    </row>
    <row r="184" ht="54" customFormat="1" customHeight="1" s="90">
      <c r="A184" s="306" t="inlineStr">
        <is>
          <t>F1</t>
        </is>
      </c>
      <c r="B184" s="307" t="n">
        <v>68</v>
      </c>
      <c r="C184" s="269" t="inlineStr">
        <is>
          <t>03 - Caractéristiques Générales</t>
        </is>
      </c>
      <c r="D184" s="236" t="inlineStr">
        <is>
          <t>03 - General characteristics</t>
        </is>
      </c>
      <c r="E184" s="307" t="inlineStr">
        <is>
          <t>F1 6.1</t>
        </is>
      </c>
      <c r="F184" s="308" t="inlineStr">
        <is>
          <t xml:space="preserve">Code séniorité </t>
        </is>
      </c>
      <c r="G184" s="309" t="inlineStr">
        <is>
          <t>Seniority code</t>
        </is>
      </c>
      <c r="H184" s="309" t="n"/>
      <c r="I184" s="1245" t="inlineStr">
        <is>
          <t>Le code séniorité de l'opération correspond au niveau de recours de la Banque sur le créancier vis à vis des opérations associées au même identifiant de regroupement (champ F1 2.2), le cas échéant</t>
        </is>
      </c>
      <c r="J184" s="467" t="inlineStr">
        <is>
          <t>The transaction seniority code refers to the Bank's level of recourse to the creditor compared to transactions sharing the same grouping ID (field F1 2.2), where applicable</t>
        </is>
      </c>
      <c r="K184" s="269" t="inlineStr">
        <is>
          <t>ND</t>
        </is>
      </c>
      <c r="L184" s="310" t="inlineStr">
        <is>
          <t>ND</t>
        </is>
      </c>
      <c r="M184" s="1420" t="inlineStr">
        <is>
          <t>NivSeniorite</t>
        </is>
      </c>
      <c r="N184" s="231" t="inlineStr">
        <is>
          <t>Obligatoire</t>
        </is>
      </c>
      <c r="O184" s="236" t="inlineStr">
        <is>
          <t>Mandatory</t>
        </is>
      </c>
      <c r="P184" s="269" t="inlineStr">
        <is>
          <t>LC.0026</t>
        </is>
      </c>
      <c r="Q184" s="269" t="inlineStr">
        <is>
          <t>TA KVSENIOR</t>
        </is>
      </c>
      <c r="R184" s="311" t="inlineStr">
        <is>
          <t>Valeur par défaut = ‘SEN'</t>
        </is>
      </c>
      <c r="S184" s="312" t="inlineStr">
        <is>
          <t>Default value = ‘SEN'</t>
        </is>
      </c>
      <c r="T184" s="313" t="inlineStr">
        <is>
          <t>ALPHA</t>
        </is>
      </c>
      <c r="U184" s="237" t="inlineStr">
        <is>
          <t>NA</t>
        </is>
      </c>
      <c r="V184" s="238" t="inlineStr">
        <is>
          <t>NA</t>
        </is>
      </c>
      <c r="W184" s="257" t="n">
        <v>3</v>
      </c>
      <c r="X184" s="945" t="inlineStr">
        <is>
          <t>NA</t>
        </is>
      </c>
      <c r="Y184" s="237" t="n">
        <v>40</v>
      </c>
      <c r="Z184" s="237" t="inlineStr">
        <is>
          <t>NA</t>
        </is>
      </c>
      <c r="AA184" s="978" t="inlineStr">
        <is>
          <t>NA</t>
        </is>
      </c>
      <c r="AB184" s="1287" t="inlineStr">
        <is>
          <t>ANACREDIT, DEI</t>
        </is>
      </c>
      <c r="AC184" s="231" t="inlineStr">
        <is>
          <t>ND</t>
        </is>
      </c>
      <c r="AD184" s="315" t="inlineStr">
        <is>
          <t>N</t>
        </is>
      </c>
      <c r="AE184" s="257" t="inlineStr">
        <is>
          <t>NA</t>
        </is>
      </c>
      <c r="AF184" s="257" t="inlineStr">
        <is>
          <t>NA</t>
        </is>
      </c>
      <c r="AG184" s="258" t="inlineStr">
        <is>
          <t>NA</t>
        </is>
      </c>
      <c r="AH184" s="89" t="n"/>
      <c r="AI184" s="316" t="inlineStr">
        <is>
          <t>La donnée est obligatoire</t>
        </is>
      </c>
      <c r="AJ184" s="317" t="inlineStr">
        <is>
          <t>The data is mandatory</t>
        </is>
      </c>
      <c r="AK184" s="257" t="n">
        <v>5</v>
      </c>
      <c r="AL184" s="335" t="inlineStr">
        <is>
          <t>TPG0001</t>
        </is>
      </c>
      <c r="AM184" s="210" t="inlineStr">
        <is>
          <t>Si elle est renseignée, la valeur doit être connue du Langage Commun associé</t>
        </is>
      </c>
      <c r="AN184" s="211" t="inlineStr">
        <is>
          <t>If specified, the value must be known to the associated Common Language</t>
        </is>
      </c>
      <c r="AO184" s="257" t="n">
        <v>7</v>
      </c>
      <c r="AP184" s="212" t="inlineStr">
        <is>
          <t>TIG0001</t>
        </is>
      </c>
      <c r="AQ184" s="318" t="n"/>
      <c r="AR184" s="317" t="n"/>
      <c r="AS184" s="257" t="n"/>
      <c r="AT184" s="258" t="n"/>
      <c r="AU184" s="318" t="n"/>
      <c r="AV184" s="317" t="n"/>
      <c r="AW184" s="257" t="n"/>
      <c r="AX184" s="258" t="n"/>
      <c r="AY184" s="318" t="n"/>
      <c r="AZ184" s="317" t="n"/>
      <c r="BA184" s="257" t="n"/>
      <c r="BB184" s="258" t="n"/>
      <c r="BC184" s="316" t="n"/>
      <c r="BD184" s="317" t="n"/>
      <c r="BE184" s="257" t="n"/>
      <c r="BF184" s="258" t="n"/>
      <c r="BG184" s="89" t="n"/>
      <c r="BH1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84">
        <f>_xlfn.LET(r,ROW(),oc,INDEX($A:$A,r),cv,TRIM(INDEX($Y:$Y,r)&amp;""),IF(oc&lt;&gt;"P1","",IF(cv="45","V45 - novo, nao alimentado pelo spool atual","V44 - alimentado pelo spool atual")))</f>
        <v/>
      </c>
    </row>
    <row r="185" ht="54" customFormat="1" customHeight="1" s="90">
      <c r="A185" s="306" t="inlineStr">
        <is>
          <t>F1</t>
        </is>
      </c>
      <c r="B185" s="307" t="n">
        <v>69</v>
      </c>
      <c r="C185" s="269" t="inlineStr">
        <is>
          <t>31 - Paramètres bâlois</t>
        </is>
      </c>
      <c r="D185" s="236" t="inlineStr">
        <is>
          <t>31 - Basel settings</t>
        </is>
      </c>
      <c r="E185" s="307" t="inlineStr">
        <is>
          <t>F1 6.5</t>
        </is>
      </c>
      <c r="F185" s="308" t="inlineStr">
        <is>
          <t>Portefeuille Bâlois Opération Autorisée</t>
        </is>
      </c>
      <c r="G185" s="309" t="inlineStr">
        <is>
          <t>Basel Portfolio Authorised Transaction</t>
        </is>
      </c>
      <c r="H185" s="309" t="n"/>
      <c r="I185" s="241" t="inlineStr">
        <is>
          <t>Code opération dans le corpus de Bâle</t>
        </is>
      </c>
      <c r="J185" s="233" t="inlineStr">
        <is>
          <t>Transaction code in the Basel corpus</t>
        </is>
      </c>
      <c r="K185" s="269" t="inlineStr">
        <is>
          <t>ND</t>
        </is>
      </c>
      <c r="L185" s="310" t="inlineStr">
        <is>
          <t>ND</t>
        </is>
      </c>
      <c r="M185" s="1420" t="inlineStr">
        <is>
          <t>cdPortBale</t>
        </is>
      </c>
      <c r="N185" s="231" t="inlineStr">
        <is>
          <t>Facultatif</t>
        </is>
      </c>
      <c r="O185" s="236" t="inlineStr">
        <is>
          <t>Optional</t>
        </is>
      </c>
      <c r="P185" s="269" t="inlineStr">
        <is>
          <t>LC.0028</t>
        </is>
      </c>
      <c r="Q185" s="269" t="inlineStr">
        <is>
          <t>TA KVPTFO</t>
        </is>
      </c>
      <c r="R185" s="311" t="inlineStr">
        <is>
          <t>NA</t>
        </is>
      </c>
      <c r="S185" s="312" t="inlineStr">
        <is>
          <t>NA</t>
        </is>
      </c>
      <c r="T185" s="313" t="inlineStr">
        <is>
          <t>ALPHA</t>
        </is>
      </c>
      <c r="U185" s="237" t="inlineStr">
        <is>
          <t>NA</t>
        </is>
      </c>
      <c r="V185" s="238" t="inlineStr">
        <is>
          <t>NA</t>
        </is>
      </c>
      <c r="W185" s="257" t="n">
        <v>3</v>
      </c>
      <c r="X185" s="945" t="inlineStr">
        <is>
          <t>NA</t>
        </is>
      </c>
      <c r="Y185" s="237" t="n">
        <v>40</v>
      </c>
      <c r="Z185" s="237" t="inlineStr">
        <is>
          <t>NA</t>
        </is>
      </c>
      <c r="AA185" s="237" t="inlineStr">
        <is>
          <t>NA</t>
        </is>
      </c>
      <c r="AB185" s="636" t="inlineStr">
        <is>
          <t>ASTRE</t>
        </is>
      </c>
      <c r="AC185" s="231" t="inlineStr">
        <is>
          <t>ND</t>
        </is>
      </c>
      <c r="AD185" s="315" t="inlineStr">
        <is>
          <t>N</t>
        </is>
      </c>
      <c r="AE185" s="257" t="inlineStr">
        <is>
          <t>NA</t>
        </is>
      </c>
      <c r="AF185" s="257" t="inlineStr">
        <is>
          <t>NA</t>
        </is>
      </c>
      <c r="AG185" s="258" t="inlineStr">
        <is>
          <t>NA</t>
        </is>
      </c>
      <c r="AH185" s="89" t="n"/>
      <c r="AI185" s="316" t="n"/>
      <c r="AJ185" s="317" t="n"/>
      <c r="AK185" s="257" t="n"/>
      <c r="AL185" s="258" t="n"/>
      <c r="AM185" s="210" t="inlineStr">
        <is>
          <t>Si elle est renseignée, la valeur doit être connue du Langage Commun associé</t>
        </is>
      </c>
      <c r="AN185" s="211" t="inlineStr">
        <is>
          <t>If specified, the value must be known to the associated Common Language</t>
        </is>
      </c>
      <c r="AO185" s="257" t="n">
        <v>7</v>
      </c>
      <c r="AP185" s="212" t="inlineStr">
        <is>
          <t>TIG0001</t>
        </is>
      </c>
      <c r="AQ185" s="318" t="n"/>
      <c r="AR185" s="317" t="n"/>
      <c r="AS185" s="257" t="n"/>
      <c r="AT185" s="258" t="n"/>
      <c r="AU185" s="318" t="n"/>
      <c r="AV185" s="317" t="n"/>
      <c r="AW185" s="257" t="n"/>
      <c r="AX185" s="258" t="n"/>
      <c r="AY185" s="318" t="n"/>
      <c r="AZ185" s="317" t="n"/>
      <c r="BA185" s="257" t="n"/>
      <c r="BB185" s="258" t="n"/>
      <c r="BC185" s="316" t="n"/>
      <c r="BD185" s="317" t="n"/>
      <c r="BE185" s="257" t="n"/>
      <c r="BF185" s="258" t="n"/>
      <c r="BG185" s="89" t="n"/>
      <c r="BH1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85">
        <f>_xlfn.LET(r,ROW(),oc,INDEX($A:$A,r),cv,TRIM(INDEX($Y:$Y,r)&amp;""),IF(oc&lt;&gt;"P1","",IF(cv="45","V45 - novo, nao alimentado pelo spool atual","V44 - alimentado pelo spool atual")))</f>
        <v/>
      </c>
    </row>
    <row r="186" ht="54" customFormat="1" customHeight="1" s="90">
      <c r="A186" s="306" t="inlineStr">
        <is>
          <t>F1</t>
        </is>
      </c>
      <c r="B186" s="307" t="n">
        <v>70</v>
      </c>
      <c r="C186" s="269" t="inlineStr">
        <is>
          <t>02 - Caractéristiques d'identification fonctionnelles</t>
        </is>
      </c>
      <c r="D186" s="236" t="inlineStr">
        <is>
          <t>02 - Functional identification characteristics</t>
        </is>
      </c>
      <c r="E186" s="307" t="inlineStr">
        <is>
          <t>F1 6.6</t>
        </is>
      </c>
      <c r="F186" s="308" t="inlineStr">
        <is>
          <t>Référence unique du contrat</t>
        </is>
      </c>
      <c r="G186" s="309" t="inlineStr">
        <is>
          <t>Unique contract reference</t>
        </is>
      </c>
      <c r="H186" s="309" t="n"/>
      <c r="I186" s="386" t="inlineStr">
        <is>
          <t>Référence du contrat d'octroi, référence du contrat syndiqué</t>
        </is>
      </c>
      <c r="J186" s="233" t="inlineStr">
        <is>
          <t xml:space="preserve">Reference of the loan contract, reference of the syndicated contract </t>
        </is>
      </c>
      <c r="K186" s="269" t="inlineStr">
        <is>
          <t>ND</t>
        </is>
      </c>
      <c r="L186" s="310" t="inlineStr">
        <is>
          <t>ND</t>
        </is>
      </c>
      <c r="M186" s="1420" t="inlineStr">
        <is>
          <t>cdCt</t>
        </is>
      </c>
      <c r="N186" s="231" t="inlineStr">
        <is>
          <t>Obligatoire sous conditions</t>
        </is>
      </c>
      <c r="O186" s="236" t="inlineStr">
        <is>
          <t>Mandatory under conditions</t>
        </is>
      </c>
      <c r="P186" s="269" t="inlineStr">
        <is>
          <t>NA</t>
        </is>
      </c>
      <c r="Q186" s="269" t="inlineStr">
        <is>
          <t>NA</t>
        </is>
      </c>
      <c r="R186" s="693" t="inlineStr">
        <is>
          <t>NA</t>
        </is>
      </c>
      <c r="S186" s="489" t="inlineStr">
        <is>
          <t>NA</t>
        </is>
      </c>
      <c r="T186" s="313" t="inlineStr">
        <is>
          <t>ALPHA</t>
        </is>
      </c>
      <c r="U186" s="237" t="inlineStr">
        <is>
          <t>NA</t>
        </is>
      </c>
      <c r="V186" s="238" t="inlineStr">
        <is>
          <t>NA</t>
        </is>
      </c>
      <c r="W186" s="257" t="n">
        <v>40</v>
      </c>
      <c r="X186" s="945" t="inlineStr">
        <is>
          <t>NA</t>
        </is>
      </c>
      <c r="Y186" s="237" t="n">
        <v>41</v>
      </c>
      <c r="Z186" s="237" t="inlineStr">
        <is>
          <t>NA</t>
        </is>
      </c>
      <c r="AA186" s="237" t="inlineStr">
        <is>
          <t>NA</t>
        </is>
      </c>
      <c r="AB186" s="636" t="inlineStr">
        <is>
          <t>ANACREDIT, LOAN TAPE, MREL, PALMA</t>
        </is>
      </c>
      <c r="AC186" s="231" t="inlineStr">
        <is>
          <t>ND</t>
        </is>
      </c>
      <c r="AD186" s="315" t="inlineStr">
        <is>
          <t>N</t>
        </is>
      </c>
      <c r="AE186" s="257" t="inlineStr">
        <is>
          <t>NA</t>
        </is>
      </c>
      <c r="AF186" s="257" t="inlineStr">
        <is>
          <t>NA</t>
        </is>
      </c>
      <c r="AG186" s="258" t="inlineStr">
        <is>
          <t>NA</t>
        </is>
      </c>
      <c r="AH186" s="89" t="n"/>
      <c r="AI186" s="316" t="inlineStr">
        <is>
          <t>La donnée est obligatoire si l'indicateur 'Syndication' [F1 4.1] est égal à 'Y'</t>
        </is>
      </c>
      <c r="AJ186" s="317" t="inlineStr">
        <is>
          <t>The data is mandatory if 'Syndication' flag [F1 4.1] equals 'Y'</t>
        </is>
      </c>
      <c r="AK186" s="257" t="n">
        <v>6</v>
      </c>
      <c r="AL186" s="366" t="inlineStr">
        <is>
          <t>TPS0700</t>
        </is>
      </c>
      <c r="AM186" s="318" t="n"/>
      <c r="AN186" s="317" t="n"/>
      <c r="AO186" s="257" t="n"/>
      <c r="AP186" s="258" t="n"/>
      <c r="AQ186" s="318" t="n"/>
      <c r="AR186" s="317" t="n"/>
      <c r="AS186" s="257" t="n"/>
      <c r="AT186" s="258" t="n"/>
      <c r="AU186" s="318" t="n"/>
      <c r="AV186" s="317" t="n"/>
      <c r="AW186" s="257" t="n"/>
      <c r="AX186" s="258" t="n"/>
      <c r="AY186" s="318" t="n"/>
      <c r="AZ186" s="317" t="n"/>
      <c r="BA186" s="257" t="n"/>
      <c r="BB186" s="258" t="n"/>
      <c r="BC186" s="316" t="n"/>
      <c r="BD186" s="317" t="n"/>
      <c r="BE186" s="257" t="n"/>
      <c r="BF186" s="258" t="n"/>
      <c r="BG186" s="89" t="n"/>
      <c r="BH1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86">
        <f>_xlfn.LET(r,ROW(),oc,INDEX($A:$A,r),cv,TRIM(INDEX($Y:$Y,r)&amp;""),IF(oc&lt;&gt;"P1","",IF(cv="45","V45 - novo, nao alimentado pelo spool atual","V44 - alimentado pelo spool atual")))</f>
        <v/>
      </c>
    </row>
    <row r="187" ht="54" customFormat="1" customHeight="1" s="90">
      <c r="A187" s="306" t="inlineStr">
        <is>
          <t>F1</t>
        </is>
      </c>
      <c r="B187" s="307" t="n">
        <v>71</v>
      </c>
      <c r="C187" s="269" t="inlineStr">
        <is>
          <t>03 - Caractéristiques Générales</t>
        </is>
      </c>
      <c r="D187" s="236" t="inlineStr">
        <is>
          <t>03 - General characteristics</t>
        </is>
      </c>
      <c r="E187" s="307" t="inlineStr">
        <is>
          <t>F1 6.7</t>
        </is>
      </c>
      <c r="F187" s="308" t="inlineStr">
        <is>
          <t xml:space="preserve">Système de gestion source </t>
        </is>
      </c>
      <c r="G187" s="309" t="inlineStr">
        <is>
          <t xml:space="preserve">Source management system </t>
        </is>
      </c>
      <c r="H187" s="309" t="n"/>
      <c r="I187" s="241" t="inlineStr">
        <is>
          <t>Code ou nom du système opérationnel de gestion de l'autorisation en entité</t>
        </is>
      </c>
      <c r="J187" s="233" t="inlineStr">
        <is>
          <t>Code or name of the operational management system within entity for the facility</t>
        </is>
      </c>
      <c r="K187" s="269" t="inlineStr">
        <is>
          <t>ND</t>
        </is>
      </c>
      <c r="L187" s="310" t="inlineStr">
        <is>
          <t>ND</t>
        </is>
      </c>
      <c r="M187" s="1420" t="inlineStr">
        <is>
          <t>appliSysGestSource</t>
        </is>
      </c>
      <c r="N187" s="231" t="inlineStr">
        <is>
          <t>Obligatoire</t>
        </is>
      </c>
      <c r="O187" s="236" t="inlineStr">
        <is>
          <t>Mandatory</t>
        </is>
      </c>
      <c r="P187" s="269" t="inlineStr">
        <is>
          <t>NA</t>
        </is>
      </c>
      <c r="Q187" s="269" t="inlineStr">
        <is>
          <t>NA</t>
        </is>
      </c>
      <c r="R187" s="241" t="inlineStr">
        <is>
          <t>Codification libre.
Le système de gestion source de l'autorisation peut-être différent du système de gestion source de l'engagement couvert</t>
        </is>
      </c>
      <c r="S187" s="312" t="inlineStr">
        <is>
          <t>Free codification
The source management system of the authorization may be different from the source management system of the covered commitment</t>
        </is>
      </c>
      <c r="T187" s="313" t="inlineStr">
        <is>
          <t>ALPHA</t>
        </is>
      </c>
      <c r="U187" s="237" t="inlineStr">
        <is>
          <t>NA</t>
        </is>
      </c>
      <c r="V187" s="238" t="inlineStr">
        <is>
          <t>NA</t>
        </is>
      </c>
      <c r="W187" s="257" t="n">
        <v>20</v>
      </c>
      <c r="X187" s="945" t="inlineStr">
        <is>
          <t>NA</t>
        </is>
      </c>
      <c r="Y187" s="237" t="n">
        <v>43</v>
      </c>
      <c r="Z187" s="237" t="inlineStr">
        <is>
          <t>NA</t>
        </is>
      </c>
      <c r="AA187" s="239" t="inlineStr">
        <is>
          <t>NA</t>
        </is>
      </c>
      <c r="AB187" s="636" t="inlineStr">
        <is>
          <t>USAGE ZP</t>
        </is>
      </c>
      <c r="AC187" s="231" t="inlineStr">
        <is>
          <t>ND</t>
        </is>
      </c>
      <c r="AD187" s="315" t="inlineStr">
        <is>
          <t>N</t>
        </is>
      </c>
      <c r="AE187" s="257" t="inlineStr">
        <is>
          <t>NA</t>
        </is>
      </c>
      <c r="AF187" s="257" t="inlineStr">
        <is>
          <t>NA</t>
        </is>
      </c>
      <c r="AG187" s="258" t="inlineStr">
        <is>
          <t>NA</t>
        </is>
      </c>
      <c r="AH187" s="89" t="n"/>
      <c r="AI187" s="316" t="inlineStr">
        <is>
          <t>La donnée est obligatoire</t>
        </is>
      </c>
      <c r="AJ187" s="317" t="inlineStr">
        <is>
          <t>The data is mandatory</t>
        </is>
      </c>
      <c r="AK187" s="257" t="n">
        <v>7</v>
      </c>
      <c r="AL187" s="335" t="inlineStr">
        <is>
          <t>TPG0001</t>
        </is>
      </c>
      <c r="AM187" s="318" t="n"/>
      <c r="AN187" s="317" t="n"/>
      <c r="AO187" s="257" t="n"/>
      <c r="AP187" s="258" t="n"/>
      <c r="AQ187" s="318" t="n"/>
      <c r="AR187" s="317" t="n"/>
      <c r="AS187" s="257" t="n"/>
      <c r="AT187" s="258" t="n"/>
      <c r="AU187" s="318" t="n"/>
      <c r="AV187" s="317" t="n"/>
      <c r="AW187" s="257" t="n"/>
      <c r="AX187" s="258" t="n"/>
      <c r="AY187" s="318" t="n"/>
      <c r="AZ187" s="317" t="n"/>
      <c r="BA187" s="257" t="n"/>
      <c r="BB187" s="258" t="n"/>
      <c r="BC187" s="316" t="n"/>
      <c r="BD187" s="317" t="n"/>
      <c r="BE187" s="257" t="n"/>
      <c r="BF187" s="258" t="n"/>
      <c r="BG187" s="89" t="n"/>
      <c r="BH1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87">
        <f>_xlfn.LET(r,ROW(),oc,INDEX($A:$A,r),cv,TRIM(INDEX($Y:$Y,r)&amp;""),IF(oc&lt;&gt;"P1","",IF(cv="45","V45 - novo, nao alimentado pelo spool atual","V44 - alimentado pelo spool atual")))</f>
        <v/>
      </c>
    </row>
    <row r="188" ht="54" customFormat="1" customHeight="1" s="90">
      <c r="A188" s="306" t="inlineStr">
        <is>
          <t>F1</t>
        </is>
      </c>
      <c r="B188" s="307" t="n">
        <v>72</v>
      </c>
      <c r="C188" s="269" t="inlineStr">
        <is>
          <t>03 - Caractéristiques Générales</t>
        </is>
      </c>
      <c r="D188" s="236" t="inlineStr">
        <is>
          <t>03 - General characteristics</t>
        </is>
      </c>
      <c r="E188" s="307" t="inlineStr">
        <is>
          <t>F1 6.8</t>
        </is>
      </c>
      <c r="F188" s="308" t="inlineStr">
        <is>
          <t>Code entité de la succursale à l'origine de l'opération</t>
        </is>
      </c>
      <c r="G188" s="309" t="inlineStr">
        <is>
          <t>Entity code of the branch that originated the transaction</t>
        </is>
      </c>
      <c r="H188" s="309" t="n"/>
      <c r="I188" s="308" t="inlineStr">
        <is>
          <t>Code consolidation de la succursale qui a fait l'opération
contrat dans le cas où les engagements sont portés par la maison mère</t>
        </is>
      </c>
      <c r="J188" s="309" t="inlineStr">
        <is>
          <t>Consolidation code of the branch which carried out the operation 
 contract in the event that the commitments are made by the parent company</t>
        </is>
      </c>
      <c r="K188" s="370" t="inlineStr">
        <is>
          <t>ND</t>
        </is>
      </c>
      <c r="L188" s="371" t="inlineStr">
        <is>
          <t>ND</t>
        </is>
      </c>
      <c r="M188" s="1420" t="inlineStr">
        <is>
          <t>CdEntSuccOri</t>
        </is>
      </c>
      <c r="N188" s="231" t="inlineStr">
        <is>
          <t>Facultatif</t>
        </is>
      </c>
      <c r="O188" s="236" t="inlineStr">
        <is>
          <t>Optional</t>
        </is>
      </c>
      <c r="P188" s="269" t="inlineStr">
        <is>
          <t>LC.0475</t>
        </is>
      </c>
      <c r="Q188" s="269" t="inlineStr">
        <is>
          <t>TA H8ENTITY</t>
        </is>
      </c>
      <c r="R188" s="311" t="inlineStr">
        <is>
          <t>Demandé pour les entités qui ont des succursales (ex : CACEIS)</t>
        </is>
      </c>
      <c r="S188" s="312" t="inlineStr">
        <is>
          <t>Required for entities that have branches (eg: CACEIS)</t>
        </is>
      </c>
      <c r="T188" s="313" t="inlineStr">
        <is>
          <t xml:space="preserve"> ALPHA</t>
        </is>
      </c>
      <c r="U188" s="237" t="inlineStr">
        <is>
          <t>NA</t>
        </is>
      </c>
      <c r="V188" s="238" t="inlineStr">
        <is>
          <t>NA</t>
        </is>
      </c>
      <c r="W188" s="257" t="n">
        <v>5</v>
      </c>
      <c r="X188" s="945" t="inlineStr">
        <is>
          <t>NA</t>
        </is>
      </c>
      <c r="Y188" s="237" t="n">
        <v>43</v>
      </c>
      <c r="Z188" s="237" t="inlineStr">
        <is>
          <t>NA</t>
        </is>
      </c>
      <c r="AA188" s="270" t="inlineStr">
        <is>
          <t>NA</t>
        </is>
      </c>
      <c r="AB188" s="636" t="inlineStr">
        <is>
          <t>USAGE ZP</t>
        </is>
      </c>
      <c r="AC188" s="231" t="inlineStr">
        <is>
          <t>ND</t>
        </is>
      </c>
      <c r="AD188" s="315" t="inlineStr">
        <is>
          <t>N</t>
        </is>
      </c>
      <c r="AE188" s="257" t="inlineStr">
        <is>
          <t>NA</t>
        </is>
      </c>
      <c r="AF188" s="257" t="inlineStr">
        <is>
          <t>NA</t>
        </is>
      </c>
      <c r="AG188" s="258" t="inlineStr">
        <is>
          <t>NA</t>
        </is>
      </c>
      <c r="AH188" s="89" t="n"/>
      <c r="AI188" s="316" t="n"/>
      <c r="AJ188" s="317" t="n"/>
      <c r="AK188" s="257" t="n"/>
      <c r="AL188" s="258" t="n"/>
      <c r="AM188" s="210" t="inlineStr">
        <is>
          <t>Si elle est renseignée, la valeur doit être connue du Langage Commun associé</t>
        </is>
      </c>
      <c r="AN188" s="211" t="inlineStr">
        <is>
          <t>If specified, the value must be known to the associated Common Language</t>
        </is>
      </c>
      <c r="AO188" s="257" t="n">
        <v>7</v>
      </c>
      <c r="AP188" s="212" t="inlineStr">
        <is>
          <t>TIG0001</t>
        </is>
      </c>
      <c r="AQ188" s="318" t="n"/>
      <c r="AR188" s="317" t="n"/>
      <c r="AS188" s="257" t="n"/>
      <c r="AT188" s="258" t="n"/>
      <c r="AU188" s="318" t="n"/>
      <c r="AV188" s="317" t="n"/>
      <c r="AW188" s="257" t="n"/>
      <c r="AX188" s="258" t="n"/>
      <c r="AY188" s="318" t="n"/>
      <c r="AZ188" s="317" t="n"/>
      <c r="BA188" s="257" t="n"/>
      <c r="BB188" s="258" t="n"/>
      <c r="BC188" s="316" t="n"/>
      <c r="BD188" s="317" t="n"/>
      <c r="BE188" s="257" t="n"/>
      <c r="BF188" s="258" t="n"/>
      <c r="BG188" s="89" t="n"/>
      <c r="BH1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88">
        <f>_xlfn.LET(r,ROW(),oc,INDEX($A:$A,r),cv,TRIM(INDEX($Y:$Y,r)&amp;""),IF(oc&lt;&gt;"P1","",IF(cv="45","V45 - novo, nao alimentado pelo spool atual","V44 - alimentado pelo spool atual")))</f>
        <v/>
      </c>
    </row>
    <row r="189" ht="54" customFormat="1" customHeight="1" s="60" thickBot="1">
      <c r="A189" s="1196" t="inlineStr">
        <is>
          <t>F1</t>
        </is>
      </c>
      <c r="B189" s="1197" t="n">
        <v>73</v>
      </c>
      <c r="C189" s="1185" t="inlineStr">
        <is>
          <t>NA</t>
        </is>
      </c>
      <c r="D189" s="1185" t="inlineStr">
        <is>
          <t>NA</t>
        </is>
      </c>
      <c r="E189" s="1197" t="inlineStr">
        <is>
          <t>F1 99.99</t>
        </is>
      </c>
      <c r="F189" s="1198" t="inlineStr">
        <is>
          <t>Filler</t>
        </is>
      </c>
      <c r="G189" s="1198" t="inlineStr">
        <is>
          <t>Filler</t>
        </is>
      </c>
      <c r="H189" s="1198" t="n"/>
      <c r="I189" s="1186" t="inlineStr">
        <is>
          <t>Zone libre</t>
        </is>
      </c>
      <c r="J189" s="1198" t="inlineStr">
        <is>
          <t>Free zone</t>
        </is>
      </c>
      <c r="K189" s="1199" t="inlineStr">
        <is>
          <t>NA</t>
        </is>
      </c>
      <c r="L189" s="1199" t="inlineStr">
        <is>
          <t>NA</t>
        </is>
      </c>
      <c r="M189" s="1422" t="inlineStr">
        <is>
          <t>ZoneLibre99</t>
        </is>
      </c>
      <c r="N189" s="1200" t="inlineStr">
        <is>
          <t>NA</t>
        </is>
      </c>
      <c r="O189" s="1199" t="inlineStr">
        <is>
          <t>NA</t>
        </is>
      </c>
      <c r="P189" s="1201" t="inlineStr">
        <is>
          <t>NA</t>
        </is>
      </c>
      <c r="Q189" s="1201" t="inlineStr">
        <is>
          <t>NA</t>
        </is>
      </c>
      <c r="R189" s="1186" t="inlineStr">
        <is>
          <t>Laisser à vide</t>
        </is>
      </c>
      <c r="S189" s="1186" t="inlineStr">
        <is>
          <t>Leave empty</t>
        </is>
      </c>
      <c r="T189" s="1202" t="inlineStr">
        <is>
          <t>ALPHA</t>
        </is>
      </c>
      <c r="U189" s="1188" t="inlineStr">
        <is>
          <t>NA</t>
        </is>
      </c>
      <c r="V189" s="1188" t="inlineStr">
        <is>
          <t>NA</t>
        </is>
      </c>
      <c r="W189" s="1216">
        <f>8000-(SUM(W117:W188)+COUNT(W117:W188))</f>
        <v/>
      </c>
      <c r="X189" s="1201" t="inlineStr">
        <is>
          <t>NA</t>
        </is>
      </c>
      <c r="Y189" s="1188" t="n">
        <v>43</v>
      </c>
      <c r="Z189" s="1188" t="inlineStr">
        <is>
          <t>NA</t>
        </is>
      </c>
      <c r="AA189" s="1190" t="inlineStr">
        <is>
          <t>45.00</t>
        </is>
      </c>
      <c r="AB189" s="1200" t="inlineStr">
        <is>
          <t>NA</t>
        </is>
      </c>
      <c r="AC189" s="1185" t="inlineStr">
        <is>
          <t>NA</t>
        </is>
      </c>
      <c r="AD189" s="1200" t="inlineStr">
        <is>
          <t>N</t>
        </is>
      </c>
      <c r="AE189" s="1201" t="inlineStr">
        <is>
          <t>NA</t>
        </is>
      </c>
      <c r="AF189" s="1201" t="inlineStr">
        <is>
          <t>NA</t>
        </is>
      </c>
      <c r="AG189" s="1203" t="inlineStr">
        <is>
          <t>NA</t>
        </is>
      </c>
      <c r="AH189" s="1360" t="n"/>
      <c r="AI189" s="1204" t="n"/>
      <c r="AJ189" s="1205" t="n"/>
      <c r="AK189" s="1201" t="n"/>
      <c r="AL189" s="1203" t="n"/>
      <c r="AM189" s="1205" t="n"/>
      <c r="AN189" s="1205" t="n"/>
      <c r="AO189" s="1201" t="n"/>
      <c r="AP189" s="1203" t="n"/>
      <c r="AQ189" s="1205" t="n"/>
      <c r="AR189" s="1205" t="n"/>
      <c r="AS189" s="1201" t="n"/>
      <c r="AT189" s="1203" t="n"/>
      <c r="AU189" s="1205" t="n"/>
      <c r="AV189" s="1205" t="n"/>
      <c r="AW189" s="1201" t="n"/>
      <c r="AX189" s="1203" t="n"/>
      <c r="AY189" s="1205" t="n"/>
      <c r="AZ189" s="1205" t="n"/>
      <c r="BA189" s="1201" t="n"/>
      <c r="BB189" s="1203" t="n"/>
      <c r="BC189" s="1204" t="n"/>
      <c r="BD189" s="1205" t="n"/>
      <c r="BE189" s="1201" t="n"/>
      <c r="BF189" s="1203" t="n"/>
      <c r="BG189" s="1360" t="n"/>
      <c r="BH1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89">
        <f>_xlfn.LET(r,ROW(),oc,INDEX($A:$A,r),cv,TRIM(INDEX($Y:$Y,r)&amp;""),IF(oc&lt;&gt;"P1","",IF(cv="45","V45 - novo, nao alimentado pelo spool atual","V44 - alimentado pelo spool atual")))</f>
        <v/>
      </c>
    </row>
    <row r="190" ht="54" customFormat="1" customHeight="1" s="90">
      <c r="A190" s="286" t="inlineStr">
        <is>
          <t>F2</t>
        </is>
      </c>
      <c r="B190" s="287" t="n">
        <v>1</v>
      </c>
      <c r="C190" s="292" t="inlineStr">
        <is>
          <t>02 - Caractéristiques d'identification fonctionnelles</t>
        </is>
      </c>
      <c r="D190" s="293" t="inlineStr">
        <is>
          <t>02 - Functional identification characteristics</t>
        </is>
      </c>
      <c r="E190" s="287" t="inlineStr">
        <is>
          <t>0.1 (F2)</t>
        </is>
      </c>
      <c r="F190" s="288" t="inlineStr">
        <is>
          <t xml:space="preserve">Date d'arrêté </t>
        </is>
      </c>
      <c r="G190" s="289" t="inlineStr">
        <is>
          <t>Closing date</t>
        </is>
      </c>
      <c r="H190" s="289" t="n"/>
      <c r="I190" s="290" t="inlineStr">
        <is>
          <t>Correspond à la date d'arrêté des données transmises (dernier jour calendaire du mois)</t>
        </is>
      </c>
      <c r="J190" s="291" t="inlineStr">
        <is>
          <t>Represents the cut-off date of the data transmitted (final calendar day of the month)</t>
        </is>
      </c>
      <c r="K190" s="292" t="inlineStr">
        <is>
          <t>ND</t>
        </is>
      </c>
      <c r="L190" s="293" t="inlineStr">
        <is>
          <t>ND</t>
        </is>
      </c>
      <c r="M190" s="1419" t="inlineStr">
        <is>
          <t>SttmDt</t>
        </is>
      </c>
      <c r="N190" s="294" t="inlineStr">
        <is>
          <t>Obligatoire</t>
        </is>
      </c>
      <c r="O190" s="295" t="inlineStr">
        <is>
          <t>Mandatory</t>
        </is>
      </c>
      <c r="P190" s="292" t="inlineStr">
        <is>
          <t>NA</t>
        </is>
      </c>
      <c r="Q190" s="292" t="inlineStr">
        <is>
          <t>NA</t>
        </is>
      </c>
      <c r="R190" s="290" t="inlineStr">
        <is>
          <t>Il doit y avoir unicité de la date d'arrêté au sein du flux</t>
        </is>
      </c>
      <c r="S190" s="291" t="inlineStr">
        <is>
          <t>The cut-off date must be the same across the flow</t>
        </is>
      </c>
      <c r="T190" s="195" t="inlineStr">
        <is>
          <t>DATE</t>
        </is>
      </c>
      <c r="U190" s="296" t="inlineStr">
        <is>
          <t>AAAAMMJJ</t>
        </is>
      </c>
      <c r="V190" s="297" t="inlineStr">
        <is>
          <t>YYYYMMDD</t>
        </is>
      </c>
      <c r="W190" s="298" t="n">
        <v>8</v>
      </c>
      <c r="X190" s="1041" t="inlineStr">
        <is>
          <t>NA</t>
        </is>
      </c>
      <c r="Y190" s="296" t="inlineStr">
        <is>
          <t>40</t>
        </is>
      </c>
      <c r="Z190" s="296" t="inlineStr">
        <is>
          <t>NA</t>
        </is>
      </c>
      <c r="AA190" s="270" t="inlineStr">
        <is>
          <t>NA</t>
        </is>
      </c>
      <c r="AB190" s="1288" t="inlineStr">
        <is>
          <t>CALCULS PRUDENTIELS, RISQUES SYSTEMIQUES</t>
        </is>
      </c>
      <c r="AC190" s="294" t="inlineStr">
        <is>
          <t>ND</t>
        </is>
      </c>
      <c r="AD190" s="298" t="inlineStr">
        <is>
          <t>N</t>
        </is>
      </c>
      <c r="AE190" s="298" t="inlineStr">
        <is>
          <t>NA</t>
        </is>
      </c>
      <c r="AF190" s="298" t="inlineStr">
        <is>
          <t>NA</t>
        </is>
      </c>
      <c r="AG190" s="300" t="inlineStr">
        <is>
          <t>NA</t>
        </is>
      </c>
      <c r="AH190" s="89" t="n"/>
      <c r="AI190" s="301" t="inlineStr">
        <is>
          <t>La donnée est obligatoire</t>
        </is>
      </c>
      <c r="AJ190" s="302" t="inlineStr">
        <is>
          <t>The data is mandatory</t>
        </is>
      </c>
      <c r="AK190" s="303" t="n"/>
      <c r="AL190" s="304" t="inlineStr">
        <is>
          <t>EN0011</t>
        </is>
      </c>
      <c r="AM190" s="305" t="n"/>
      <c r="AN190" s="302" t="n"/>
      <c r="AO190" s="303" t="n"/>
      <c r="AP190" s="304" t="n"/>
      <c r="AQ190"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90"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90" s="303" t="n"/>
      <c r="AT190" s="304" t="inlineStr">
        <is>
          <t>EN0017
EN0019</t>
        </is>
      </c>
      <c r="AU190"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90" s="302"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90" s="303" t="n"/>
      <c r="AX190" s="304" t="inlineStr">
        <is>
          <t>EN001B</t>
        </is>
      </c>
      <c r="AY190" s="305" t="n"/>
      <c r="AZ190" s="302" t="n"/>
      <c r="BA190" s="303" t="n"/>
      <c r="BB190" s="304" t="n"/>
      <c r="BC190" s="301" t="n"/>
      <c r="BD190" s="302" t="n"/>
      <c r="BE190" s="303" t="n"/>
      <c r="BF190" s="304" t="n"/>
      <c r="BG190" s="89" t="n"/>
      <c r="BH1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90">
        <f>_xlfn.LET(r,ROW(),oc,INDEX($A:$A,r),cv,TRIM(INDEX($Y:$Y,r)&amp;""),IF(oc&lt;&gt;"P1","",IF(cv="45","V45 - novo, nao alimentado pelo spool atual","V44 - alimentado pelo spool atual")))</f>
        <v/>
      </c>
    </row>
    <row r="191" ht="54" customFormat="1" customHeight="1" s="90">
      <c r="A191" s="306" t="inlineStr">
        <is>
          <t>F2</t>
        </is>
      </c>
      <c r="B191" s="307" t="n">
        <v>2</v>
      </c>
      <c r="C191" s="269" t="inlineStr">
        <is>
          <t>02 - Caractéristiques d'identification fonctionnelles</t>
        </is>
      </c>
      <c r="D191" s="310" t="inlineStr">
        <is>
          <t>02 - Functional identification characteristics</t>
        </is>
      </c>
      <c r="E191" s="307" t="inlineStr">
        <is>
          <t>0.2 (F2)</t>
        </is>
      </c>
      <c r="F191" s="308" t="inlineStr">
        <is>
          <t>Entité Porteuse de Risques</t>
        </is>
      </c>
      <c r="G191" s="309" t="inlineStr">
        <is>
          <t>Risk taker entity</t>
        </is>
      </c>
      <c r="H191" s="309" t="n"/>
      <c r="I191" s="241" t="inlineStr">
        <is>
          <t xml:space="preserve">Correspond au code consolidation comptable de l'Entité porteuse de risque dans les comptes de Crédit Agricole S.A. </t>
        </is>
      </c>
      <c r="J191" s="233" t="inlineStr">
        <is>
          <t xml:space="preserve">Represents the accounting consolidation code of the Entity in the financial statements of Crédit Agricole S.A. </t>
        </is>
      </c>
      <c r="K191" s="269" t="inlineStr">
        <is>
          <t>ND</t>
        </is>
      </c>
      <c r="L191" s="310" t="inlineStr">
        <is>
          <t>ND</t>
        </is>
      </c>
      <c r="M191" s="1420" t="inlineStr">
        <is>
          <t>EntPortRisq</t>
        </is>
      </c>
      <c r="N191" s="231" t="inlineStr">
        <is>
          <t>Obligatoire</t>
        </is>
      </c>
      <c r="O191" s="236" t="inlineStr">
        <is>
          <t>Mandatory</t>
        </is>
      </c>
      <c r="P191" s="269" t="inlineStr">
        <is>
          <t>LC.0003</t>
        </is>
      </c>
      <c r="Q191" s="269" t="inlineStr">
        <is>
          <t>TA FI59</t>
        </is>
      </c>
      <c r="R191" s="241" t="inlineStr">
        <is>
          <t>NA</t>
        </is>
      </c>
      <c r="S191" s="233" t="inlineStr">
        <is>
          <t>NA</t>
        </is>
      </c>
      <c r="T191" s="313" t="inlineStr">
        <is>
          <t>ALPHA</t>
        </is>
      </c>
      <c r="U191" s="237" t="inlineStr">
        <is>
          <t>NA</t>
        </is>
      </c>
      <c r="V191" s="238" t="inlineStr">
        <is>
          <t>NA</t>
        </is>
      </c>
      <c r="W191" s="257" t="n">
        <v>5</v>
      </c>
      <c r="X191" s="945" t="inlineStr">
        <is>
          <t>NA</t>
        </is>
      </c>
      <c r="Y191" s="237" t="inlineStr">
        <is>
          <t>40</t>
        </is>
      </c>
      <c r="Z191" s="237" t="inlineStr">
        <is>
          <t>NA</t>
        </is>
      </c>
      <c r="AA191" s="270" t="inlineStr">
        <is>
          <t>NA</t>
        </is>
      </c>
      <c r="AB191" s="1288" t="inlineStr">
        <is>
          <t>CALCULS PRUDENTIELS, RISQUES SYSTEMIQUES</t>
        </is>
      </c>
      <c r="AC191" s="231" t="inlineStr">
        <is>
          <t>ND</t>
        </is>
      </c>
      <c r="AD191" s="257" t="inlineStr">
        <is>
          <t>N</t>
        </is>
      </c>
      <c r="AE191" s="257" t="inlineStr">
        <is>
          <t>NA</t>
        </is>
      </c>
      <c r="AF191" s="257" t="inlineStr">
        <is>
          <t>NA</t>
        </is>
      </c>
      <c r="AG191" s="258" t="inlineStr">
        <is>
          <t>NA</t>
        </is>
      </c>
      <c r="AH191" s="89" t="n"/>
      <c r="AI191" s="316" t="inlineStr">
        <is>
          <t>La donnée est obligatoire</t>
        </is>
      </c>
      <c r="AJ191" s="317" t="inlineStr">
        <is>
          <t>The data is mandatory</t>
        </is>
      </c>
      <c r="AK191" s="257" t="n"/>
      <c r="AL191" s="258" t="inlineStr">
        <is>
          <t>EN0021</t>
        </is>
      </c>
      <c r="AM191"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191"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191" s="313" t="n"/>
      <c r="AP191" s="319" t="inlineStr">
        <is>
          <t>EN0023</t>
        </is>
      </c>
      <c r="AQ191" s="318" t="n"/>
      <c r="AR191" s="317" t="n"/>
      <c r="AS191" s="257" t="n"/>
      <c r="AT191" s="258" t="n"/>
      <c r="AU191" s="318" t="n"/>
      <c r="AV191" s="317" t="n"/>
      <c r="AW191" s="257" t="n"/>
      <c r="AX191" s="258" t="n"/>
      <c r="AY191" s="159" t="inlineStr">
        <is>
          <t>Unicité au sein de l'entité porteuse de risque</t>
        </is>
      </c>
      <c r="AZ191" s="160" t="inlineStr">
        <is>
          <t>Uniqueness within the entity bearing the risk</t>
        </is>
      </c>
      <c r="BA191" s="257" t="n">
        <v>7</v>
      </c>
      <c r="BB191" s="320" t="inlineStr">
        <is>
          <t>TU0001</t>
        </is>
      </c>
      <c r="BC191" s="316" t="n"/>
      <c r="BD191" s="317" t="n"/>
      <c r="BE191" s="257" t="n"/>
      <c r="BF191" s="258" t="n"/>
      <c r="BG191" s="89" t="n"/>
      <c r="BH1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91">
        <f>_xlfn.LET(r,ROW(),oc,INDEX($A:$A,r),cv,TRIM(INDEX($Y:$Y,r)&amp;""),IF(oc&lt;&gt;"P1","",IF(cv="45","V45 - novo, nao alimentado pelo spool atual","V44 - alimentado pelo spool atual")))</f>
        <v/>
      </c>
    </row>
    <row r="192" ht="54" customFormat="1" customHeight="1" s="90">
      <c r="A192" s="306" t="inlineStr">
        <is>
          <t>F2</t>
        </is>
      </c>
      <c r="B192" s="307" t="n">
        <v>3</v>
      </c>
      <c r="C192" s="269" t="inlineStr">
        <is>
          <t>02 - Caractéristiques d'identification fonctionnelles</t>
        </is>
      </c>
      <c r="D192" s="310" t="inlineStr">
        <is>
          <t>02 - Functional identification characteristics</t>
        </is>
      </c>
      <c r="E192" s="307" t="inlineStr">
        <is>
          <t>0.3 (F2)</t>
        </is>
      </c>
      <c r="F192" s="308" t="inlineStr">
        <is>
          <t>Application source</t>
        </is>
      </c>
      <c r="G192" s="309" t="inlineStr">
        <is>
          <t>Source application</t>
        </is>
      </c>
      <c r="H192" s="309" t="n"/>
      <c r="I192" s="241" t="inlineStr">
        <is>
          <t>Correspond au code du Système d'Information utilisé en local pour générer le flux
Dans le flux Grande Clientèle, il faut préfixer par la lettre ‘C' le code application source</t>
        </is>
      </c>
      <c r="J192" s="233" t="inlineStr">
        <is>
          <t xml:space="preserve">Represents the code of the Information System used locally to generate the flow
In Corporate flow, the source application code must be prefix with the letter 'C' </t>
        </is>
      </c>
      <c r="K192" s="269" t="inlineStr">
        <is>
          <t>ND</t>
        </is>
      </c>
      <c r="L192" s="310" t="inlineStr">
        <is>
          <t>ND</t>
        </is>
      </c>
      <c r="M192" s="1420" t="inlineStr">
        <is>
          <t>AppliSource</t>
        </is>
      </c>
      <c r="N192" s="231" t="inlineStr">
        <is>
          <t>Obligatoire</t>
        </is>
      </c>
      <c r="O192" s="236" t="inlineStr">
        <is>
          <t>Mandatory</t>
        </is>
      </c>
      <c r="P192" s="994" t="inlineStr">
        <is>
          <t>NA</t>
        </is>
      </c>
      <c r="Q192" s="206" t="inlineStr">
        <is>
          <t>TA KVAPPBK</t>
        </is>
      </c>
      <c r="R192"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192"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192" s="313" t="inlineStr">
        <is>
          <t>ALPHA</t>
        </is>
      </c>
      <c r="U192" s="237" t="inlineStr">
        <is>
          <t>NA</t>
        </is>
      </c>
      <c r="V192" s="238" t="inlineStr">
        <is>
          <t>NA</t>
        </is>
      </c>
      <c r="W192" s="257" t="n">
        <v>12</v>
      </c>
      <c r="X192" s="945" t="inlineStr">
        <is>
          <t>NA</t>
        </is>
      </c>
      <c r="Y192" s="237" t="inlineStr">
        <is>
          <t>40</t>
        </is>
      </c>
      <c r="Z192" s="237" t="inlineStr">
        <is>
          <t>NA</t>
        </is>
      </c>
      <c r="AA192" s="237" t="inlineStr">
        <is>
          <t>NA</t>
        </is>
      </c>
      <c r="AB192" s="269" t="inlineStr">
        <is>
          <t>USAGE ZP</t>
        </is>
      </c>
      <c r="AC192" s="231" t="inlineStr">
        <is>
          <t>ND</t>
        </is>
      </c>
      <c r="AD192" s="257" t="inlineStr">
        <is>
          <t>N</t>
        </is>
      </c>
      <c r="AE192" s="257" t="inlineStr">
        <is>
          <t>NA</t>
        </is>
      </c>
      <c r="AF192" s="257" t="inlineStr">
        <is>
          <t>NA</t>
        </is>
      </c>
      <c r="AG192" s="258" t="inlineStr">
        <is>
          <t>NA</t>
        </is>
      </c>
      <c r="AH192" s="89" t="n"/>
      <c r="AI192" s="316" t="inlineStr">
        <is>
          <t>La donnée est obligatoire</t>
        </is>
      </c>
      <c r="AJ192" s="321" t="inlineStr">
        <is>
          <t>The data is mandatory</t>
        </is>
      </c>
      <c r="AK192" s="313" t="n"/>
      <c r="AL192" s="319" t="inlineStr">
        <is>
          <t>EN0031</t>
        </is>
      </c>
      <c r="AM192" s="210" t="inlineStr">
        <is>
          <t>Si elle est renseignée, la valeur doit être connue du Langage Commun associé</t>
        </is>
      </c>
      <c r="AN192" s="211" t="inlineStr">
        <is>
          <t>If specified, the value must be known to the associated Common Language</t>
        </is>
      </c>
      <c r="AO192" s="313" t="n"/>
      <c r="AP192" s="258" t="inlineStr">
        <is>
          <t>EN0035</t>
        </is>
      </c>
      <c r="AQ192" s="318" t="n"/>
      <c r="AR192" s="317" t="n"/>
      <c r="AS192" s="257" t="n"/>
      <c r="AT192" s="258" t="n"/>
      <c r="AU192" s="318" t="n"/>
      <c r="AV192" s="317" t="n"/>
      <c r="AW192" s="257" t="n"/>
      <c r="AX192" s="258" t="n"/>
      <c r="AY192" s="318" t="n"/>
      <c r="AZ192" s="317" t="n"/>
      <c r="BA192" s="257" t="n"/>
      <c r="BB192" s="258" t="n"/>
      <c r="BC192" s="316" t="n"/>
      <c r="BD192" s="317" t="n"/>
      <c r="BE192" s="257" t="n"/>
      <c r="BF192" s="258" t="n"/>
      <c r="BG192" s="89" t="n"/>
      <c r="BH1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92">
        <f>_xlfn.LET(r,ROW(),oc,INDEX($A:$A,r),cv,TRIM(INDEX($Y:$Y,r)&amp;""),IF(oc&lt;&gt;"P1","",IF(cv="45","V45 - novo, nao alimentado pelo spool atual","V44 - alimentado pelo spool atual")))</f>
        <v/>
      </c>
    </row>
    <row r="193" ht="54" customFormat="1" customHeight="1" s="90">
      <c r="A193" s="306" t="inlineStr">
        <is>
          <t>F2</t>
        </is>
      </c>
      <c r="B193" s="307" t="n">
        <v>4</v>
      </c>
      <c r="C193" s="269" t="inlineStr">
        <is>
          <t>01 - Caractéristiques d'identification techniques</t>
        </is>
      </c>
      <c r="D193" s="310" t="inlineStr">
        <is>
          <t>01 - Technical identification characteristics</t>
        </is>
      </c>
      <c r="E193" s="307" t="inlineStr">
        <is>
          <t>0.4 (F2)</t>
        </is>
      </c>
      <c r="F193" s="308" t="inlineStr">
        <is>
          <t>Fréquence de transmission</t>
        </is>
      </c>
      <c r="G193" s="309" t="inlineStr">
        <is>
          <t>Transmission frequency</t>
        </is>
      </c>
      <c r="H193" s="309" t="n"/>
      <c r="I193" s="234" t="inlineStr">
        <is>
          <t>Permet d'identifier le flux dans les traitements</t>
        </is>
      </c>
      <c r="J193" s="235" t="inlineStr">
        <is>
          <t>Makes it possible to identify the flow in the treatments</t>
        </is>
      </c>
      <c r="K193" s="269" t="inlineStr">
        <is>
          <t>ND</t>
        </is>
      </c>
      <c r="L193" s="310" t="inlineStr">
        <is>
          <t>ND</t>
        </is>
      </c>
      <c r="M193" s="1420" t="inlineStr">
        <is>
          <t>FreqTrans</t>
        </is>
      </c>
      <c r="N193" s="231" t="inlineStr">
        <is>
          <t>Obligatoire</t>
        </is>
      </c>
      <c r="O193" s="236" t="inlineStr">
        <is>
          <t>Mandatory</t>
        </is>
      </c>
      <c r="P193" s="269" t="inlineStr">
        <is>
          <t>NA</t>
        </is>
      </c>
      <c r="Q193" s="269" t="inlineStr">
        <is>
          <t>NA</t>
        </is>
      </c>
      <c r="R193" s="234" t="inlineStr">
        <is>
          <t>La seule valeur admise est 'M' pour mensuel</t>
        </is>
      </c>
      <c r="S193" s="235" t="inlineStr">
        <is>
          <t>The only permitted value is 'M' for month</t>
        </is>
      </c>
      <c r="T193" s="313" t="inlineStr">
        <is>
          <t>ALPHA</t>
        </is>
      </c>
      <c r="U193" s="237" t="inlineStr">
        <is>
          <t>NA</t>
        </is>
      </c>
      <c r="V193" s="238" t="inlineStr">
        <is>
          <t>NA</t>
        </is>
      </c>
      <c r="W193" s="257" t="n">
        <v>1</v>
      </c>
      <c r="X193" s="945" t="inlineStr">
        <is>
          <t>NA</t>
        </is>
      </c>
      <c r="Y193" s="237" t="inlineStr">
        <is>
          <t>40</t>
        </is>
      </c>
      <c r="Z193" s="237" t="inlineStr">
        <is>
          <t>NA</t>
        </is>
      </c>
      <c r="AA193" s="237" t="inlineStr">
        <is>
          <t>NA</t>
        </is>
      </c>
      <c r="AB193" s="269" t="inlineStr">
        <is>
          <t>USAGE ZP</t>
        </is>
      </c>
      <c r="AC193" s="231" t="inlineStr">
        <is>
          <t>ND</t>
        </is>
      </c>
      <c r="AD193" s="257" t="inlineStr">
        <is>
          <t>N</t>
        </is>
      </c>
      <c r="AE193" s="257" t="inlineStr">
        <is>
          <t>NA</t>
        </is>
      </c>
      <c r="AF193" s="257" t="inlineStr">
        <is>
          <t>NA</t>
        </is>
      </c>
      <c r="AG193" s="258" t="inlineStr">
        <is>
          <t>NA</t>
        </is>
      </c>
      <c r="AH193" s="89" t="n"/>
      <c r="AI193" s="316" t="inlineStr">
        <is>
          <t>La donnée est obligatoire</t>
        </is>
      </c>
      <c r="AJ193" s="317" t="inlineStr">
        <is>
          <t>The data is mandatory</t>
        </is>
      </c>
      <c r="AK193" s="257" t="n"/>
      <c r="AL193" s="258" t="inlineStr">
        <is>
          <t>EN0041</t>
        </is>
      </c>
      <c r="AM193" s="318" t="n"/>
      <c r="AN193" s="317" t="n"/>
      <c r="AO193" s="257" t="n"/>
      <c r="AP193" s="258" t="n"/>
      <c r="AQ193" s="318" t="inlineStr">
        <is>
          <t>Si renseignée, la donnée doit être égale à 'M' ou 'C'.</t>
        </is>
      </c>
      <c r="AR193" s="317" t="inlineStr">
        <is>
          <t>If filled in, the data must be equal to 'M' or 'C'.</t>
        </is>
      </c>
      <c r="AS193" s="257" t="n"/>
      <c r="AT193" s="258" t="inlineStr">
        <is>
          <t>EN0043</t>
        </is>
      </c>
      <c r="AU193" s="318" t="n"/>
      <c r="AV193" s="317" t="n"/>
      <c r="AW193" s="257" t="n"/>
      <c r="AX193" s="258" t="n"/>
      <c r="AY193" s="318" t="n"/>
      <c r="AZ193" s="317" t="n"/>
      <c r="BA193" s="257" t="n"/>
      <c r="BB193" s="258" t="n"/>
      <c r="BC193" s="316" t="n"/>
      <c r="BD193" s="317" t="n"/>
      <c r="BE193" s="257" t="n"/>
      <c r="BF193" s="258" t="n"/>
      <c r="BG193" s="89" t="n"/>
      <c r="BH1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93">
        <f>_xlfn.LET(r,ROW(),oc,INDEX($A:$A,r),cv,TRIM(INDEX($Y:$Y,r)&amp;""),IF(oc&lt;&gt;"P1","",IF(cv="45","V45 - novo, nao alimentado pelo spool atual","V44 - alimentado pelo spool atual")))</f>
        <v/>
      </c>
    </row>
    <row r="194" ht="54" customFormat="1" customHeight="1" s="90">
      <c r="A194" s="306" t="inlineStr">
        <is>
          <t>F2</t>
        </is>
      </c>
      <c r="B194" s="307" t="n">
        <v>5</v>
      </c>
      <c r="C194" s="269" t="inlineStr">
        <is>
          <t>01 - Caractéristiques d'identification techniques</t>
        </is>
      </c>
      <c r="D194" s="310" t="inlineStr">
        <is>
          <t>01 - Technical identification characteristics</t>
        </is>
      </c>
      <c r="E194" s="307" t="inlineStr">
        <is>
          <t>0.5 (F2)</t>
        </is>
      </c>
      <c r="F194" s="308" t="inlineStr">
        <is>
          <t>Date et Heure de traitement</t>
        </is>
      </c>
      <c r="G194" s="309" t="inlineStr">
        <is>
          <t>Date and time of processing</t>
        </is>
      </c>
      <c r="H194" s="309" t="n"/>
      <c r="I194" s="234" t="inlineStr">
        <is>
          <t>Correspond à la date et heure du début du traitement ayant produit le flux</t>
        </is>
      </c>
      <c r="J194" s="235" t="inlineStr">
        <is>
          <t>Represents the date and time at which treatment began</t>
        </is>
      </c>
      <c r="K194" s="269" t="inlineStr">
        <is>
          <t>ND</t>
        </is>
      </c>
      <c r="L194" s="310" t="inlineStr">
        <is>
          <t>ND</t>
        </is>
      </c>
      <c r="M194" s="1420" t="inlineStr">
        <is>
          <t>DtHeureTrait</t>
        </is>
      </c>
      <c r="N194" s="231" t="inlineStr">
        <is>
          <t>Obligatoire</t>
        </is>
      </c>
      <c r="O194" s="236" t="inlineStr">
        <is>
          <t>Mandatory</t>
        </is>
      </c>
      <c r="P194" s="269" t="inlineStr">
        <is>
          <t>NA</t>
        </is>
      </c>
      <c r="Q194" s="269" t="inlineStr">
        <is>
          <t>NA</t>
        </is>
      </c>
      <c r="R194" s="234" t="inlineStr">
        <is>
          <t>Unicité obligatoire au sein d'un Lot déterminé</t>
        </is>
      </c>
      <c r="S194" s="235" t="inlineStr">
        <is>
          <t>Has to be unique within a specific Batch</t>
        </is>
      </c>
      <c r="T194" s="313" t="inlineStr">
        <is>
          <t>ALPHA</t>
        </is>
      </c>
      <c r="U194" s="237" t="inlineStr">
        <is>
          <t>NA</t>
        </is>
      </c>
      <c r="V194" s="238" t="inlineStr">
        <is>
          <t>NA</t>
        </is>
      </c>
      <c r="W194" s="257" t="n">
        <v>12</v>
      </c>
      <c r="X194" s="945" t="inlineStr">
        <is>
          <t>NA</t>
        </is>
      </c>
      <c r="Y194" s="237" t="inlineStr">
        <is>
          <t>40</t>
        </is>
      </c>
      <c r="Z194" s="237" t="inlineStr">
        <is>
          <t>NA</t>
        </is>
      </c>
      <c r="AA194" s="237" t="inlineStr">
        <is>
          <t>NA</t>
        </is>
      </c>
      <c r="AB194" s="269" t="inlineStr">
        <is>
          <t>USAGE ZP</t>
        </is>
      </c>
      <c r="AC194" s="231" t="inlineStr">
        <is>
          <t>ND</t>
        </is>
      </c>
      <c r="AD194" s="257" t="inlineStr">
        <is>
          <t>N</t>
        </is>
      </c>
      <c r="AE194" s="257" t="inlineStr">
        <is>
          <t>NA</t>
        </is>
      </c>
      <c r="AF194" s="257" t="inlineStr">
        <is>
          <t>NA</t>
        </is>
      </c>
      <c r="AG194" s="258" t="inlineStr">
        <is>
          <t>NA</t>
        </is>
      </c>
      <c r="AH194" s="89" t="n"/>
      <c r="AI194" s="316" t="inlineStr">
        <is>
          <t>La donnée est obligatoire</t>
        </is>
      </c>
      <c r="AJ194" s="317" t="inlineStr">
        <is>
          <t>The data is mandatory</t>
        </is>
      </c>
      <c r="AK194" s="257" t="n"/>
      <c r="AL194" s="258" t="inlineStr">
        <is>
          <t>EN0051</t>
        </is>
      </c>
      <c r="AM194" s="318" t="n"/>
      <c r="AN194" s="317" t="n"/>
      <c r="AO194" s="257" t="n"/>
      <c r="AP194" s="258" t="n"/>
      <c r="AQ194" s="318" t="n"/>
      <c r="AR194" s="317" t="n"/>
      <c r="AS194" s="257" t="n"/>
      <c r="AT194" s="258" t="n"/>
      <c r="AU194"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194"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194" s="257" t="n"/>
      <c r="AX194" s="258" t="inlineStr">
        <is>
          <t>EN0056</t>
        </is>
      </c>
      <c r="AY194" s="318" t="n"/>
      <c r="AZ194" s="317" t="n"/>
      <c r="BA194" s="257" t="n"/>
      <c r="BB194" s="258" t="n"/>
      <c r="BC194" s="316" t="n"/>
      <c r="BD194" s="317" t="n"/>
      <c r="BE194" s="257" t="n"/>
      <c r="BF194" s="258" t="n"/>
      <c r="BG194" s="89" t="n"/>
      <c r="BH1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94">
        <f>_xlfn.LET(r,ROW(),oc,INDEX($A:$A,r),cv,TRIM(INDEX($Y:$Y,r)&amp;""),IF(oc&lt;&gt;"P1","",IF(cv="45","V45 - novo, nao alimentado pelo spool atual","V44 - alimentado pelo spool atual")))</f>
        <v/>
      </c>
    </row>
    <row r="195" ht="54" customFormat="1" customHeight="1" s="90">
      <c r="A195" s="306" t="inlineStr">
        <is>
          <t>F2</t>
        </is>
      </c>
      <c r="B195" s="307" t="n">
        <v>6</v>
      </c>
      <c r="C195" s="269" t="inlineStr">
        <is>
          <t>01 - Caractéristiques d'identification techniques</t>
        </is>
      </c>
      <c r="D195" s="310" t="inlineStr">
        <is>
          <t>01 - Technical identification characteristics</t>
        </is>
      </c>
      <c r="E195" s="307" t="inlineStr">
        <is>
          <t>0.6 (F2)</t>
        </is>
      </c>
      <c r="F195" s="308" t="inlineStr">
        <is>
          <t>Type d'enregistrement</t>
        </is>
      </c>
      <c r="G195" s="309" t="inlineStr">
        <is>
          <t>Record type</t>
        </is>
      </c>
      <c r="H195" s="309" t="n"/>
      <c r="I195" s="242" t="inlineStr">
        <is>
          <t>Caractérise le type d'enregistrement remonté par l'entité</t>
        </is>
      </c>
      <c r="J195" s="235" t="inlineStr">
        <is>
          <t>Represents the record type reported by the entity</t>
        </is>
      </c>
      <c r="K195" s="269" t="inlineStr">
        <is>
          <t>ND</t>
        </is>
      </c>
      <c r="L195" s="310" t="inlineStr">
        <is>
          <t>ND</t>
        </is>
      </c>
      <c r="M195" s="1420" t="inlineStr">
        <is>
          <t>TypEnreg</t>
        </is>
      </c>
      <c r="N195" s="231" t="inlineStr">
        <is>
          <t>Obligatoire</t>
        </is>
      </c>
      <c r="O195" s="236" t="inlineStr">
        <is>
          <t>Mandatory</t>
        </is>
      </c>
      <c r="P195" s="269" t="inlineStr">
        <is>
          <t>NA</t>
        </is>
      </c>
      <c r="Q195" s="269" t="inlineStr">
        <is>
          <t>NA</t>
        </is>
      </c>
      <c r="R195" s="241" t="inlineStr">
        <is>
          <t>Valeur admise : 'F2' (Domaine Détail autorisations)</t>
        </is>
      </c>
      <c r="S195" s="233" t="inlineStr">
        <is>
          <t>Permitted value: 'F2' (Facilities Detail Section)</t>
        </is>
      </c>
      <c r="T195" s="313" t="inlineStr">
        <is>
          <t>ALPHA</t>
        </is>
      </c>
      <c r="U195" s="237" t="inlineStr">
        <is>
          <t>NA</t>
        </is>
      </c>
      <c r="V195" s="238" t="inlineStr">
        <is>
          <t>NA</t>
        </is>
      </c>
      <c r="W195" s="257" t="n">
        <v>2</v>
      </c>
      <c r="X195" s="945" t="inlineStr">
        <is>
          <t>NA</t>
        </is>
      </c>
      <c r="Y195" s="237" t="inlineStr">
        <is>
          <t>40</t>
        </is>
      </c>
      <c r="Z195" s="237" t="inlineStr">
        <is>
          <t>NA</t>
        </is>
      </c>
      <c r="AA195" s="237" t="inlineStr">
        <is>
          <t>NA</t>
        </is>
      </c>
      <c r="AB195" s="269" t="inlineStr">
        <is>
          <t>USAGE ZP</t>
        </is>
      </c>
      <c r="AC195" s="231" t="inlineStr">
        <is>
          <t>ND</t>
        </is>
      </c>
      <c r="AD195" s="257" t="inlineStr">
        <is>
          <t>N</t>
        </is>
      </c>
      <c r="AE195" s="257" t="inlineStr">
        <is>
          <t>NA</t>
        </is>
      </c>
      <c r="AF195" s="257" t="inlineStr">
        <is>
          <t>NA</t>
        </is>
      </c>
      <c r="AG195" s="258" t="inlineStr">
        <is>
          <t>NA</t>
        </is>
      </c>
      <c r="AH195" s="89" t="n"/>
      <c r="AI195" s="316" t="inlineStr">
        <is>
          <t>La donnée est obligatoire</t>
        </is>
      </c>
      <c r="AJ195" s="317" t="inlineStr">
        <is>
          <t>The data is mandatory</t>
        </is>
      </c>
      <c r="AK195" s="257" t="n"/>
      <c r="AL195" s="258" t="inlineStr">
        <is>
          <t>EN0061</t>
        </is>
      </c>
      <c r="AM195" s="318" t="n"/>
      <c r="AN195" s="317" t="n"/>
      <c r="AO195" s="257" t="n"/>
      <c r="AP195" s="258" t="n"/>
      <c r="AQ195" s="322" t="inlineStr">
        <is>
          <t>Si renseignée, la donnée doit être égale à 'F2'</t>
        </is>
      </c>
      <c r="AR195" s="317" t="inlineStr">
        <is>
          <t>If filled in, the data must be equal to 'F2'</t>
        </is>
      </c>
      <c r="AS195" s="257" t="n"/>
      <c r="AT195" s="258" t="inlineStr">
        <is>
          <t>EN0061</t>
        </is>
      </c>
      <c r="AU195" s="318" t="n"/>
      <c r="AV195" s="317" t="n"/>
      <c r="AW195" s="257" t="n"/>
      <c r="AX195" s="258" t="n"/>
      <c r="AY195" s="318" t="n"/>
      <c r="AZ195" s="317" t="n"/>
      <c r="BA195" s="257" t="n"/>
      <c r="BB195" s="258" t="n"/>
      <c r="BC195" s="316" t="n"/>
      <c r="BD195" s="317" t="n"/>
      <c r="BE195" s="257" t="n"/>
      <c r="BF195" s="258" t="n"/>
      <c r="BG195" s="89" t="n"/>
      <c r="BH1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95">
        <f>_xlfn.LET(r,ROW(),oc,INDEX($A:$A,r),cv,TRIM(INDEX($Y:$Y,r)&amp;""),IF(oc&lt;&gt;"P1","",IF(cv="45","V45 - novo, nao alimentado pelo spool atual","V44 - alimentado pelo spool atual")))</f>
        <v/>
      </c>
    </row>
    <row r="196" ht="54" customFormat="1" customHeight="1" s="90">
      <c r="A196" s="306" t="inlineStr">
        <is>
          <t>F2</t>
        </is>
      </c>
      <c r="B196" s="307" t="n">
        <v>7</v>
      </c>
      <c r="C196" s="269" t="inlineStr">
        <is>
          <t>02 - Caractéristiques d'identification fonctionnelles</t>
        </is>
      </c>
      <c r="D196" s="310" t="inlineStr">
        <is>
          <t>02 - Functional identification characteristics</t>
        </is>
      </c>
      <c r="E196" s="307" t="inlineStr">
        <is>
          <t>0.7 (F2)</t>
        </is>
      </c>
      <c r="F196" s="308" t="inlineStr">
        <is>
          <t>Nature de flux (Zone réservée DRG)</t>
        </is>
      </c>
      <c r="G196" s="309" t="inlineStr">
        <is>
          <t>Nature of flow (Zone reserved for Group Risk Management Division)</t>
        </is>
      </c>
      <c r="H196" s="309" t="n"/>
      <c r="I196" s="241" t="inlineStr">
        <is>
          <t>Nature de flux (Zone réservée DRG)</t>
        </is>
      </c>
      <c r="J196" s="233" t="inlineStr">
        <is>
          <t>Nature of flow (Zone reserved for Group Risk Management Division)</t>
        </is>
      </c>
      <c r="K196" s="269" t="inlineStr">
        <is>
          <t>ND</t>
        </is>
      </c>
      <c r="L196" s="310" t="inlineStr">
        <is>
          <t>ND</t>
        </is>
      </c>
      <c r="M196" s="1420" t="inlineStr">
        <is>
          <t>NatFlux</t>
        </is>
      </c>
      <c r="N196" s="231" t="inlineStr">
        <is>
          <t>Facultatif</t>
        </is>
      </c>
      <c r="O196" s="236" t="inlineStr">
        <is>
          <t>Optional</t>
        </is>
      </c>
      <c r="P196" s="269" t="inlineStr">
        <is>
          <t>NA</t>
        </is>
      </c>
      <c r="Q196" s="269" t="inlineStr">
        <is>
          <t>NA</t>
        </is>
      </c>
      <c r="R196" s="311" t="inlineStr">
        <is>
          <t>Zone réservée DRG</t>
        </is>
      </c>
      <c r="S196" s="312" t="inlineStr">
        <is>
          <t>Zone reserved for the Group Risk Management Division</t>
        </is>
      </c>
      <c r="T196" s="313" t="inlineStr">
        <is>
          <t>ALPHA</t>
        </is>
      </c>
      <c r="U196" s="237" t="inlineStr">
        <is>
          <t>NA</t>
        </is>
      </c>
      <c r="V196" s="238" t="inlineStr">
        <is>
          <t>NA</t>
        </is>
      </c>
      <c r="W196" s="257" t="n">
        <v>1</v>
      </c>
      <c r="X196" s="945" t="inlineStr">
        <is>
          <t>NA</t>
        </is>
      </c>
      <c r="Y196" s="237" t="inlineStr">
        <is>
          <t>40</t>
        </is>
      </c>
      <c r="Z196" s="237" t="inlineStr">
        <is>
          <t>NA</t>
        </is>
      </c>
      <c r="AA196" s="237" t="inlineStr">
        <is>
          <t>NA</t>
        </is>
      </c>
      <c r="AB196" s="636" t="inlineStr">
        <is>
          <t>USAGE ZP</t>
        </is>
      </c>
      <c r="AC196" s="231" t="inlineStr">
        <is>
          <t>ND</t>
        </is>
      </c>
      <c r="AD196" s="257" t="inlineStr">
        <is>
          <t>N</t>
        </is>
      </c>
      <c r="AE196" s="257" t="inlineStr">
        <is>
          <t>NA</t>
        </is>
      </c>
      <c r="AF196" s="257" t="inlineStr">
        <is>
          <t>NA</t>
        </is>
      </c>
      <c r="AG196" s="258" t="inlineStr">
        <is>
          <t>NA</t>
        </is>
      </c>
      <c r="AH196" s="89" t="n"/>
      <c r="AI196" s="316" t="n"/>
      <c r="AJ196" s="317" t="n"/>
      <c r="AK196" s="257" t="n"/>
      <c r="AL196" s="258" t="n"/>
      <c r="AM196" s="318" t="n"/>
      <c r="AN196" s="317" t="n"/>
      <c r="AO196" s="257" t="n"/>
      <c r="AP196" s="258" t="n"/>
      <c r="AQ196" s="318" t="inlineStr">
        <is>
          <t>Si renseignée et type d'enregistrement (EN [0.6]) est différent de 'Z9', la donnée doit être égale à 'R'.</t>
        </is>
      </c>
      <c r="AR196" s="317" t="inlineStr">
        <is>
          <t>If entered and record type (EN [0.6]) is different from 'Z9', the data must be equal to 'R'.</t>
        </is>
      </c>
      <c r="AS196" s="257" t="n"/>
      <c r="AT196" s="258" t="inlineStr">
        <is>
          <t>EN0071</t>
        </is>
      </c>
      <c r="AU196"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196"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196" s="257" t="n"/>
      <c r="AX196" s="258" t="inlineStr">
        <is>
          <t>EN0071</t>
        </is>
      </c>
      <c r="AY196" s="318" t="n"/>
      <c r="AZ196" s="317" t="n"/>
      <c r="BA196" s="257" t="n"/>
      <c r="BB196" s="258" t="n"/>
      <c r="BC196" s="316" t="n"/>
      <c r="BD196" s="317" t="n"/>
      <c r="BE196" s="257" t="n"/>
      <c r="BF196" s="258" t="n"/>
      <c r="BG196" s="89" t="n"/>
      <c r="BH1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96">
        <f>_xlfn.LET(r,ROW(),oc,INDEX($A:$A,r),cv,TRIM(INDEX($Y:$Y,r)&amp;""),IF(oc&lt;&gt;"P1","",IF(cv="45","V45 - novo, nao alimentado pelo spool atual","V44 - alimentado pelo spool atual")))</f>
        <v/>
      </c>
    </row>
    <row r="197" ht="54" customFormat="1" customHeight="1" s="90">
      <c r="A197" s="306" t="inlineStr">
        <is>
          <t>F2</t>
        </is>
      </c>
      <c r="B197" s="307" t="n">
        <v>8</v>
      </c>
      <c r="C197" s="269" t="inlineStr">
        <is>
          <t>02 - Caractéristiques d'identification fonctionnelles</t>
        </is>
      </c>
      <c r="D197" s="310" t="inlineStr">
        <is>
          <t>02 - Functional identification characteristics</t>
        </is>
      </c>
      <c r="E197" s="307" t="inlineStr">
        <is>
          <t>0.8 (F2)</t>
        </is>
      </c>
      <c r="F197" s="1042" t="inlineStr">
        <is>
          <t>Centre de Responsabilité Comptable (Zone réservée CAsa social)</t>
        </is>
      </c>
      <c r="G197" s="309" t="inlineStr">
        <is>
          <t>Accounting responsibility center (Zone reserved for Crédit Agricole S.A. Holding)</t>
        </is>
      </c>
      <c r="H197" s="309" t="n"/>
      <c r="I197" s="241" t="inlineStr">
        <is>
          <t>Pour Crédit Agricole SA entité sociale, indique le numéro de CRC (Centre de Responsabilité Comptable) concerné</t>
        </is>
      </c>
      <c r="J197" s="233" t="inlineStr">
        <is>
          <t>For CASAes entity, indicate the relevant CRC (Center of accounting responsability) number</t>
        </is>
      </c>
      <c r="K197" s="269" t="inlineStr">
        <is>
          <t>ND</t>
        </is>
      </c>
      <c r="L197" s="310" t="inlineStr">
        <is>
          <t>ND</t>
        </is>
      </c>
      <c r="M197" s="1420" t="inlineStr">
        <is>
          <t>ZoneResCasa</t>
        </is>
      </c>
      <c r="N197" s="231" t="inlineStr">
        <is>
          <t>Facultatif</t>
        </is>
      </c>
      <c r="O197" s="236" t="inlineStr">
        <is>
          <t>Optional</t>
        </is>
      </c>
      <c r="P197" s="269" t="inlineStr">
        <is>
          <t>LC.0072</t>
        </is>
      </c>
      <c r="Q197" s="269" t="inlineStr">
        <is>
          <t>TA KVCRC</t>
        </is>
      </c>
      <c r="R197" s="241" t="inlineStr">
        <is>
          <t>Zone exploitée uniquement par les entités déclarant les risques portés par Crédit Agricole S.A.
Décomposition comptable du Siège en Activités (comptabilités auxiliaires). Permet de gérer les opérations pour compte propre Casa</t>
        </is>
      </c>
      <c r="S197" s="233" t="inlineStr">
        <is>
          <t>Zone only used for entities reporting risks borne by Crédit Agricole S.A.
Accounting breakdown of HQ into Activities (sub-ledgers). Makes it possible to manage Crédit Agricole S.A. proprietary trading</t>
        </is>
      </c>
      <c r="T197" s="313" t="inlineStr">
        <is>
          <t>ALPHA</t>
        </is>
      </c>
      <c r="U197" s="237" t="inlineStr">
        <is>
          <t>NA</t>
        </is>
      </c>
      <c r="V197" s="238" t="inlineStr">
        <is>
          <t>NA</t>
        </is>
      </c>
      <c r="W197" s="257" t="n">
        <v>2</v>
      </c>
      <c r="X197" s="945" t="inlineStr">
        <is>
          <t>NA</t>
        </is>
      </c>
      <c r="Y197" s="237" t="inlineStr">
        <is>
          <t>40</t>
        </is>
      </c>
      <c r="Z197" s="237" t="inlineStr">
        <is>
          <t>NA</t>
        </is>
      </c>
      <c r="AA197" s="237" t="inlineStr">
        <is>
          <t>NA</t>
        </is>
      </c>
      <c r="AB197" s="636" t="inlineStr">
        <is>
          <t>USAGE ZP</t>
        </is>
      </c>
      <c r="AC197" s="231" t="inlineStr">
        <is>
          <t>ND</t>
        </is>
      </c>
      <c r="AD197" s="257" t="inlineStr">
        <is>
          <t>N</t>
        </is>
      </c>
      <c r="AE197" s="257" t="inlineStr">
        <is>
          <t>NA</t>
        </is>
      </c>
      <c r="AF197" s="257" t="inlineStr">
        <is>
          <t>NA</t>
        </is>
      </c>
      <c r="AG197" s="258" t="inlineStr">
        <is>
          <t>NA</t>
        </is>
      </c>
      <c r="AH197" s="89" t="n"/>
      <c r="AI197" s="323" t="n"/>
      <c r="AJ197" s="317" t="n"/>
      <c r="AK197" s="257" t="n"/>
      <c r="AL197" s="258" t="n"/>
      <c r="AM197" s="318" t="inlineStr">
        <is>
          <t>Si elle est renseignée, la valeur doit être connue du Langage Commun associé</t>
        </is>
      </c>
      <c r="AN197" s="317" t="inlineStr">
        <is>
          <t>If specified, the value must be known to the associated Common Language</t>
        </is>
      </c>
      <c r="AO197" s="257" t="n">
        <v>7</v>
      </c>
      <c r="AP197" s="212" t="inlineStr">
        <is>
          <t>TIG0001</t>
        </is>
      </c>
      <c r="AQ197" s="318" t="n"/>
      <c r="AR197" s="317" t="n"/>
      <c r="AS197" s="257" t="n"/>
      <c r="AT197" s="258" t="n"/>
      <c r="AU197" s="318" t="n"/>
      <c r="AV197" s="317" t="n"/>
      <c r="AW197" s="257" t="n"/>
      <c r="AX197" s="258" t="n"/>
      <c r="AY197" s="318" t="n"/>
      <c r="AZ197" s="317" t="n"/>
      <c r="BA197" s="257" t="n"/>
      <c r="BB197" s="258" t="n"/>
      <c r="BC197" s="316" t="n"/>
      <c r="BD197" s="317" t="n"/>
      <c r="BE197" s="257" t="n"/>
      <c r="BF197" s="258" t="n"/>
      <c r="BG197" s="89" t="n"/>
      <c r="BH1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97">
        <f>_xlfn.LET(r,ROW(),oc,INDEX($A:$A,r),cv,TRIM(INDEX($Y:$Y,r)&amp;""),IF(oc&lt;&gt;"P1","",IF(cv="45","V45 - novo, nao alimentado pelo spool atual","V44 - alimentado pelo spool atual")))</f>
        <v/>
      </c>
    </row>
    <row r="198" ht="54" customFormat="1" customHeight="1" s="90">
      <c r="A198" s="306" t="inlineStr">
        <is>
          <t>F2</t>
        </is>
      </c>
      <c r="B198" s="307" t="n">
        <v>9</v>
      </c>
      <c r="C198" s="269" t="inlineStr">
        <is>
          <t>02 - Caractéristiques d'identification fonctionnelles</t>
        </is>
      </c>
      <c r="D198" s="310" t="inlineStr">
        <is>
          <t>02 - Functional identification characteristics</t>
        </is>
      </c>
      <c r="E198" s="307" t="inlineStr">
        <is>
          <t>0.9 (F2)</t>
        </is>
      </c>
      <c r="F198" s="387" t="inlineStr">
        <is>
          <t>Unité d'exploitation (Zone réservée CACIB)</t>
        </is>
      </c>
      <c r="G198" s="309" t="inlineStr">
        <is>
          <t>Operating unit in the risk taker (Zone reserved for CACIB)</t>
        </is>
      </c>
      <c r="H198" s="309" t="n"/>
      <c r="I198" s="241" t="inlineStr">
        <is>
          <t>Permet d'indiquer l'unité d'exploitation</t>
        </is>
      </c>
      <c r="J198" s="233" t="inlineStr">
        <is>
          <t>Allows to indicate operating unit in the risk taker entity</t>
        </is>
      </c>
      <c r="K198" s="269" t="inlineStr">
        <is>
          <t>ND</t>
        </is>
      </c>
      <c r="L198" s="310" t="inlineStr">
        <is>
          <t>ND</t>
        </is>
      </c>
      <c r="M198" s="1420" t="inlineStr">
        <is>
          <t>UniteExploit</t>
        </is>
      </c>
      <c r="N198" s="231" t="inlineStr">
        <is>
          <t>Obligatoire sous conditions</t>
        </is>
      </c>
      <c r="O198" s="236" t="inlineStr">
        <is>
          <t>Mandatory under conditions</t>
        </is>
      </c>
      <c r="P198" s="994" t="inlineStr">
        <is>
          <t>NA</t>
        </is>
      </c>
      <c r="Q198" s="269" t="inlineStr">
        <is>
          <t>NA</t>
        </is>
      </c>
      <c r="R198" s="311" t="inlineStr">
        <is>
          <t xml:space="preserve"> Réservé CACIB - laisser à vide si non concerné</t>
        </is>
      </c>
      <c r="S198" s="233" t="inlineStr">
        <is>
          <t>Zone reserved for CACIB. Leave empty if not concerned</t>
        </is>
      </c>
      <c r="T198" s="313" t="inlineStr">
        <is>
          <t xml:space="preserve"> ALPHA</t>
        </is>
      </c>
      <c r="U198" s="237" t="inlineStr">
        <is>
          <t>NA</t>
        </is>
      </c>
      <c r="V198" s="238" t="inlineStr">
        <is>
          <t>NA</t>
        </is>
      </c>
      <c r="W198" s="257" t="n">
        <v>4</v>
      </c>
      <c r="X198" s="945" t="inlineStr">
        <is>
          <t>NA</t>
        </is>
      </c>
      <c r="Y198" s="237" t="inlineStr">
        <is>
          <t>40</t>
        </is>
      </c>
      <c r="Z198" s="237" t="inlineStr">
        <is>
          <t>NA</t>
        </is>
      </c>
      <c r="AA198" s="237" t="inlineStr">
        <is>
          <t>NA</t>
        </is>
      </c>
      <c r="AB198" s="636" t="inlineStr">
        <is>
          <t>USAGE ZP</t>
        </is>
      </c>
      <c r="AC198" s="231" t="inlineStr">
        <is>
          <t>ND</t>
        </is>
      </c>
      <c r="AD198" s="257" t="inlineStr">
        <is>
          <t>N</t>
        </is>
      </c>
      <c r="AE198" s="257" t="inlineStr">
        <is>
          <t>NA</t>
        </is>
      </c>
      <c r="AF198" s="257" t="inlineStr">
        <is>
          <t>NA</t>
        </is>
      </c>
      <c r="AG198" s="258" t="inlineStr">
        <is>
          <t>NA</t>
        </is>
      </c>
      <c r="AH198" s="89" t="n"/>
      <c r="AI198" s="323" t="inlineStr">
        <is>
          <t>La donnée est obligatoire si le Type d'enregistrement [0.6 (F2)] est différent de 'C1' et de 'Z9', et que, dans la table START "TA 0990 KVAPPBK", KVBAPPID commence par 'CACI' pour le KVAPPBK valant la concaténation "Entité porteuse de risque" [0.2 (F2)] et "Application source" [0.3 (F2)]</t>
        </is>
      </c>
      <c r="AJ198" s="317" t="inlineStr">
        <is>
          <t>The data is mandatory if the record type [0.6 (F2)] is different from 'C1' and 'Z9', and in the START table "TA 0990 KVAPPBK", KVBAPPID starts with 'CACI' for the KVAPPBK with the concatenation 'Risk taker entity' [0.2 (F2)]and 'Source application' [0.3 (F2)]</t>
        </is>
      </c>
      <c r="AK198" s="257" t="n"/>
      <c r="AL198" s="258" t="inlineStr">
        <is>
          <t>EN0091</t>
        </is>
      </c>
      <c r="AM198" s="324" t="inlineStr">
        <is>
          <t>Si renseignée, et si le type d'enregistrement [0.6 (F2] est différent de 'C1' et de 'Z9' :
1/ Si dans la table START "TA 0990 KVAPPBK", KVBAPPID commence par 'CACI' pour le KVAPPBK valant la concaténation "Entité porteuse de risque" [0.2 (F2)] et "Application source" [0.3 (F2)], alors, dans la table START "TA TMTAKOBU", la concaténation 'CA-CIB' + un blanc + [0.9 (F2)] + "_" + [0.2 (F2)] doit être présente dans le champ TMNOMOBU.
2/ Sinon, dans la table START "TA TMTAKOBU", la concaténation des 9 premiers caractères du BAPPID + '_' + 0.9 (F2)] doit être présente dans le champ TMNOMOBU.</t>
        </is>
      </c>
      <c r="AN198" s="317" t="inlineStr">
        <is>
          <t>If filled in, and the type of record [0.6 (F2] is different from 'C1' and 'Z9':
1/ If in the START table "TA 0990 KVAPPBK", KVBAPPID starts with "CACI" for the KVAPPBK with the concatenation "risk carrying Entity" [0.2 (F2)] and "Source application" [0.3 (F2)], then in the START table "TA TMTAKOBU", the concatenation 'CA-CIB' + a blank + [0.9 (F2)] + "_" + [0.2 (F2)] must be present in the TMNOMOBU field.
2/ Otherwise, in the START table "TA TMTAKOBU", the concatenation of the first 9 characters of the BAPPID + '_' + [0.9 (F2)] must be present in the TMNOMOBU field.</t>
        </is>
      </c>
      <c r="AO198" s="257" t="n"/>
      <c r="AP198" s="258" t="inlineStr">
        <is>
          <t>EN0092</t>
        </is>
      </c>
      <c r="AQ198" s="318" t="n"/>
      <c r="AR198" s="317" t="n"/>
      <c r="AS198" s="257" t="n"/>
      <c r="AT198" s="258" t="n"/>
      <c r="AU198" s="318" t="n"/>
      <c r="AV198" s="317" t="n"/>
      <c r="AW198" s="257" t="n"/>
      <c r="AX198" s="258" t="n"/>
      <c r="AY198" s="318" t="n"/>
      <c r="AZ198" s="317" t="n"/>
      <c r="BA198" s="257" t="n"/>
      <c r="BB198" s="258" t="n"/>
      <c r="BC198" s="316" t="n"/>
      <c r="BD198" s="317" t="n"/>
      <c r="BE198" s="257" t="n"/>
      <c r="BF198" s="258" t="n"/>
      <c r="BG198" s="89" t="n"/>
      <c r="BH1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98">
        <f>_xlfn.LET(r,ROW(),oc,INDEX($A:$A,r),cv,TRIM(INDEX($Y:$Y,r)&amp;""),IF(oc&lt;&gt;"P1","",IF(cv="45","V45 - novo, nao alimentado pelo spool atual","V44 - alimentado pelo spool atual")))</f>
        <v/>
      </c>
    </row>
    <row r="199" ht="54" customFormat="1" customHeight="1" s="55">
      <c r="A199" s="325" t="inlineStr">
        <is>
          <t>F2</t>
        </is>
      </c>
      <c r="B199" s="326" t="n">
        <v>10</v>
      </c>
      <c r="C199" s="284" t="inlineStr">
        <is>
          <t>NA</t>
        </is>
      </c>
      <c r="D199" s="284" t="inlineStr">
        <is>
          <t>NA</t>
        </is>
      </c>
      <c r="E199" s="326" t="inlineStr">
        <is>
          <t>0.99 (F2)</t>
        </is>
      </c>
      <c r="F199" s="327" t="inlineStr">
        <is>
          <t>Filler</t>
        </is>
      </c>
      <c r="G199" s="327" t="inlineStr">
        <is>
          <t>Filler</t>
        </is>
      </c>
      <c r="H199" s="327" t="n"/>
      <c r="I199" s="247" t="inlineStr">
        <is>
          <t>Zone libre</t>
        </is>
      </c>
      <c r="J199" s="327" t="inlineStr">
        <is>
          <t>Free zone</t>
        </is>
      </c>
      <c r="K199" s="388" t="inlineStr">
        <is>
          <t>NA</t>
        </is>
      </c>
      <c r="L199" s="388" t="inlineStr">
        <is>
          <t>NA</t>
        </is>
      </c>
      <c r="M199" s="1421" t="inlineStr">
        <is>
          <t>ZoneLibre0</t>
        </is>
      </c>
      <c r="N199" s="284" t="inlineStr">
        <is>
          <t>NA</t>
        </is>
      </c>
      <c r="O199" s="388" t="inlineStr">
        <is>
          <t>NA</t>
        </is>
      </c>
      <c r="P199" s="284" t="inlineStr">
        <is>
          <t>NA</t>
        </is>
      </c>
      <c r="Q199" s="284" t="inlineStr">
        <is>
          <t>NA</t>
        </is>
      </c>
      <c r="R199" s="247" t="inlineStr">
        <is>
          <t>Laisser à vide</t>
        </is>
      </c>
      <c r="S199" s="247" t="inlineStr">
        <is>
          <t>Leave empty</t>
        </is>
      </c>
      <c r="T199" s="326" t="inlineStr">
        <is>
          <t>ALPHA</t>
        </is>
      </c>
      <c r="U199" s="248" t="inlineStr">
        <is>
          <t>NA</t>
        </is>
      </c>
      <c r="V199" s="248" t="inlineStr">
        <is>
          <t>NA</t>
        </is>
      </c>
      <c r="W199" s="284" t="n">
        <v>3</v>
      </c>
      <c r="X199" s="244" t="inlineStr">
        <is>
          <t>NA</t>
        </is>
      </c>
      <c r="Y199" s="248" t="inlineStr">
        <is>
          <t>NA</t>
        </is>
      </c>
      <c r="Z199" s="248" t="inlineStr">
        <is>
          <t>NA</t>
        </is>
      </c>
      <c r="AA199" s="248" t="inlineStr">
        <is>
          <t>NA</t>
        </is>
      </c>
      <c r="AB199" s="284" t="inlineStr">
        <is>
          <t>NA</t>
        </is>
      </c>
      <c r="AC199" s="244" t="inlineStr">
        <is>
          <t>NA</t>
        </is>
      </c>
      <c r="AD199" s="284" t="inlineStr">
        <is>
          <t>N</t>
        </is>
      </c>
      <c r="AE199" s="284" t="inlineStr">
        <is>
          <t>NA</t>
        </is>
      </c>
      <c r="AF199" s="284" t="inlineStr">
        <is>
          <t>NA</t>
        </is>
      </c>
      <c r="AG199" s="285" t="inlineStr">
        <is>
          <t>NA</t>
        </is>
      </c>
      <c r="AH199" s="89" t="n"/>
      <c r="AI199" s="330" t="n"/>
      <c r="AJ199" s="331" t="n"/>
      <c r="AK199" s="284" t="n"/>
      <c r="AL199" s="285" t="n"/>
      <c r="AM199" s="331" t="n"/>
      <c r="AN199" s="331" t="n"/>
      <c r="AO199" s="284" t="n"/>
      <c r="AP199" s="285" t="n"/>
      <c r="AQ199" s="331" t="n"/>
      <c r="AR199" s="331" t="n"/>
      <c r="AS199" s="284" t="n"/>
      <c r="AT199" s="285" t="n"/>
      <c r="AU199" s="331" t="n"/>
      <c r="AV199" s="331" t="n"/>
      <c r="AW199" s="284" t="n"/>
      <c r="AX199" s="285" t="n"/>
      <c r="AY199" s="331" t="n"/>
      <c r="AZ199" s="331" t="n"/>
      <c r="BA199" s="284" t="n"/>
      <c r="BB199" s="285" t="n"/>
      <c r="BC199" s="330" t="n"/>
      <c r="BD199" s="331" t="n"/>
      <c r="BE199" s="284" t="n"/>
      <c r="BF199" s="285" t="n"/>
      <c r="BG199" s="89" t="n"/>
      <c r="BH1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99">
        <f>_xlfn.LET(r,ROW(),oc,INDEX($A:$A,r),cv,TRIM(INDEX($Y:$Y,r)&amp;""),IF(oc&lt;&gt;"P1","",IF(cv="45","V45 - novo, nao alimentado pelo spool atual","V44 - alimentado pelo spool atual")))</f>
        <v/>
      </c>
    </row>
    <row r="200" ht="54" customFormat="1" customHeight="1" s="90">
      <c r="A200" s="306" t="inlineStr">
        <is>
          <t>F2</t>
        </is>
      </c>
      <c r="B200" s="307" t="n">
        <v>11</v>
      </c>
      <c r="C200" s="269" t="inlineStr">
        <is>
          <t>16 - Identification Tiers</t>
        </is>
      </c>
      <c r="D200" s="236" t="inlineStr">
        <is>
          <t>16 - Third party identification</t>
        </is>
      </c>
      <c r="E200" s="307" t="inlineStr">
        <is>
          <t>1.1 (F2)</t>
        </is>
      </c>
      <c r="F200" s="308" t="inlineStr">
        <is>
          <t>Identifiant local du tiers en risque</t>
        </is>
      </c>
      <c r="G200" s="309" t="inlineStr">
        <is>
          <t>Local identifier for the counterparty</t>
        </is>
      </c>
      <c r="H200" s="309" t="n"/>
      <c r="I200" s="308" t="inlineStr">
        <is>
          <t>Identifiant du tiers dans le système utilisé pour générer le flux</t>
        </is>
      </c>
      <c r="J200" s="309" t="inlineStr">
        <is>
          <t>ID of external counterparty in the system used to generate the flow</t>
        </is>
      </c>
      <c r="K200" s="370" t="inlineStr">
        <is>
          <t>ND</t>
        </is>
      </c>
      <c r="L200" s="371" t="inlineStr">
        <is>
          <t>ND</t>
        </is>
      </c>
      <c r="M200" s="1420" t="inlineStr">
        <is>
          <t>IdLocalTiersRisq</t>
        </is>
      </c>
      <c r="N200" s="231" t="inlineStr">
        <is>
          <t>Obligatoire</t>
        </is>
      </c>
      <c r="O200" s="236" t="inlineStr">
        <is>
          <t>Mandatory</t>
        </is>
      </c>
      <c r="P200" s="269" t="inlineStr">
        <is>
          <t>NA</t>
        </is>
      </c>
      <c r="Q200" s="269" t="inlineStr">
        <is>
          <t>NA</t>
        </is>
      </c>
      <c r="R200" s="241" t="inlineStr">
        <is>
          <t>NA</t>
        </is>
      </c>
      <c r="S200" s="233" t="inlineStr">
        <is>
          <t>NA</t>
        </is>
      </c>
      <c r="T200" s="313" t="inlineStr">
        <is>
          <t>ALPHA</t>
        </is>
      </c>
      <c r="U200" s="237" t="inlineStr">
        <is>
          <t>NA</t>
        </is>
      </c>
      <c r="V200" s="238" t="inlineStr">
        <is>
          <t>NA</t>
        </is>
      </c>
      <c r="W200" s="257" t="n">
        <v>20</v>
      </c>
      <c r="X200" s="945" t="inlineStr">
        <is>
          <t>NA</t>
        </is>
      </c>
      <c r="Y200" s="237" t="inlineStr">
        <is>
          <t>40</t>
        </is>
      </c>
      <c r="Z200" s="237" t="inlineStr">
        <is>
          <t>NA</t>
        </is>
      </c>
      <c r="AA200" s="237" t="inlineStr">
        <is>
          <t>NA</t>
        </is>
      </c>
      <c r="AB200" s="636" t="inlineStr">
        <is>
          <t>USAGE ZP</t>
        </is>
      </c>
      <c r="AC200" s="231" t="inlineStr">
        <is>
          <t>ND</t>
        </is>
      </c>
      <c r="AD200" s="257" t="inlineStr">
        <is>
          <t>N</t>
        </is>
      </c>
      <c r="AE200" s="257" t="inlineStr">
        <is>
          <t>NA</t>
        </is>
      </c>
      <c r="AF200" s="257" t="inlineStr">
        <is>
          <t>NA</t>
        </is>
      </c>
      <c r="AG200" s="258" t="inlineStr">
        <is>
          <t>NA</t>
        </is>
      </c>
      <c r="AH200" s="89" t="n"/>
      <c r="AI200" s="316" t="inlineStr">
        <is>
          <t>La donnée est obligatoire</t>
        </is>
      </c>
      <c r="AJ200" s="317" t="inlineStr">
        <is>
          <t>The data is mandatory</t>
        </is>
      </c>
      <c r="AK200" s="257" t="n">
        <v>7</v>
      </c>
      <c r="AL200" s="335" t="inlineStr">
        <is>
          <t>TPG0001</t>
        </is>
      </c>
      <c r="AM200" s="318" t="n"/>
      <c r="AN200" s="317" t="n"/>
      <c r="AO200" s="257" t="n"/>
      <c r="AP200" s="258" t="n"/>
      <c r="AQ200" s="318" t="n"/>
      <c r="AR200" s="317" t="n"/>
      <c r="AS200" s="257" t="n"/>
      <c r="AT200" s="258" t="n"/>
      <c r="AU200" s="318" t="n"/>
      <c r="AV200" s="317" t="n"/>
      <c r="AW200" s="257" t="n"/>
      <c r="AX200" s="258" t="n"/>
      <c r="AY200" s="337" t="inlineStr">
        <is>
          <t>Le tiers doit exister (présence du tiers dans TIGRE)</t>
        </is>
      </c>
      <c r="AZ200" s="317" t="inlineStr">
        <is>
          <t>The third-party must exist (presence of the third-party in TIGRE)</t>
        </is>
      </c>
      <c r="BA200" s="257" t="n">
        <v>7</v>
      </c>
      <c r="BB200" s="338" t="inlineStr">
        <is>
          <t>TIG0002</t>
        </is>
      </c>
      <c r="BC200" s="316" t="n"/>
      <c r="BD200" s="317" t="n"/>
      <c r="BE200" s="257" t="n"/>
      <c r="BF200" s="258" t="n"/>
      <c r="BG200" s="89" t="n"/>
      <c r="BH2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00">
        <f>_xlfn.LET(r,ROW(),oc,INDEX($A:$A,r),cv,TRIM(INDEX($Y:$Y,r)&amp;""),IF(oc&lt;&gt;"P1","",IF(cv="45","V45 - novo, nao alimentado pelo spool atual","V44 - alimentado pelo spool atual")))</f>
        <v/>
      </c>
    </row>
    <row r="201" ht="54" customFormat="1" customHeight="1" s="90">
      <c r="A201" s="306" t="inlineStr">
        <is>
          <t>F2</t>
        </is>
      </c>
      <c r="B201" s="307" t="n">
        <v>12</v>
      </c>
      <c r="C201" s="269" t="inlineStr">
        <is>
          <t>16 - Identification Tiers</t>
        </is>
      </c>
      <c r="D201" s="236" t="inlineStr">
        <is>
          <t>16 - Third party identification</t>
        </is>
      </c>
      <c r="E201" s="307" t="inlineStr">
        <is>
          <t>1.2 (F2)</t>
        </is>
      </c>
      <c r="F201" s="308" t="inlineStr">
        <is>
          <t>Identifiant central du tiers en risque</t>
        </is>
      </c>
      <c r="G201" s="309" t="inlineStr">
        <is>
          <t>Central identifier for the counterparty</t>
        </is>
      </c>
      <c r="H201" s="309" t="n"/>
      <c r="I201" s="241" t="inlineStr">
        <is>
          <t>Identifiant du tiers dans le système central DRG</t>
        </is>
      </c>
      <c r="J201" s="233" t="inlineStr">
        <is>
          <t>ID of the external counterparty in the Group Risk Management Division IT System</t>
        </is>
      </c>
      <c r="K201" s="269" t="inlineStr">
        <is>
          <t>ND</t>
        </is>
      </c>
      <c r="L201" s="310" t="inlineStr">
        <is>
          <t>ND</t>
        </is>
      </c>
      <c r="M201" s="1420" t="inlineStr">
        <is>
          <t>cdCentralTiers</t>
        </is>
      </c>
      <c r="N201" s="231" t="inlineStr">
        <is>
          <t>Facultatif</t>
        </is>
      </c>
      <c r="O201" s="236" t="inlineStr">
        <is>
          <t>Optional</t>
        </is>
      </c>
      <c r="P201" s="269" t="inlineStr">
        <is>
          <t>NA</t>
        </is>
      </c>
      <c r="Q201" s="269" t="inlineStr">
        <is>
          <t>NA</t>
        </is>
      </c>
      <c r="R201" s="241" t="inlineStr">
        <is>
          <t>Identifiant fourni par DRG dans le fichier mensuel Référentiel ‘Tiers groupes' transmis aux entités émettrices du flux.
Obligatoire pour une entité émettrice d'un flux FTCA</t>
        </is>
      </c>
      <c r="S201" s="233" t="inlineStr">
        <is>
          <t>ID provided by the Group Risk Management Division in the monthly “External Counterparties Groups” file (DTG) sent to entities issuing flows.
Mandatory for entities issuing an FTCA flow</t>
        </is>
      </c>
      <c r="T201" s="313" t="inlineStr">
        <is>
          <t>ALPHA</t>
        </is>
      </c>
      <c r="U201" s="237" t="inlineStr">
        <is>
          <t>NA</t>
        </is>
      </c>
      <c r="V201" s="238" t="inlineStr">
        <is>
          <t>NA</t>
        </is>
      </c>
      <c r="W201" s="257" t="n">
        <v>10</v>
      </c>
      <c r="X201" s="945" t="inlineStr">
        <is>
          <t>NA</t>
        </is>
      </c>
      <c r="Y201" s="237" t="inlineStr">
        <is>
          <t>40</t>
        </is>
      </c>
      <c r="Z201" s="237" t="inlineStr">
        <is>
          <t>NA</t>
        </is>
      </c>
      <c r="AA201" s="237" t="inlineStr">
        <is>
          <t>45.00</t>
        </is>
      </c>
      <c r="AB201" s="636" t="inlineStr">
        <is>
          <t>USAGE ZP</t>
        </is>
      </c>
      <c r="AC201" s="231" t="inlineStr">
        <is>
          <t>ND</t>
        </is>
      </c>
      <c r="AD201" s="257" t="inlineStr">
        <is>
          <t>N</t>
        </is>
      </c>
      <c r="AE201" s="257" t="inlineStr">
        <is>
          <t>NA</t>
        </is>
      </c>
      <c r="AF201" s="257" t="inlineStr">
        <is>
          <t>NA</t>
        </is>
      </c>
      <c r="AG201" s="258" t="inlineStr">
        <is>
          <t>NA</t>
        </is>
      </c>
      <c r="AH201" s="89" t="n"/>
      <c r="AI201" s="316" t="n"/>
      <c r="AJ201" s="317" t="n"/>
      <c r="AK201" s="257" t="n"/>
      <c r="AL201" s="258" t="n"/>
      <c r="AM201" s="318" t="n"/>
      <c r="AN201" s="317" t="n"/>
      <c r="AO201" s="257" t="n"/>
      <c r="AP201" s="258" t="n"/>
      <c r="AQ201" s="318" t="n"/>
      <c r="AR201" s="317" t="n"/>
      <c r="AS201" s="257" t="n"/>
      <c r="AT201" s="258" t="n"/>
      <c r="AU201" s="318" t="n"/>
      <c r="AV201" s="317" t="n"/>
      <c r="AW201" s="257" t="n"/>
      <c r="AX201" s="258" t="n"/>
      <c r="AY201" s="1240" t="inlineStr">
        <is>
          <t>S'il est renseigné, l'identifiant doit correspondre à un enregistrement dans l'objet associé, indépendamment de l'entité
---
Le tiers doit exister (présence du tiers dans TIGRE)
---
Le couple identifiant local / central (1.1 (F1) et 1.2 (F1)) doit exister dans TIGRE</t>
        </is>
      </c>
      <c r="AZ201" s="931" t="inlineStr">
        <is>
          <t>If it is filled in, the identifier must correspond to a record in the associated object, regardless of the entity
---
The third-party must exist (presence of the third-party in TIGRE)
---
The local/central identifier pair (1.1 (F1) and 1.2 (F1)) must exist in TIGRE</t>
        </is>
      </c>
      <c r="BA201" s="1181" t="inlineStr">
        <is>
          <t>7
6
6</t>
        </is>
      </c>
      <c r="BB201" s="1182" t="inlineStr">
        <is>
          <t>TI0003
TIG0002
TIG0004</t>
        </is>
      </c>
      <c r="BC201" s="316" t="n"/>
      <c r="BD201" s="317" t="n"/>
      <c r="BE201" s="257" t="n"/>
      <c r="BF201" s="258" t="n"/>
      <c r="BG201" s="89" t="n"/>
      <c r="BH2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01">
        <f>_xlfn.LET(r,ROW(),oc,INDEX($A:$A,r),cv,TRIM(INDEX($Y:$Y,r)&amp;""),IF(oc&lt;&gt;"P1","",IF(cv="45","V45 - novo, nao alimentado pelo spool atual","V44 - alimentado pelo spool atual")))</f>
        <v/>
      </c>
    </row>
    <row r="202" ht="54" customFormat="1" customHeight="1" s="90">
      <c r="A202" s="306" t="inlineStr">
        <is>
          <t>F2</t>
        </is>
      </c>
      <c r="B202" s="307" t="n">
        <v>13</v>
      </c>
      <c r="C202" s="269" t="inlineStr">
        <is>
          <t>02 - Caractéristiques d'identification fonctionnelles</t>
        </is>
      </c>
      <c r="D202" s="236" t="inlineStr">
        <is>
          <t>02 - Functional identification characteristics</t>
        </is>
      </c>
      <c r="E202" s="307" t="inlineStr">
        <is>
          <t>1.4 (F2)</t>
        </is>
      </c>
      <c r="F202" s="308" t="inlineStr">
        <is>
          <t xml:space="preserve">Référence de l'Autorisation Mise En Place </t>
        </is>
      </c>
      <c r="G202" s="309" t="inlineStr">
        <is>
          <t xml:space="preserve">Overall facility reference </t>
        </is>
      </c>
      <c r="H202" s="309" t="n"/>
      <c r="I202" s="241" t="inlineStr">
        <is>
          <t xml:space="preserve">Référence de l'Autorisation Mise En Place </t>
        </is>
      </c>
      <c r="J202" s="233" t="inlineStr">
        <is>
          <t xml:space="preserve">Reference code of the overall facility </t>
        </is>
      </c>
      <c r="K202" s="269" t="inlineStr">
        <is>
          <t>ND</t>
        </is>
      </c>
      <c r="L202" s="310" t="inlineStr">
        <is>
          <t>ND</t>
        </is>
      </c>
      <c r="M202" s="1420" t="inlineStr">
        <is>
          <t>IdAuto</t>
        </is>
      </c>
      <c r="N202" s="231" t="inlineStr">
        <is>
          <t>Obligatoire</t>
        </is>
      </c>
      <c r="O202" s="236" t="inlineStr">
        <is>
          <t>Mandatory</t>
        </is>
      </c>
      <c r="P202" s="269" t="inlineStr">
        <is>
          <t>NA</t>
        </is>
      </c>
      <c r="Q202" s="269" t="inlineStr">
        <is>
          <t>NA</t>
        </is>
      </c>
      <c r="R202" s="241" t="inlineStr">
        <is>
          <t>Unicité absolue de la donnée au sein du lot</t>
        </is>
      </c>
      <c r="S202" s="233" t="inlineStr">
        <is>
          <t>Data absolutely has to be unique within the batch</t>
        </is>
      </c>
      <c r="T202" s="313" t="inlineStr">
        <is>
          <t>ALPHA</t>
        </is>
      </c>
      <c r="U202" s="237" t="inlineStr">
        <is>
          <t>NA</t>
        </is>
      </c>
      <c r="V202" s="238" t="inlineStr">
        <is>
          <t>NA</t>
        </is>
      </c>
      <c r="W202" s="257" t="n">
        <v>30</v>
      </c>
      <c r="X202" s="945" t="inlineStr">
        <is>
          <t>NA</t>
        </is>
      </c>
      <c r="Y202" s="237" t="inlineStr">
        <is>
          <t>40</t>
        </is>
      </c>
      <c r="Z202" s="237" t="inlineStr">
        <is>
          <t>NA</t>
        </is>
      </c>
      <c r="AA202" s="270" t="inlineStr">
        <is>
          <t>NA</t>
        </is>
      </c>
      <c r="AB202" s="1287" t="inlineStr">
        <is>
          <t>ASTRE, CALCULS PRUDENTIELS, PALMA</t>
        </is>
      </c>
      <c r="AC202" s="231" t="inlineStr">
        <is>
          <t>ND</t>
        </is>
      </c>
      <c r="AD202" s="257" t="inlineStr">
        <is>
          <t>N</t>
        </is>
      </c>
      <c r="AE202" s="257" t="inlineStr">
        <is>
          <t>NA</t>
        </is>
      </c>
      <c r="AF202" s="257" t="inlineStr">
        <is>
          <t>NA</t>
        </is>
      </c>
      <c r="AG202" s="258" t="inlineStr">
        <is>
          <t>NA</t>
        </is>
      </c>
      <c r="AH202" s="89" t="n"/>
      <c r="AI202" s="316" t="inlineStr">
        <is>
          <t>La donnée est obligatoire</t>
        </is>
      </c>
      <c r="AJ202" s="317" t="inlineStr">
        <is>
          <t>The data is mandatory</t>
        </is>
      </c>
      <c r="AK202" s="257" t="n">
        <v>7</v>
      </c>
      <c r="AL202" s="380" t="inlineStr">
        <is>
          <t>TPG0001
TPA0001</t>
        </is>
      </c>
      <c r="AM202" s="318" t="n"/>
      <c r="AN202" s="317" t="n"/>
      <c r="AO202" s="257" t="n"/>
      <c r="AP202" s="258" t="n"/>
      <c r="AQ202" s="318" t="n"/>
      <c r="AR202" s="317" t="n"/>
      <c r="AS202" s="257" t="n"/>
      <c r="AT202" s="258" t="n"/>
      <c r="AU202" s="318" t="n"/>
      <c r="AV202" s="317" t="n"/>
      <c r="AW202" s="257" t="n"/>
      <c r="AX202" s="258" t="n"/>
      <c r="AY202" s="1177" t="inlineStr">
        <is>
          <t>S'il est renseigné, l'identifiant doit correspondre à un enregistrement dans l'objet associé, indépendamment de l'entité</t>
        </is>
      </c>
      <c r="AZ202" s="317" t="inlineStr">
        <is>
          <t>If it is filled in, the identifier must correspond to a record in the associated object, regardless of the entity</t>
        </is>
      </c>
      <c r="BA202" s="257" t="n">
        <v>7</v>
      </c>
      <c r="BB202" s="1178" t="inlineStr">
        <is>
          <t>TI0003</t>
        </is>
      </c>
      <c r="BC202" s="316" t="n"/>
      <c r="BD202" s="317" t="n"/>
      <c r="BE202" s="257" t="n"/>
      <c r="BF202" s="258" t="n"/>
      <c r="BG202" s="89" t="n"/>
      <c r="BH2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02">
        <f>_xlfn.LET(r,ROW(),oc,INDEX($A:$A,r),cv,TRIM(INDEX($Y:$Y,r)&amp;""),IF(oc&lt;&gt;"P1","",IF(cv="45","V45 - novo, nao alimentado pelo spool atual","V44 - alimentado pelo spool atual")))</f>
        <v/>
      </c>
    </row>
    <row r="203" ht="54" customFormat="1" customHeight="1" s="90">
      <c r="A203" s="306" t="inlineStr">
        <is>
          <t>F2</t>
        </is>
      </c>
      <c r="B203" s="307" t="n">
        <v>14</v>
      </c>
      <c r="C203" s="269" t="inlineStr">
        <is>
          <t>02a - Caractéristiques d'identification fonctionnelles (clé)</t>
        </is>
      </c>
      <c r="D203" s="236" t="inlineStr">
        <is>
          <t>02a - Functional identification characteristics (key)</t>
        </is>
      </c>
      <c r="E203" s="307" t="inlineStr">
        <is>
          <t>1.6 (F2)</t>
        </is>
      </c>
      <c r="F203" s="389" t="inlineStr">
        <is>
          <t>Référence de la ligne de détail de l'Autorisation Mise En Place</t>
        </is>
      </c>
      <c r="G203" s="309" t="inlineStr">
        <is>
          <t>Facility detail line reference</t>
        </is>
      </c>
      <c r="H203" s="309" t="n"/>
      <c r="I203" s="241" t="inlineStr">
        <is>
          <t>Référence de la ligne de détail de l'Autorisation Mise En Place</t>
        </is>
      </c>
      <c r="J203" s="233" t="inlineStr">
        <is>
          <t>Reference code of the facility detail line</t>
        </is>
      </c>
      <c r="K203" s="269" t="inlineStr">
        <is>
          <t>ND</t>
        </is>
      </c>
      <c r="L203" s="310" t="inlineStr">
        <is>
          <t>ND</t>
        </is>
      </c>
      <c r="M203" s="1420" t="inlineStr">
        <is>
          <t>IdLigneAuto</t>
        </is>
      </c>
      <c r="N203" s="231" t="inlineStr">
        <is>
          <t>Obligatoire</t>
        </is>
      </c>
      <c r="O203" s="236" t="inlineStr">
        <is>
          <t>Mandatory</t>
        </is>
      </c>
      <c r="P203" s="269" t="inlineStr">
        <is>
          <t>NA</t>
        </is>
      </c>
      <c r="Q203" s="269" t="inlineStr">
        <is>
          <t>NA</t>
        </is>
      </c>
      <c r="R203" s="241" t="inlineStr">
        <is>
          <t>Pour un lot déterminé, la référence de l'autorisation mise en place doit être unique au sein du lot et et ne doit pas avoir de référence de ligne d'autorisation, d'encours, de garantie ou de provision ayant la même valeur dans le lot</t>
        </is>
      </c>
      <c r="S203" s="233" t="inlineStr">
        <is>
          <t>For a given batch, the reference code of the arranged facility must be unique within the batch and no facility line, outstanding amount, mitigant or provision within the batch may have the same reference code</t>
        </is>
      </c>
      <c r="T203" s="313" t="inlineStr">
        <is>
          <t>ALPHA</t>
        </is>
      </c>
      <c r="U203" s="237" t="inlineStr">
        <is>
          <t>NA</t>
        </is>
      </c>
      <c r="V203" s="238" t="inlineStr">
        <is>
          <t>NA</t>
        </is>
      </c>
      <c r="W203" s="257" t="n">
        <v>30</v>
      </c>
      <c r="X203" s="945" t="inlineStr">
        <is>
          <t>NA</t>
        </is>
      </c>
      <c r="Y203" s="237" t="inlineStr">
        <is>
          <t>40</t>
        </is>
      </c>
      <c r="Z203" s="237" t="inlineStr">
        <is>
          <t>NA</t>
        </is>
      </c>
      <c r="AA203" s="270" t="inlineStr">
        <is>
          <t>NA</t>
        </is>
      </c>
      <c r="AB203" s="1287" t="inlineStr">
        <is>
          <t>ASTRE, CALCULS PRUDENTIELS</t>
        </is>
      </c>
      <c r="AC203" s="231" t="inlineStr">
        <is>
          <t>ND</t>
        </is>
      </c>
      <c r="AD203" s="257" t="inlineStr">
        <is>
          <t>N</t>
        </is>
      </c>
      <c r="AE203" s="257" t="inlineStr">
        <is>
          <t>NA</t>
        </is>
      </c>
      <c r="AF203" s="257" t="inlineStr">
        <is>
          <t>NA</t>
        </is>
      </c>
      <c r="AG203" s="258" t="inlineStr">
        <is>
          <t>NA</t>
        </is>
      </c>
      <c r="AH203" s="89" t="n"/>
      <c r="AI203" s="316" t="inlineStr">
        <is>
          <t>La donnée est obligatoire</t>
        </is>
      </c>
      <c r="AJ203" s="317" t="inlineStr">
        <is>
          <t>The data is mandatory</t>
        </is>
      </c>
      <c r="AK203" s="257" t="n">
        <v>7</v>
      </c>
      <c r="AL203" s="258" t="inlineStr">
        <is>
          <t>TP0001</t>
        </is>
      </c>
      <c r="AM203" s="318" t="n"/>
      <c r="AN203" s="317" t="n"/>
      <c r="AO203" s="257" t="n"/>
      <c r="AP203" s="258" t="n"/>
      <c r="AQ203" s="318" t="n"/>
      <c r="AR203" s="317" t="n"/>
      <c r="AS203" s="257" t="n"/>
      <c r="AT203" s="258" t="n"/>
      <c r="AU203" s="318" t="n"/>
      <c r="AV203" s="317" t="n"/>
      <c r="AW203" s="257" t="n"/>
      <c r="AX203" s="258" t="n"/>
      <c r="AY203" s="1247" t="inlineStr">
        <is>
          <t>Dans le cadre du PACT Interlot, l'identifiant de la ligne d'autorisation doit être unique.
---
Vérification de l'unicité absolue de la donnée au sein du lot (i.e. pas de doublons de [EN0106], ni d'égalité, après complément par des blancs, avec une des valeurs prises par [EN0111], [EN0104], [EN0108] ou encore [EN0116])
---
L'identifiant renseigné doit être unique au sein de l'entité porteuse de risque
---
Unicité absolue de la donnée au sein du lot</t>
        </is>
      </c>
      <c r="AZ203" s="317" t="inlineStr">
        <is>
          <t>In the "interlot" scope, the value of authorization line identification must be unique.
---
Verification of the absolute uniqueness of the data within the batch (i.e. no duplicates of [EN0106], nor of equality, after addition by blanks, with one of the values taken by [EN0111], [EN0104], [EN0108] or [EN0116])
---
The identifier provided must be unique within the entity carrying the risk
---
The data must be unique within the batch</t>
        </is>
      </c>
      <c r="BA203" s="257" t="n">
        <v>7</v>
      </c>
      <c r="BB203" s="320" t="inlineStr">
        <is>
          <t>TC0266
TC0275
TU0001
TU0007</t>
        </is>
      </c>
      <c r="BC203" s="316" t="n"/>
      <c r="BD203" s="317" t="n"/>
      <c r="BE203" s="257" t="n"/>
      <c r="BF203" s="258" t="n"/>
      <c r="BG203" s="89" t="n"/>
      <c r="BH2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03">
        <f>_xlfn.LET(r,ROW(),oc,INDEX($A:$A,r),cv,TRIM(INDEX($Y:$Y,r)&amp;""),IF(oc&lt;&gt;"P1","",IF(cv="45","V45 - novo, nao alimentado pelo spool atual","V44 - alimentado pelo spool atual")))</f>
        <v/>
      </c>
    </row>
    <row r="204" ht="54" customFormat="1" customHeight="1" s="55">
      <c r="A204" s="325" t="inlineStr">
        <is>
          <t>F2</t>
        </is>
      </c>
      <c r="B204" s="326" t="n">
        <v>15</v>
      </c>
      <c r="C204" s="284" t="inlineStr">
        <is>
          <t>NA</t>
        </is>
      </c>
      <c r="D204" s="244" t="inlineStr">
        <is>
          <t>NA</t>
        </is>
      </c>
      <c r="E204" s="326" t="inlineStr">
        <is>
          <t>1.8 (F2)</t>
        </is>
      </c>
      <c r="F204" s="327" t="inlineStr">
        <is>
          <t>Identifiant de la sûreté reçue</t>
        </is>
      </c>
      <c r="G204" s="327" t="inlineStr">
        <is>
          <t>Mitigant identifier</t>
        </is>
      </c>
      <c r="H204" s="327" t="n"/>
      <c r="I204" s="245" t="inlineStr">
        <is>
          <t>Identifiant de la sûreté reçue</t>
        </is>
      </c>
      <c r="J204" s="245" t="inlineStr">
        <is>
          <t>ID of Mitigant received</t>
        </is>
      </c>
      <c r="K204" s="284" t="inlineStr">
        <is>
          <t>NA</t>
        </is>
      </c>
      <c r="L204" s="284" t="inlineStr">
        <is>
          <t>NA</t>
        </is>
      </c>
      <c r="M204" s="1421" t="inlineStr">
        <is>
          <t>IdSurRecue</t>
        </is>
      </c>
      <c r="N204" s="284" t="inlineStr">
        <is>
          <t>NA</t>
        </is>
      </c>
      <c r="O204" s="284" t="inlineStr">
        <is>
          <t>NA</t>
        </is>
      </c>
      <c r="P204" s="284" t="inlineStr">
        <is>
          <t>NA</t>
        </is>
      </c>
      <c r="Q204" s="284" t="inlineStr">
        <is>
          <t>NA</t>
        </is>
      </c>
      <c r="R204" s="245" t="inlineStr">
        <is>
          <t>NA</t>
        </is>
      </c>
      <c r="S204" s="245" t="inlineStr">
        <is>
          <t>NA</t>
        </is>
      </c>
      <c r="T204" s="326" t="inlineStr">
        <is>
          <t>ALPHA</t>
        </is>
      </c>
      <c r="U204" s="248" t="inlineStr">
        <is>
          <t>NA</t>
        </is>
      </c>
      <c r="V204" s="248" t="inlineStr">
        <is>
          <t>NA</t>
        </is>
      </c>
      <c r="W204" s="284" t="n">
        <v>40</v>
      </c>
      <c r="X204" s="244" t="inlineStr">
        <is>
          <t>NA</t>
        </is>
      </c>
      <c r="Y204" s="248" t="inlineStr">
        <is>
          <t>NA</t>
        </is>
      </c>
      <c r="Z204" s="248" t="n">
        <v>43</v>
      </c>
      <c r="AA204" s="248" t="inlineStr">
        <is>
          <t>NA</t>
        </is>
      </c>
      <c r="AB204" s="328" t="inlineStr">
        <is>
          <t>NA</t>
        </is>
      </c>
      <c r="AC204" s="244" t="inlineStr">
        <is>
          <t>NA</t>
        </is>
      </c>
      <c r="AD204" s="284" t="inlineStr">
        <is>
          <t>N</t>
        </is>
      </c>
      <c r="AE204" s="284" t="inlineStr">
        <is>
          <t>NA</t>
        </is>
      </c>
      <c r="AF204" s="284" t="inlineStr">
        <is>
          <t>NA</t>
        </is>
      </c>
      <c r="AG204" s="285" t="inlineStr">
        <is>
          <t>NA</t>
        </is>
      </c>
      <c r="AH204" s="89" t="n"/>
      <c r="AI204" s="330" t="n"/>
      <c r="AJ204" s="331" t="n"/>
      <c r="AK204" s="284" t="n"/>
      <c r="AL204" s="285" t="n"/>
      <c r="AM204" s="331" t="n"/>
      <c r="AN204" s="331" t="n"/>
      <c r="AO204" s="284" t="n"/>
      <c r="AP204" s="285" t="n"/>
      <c r="AQ204" s="331" t="n"/>
      <c r="AR204" s="331" t="n"/>
      <c r="AS204" s="284" t="n"/>
      <c r="AT204" s="285" t="n"/>
      <c r="AU204" s="331" t="n"/>
      <c r="AV204" s="331" t="n"/>
      <c r="AW204" s="284" t="n"/>
      <c r="AX204" s="285" t="n"/>
      <c r="AY204" s="331" t="n"/>
      <c r="AZ204" s="331" t="n"/>
      <c r="BA204" s="284" t="n"/>
      <c r="BB204" s="285" t="n"/>
      <c r="BC204" s="330" t="n"/>
      <c r="BD204" s="331" t="n"/>
      <c r="BE204" s="284" t="n"/>
      <c r="BF204" s="285" t="n"/>
      <c r="BG204" s="89" t="n"/>
      <c r="BH2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04">
        <f>_xlfn.LET(r,ROW(),oc,INDEX($A:$A,r),cv,TRIM(INDEX($Y:$Y,r)&amp;""),IF(oc&lt;&gt;"P1","",IF(cv="45","V45 - novo, nao alimentado pelo spool atual","V44 - alimentado pelo spool atual")))</f>
        <v/>
      </c>
    </row>
    <row r="205" ht="54" customFormat="1" customHeight="1" s="55">
      <c r="A205" s="325" t="inlineStr">
        <is>
          <t>F2</t>
        </is>
      </c>
      <c r="B205" s="326" t="n">
        <v>16</v>
      </c>
      <c r="C205" s="284" t="inlineStr">
        <is>
          <t>NA</t>
        </is>
      </c>
      <c r="D205" s="244" t="inlineStr">
        <is>
          <t>NA</t>
        </is>
      </c>
      <c r="E205" s="326" t="inlineStr">
        <is>
          <t>1.11 (F2)</t>
        </is>
      </c>
      <c r="F205" s="327" t="inlineStr">
        <is>
          <t>Identifiant de l'engagement</t>
        </is>
      </c>
      <c r="G205" s="327" t="inlineStr">
        <is>
          <t>Product identifier</t>
        </is>
      </c>
      <c r="H205" s="327" t="n"/>
      <c r="I205" s="245" t="inlineStr">
        <is>
          <t>Identifiant unique de l'engagement dans le système local utilisé pour générer le flux</t>
        </is>
      </c>
      <c r="J205" s="245" t="inlineStr">
        <is>
          <t>Unique ID of the commitment in the local system used to generate the flow</t>
        </is>
      </c>
      <c r="K205" s="284" t="inlineStr">
        <is>
          <t>NA</t>
        </is>
      </c>
      <c r="L205" s="284" t="inlineStr">
        <is>
          <t>NA</t>
        </is>
      </c>
      <c r="M205" s="1421" t="inlineStr">
        <is>
          <t>IdEng</t>
        </is>
      </c>
      <c r="N205" s="328" t="inlineStr">
        <is>
          <t>NA</t>
        </is>
      </c>
      <c r="O205" s="284" t="inlineStr">
        <is>
          <t>NA</t>
        </is>
      </c>
      <c r="P205" s="284" t="inlineStr">
        <is>
          <t>NA</t>
        </is>
      </c>
      <c r="Q205" s="284" t="inlineStr">
        <is>
          <t>NA</t>
        </is>
      </c>
      <c r="R205" s="245" t="inlineStr">
        <is>
          <t>NA</t>
        </is>
      </c>
      <c r="S205" s="245" t="inlineStr">
        <is>
          <t>NA</t>
        </is>
      </c>
      <c r="T205" s="326" t="inlineStr">
        <is>
          <t>ALPHA</t>
        </is>
      </c>
      <c r="U205" s="248" t="inlineStr">
        <is>
          <t>NA</t>
        </is>
      </c>
      <c r="V205" s="248" t="inlineStr">
        <is>
          <t>NA</t>
        </is>
      </c>
      <c r="W205" s="284" t="n">
        <v>40</v>
      </c>
      <c r="X205" s="244" t="inlineStr">
        <is>
          <t>NA</t>
        </is>
      </c>
      <c r="Y205" s="248" t="inlineStr">
        <is>
          <t>NA</t>
        </is>
      </c>
      <c r="Z205" s="248" t="n">
        <v>43</v>
      </c>
      <c r="AA205" s="248" t="inlineStr">
        <is>
          <t>NA</t>
        </is>
      </c>
      <c r="AB205" s="328" t="inlineStr">
        <is>
          <t>NA</t>
        </is>
      </c>
      <c r="AC205" s="244" t="inlineStr">
        <is>
          <t>NA</t>
        </is>
      </c>
      <c r="AD205" s="284" t="inlineStr">
        <is>
          <t>N</t>
        </is>
      </c>
      <c r="AE205" s="284" t="inlineStr">
        <is>
          <t>NA</t>
        </is>
      </c>
      <c r="AF205" s="284" t="inlineStr">
        <is>
          <t>NA</t>
        </is>
      </c>
      <c r="AG205" s="285" t="inlineStr">
        <is>
          <t>NA</t>
        </is>
      </c>
      <c r="AH205" s="89" t="n"/>
      <c r="AI205" s="330" t="n"/>
      <c r="AJ205" s="331" t="n"/>
      <c r="AK205" s="284" t="n"/>
      <c r="AL205" s="285" t="n"/>
      <c r="AM205" s="331" t="n"/>
      <c r="AN205" s="331" t="n"/>
      <c r="AO205" s="284" t="n"/>
      <c r="AP205" s="285" t="n"/>
      <c r="AQ205" s="331" t="n"/>
      <c r="AR205" s="331" t="n"/>
      <c r="AS205" s="284" t="n"/>
      <c r="AT205" s="285" t="n"/>
      <c r="AU205" s="331" t="n"/>
      <c r="AV205" s="331" t="n"/>
      <c r="AW205" s="284" t="n"/>
      <c r="AX205" s="285" t="n"/>
      <c r="AY205" s="331" t="n"/>
      <c r="AZ205" s="331" t="n"/>
      <c r="BA205" s="284" t="n"/>
      <c r="BB205" s="285" t="n"/>
      <c r="BC205" s="330" t="n"/>
      <c r="BD205" s="331" t="n"/>
      <c r="BE205" s="284" t="n"/>
      <c r="BF205" s="285" t="n"/>
      <c r="BG205" s="89" t="n"/>
      <c r="BH2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05">
        <f>_xlfn.LET(r,ROW(),oc,INDEX($A:$A,r),cv,TRIM(INDEX($Y:$Y,r)&amp;""),IF(oc&lt;&gt;"P1","",IF(cv="45","V45 - novo, nao alimentado pelo spool atual","V44 - alimentado pelo spool atual")))</f>
        <v/>
      </c>
    </row>
    <row r="206" ht="54" customFormat="1" customHeight="1" s="54">
      <c r="A206" s="243" t="inlineStr">
        <is>
          <t>F2</t>
        </is>
      </c>
      <c r="B206" s="244" t="n">
        <v>17</v>
      </c>
      <c r="C206" s="284" t="inlineStr">
        <is>
          <t>16 - Identification Tiers</t>
        </is>
      </c>
      <c r="D206" s="244" t="inlineStr">
        <is>
          <t>16 - Third party identification</t>
        </is>
      </c>
      <c r="E206" s="246" t="inlineStr">
        <is>
          <t>1.16 (F2)</t>
        </is>
      </c>
      <c r="F206" s="247" t="inlineStr">
        <is>
          <t>Référence de la provision sur tiers</t>
        </is>
      </c>
      <c r="G206" s="247" t="inlineStr">
        <is>
          <t>Reference for the counterparty provision</t>
        </is>
      </c>
      <c r="H206" s="247" t="n"/>
      <c r="I206" s="247" t="inlineStr">
        <is>
          <t>Référence de la provision sur tiers</t>
        </is>
      </c>
      <c r="J206" s="247" t="inlineStr">
        <is>
          <t>Reference code of the provision for external counterparties</t>
        </is>
      </c>
      <c r="K206" s="244" t="inlineStr">
        <is>
          <t>NA</t>
        </is>
      </c>
      <c r="L206" s="244" t="inlineStr">
        <is>
          <t>NA</t>
        </is>
      </c>
      <c r="M206" s="1408" t="inlineStr">
        <is>
          <t>IdProvTiers</t>
        </is>
      </c>
      <c r="N206" s="244" t="inlineStr">
        <is>
          <t>NA</t>
        </is>
      </c>
      <c r="O206" s="244" t="inlineStr">
        <is>
          <t>NA</t>
        </is>
      </c>
      <c r="P206" s="246" t="inlineStr">
        <is>
          <t>NA</t>
        </is>
      </c>
      <c r="Q206" s="246" t="inlineStr">
        <is>
          <t>NA</t>
        </is>
      </c>
      <c r="R206" s="247" t="inlineStr">
        <is>
          <t>NA</t>
        </is>
      </c>
      <c r="S206" s="247" t="inlineStr">
        <is>
          <t>NA</t>
        </is>
      </c>
      <c r="T206" s="246" t="inlineStr">
        <is>
          <t>ALPHA</t>
        </is>
      </c>
      <c r="U206" s="248" t="inlineStr">
        <is>
          <t>NA</t>
        </is>
      </c>
      <c r="V206" s="248" t="inlineStr">
        <is>
          <t>NA</t>
        </is>
      </c>
      <c r="W206" s="244" t="n">
        <v>40</v>
      </c>
      <c r="X206" s="244" t="inlineStr">
        <is>
          <t>NA</t>
        </is>
      </c>
      <c r="Y206" s="249" t="inlineStr">
        <is>
          <t>NA</t>
        </is>
      </c>
      <c r="Z206" s="249" t="inlineStr">
        <is>
          <t>NA</t>
        </is>
      </c>
      <c r="AA206" s="249" t="inlineStr">
        <is>
          <t>NA</t>
        </is>
      </c>
      <c r="AB206" s="244" t="inlineStr">
        <is>
          <t>USAGE ZP</t>
        </is>
      </c>
      <c r="AC206" s="244" t="inlineStr">
        <is>
          <t>NA</t>
        </is>
      </c>
      <c r="AD206" s="244" t="inlineStr">
        <is>
          <t>N</t>
        </is>
      </c>
      <c r="AE206" s="244" t="inlineStr">
        <is>
          <t>NA</t>
        </is>
      </c>
      <c r="AF206" s="244" t="inlineStr">
        <is>
          <t>NA</t>
        </is>
      </c>
      <c r="AG206" s="250" t="inlineStr">
        <is>
          <t>NA</t>
        </is>
      </c>
      <c r="AH206" s="89" t="n"/>
      <c r="AI206" s="251" t="n"/>
      <c r="AJ206" s="252" t="n"/>
      <c r="AK206" s="246" t="n"/>
      <c r="AL206" s="253" t="n"/>
      <c r="AM206" s="252" t="n"/>
      <c r="AN206" s="252" t="n"/>
      <c r="AO206" s="246" t="n"/>
      <c r="AP206" s="253" t="n"/>
      <c r="AQ206" s="252" t="n"/>
      <c r="AR206" s="252" t="n"/>
      <c r="AS206" s="246" t="n"/>
      <c r="AT206" s="253" t="n"/>
      <c r="AU206" s="254" t="n"/>
      <c r="AV206" s="254" t="n"/>
      <c r="AW206" s="246" t="n"/>
      <c r="AX206" s="253" t="n"/>
      <c r="AY206" s="252" t="n"/>
      <c r="AZ206" s="252" t="n"/>
      <c r="BA206" s="246" t="n"/>
      <c r="BB206" s="253" t="n"/>
      <c r="BC206" s="251" t="n"/>
      <c r="BD206" s="252" t="n"/>
      <c r="BE206" s="246" t="n"/>
      <c r="BF206" s="253" t="n"/>
      <c r="BG206" s="89" t="n"/>
      <c r="BH2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06">
        <f>_xlfn.LET(r,ROW(),oc,INDEX($A:$A,r),cv,TRIM(INDEX($Y:$Y,r)&amp;""),IF(oc&lt;&gt;"P1","",IF(cv="45","V45 - novo, nao alimentado pelo spool atual","V44 - alimentado pelo spool atual")))</f>
        <v/>
      </c>
    </row>
    <row r="207" ht="54" customFormat="1" customHeight="1" s="56">
      <c r="A207" s="325" t="inlineStr">
        <is>
          <t>F2</t>
        </is>
      </c>
      <c r="B207" s="326" t="n">
        <v>18</v>
      </c>
      <c r="C207" s="284" t="inlineStr">
        <is>
          <t>NA</t>
        </is>
      </c>
      <c r="D207" s="244" t="inlineStr">
        <is>
          <t>NA</t>
        </is>
      </c>
      <c r="E207" s="333" t="inlineStr">
        <is>
          <t>1.99 (F2)</t>
        </is>
      </c>
      <c r="F207" s="329" t="inlineStr">
        <is>
          <t>Filler</t>
        </is>
      </c>
      <c r="G207" s="329" t="inlineStr">
        <is>
          <t>Filler</t>
        </is>
      </c>
      <c r="H207" s="329" t="n"/>
      <c r="I207" s="247" t="inlineStr">
        <is>
          <t>Zone libre</t>
        </is>
      </c>
      <c r="J207" s="329" t="inlineStr">
        <is>
          <t>Free zone</t>
        </is>
      </c>
      <c r="K207" s="328" t="inlineStr">
        <is>
          <t>NA</t>
        </is>
      </c>
      <c r="L207" s="328" t="inlineStr">
        <is>
          <t>NA</t>
        </is>
      </c>
      <c r="M207" s="1421" t="inlineStr">
        <is>
          <t>ZoneLibre1</t>
        </is>
      </c>
      <c r="N207" s="284" t="inlineStr">
        <is>
          <t>NA</t>
        </is>
      </c>
      <c r="O207" s="328" t="inlineStr">
        <is>
          <t>NA</t>
        </is>
      </c>
      <c r="P207" s="284" t="inlineStr">
        <is>
          <t>NA</t>
        </is>
      </c>
      <c r="Q207" s="284" t="inlineStr">
        <is>
          <t>NA</t>
        </is>
      </c>
      <c r="R207" s="247" t="inlineStr">
        <is>
          <t>Laisser à vide</t>
        </is>
      </c>
      <c r="S207" s="247" t="inlineStr">
        <is>
          <t>Leave empty</t>
        </is>
      </c>
      <c r="T207" s="333" t="inlineStr">
        <is>
          <t>ALPHA</t>
        </is>
      </c>
      <c r="U207" s="256" t="inlineStr">
        <is>
          <t>NA</t>
        </is>
      </c>
      <c r="V207" s="256" t="inlineStr">
        <is>
          <t>NA</t>
        </is>
      </c>
      <c r="W207" s="328" t="n">
        <v>11</v>
      </c>
      <c r="X207" s="244" t="inlineStr">
        <is>
          <t>NA</t>
        </is>
      </c>
      <c r="Y207" s="248" t="inlineStr">
        <is>
          <t>NA</t>
        </is>
      </c>
      <c r="Z207" s="256" t="inlineStr">
        <is>
          <t>NA</t>
        </is>
      </c>
      <c r="AA207" s="256" t="inlineStr">
        <is>
          <t>NA</t>
        </is>
      </c>
      <c r="AB207" s="284" t="inlineStr">
        <is>
          <t>NA</t>
        </is>
      </c>
      <c r="AC207" s="244" t="inlineStr">
        <is>
          <t>NA</t>
        </is>
      </c>
      <c r="AD207" s="284" t="inlineStr">
        <is>
          <t>N</t>
        </is>
      </c>
      <c r="AE207" s="328" t="inlineStr">
        <is>
          <t>NA</t>
        </is>
      </c>
      <c r="AF207" s="328" t="inlineStr">
        <is>
          <t>NA</t>
        </is>
      </c>
      <c r="AG207" s="334" t="inlineStr">
        <is>
          <t>NA</t>
        </is>
      </c>
      <c r="AH207" s="89" t="n"/>
      <c r="AI207" s="330" t="n"/>
      <c r="AJ207" s="331" t="n"/>
      <c r="AK207" s="284" t="n"/>
      <c r="AL207" s="285" t="n"/>
      <c r="AM207" s="331" t="n"/>
      <c r="AN207" s="331" t="n"/>
      <c r="AO207" s="284" t="n"/>
      <c r="AP207" s="285" t="n"/>
      <c r="AQ207" s="331" t="n"/>
      <c r="AR207" s="331" t="n"/>
      <c r="AS207" s="284" t="n"/>
      <c r="AT207" s="285" t="n"/>
      <c r="AU207" s="331" t="n"/>
      <c r="AV207" s="331" t="n"/>
      <c r="AW207" s="284" t="n"/>
      <c r="AX207" s="285" t="n"/>
      <c r="AY207" s="331" t="n"/>
      <c r="AZ207" s="331" t="n"/>
      <c r="BA207" s="284" t="n"/>
      <c r="BB207" s="285" t="n"/>
      <c r="BC207" s="330" t="n"/>
      <c r="BD207" s="331" t="n"/>
      <c r="BE207" s="284" t="n"/>
      <c r="BF207" s="285" t="n"/>
      <c r="BG207" s="89" t="n"/>
      <c r="BH2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07">
        <f>_xlfn.LET(r,ROW(),oc,INDEX($A:$A,r),cv,TRIM(INDEX($Y:$Y,r)&amp;""),IF(oc&lt;&gt;"P1","",IF(cv="45","V45 - novo, nao alimentado pelo spool atual","V44 - alimentado pelo spool atual")))</f>
        <v/>
      </c>
    </row>
    <row r="208" ht="54" customFormat="1" customHeight="1" s="56">
      <c r="A208" s="325" t="inlineStr">
        <is>
          <t>F2</t>
        </is>
      </c>
      <c r="B208" s="326" t="n">
        <v>19</v>
      </c>
      <c r="C208" s="284" t="inlineStr">
        <is>
          <t>NA</t>
        </is>
      </c>
      <c r="D208" s="244" t="inlineStr">
        <is>
          <t>NA</t>
        </is>
      </c>
      <c r="E208" s="333" t="inlineStr">
        <is>
          <t>1.98 (F2)</t>
        </is>
      </c>
      <c r="F208" s="329" t="inlineStr">
        <is>
          <t>Filler</t>
        </is>
      </c>
      <c r="G208" s="329" t="inlineStr">
        <is>
          <t>Filler</t>
        </is>
      </c>
      <c r="H208" s="329" t="n"/>
      <c r="I208" s="247" t="inlineStr">
        <is>
          <t>Zone libre</t>
        </is>
      </c>
      <c r="J208" s="329" t="inlineStr">
        <is>
          <t>Free zone</t>
        </is>
      </c>
      <c r="K208" s="328" t="inlineStr">
        <is>
          <t>NA</t>
        </is>
      </c>
      <c r="L208" s="328" t="inlineStr">
        <is>
          <t>NA</t>
        </is>
      </c>
      <c r="M208" s="1421" t="inlineStr">
        <is>
          <t>NA</t>
        </is>
      </c>
      <c r="N208" s="284" t="inlineStr">
        <is>
          <t>NA</t>
        </is>
      </c>
      <c r="O208" s="328" t="inlineStr">
        <is>
          <t>NA</t>
        </is>
      </c>
      <c r="P208" s="284" t="inlineStr">
        <is>
          <t>NA</t>
        </is>
      </c>
      <c r="Q208" s="284" t="inlineStr">
        <is>
          <t>NA</t>
        </is>
      </c>
      <c r="R208" s="247" t="inlineStr">
        <is>
          <t>Laisser à vide</t>
        </is>
      </c>
      <c r="S208" s="247" t="inlineStr">
        <is>
          <t>Leave empty</t>
        </is>
      </c>
      <c r="T208" s="333" t="inlineStr">
        <is>
          <t>ALPHA</t>
        </is>
      </c>
      <c r="U208" s="256" t="inlineStr">
        <is>
          <t>NA</t>
        </is>
      </c>
      <c r="V208" s="256" t="inlineStr">
        <is>
          <t>NA</t>
        </is>
      </c>
      <c r="W208" s="328" t="n">
        <v>7</v>
      </c>
      <c r="X208" s="244" t="inlineStr">
        <is>
          <t>NA</t>
        </is>
      </c>
      <c r="Y208" s="248" t="inlineStr">
        <is>
          <t>NA</t>
        </is>
      </c>
      <c r="Z208" s="256" t="inlineStr">
        <is>
          <t>NA</t>
        </is>
      </c>
      <c r="AA208" s="256" t="inlineStr">
        <is>
          <t>NA</t>
        </is>
      </c>
      <c r="AB208" s="284" t="inlineStr">
        <is>
          <t>NA</t>
        </is>
      </c>
      <c r="AC208" s="244" t="inlineStr">
        <is>
          <t>NA</t>
        </is>
      </c>
      <c r="AD208" s="284" t="inlineStr">
        <is>
          <t>N</t>
        </is>
      </c>
      <c r="AE208" s="328" t="inlineStr">
        <is>
          <t>NA</t>
        </is>
      </c>
      <c r="AF208" s="328" t="inlineStr">
        <is>
          <t>NA</t>
        </is>
      </c>
      <c r="AG208" s="334" t="inlineStr">
        <is>
          <t>NA</t>
        </is>
      </c>
      <c r="AH208" s="89" t="n"/>
      <c r="AI208" s="330" t="n"/>
      <c r="AJ208" s="331" t="n"/>
      <c r="AK208" s="284" t="n"/>
      <c r="AL208" s="285" t="n"/>
      <c r="AM208" s="331" t="n"/>
      <c r="AN208" s="331" t="n"/>
      <c r="AO208" s="284" t="n"/>
      <c r="AP208" s="285" t="n"/>
      <c r="AQ208" s="331" t="n"/>
      <c r="AR208" s="331" t="n"/>
      <c r="AS208" s="284" t="n"/>
      <c r="AT208" s="285" t="n"/>
      <c r="AU208" s="331" t="n"/>
      <c r="AV208" s="331" t="n"/>
      <c r="AW208" s="284" t="n"/>
      <c r="AX208" s="285" t="n"/>
      <c r="AY208" s="331" t="n"/>
      <c r="AZ208" s="331" t="n"/>
      <c r="BA208" s="284" t="n"/>
      <c r="BB208" s="285" t="n"/>
      <c r="BC208" s="330" t="n"/>
      <c r="BD208" s="331" t="n"/>
      <c r="BE208" s="284" t="n"/>
      <c r="BF208" s="285" t="n"/>
      <c r="BG208" s="89" t="n"/>
      <c r="BH2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08">
        <f>_xlfn.LET(r,ROW(),oc,INDEX($A:$A,r),cv,TRIM(INDEX($Y:$Y,r)&amp;""),IF(oc&lt;&gt;"P1","",IF(cv="45","V45 - novo, nao alimentado pelo spool atual","V44 - alimentado pelo spool atual")))</f>
        <v/>
      </c>
    </row>
    <row r="209" ht="54" customFormat="1" customHeight="1" s="56">
      <c r="A209" s="325" t="inlineStr">
        <is>
          <t>F2</t>
        </is>
      </c>
      <c r="B209" s="326" t="n">
        <v>20</v>
      </c>
      <c r="C209" s="284" t="inlineStr">
        <is>
          <t>NA</t>
        </is>
      </c>
      <c r="D209" s="244" t="inlineStr">
        <is>
          <t>NA</t>
        </is>
      </c>
      <c r="E209" s="333" t="inlineStr">
        <is>
          <t>1.97 (F2)</t>
        </is>
      </c>
      <c r="F209" s="329" t="inlineStr">
        <is>
          <t>Filler</t>
        </is>
      </c>
      <c r="G209" s="329" t="inlineStr">
        <is>
          <t>Filler</t>
        </is>
      </c>
      <c r="H209" s="329" t="n"/>
      <c r="I209" s="247" t="inlineStr">
        <is>
          <t>Zone libre</t>
        </is>
      </c>
      <c r="J209" s="329" t="inlineStr">
        <is>
          <t>Free zone</t>
        </is>
      </c>
      <c r="K209" s="328" t="inlineStr">
        <is>
          <t>NA</t>
        </is>
      </c>
      <c r="L209" s="328" t="inlineStr">
        <is>
          <t>NA</t>
        </is>
      </c>
      <c r="M209" s="1421" t="inlineStr">
        <is>
          <t>NA</t>
        </is>
      </c>
      <c r="N209" s="284" t="inlineStr">
        <is>
          <t>NA</t>
        </is>
      </c>
      <c r="O209" s="328" t="inlineStr">
        <is>
          <t>NA</t>
        </is>
      </c>
      <c r="P209" s="284" t="inlineStr">
        <is>
          <t>NA</t>
        </is>
      </c>
      <c r="Q209" s="284" t="inlineStr">
        <is>
          <t>NA</t>
        </is>
      </c>
      <c r="R209" s="247" t="inlineStr">
        <is>
          <t>Laisser à vide</t>
        </is>
      </c>
      <c r="S209" s="247" t="inlineStr">
        <is>
          <t>Leave empty</t>
        </is>
      </c>
      <c r="T209" s="333" t="inlineStr">
        <is>
          <t>ALPHA</t>
        </is>
      </c>
      <c r="U209" s="256" t="inlineStr">
        <is>
          <t>NA</t>
        </is>
      </c>
      <c r="V209" s="256" t="inlineStr">
        <is>
          <t>NA</t>
        </is>
      </c>
      <c r="W209" s="328" t="n">
        <v>2</v>
      </c>
      <c r="X209" s="244" t="inlineStr">
        <is>
          <t>NA</t>
        </is>
      </c>
      <c r="Y209" s="248" t="inlineStr">
        <is>
          <t>NA</t>
        </is>
      </c>
      <c r="Z209" s="256" t="inlineStr">
        <is>
          <t>NA</t>
        </is>
      </c>
      <c r="AA209" s="256" t="inlineStr">
        <is>
          <t>NA</t>
        </is>
      </c>
      <c r="AB209" s="284" t="inlineStr">
        <is>
          <t>NA</t>
        </is>
      </c>
      <c r="AC209" s="244" t="inlineStr">
        <is>
          <t>NA</t>
        </is>
      </c>
      <c r="AD209" s="284" t="inlineStr">
        <is>
          <t>N</t>
        </is>
      </c>
      <c r="AE209" s="328" t="inlineStr">
        <is>
          <t>NA</t>
        </is>
      </c>
      <c r="AF209" s="328" t="inlineStr">
        <is>
          <t>NA</t>
        </is>
      </c>
      <c r="AG209" s="334" t="inlineStr">
        <is>
          <t>NA</t>
        </is>
      </c>
      <c r="AH209" s="89" t="n"/>
      <c r="AI209" s="330" t="n"/>
      <c r="AJ209" s="331" t="n"/>
      <c r="AK209" s="284" t="n"/>
      <c r="AL209" s="285" t="n"/>
      <c r="AM209" s="331" t="n"/>
      <c r="AN209" s="331" t="n"/>
      <c r="AO209" s="284" t="n"/>
      <c r="AP209" s="285" t="n"/>
      <c r="AQ209" s="331" t="n"/>
      <c r="AR209" s="331" t="n"/>
      <c r="AS209" s="284" t="n"/>
      <c r="AT209" s="285" t="n"/>
      <c r="AU209" s="331" t="n"/>
      <c r="AV209" s="331" t="n"/>
      <c r="AW209" s="284" t="n"/>
      <c r="AX209" s="285" t="n"/>
      <c r="AY209" s="331" t="n"/>
      <c r="AZ209" s="331" t="n"/>
      <c r="BA209" s="284" t="n"/>
      <c r="BB209" s="285" t="n"/>
      <c r="BC209" s="330" t="n"/>
      <c r="BD209" s="331" t="n"/>
      <c r="BE209" s="284" t="n"/>
      <c r="BF209" s="285" t="n"/>
      <c r="BG209" s="89" t="n"/>
      <c r="BH2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09">
        <f>_xlfn.LET(r,ROW(),oc,INDEX($A:$A,r),cv,TRIM(INDEX($Y:$Y,r)&amp;""),IF(oc&lt;&gt;"P1","",IF(cv="45","V45 - novo, nao alimentado pelo spool atual","V44 - alimentado pelo spool atual")))</f>
        <v/>
      </c>
    </row>
    <row r="210" ht="54" customFormat="1" customHeight="1" s="90">
      <c r="A210" s="306" t="inlineStr">
        <is>
          <t>F2</t>
        </is>
      </c>
      <c r="B210" s="307" t="n">
        <v>21</v>
      </c>
      <c r="C210" s="269" t="inlineStr">
        <is>
          <t>03 - Caractéristiques Générales</t>
        </is>
      </c>
      <c r="D210" s="236" t="inlineStr">
        <is>
          <t>03 - General characteristics</t>
        </is>
      </c>
      <c r="E210" s="307" t="inlineStr">
        <is>
          <t>F2 2.1</t>
        </is>
      </c>
      <c r="F210" s="308" t="inlineStr">
        <is>
          <t>Type de risque</t>
        </is>
      </c>
      <c r="G210" s="309" t="inlineStr">
        <is>
          <t>Risk type</t>
        </is>
      </c>
      <c r="H210" s="309" t="n"/>
      <c r="I210" s="241" t="inlineStr">
        <is>
          <t>Codification du produit autorisé</t>
        </is>
      </c>
      <c r="J210" s="233" t="inlineStr">
        <is>
          <t>Coding of authorised product</t>
        </is>
      </c>
      <c r="K210" s="269" t="inlineStr">
        <is>
          <t>ND</t>
        </is>
      </c>
      <c r="L210" s="310" t="inlineStr">
        <is>
          <t>ND</t>
        </is>
      </c>
      <c r="M210" s="1420" t="inlineStr">
        <is>
          <t>cdTypRis</t>
        </is>
      </c>
      <c r="N210" s="231" t="inlineStr">
        <is>
          <t>Obligatoire</t>
        </is>
      </c>
      <c r="O210" s="236" t="inlineStr">
        <is>
          <t>Mandatory</t>
        </is>
      </c>
      <c r="P210" s="269" t="inlineStr">
        <is>
          <t>LC.0030</t>
        </is>
      </c>
      <c r="Q210" s="269" t="inlineStr">
        <is>
          <t>TA KVTYPRIS</t>
        </is>
      </c>
      <c r="R210" s="241" t="inlineStr">
        <is>
          <t xml:space="preserve">Les encours P1 et P2 ont obligatoirement le même type de risque que celui de leur ligne de rattachement </t>
        </is>
      </c>
      <c r="S210" s="233" t="inlineStr">
        <is>
          <t xml:space="preserve">Outstanding amounts P1 and P2 must share the same risk type as their reporting line </t>
        </is>
      </c>
      <c r="T210" s="313" t="inlineStr">
        <is>
          <t>ALPHA</t>
        </is>
      </c>
      <c r="U210" s="237" t="inlineStr">
        <is>
          <t>NA</t>
        </is>
      </c>
      <c r="V210" s="238" t="inlineStr">
        <is>
          <t>NA</t>
        </is>
      </c>
      <c r="W210" s="257" t="n">
        <v>6</v>
      </c>
      <c r="X210" s="945" t="inlineStr">
        <is>
          <t>NA</t>
        </is>
      </c>
      <c r="Y210" s="237" t="n">
        <v>40</v>
      </c>
      <c r="Z210" s="237" t="inlineStr">
        <is>
          <t>NA</t>
        </is>
      </c>
      <c r="AA210" s="237" t="inlineStr">
        <is>
          <t>NA</t>
        </is>
      </c>
      <c r="AB210" s="994" t="inlineStr">
        <is>
          <t>ANACREDIT, ASTRE, CALCULS PRUDENTIELS, DEI, GRR, RISQUES SYSTEMIQUES</t>
        </is>
      </c>
      <c r="AC210" s="231" t="inlineStr">
        <is>
          <t>ND</t>
        </is>
      </c>
      <c r="AD210" s="257" t="inlineStr">
        <is>
          <t>N</t>
        </is>
      </c>
      <c r="AE210" s="257" t="inlineStr">
        <is>
          <t>NA</t>
        </is>
      </c>
      <c r="AF210" s="257" t="inlineStr">
        <is>
          <t>NA</t>
        </is>
      </c>
      <c r="AG210" s="258" t="inlineStr">
        <is>
          <t>NA</t>
        </is>
      </c>
      <c r="AH210" s="89" t="n"/>
      <c r="AI210" s="316" t="inlineStr">
        <is>
          <t>La donnée est obligatoire</t>
        </is>
      </c>
      <c r="AJ210" s="317" t="inlineStr">
        <is>
          <t>The data is mandatory</t>
        </is>
      </c>
      <c r="AK210" s="257" t="n">
        <v>7</v>
      </c>
      <c r="AL210" s="335" t="inlineStr">
        <is>
          <t>TPG0001</t>
        </is>
      </c>
      <c r="AM210" s="210" t="inlineStr">
        <is>
          <t>Si elle est renseignée, la valeur doit être connue du Langage Commun associé</t>
        </is>
      </c>
      <c r="AN210" s="211" t="inlineStr">
        <is>
          <t>If specified, the value must be known to the associated Common Language</t>
        </is>
      </c>
      <c r="AO210" s="257" t="n">
        <v>7</v>
      </c>
      <c r="AP210" s="212" t="inlineStr">
        <is>
          <t>TIG0001</t>
        </is>
      </c>
      <c r="AQ210" s="356" t="inlineStr">
        <is>
          <t>Si renseignée, la valeur doit être différente de 'DVP100'</t>
        </is>
      </c>
      <c r="AR210" s="317" t="inlineStr">
        <is>
          <t>If filled, the value must be different from 'DVP100'</t>
        </is>
      </c>
      <c r="AS210" s="257" t="n">
        <v>7</v>
      </c>
      <c r="AT210" s="366" t="inlineStr">
        <is>
          <t>TVS0707</t>
        </is>
      </c>
      <c r="AU210" s="390" t="inlineStr">
        <is>
          <t>La valeur renseignée doit être cohérente avec l'objet métier (LC.0030 - TA 0990 Z8COTROM)</t>
        </is>
      </c>
      <c r="AV210" s="391" t="inlineStr">
        <is>
          <t>The value filled must be consistent with the business object (LC.0030 - TA 0990 Z8COTROM)</t>
        </is>
      </c>
      <c r="AW210" s="392" t="n">
        <v>7</v>
      </c>
      <c r="AX210" s="393" t="inlineStr">
        <is>
          <t>TCG0005</t>
        </is>
      </c>
      <c r="AY210" s="318" t="n"/>
      <c r="AZ210" s="317" t="n"/>
      <c r="BA210" s="257" t="n"/>
      <c r="BB210" s="258" t="n"/>
      <c r="BC210" s="316" t="n"/>
      <c r="BD210" s="317" t="n"/>
      <c r="BE210" s="257" t="n"/>
      <c r="BF210" s="258" t="n"/>
      <c r="BG210" s="89" t="n"/>
      <c r="BH2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10">
        <f>_xlfn.LET(r,ROW(),oc,INDEX($A:$A,r),cv,TRIM(INDEX($Y:$Y,r)&amp;""),IF(oc&lt;&gt;"P1","",IF(cv="45","V45 - novo, nao alimentado pelo spool atual","V44 - alimentado pelo spool atual")))</f>
        <v/>
      </c>
    </row>
    <row r="211" ht="54" customFormat="1" customHeight="1" s="90">
      <c r="A211" s="306" t="inlineStr">
        <is>
          <t>F2</t>
        </is>
      </c>
      <c r="B211" s="307" t="n">
        <v>22</v>
      </c>
      <c r="C211" s="269" t="inlineStr">
        <is>
          <t>03 - Caractéristiques Générales</t>
        </is>
      </c>
      <c r="D211" s="236" t="inlineStr">
        <is>
          <t>03 - General characteristics</t>
        </is>
      </c>
      <c r="E211" s="307" t="inlineStr">
        <is>
          <t>F2 2.4</t>
        </is>
      </c>
      <c r="F211" s="308" t="inlineStr">
        <is>
          <t>Montant autorisé d'origine du client (tous produits)</t>
        </is>
      </c>
      <c r="G211" s="309" t="inlineStr">
        <is>
          <t>Client authorised initial amount (all products)</t>
        </is>
      </c>
      <c r="H211" s="309" t="n"/>
      <c r="I211" s="308" t="inlineStr">
        <is>
          <t>Montant autorisé d'origine du client (tous produits)</t>
        </is>
      </c>
      <c r="J211" s="309" t="inlineStr">
        <is>
          <t>Client authorised initial amount (all products)</t>
        </is>
      </c>
      <c r="K211" s="269" t="inlineStr">
        <is>
          <t>ND</t>
        </is>
      </c>
      <c r="L211" s="310" t="inlineStr">
        <is>
          <t>ND</t>
        </is>
      </c>
      <c r="M211" s="1420" t="inlineStr">
        <is>
          <t>mtCtOr</t>
        </is>
      </c>
      <c r="N211" s="231" t="inlineStr">
        <is>
          <t>Facultatif</t>
        </is>
      </c>
      <c r="O211" s="236" t="inlineStr">
        <is>
          <t>Optional</t>
        </is>
      </c>
      <c r="P211" s="269" t="inlineStr">
        <is>
          <t>NA</t>
        </is>
      </c>
      <c r="Q211" s="269" t="inlineStr">
        <is>
          <t>NA</t>
        </is>
      </c>
      <c r="R211" s="241" t="inlineStr">
        <is>
          <t>NA</t>
        </is>
      </c>
      <c r="S211" s="233" t="inlineStr">
        <is>
          <t>NA</t>
        </is>
      </c>
      <c r="T211" s="313" t="inlineStr">
        <is>
          <t>NUM</t>
        </is>
      </c>
      <c r="U211" s="237" t="inlineStr">
        <is>
          <t>19 dont signe et 2 décimales</t>
        </is>
      </c>
      <c r="V211" s="238" t="inlineStr">
        <is>
          <t>19 including sign and 2 decimals</t>
        </is>
      </c>
      <c r="W211" s="257" t="n">
        <v>19</v>
      </c>
      <c r="X211" s="945" t="inlineStr">
        <is>
          <t>NA</t>
        </is>
      </c>
      <c r="Y211" s="237" t="n">
        <v>40</v>
      </c>
      <c r="Z211" s="237" t="inlineStr">
        <is>
          <t>NA</t>
        </is>
      </c>
      <c r="AA211" s="270" t="inlineStr">
        <is>
          <t>NA</t>
        </is>
      </c>
      <c r="AB211" s="994" t="inlineStr">
        <is>
          <t>ANACREDIT, DEI</t>
        </is>
      </c>
      <c r="AC211" s="231" t="inlineStr">
        <is>
          <t>ND</t>
        </is>
      </c>
      <c r="AD211" s="257" t="inlineStr">
        <is>
          <t>N</t>
        </is>
      </c>
      <c r="AE211" s="257" t="inlineStr">
        <is>
          <t>NA</t>
        </is>
      </c>
      <c r="AF211" s="257" t="inlineStr">
        <is>
          <t>NA</t>
        </is>
      </c>
      <c r="AG211" s="258" t="inlineStr">
        <is>
          <t>NA</t>
        </is>
      </c>
      <c r="AH211" s="89" t="n"/>
      <c r="AI211" s="316" t="n"/>
      <c r="AJ211" s="317" t="n"/>
      <c r="AK211" s="257" t="n"/>
      <c r="AL211" s="258" t="n"/>
      <c r="AM211" s="318" t="n"/>
      <c r="AN211" s="317" t="n"/>
      <c r="AO211" s="257" t="n"/>
      <c r="AP211" s="258" t="n"/>
      <c r="AQ211" s="343" t="inlineStr">
        <is>
          <t>Si renseignée, la donnée doit être positive (supérieure ou égale à 0)</t>
        </is>
      </c>
      <c r="AR211" s="317" t="inlineStr">
        <is>
          <t xml:space="preserve">If filled, data must be positive (greater or equal to 0) </t>
        </is>
      </c>
      <c r="AS211" s="344" t="n">
        <v>7</v>
      </c>
      <c r="AT211" s="345" t="inlineStr">
        <is>
          <t>TVG0001</t>
        </is>
      </c>
      <c r="AU211" s="394" t="n"/>
      <c r="AV211" s="317" t="n"/>
      <c r="AW211" s="257" t="n"/>
      <c r="AX211" s="395" t="n"/>
      <c r="AY211" s="318" t="inlineStr">
        <is>
          <t>Le Montant autorisé d'origine du client (tous produits) doit être inférieur ou égale au montant global du F1</t>
        </is>
      </c>
      <c r="AZ211" s="317" t="inlineStr">
        <is>
          <t>Client authorised initial amount must be less or equal than Initial overall amount of F1</t>
        </is>
      </c>
      <c r="BA211" s="257" t="n">
        <v>6</v>
      </c>
      <c r="BB211" s="258" t="inlineStr">
        <is>
          <t>TC0063</t>
        </is>
      </c>
      <c r="BC211" s="316" t="n"/>
      <c r="BD211" s="317" t="n"/>
      <c r="BE211" s="257" t="n"/>
      <c r="BF211" s="258" t="n"/>
      <c r="BG211" s="89" t="n"/>
      <c r="BH2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11">
        <f>_xlfn.LET(r,ROW(),oc,INDEX($A:$A,r),cv,TRIM(INDEX($Y:$Y,r)&amp;""),IF(oc&lt;&gt;"P1","",IF(cv="45","V45 - novo, nao alimentado pelo spool atual","V44 - alimentado pelo spool atual")))</f>
        <v/>
      </c>
    </row>
    <row r="212" ht="54" customFormat="1" customHeight="1" s="90">
      <c r="A212" s="306" t="inlineStr">
        <is>
          <t>F2</t>
        </is>
      </c>
      <c r="B212" s="307" t="n">
        <v>23</v>
      </c>
      <c r="C212" s="269" t="inlineStr">
        <is>
          <t>03 - Caractéristiques Générales</t>
        </is>
      </c>
      <c r="D212" s="236" t="inlineStr">
        <is>
          <t>03 - General characteristics</t>
        </is>
      </c>
      <c r="E212" s="307" t="inlineStr">
        <is>
          <t>F2 2.5</t>
        </is>
      </c>
      <c r="F212" s="308" t="inlineStr">
        <is>
          <t>Montant autorisé révisé du client (tous produits)</t>
        </is>
      </c>
      <c r="G212" s="309" t="inlineStr">
        <is>
          <t>Client authorised revised amount (all products)</t>
        </is>
      </c>
      <c r="H212" s="309" t="n"/>
      <c r="I212" s="308" t="inlineStr">
        <is>
          <t>Montant autorisé révisé du client (tous produits)</t>
        </is>
      </c>
      <c r="J212" s="309" t="inlineStr">
        <is>
          <t>Client authorised revised amount (all products)</t>
        </is>
      </c>
      <c r="K212" s="269" t="inlineStr">
        <is>
          <t>ND</t>
        </is>
      </c>
      <c r="L212" s="310" t="inlineStr">
        <is>
          <t>ND</t>
        </is>
      </c>
      <c r="M212" s="1420" t="inlineStr">
        <is>
          <t>MtRev</t>
        </is>
      </c>
      <c r="N212" s="231" t="inlineStr">
        <is>
          <t>Facultatif</t>
        </is>
      </c>
      <c r="O212" s="236" t="inlineStr">
        <is>
          <t>Optional</t>
        </is>
      </c>
      <c r="P212" s="269" t="inlineStr">
        <is>
          <t>NA</t>
        </is>
      </c>
      <c r="Q212" s="269" t="inlineStr">
        <is>
          <t>NA</t>
        </is>
      </c>
      <c r="R212" s="241" t="inlineStr">
        <is>
          <t>NA</t>
        </is>
      </c>
      <c r="S212" s="233" t="inlineStr">
        <is>
          <t>NA</t>
        </is>
      </c>
      <c r="T212" s="313" t="inlineStr">
        <is>
          <t>NUM</t>
        </is>
      </c>
      <c r="U212" s="237" t="inlineStr">
        <is>
          <t>19 dont signe et 2 décimales</t>
        </is>
      </c>
      <c r="V212" s="238" t="inlineStr">
        <is>
          <t>19 including sign and 2 decimals</t>
        </is>
      </c>
      <c r="W212" s="257" t="n">
        <v>19</v>
      </c>
      <c r="X212" s="945" t="inlineStr">
        <is>
          <t>NA</t>
        </is>
      </c>
      <c r="Y212" s="237" t="n">
        <v>40</v>
      </c>
      <c r="Z212" s="237" t="inlineStr">
        <is>
          <t>NA</t>
        </is>
      </c>
      <c r="AA212" s="270" t="inlineStr">
        <is>
          <t>NA</t>
        </is>
      </c>
      <c r="AB212" s="994" t="inlineStr">
        <is>
          <t>ANACREDIT, DEI</t>
        </is>
      </c>
      <c r="AC212" s="231" t="inlineStr">
        <is>
          <t>ND</t>
        </is>
      </c>
      <c r="AD212" s="257" t="inlineStr">
        <is>
          <t>N</t>
        </is>
      </c>
      <c r="AE212" s="257" t="inlineStr">
        <is>
          <t>NA</t>
        </is>
      </c>
      <c r="AF212" s="257" t="inlineStr">
        <is>
          <t>NA</t>
        </is>
      </c>
      <c r="AG212" s="258" t="inlineStr">
        <is>
          <t>NA</t>
        </is>
      </c>
      <c r="AH212" s="89" t="n"/>
      <c r="AI212" s="316" t="n"/>
      <c r="AJ212" s="317" t="n"/>
      <c r="AK212" s="257" t="n"/>
      <c r="AL212" s="258" t="n"/>
      <c r="AM212" s="318" t="n"/>
      <c r="AN212" s="317" t="n"/>
      <c r="AO212" s="257" t="n"/>
      <c r="AP212" s="258" t="n"/>
      <c r="AQ212" s="343" t="inlineStr">
        <is>
          <t>Si renseignée, la donnée doit être positive (supérieure ou égale à 0)</t>
        </is>
      </c>
      <c r="AR212" s="317" t="inlineStr">
        <is>
          <t xml:space="preserve">If filled, data must be positive (greater or equal to 0) </t>
        </is>
      </c>
      <c r="AS212" s="344" t="n">
        <v>7</v>
      </c>
      <c r="AT212" s="345" t="inlineStr">
        <is>
          <t>TVG0001</t>
        </is>
      </c>
      <c r="AU212" s="394" t="n"/>
      <c r="AV212" s="317" t="n"/>
      <c r="AW212" s="257" t="n"/>
      <c r="AX212" s="395" t="n"/>
      <c r="AY212" s="318" t="inlineStr">
        <is>
          <t>Le Montant autorisé révisé du client (tous produits) doit être inférieur ou égale au montant global révisé du F1</t>
        </is>
      </c>
      <c r="AZ212" s="317" t="inlineStr">
        <is>
          <t>Client authorised revised amount must be less or equal than revised overall amount of F1</t>
        </is>
      </c>
      <c r="BA212" s="257" t="n">
        <v>6</v>
      </c>
      <c r="BB212" s="258" t="inlineStr">
        <is>
          <t>TC0064</t>
        </is>
      </c>
      <c r="BC212" s="316" t="n"/>
      <c r="BD212" s="317" t="n"/>
      <c r="BE212" s="257" t="n"/>
      <c r="BF212" s="258" t="n"/>
      <c r="BG212" s="89" t="n"/>
      <c r="BH2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12">
        <f>_xlfn.LET(r,ROW(),oc,INDEX($A:$A,r),cv,TRIM(INDEX($Y:$Y,r)&amp;""),IF(oc&lt;&gt;"P1","",IF(cv="45","V45 - novo, nao alimentado pelo spool atual","V44 - alimentado pelo spool atual")))</f>
        <v/>
      </c>
    </row>
    <row r="213" ht="54" customFormat="1" customHeight="1" s="90">
      <c r="A213" s="306" t="inlineStr">
        <is>
          <t>F2</t>
        </is>
      </c>
      <c r="B213" s="307" t="n">
        <v>24</v>
      </c>
      <c r="C213" s="269" t="inlineStr">
        <is>
          <t>03 - Caractéristiques Générales</t>
        </is>
      </c>
      <c r="D213" s="236" t="inlineStr">
        <is>
          <t>03 - General characteristics</t>
        </is>
      </c>
      <c r="E213" s="307" t="inlineStr">
        <is>
          <t>F2 2.6</t>
        </is>
      </c>
      <c r="F213" s="308" t="inlineStr">
        <is>
          <t>Montant autorisé du client pour la ligne d'autorisation</t>
        </is>
      </c>
      <c r="G213" s="309" t="inlineStr">
        <is>
          <t>Client authorised amount for the facility line</t>
        </is>
      </c>
      <c r="H213" s="309" t="n"/>
      <c r="I213" s="308" t="inlineStr">
        <is>
          <t>Montant autorisé du client pour la ligne d'autorisation</t>
        </is>
      </c>
      <c r="J213" s="309" t="inlineStr">
        <is>
          <t>Client authorised amount for the facility line</t>
        </is>
      </c>
      <c r="K213" s="269" t="inlineStr">
        <is>
          <t>ND</t>
        </is>
      </c>
      <c r="L213" s="310" t="inlineStr">
        <is>
          <t>ND</t>
        </is>
      </c>
      <c r="M213" s="1420" t="inlineStr">
        <is>
          <t>mtLigneAuto</t>
        </is>
      </c>
      <c r="N213" s="231" t="inlineStr">
        <is>
          <t>Obligatoire</t>
        </is>
      </c>
      <c r="O213" s="236" t="inlineStr">
        <is>
          <t>Mandatory</t>
        </is>
      </c>
      <c r="P213" s="269" t="inlineStr">
        <is>
          <t>NA</t>
        </is>
      </c>
      <c r="Q213" s="269" t="inlineStr">
        <is>
          <t>NA</t>
        </is>
      </c>
      <c r="R213" s="241" t="inlineStr">
        <is>
          <t>NA</t>
        </is>
      </c>
      <c r="S213" s="233" t="inlineStr">
        <is>
          <t>NA</t>
        </is>
      </c>
      <c r="T213" s="313" t="inlineStr">
        <is>
          <t>NUM</t>
        </is>
      </c>
      <c r="U213" s="237" t="inlineStr">
        <is>
          <t>19 dont signe et 2 décimales</t>
        </is>
      </c>
      <c r="V213" s="238" t="inlineStr">
        <is>
          <t>19 including sign and 2 decimals</t>
        </is>
      </c>
      <c r="W213" s="257" t="n">
        <v>19</v>
      </c>
      <c r="X213" s="945" t="inlineStr">
        <is>
          <t>NA</t>
        </is>
      </c>
      <c r="Y213" s="237" t="n">
        <v>40</v>
      </c>
      <c r="Z213" s="237" t="inlineStr">
        <is>
          <t>NA</t>
        </is>
      </c>
      <c r="AA213" s="270" t="inlineStr">
        <is>
          <t>NA</t>
        </is>
      </c>
      <c r="AB213" s="994" t="inlineStr">
        <is>
          <t>CALCULS PRUDENTIELS, DEI</t>
        </is>
      </c>
      <c r="AC213" s="231" t="inlineStr">
        <is>
          <t>ND</t>
        </is>
      </c>
      <c r="AD213" s="257" t="inlineStr">
        <is>
          <t>N</t>
        </is>
      </c>
      <c r="AE213" s="257" t="inlineStr">
        <is>
          <t>NA</t>
        </is>
      </c>
      <c r="AF213" s="257" t="inlineStr">
        <is>
          <t>NA</t>
        </is>
      </c>
      <c r="AG213" s="258" t="inlineStr">
        <is>
          <t>NA</t>
        </is>
      </c>
      <c r="AH213" s="89" t="n"/>
      <c r="AI213" s="316" t="inlineStr">
        <is>
          <t>La donnée est obligatoire</t>
        </is>
      </c>
      <c r="AJ213" s="317" t="inlineStr">
        <is>
          <t>The data is mandatory</t>
        </is>
      </c>
      <c r="AK213" s="257" t="n">
        <v>7</v>
      </c>
      <c r="AL213" s="335" t="inlineStr">
        <is>
          <t>TPG0001</t>
        </is>
      </c>
      <c r="AM213" s="318" t="n"/>
      <c r="AN213" s="317" t="n"/>
      <c r="AO213" s="257" t="n"/>
      <c r="AP213" s="258" t="n"/>
      <c r="AQ213" s="343" t="inlineStr">
        <is>
          <t>Si renseignée, la donnée doit être positive (supérieure ou égale à 0)</t>
        </is>
      </c>
      <c r="AR213" s="317" t="inlineStr">
        <is>
          <t xml:space="preserve">If filled, data must be positive (greater or equal to 0) </t>
        </is>
      </c>
      <c r="AS213" s="344" t="n">
        <v>7</v>
      </c>
      <c r="AT213" s="345" t="inlineStr">
        <is>
          <t>TVG0001</t>
        </is>
      </c>
      <c r="AU213" s="394" t="n"/>
      <c r="AV213" s="317" t="n"/>
      <c r="AW213" s="257" t="n"/>
      <c r="AX213" s="395" t="n"/>
      <c r="AY213" s="318" t="n"/>
      <c r="AZ213" s="317" t="n"/>
      <c r="BA213" s="257" t="n"/>
      <c r="BB213" s="258" t="n"/>
      <c r="BC213" s="316" t="n"/>
      <c r="BD213" s="317" t="n"/>
      <c r="BE213" s="257" t="n"/>
      <c r="BF213" s="258" t="n"/>
      <c r="BG213" s="89" t="n"/>
      <c r="BH2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13">
        <f>_xlfn.LET(r,ROW(),oc,INDEX($A:$A,r),cv,TRIM(INDEX($Y:$Y,r)&amp;""),IF(oc&lt;&gt;"P1","",IF(cv="45","V45 - novo, nao alimentado pelo spool atual","V44 - alimentado pelo spool atual")))</f>
        <v/>
      </c>
    </row>
    <row r="214" ht="54" customFormat="1" customHeight="1" s="90">
      <c r="A214" s="306" t="inlineStr">
        <is>
          <t>F2</t>
        </is>
      </c>
      <c r="B214" s="307" t="n">
        <v>25</v>
      </c>
      <c r="C214" s="269" t="inlineStr">
        <is>
          <t>03 - Caractéristiques Générales</t>
        </is>
      </c>
      <c r="D214" s="236" t="inlineStr">
        <is>
          <t>03 - General characteristics</t>
        </is>
      </c>
      <c r="E214" s="307" t="inlineStr">
        <is>
          <t>F2 2.7</t>
        </is>
      </c>
      <c r="F214" s="308" t="inlineStr">
        <is>
          <t>Devise de la ligne d'autorisation</t>
        </is>
      </c>
      <c r="G214" s="309" t="inlineStr">
        <is>
          <t>Currency of the facility line</t>
        </is>
      </c>
      <c r="H214" s="309" t="n"/>
      <c r="I214" s="241" t="inlineStr">
        <is>
          <t>Devise de la ligne d'autorisation</t>
        </is>
      </c>
      <c r="J214" s="233" t="inlineStr">
        <is>
          <t>Currency of the facility line</t>
        </is>
      </c>
      <c r="K214" s="269" t="inlineStr">
        <is>
          <t>ND</t>
        </is>
      </c>
      <c r="L214" s="310" t="inlineStr">
        <is>
          <t>ND</t>
        </is>
      </c>
      <c r="M214" s="1420" t="inlineStr">
        <is>
          <t>cdDevLigneAuto</t>
        </is>
      </c>
      <c r="N214" s="231" t="inlineStr">
        <is>
          <t>Obligatoire</t>
        </is>
      </c>
      <c r="O214" s="236" t="inlineStr">
        <is>
          <t>Mandatory</t>
        </is>
      </c>
      <c r="P214" s="269" t="inlineStr">
        <is>
          <t>LC.0005</t>
        </is>
      </c>
      <c r="Q214" s="269" t="inlineStr">
        <is>
          <t>TA NM253</t>
        </is>
      </c>
      <c r="R214" s="241" t="inlineStr">
        <is>
          <t>NA</t>
        </is>
      </c>
      <c r="S214" s="233" t="inlineStr">
        <is>
          <t>NA</t>
        </is>
      </c>
      <c r="T214" s="313" t="inlineStr">
        <is>
          <t>ALPHA</t>
        </is>
      </c>
      <c r="U214" s="237" t="inlineStr">
        <is>
          <t>NA</t>
        </is>
      </c>
      <c r="V214" s="238" t="inlineStr">
        <is>
          <t>NA</t>
        </is>
      </c>
      <c r="W214" s="257" t="n">
        <v>3</v>
      </c>
      <c r="X214" s="945" t="inlineStr">
        <is>
          <t>NA</t>
        </is>
      </c>
      <c r="Y214" s="237" t="n">
        <v>40</v>
      </c>
      <c r="Z214" s="237" t="inlineStr">
        <is>
          <t>NA</t>
        </is>
      </c>
      <c r="AA214" s="270" t="inlineStr">
        <is>
          <t>NA</t>
        </is>
      </c>
      <c r="AB214" s="994" t="inlineStr">
        <is>
          <t>ANACREDIT, CALCULS PRUDENTIELS, DEI</t>
        </is>
      </c>
      <c r="AC214" s="231" t="inlineStr">
        <is>
          <t>ND</t>
        </is>
      </c>
      <c r="AD214" s="257" t="inlineStr">
        <is>
          <t>N</t>
        </is>
      </c>
      <c r="AE214" s="257" t="inlineStr">
        <is>
          <t>NA</t>
        </is>
      </c>
      <c r="AF214" s="257" t="inlineStr">
        <is>
          <t>NA</t>
        </is>
      </c>
      <c r="AG214" s="258" t="inlineStr">
        <is>
          <t>NA</t>
        </is>
      </c>
      <c r="AH214" s="89" t="n"/>
      <c r="AI214" s="316" t="inlineStr">
        <is>
          <t>La donnée est obligatoire</t>
        </is>
      </c>
      <c r="AJ214" s="317" t="inlineStr">
        <is>
          <t>The data is mandatory</t>
        </is>
      </c>
      <c r="AK214" s="257" t="n">
        <v>7</v>
      </c>
      <c r="AL214" s="335" t="inlineStr">
        <is>
          <t>TPG0001</t>
        </is>
      </c>
      <c r="AM214" s="210" t="inlineStr">
        <is>
          <t>Si elle est renseignée, la valeur doit être connue du Langage Commun associé</t>
        </is>
      </c>
      <c r="AN214" s="211" t="inlineStr">
        <is>
          <t>If specified, the value must be known to the associated Common Language</t>
        </is>
      </c>
      <c r="AO214" s="257" t="n">
        <v>7</v>
      </c>
      <c r="AP214" s="212" t="inlineStr">
        <is>
          <t>TIG0001</t>
        </is>
      </c>
      <c r="AQ214" s="318" t="n"/>
      <c r="AR214" s="317" t="n"/>
      <c r="AS214" s="257" t="n"/>
      <c r="AT214" s="258" t="n"/>
      <c r="AU214" s="318" t="n"/>
      <c r="AV214" s="317" t="n"/>
      <c r="AW214" s="257" t="n"/>
      <c r="AX214" s="258" t="n"/>
      <c r="AY214" s="318" t="n"/>
      <c r="AZ214" s="317" t="n"/>
      <c r="BA214" s="257" t="n"/>
      <c r="BB214" s="258" t="n"/>
      <c r="BC214" s="316" t="n"/>
      <c r="BD214" s="317" t="n"/>
      <c r="BE214" s="257" t="n"/>
      <c r="BF214" s="258" t="n"/>
      <c r="BG214" s="89" t="n"/>
      <c r="BH2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14">
        <f>_xlfn.LET(r,ROW(),oc,INDEX($A:$A,r),cv,TRIM(INDEX($Y:$Y,r)&amp;""),IF(oc&lt;&gt;"P1","",IF(cv="45","V45 - novo, nao alimentado pelo spool atual","V44 - alimentado pelo spool atual")))</f>
        <v/>
      </c>
    </row>
    <row r="215" ht="54" customFormat="1" customHeight="1" s="90">
      <c r="A215" s="306" t="inlineStr">
        <is>
          <t>F2</t>
        </is>
      </c>
      <c r="B215" s="307" t="n">
        <v>26</v>
      </c>
      <c r="C215" s="269" t="inlineStr">
        <is>
          <t>03 - Caractéristiques Générales</t>
        </is>
      </c>
      <c r="D215" s="236" t="inlineStr">
        <is>
          <t>03 - General characteristics</t>
        </is>
      </c>
      <c r="E215" s="307" t="inlineStr">
        <is>
          <t>F2 2.9</t>
        </is>
      </c>
      <c r="F215" s="308" t="inlineStr">
        <is>
          <t>Identifiant local du bénéficiaire final de l'EPS</t>
        </is>
      </c>
      <c r="G215" s="309" t="inlineStr">
        <is>
          <t>Local ID of the ultimate beneficiary of the authorised signed undertaking</t>
        </is>
      </c>
      <c r="H215" s="309" t="n"/>
      <c r="I215" s="241" t="inlineStr">
        <is>
          <t>Identifiant du bénéficiaire final de l'EPS dans le système local utilisé pour générer le flux</t>
        </is>
      </c>
      <c r="J215" s="233" t="inlineStr">
        <is>
          <t>ID of ultimate beneficiary in the local system used to generate the flow</t>
        </is>
      </c>
      <c r="K215" s="269" t="inlineStr">
        <is>
          <t>ND</t>
        </is>
      </c>
      <c r="L215" s="310" t="inlineStr">
        <is>
          <t>ND</t>
        </is>
      </c>
      <c r="M215" s="1420" t="inlineStr">
        <is>
          <t>cdLocalBenefEPS</t>
        </is>
      </c>
      <c r="N215" s="231" t="inlineStr">
        <is>
          <t>Facultatif</t>
        </is>
      </c>
      <c r="O215" s="236" t="inlineStr">
        <is>
          <t>Optional</t>
        </is>
      </c>
      <c r="P215" s="269" t="inlineStr">
        <is>
          <t>NA</t>
        </is>
      </c>
      <c r="Q215" s="269" t="inlineStr">
        <is>
          <t>NA</t>
        </is>
      </c>
      <c r="R215" s="241" t="inlineStr">
        <is>
          <t>NA</t>
        </is>
      </c>
      <c r="S215" s="233" t="inlineStr">
        <is>
          <t>NA</t>
        </is>
      </c>
      <c r="T215" s="313" t="inlineStr">
        <is>
          <t>ALPHA</t>
        </is>
      </c>
      <c r="U215" s="237" t="inlineStr">
        <is>
          <t>NA</t>
        </is>
      </c>
      <c r="V215" s="238" t="inlineStr">
        <is>
          <t>NA</t>
        </is>
      </c>
      <c r="W215" s="257" t="n">
        <v>20</v>
      </c>
      <c r="X215" s="945" t="inlineStr">
        <is>
          <t>NA</t>
        </is>
      </c>
      <c r="Y215" s="237" t="n">
        <v>40</v>
      </c>
      <c r="Z215" s="237" t="inlineStr">
        <is>
          <t>NA</t>
        </is>
      </c>
      <c r="AA215" s="237" t="inlineStr">
        <is>
          <t>NA</t>
        </is>
      </c>
      <c r="AB215" s="269" t="inlineStr">
        <is>
          <t>USAGE ZP</t>
        </is>
      </c>
      <c r="AC215" s="231" t="inlineStr">
        <is>
          <t>ND</t>
        </is>
      </c>
      <c r="AD215" s="257" t="inlineStr">
        <is>
          <t>N</t>
        </is>
      </c>
      <c r="AE215" s="257" t="inlineStr">
        <is>
          <t>NA</t>
        </is>
      </c>
      <c r="AF215" s="257" t="inlineStr">
        <is>
          <t>NA</t>
        </is>
      </c>
      <c r="AG215" s="258" t="inlineStr">
        <is>
          <t>NA</t>
        </is>
      </c>
      <c r="AH215" s="89" t="n"/>
      <c r="AI215" s="316" t="n"/>
      <c r="AJ215" s="317" t="n"/>
      <c r="AK215" s="257" t="n"/>
      <c r="AL215" s="258" t="n"/>
      <c r="AM215" s="318" t="n"/>
      <c r="AN215" s="317" t="n"/>
      <c r="AO215" s="257" t="n"/>
      <c r="AP215" s="258" t="n"/>
      <c r="AQ215" s="318" t="n"/>
      <c r="AR215" s="317" t="n"/>
      <c r="AS215" s="257" t="n"/>
      <c r="AT215" s="258" t="n"/>
      <c r="AU215" s="318" t="n"/>
      <c r="AV215" s="317" t="n"/>
      <c r="AW215" s="257" t="n"/>
      <c r="AX215" s="258" t="n"/>
      <c r="AY215" s="318" t="inlineStr">
        <is>
          <t>La donnée doit être présente dans TIGRE</t>
        </is>
      </c>
      <c r="AZ215" s="317" t="inlineStr">
        <is>
          <t>Data must be present in TIGRE</t>
        </is>
      </c>
      <c r="BA215" s="257" t="n">
        <v>6</v>
      </c>
      <c r="BB215" s="338" t="inlineStr">
        <is>
          <t>TIG0002</t>
        </is>
      </c>
      <c r="BC215" s="316" t="n"/>
      <c r="BD215" s="317" t="n"/>
      <c r="BE215" s="257" t="n"/>
      <c r="BF215" s="258" t="n"/>
      <c r="BG215" s="89" t="n"/>
      <c r="BH2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15">
        <f>_xlfn.LET(r,ROW(),oc,INDEX($A:$A,r),cv,TRIM(INDEX($Y:$Y,r)&amp;""),IF(oc&lt;&gt;"P1","",IF(cv="45","V45 - novo, nao alimentado pelo spool atual","V44 - alimentado pelo spool atual")))</f>
        <v/>
      </c>
    </row>
    <row r="216" ht="54" customFormat="1" customHeight="1" s="90">
      <c r="A216" s="306" t="inlineStr">
        <is>
          <t>F2</t>
        </is>
      </c>
      <c r="B216" s="307" t="n">
        <v>27</v>
      </c>
      <c r="C216" s="269" t="inlineStr">
        <is>
          <t>03 - Caractéristiques Générales</t>
        </is>
      </c>
      <c r="D216" s="236" t="inlineStr">
        <is>
          <t>03 - General characteristics</t>
        </is>
      </c>
      <c r="E216" s="307" t="inlineStr">
        <is>
          <t>F2 2.10</t>
        </is>
      </c>
      <c r="F216" s="308" t="inlineStr">
        <is>
          <t>Identifiant central du bénéficiaire final de l'EPS</t>
        </is>
      </c>
      <c r="G216" s="309" t="inlineStr">
        <is>
          <t>Central ID of the ultimate beneficiary of the authorised signed undertaking</t>
        </is>
      </c>
      <c r="H216" s="309" t="n"/>
      <c r="I216" s="241" t="inlineStr">
        <is>
          <t>Identifiant du bénéficiaire final de l'EPS dans le système central DRG</t>
        </is>
      </c>
      <c r="J216" s="233" t="inlineStr">
        <is>
          <t>ID of the ultimate beneficiary in the Group Risk Management Division IT system</t>
        </is>
      </c>
      <c r="K216" s="269" t="inlineStr">
        <is>
          <t>ND</t>
        </is>
      </c>
      <c r="L216" s="310" t="inlineStr">
        <is>
          <t>ND</t>
        </is>
      </c>
      <c r="M216" s="1420" t="inlineStr">
        <is>
          <t>cdCentralBenefEPS</t>
        </is>
      </c>
      <c r="N216" s="231" t="inlineStr">
        <is>
          <t>Facultatif</t>
        </is>
      </c>
      <c r="O216" s="236" t="inlineStr">
        <is>
          <t>Optional</t>
        </is>
      </c>
      <c r="P216" s="269" t="inlineStr">
        <is>
          <t>NA</t>
        </is>
      </c>
      <c r="Q216" s="269" t="inlineStr">
        <is>
          <t>NA</t>
        </is>
      </c>
      <c r="R216" s="241" t="inlineStr">
        <is>
          <t>Identifiant fourni par DRG dans le fichier mensuel Référentiel ‘Tiers groupes' transmis aux entités émettrices du flux</t>
        </is>
      </c>
      <c r="S216" s="233" t="inlineStr">
        <is>
          <t>ID provided by the Group Risk Management Division in the monthly “External Counterparties Groups” file (DTG) sent to entities issuing flows</t>
        </is>
      </c>
      <c r="T216" s="313" t="inlineStr">
        <is>
          <t>ALPHA</t>
        </is>
      </c>
      <c r="U216" s="237" t="inlineStr">
        <is>
          <t>NA</t>
        </is>
      </c>
      <c r="V216" s="238" t="inlineStr">
        <is>
          <t>NA</t>
        </is>
      </c>
      <c r="W216" s="257" t="n">
        <v>10</v>
      </c>
      <c r="X216" s="945" t="inlineStr">
        <is>
          <t>NA</t>
        </is>
      </c>
      <c r="Y216" s="237" t="n">
        <v>40</v>
      </c>
      <c r="Z216" s="237" t="inlineStr">
        <is>
          <t>NA</t>
        </is>
      </c>
      <c r="AA216" s="237" t="inlineStr">
        <is>
          <t>45.00</t>
        </is>
      </c>
      <c r="AB216" s="269" t="inlineStr">
        <is>
          <t>USAGE ZP</t>
        </is>
      </c>
      <c r="AC216" s="231" t="inlineStr">
        <is>
          <t>ND</t>
        </is>
      </c>
      <c r="AD216" s="257" t="inlineStr">
        <is>
          <t>N</t>
        </is>
      </c>
      <c r="AE216" s="257" t="inlineStr">
        <is>
          <t>NA</t>
        </is>
      </c>
      <c r="AF216" s="257" t="inlineStr">
        <is>
          <t>NA</t>
        </is>
      </c>
      <c r="AG216" s="258" t="inlineStr">
        <is>
          <t>NA</t>
        </is>
      </c>
      <c r="AH216" s="89" t="n"/>
      <c r="AI216" s="316" t="n"/>
      <c r="AJ216" s="317" t="n"/>
      <c r="AK216" s="257" t="n"/>
      <c r="AL216" s="258" t="n"/>
      <c r="AM216" s="318" t="n"/>
      <c r="AN216" s="317" t="n"/>
      <c r="AO216" s="257" t="n"/>
      <c r="AP216" s="258" t="n"/>
      <c r="AQ216" s="318" t="n"/>
      <c r="AR216" s="317" t="n"/>
      <c r="AS216" s="257" t="n"/>
      <c r="AT216" s="258" t="n"/>
      <c r="AU216" s="318" t="n"/>
      <c r="AV216" s="317" t="n"/>
      <c r="AW216" s="257" t="n"/>
      <c r="AX216" s="258" t="n"/>
      <c r="AY216" s="1240" t="inlineStr">
        <is>
          <t>S'il est renseigné, l'identifiant doit correspondre à un enregistrement dans l'objet associé, indépendamment de l'entité
---
Le tiers doit exister (présence du tiers dans TIGRE)
---
Le couple identifiant local / central (F2 2.9 et F2 2.10) doit exister dans TIGRE</t>
        </is>
      </c>
      <c r="AZ216" s="931" t="inlineStr">
        <is>
          <t>If it is filled in, the identifier must correspond to a record in the associated object, regardless of the entity
---
The third-party must exist (presence of the third-party in TIGRE)
---
The local/central identifier pair (F2 2.9 and F2 2.10) must exist in TIGRE</t>
        </is>
      </c>
      <c r="BA216" s="1181" t="inlineStr">
        <is>
          <t>7
6
6</t>
        </is>
      </c>
      <c r="BB216" s="1182" t="inlineStr">
        <is>
          <t>TI0003
TIG0002
TIG0004</t>
        </is>
      </c>
      <c r="BC216" s="316" t="n"/>
      <c r="BD216" s="317" t="n"/>
      <c r="BE216" s="257" t="n"/>
      <c r="BF216" s="258" t="n"/>
      <c r="BG216" s="89" t="n"/>
      <c r="BH2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16">
        <f>_xlfn.LET(r,ROW(),oc,INDEX($A:$A,r),cv,TRIM(INDEX($Y:$Y,r)&amp;""),IF(oc&lt;&gt;"P1","",IF(cv="45","V45 - novo, nao alimentado pelo spool atual","V44 - alimentado pelo spool atual")))</f>
        <v/>
      </c>
    </row>
    <row r="217" ht="54" customFormat="1" customHeight="1" s="90">
      <c r="A217" s="306" t="inlineStr">
        <is>
          <t>F2</t>
        </is>
      </c>
      <c r="B217" s="307" t="n">
        <v>28</v>
      </c>
      <c r="C217" s="269" t="inlineStr">
        <is>
          <t>31 - Paramètres bâlois</t>
        </is>
      </c>
      <c r="D217" s="236" t="inlineStr">
        <is>
          <t>31 - Basel settings</t>
        </is>
      </c>
      <c r="E217" s="307" t="inlineStr">
        <is>
          <t>F2 2.17</t>
        </is>
      </c>
      <c r="F217" s="396" t="inlineStr">
        <is>
          <t>Méthodologie Bâloise</t>
        </is>
      </c>
      <c r="G217" s="309" t="inlineStr">
        <is>
          <t>Basel methodology</t>
        </is>
      </c>
      <c r="H217" s="309" t="n"/>
      <c r="I217" s="241" t="inlineStr">
        <is>
          <t>Correspond à la méthode de calcul des risques pondérés dans Bâle</t>
        </is>
      </c>
      <c r="J217" s="233" t="inlineStr">
        <is>
          <t>Represents the risk-weighted asset calculation method in Basel 2</t>
        </is>
      </c>
      <c r="K217" s="269" t="inlineStr">
        <is>
          <t>ND</t>
        </is>
      </c>
      <c r="L217" s="310" t="inlineStr">
        <is>
          <t>ND</t>
        </is>
      </c>
      <c r="M217" s="1420" t="inlineStr">
        <is>
          <t>cdMetBal</t>
        </is>
      </c>
      <c r="N217" s="231" t="inlineStr">
        <is>
          <t>Obligatoire</t>
        </is>
      </c>
      <c r="O217" s="236" t="inlineStr">
        <is>
          <t>Mandatory</t>
        </is>
      </c>
      <c r="P217" s="269" t="inlineStr">
        <is>
          <t>LC.0068</t>
        </is>
      </c>
      <c r="Q217" s="269" t="inlineStr">
        <is>
          <t xml:space="preserve">TA KVBAL22 </t>
        </is>
      </c>
      <c r="R217" s="241" t="inlineStr">
        <is>
          <t>NA</t>
        </is>
      </c>
      <c r="S217" s="233" t="inlineStr">
        <is>
          <t>NA</t>
        </is>
      </c>
      <c r="T217" s="313" t="inlineStr">
        <is>
          <t>ALPHA</t>
        </is>
      </c>
      <c r="U217" s="237" t="inlineStr">
        <is>
          <t>NA</t>
        </is>
      </c>
      <c r="V217" s="238" t="inlineStr">
        <is>
          <t>NA</t>
        </is>
      </c>
      <c r="W217" s="397" t="n">
        <v>7</v>
      </c>
      <c r="X217" s="945" t="inlineStr">
        <is>
          <t>NA</t>
        </is>
      </c>
      <c r="Y217" s="237" t="n">
        <v>40</v>
      </c>
      <c r="Z217" s="237" t="inlineStr">
        <is>
          <t>NA</t>
        </is>
      </c>
      <c r="AA217" s="978" t="inlineStr">
        <is>
          <t>NA</t>
        </is>
      </c>
      <c r="AB217" s="994" t="inlineStr">
        <is>
          <t>ASTRE</t>
        </is>
      </c>
      <c r="AC217" s="231" t="inlineStr">
        <is>
          <t>ND</t>
        </is>
      </c>
      <c r="AD217" s="257" t="inlineStr">
        <is>
          <t>N</t>
        </is>
      </c>
      <c r="AE217" s="257" t="inlineStr">
        <is>
          <t>NA</t>
        </is>
      </c>
      <c r="AF217" s="257" t="inlineStr">
        <is>
          <t>NA</t>
        </is>
      </c>
      <c r="AG217" s="258" t="inlineStr">
        <is>
          <t>NA</t>
        </is>
      </c>
      <c r="AH217" s="89" t="n"/>
      <c r="AI217" s="316" t="inlineStr">
        <is>
          <t>La donnée est obligatoire</t>
        </is>
      </c>
      <c r="AJ217" s="317" t="inlineStr">
        <is>
          <t>The data is mandatory</t>
        </is>
      </c>
      <c r="AK217" s="257" t="n">
        <v>7</v>
      </c>
      <c r="AL217" s="335" t="inlineStr">
        <is>
          <t>TPG0001</t>
        </is>
      </c>
      <c r="AM217" s="210" t="inlineStr">
        <is>
          <t>Si elle est renseignée, la valeur doit être connue du Langage Commun associé</t>
        </is>
      </c>
      <c r="AN217" s="211" t="inlineStr">
        <is>
          <t>If specified, the value must be known to the associated Common Language</t>
        </is>
      </c>
      <c r="AO217" s="257" t="n">
        <v>7</v>
      </c>
      <c r="AP217" s="212" t="inlineStr">
        <is>
          <t>TIG0001</t>
        </is>
      </c>
      <c r="AQ217" s="318" t="n"/>
      <c r="AR217" s="317" t="n"/>
      <c r="AS217" s="257" t="n"/>
      <c r="AT217" s="258" t="n"/>
      <c r="AU217" s="318" t="n"/>
      <c r="AV217" s="317" t="n"/>
      <c r="AW217" s="257" t="n"/>
      <c r="AX217" s="258" t="n"/>
      <c r="AY217" s="318" t="n"/>
      <c r="AZ217" s="317" t="n"/>
      <c r="BA217" s="257" t="n"/>
      <c r="BB217" s="258" t="n"/>
      <c r="BC217" s="316" t="n"/>
      <c r="BD217" s="317" t="n"/>
      <c r="BE217" s="257" t="n"/>
      <c r="BF217" s="258" t="n"/>
      <c r="BG217" s="89" t="n"/>
      <c r="BH2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17">
        <f>_xlfn.LET(r,ROW(),oc,INDEX($A:$A,r),cv,TRIM(INDEX($Y:$Y,r)&amp;""),IF(oc&lt;&gt;"P1","",IF(cv="45","V45 - novo, nao alimentado pelo spool atual","V44 - alimentado pelo spool atual")))</f>
        <v/>
      </c>
    </row>
    <row r="218" ht="54" customFormat="1" customHeight="1" s="90">
      <c r="A218" s="306" t="inlineStr">
        <is>
          <t>F2</t>
        </is>
      </c>
      <c r="B218" s="307" t="n">
        <v>29</v>
      </c>
      <c r="C218" s="269" t="inlineStr">
        <is>
          <t>31 - Paramètres bâlois</t>
        </is>
      </c>
      <c r="D218" s="236" t="inlineStr">
        <is>
          <t>31 - Basel settings</t>
        </is>
      </c>
      <c r="E218" s="307" t="inlineStr">
        <is>
          <t>F2 2.18</t>
        </is>
      </c>
      <c r="F218" s="308" t="inlineStr">
        <is>
          <t>Traitement moteur bâlois</t>
        </is>
      </c>
      <c r="G218" s="309" t="inlineStr">
        <is>
          <t>Basel engine treatment</t>
        </is>
      </c>
      <c r="H218" s="309" t="n"/>
      <c r="I218" s="241" t="inlineStr">
        <is>
          <t>Correspond au traitement moteur de calcul des RWA Bâlois</t>
        </is>
      </c>
      <c r="J218" s="233" t="inlineStr">
        <is>
          <t>Represents treatment by the Basel 2 RWA calculation engine</t>
        </is>
      </c>
      <c r="K218" s="269" t="inlineStr">
        <is>
          <t>ND</t>
        </is>
      </c>
      <c r="L218" s="310" t="inlineStr">
        <is>
          <t>ND</t>
        </is>
      </c>
      <c r="M218" s="1420" t="inlineStr">
        <is>
          <t>cdTraitMot</t>
        </is>
      </c>
      <c r="N218" s="231" t="inlineStr">
        <is>
          <t>Obligatoire</t>
        </is>
      </c>
      <c r="O218" s="236" t="inlineStr">
        <is>
          <t>Mandatory</t>
        </is>
      </c>
      <c r="P218" s="269" t="inlineStr">
        <is>
          <t>LC.0154</t>
        </is>
      </c>
      <c r="Q218" s="269" t="inlineStr">
        <is>
          <t>TA KVTBALE</t>
        </is>
      </c>
      <c r="R218" s="241" t="inlineStr">
        <is>
          <t>Cette donnée permet d'indiquer le traitement Bâle II associé à la méthodologie</t>
        </is>
      </c>
      <c r="S218" s="233" t="inlineStr">
        <is>
          <t>This data makes it possible to indicate the Basel II treatment associated with the methodology</t>
        </is>
      </c>
      <c r="T218" s="313" t="inlineStr">
        <is>
          <t>ALPHA</t>
        </is>
      </c>
      <c r="U218" s="237" t="inlineStr">
        <is>
          <t>NA</t>
        </is>
      </c>
      <c r="V218" s="238" t="inlineStr">
        <is>
          <t>NA</t>
        </is>
      </c>
      <c r="W218" s="397" t="n">
        <v>2</v>
      </c>
      <c r="X218" s="945" t="inlineStr">
        <is>
          <t>NA</t>
        </is>
      </c>
      <c r="Y218" s="237" t="n">
        <v>40</v>
      </c>
      <c r="Z218" s="237" t="inlineStr">
        <is>
          <t>NA</t>
        </is>
      </c>
      <c r="AA218" s="270" t="inlineStr">
        <is>
          <t>NA</t>
        </is>
      </c>
      <c r="AB218" s="1287" t="inlineStr">
        <is>
          <t>USAGE ZP</t>
        </is>
      </c>
      <c r="AC218" s="231" t="inlineStr">
        <is>
          <t>ND</t>
        </is>
      </c>
      <c r="AD218" s="257" t="inlineStr">
        <is>
          <t>N</t>
        </is>
      </c>
      <c r="AE218" s="257" t="inlineStr">
        <is>
          <t>NA</t>
        </is>
      </c>
      <c r="AF218" s="257" t="inlineStr">
        <is>
          <t>NA</t>
        </is>
      </c>
      <c r="AG218" s="258" t="inlineStr">
        <is>
          <t>NA</t>
        </is>
      </c>
      <c r="AH218" s="89" t="n"/>
      <c r="AI218" s="316" t="inlineStr">
        <is>
          <t>La donnée est obligatoire</t>
        </is>
      </c>
      <c r="AJ218" s="317" t="inlineStr">
        <is>
          <t>The data is mandatory</t>
        </is>
      </c>
      <c r="AK218" s="257" t="n">
        <v>7</v>
      </c>
      <c r="AL218" s="335" t="inlineStr">
        <is>
          <t>TPG0001</t>
        </is>
      </c>
      <c r="AM218" s="210" t="inlineStr">
        <is>
          <t>Si elle est renseignée, la valeur doit être connue du Langage Commun associé</t>
        </is>
      </c>
      <c r="AN218" s="211" t="inlineStr">
        <is>
          <t>If specified, the value must be known to the associated Common Language</t>
        </is>
      </c>
      <c r="AO218" s="257" t="n">
        <v>7</v>
      </c>
      <c r="AP218" s="212" t="inlineStr">
        <is>
          <t>TIG0001</t>
        </is>
      </c>
      <c r="AQ218" s="318" t="n"/>
      <c r="AR218" s="317" t="n"/>
      <c r="AS218" s="257" t="n"/>
      <c r="AT218" s="258" t="n"/>
      <c r="AU218" s="398" t="inlineStr">
        <is>
          <t>Si renseignée, alors la donnée doit être cohérente avec la donnée Méthodologie Bâloise [F2 2.17] (LC.0154 - TA 0990 KVCOTMMC)</t>
        </is>
      </c>
      <c r="AV218" s="317" t="inlineStr">
        <is>
          <t>If filled, then the data must be consistent with Basel methodology [F2 2.17] (LC.0154 - TA 0990 KVCOTMMC)</t>
        </is>
      </c>
      <c r="AW218" s="257" t="n">
        <v>7</v>
      </c>
      <c r="AX218" s="345" t="inlineStr">
        <is>
          <t>TCS0702</t>
        </is>
      </c>
      <c r="AY218" s="318" t="n"/>
      <c r="AZ218" s="317" t="n"/>
      <c r="BA218" s="257" t="n"/>
      <c r="BB218" s="258" t="n"/>
      <c r="BC218" s="316" t="n"/>
      <c r="BD218" s="317" t="n"/>
      <c r="BE218" s="257" t="n"/>
      <c r="BF218" s="258" t="n"/>
      <c r="BG218" s="89" t="n"/>
      <c r="BH2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18">
        <f>_xlfn.LET(r,ROW(),oc,INDEX($A:$A,r),cv,TRIM(INDEX($Y:$Y,r)&amp;""),IF(oc&lt;&gt;"P1","",IF(cv="45","V45 - novo, nao alimentado pelo spool atual","V44 - alimentado pelo spool atual")))</f>
        <v/>
      </c>
    </row>
    <row r="219" ht="54" customFormat="1" customHeight="1" s="90">
      <c r="A219" s="306" t="inlineStr">
        <is>
          <t>F2</t>
        </is>
      </c>
      <c r="B219" s="307" t="n">
        <v>30</v>
      </c>
      <c r="C219" s="269" t="inlineStr">
        <is>
          <t>03 - Caractéristiques Générales</t>
        </is>
      </c>
      <c r="D219" s="236" t="inlineStr">
        <is>
          <t>03 - General characteristics</t>
        </is>
      </c>
      <c r="E219" s="307" t="inlineStr">
        <is>
          <t>F2 2.19</t>
        </is>
      </c>
      <c r="F219" s="314" t="inlineStr">
        <is>
          <t>Type de produit bancaire</t>
        </is>
      </c>
      <c r="G219" s="309" t="inlineStr">
        <is>
          <t>Banking Product type</t>
        </is>
      </c>
      <c r="H219" s="309" t="n"/>
      <c r="I219" s="314" t="inlineStr">
        <is>
          <t>Classification des produits bancaires et financiers</t>
        </is>
      </c>
      <c r="J219" s="233" t="inlineStr">
        <is>
          <t>Banking and financial products classification</t>
        </is>
      </c>
      <c r="K219" s="269" t="inlineStr">
        <is>
          <t>ND</t>
        </is>
      </c>
      <c r="L219" s="310" t="inlineStr">
        <is>
          <t>ND</t>
        </is>
      </c>
      <c r="M219" s="1420" t="inlineStr">
        <is>
          <t>TypProdCd</t>
        </is>
      </c>
      <c r="N219" s="231" t="inlineStr">
        <is>
          <t>Obligatoire</t>
        </is>
      </c>
      <c r="O219" s="236" t="inlineStr">
        <is>
          <t>Mandatory</t>
        </is>
      </c>
      <c r="P219" s="269" t="inlineStr">
        <is>
          <t>LC.0303</t>
        </is>
      </c>
      <c r="Q219" s="269" t="inlineStr">
        <is>
          <t xml:space="preserve">TA Z8PRODUI </t>
        </is>
      </c>
      <c r="R219" s="241" t="inlineStr">
        <is>
          <t>NA</t>
        </is>
      </c>
      <c r="S219" s="312" t="inlineStr">
        <is>
          <t>NA</t>
        </is>
      </c>
      <c r="T219" s="313" t="inlineStr">
        <is>
          <t xml:space="preserve"> ALPHA</t>
        </is>
      </c>
      <c r="U219" s="237" t="inlineStr">
        <is>
          <t>NA</t>
        </is>
      </c>
      <c r="V219" s="238" t="inlineStr">
        <is>
          <t>NA</t>
        </is>
      </c>
      <c r="W219" s="257" t="n">
        <v>6</v>
      </c>
      <c r="X219" s="945" t="inlineStr">
        <is>
          <t>NA</t>
        </is>
      </c>
      <c r="Y219" s="237" t="n">
        <v>43</v>
      </c>
      <c r="Z219" s="237" t="inlineStr">
        <is>
          <t>NA</t>
        </is>
      </c>
      <c r="AA219" s="239" t="inlineStr">
        <is>
          <t>NA</t>
        </is>
      </c>
      <c r="AB219" s="636" t="inlineStr">
        <is>
          <t>USAGE ZP</t>
        </is>
      </c>
      <c r="AC219" s="231" t="inlineStr">
        <is>
          <t>ND</t>
        </is>
      </c>
      <c r="AD219" s="257" t="inlineStr">
        <is>
          <t>N</t>
        </is>
      </c>
      <c r="AE219" s="257" t="inlineStr">
        <is>
          <t>NA</t>
        </is>
      </c>
      <c r="AF219" s="257" t="inlineStr">
        <is>
          <t>NA</t>
        </is>
      </c>
      <c r="AG219" s="258" t="inlineStr">
        <is>
          <t>NA</t>
        </is>
      </c>
      <c r="AH219" s="89" t="n"/>
      <c r="AI219" s="353" t="inlineStr">
        <is>
          <t>La donnée est obligatoire</t>
        </is>
      </c>
      <c r="AJ219" s="317" t="inlineStr">
        <is>
          <t>The data is mandatory</t>
        </is>
      </c>
      <c r="AK219" s="269" t="n">
        <v>7</v>
      </c>
      <c r="AL219" s="335" t="inlineStr">
        <is>
          <t>TPG0001</t>
        </is>
      </c>
      <c r="AM219" s="210" t="inlineStr">
        <is>
          <t>Si elle est renseignée, la valeur doit être connue du Langage Commun associé</t>
        </is>
      </c>
      <c r="AN219" s="211" t="inlineStr">
        <is>
          <t>If specified, the value must be known to the associated Common Language</t>
        </is>
      </c>
      <c r="AO219" s="269" t="n">
        <v>7</v>
      </c>
      <c r="AP219" s="212" t="inlineStr">
        <is>
          <t>TIG0001</t>
        </is>
      </c>
      <c r="AQ219" s="318" t="n"/>
      <c r="AR219" s="317" t="n"/>
      <c r="AS219" s="257" t="n"/>
      <c r="AT219" s="258" t="n"/>
      <c r="AU219" s="354" t="inlineStr">
        <is>
          <t>Le type de produit bancaire doit être cohérent avec le type d'enregistrement (la colonne Z8OMZPFR lié au type de produit de la table Z8COPROM doit correspondre à l'objet métier concerné)</t>
        </is>
      </c>
      <c r="AV219" s="317" t="inlineStr">
        <is>
          <t>The type of banking product must be consistent with the type of record (the Z8OMZPFR column linked to the product type of the Z8COPROM table must correspond to the business object concerned)</t>
        </is>
      </c>
      <c r="AW219" s="269" t="n">
        <v>7</v>
      </c>
      <c r="AX219" s="355" t="inlineStr">
        <is>
          <t>TCG0001</t>
        </is>
      </c>
      <c r="AY219" s="318" t="n"/>
      <c r="AZ219" s="317" t="n"/>
      <c r="BA219" s="257" t="n"/>
      <c r="BB219" s="258" t="n"/>
      <c r="BC219" s="316" t="n"/>
      <c r="BD219" s="317" t="n"/>
      <c r="BE219" s="257" t="n"/>
      <c r="BF219" s="258" t="n"/>
      <c r="BG219" s="89" t="n"/>
      <c r="BH2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19">
        <f>_xlfn.LET(r,ROW(),oc,INDEX($A:$A,r),cv,TRIM(INDEX($Y:$Y,r)&amp;""),IF(oc&lt;&gt;"P1","",IF(cv="45","V45 - novo, nao alimentado pelo spool atual","V44 - alimentado pelo spool atual")))</f>
        <v/>
      </c>
    </row>
    <row r="220" ht="54" customFormat="1" customHeight="1" s="55">
      <c r="A220" s="325" t="inlineStr">
        <is>
          <t>F2</t>
        </is>
      </c>
      <c r="B220" s="326" t="n">
        <v>31</v>
      </c>
      <c r="C220" s="284" t="inlineStr">
        <is>
          <t>NA</t>
        </is>
      </c>
      <c r="D220" s="244" t="inlineStr">
        <is>
          <t>NA</t>
        </is>
      </c>
      <c r="E220" s="326" t="inlineStr">
        <is>
          <t>F2 2.99</t>
        </is>
      </c>
      <c r="F220" s="327" t="inlineStr">
        <is>
          <t>Filler</t>
        </is>
      </c>
      <c r="G220" s="327" t="inlineStr">
        <is>
          <t>Filler</t>
        </is>
      </c>
      <c r="H220" s="327" t="n"/>
      <c r="I220" s="247" t="inlineStr">
        <is>
          <t>Zone libre</t>
        </is>
      </c>
      <c r="J220" s="245" t="inlineStr">
        <is>
          <t>Free zone</t>
        </is>
      </c>
      <c r="K220" s="284" t="inlineStr">
        <is>
          <t>NA</t>
        </is>
      </c>
      <c r="L220" s="284" t="inlineStr">
        <is>
          <t>NA</t>
        </is>
      </c>
      <c r="M220" s="1421" t="inlineStr">
        <is>
          <t>ZoneLibre2</t>
        </is>
      </c>
      <c r="N220" s="284" t="inlineStr">
        <is>
          <t>NA</t>
        </is>
      </c>
      <c r="O220" s="284" t="inlineStr">
        <is>
          <t>NA</t>
        </is>
      </c>
      <c r="P220" s="284" t="inlineStr">
        <is>
          <t>NA</t>
        </is>
      </c>
      <c r="Q220" s="284" t="inlineStr">
        <is>
          <t>NA</t>
        </is>
      </c>
      <c r="R220" s="247" t="inlineStr">
        <is>
          <t>Laisser à vide</t>
        </is>
      </c>
      <c r="S220" s="247" t="inlineStr">
        <is>
          <t>Leave empty</t>
        </is>
      </c>
      <c r="T220" s="326" t="inlineStr">
        <is>
          <t>ALPHA</t>
        </is>
      </c>
      <c r="U220" s="248" t="inlineStr">
        <is>
          <t>NA</t>
        </is>
      </c>
      <c r="V220" s="248" t="inlineStr">
        <is>
          <t>NA</t>
        </is>
      </c>
      <c r="W220" s="284" t="n">
        <v>5</v>
      </c>
      <c r="X220" s="244" t="inlineStr">
        <is>
          <t>NA</t>
        </is>
      </c>
      <c r="Y220" s="248" t="inlineStr">
        <is>
          <t>NA</t>
        </is>
      </c>
      <c r="Z220" s="248" t="inlineStr">
        <is>
          <t>NA</t>
        </is>
      </c>
      <c r="AA220" s="248" t="inlineStr">
        <is>
          <t>NA</t>
        </is>
      </c>
      <c r="AB220" s="284" t="inlineStr">
        <is>
          <t>NA</t>
        </is>
      </c>
      <c r="AC220" s="244" t="inlineStr">
        <is>
          <t>NA</t>
        </is>
      </c>
      <c r="AD220" s="284" t="inlineStr">
        <is>
          <t>N</t>
        </is>
      </c>
      <c r="AE220" s="284" t="inlineStr">
        <is>
          <t>NA</t>
        </is>
      </c>
      <c r="AF220" s="284" t="inlineStr">
        <is>
          <t>NA</t>
        </is>
      </c>
      <c r="AG220" s="285" t="inlineStr">
        <is>
          <t>NA</t>
        </is>
      </c>
      <c r="AH220" s="89" t="n"/>
      <c r="AI220" s="330" t="n"/>
      <c r="AJ220" s="331" t="n"/>
      <c r="AK220" s="284" t="n"/>
      <c r="AL220" s="285" t="n"/>
      <c r="AM220" s="331" t="n"/>
      <c r="AN220" s="331" t="n"/>
      <c r="AO220" s="284" t="n"/>
      <c r="AP220" s="285" t="n"/>
      <c r="AQ220" s="331" t="n"/>
      <c r="AR220" s="331" t="n"/>
      <c r="AS220" s="284" t="n"/>
      <c r="AT220" s="285" t="n"/>
      <c r="AU220" s="331" t="n"/>
      <c r="AV220" s="331" t="n"/>
      <c r="AW220" s="284" t="n"/>
      <c r="AX220" s="285" t="n"/>
      <c r="AY220" s="331" t="n"/>
      <c r="AZ220" s="331" t="n"/>
      <c r="BA220" s="284" t="n"/>
      <c r="BB220" s="285" t="n"/>
      <c r="BC220" s="330" t="n"/>
      <c r="BD220" s="331" t="n"/>
      <c r="BE220" s="284" t="n"/>
      <c r="BF220" s="285" t="n"/>
      <c r="BG220" s="89" t="n"/>
      <c r="BH2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20">
        <f>_xlfn.LET(r,ROW(),oc,INDEX($A:$A,r),cv,TRIM(INDEX($Y:$Y,r)&amp;""),IF(oc&lt;&gt;"P1","",IF(cv="45","V45 - novo, nao alimentado pelo spool atual","V44 - alimentado pelo spool atual")))</f>
        <v/>
      </c>
    </row>
    <row r="221" ht="54" customFormat="1" customHeight="1" s="90">
      <c r="A221" s="306" t="inlineStr">
        <is>
          <t>F2</t>
        </is>
      </c>
      <c r="B221" s="307" t="n">
        <v>32</v>
      </c>
      <c r="C221" s="269" t="inlineStr">
        <is>
          <t>03 - Caractéristiques Générales</t>
        </is>
      </c>
      <c r="D221" s="236" t="inlineStr">
        <is>
          <t>03 - General characteristics</t>
        </is>
      </c>
      <c r="E221" s="307" t="inlineStr">
        <is>
          <t>F2 3.1</t>
        </is>
      </c>
      <c r="F221" s="308" t="inlineStr">
        <is>
          <t>Date de début de validité de la ligne</t>
        </is>
      </c>
      <c r="G221" s="309" t="inlineStr">
        <is>
          <t>Start date of validity of line</t>
        </is>
      </c>
      <c r="H221" s="309" t="n"/>
      <c r="I221" s="241" t="inlineStr">
        <is>
          <t>Date à partir de laquelle un tirage peut être initié</t>
        </is>
      </c>
      <c r="J221" s="233" t="inlineStr">
        <is>
          <t>Date from which draw-downs can be started</t>
        </is>
      </c>
      <c r="K221" s="269" t="inlineStr">
        <is>
          <t>ND</t>
        </is>
      </c>
      <c r="L221" s="310" t="inlineStr">
        <is>
          <t>ND</t>
        </is>
      </c>
      <c r="M221" s="1420" t="inlineStr">
        <is>
          <t>dtDebEng</t>
        </is>
      </c>
      <c r="N221" s="231" t="inlineStr">
        <is>
          <t>Obligatoire</t>
        </is>
      </c>
      <c r="O221" s="236" t="inlineStr">
        <is>
          <t>Mandatory</t>
        </is>
      </c>
      <c r="P221" s="269" t="inlineStr">
        <is>
          <t>NA</t>
        </is>
      </c>
      <c r="Q221" s="269" t="inlineStr">
        <is>
          <t>NA</t>
        </is>
      </c>
      <c r="R221" s="241" t="inlineStr">
        <is>
          <t>NA</t>
        </is>
      </c>
      <c r="S221" s="233" t="inlineStr">
        <is>
          <t>NA</t>
        </is>
      </c>
      <c r="T221" s="206" t="inlineStr">
        <is>
          <t>DATE</t>
        </is>
      </c>
      <c r="U221" s="237" t="inlineStr">
        <is>
          <t>AAAAMMJJ</t>
        </is>
      </c>
      <c r="V221" s="238" t="inlineStr">
        <is>
          <t>YYYYMMDD</t>
        </is>
      </c>
      <c r="W221" s="397" t="n">
        <v>8</v>
      </c>
      <c r="X221" s="945" t="inlineStr">
        <is>
          <t>NA</t>
        </is>
      </c>
      <c r="Y221" s="237" t="n">
        <v>40</v>
      </c>
      <c r="Z221" s="237" t="inlineStr">
        <is>
          <t>NA</t>
        </is>
      </c>
      <c r="AA221" s="237" t="inlineStr">
        <is>
          <t>NA</t>
        </is>
      </c>
      <c r="AB221" s="269" t="inlineStr">
        <is>
          <t>ANACREDIT</t>
        </is>
      </c>
      <c r="AC221" s="231" t="inlineStr">
        <is>
          <t>ND</t>
        </is>
      </c>
      <c r="AD221" s="257" t="inlineStr">
        <is>
          <t>N</t>
        </is>
      </c>
      <c r="AE221" s="257" t="inlineStr">
        <is>
          <t>NA</t>
        </is>
      </c>
      <c r="AF221" s="257" t="inlineStr">
        <is>
          <t>NA</t>
        </is>
      </c>
      <c r="AG221" s="258" t="inlineStr">
        <is>
          <t>NA</t>
        </is>
      </c>
      <c r="AH221" s="89" t="n"/>
      <c r="AI221" s="316" t="inlineStr">
        <is>
          <t>La donnée est obligatoire</t>
        </is>
      </c>
      <c r="AJ221" s="317" t="inlineStr">
        <is>
          <t>The data is mandatory</t>
        </is>
      </c>
      <c r="AK221" s="257" t="n">
        <v>7</v>
      </c>
      <c r="AL221" s="335" t="inlineStr">
        <is>
          <t>TPG0001</t>
        </is>
      </c>
      <c r="AM221" s="318" t="n"/>
      <c r="AN221" s="317" t="n"/>
      <c r="AO221" s="257" t="n"/>
      <c r="AP221" s="258" t="n"/>
      <c r="AQ221" s="356" t="inlineStr">
        <is>
          <t>Si renseignée, la donnée doit être supérieure ou égale à '19000101'</t>
        </is>
      </c>
      <c r="AR221" s="317" t="inlineStr">
        <is>
          <t>If filled, data must be greater or equal to '19000101'</t>
        </is>
      </c>
      <c r="AS221" s="257" t="n">
        <v>7</v>
      </c>
      <c r="AT221" s="258" t="inlineStr">
        <is>
          <t>TVG0005</t>
        </is>
      </c>
      <c r="AU221" s="318" t="n"/>
      <c r="AV221" s="317" t="n"/>
      <c r="AW221" s="257" t="n"/>
      <c r="AX221" s="258" t="n"/>
      <c r="AY221" s="318" t="inlineStr">
        <is>
          <t>&gt;= [F1 3.1] du chapeau d'autorisation associé</t>
        </is>
      </c>
      <c r="AZ221" s="317" t="inlineStr">
        <is>
          <t>&gt;= [F1 3.1] of the associated authorization cap</t>
        </is>
      </c>
      <c r="BA221" s="257" t="n">
        <v>7</v>
      </c>
      <c r="BB221" s="258" t="inlineStr">
        <is>
          <t>TC0304</t>
        </is>
      </c>
      <c r="BC221" s="316" t="n"/>
      <c r="BD221" s="317" t="n"/>
      <c r="BE221" s="257" t="n"/>
      <c r="BF221" s="258" t="n"/>
      <c r="BG221" s="89" t="n"/>
      <c r="BH2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21">
        <f>_xlfn.LET(r,ROW(),oc,INDEX($A:$A,r),cv,TRIM(INDEX($Y:$Y,r)&amp;""),IF(oc&lt;&gt;"P1","",IF(cv="45","V45 - novo, nao alimentado pelo spool atual","V44 - alimentado pelo spool atual")))</f>
        <v/>
      </c>
    </row>
    <row r="222" ht="54" customFormat="1" customHeight="1" s="90">
      <c r="A222" s="306" t="inlineStr">
        <is>
          <t>F2</t>
        </is>
      </c>
      <c r="B222" s="307" t="n">
        <v>33</v>
      </c>
      <c r="C222" s="269" t="inlineStr">
        <is>
          <t>03 - Caractéristiques Générales</t>
        </is>
      </c>
      <c r="D222" s="236" t="inlineStr">
        <is>
          <t>03 - General characteristics</t>
        </is>
      </c>
      <c r="E222" s="307" t="inlineStr">
        <is>
          <t>F2 3.2</t>
        </is>
      </c>
      <c r="F222" s="357" t="inlineStr">
        <is>
          <t>Date limite de tirage de la ligne</t>
        </is>
      </c>
      <c r="G222" s="309" t="inlineStr">
        <is>
          <t>Line draw-down cut-off date</t>
        </is>
      </c>
      <c r="H222" s="309" t="n"/>
      <c r="I222" s="241" t="inlineStr">
        <is>
          <t>Date limite d'initialisation d'un tirage</t>
        </is>
      </c>
      <c r="J222" s="233" t="inlineStr">
        <is>
          <t>Cut-off date for commencing draw-downs</t>
        </is>
      </c>
      <c r="K222" s="269" t="inlineStr">
        <is>
          <t>ND</t>
        </is>
      </c>
      <c r="L222" s="310" t="inlineStr">
        <is>
          <t>ND</t>
        </is>
      </c>
      <c r="M222" s="1420" t="inlineStr">
        <is>
          <t>dtLimitTiraLigne</t>
        </is>
      </c>
      <c r="N222" s="231" t="inlineStr">
        <is>
          <t>Facultatif</t>
        </is>
      </c>
      <c r="O222" s="236" t="inlineStr">
        <is>
          <t>Optional</t>
        </is>
      </c>
      <c r="P222" s="269" t="inlineStr">
        <is>
          <t>NA</t>
        </is>
      </c>
      <c r="Q222" s="269" t="inlineStr">
        <is>
          <t>NA</t>
        </is>
      </c>
      <c r="R222" s="241" t="inlineStr">
        <is>
          <t>Par défaut, F2 3.2 = F2 3.3 (date limite de tirage = date de fin de validité)</t>
        </is>
      </c>
      <c r="S222" s="233" t="inlineStr">
        <is>
          <t>By default, F2 3.2 = F2 3.3 (last draw-down date = date of expiry)</t>
        </is>
      </c>
      <c r="T222" s="206" t="inlineStr">
        <is>
          <t>DATE</t>
        </is>
      </c>
      <c r="U222" s="237" t="inlineStr">
        <is>
          <t>AAAAMMJJ</t>
        </is>
      </c>
      <c r="V222" s="238" t="inlineStr">
        <is>
          <t>YYYYMMDD</t>
        </is>
      </c>
      <c r="W222" s="397" t="n">
        <v>8</v>
      </c>
      <c r="X222" s="945" t="inlineStr">
        <is>
          <t>NA</t>
        </is>
      </c>
      <c r="Y222" s="237" t="n">
        <v>40</v>
      </c>
      <c r="Z222" s="237" t="inlineStr">
        <is>
          <t>NA</t>
        </is>
      </c>
      <c r="AA222" s="978" t="inlineStr">
        <is>
          <t>NA</t>
        </is>
      </c>
      <c r="AB222" s="994" t="inlineStr">
        <is>
          <t>ANACREDIT, DEI, GRR</t>
        </is>
      </c>
      <c r="AC222" s="231" t="inlineStr">
        <is>
          <t>ND</t>
        </is>
      </c>
      <c r="AD222" s="257" t="inlineStr">
        <is>
          <t>N</t>
        </is>
      </c>
      <c r="AE222" s="257" t="inlineStr">
        <is>
          <t>NA</t>
        </is>
      </c>
      <c r="AF222" s="257" t="inlineStr">
        <is>
          <t>NA</t>
        </is>
      </c>
      <c r="AG222" s="258" t="inlineStr">
        <is>
          <t>NA</t>
        </is>
      </c>
      <c r="AH222" s="89" t="n"/>
      <c r="AI222" s="316" t="n"/>
      <c r="AJ222" s="317" t="n"/>
      <c r="AK222" s="257" t="n"/>
      <c r="AL222" s="258" t="n"/>
      <c r="AM222" s="318" t="n"/>
      <c r="AN222" s="317" t="n"/>
      <c r="AO222" s="257" t="n"/>
      <c r="AP222" s="258" t="n"/>
      <c r="AQ222" s="362" t="inlineStr">
        <is>
          <t>Si la donnée est renseignée et si l'année de la date est égale à '9999', alors la donnée doit être égale à '99990630'</t>
        </is>
      </c>
      <c r="AR222" s="317" t="inlineStr">
        <is>
          <t>If filled, and if the year of the date = '9999', then the data must be equal to '99990630'</t>
        </is>
      </c>
      <c r="AS222" s="257" t="n">
        <v>7</v>
      </c>
      <c r="AT222" s="359" t="inlineStr">
        <is>
          <t>TVG0008</t>
        </is>
      </c>
      <c r="AU222" s="399" t="inlineStr">
        <is>
          <t>La Date limite de tirage de la ligne [F2 3.2] doit être antérieure ou égale à la date de fin de validité de la ligne [F2 3.3]</t>
        </is>
      </c>
      <c r="AV222" s="317" t="inlineStr">
        <is>
          <t>The Line draw-down cut-off date [F2 3.2] must be before or equal to the Date of expiry of line [F2 3.3]</t>
        </is>
      </c>
      <c r="AW222" s="257" t="n">
        <v>6</v>
      </c>
      <c r="AX222" s="345" t="inlineStr">
        <is>
          <t>TCS0703</t>
        </is>
      </c>
      <c r="AY222" s="318" t="inlineStr">
        <is>
          <t>Si renseignée, &lt;= [F1 3.2] du chapeau d'autorisation associé</t>
        </is>
      </c>
      <c r="AZ222" s="317" t="inlineStr">
        <is>
          <t>If filled in, &lt;= [F1 3.2] of the associated authorization cap</t>
        </is>
      </c>
      <c r="BA222" s="257" t="n">
        <v>7</v>
      </c>
      <c r="BB222" s="258" t="inlineStr">
        <is>
          <t>TC0305</t>
        </is>
      </c>
      <c r="BC222" s="316" t="n"/>
      <c r="BD222" s="317" t="n"/>
      <c r="BE222" s="257" t="n"/>
      <c r="BF222" s="258" t="n"/>
      <c r="BG222" s="89" t="n"/>
      <c r="BH2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22">
        <f>_xlfn.LET(r,ROW(),oc,INDEX($A:$A,r),cv,TRIM(INDEX($Y:$Y,r)&amp;""),IF(oc&lt;&gt;"P1","",IF(cv="45","V45 - novo, nao alimentado pelo spool atual","V44 - alimentado pelo spool atual")))</f>
        <v/>
      </c>
    </row>
    <row r="223" ht="54" customFormat="1" customHeight="1" s="90">
      <c r="A223" s="306" t="inlineStr">
        <is>
          <t>F2</t>
        </is>
      </c>
      <c r="B223" s="307" t="n">
        <v>34</v>
      </c>
      <c r="C223" s="269" t="inlineStr">
        <is>
          <t>03 - Caractéristiques Générales</t>
        </is>
      </c>
      <c r="D223" s="236" t="inlineStr">
        <is>
          <t>03 - General characteristics</t>
        </is>
      </c>
      <c r="E223" s="307" t="inlineStr">
        <is>
          <t>F2 3.3</t>
        </is>
      </c>
      <c r="F223" s="357" t="inlineStr">
        <is>
          <t>Date de fin de validité de la ligne</t>
        </is>
      </c>
      <c r="G223" s="309" t="inlineStr">
        <is>
          <t>Date of expiry of line</t>
        </is>
      </c>
      <c r="H223" s="309" t="n"/>
      <c r="I223" s="241" t="inlineStr">
        <is>
          <t>Date limite à partir de laquelle tous les tirages réalisés doivent être remboursés</t>
        </is>
      </c>
      <c r="J223" s="233" t="inlineStr">
        <is>
          <t>Cut-off date following which all draw-downs must be repaid</t>
        </is>
      </c>
      <c r="K223" s="269" t="inlineStr">
        <is>
          <t>ND</t>
        </is>
      </c>
      <c r="L223" s="310" t="inlineStr">
        <is>
          <t>ND</t>
        </is>
      </c>
      <c r="M223" s="1420" t="inlineStr">
        <is>
          <t>dtFinEng</t>
        </is>
      </c>
      <c r="N223" s="231" t="inlineStr">
        <is>
          <t>Obligatoire</t>
        </is>
      </c>
      <c r="O223" s="236" t="inlineStr">
        <is>
          <t>Mandatory</t>
        </is>
      </c>
      <c r="P223" s="269" t="inlineStr">
        <is>
          <t>NA</t>
        </is>
      </c>
      <c r="Q223" s="269" t="inlineStr">
        <is>
          <t>NA</t>
        </is>
      </c>
      <c r="R223" s="241" t="inlineStr">
        <is>
          <t>NA</t>
        </is>
      </c>
      <c r="S223" s="233" t="inlineStr">
        <is>
          <t>NA</t>
        </is>
      </c>
      <c r="T223" s="206" t="inlineStr">
        <is>
          <t>DATE</t>
        </is>
      </c>
      <c r="U223" s="237" t="inlineStr">
        <is>
          <t>AAAAMMJJ</t>
        </is>
      </c>
      <c r="V223" s="238" t="inlineStr">
        <is>
          <t>YYYYMMDD</t>
        </is>
      </c>
      <c r="W223" s="397" t="n">
        <v>8</v>
      </c>
      <c r="X223" s="945" t="inlineStr">
        <is>
          <t>NA</t>
        </is>
      </c>
      <c r="Y223" s="237" t="n">
        <v>40</v>
      </c>
      <c r="Z223" s="237" t="inlineStr">
        <is>
          <t>NA</t>
        </is>
      </c>
      <c r="AA223" s="270" t="inlineStr">
        <is>
          <t>45.00</t>
        </is>
      </c>
      <c r="AB223" s="994" t="inlineStr">
        <is>
          <t>ANACREDIT, CALCULS PRUDENTIELS, DEI, GRR</t>
        </is>
      </c>
      <c r="AC223" s="231" t="inlineStr">
        <is>
          <t>ND</t>
        </is>
      </c>
      <c r="AD223" s="257" t="inlineStr">
        <is>
          <t>N</t>
        </is>
      </c>
      <c r="AE223" s="257" t="inlineStr">
        <is>
          <t>NA</t>
        </is>
      </c>
      <c r="AF223" s="257" t="inlineStr">
        <is>
          <t>NA</t>
        </is>
      </c>
      <c r="AG223" s="258" t="inlineStr">
        <is>
          <t>NA</t>
        </is>
      </c>
      <c r="AH223" s="89" t="n"/>
      <c r="AI223" s="316" t="inlineStr">
        <is>
          <t>La donnée est obligatoire</t>
        </is>
      </c>
      <c r="AJ223" s="317" t="inlineStr">
        <is>
          <t>The data is mandatory</t>
        </is>
      </c>
      <c r="AK223" s="257" t="n">
        <v>7</v>
      </c>
      <c r="AL223" s="335" t="inlineStr">
        <is>
          <t>TPG0001</t>
        </is>
      </c>
      <c r="AM223" s="318" t="n"/>
      <c r="AN223" s="317" t="n"/>
      <c r="AO223" s="257" t="n"/>
      <c r="AP223" s="258" t="n"/>
      <c r="AQ223" s="400" t="inlineStr">
        <is>
          <t>Si la donnée est renseignée et si l'année de la date est égale à '9999', alors la donnée doit être égale à '99990630'</t>
        </is>
      </c>
      <c r="AR223" s="317" t="inlineStr">
        <is>
          <t>If filled, and if the year of the date = '9999', then the data must be equal to '99990630'</t>
        </is>
      </c>
      <c r="AS223" s="257" t="n">
        <v>7</v>
      </c>
      <c r="AT223" s="359" t="inlineStr">
        <is>
          <t>TVG0008</t>
        </is>
      </c>
      <c r="AU223" s="343" t="inlineStr">
        <is>
          <t>La donnée doit être supérieure ou égale à la date d'arrêté</t>
        </is>
      </c>
      <c r="AV223" s="317" t="inlineStr">
        <is>
          <t>Data must be greater or equal than closing date</t>
        </is>
      </c>
      <c r="AW223" s="958" t="n">
        <v>6</v>
      </c>
      <c r="AX223" s="345" t="inlineStr">
        <is>
          <t>TCG0002</t>
        </is>
      </c>
      <c r="AY223" s="318" t="inlineStr">
        <is>
          <t>&lt;= [F1 3.3] du chapeau d'autorisation associé</t>
        </is>
      </c>
      <c r="AZ223" s="317" t="inlineStr">
        <is>
          <t>&lt;= [F1 3.3] of the associated authorization cap</t>
        </is>
      </c>
      <c r="BA223" s="257" t="n">
        <v>7</v>
      </c>
      <c r="BB223" s="258" t="inlineStr">
        <is>
          <t>TC0306</t>
        </is>
      </c>
      <c r="BC223" s="316" t="n"/>
      <c r="BD223" s="317" t="n"/>
      <c r="BE223" s="257" t="n"/>
      <c r="BF223" s="258" t="n"/>
      <c r="BG223" s="89" t="n"/>
      <c r="BH2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23">
        <f>_xlfn.LET(r,ROW(),oc,INDEX($A:$A,r),cv,TRIM(INDEX($Y:$Y,r)&amp;""),IF(oc&lt;&gt;"P1","",IF(cv="45","V45 - novo, nao alimentado pelo spool atual","V44 - alimentado pelo spool atual")))</f>
        <v/>
      </c>
    </row>
    <row r="224" ht="54" customFormat="1" customHeight="1" s="90">
      <c r="A224" s="306" t="inlineStr">
        <is>
          <t>F2</t>
        </is>
      </c>
      <c r="B224" s="307" t="n">
        <v>35</v>
      </c>
      <c r="C224" s="269" t="inlineStr">
        <is>
          <t>03 - Caractéristiques Générales</t>
        </is>
      </c>
      <c r="D224" s="236" t="inlineStr">
        <is>
          <t>03 - General characteristics</t>
        </is>
      </c>
      <c r="E224" s="307" t="inlineStr">
        <is>
          <t>F2 3.4</t>
        </is>
      </c>
      <c r="F224" s="308" t="inlineStr">
        <is>
          <t>Durée maximale de l'engagement</t>
        </is>
      </c>
      <c r="G224" s="309" t="inlineStr">
        <is>
          <t>Maximum length of commitment</t>
        </is>
      </c>
      <c r="H224" s="309" t="n"/>
      <c r="I224" s="241" t="inlineStr">
        <is>
          <t>Période, en nombre de jours, définissant la durée maximale de l'engagement</t>
        </is>
      </c>
      <c r="J224" s="233" t="inlineStr">
        <is>
          <t>Period, in number of days, defining the maximum length of the commitment</t>
        </is>
      </c>
      <c r="K224" s="269" t="inlineStr">
        <is>
          <t>ND</t>
        </is>
      </c>
      <c r="L224" s="310" t="inlineStr">
        <is>
          <t>ND</t>
        </is>
      </c>
      <c r="M224" s="1420" t="inlineStr">
        <is>
          <t>prdMaxEng</t>
        </is>
      </c>
      <c r="N224" s="231" t="inlineStr">
        <is>
          <t>Facultatif</t>
        </is>
      </c>
      <c r="O224" s="236" t="inlineStr">
        <is>
          <t>Optional</t>
        </is>
      </c>
      <c r="P224" s="269" t="inlineStr">
        <is>
          <t>NA</t>
        </is>
      </c>
      <c r="Q224" s="269" t="inlineStr">
        <is>
          <t>NA</t>
        </is>
      </c>
      <c r="R224" s="241" t="inlineStr">
        <is>
          <t>NA</t>
        </is>
      </c>
      <c r="S224" s="233" t="inlineStr">
        <is>
          <t>NA</t>
        </is>
      </c>
      <c r="T224" s="313" t="inlineStr">
        <is>
          <t>NUM</t>
        </is>
      </c>
      <c r="U224" s="237" t="inlineStr">
        <is>
          <t>NA</t>
        </is>
      </c>
      <c r="V224" s="238" t="inlineStr">
        <is>
          <t>NA</t>
        </is>
      </c>
      <c r="W224" s="397" t="n">
        <v>5</v>
      </c>
      <c r="X224" s="945" t="inlineStr">
        <is>
          <t>NA</t>
        </is>
      </c>
      <c r="Y224" s="237" t="n">
        <v>40</v>
      </c>
      <c r="Z224" s="237" t="inlineStr">
        <is>
          <t>NA</t>
        </is>
      </c>
      <c r="AA224" s="237" t="inlineStr">
        <is>
          <t>NA</t>
        </is>
      </c>
      <c r="AB224" s="269" t="inlineStr">
        <is>
          <t>ANACREDIT</t>
        </is>
      </c>
      <c r="AC224" s="231" t="inlineStr">
        <is>
          <t>ND</t>
        </is>
      </c>
      <c r="AD224" s="257" t="inlineStr">
        <is>
          <t>N</t>
        </is>
      </c>
      <c r="AE224" s="257" t="inlineStr">
        <is>
          <t>NA</t>
        </is>
      </c>
      <c r="AF224" s="257" t="inlineStr">
        <is>
          <t>NA</t>
        </is>
      </c>
      <c r="AG224" s="258" t="inlineStr">
        <is>
          <t>NA</t>
        </is>
      </c>
      <c r="AH224" s="89" t="n"/>
      <c r="AI224" s="316" t="n"/>
      <c r="AJ224" s="317" t="n"/>
      <c r="AK224" s="257" t="n"/>
      <c r="AL224" s="258" t="n"/>
      <c r="AM224" s="318" t="n"/>
      <c r="AN224" s="317" t="n"/>
      <c r="AO224" s="257" t="n"/>
      <c r="AP224" s="258" t="n"/>
      <c r="AQ224" s="318" t="n"/>
      <c r="AR224" s="317" t="n"/>
      <c r="AS224" s="257" t="n"/>
      <c r="AT224" s="258" t="n"/>
      <c r="AU224" s="318" t="n"/>
      <c r="AV224" s="317" t="n"/>
      <c r="AW224" s="257" t="n"/>
      <c r="AX224" s="258" t="n"/>
      <c r="AY224" s="318" t="n"/>
      <c r="AZ224" s="317" t="n"/>
      <c r="BA224" s="257" t="n"/>
      <c r="BB224" s="258" t="n"/>
      <c r="BC224" s="316" t="n"/>
      <c r="BD224" s="317" t="n"/>
      <c r="BE224" s="257" t="n"/>
      <c r="BF224" s="258" t="n"/>
      <c r="BG224" s="89" t="n"/>
      <c r="BH2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24">
        <f>_xlfn.LET(r,ROW(),oc,INDEX($A:$A,r),cv,TRIM(INDEX($Y:$Y,r)&amp;""),IF(oc&lt;&gt;"P1","",IF(cv="45","V45 - novo, nao alimentado pelo spool atual","V44 - alimentado pelo spool atual")))</f>
        <v/>
      </c>
    </row>
    <row r="225" ht="54" customFormat="1" customHeight="1" s="55">
      <c r="A225" s="325" t="inlineStr">
        <is>
          <t>F2</t>
        </is>
      </c>
      <c r="B225" s="326" t="n">
        <v>36</v>
      </c>
      <c r="C225" s="284" t="inlineStr">
        <is>
          <t>NA</t>
        </is>
      </c>
      <c r="D225" s="244" t="inlineStr">
        <is>
          <t>NA</t>
        </is>
      </c>
      <c r="E225" s="326" t="inlineStr">
        <is>
          <t>F2 3.99</t>
        </is>
      </c>
      <c r="F225" s="327" t="inlineStr">
        <is>
          <t>Filler</t>
        </is>
      </c>
      <c r="G225" s="327" t="inlineStr">
        <is>
          <t>Filler</t>
        </is>
      </c>
      <c r="H225" s="327" t="n"/>
      <c r="I225" s="247" t="inlineStr">
        <is>
          <t>Zone libre</t>
        </is>
      </c>
      <c r="J225" s="327" t="inlineStr">
        <is>
          <t>Free zone</t>
        </is>
      </c>
      <c r="K225" s="388" t="inlineStr">
        <is>
          <t>NA</t>
        </is>
      </c>
      <c r="L225" s="388" t="inlineStr">
        <is>
          <t>NA</t>
        </is>
      </c>
      <c r="M225" s="1421" t="inlineStr">
        <is>
          <t>ZoneLibre3</t>
        </is>
      </c>
      <c r="N225" s="284" t="inlineStr">
        <is>
          <t>NA</t>
        </is>
      </c>
      <c r="O225" s="388" t="inlineStr">
        <is>
          <t>NA</t>
        </is>
      </c>
      <c r="P225" s="284" t="inlineStr">
        <is>
          <t>NA</t>
        </is>
      </c>
      <c r="Q225" s="284" t="inlineStr">
        <is>
          <t>NA</t>
        </is>
      </c>
      <c r="R225" s="247" t="inlineStr">
        <is>
          <t>Laisser à vide</t>
        </is>
      </c>
      <c r="S225" s="247" t="inlineStr">
        <is>
          <t>Leave empty</t>
        </is>
      </c>
      <c r="T225" s="326" t="inlineStr">
        <is>
          <t>ALPHA</t>
        </is>
      </c>
      <c r="U225" s="248" t="inlineStr">
        <is>
          <t>NA</t>
        </is>
      </c>
      <c r="V225" s="248" t="inlineStr">
        <is>
          <t>NA</t>
        </is>
      </c>
      <c r="W225" s="284" t="n">
        <v>20</v>
      </c>
      <c r="X225" s="244" t="inlineStr">
        <is>
          <t>NA</t>
        </is>
      </c>
      <c r="Y225" s="248" t="inlineStr">
        <is>
          <t>NA</t>
        </is>
      </c>
      <c r="Z225" s="248" t="inlineStr">
        <is>
          <t>NA</t>
        </is>
      </c>
      <c r="AA225" s="248" t="inlineStr">
        <is>
          <t>NA</t>
        </is>
      </c>
      <c r="AB225" s="284" t="inlineStr">
        <is>
          <t>NA</t>
        </is>
      </c>
      <c r="AC225" s="244" t="inlineStr">
        <is>
          <t>NA</t>
        </is>
      </c>
      <c r="AD225" s="284" t="inlineStr">
        <is>
          <t>N</t>
        </is>
      </c>
      <c r="AE225" s="284" t="inlineStr">
        <is>
          <t>NA</t>
        </is>
      </c>
      <c r="AF225" s="284" t="inlineStr">
        <is>
          <t>NA</t>
        </is>
      </c>
      <c r="AG225" s="285" t="inlineStr">
        <is>
          <t>NA</t>
        </is>
      </c>
      <c r="AH225" s="89" t="n"/>
      <c r="AI225" s="330" t="n"/>
      <c r="AJ225" s="331" t="n"/>
      <c r="AK225" s="284" t="n"/>
      <c r="AL225" s="285" t="n"/>
      <c r="AM225" s="331" t="n"/>
      <c r="AN225" s="331" t="n"/>
      <c r="AO225" s="284" t="n"/>
      <c r="AP225" s="285" t="n"/>
      <c r="AQ225" s="331" t="n"/>
      <c r="AR225" s="331" t="n"/>
      <c r="AS225" s="284" t="n"/>
      <c r="AT225" s="285" t="n"/>
      <c r="AU225" s="331" t="n"/>
      <c r="AV225" s="331" t="n"/>
      <c r="AW225" s="284" t="n"/>
      <c r="AX225" s="285" t="n"/>
      <c r="AY225" s="331" t="n"/>
      <c r="AZ225" s="331" t="n"/>
      <c r="BA225" s="284" t="n"/>
      <c r="BB225" s="285" t="n"/>
      <c r="BC225" s="330" t="n"/>
      <c r="BD225" s="331" t="n"/>
      <c r="BE225" s="284" t="n"/>
      <c r="BF225" s="285" t="n"/>
      <c r="BG225" s="89" t="n"/>
      <c r="BH2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25">
        <f>_xlfn.LET(r,ROW(),oc,INDEX($A:$A,r),cv,TRIM(INDEX($Y:$Y,r)&amp;""),IF(oc&lt;&gt;"P1","",IF(cv="45","V45 - novo, nao alimentado pelo spool atual","V44 - alimentado pelo spool atual")))</f>
        <v/>
      </c>
    </row>
    <row r="226" ht="54" customFormat="1" customHeight="1" s="90">
      <c r="A226" s="306" t="inlineStr">
        <is>
          <t>F2</t>
        </is>
      </c>
      <c r="B226" s="307" t="n">
        <v>37</v>
      </c>
      <c r="C226" s="269" t="inlineStr">
        <is>
          <t>03 - Caractéristiques Générales</t>
        </is>
      </c>
      <c r="D226" s="236" t="inlineStr">
        <is>
          <t>03 - General characteristics</t>
        </is>
      </c>
      <c r="E226" s="307" t="inlineStr">
        <is>
          <t>F2 6.1</t>
        </is>
      </c>
      <c r="F226" s="308" t="inlineStr">
        <is>
          <t>Devise ou panier de devises de restriction de la ligne d'autorisation</t>
        </is>
      </c>
      <c r="G226" s="309" t="inlineStr">
        <is>
          <t>Restriction currency basket or currency of facility line</t>
        </is>
      </c>
      <c r="H226" s="309" t="n"/>
      <c r="I226" s="241" t="inlineStr">
        <is>
          <t>Permet de préciser une devise ou un panier de devise autorisé pour l'utilisation de la ligne</t>
        </is>
      </c>
      <c r="J226" s="233" t="inlineStr">
        <is>
          <t>Makes it possible to specify an authorised currency basket or currency for line usage</t>
        </is>
      </c>
      <c r="K226" s="269" t="inlineStr">
        <is>
          <t>ND</t>
        </is>
      </c>
      <c r="L226" s="310" t="inlineStr">
        <is>
          <t>ND</t>
        </is>
      </c>
      <c r="M226" s="1420" t="inlineStr">
        <is>
          <t>cdDevRestrLigneAuto</t>
        </is>
      </c>
      <c r="N226" s="231" t="inlineStr">
        <is>
          <t>Facultatif</t>
        </is>
      </c>
      <c r="O226" s="236" t="inlineStr">
        <is>
          <t>Optional</t>
        </is>
      </c>
      <c r="P226" s="269" t="inlineStr">
        <is>
          <t>LC.0005</t>
        </is>
      </c>
      <c r="Q226" s="269" t="inlineStr">
        <is>
          <t>TA NM253</t>
        </is>
      </c>
      <c r="R226" s="241" t="inlineStr">
        <is>
          <t>Valeur par défaut = '*DV'</t>
        </is>
      </c>
      <c r="S226" s="233" t="inlineStr">
        <is>
          <t>Default value = '*DV'</t>
        </is>
      </c>
      <c r="T226" s="313" t="inlineStr">
        <is>
          <t>ALPHA</t>
        </is>
      </c>
      <c r="U226" s="237" t="inlineStr">
        <is>
          <t>NA</t>
        </is>
      </c>
      <c r="V226" s="238" t="inlineStr">
        <is>
          <t>NA</t>
        </is>
      </c>
      <c r="W226" s="397" t="n">
        <v>3</v>
      </c>
      <c r="X226" s="945" t="inlineStr">
        <is>
          <t>NA</t>
        </is>
      </c>
      <c r="Y226" s="237" t="n">
        <v>40</v>
      </c>
      <c r="Z226" s="237" t="inlineStr">
        <is>
          <t>NA</t>
        </is>
      </c>
      <c r="AA226" s="283" t="inlineStr">
        <is>
          <t>NA</t>
        </is>
      </c>
      <c r="AB226" s="269" t="inlineStr">
        <is>
          <t>SI RISQUE</t>
        </is>
      </c>
      <c r="AC226" s="231" t="inlineStr">
        <is>
          <t>ND</t>
        </is>
      </c>
      <c r="AD226" s="257" t="inlineStr">
        <is>
          <t>N</t>
        </is>
      </c>
      <c r="AE226" s="257" t="inlineStr">
        <is>
          <t>NA</t>
        </is>
      </c>
      <c r="AF226" s="257" t="inlineStr">
        <is>
          <t>NA</t>
        </is>
      </c>
      <c r="AG226" s="258" t="inlineStr">
        <is>
          <t>NA</t>
        </is>
      </c>
      <c r="AH226" s="89" t="n"/>
      <c r="AI226" s="316" t="n"/>
      <c r="AJ226" s="317" t="n"/>
      <c r="AK226" s="257" t="n"/>
      <c r="AL226" s="258" t="n"/>
      <c r="AM226" s="210" t="inlineStr">
        <is>
          <t>Si elle est renseignée, la valeur doit être connue du Langage Commun associé</t>
        </is>
      </c>
      <c r="AN226" s="211" t="inlineStr">
        <is>
          <t>If specified, the value must be known to the associated Common Language</t>
        </is>
      </c>
      <c r="AO226" s="257" t="n">
        <v>7</v>
      </c>
      <c r="AP226" s="212" t="inlineStr">
        <is>
          <t>TIG0001</t>
        </is>
      </c>
      <c r="AQ226" s="318" t="n"/>
      <c r="AR226" s="317" t="n"/>
      <c r="AS226" s="257" t="n"/>
      <c r="AT226" s="258" t="n"/>
      <c r="AU226" s="318" t="n"/>
      <c r="AV226" s="317" t="n"/>
      <c r="AW226" s="257" t="n"/>
      <c r="AX226" s="258" t="n"/>
      <c r="AY226" s="318" t="n"/>
      <c r="AZ226" s="317" t="n"/>
      <c r="BA226" s="257" t="n"/>
      <c r="BB226" s="258" t="n"/>
      <c r="BC226" s="316" t="n"/>
      <c r="BD226" s="317" t="n"/>
      <c r="BE226" s="257" t="n"/>
      <c r="BF226" s="258" t="n"/>
      <c r="BG226" s="89" t="n"/>
      <c r="BH2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26">
        <f>_xlfn.LET(r,ROW(),oc,INDEX($A:$A,r),cv,TRIM(INDEX($Y:$Y,r)&amp;""),IF(oc&lt;&gt;"P1","",IF(cv="45","V45 - novo, nao alimentado pelo spool atual","V44 - alimentado pelo spool atual")))</f>
        <v/>
      </c>
    </row>
    <row r="227" ht="54" customFormat="1" customHeight="1" s="90">
      <c r="A227" s="306" t="inlineStr">
        <is>
          <t>F2</t>
        </is>
      </c>
      <c r="B227" s="307" t="n">
        <v>38</v>
      </c>
      <c r="C227" s="269" t="inlineStr">
        <is>
          <t>03 - Caractéristiques Générales</t>
        </is>
      </c>
      <c r="D227" s="236" t="inlineStr">
        <is>
          <t>03 - General characteristics</t>
        </is>
      </c>
      <c r="E227" s="307" t="inlineStr">
        <is>
          <t>F2 6.2</t>
        </is>
      </c>
      <c r="F227" s="308" t="inlineStr">
        <is>
          <t>Liquidité par défaut</t>
        </is>
      </c>
      <c r="G227" s="309" t="inlineStr">
        <is>
          <t>Default liquidity</t>
        </is>
      </c>
      <c r="H227" s="309" t="n"/>
      <c r="I227" s="241" t="inlineStr">
        <is>
          <t>Indique le délai prévisible de réalisation de notre engagement sur le marché en cas de revente</t>
        </is>
      </c>
      <c r="J227" s="233" t="inlineStr">
        <is>
          <t>Indicates the expected timeframe required to sell our commitment on the market in the event of resale</t>
        </is>
      </c>
      <c r="K227" s="269" t="inlineStr">
        <is>
          <t>ND</t>
        </is>
      </c>
      <c r="L227" s="310" t="inlineStr">
        <is>
          <t>ND</t>
        </is>
      </c>
      <c r="M227" s="1420" t="inlineStr">
        <is>
          <t>cdLiquiDefaut</t>
        </is>
      </c>
      <c r="N227" s="231" t="inlineStr">
        <is>
          <t>Facultatif</t>
        </is>
      </c>
      <c r="O227" s="236" t="inlineStr">
        <is>
          <t>Optional</t>
        </is>
      </c>
      <c r="P227" s="269" t="inlineStr">
        <is>
          <t>LC.0031</t>
        </is>
      </c>
      <c r="Q227" s="269" t="inlineStr">
        <is>
          <t>TA KVLIQU</t>
        </is>
      </c>
      <c r="R227" s="241" t="inlineStr">
        <is>
          <t>Valeur par défaut ‘0'</t>
        </is>
      </c>
      <c r="S227" s="233" t="inlineStr">
        <is>
          <t>Default value ‘0'</t>
        </is>
      </c>
      <c r="T227" s="313" t="inlineStr">
        <is>
          <t>ALPHA</t>
        </is>
      </c>
      <c r="U227" s="237" t="inlineStr">
        <is>
          <t>NA</t>
        </is>
      </c>
      <c r="V227" s="238" t="inlineStr">
        <is>
          <t>NA</t>
        </is>
      </c>
      <c r="W227" s="397" t="n">
        <v>1</v>
      </c>
      <c r="X227" s="945" t="inlineStr">
        <is>
          <t>NA</t>
        </is>
      </c>
      <c r="Y227" s="237" t="n">
        <v>40</v>
      </c>
      <c r="Z227" s="237" t="inlineStr">
        <is>
          <t>NA</t>
        </is>
      </c>
      <c r="AA227" s="283" t="inlineStr">
        <is>
          <t>NA</t>
        </is>
      </c>
      <c r="AB227" s="269" t="inlineStr">
        <is>
          <t>SI RISQUE</t>
        </is>
      </c>
      <c r="AC227" s="231" t="inlineStr">
        <is>
          <t>ND</t>
        </is>
      </c>
      <c r="AD227" s="257" t="inlineStr">
        <is>
          <t>N</t>
        </is>
      </c>
      <c r="AE227" s="257" t="inlineStr">
        <is>
          <t>NA</t>
        </is>
      </c>
      <c r="AF227" s="257" t="inlineStr">
        <is>
          <t>NA</t>
        </is>
      </c>
      <c r="AG227" s="258" t="inlineStr">
        <is>
          <t>NA</t>
        </is>
      </c>
      <c r="AH227" s="89" t="n"/>
      <c r="AI227" s="316" t="n"/>
      <c r="AJ227" s="317" t="n"/>
      <c r="AK227" s="257" t="n"/>
      <c r="AL227" s="258" t="n"/>
      <c r="AM227" s="210" t="inlineStr">
        <is>
          <t>Si elle est renseignée, la valeur doit être connue du Langage Commun associé</t>
        </is>
      </c>
      <c r="AN227" s="211" t="inlineStr">
        <is>
          <t>If specified, the value must be known to the associated Common Language</t>
        </is>
      </c>
      <c r="AO227" s="257" t="n">
        <v>7</v>
      </c>
      <c r="AP227" s="212" t="inlineStr">
        <is>
          <t>TIG0001</t>
        </is>
      </c>
      <c r="AQ227" s="318" t="n"/>
      <c r="AR227" s="317" t="n"/>
      <c r="AS227" s="257" t="n"/>
      <c r="AT227" s="258" t="n"/>
      <c r="AU227" s="318" t="n"/>
      <c r="AV227" s="317" t="n"/>
      <c r="AW227" s="257" t="n"/>
      <c r="AX227" s="258" t="n"/>
      <c r="AY227" s="318" t="n"/>
      <c r="AZ227" s="317" t="n"/>
      <c r="BA227" s="257" t="n"/>
      <c r="BB227" s="258" t="n"/>
      <c r="BC227" s="316" t="n"/>
      <c r="BD227" s="317" t="n"/>
      <c r="BE227" s="257" t="n"/>
      <c r="BF227" s="258" t="n"/>
      <c r="BG227" s="89" t="n"/>
      <c r="BH2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27">
        <f>_xlfn.LET(r,ROW(),oc,INDEX($A:$A,r),cv,TRIM(INDEX($Y:$Y,r)&amp;""),IF(oc&lt;&gt;"P1","",IF(cv="45","V45 - novo, nao alimentado pelo spool atual","V44 - alimentado pelo spool atual")))</f>
        <v/>
      </c>
    </row>
    <row r="228" ht="54" customFormat="1" customHeight="1" s="90">
      <c r="A228" s="306" t="inlineStr">
        <is>
          <t>F2</t>
        </is>
      </c>
      <c r="B228" s="307" t="n">
        <v>39</v>
      </c>
      <c r="C228" s="269" t="inlineStr">
        <is>
          <t>03 - Caractéristiques Générales</t>
        </is>
      </c>
      <c r="D228" s="236" t="inlineStr">
        <is>
          <t>03 - General characteristics</t>
        </is>
      </c>
      <c r="E228" s="307" t="inlineStr">
        <is>
          <t>F2 6.3</t>
        </is>
      </c>
      <c r="F228" s="308" t="inlineStr">
        <is>
          <t>Note de la transaction autorisée</t>
        </is>
      </c>
      <c r="G228" s="309" t="inlineStr">
        <is>
          <t>Rating of authorised transaction</t>
        </is>
      </c>
      <c r="H228" s="309" t="n"/>
      <c r="I228" s="241" t="inlineStr">
        <is>
          <t>Permet de tenir compte du contexte particulier de l'opération afin de modifier (en général améliorer) la note qui sera prise en compte pour qualifier le risque pris par l'établissement</t>
        </is>
      </c>
      <c r="J228" s="233" t="inlineStr">
        <is>
          <t>Makes it possible to take account of the particular circumstances of the transaction in order to change (in general upgrade) the rating to be used to assess the risk taken on by the institution</t>
        </is>
      </c>
      <c r="K228" s="269" t="inlineStr">
        <is>
          <t>ND</t>
        </is>
      </c>
      <c r="L228" s="310" t="inlineStr">
        <is>
          <t>ND</t>
        </is>
      </c>
      <c r="M228" s="1420" t="inlineStr">
        <is>
          <t>cdNoteTrans</t>
        </is>
      </c>
      <c r="N228" s="231" t="inlineStr">
        <is>
          <t>Facultatif</t>
        </is>
      </c>
      <c r="O228" s="236" t="inlineStr">
        <is>
          <t>Optional</t>
        </is>
      </c>
      <c r="P228" s="269" t="inlineStr">
        <is>
          <t>LC.0006</t>
        </is>
      </c>
      <c r="Q228" s="269" t="inlineStr">
        <is>
          <t>TA NM648</t>
        </is>
      </c>
      <c r="R228" s="241" t="inlineStr">
        <is>
          <t>NA</t>
        </is>
      </c>
      <c r="S228" s="233" t="inlineStr">
        <is>
          <t>NA</t>
        </is>
      </c>
      <c r="T228" s="313" t="inlineStr">
        <is>
          <t>ALPHA</t>
        </is>
      </c>
      <c r="U228" s="237" t="inlineStr">
        <is>
          <t>NA</t>
        </is>
      </c>
      <c r="V228" s="238" t="inlineStr">
        <is>
          <t>NA</t>
        </is>
      </c>
      <c r="W228" s="397" t="n">
        <v>2</v>
      </c>
      <c r="X228" s="945" t="inlineStr">
        <is>
          <t>NA</t>
        </is>
      </c>
      <c r="Y228" s="237" t="n">
        <v>40</v>
      </c>
      <c r="Z228" s="237" t="inlineStr">
        <is>
          <t>NA</t>
        </is>
      </c>
      <c r="AA228" s="283" t="inlineStr">
        <is>
          <t>NA</t>
        </is>
      </c>
      <c r="AB228" s="269" t="inlineStr">
        <is>
          <t>SI RISQUE</t>
        </is>
      </c>
      <c r="AC228" s="231" t="inlineStr">
        <is>
          <t>ND</t>
        </is>
      </c>
      <c r="AD228" s="257" t="inlineStr">
        <is>
          <t>N</t>
        </is>
      </c>
      <c r="AE228" s="257" t="inlineStr">
        <is>
          <t>NA</t>
        </is>
      </c>
      <c r="AF228" s="257" t="inlineStr">
        <is>
          <t>NA</t>
        </is>
      </c>
      <c r="AG228" s="258" t="inlineStr">
        <is>
          <t>NA</t>
        </is>
      </c>
      <c r="AH228" s="89" t="n"/>
      <c r="AI228" s="316" t="n"/>
      <c r="AJ228" s="317" t="n"/>
      <c r="AK228" s="257" t="n"/>
      <c r="AL228" s="258" t="n"/>
      <c r="AM228" s="210" t="inlineStr">
        <is>
          <t>Si elle est renseignée, la valeur doit être connue du Langage Commun associé</t>
        </is>
      </c>
      <c r="AN228" s="211" t="inlineStr">
        <is>
          <t>If specified, the value must be known to the associated Common Language</t>
        </is>
      </c>
      <c r="AO228" s="257" t="n">
        <v>7</v>
      </c>
      <c r="AP228" s="212" t="inlineStr">
        <is>
          <t>TIG0001</t>
        </is>
      </c>
      <c r="AQ228" s="318" t="n"/>
      <c r="AR228" s="317" t="n"/>
      <c r="AS228" s="257" t="n"/>
      <c r="AT228" s="258" t="n"/>
      <c r="AU228" s="318" t="n"/>
      <c r="AV228" s="317" t="n"/>
      <c r="AW228" s="257" t="n"/>
      <c r="AX228" s="258" t="n"/>
      <c r="AY228" s="318" t="n"/>
      <c r="AZ228" s="317" t="n"/>
      <c r="BA228" s="257" t="n"/>
      <c r="BB228" s="258" t="n"/>
      <c r="BC228" s="316" t="n"/>
      <c r="BD228" s="317" t="n"/>
      <c r="BE228" s="257" t="n"/>
      <c r="BF228" s="258" t="n"/>
      <c r="BG228" s="89" t="n"/>
      <c r="BH2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28">
        <f>_xlfn.LET(r,ROW(),oc,INDEX($A:$A,r),cv,TRIM(INDEX($Y:$Y,r)&amp;""),IF(oc&lt;&gt;"P1","",IF(cv="45","V45 - novo, nao alimentado pelo spool atual","V44 - alimentado pelo spool atual")))</f>
        <v/>
      </c>
    </row>
    <row r="229" ht="54" customFormat="1" customHeight="1" s="90">
      <c r="A229" s="306" t="inlineStr">
        <is>
          <t>F2</t>
        </is>
      </c>
      <c r="B229" s="307" t="n">
        <v>40</v>
      </c>
      <c r="C229" s="269" t="inlineStr">
        <is>
          <t>03 - Caractéristiques Générales</t>
        </is>
      </c>
      <c r="D229" s="236" t="inlineStr">
        <is>
          <t>03 - General characteristics</t>
        </is>
      </c>
      <c r="E229" s="307" t="inlineStr">
        <is>
          <t>F2 4.1</t>
        </is>
      </c>
      <c r="F229" s="374" t="inlineStr">
        <is>
          <t>Montant du Add-on affacturage</t>
        </is>
      </c>
      <c r="G229" s="309" t="inlineStr">
        <is>
          <t>Amount of the Add-on factoring</t>
        </is>
      </c>
      <c r="H229" s="309" t="n"/>
      <c r="I229" s="241" t="inlineStr">
        <is>
          <t>Montant du Add-on affacturage</t>
        </is>
      </c>
      <c r="J229" s="233" t="inlineStr">
        <is>
          <t>Amount of Add-on factoring</t>
        </is>
      </c>
      <c r="K229" s="269" t="inlineStr">
        <is>
          <t>ND</t>
        </is>
      </c>
      <c r="L229" s="310" t="inlineStr">
        <is>
          <t>ND</t>
        </is>
      </c>
      <c r="M229" s="1420" t="inlineStr">
        <is>
          <t>mtAddAff</t>
        </is>
      </c>
      <c r="N229" s="231" t="inlineStr">
        <is>
          <t>Facultatif</t>
        </is>
      </c>
      <c r="O229" s="236" t="inlineStr">
        <is>
          <t>Optional</t>
        </is>
      </c>
      <c r="P229" s="269" t="inlineStr">
        <is>
          <t>NA</t>
        </is>
      </c>
      <c r="Q229" s="269" t="inlineStr">
        <is>
          <t>NA</t>
        </is>
      </c>
      <c r="R229" s="241" t="inlineStr">
        <is>
          <t>Spécifique à l'affacturage dans le cadre de l'IRB avancé</t>
        </is>
      </c>
      <c r="S229" s="233" t="inlineStr">
        <is>
          <t>Specific to factoring for advanced IRB</t>
        </is>
      </c>
      <c r="T229" s="313" t="inlineStr">
        <is>
          <t>NUM</t>
        </is>
      </c>
      <c r="U229" s="237" t="inlineStr">
        <is>
          <t>19 dont signe et 2 décimales</t>
        </is>
      </c>
      <c r="V229" s="238" t="inlineStr">
        <is>
          <t>19 including sign and 2 decimals</t>
        </is>
      </c>
      <c r="W229" s="397" t="n">
        <v>19</v>
      </c>
      <c r="X229" s="945" t="inlineStr">
        <is>
          <t>NA</t>
        </is>
      </c>
      <c r="Y229" s="237" t="n">
        <v>40</v>
      </c>
      <c r="Z229" s="237" t="inlineStr">
        <is>
          <t>NA</t>
        </is>
      </c>
      <c r="AA229" s="237" t="inlineStr">
        <is>
          <t>NA</t>
        </is>
      </c>
      <c r="AB229" s="269" t="inlineStr">
        <is>
          <t>ANACREDIT</t>
        </is>
      </c>
      <c r="AC229" s="231" t="inlineStr">
        <is>
          <t>ND</t>
        </is>
      </c>
      <c r="AD229" s="257" t="inlineStr">
        <is>
          <t>N</t>
        </is>
      </c>
      <c r="AE229" s="257" t="inlineStr">
        <is>
          <t>NA</t>
        </is>
      </c>
      <c r="AF229" s="257" t="inlineStr">
        <is>
          <t>NA</t>
        </is>
      </c>
      <c r="AG229" s="258" t="inlineStr">
        <is>
          <t>NA</t>
        </is>
      </c>
      <c r="AH229" s="89" t="n"/>
      <c r="AI229" s="316" t="n"/>
      <c r="AJ229" s="317" t="n"/>
      <c r="AK229" s="257" t="n"/>
      <c r="AL229" s="258" t="n"/>
      <c r="AM229" s="318" t="n"/>
      <c r="AN229" s="317" t="n"/>
      <c r="AO229" s="257" t="n"/>
      <c r="AP229" s="258" t="n"/>
      <c r="AQ229" s="343" t="inlineStr">
        <is>
          <t>Si renseignée, la donnée doit être positive (supérieure ou égale à 0)</t>
        </is>
      </c>
      <c r="AR229" s="317" t="inlineStr">
        <is>
          <t xml:space="preserve">If filled, data must be positive (greater or equal to 0) </t>
        </is>
      </c>
      <c r="AS229" s="344" t="n">
        <v>7</v>
      </c>
      <c r="AT229" s="345" t="inlineStr">
        <is>
          <t>TVG0001</t>
        </is>
      </c>
      <c r="AU229" s="381" t="inlineStr">
        <is>
          <t>Si Montant du Add-on affacturage [F2 4.1] est renseigné, alors Méthodologie Bâloise [F2 2.17] = ‘IRB A'</t>
        </is>
      </c>
      <c r="AV229" s="317" t="inlineStr">
        <is>
          <t>If Amount of the Add-on factoring [F2 4.1] is filled, then Basel methodology [F2 2.17] = ‘IRB A'</t>
        </is>
      </c>
      <c r="AW229" s="257" t="n">
        <v>6</v>
      </c>
      <c r="AX229" s="345" t="inlineStr">
        <is>
          <t>TCS0704</t>
        </is>
      </c>
      <c r="AY229" s="318" t="n"/>
      <c r="AZ229" s="317" t="n"/>
      <c r="BA229" s="257" t="n"/>
      <c r="BB229" s="258" t="n"/>
      <c r="BC229" s="316" t="n"/>
      <c r="BD229" s="317" t="n"/>
      <c r="BE229" s="257" t="n"/>
      <c r="BF229" s="258" t="n"/>
      <c r="BG229" s="89" t="n"/>
      <c r="BH2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29">
        <f>_xlfn.LET(r,ROW(),oc,INDEX($A:$A,r),cv,TRIM(INDEX($Y:$Y,r)&amp;""),IF(oc&lt;&gt;"P1","",IF(cv="45","V45 - novo, nao alimentado pelo spool atual","V44 - alimentado pelo spool atual")))</f>
        <v/>
      </c>
    </row>
    <row r="230" ht="54" customFormat="1" customHeight="1" s="90">
      <c r="A230" s="306" t="inlineStr">
        <is>
          <t>F2</t>
        </is>
      </c>
      <c r="B230" s="307" t="n">
        <v>41</v>
      </c>
      <c r="C230" s="269" t="inlineStr">
        <is>
          <t>03 - Caractéristiques Générales</t>
        </is>
      </c>
      <c r="D230" s="236" t="inlineStr">
        <is>
          <t>03 - General characteristics</t>
        </is>
      </c>
      <c r="E230" s="307" t="inlineStr">
        <is>
          <t>F2 4.2</t>
        </is>
      </c>
      <c r="F230" s="308" t="inlineStr">
        <is>
          <t>Devise du montant du Add-on affacturage</t>
        </is>
      </c>
      <c r="G230" s="309" t="inlineStr">
        <is>
          <t>Currency of the Add-on factoring</t>
        </is>
      </c>
      <c r="H230" s="309" t="n"/>
      <c r="I230" s="241" t="inlineStr">
        <is>
          <t>Devise du montant du Add-on affacturage</t>
        </is>
      </c>
      <c r="J230" s="233" t="inlineStr">
        <is>
          <t>Currency of the amount of the Add-on factoring</t>
        </is>
      </c>
      <c r="K230" s="269" t="inlineStr">
        <is>
          <t>ND</t>
        </is>
      </c>
      <c r="L230" s="310" t="inlineStr">
        <is>
          <t>ND</t>
        </is>
      </c>
      <c r="M230" s="1420" t="inlineStr">
        <is>
          <t>cdDevMtAddAff</t>
        </is>
      </c>
      <c r="N230" s="231" t="inlineStr">
        <is>
          <t>Obligatoire sous conditions</t>
        </is>
      </c>
      <c r="O230" s="236" t="inlineStr">
        <is>
          <t>Mandatory under conditions</t>
        </is>
      </c>
      <c r="P230" s="269" t="inlineStr">
        <is>
          <t>LC.0005</t>
        </is>
      </c>
      <c r="Q230" s="269" t="inlineStr">
        <is>
          <t>TA NM253</t>
        </is>
      </c>
      <c r="R230" s="241" t="inlineStr">
        <is>
          <t>NA</t>
        </is>
      </c>
      <c r="S230" s="233" t="inlineStr">
        <is>
          <t>NA</t>
        </is>
      </c>
      <c r="T230" s="313" t="inlineStr">
        <is>
          <t>ALPHA</t>
        </is>
      </c>
      <c r="U230" s="237" t="inlineStr">
        <is>
          <t>NA</t>
        </is>
      </c>
      <c r="V230" s="238" t="inlineStr">
        <is>
          <t>NA</t>
        </is>
      </c>
      <c r="W230" s="397" t="n">
        <v>3</v>
      </c>
      <c r="X230" s="945" t="inlineStr">
        <is>
          <t>NA</t>
        </is>
      </c>
      <c r="Y230" s="237" t="n">
        <v>40</v>
      </c>
      <c r="Z230" s="237" t="inlineStr">
        <is>
          <t>NA</t>
        </is>
      </c>
      <c r="AA230" s="237" t="inlineStr">
        <is>
          <t>NA</t>
        </is>
      </c>
      <c r="AB230" s="269" t="inlineStr">
        <is>
          <t>ANACREDIT</t>
        </is>
      </c>
      <c r="AC230" s="231" t="inlineStr">
        <is>
          <t>ND</t>
        </is>
      </c>
      <c r="AD230" s="257" t="inlineStr">
        <is>
          <t>N</t>
        </is>
      </c>
      <c r="AE230" s="257" t="inlineStr">
        <is>
          <t>NA</t>
        </is>
      </c>
      <c r="AF230" s="257" t="inlineStr">
        <is>
          <t>NA</t>
        </is>
      </c>
      <c r="AG230" s="258" t="inlineStr">
        <is>
          <t>NA</t>
        </is>
      </c>
      <c r="AH230" s="89" t="n"/>
      <c r="AI230" s="401" t="inlineStr">
        <is>
          <t>La donnée est obligatoire si le Montant du Add-on affacturage [F2 4.1] est renseigné</t>
        </is>
      </c>
      <c r="AJ230" s="317" t="inlineStr">
        <is>
          <t>The data is mandatory if Amount of the Add-on factoring [F2 4.1] is filled in</t>
        </is>
      </c>
      <c r="AK230" s="257" t="n">
        <v>7</v>
      </c>
      <c r="AL230" s="335" t="inlineStr">
        <is>
          <t>TPG0002</t>
        </is>
      </c>
      <c r="AM230" s="210" t="inlineStr">
        <is>
          <t>Si elle est renseignée, la valeur doit être connue du Langage Commun associé</t>
        </is>
      </c>
      <c r="AN230" s="211" t="inlineStr">
        <is>
          <t>If specified, the value must be known to the associated Common Language</t>
        </is>
      </c>
      <c r="AO230" s="257" t="n">
        <v>7</v>
      </c>
      <c r="AP230" s="212" t="inlineStr">
        <is>
          <t>TIG0001</t>
        </is>
      </c>
      <c r="AQ230" s="318" t="n"/>
      <c r="AR230" s="317" t="n"/>
      <c r="AS230" s="257" t="n"/>
      <c r="AT230" s="258" t="n"/>
      <c r="AU230" s="318" t="n"/>
      <c r="AV230" s="317" t="n"/>
      <c r="AW230" s="257" t="n"/>
      <c r="AX230" s="258" t="n"/>
      <c r="AY230" s="318" t="n"/>
      <c r="AZ230" s="317" t="n"/>
      <c r="BA230" s="257" t="n"/>
      <c r="BB230" s="258" t="n"/>
      <c r="BC230" s="316" t="n"/>
      <c r="BD230" s="317" t="n"/>
      <c r="BE230" s="257" t="n"/>
      <c r="BF230" s="258" t="n"/>
      <c r="BG230" s="89" t="n"/>
      <c r="BH2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30">
        <f>_xlfn.LET(r,ROW(),oc,INDEX($A:$A,r),cv,TRIM(INDEX($Y:$Y,r)&amp;""),IF(oc&lt;&gt;"P1","",IF(cv="45","V45 - novo, nao alimentado pelo spool atual","V44 - alimentado pelo spool atual")))</f>
        <v/>
      </c>
    </row>
    <row r="231" ht="54" customFormat="1" customHeight="1" s="90">
      <c r="A231" s="306" t="inlineStr">
        <is>
          <t>F2</t>
        </is>
      </c>
      <c r="B231" s="307" t="n">
        <v>42</v>
      </c>
      <c r="C231" s="269" t="inlineStr">
        <is>
          <t>02 - Caractéristiques d'identification fonctionnelles</t>
        </is>
      </c>
      <c r="D231" s="236" t="inlineStr">
        <is>
          <t>02 - Functional identification characteristics</t>
        </is>
      </c>
      <c r="E231" s="307" t="inlineStr">
        <is>
          <t>F2 4.3</t>
        </is>
      </c>
      <c r="F231" s="308" t="inlineStr">
        <is>
          <t>Référence unique du contrat</t>
        </is>
      </c>
      <c r="G231" s="309" t="inlineStr">
        <is>
          <t>Unique contract reference</t>
        </is>
      </c>
      <c r="H231" s="309" t="n"/>
      <c r="I231" s="241" t="inlineStr">
        <is>
          <t xml:space="preserve">Référence du contrat d'octroi </t>
        </is>
      </c>
      <c r="J231" s="233" t="inlineStr">
        <is>
          <t>Unique contract reference</t>
        </is>
      </c>
      <c r="K231" s="269" t="inlineStr">
        <is>
          <t>ND</t>
        </is>
      </c>
      <c r="L231" s="310" t="inlineStr">
        <is>
          <t>ND</t>
        </is>
      </c>
      <c r="M231" s="1420" t="inlineStr">
        <is>
          <t>cdCt</t>
        </is>
      </c>
      <c r="N231" s="231" t="inlineStr">
        <is>
          <t>Obligatoire</t>
        </is>
      </c>
      <c r="O231" s="236" t="inlineStr">
        <is>
          <t>Mandatory</t>
        </is>
      </c>
      <c r="P231" s="269" t="inlineStr">
        <is>
          <t>NA</t>
        </is>
      </c>
      <c r="Q231" s="269" t="inlineStr">
        <is>
          <t>NA</t>
        </is>
      </c>
      <c r="R231" s="241" t="inlineStr">
        <is>
          <t>Codification libre</t>
        </is>
      </c>
      <c r="S231" s="233" t="inlineStr">
        <is>
          <t>Free codification</t>
        </is>
      </c>
      <c r="T231" s="313" t="inlineStr">
        <is>
          <t>ALPHA</t>
        </is>
      </c>
      <c r="U231" s="237" t="inlineStr">
        <is>
          <t>NA</t>
        </is>
      </c>
      <c r="V231" s="238" t="inlineStr">
        <is>
          <t>NA</t>
        </is>
      </c>
      <c r="W231" s="257" t="n">
        <v>40</v>
      </c>
      <c r="X231" s="945" t="inlineStr">
        <is>
          <t>NA</t>
        </is>
      </c>
      <c r="Y231" s="237" t="n">
        <v>41</v>
      </c>
      <c r="Z231" s="237" t="inlineStr">
        <is>
          <t>NA</t>
        </is>
      </c>
      <c r="AA231" s="237" t="inlineStr">
        <is>
          <t>NA</t>
        </is>
      </c>
      <c r="AB231" s="269" t="inlineStr">
        <is>
          <t>ANACREDIT, MREL</t>
        </is>
      </c>
      <c r="AC231" s="231" t="inlineStr">
        <is>
          <t>ND</t>
        </is>
      </c>
      <c r="AD231" s="257" t="inlineStr">
        <is>
          <t>N</t>
        </is>
      </c>
      <c r="AE231" s="257" t="inlineStr">
        <is>
          <t>NA</t>
        </is>
      </c>
      <c r="AF231" s="257" t="inlineStr">
        <is>
          <t>NA</t>
        </is>
      </c>
      <c r="AG231" s="258" t="inlineStr">
        <is>
          <t>NA</t>
        </is>
      </c>
      <c r="AH231" s="89" t="n"/>
      <c r="AI231" s="316" t="inlineStr">
        <is>
          <t>La donnée est obligatoire</t>
        </is>
      </c>
      <c r="AJ231" s="317" t="inlineStr">
        <is>
          <t>The data is mandatory</t>
        </is>
      </c>
      <c r="AK231" s="257" t="n">
        <v>5</v>
      </c>
      <c r="AL231" s="335" t="inlineStr">
        <is>
          <t>TPG0001</t>
        </is>
      </c>
      <c r="AM231" s="318" t="n"/>
      <c r="AN231" s="317" t="n"/>
      <c r="AO231" s="257" t="n"/>
      <c r="AP231" s="258" t="n"/>
      <c r="AQ231" s="318" t="n"/>
      <c r="AR231" s="317" t="n"/>
      <c r="AS231" s="257" t="n"/>
      <c r="AT231" s="258" t="n"/>
      <c r="AU231" s="318" t="n"/>
      <c r="AV231" s="317" t="n"/>
      <c r="AW231" s="257" t="n"/>
      <c r="AX231" s="258" t="n"/>
      <c r="AY231" s="318" t="n"/>
      <c r="AZ231" s="317" t="n"/>
      <c r="BA231" s="257" t="n"/>
      <c r="BB231" s="258" t="n"/>
      <c r="BC231" s="316" t="n"/>
      <c r="BD231" s="317" t="n"/>
      <c r="BE231" s="257" t="n"/>
      <c r="BF231" s="258" t="n"/>
      <c r="BG231" s="89" t="n"/>
      <c r="BH2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31">
        <f>_xlfn.LET(r,ROW(),oc,INDEX($A:$A,r),cv,TRIM(INDEX($Y:$Y,r)&amp;""),IF(oc&lt;&gt;"P1","",IF(cv="45","V45 - novo, nao alimentado pelo spool atual","V44 - alimentado pelo spool atual")))</f>
        <v/>
      </c>
    </row>
    <row r="232" ht="54" customFormat="1" customHeight="1" s="90">
      <c r="A232" s="306" t="inlineStr">
        <is>
          <t>F2</t>
        </is>
      </c>
      <c r="B232" s="307" t="n">
        <v>43</v>
      </c>
      <c r="C232" s="269" t="inlineStr">
        <is>
          <t>03 - Caractéristiques Générales</t>
        </is>
      </c>
      <c r="D232" s="236" t="inlineStr">
        <is>
          <t>03 - General characteristics</t>
        </is>
      </c>
      <c r="E232" s="372" t="inlineStr">
        <is>
          <t>F2 4.4</t>
        </is>
      </c>
      <c r="F232" s="241" t="inlineStr">
        <is>
          <t>Code consolidation de l'entité de l'autorisation chapeau rattachée</t>
        </is>
      </c>
      <c r="G232" s="233" t="inlineStr">
        <is>
          <t>Entity consolidation code of the attached cap authorization</t>
        </is>
      </c>
      <c r="H232" s="233" t="n"/>
      <c r="I232" s="241" t="inlineStr">
        <is>
          <t>Code consolidation de l'entité Entité Porteuse de Risques déclarant l'autorisation chapeau F1</t>
        </is>
      </c>
      <c r="J232" s="233" t="inlineStr">
        <is>
          <t>Consolidation Code of Risk taker Entity Declaring Cap F1 Authorization</t>
        </is>
      </c>
      <c r="K232" s="269" t="inlineStr">
        <is>
          <t>ND</t>
        </is>
      </c>
      <c r="L232" s="310" t="inlineStr">
        <is>
          <t>ND</t>
        </is>
      </c>
      <c r="M232" s="1420" t="inlineStr">
        <is>
          <t>cdConsoEntAuto</t>
        </is>
      </c>
      <c r="N232" s="231" t="inlineStr">
        <is>
          <t>Facultatif</t>
        </is>
      </c>
      <c r="O232" s="236" t="inlineStr">
        <is>
          <t>Optional</t>
        </is>
      </c>
      <c r="P232" s="269" t="inlineStr">
        <is>
          <t>NA</t>
        </is>
      </c>
      <c r="Q232" s="269" t="inlineStr">
        <is>
          <t>NA</t>
        </is>
      </c>
      <c r="R232" s="241" t="inlineStr">
        <is>
          <t>Besoin CACIB.
Obligatoire si absence de l'autorisation chapeau F1 dans le lot de l'entité déclarant la ligne d'autorisation F2 (cas par ex d'une autorisation accordée par une maison mère à ces filiales ou à une autre entité du Groupe dans le cadre d'un contrat de sous-traitance), l'autorisation chapeau sera déclarée par la maison mère sous son code consolidation. Les flilales
entités déclareront les lignes d'autorisation F2 rattachées à leurs encours en indiquant la référence de l'autorisation chapeau de la maison mère dans la donnée [F2 1.4 - Référence de l'Autorisation Mise En Place] et dans le code entité de la maison mère dans la donnée [F2 4.4 - Code consolidation de l'entité de l'autorisation chapeau rattachée].
laisser à vide si sans objet</t>
        </is>
      </c>
      <c r="S232" s="233" t="inlineStr">
        <is>
          <t>Zone reserved for CACIB.
Mandatory if absence of the F1 cap authorization in the batch of the entity declaring the F2 authorization line (case for example of an authorization granted by a parent company to these subsidiaries or to another Group entity within the framework of a subcontract), the cap authorization will be declared by the parent company under its consolidation code. The subsidiaries 
 entities will declare the F2 authorization lines attached to their outstandings by indicating the reference of the parent company's hat authorization in the data [F2 1.4 - Overall facility reference ] and in the entity code of the parent company in the data [F2 4.4 - Entity consolidation code of the attached cap authorization]. 
Leave empty if not concerned</t>
        </is>
      </c>
      <c r="T232" s="313" t="inlineStr">
        <is>
          <t>ALPHA</t>
        </is>
      </c>
      <c r="U232" s="237" t="inlineStr">
        <is>
          <t>NA</t>
        </is>
      </c>
      <c r="V232" s="238" t="inlineStr">
        <is>
          <t>NA</t>
        </is>
      </c>
      <c r="W232" s="257" t="n">
        <v>5</v>
      </c>
      <c r="X232" s="945" t="inlineStr">
        <is>
          <t>NA</t>
        </is>
      </c>
      <c r="Y232" s="237" t="n">
        <v>40</v>
      </c>
      <c r="Z232" s="237" t="inlineStr">
        <is>
          <t>NA</t>
        </is>
      </c>
      <c r="AA232" s="237" t="inlineStr">
        <is>
          <t>NA</t>
        </is>
      </c>
      <c r="AB232" s="269" t="inlineStr">
        <is>
          <t>USAGE ZP</t>
        </is>
      </c>
      <c r="AC232" s="231" t="inlineStr">
        <is>
          <t>ND</t>
        </is>
      </c>
      <c r="AD232" s="257" t="inlineStr">
        <is>
          <t>N</t>
        </is>
      </c>
      <c r="AE232" s="257" t="inlineStr">
        <is>
          <t>NA</t>
        </is>
      </c>
      <c r="AF232" s="257" t="inlineStr">
        <is>
          <t>NA</t>
        </is>
      </c>
      <c r="AG232" s="258" t="inlineStr">
        <is>
          <t>NA</t>
        </is>
      </c>
      <c r="AH232" s="89" t="n"/>
      <c r="AI232" s="316" t="n"/>
      <c r="AJ232" s="317" t="n"/>
      <c r="AK232" s="257" t="n"/>
      <c r="AL232" s="258" t="n"/>
      <c r="AM232" s="318" t="n"/>
      <c r="AN232" s="317" t="n"/>
      <c r="AO232" s="257" t="n"/>
      <c r="AP232" s="258" t="n"/>
      <c r="AQ232" s="318" t="n"/>
      <c r="AR232" s="317" t="n"/>
      <c r="AS232" s="257" t="n"/>
      <c r="AT232" s="258" t="n"/>
      <c r="AU232" s="318" t="n"/>
      <c r="AV232" s="317" t="n"/>
      <c r="AW232" s="257" t="n"/>
      <c r="AX232" s="258" t="n"/>
      <c r="AY232" s="318" t="inlineStr">
        <is>
          <t>Dans le cadre du flux Interlot, le code consolidation de l'entité sur la ligne d'autorisation doit faire référence à un lot avec l'autorisation liée.</t>
        </is>
      </c>
      <c r="AZ232" s="317" t="inlineStr">
        <is>
          <t>In the Interlot flow, the consolidation code of the entity on the authorization line must refer to a batch with the linked authorization.</t>
        </is>
      </c>
      <c r="BA232" s="257" t="n">
        <v>7</v>
      </c>
      <c r="BB232" s="258" t="inlineStr">
        <is>
          <t>TC0273</t>
        </is>
      </c>
      <c r="BC232" s="316" t="n"/>
      <c r="BD232" s="317" t="n"/>
      <c r="BE232" s="257" t="n"/>
      <c r="BF232" s="258" t="n"/>
      <c r="BG232" s="89" t="n"/>
      <c r="BH2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32">
        <f>_xlfn.LET(r,ROW(),oc,INDEX($A:$A,r),cv,TRIM(INDEX($Y:$Y,r)&amp;""),IF(oc&lt;&gt;"P1","",IF(cv="45","V45 - novo, nao alimentado pelo spool atual","V44 - alimentado pelo spool atual")))</f>
        <v/>
      </c>
    </row>
    <row r="233" ht="54" customFormat="1" customHeight="1" s="90">
      <c r="A233" s="306" t="inlineStr">
        <is>
          <t>F2</t>
        </is>
      </c>
      <c r="B233" s="307" t="n">
        <v>44</v>
      </c>
      <c r="C233" s="269" t="inlineStr">
        <is>
          <t>02 - Caractéristiques d'identification fonctionnelles</t>
        </is>
      </c>
      <c r="D233" s="236" t="inlineStr">
        <is>
          <t>02 - Functional identification characteristics</t>
        </is>
      </c>
      <c r="E233" s="307" t="inlineStr">
        <is>
          <t>F2 4.5</t>
        </is>
      </c>
      <c r="F233" s="308" t="inlineStr">
        <is>
          <t xml:space="preserve">Système de gestion source </t>
        </is>
      </c>
      <c r="G233" s="309" t="inlineStr">
        <is>
          <t xml:space="preserve">Source management system </t>
        </is>
      </c>
      <c r="H233" s="309" t="n"/>
      <c r="I233" s="241" t="inlineStr">
        <is>
          <t>Code ou nom du système opérationnel de gestion de l'autorisation en entité</t>
        </is>
      </c>
      <c r="J233" s="233" t="inlineStr">
        <is>
          <t>Code or name of the operational management system within entity for the facility</t>
        </is>
      </c>
      <c r="K233" s="269" t="inlineStr">
        <is>
          <t>ND</t>
        </is>
      </c>
      <c r="L233" s="310" t="inlineStr">
        <is>
          <t>ND</t>
        </is>
      </c>
      <c r="M233" s="1420" t="inlineStr">
        <is>
          <t>appliSysGestSource</t>
        </is>
      </c>
      <c r="N233" s="231" t="inlineStr">
        <is>
          <t>Obligatoire</t>
        </is>
      </c>
      <c r="O233" s="236" t="inlineStr">
        <is>
          <t>Mandatory</t>
        </is>
      </c>
      <c r="P233" s="269" t="inlineStr">
        <is>
          <t>NA</t>
        </is>
      </c>
      <c r="Q233" s="269" t="inlineStr">
        <is>
          <t>NA</t>
        </is>
      </c>
      <c r="R233" s="241" t="inlineStr">
        <is>
          <t>Codification libre.
Le système de gestion source de l'autorisation peut-être différent du système de gestion source de l'engagement couvert</t>
        </is>
      </c>
      <c r="S233" s="233" t="inlineStr">
        <is>
          <t>Free codification
The source management system of the authorization may be different from the source management system of the covered commitment</t>
        </is>
      </c>
      <c r="T233" s="313" t="inlineStr">
        <is>
          <t>ALPHA</t>
        </is>
      </c>
      <c r="U233" s="237" t="inlineStr">
        <is>
          <t>NA</t>
        </is>
      </c>
      <c r="V233" s="238" t="inlineStr">
        <is>
          <t>NA</t>
        </is>
      </c>
      <c r="W233" s="257" t="n">
        <v>20</v>
      </c>
      <c r="X233" s="945" t="inlineStr">
        <is>
          <t>NA</t>
        </is>
      </c>
      <c r="Y233" s="237" t="n">
        <v>43</v>
      </c>
      <c r="Z233" s="237" t="inlineStr">
        <is>
          <t>NA</t>
        </is>
      </c>
      <c r="AA233" s="239" t="inlineStr">
        <is>
          <t>NA</t>
        </is>
      </c>
      <c r="AB233" s="636" t="inlineStr">
        <is>
          <t>USAGE ZP</t>
        </is>
      </c>
      <c r="AC233" s="231" t="inlineStr">
        <is>
          <t>ND</t>
        </is>
      </c>
      <c r="AD233" s="257" t="inlineStr">
        <is>
          <t>N</t>
        </is>
      </c>
      <c r="AE233" s="257" t="inlineStr">
        <is>
          <t>NA</t>
        </is>
      </c>
      <c r="AF233" s="257" t="inlineStr">
        <is>
          <t>NA</t>
        </is>
      </c>
      <c r="AG233" s="258" t="inlineStr">
        <is>
          <t>NA</t>
        </is>
      </c>
      <c r="AH233" s="89" t="n"/>
      <c r="AI233" s="316" t="inlineStr">
        <is>
          <t>La donnée est obligatoire</t>
        </is>
      </c>
      <c r="AJ233" s="317" t="inlineStr">
        <is>
          <t>The data is mandatory</t>
        </is>
      </c>
      <c r="AK233" s="257" t="n">
        <v>7</v>
      </c>
      <c r="AL233" s="335" t="inlineStr">
        <is>
          <t>TPG0001</t>
        </is>
      </c>
      <c r="AM233" s="318" t="n"/>
      <c r="AN233" s="317" t="n"/>
      <c r="AO233" s="257" t="n"/>
      <c r="AP233" s="258" t="n"/>
      <c r="AQ233" s="318" t="n"/>
      <c r="AR233" s="317" t="n"/>
      <c r="AS233" s="257" t="n"/>
      <c r="AT233" s="258" t="n"/>
      <c r="AU233" s="318" t="n"/>
      <c r="AV233" s="317" t="n"/>
      <c r="AW233" s="257" t="n"/>
      <c r="AX233" s="258" t="n"/>
      <c r="AY233" s="318" t="n"/>
      <c r="AZ233" s="317" t="n"/>
      <c r="BA233" s="257" t="n"/>
      <c r="BB233" s="258" t="n"/>
      <c r="BC233" s="316" t="n"/>
      <c r="BD233" s="317" t="n"/>
      <c r="BE233" s="257" t="n"/>
      <c r="BF233" s="258" t="n"/>
      <c r="BG233" s="89" t="n"/>
      <c r="BH2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33">
        <f>_xlfn.LET(r,ROW(),oc,INDEX($A:$A,r),cv,TRIM(INDEX($Y:$Y,r)&amp;""),IF(oc&lt;&gt;"P1","",IF(cv="45","V45 - novo, nao alimentado pelo spool atual","V44 - alimentado pelo spool atual")))</f>
        <v/>
      </c>
    </row>
    <row r="234" ht="54" customFormat="1" customHeight="1" s="90">
      <c r="A234" s="306" t="inlineStr">
        <is>
          <t>F2</t>
        </is>
      </c>
      <c r="B234" s="307" t="n">
        <v>45</v>
      </c>
      <c r="C234" s="269" t="inlineStr">
        <is>
          <t>03 - Caractéristiques Générales</t>
        </is>
      </c>
      <c r="D234" s="236" t="inlineStr">
        <is>
          <t>03 - General characteristics</t>
        </is>
      </c>
      <c r="E234" s="307" t="inlineStr">
        <is>
          <t>F2 4.6</t>
        </is>
      </c>
      <c r="F234" s="308" t="inlineStr">
        <is>
          <t>Code entité de la succursale à l'origine de l'opération</t>
        </is>
      </c>
      <c r="G234" s="309" t="inlineStr">
        <is>
          <t>Entity code of the branch that originated the transaction</t>
        </is>
      </c>
      <c r="H234" s="309" t="n"/>
      <c r="I234" s="308" t="inlineStr">
        <is>
          <t>Code consolidation de la succursale qui a fait l'opération
contrat dans le cas où les engagements sont portés par la maison mère</t>
        </is>
      </c>
      <c r="J234" s="309" t="inlineStr">
        <is>
          <t>Consolidation code of the branch which carried out the operation 
 contract in the event that the commitments are made by the parent company</t>
        </is>
      </c>
      <c r="K234" s="370" t="inlineStr">
        <is>
          <t>ND</t>
        </is>
      </c>
      <c r="L234" s="371" t="inlineStr">
        <is>
          <t>ND</t>
        </is>
      </c>
      <c r="M234" s="1420" t="inlineStr">
        <is>
          <t>CdEntSuccOri</t>
        </is>
      </c>
      <c r="N234" s="231" t="inlineStr">
        <is>
          <t>Facultatif</t>
        </is>
      </c>
      <c r="O234" s="236" t="inlineStr">
        <is>
          <t>Optional</t>
        </is>
      </c>
      <c r="P234" s="269" t="inlineStr">
        <is>
          <t>LC.0475</t>
        </is>
      </c>
      <c r="Q234" s="269" t="inlineStr">
        <is>
          <t>TA H8ENTITY</t>
        </is>
      </c>
      <c r="R234" s="311" t="inlineStr">
        <is>
          <t>Demandé pour les entités qui ont des succursales (ex : CACEIS)</t>
        </is>
      </c>
      <c r="S234" s="312" t="inlineStr">
        <is>
          <t>Required for entities that have branches (eg: CACEIS)</t>
        </is>
      </c>
      <c r="T234" s="313" t="inlineStr">
        <is>
          <t xml:space="preserve"> ALPHA</t>
        </is>
      </c>
      <c r="U234" s="237" t="inlineStr">
        <is>
          <t>NA</t>
        </is>
      </c>
      <c r="V234" s="238" t="inlineStr">
        <is>
          <t>NA</t>
        </is>
      </c>
      <c r="W234" s="257" t="n">
        <v>5</v>
      </c>
      <c r="X234" s="945" t="inlineStr">
        <is>
          <t>NA</t>
        </is>
      </c>
      <c r="Y234" s="237" t="n">
        <v>43</v>
      </c>
      <c r="Z234" s="237" t="inlineStr">
        <is>
          <t>NA</t>
        </is>
      </c>
      <c r="AA234" s="270" t="inlineStr">
        <is>
          <t>NA</t>
        </is>
      </c>
      <c r="AB234" s="636" t="inlineStr">
        <is>
          <t>USAGE ZP</t>
        </is>
      </c>
      <c r="AC234" s="231" t="inlineStr">
        <is>
          <t>ND</t>
        </is>
      </c>
      <c r="AD234" s="257" t="inlineStr">
        <is>
          <t>N</t>
        </is>
      </c>
      <c r="AE234" s="257" t="inlineStr">
        <is>
          <t>NA</t>
        </is>
      </c>
      <c r="AF234" s="257" t="inlineStr">
        <is>
          <t>NA</t>
        </is>
      </c>
      <c r="AG234" s="258" t="inlineStr">
        <is>
          <t>NA</t>
        </is>
      </c>
      <c r="AH234" s="89" t="n"/>
      <c r="AI234" s="316" t="n"/>
      <c r="AJ234" s="317" t="n"/>
      <c r="AK234" s="257" t="n"/>
      <c r="AL234" s="258" t="n"/>
      <c r="AM234" s="210" t="inlineStr">
        <is>
          <t>Si elle est renseignée, la valeur doit être connue du Langage Commun associé</t>
        </is>
      </c>
      <c r="AN234" s="211" t="inlineStr">
        <is>
          <t>If specified, the value must be known to the associated Common Language</t>
        </is>
      </c>
      <c r="AO234" s="257" t="n">
        <v>7</v>
      </c>
      <c r="AP234" s="212" t="inlineStr">
        <is>
          <t>TIG0001</t>
        </is>
      </c>
      <c r="AQ234" s="318" t="n"/>
      <c r="AR234" s="317" t="n"/>
      <c r="AS234" s="257" t="n"/>
      <c r="AT234" s="258" t="n"/>
      <c r="AU234" s="318" t="n"/>
      <c r="AV234" s="317" t="n"/>
      <c r="AW234" s="257" t="n"/>
      <c r="AX234" s="258" t="n"/>
      <c r="AY234" s="318" t="n"/>
      <c r="AZ234" s="317" t="n"/>
      <c r="BA234" s="257" t="n"/>
      <c r="BB234" s="258" t="n"/>
      <c r="BC234" s="316" t="n"/>
      <c r="BD234" s="317" t="n"/>
      <c r="BE234" s="257" t="n"/>
      <c r="BF234" s="258" t="n"/>
      <c r="BG234" s="89" t="n"/>
      <c r="BH2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34">
        <f>_xlfn.LET(r,ROW(),oc,INDEX($A:$A,r),cv,TRIM(INDEX($Y:$Y,r)&amp;""),IF(oc&lt;&gt;"P1","",IF(cv="45","V45 - novo, nao alimentado pelo spool atual","V44 - alimentado pelo spool atual")))</f>
        <v/>
      </c>
    </row>
    <row r="235" ht="54" customFormat="1" customHeight="1" s="60" thickBot="1">
      <c r="A235" s="1196" t="inlineStr">
        <is>
          <t>F2</t>
        </is>
      </c>
      <c r="B235" s="1197" t="n">
        <v>46</v>
      </c>
      <c r="C235" s="1185" t="inlineStr">
        <is>
          <t>NA</t>
        </is>
      </c>
      <c r="D235" s="1185" t="inlineStr">
        <is>
          <t>NA</t>
        </is>
      </c>
      <c r="E235" s="1197" t="inlineStr">
        <is>
          <t>F2 99.99</t>
        </is>
      </c>
      <c r="F235" s="1198" t="inlineStr">
        <is>
          <t>Filler</t>
        </is>
      </c>
      <c r="G235" s="1198" t="inlineStr">
        <is>
          <t>Filler</t>
        </is>
      </c>
      <c r="H235" s="1198" t="n"/>
      <c r="I235" s="1186" t="inlineStr">
        <is>
          <t>Zone libre</t>
        </is>
      </c>
      <c r="J235" s="1206" t="inlineStr">
        <is>
          <t>Free zone</t>
        </is>
      </c>
      <c r="K235" s="1201" t="inlineStr">
        <is>
          <t>NA</t>
        </is>
      </c>
      <c r="L235" s="1201" t="inlineStr">
        <is>
          <t>NA</t>
        </is>
      </c>
      <c r="M235" s="1422" t="inlineStr">
        <is>
          <t>ZoneLibre99</t>
        </is>
      </c>
      <c r="N235" s="1201" t="inlineStr">
        <is>
          <t>NA</t>
        </is>
      </c>
      <c r="O235" s="1201" t="inlineStr">
        <is>
          <t>NA</t>
        </is>
      </c>
      <c r="P235" s="1201" t="inlineStr">
        <is>
          <t>NA</t>
        </is>
      </c>
      <c r="Q235" s="1201" t="inlineStr">
        <is>
          <t>NA</t>
        </is>
      </c>
      <c r="R235" s="1186" t="inlineStr">
        <is>
          <t>Laisser à vide</t>
        </is>
      </c>
      <c r="S235" s="1186" t="inlineStr">
        <is>
          <t>Leave empty</t>
        </is>
      </c>
      <c r="T235" s="1197" t="inlineStr">
        <is>
          <t>ALPHA</t>
        </is>
      </c>
      <c r="U235" s="1188" t="inlineStr">
        <is>
          <t>NA</t>
        </is>
      </c>
      <c r="V235" s="1188" t="inlineStr">
        <is>
          <t>NA</t>
        </is>
      </c>
      <c r="W235" s="1216">
        <f>8000-(SUM(W190:W234)+COUNT(W190:W234))</f>
        <v/>
      </c>
      <c r="X235" s="1201" t="inlineStr">
        <is>
          <t>NA</t>
        </is>
      </c>
      <c r="Y235" s="1188" t="inlineStr">
        <is>
          <t>43</t>
        </is>
      </c>
      <c r="Z235" s="1188" t="inlineStr">
        <is>
          <t>NA</t>
        </is>
      </c>
      <c r="AA235" s="1190" t="inlineStr">
        <is>
          <t>45.00</t>
        </is>
      </c>
      <c r="AB235" s="1201" t="inlineStr">
        <is>
          <t>NA</t>
        </is>
      </c>
      <c r="AC235" s="1185" t="inlineStr">
        <is>
          <t>NA</t>
        </is>
      </c>
      <c r="AD235" s="1201" t="inlineStr">
        <is>
          <t>N</t>
        </is>
      </c>
      <c r="AE235" s="1201" t="inlineStr">
        <is>
          <t>NA</t>
        </is>
      </c>
      <c r="AF235" s="1201" t="inlineStr">
        <is>
          <t>NA</t>
        </is>
      </c>
      <c r="AG235" s="1203" t="inlineStr">
        <is>
          <t>NA</t>
        </is>
      </c>
      <c r="AH235" s="1360" t="n"/>
      <c r="AI235" s="1204" t="n"/>
      <c r="AJ235" s="1205" t="n"/>
      <c r="AK235" s="1201" t="n"/>
      <c r="AL235" s="1203" t="n"/>
      <c r="AM235" s="1205" t="n"/>
      <c r="AN235" s="1205" t="n"/>
      <c r="AO235" s="1201" t="n"/>
      <c r="AP235" s="1203" t="n"/>
      <c r="AQ235" s="1205" t="n"/>
      <c r="AR235" s="1205" t="n"/>
      <c r="AS235" s="1201" t="n"/>
      <c r="AT235" s="1203" t="n"/>
      <c r="AU235" s="1205" t="n"/>
      <c r="AV235" s="1205" t="n"/>
      <c r="AW235" s="1201" t="n"/>
      <c r="AX235" s="1203" t="n"/>
      <c r="AY235" s="1205" t="n"/>
      <c r="AZ235" s="1205" t="n"/>
      <c r="BA235" s="1201" t="n"/>
      <c r="BB235" s="1203" t="n"/>
      <c r="BC235" s="1204" t="n"/>
      <c r="BD235" s="1205" t="n"/>
      <c r="BE235" s="1201" t="n"/>
      <c r="BF235" s="1203" t="n"/>
      <c r="BG235" s="1360" t="n"/>
      <c r="BH2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35">
        <f>_xlfn.LET(r,ROW(),oc,INDEX($A:$A,r),cv,TRIM(INDEX($Y:$Y,r)&amp;""),IF(oc&lt;&gt;"P1","",IF(cv="45","V45 - novo, nao alimentado pelo spool atual","V44 - alimentado pelo spool atual")))</f>
        <v/>
      </c>
    </row>
    <row r="236" ht="54" customFormat="1" customHeight="1" s="91">
      <c r="A236" s="286" t="inlineStr">
        <is>
          <t>P1</t>
        </is>
      </c>
      <c r="B236" s="287" t="n">
        <v>1</v>
      </c>
      <c r="C236" s="292" t="inlineStr">
        <is>
          <t>02 - Caractéristiques d'identification fonctionnelles</t>
        </is>
      </c>
      <c r="D236" s="293" t="inlineStr">
        <is>
          <t>02 - Functional identification characteristics</t>
        </is>
      </c>
      <c r="E236" s="287" t="inlineStr">
        <is>
          <t>0.1 (P1)</t>
        </is>
      </c>
      <c r="F236" s="288" t="inlineStr">
        <is>
          <t xml:space="preserve">Date d'arrêté </t>
        </is>
      </c>
      <c r="G236" s="289" t="inlineStr">
        <is>
          <t>Closing date</t>
        </is>
      </c>
      <c r="H236" s="1493">
        <f>"RPAD( "&amp;SUBSTITUTE(SUBSTITUTE(E236," ","_"),".","_")&amp;","&amp;W236&amp;",' '); -- "&amp;E236</f>
        <v/>
      </c>
      <c r="I236" s="290" t="inlineStr">
        <is>
          <t>Correspond à la date d'arrêté des données transmises (dernier jour calendaire du mois)</t>
        </is>
      </c>
      <c r="J236" s="291" t="inlineStr">
        <is>
          <t>Represents the cut-off date of the data transmitted (final calendar day of the month)</t>
        </is>
      </c>
      <c r="K236" s="402" t="inlineStr">
        <is>
          <t>ND</t>
        </is>
      </c>
      <c r="L236" s="403" t="inlineStr">
        <is>
          <t>ND</t>
        </is>
      </c>
      <c r="M236" s="1419" t="inlineStr">
        <is>
          <t>SttmDt</t>
        </is>
      </c>
      <c r="N236" s="298" t="inlineStr">
        <is>
          <t>Obligatoire</t>
        </is>
      </c>
      <c r="O236" s="295" t="inlineStr">
        <is>
          <t>Mandatory</t>
        </is>
      </c>
      <c r="P236" s="292" t="inlineStr">
        <is>
          <t>NA</t>
        </is>
      </c>
      <c r="Q236" s="292" t="inlineStr">
        <is>
          <t>NA</t>
        </is>
      </c>
      <c r="R236" s="290" t="inlineStr">
        <is>
          <t>Il doit y avoir unicité de la date d'arrêté au sein du flux</t>
        </is>
      </c>
      <c r="S236" s="291" t="inlineStr">
        <is>
          <t>The cut-off date must be the same across the flow</t>
        </is>
      </c>
      <c r="T236" s="195" t="inlineStr">
        <is>
          <t>DATE</t>
        </is>
      </c>
      <c r="U236" s="296" t="inlineStr">
        <is>
          <t>AAAAMMJJ</t>
        </is>
      </c>
      <c r="V236" s="297" t="inlineStr">
        <is>
          <t>YYYYMMDD</t>
        </is>
      </c>
      <c r="W236" s="298" t="n">
        <v>8</v>
      </c>
      <c r="X236" s="1041" t="inlineStr">
        <is>
          <t>NA</t>
        </is>
      </c>
      <c r="Y236" s="296" t="inlineStr">
        <is>
          <t>40</t>
        </is>
      </c>
      <c r="Z236" s="296" t="inlineStr">
        <is>
          <t>NA</t>
        </is>
      </c>
      <c r="AA236" s="978" t="inlineStr">
        <is>
          <t>NA</t>
        </is>
      </c>
      <c r="AB236" s="1288" t="inlineStr">
        <is>
          <t>CALCULS PRUDENTIELS, CONGLOMERATS, CORFOU, LOAN TAPE, NZBA, RISQUE PHYSIQUE, RISQUES SYSTEMIQUES</t>
        </is>
      </c>
      <c r="AC236" s="294" t="inlineStr">
        <is>
          <t>ND</t>
        </is>
      </c>
      <c r="AD236" s="298" t="inlineStr">
        <is>
          <t>N</t>
        </is>
      </c>
      <c r="AE236" s="974" t="inlineStr">
        <is>
          <t>EQU101
EQU201
ISS100
ISS200 et 300
TRE100
TRE2 à 4XX hors 203,205,206,207
TRE203, 205, 207
TRE206
TRE5XX
SIG
VAR*
INT</t>
        </is>
      </c>
      <c r="AF236" s="298" t="inlineStr">
        <is>
          <t>NA</t>
        </is>
      </c>
      <c r="AG236" s="300" t="inlineStr">
        <is>
          <t>NA</t>
        </is>
      </c>
      <c r="AH236" s="89" t="n"/>
      <c r="AI236" s="301" t="inlineStr">
        <is>
          <t>La donnée est obligatoire</t>
        </is>
      </c>
      <c r="AJ236" s="302" t="inlineStr">
        <is>
          <t>The data is mandatory</t>
        </is>
      </c>
      <c r="AK236" s="303" t="n"/>
      <c r="AL236" s="304" t="inlineStr">
        <is>
          <t>EN0011</t>
        </is>
      </c>
      <c r="AM236" s="305" t="n"/>
      <c r="AN236" s="302" t="n"/>
      <c r="AO236" s="303" t="n"/>
      <c r="AP236" s="304" t="n"/>
      <c r="AQ236"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236"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236" s="303" t="n"/>
      <c r="AT236" s="304" t="inlineStr">
        <is>
          <t>EN0017
EN0019</t>
        </is>
      </c>
      <c r="AU236" s="404"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236" s="405"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236" s="303" t="n"/>
      <c r="AX236" s="304" t="inlineStr">
        <is>
          <t>EN001B</t>
        </is>
      </c>
      <c r="AY236" s="305" t="n"/>
      <c r="AZ236" s="302" t="n"/>
      <c r="BA236" s="303" t="n"/>
      <c r="BB236" s="304" t="n"/>
      <c r="BC236" s="301" t="n"/>
      <c r="BD236" s="302" t="n"/>
      <c r="BE236" s="303" t="n"/>
      <c r="BF236" s="304" t="n"/>
      <c r="BG236" s="89" t="n"/>
      <c r="BH2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36">
        <f>_xlfn.LET(r,ROW(),oc,INDEX($A:$A,r),cv,TRIM(INDEX($Y:$Y,r)&amp;""),IF(oc&lt;&gt;"P1","",IF(cv="45","V45 - novo, nao alimentado pelo spool atual","V44 - alimentado pelo spool atual")))</f>
        <v/>
      </c>
    </row>
    <row r="237" ht="54" customFormat="1" customHeight="1" s="91">
      <c r="A237" s="306" t="inlineStr">
        <is>
          <t>P1</t>
        </is>
      </c>
      <c r="B237" s="307" t="n">
        <v>2</v>
      </c>
      <c r="C237" s="269" t="inlineStr">
        <is>
          <t>02 - Caractéristiques d'identification fonctionnelles</t>
        </is>
      </c>
      <c r="D237" s="310" t="inlineStr">
        <is>
          <t>02 - Functional identification characteristics</t>
        </is>
      </c>
      <c r="E237" s="307" t="inlineStr">
        <is>
          <t>0.2 (P1)</t>
        </is>
      </c>
      <c r="F237" s="406" t="inlineStr">
        <is>
          <t>Entité Porteuse de Risques</t>
        </is>
      </c>
      <c r="G237" s="309" t="inlineStr">
        <is>
          <t>Risk taker entity</t>
        </is>
      </c>
      <c r="H237" s="1493">
        <f>"RPAD( "&amp;SUBSTITUTE(SUBSTITUTE(E237," ","_"),".","_")&amp;","&amp;W237&amp;",' '); -- "&amp;E237</f>
        <v/>
      </c>
      <c r="I237" s="407" t="inlineStr">
        <is>
          <t>Correspond au code consolidation comptable de l'Entité porteuse de risque dans les comptes de Crédit Agricole S.A.</t>
        </is>
      </c>
      <c r="J237" s="233" t="inlineStr">
        <is>
          <t>Represents the accounting consolidation code of the Entity bearing risks in the financial statements of Crédit Agricole S.A.</t>
        </is>
      </c>
      <c r="K237" s="269" t="inlineStr">
        <is>
          <t>ND</t>
        </is>
      </c>
      <c r="L237" s="310" t="inlineStr">
        <is>
          <t>ND</t>
        </is>
      </c>
      <c r="M237" s="1420" t="inlineStr">
        <is>
          <t>EntPortRisq</t>
        </is>
      </c>
      <c r="N237" s="257" t="inlineStr">
        <is>
          <t>Obligatoire</t>
        </is>
      </c>
      <c r="O237" s="236" t="inlineStr">
        <is>
          <t>Mandatory</t>
        </is>
      </c>
      <c r="P237" s="269" t="inlineStr">
        <is>
          <t>LC.0003</t>
        </is>
      </c>
      <c r="Q237" s="269" t="inlineStr">
        <is>
          <t>TA FI59</t>
        </is>
      </c>
      <c r="R237" s="241" t="inlineStr">
        <is>
          <t>NA</t>
        </is>
      </c>
      <c r="S237" s="233" t="inlineStr">
        <is>
          <t>NA</t>
        </is>
      </c>
      <c r="T237" s="313" t="inlineStr">
        <is>
          <t>ALPHA</t>
        </is>
      </c>
      <c r="U237" s="237" t="inlineStr">
        <is>
          <t>NA</t>
        </is>
      </c>
      <c r="V237" s="238" t="inlineStr">
        <is>
          <t>NA</t>
        </is>
      </c>
      <c r="W237" s="257" t="n">
        <v>5</v>
      </c>
      <c r="X237" s="945" t="inlineStr">
        <is>
          <t>NA</t>
        </is>
      </c>
      <c r="Y237" s="237" t="inlineStr">
        <is>
          <t>40</t>
        </is>
      </c>
      <c r="Z237" s="237" t="inlineStr">
        <is>
          <t>NA</t>
        </is>
      </c>
      <c r="AA237" s="978" t="inlineStr">
        <is>
          <t>NA</t>
        </is>
      </c>
      <c r="AB237" s="994" t="inlineStr">
        <is>
          <t>ALMM, CALCULS PRUDENTIELS, CONGLOMERATS, CORFOU, LOAN TAPE, NPE, NSFR, NZBA, PALMA, RISQUES SYSTEMIQUES, SRB VALUATION</t>
        </is>
      </c>
      <c r="AC237" s="231" t="inlineStr">
        <is>
          <t>ND</t>
        </is>
      </c>
      <c r="AD237" s="257" t="inlineStr">
        <is>
          <t>N</t>
        </is>
      </c>
      <c r="AE237" s="971" t="inlineStr">
        <is>
          <t>EQU101
EQU201
ISS100
ISS200 et 300
TRE100
TRE2 à 4XX hors 203,205,206,207
TRE203, 205, 207
TRE206
TRE5XX
SIG
VAR*
INT</t>
        </is>
      </c>
      <c r="AF237" s="257" t="inlineStr">
        <is>
          <t>NA</t>
        </is>
      </c>
      <c r="AG237" s="258" t="inlineStr">
        <is>
          <t>NA</t>
        </is>
      </c>
      <c r="AH237" s="89" t="n"/>
      <c r="AI237" s="316" t="inlineStr">
        <is>
          <t>La donnée est obligatoire</t>
        </is>
      </c>
      <c r="AJ237" s="317" t="inlineStr">
        <is>
          <t>The data is mandatory</t>
        </is>
      </c>
      <c r="AK237" s="257" t="n"/>
      <c r="AL237" s="258" t="inlineStr">
        <is>
          <t>EN0021</t>
        </is>
      </c>
      <c r="AM237"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237"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237" s="313" t="n"/>
      <c r="AP237" s="319" t="inlineStr">
        <is>
          <t>EN0023</t>
        </is>
      </c>
      <c r="AQ237" s="318" t="n"/>
      <c r="AR237" s="317" t="n"/>
      <c r="AS237" s="257" t="n"/>
      <c r="AT237" s="258" t="n"/>
      <c r="AU237" s="318" t="n"/>
      <c r="AV237" s="317" t="n"/>
      <c r="AW237" s="257" t="n"/>
      <c r="AX237" s="258" t="n"/>
      <c r="AY237" s="159" t="inlineStr">
        <is>
          <t>Unicité au sein de l'entité porteuse de risque</t>
        </is>
      </c>
      <c r="AZ237" s="160" t="inlineStr">
        <is>
          <t>Uniqueness within the entity bearing the risk</t>
        </is>
      </c>
      <c r="BA237" s="257" t="n">
        <v>7</v>
      </c>
      <c r="BB237" s="320" t="inlineStr">
        <is>
          <t>TU0001</t>
        </is>
      </c>
      <c r="BC237" s="408" t="n"/>
      <c r="BD237" s="377" t="n"/>
      <c r="BE237" s="257" t="n"/>
      <c r="BF237" s="258" t="n"/>
      <c r="BG237" s="89" t="n"/>
      <c r="BH2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37">
        <f>_xlfn.LET(r,ROW(),oc,INDEX($A:$A,r),cv,TRIM(INDEX($Y:$Y,r)&amp;""),IF(oc&lt;&gt;"P1","",IF(cv="45","V45 - novo, nao alimentado pelo spool atual","V44 - alimentado pelo spool atual")))</f>
        <v/>
      </c>
    </row>
    <row r="238" ht="54" customFormat="1" customHeight="1" s="91">
      <c r="A238" s="306" t="inlineStr">
        <is>
          <t>P1</t>
        </is>
      </c>
      <c r="B238" s="307" t="n">
        <v>3</v>
      </c>
      <c r="C238" s="269" t="inlineStr">
        <is>
          <t>02 - Caractéristiques d'identification fonctionnelles</t>
        </is>
      </c>
      <c r="D238" s="310" t="inlineStr">
        <is>
          <t>02 - Functional identification characteristics</t>
        </is>
      </c>
      <c r="E238" s="307" t="inlineStr">
        <is>
          <t>0.3 (P1)</t>
        </is>
      </c>
      <c r="F238" s="409" t="inlineStr">
        <is>
          <t>Application source</t>
        </is>
      </c>
      <c r="G238" s="309" t="inlineStr">
        <is>
          <t>Source application</t>
        </is>
      </c>
      <c r="H238" s="1493">
        <f>"RPAD( "&amp;SUBSTITUTE(SUBSTITUTE(E238," ","_"),".","_")&amp;","&amp;W238&amp;",' '); -- "&amp;E238</f>
        <v/>
      </c>
      <c r="I238" s="241" t="inlineStr">
        <is>
          <t>Correspond au code du Système d'Information utilisé en local pour générer le flux
Dans le flux Grande Clientèle, il faut préfixer par la lettre ‘C' le code application source</t>
        </is>
      </c>
      <c r="J238" s="233" t="inlineStr">
        <is>
          <t xml:space="preserve">Represents the code of the Information System used locally to generate the flow
In Corporate flow, the source application code must be prefix with the letter 'C' </t>
        </is>
      </c>
      <c r="K238" s="269" t="inlineStr">
        <is>
          <t>ND</t>
        </is>
      </c>
      <c r="L238" s="310" t="inlineStr">
        <is>
          <t>ND</t>
        </is>
      </c>
      <c r="M238" s="1420" t="inlineStr">
        <is>
          <t>AppliSource</t>
        </is>
      </c>
      <c r="N238" s="257" t="inlineStr">
        <is>
          <t>Obligatoire</t>
        </is>
      </c>
      <c r="O238" s="236" t="inlineStr">
        <is>
          <t>Mandatory</t>
        </is>
      </c>
      <c r="P238" s="994" t="inlineStr">
        <is>
          <t>NA</t>
        </is>
      </c>
      <c r="Q238" s="206" t="inlineStr">
        <is>
          <t>TA KVAPPBK</t>
        </is>
      </c>
      <c r="R238"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238"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238" s="313" t="inlineStr">
        <is>
          <t>ALPHA</t>
        </is>
      </c>
      <c r="U238" s="237" t="inlineStr">
        <is>
          <t>NA</t>
        </is>
      </c>
      <c r="V238" s="238" t="inlineStr">
        <is>
          <t>NA</t>
        </is>
      </c>
      <c r="W238" s="257" t="n">
        <v>12</v>
      </c>
      <c r="X238" s="945" t="inlineStr">
        <is>
          <t>NA</t>
        </is>
      </c>
      <c r="Y238" s="237" t="inlineStr">
        <is>
          <t>40</t>
        </is>
      </c>
      <c r="Z238" s="237" t="inlineStr">
        <is>
          <t>NA</t>
        </is>
      </c>
      <c r="AA238" s="237" t="inlineStr">
        <is>
          <t>NA</t>
        </is>
      </c>
      <c r="AB238" s="269" t="inlineStr">
        <is>
          <t>USAGE ZP</t>
        </is>
      </c>
      <c r="AC238" s="231" t="inlineStr">
        <is>
          <t>ND</t>
        </is>
      </c>
      <c r="AD238" s="257" t="inlineStr">
        <is>
          <t>N</t>
        </is>
      </c>
      <c r="AE238" s="971" t="inlineStr">
        <is>
          <t>EQU101
EQU201
ISS100
ISS200 et 300
TRE100
TRE2 à 4XX hors 203,205,206,207
TRE203, 205, 207
TRE206
TRE5XX
SIG
VAR*
INT</t>
        </is>
      </c>
      <c r="AF238" s="257" t="inlineStr">
        <is>
          <t>NA</t>
        </is>
      </c>
      <c r="AG238" s="258" t="inlineStr">
        <is>
          <t>NA</t>
        </is>
      </c>
      <c r="AH238" s="89" t="n"/>
      <c r="AI238" s="316" t="inlineStr">
        <is>
          <t>La donnée est obligatoire</t>
        </is>
      </c>
      <c r="AJ238" s="321" t="inlineStr">
        <is>
          <t>The data is mandatory</t>
        </is>
      </c>
      <c r="AK238" s="313" t="n"/>
      <c r="AL238" s="319" t="inlineStr">
        <is>
          <t>EN0031</t>
        </is>
      </c>
      <c r="AM238" s="318" t="inlineStr">
        <is>
          <t>Si elle est renseignée, la valeur doit être connue du Langage Commun associé</t>
        </is>
      </c>
      <c r="AN238" s="317" t="inlineStr">
        <is>
          <t>If specified, the value must be known to the associated Common Language</t>
        </is>
      </c>
      <c r="AO238" s="313" t="n"/>
      <c r="AP238" s="258" t="inlineStr">
        <is>
          <t>EN0035</t>
        </is>
      </c>
      <c r="AQ238" s="318" t="n"/>
      <c r="AR238" s="317" t="n"/>
      <c r="AS238" s="257" t="n"/>
      <c r="AT238" s="258" t="n"/>
      <c r="AU238" s="318" t="n"/>
      <c r="AV238" s="317" t="n"/>
      <c r="AW238" s="257" t="n"/>
      <c r="AX238" s="258" t="n"/>
      <c r="AY238" s="318" t="n"/>
      <c r="AZ238" s="317" t="n"/>
      <c r="BA238" s="257" t="n"/>
      <c r="BB238" s="258" t="n"/>
      <c r="BC238" s="316" t="n"/>
      <c r="BD238" s="317" t="n"/>
      <c r="BE238" s="257" t="n"/>
      <c r="BF238" s="258" t="n"/>
      <c r="BG238" s="89" t="n"/>
      <c r="BH2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38">
        <f>_xlfn.LET(r,ROW(),oc,INDEX($A:$A,r),cv,TRIM(INDEX($Y:$Y,r)&amp;""),IF(oc&lt;&gt;"P1","",IF(cv="45","V45 - novo, nao alimentado pelo spool atual","V44 - alimentado pelo spool atual")))</f>
        <v/>
      </c>
    </row>
    <row r="239" ht="54" customFormat="1" customHeight="1" s="91">
      <c r="A239" s="306" t="inlineStr">
        <is>
          <t>P1</t>
        </is>
      </c>
      <c r="B239" s="307" t="n">
        <v>4</v>
      </c>
      <c r="C239" s="269" t="inlineStr">
        <is>
          <t>01 - Caractéristiques d'identification techniques</t>
        </is>
      </c>
      <c r="D239" s="310" t="inlineStr">
        <is>
          <t>01 - Technical identification characteristics</t>
        </is>
      </c>
      <c r="E239" s="307" t="inlineStr">
        <is>
          <t>0.4 (P1)</t>
        </is>
      </c>
      <c r="F239" s="308" t="inlineStr">
        <is>
          <t>Fréquence de transmission</t>
        </is>
      </c>
      <c r="G239" s="309" t="inlineStr">
        <is>
          <t>Transmission frequency</t>
        </is>
      </c>
      <c r="H239" s="1493">
        <f>"RPAD( "&amp;SUBSTITUTE(SUBSTITUTE(E239," ","_"),".","_")&amp;","&amp;W239&amp;",' '); -- "&amp;E239</f>
        <v/>
      </c>
      <c r="I239" s="234" t="inlineStr">
        <is>
          <t>Permet d'identifier le flux dans les traitements</t>
        </is>
      </c>
      <c r="J239" s="235" t="inlineStr">
        <is>
          <t>Makes it possible to identify the flow in the treatments</t>
        </is>
      </c>
      <c r="K239" s="370" t="inlineStr">
        <is>
          <t>ND</t>
        </is>
      </c>
      <c r="L239" s="371" t="inlineStr">
        <is>
          <t>ND</t>
        </is>
      </c>
      <c r="M239" s="1420" t="inlineStr">
        <is>
          <t>FreqTrans</t>
        </is>
      </c>
      <c r="N239" s="257" t="inlineStr">
        <is>
          <t>Obligatoire</t>
        </is>
      </c>
      <c r="O239" s="236" t="inlineStr">
        <is>
          <t>Mandatory</t>
        </is>
      </c>
      <c r="P239" s="269" t="inlineStr">
        <is>
          <t>NA</t>
        </is>
      </c>
      <c r="Q239" s="269" t="inlineStr">
        <is>
          <t>NA</t>
        </is>
      </c>
      <c r="R239" s="234" t="inlineStr">
        <is>
          <t>La seule valeur admise est 'M' pour mensuel</t>
        </is>
      </c>
      <c r="S239" s="235" t="inlineStr">
        <is>
          <t>The only permitted value is 'M' for month</t>
        </is>
      </c>
      <c r="T239" s="313" t="inlineStr">
        <is>
          <t>ALPHA</t>
        </is>
      </c>
      <c r="U239" s="237" t="inlineStr">
        <is>
          <t>NA</t>
        </is>
      </c>
      <c r="V239" s="238" t="inlineStr">
        <is>
          <t>NA</t>
        </is>
      </c>
      <c r="W239" s="257" t="n">
        <v>1</v>
      </c>
      <c r="X239" s="945" t="inlineStr">
        <is>
          <t>NA</t>
        </is>
      </c>
      <c r="Y239" s="237" t="inlineStr">
        <is>
          <t>40</t>
        </is>
      </c>
      <c r="Z239" s="237" t="inlineStr">
        <is>
          <t>NA</t>
        </is>
      </c>
      <c r="AA239" s="237" t="inlineStr">
        <is>
          <t>NA</t>
        </is>
      </c>
      <c r="AB239" s="269" t="inlineStr">
        <is>
          <t>USAGE ZP</t>
        </is>
      </c>
      <c r="AC239" s="231" t="inlineStr">
        <is>
          <t>ND</t>
        </is>
      </c>
      <c r="AD239" s="257" t="inlineStr">
        <is>
          <t>N</t>
        </is>
      </c>
      <c r="AE239" s="971" t="inlineStr">
        <is>
          <t>EQU101
EQU201
ISS100
ISS200 et 300
TRE100
TRE2 à 4XX hors 203,205,206,207
TRE203, 205, 207
TRE206
TRE5XX
SIG
VAR*
INT</t>
        </is>
      </c>
      <c r="AF239" s="257" t="inlineStr">
        <is>
          <t>NA</t>
        </is>
      </c>
      <c r="AG239" s="258" t="inlineStr">
        <is>
          <t>NA</t>
        </is>
      </c>
      <c r="AH239" s="89" t="n"/>
      <c r="AI239" s="316" t="inlineStr">
        <is>
          <t>La donnée est obligatoire</t>
        </is>
      </c>
      <c r="AJ239" s="317" t="inlineStr">
        <is>
          <t>The data is mandatory</t>
        </is>
      </c>
      <c r="AK239" s="257" t="n"/>
      <c r="AL239" s="258" t="inlineStr">
        <is>
          <t>EN0041</t>
        </is>
      </c>
      <c r="AM239" s="318" t="n"/>
      <c r="AN239" s="317" t="n"/>
      <c r="AO239" s="257" t="n"/>
      <c r="AP239" s="258" t="n"/>
      <c r="AQ239" s="318" t="inlineStr">
        <is>
          <t>Si renseignée, la donnée doit être égale à 'M' ou 'C'.</t>
        </is>
      </c>
      <c r="AR239" s="317" t="inlineStr">
        <is>
          <t>If filled in, the data must be equal to 'M' or 'C'.</t>
        </is>
      </c>
      <c r="AS239" s="257" t="n"/>
      <c r="AT239" s="258" t="inlineStr">
        <is>
          <t>EN0043</t>
        </is>
      </c>
      <c r="AU239" s="318" t="n"/>
      <c r="AV239" s="317" t="n"/>
      <c r="AW239" s="257" t="n"/>
      <c r="AX239" s="258" t="n"/>
      <c r="AY239" s="318" t="n"/>
      <c r="AZ239" s="317" t="n"/>
      <c r="BA239" s="257" t="n"/>
      <c r="BB239" s="258" t="n"/>
      <c r="BC239" s="316" t="n"/>
      <c r="BD239" s="317" t="n"/>
      <c r="BE239" s="257" t="n"/>
      <c r="BF239" s="258" t="n"/>
      <c r="BG239" s="89" t="n"/>
      <c r="BH2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39">
        <f>_xlfn.LET(r,ROW(),oc,INDEX($A:$A,r),cv,TRIM(INDEX($Y:$Y,r)&amp;""),IF(oc&lt;&gt;"P1","",IF(cv="45","V45 - novo, nao alimentado pelo spool atual","V44 - alimentado pelo spool atual")))</f>
        <v/>
      </c>
    </row>
    <row r="240" ht="54" customFormat="1" customHeight="1" s="91">
      <c r="A240" s="306" t="inlineStr">
        <is>
          <t>P1</t>
        </is>
      </c>
      <c r="B240" s="307" t="n">
        <v>5</v>
      </c>
      <c r="C240" s="269" t="inlineStr">
        <is>
          <t>01 - Caractéristiques d'identification techniques</t>
        </is>
      </c>
      <c r="D240" s="310" t="inlineStr">
        <is>
          <t>01 - Technical identification characteristics</t>
        </is>
      </c>
      <c r="E240" s="307" t="inlineStr">
        <is>
          <t>0.5 (P1)</t>
        </is>
      </c>
      <c r="F240" s="308" t="inlineStr">
        <is>
          <t>Date et Heure de traitement</t>
        </is>
      </c>
      <c r="G240" s="309" t="inlineStr">
        <is>
          <t>Date and time of processing</t>
        </is>
      </c>
      <c r="H240" s="1493">
        <f>"RPAD( "&amp;SUBSTITUTE(SUBSTITUTE(E240," ","_"),".","_")&amp;","&amp;W240&amp;",' '); -- "&amp;E240</f>
        <v/>
      </c>
      <c r="I240" s="234" t="inlineStr">
        <is>
          <t>Correspond à la date et heure du début du traitement ayant produit le flux</t>
        </is>
      </c>
      <c r="J240" s="235" t="inlineStr">
        <is>
          <t>Represents the date and time at which treatment began</t>
        </is>
      </c>
      <c r="K240" s="370" t="inlineStr">
        <is>
          <t>ND</t>
        </is>
      </c>
      <c r="L240" s="371" t="inlineStr">
        <is>
          <t>ND</t>
        </is>
      </c>
      <c r="M240" s="1420" t="inlineStr">
        <is>
          <t>DtHeureTrait</t>
        </is>
      </c>
      <c r="N240" s="257" t="inlineStr">
        <is>
          <t>Obligatoire</t>
        </is>
      </c>
      <c r="O240" s="236" t="inlineStr">
        <is>
          <t>Mandatory</t>
        </is>
      </c>
      <c r="P240" s="269" t="inlineStr">
        <is>
          <t>NA</t>
        </is>
      </c>
      <c r="Q240" s="269" t="inlineStr">
        <is>
          <t>NA</t>
        </is>
      </c>
      <c r="R240" s="234" t="inlineStr">
        <is>
          <t>Unicité obligatoire au sein d'un Lot déterminé</t>
        </is>
      </c>
      <c r="S240" s="235" t="inlineStr">
        <is>
          <t>Has to be unique within a specific Batch</t>
        </is>
      </c>
      <c r="T240" s="313" t="inlineStr">
        <is>
          <t>ALPHA</t>
        </is>
      </c>
      <c r="U240" s="237" t="inlineStr">
        <is>
          <t>NA</t>
        </is>
      </c>
      <c r="V240" s="238" t="inlineStr">
        <is>
          <t>NA</t>
        </is>
      </c>
      <c r="W240" s="257" t="n">
        <v>12</v>
      </c>
      <c r="X240" s="945" t="inlineStr">
        <is>
          <t>NA</t>
        </is>
      </c>
      <c r="Y240" s="237" t="inlineStr">
        <is>
          <t>40</t>
        </is>
      </c>
      <c r="Z240" s="237" t="inlineStr">
        <is>
          <t>NA</t>
        </is>
      </c>
      <c r="AA240" s="237" t="inlineStr">
        <is>
          <t>NA</t>
        </is>
      </c>
      <c r="AB240" s="269" t="inlineStr">
        <is>
          <t>USAGE ZP</t>
        </is>
      </c>
      <c r="AC240" s="231" t="inlineStr">
        <is>
          <t>ND</t>
        </is>
      </c>
      <c r="AD240" s="257" t="inlineStr">
        <is>
          <t>N</t>
        </is>
      </c>
      <c r="AE240" s="971" t="inlineStr">
        <is>
          <t>EQU101
EQU201
ISS100
ISS200 et 300
TRE100
TRE2 à 4XX hors 203,205,206,207
TRE203, 205, 207
TRE206
TRE5XX
SIG
VAR*
INT</t>
        </is>
      </c>
      <c r="AF240" s="257" t="inlineStr">
        <is>
          <t>NA</t>
        </is>
      </c>
      <c r="AG240" s="258" t="inlineStr">
        <is>
          <t>NA</t>
        </is>
      </c>
      <c r="AH240" s="89" t="n"/>
      <c r="AI240" s="316" t="inlineStr">
        <is>
          <t>La donnée est obligatoire</t>
        </is>
      </c>
      <c r="AJ240" s="317" t="inlineStr">
        <is>
          <t>The data is mandatory</t>
        </is>
      </c>
      <c r="AK240" s="257" t="n"/>
      <c r="AL240" s="258" t="inlineStr">
        <is>
          <t>EN0051</t>
        </is>
      </c>
      <c r="AM240" s="318" t="n"/>
      <c r="AN240" s="317" t="n"/>
      <c r="AO240" s="257" t="n"/>
      <c r="AP240" s="258" t="n"/>
      <c r="AQ240" s="318" t="n"/>
      <c r="AR240" s="317" t="n"/>
      <c r="AS240" s="257" t="n"/>
      <c r="AT240" s="258" t="n"/>
      <c r="AU240"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240"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240" s="257" t="n"/>
      <c r="AX240" s="258" t="inlineStr">
        <is>
          <t>EN0056</t>
        </is>
      </c>
      <c r="AY240" s="318" t="n"/>
      <c r="AZ240" s="317" t="n"/>
      <c r="BA240" s="257" t="n"/>
      <c r="BB240" s="258" t="n"/>
      <c r="BC240" s="316" t="n"/>
      <c r="BD240" s="317" t="n"/>
      <c r="BE240" s="257" t="n"/>
      <c r="BF240" s="258" t="n"/>
      <c r="BG240" s="89" t="n"/>
      <c r="BH2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40">
        <f>_xlfn.LET(r,ROW(),oc,INDEX($A:$A,r),cv,TRIM(INDEX($Y:$Y,r)&amp;""),IF(oc&lt;&gt;"P1","",IF(cv="45","V45 - novo, nao alimentado pelo spool atual","V44 - alimentado pelo spool atual")))</f>
        <v/>
      </c>
    </row>
    <row r="241" ht="54" customFormat="1" customHeight="1" s="91">
      <c r="A241" s="306" t="inlineStr">
        <is>
          <t>P1</t>
        </is>
      </c>
      <c r="B241" s="307" t="n">
        <v>6</v>
      </c>
      <c r="C241" s="269" t="inlineStr">
        <is>
          <t>01 - Caractéristiques d'identification techniques</t>
        </is>
      </c>
      <c r="D241" s="310" t="inlineStr">
        <is>
          <t>01 - Technical identification characteristics</t>
        </is>
      </c>
      <c r="E241" s="307" t="inlineStr">
        <is>
          <t>0.6 (P1)</t>
        </is>
      </c>
      <c r="F241" s="308" t="inlineStr">
        <is>
          <t>Type d'enregistrement</t>
        </is>
      </c>
      <c r="G241" s="309" t="inlineStr">
        <is>
          <t>Record type</t>
        </is>
      </c>
      <c r="H241" s="1493">
        <f>"RPAD( "&amp;SUBSTITUTE(SUBSTITUTE(E241," ","_"),".","_")&amp;","&amp;W241&amp;",' '); -- "&amp;E241</f>
        <v/>
      </c>
      <c r="I241" s="242" t="inlineStr">
        <is>
          <t>Caractérise le type d'enregistrement remonté par l'entité</t>
        </is>
      </c>
      <c r="J241" s="235" t="inlineStr">
        <is>
          <t>Represents the record type reported by the entity</t>
        </is>
      </c>
      <c r="K241" s="370" t="inlineStr">
        <is>
          <t>ND</t>
        </is>
      </c>
      <c r="L241" s="371" t="inlineStr">
        <is>
          <t>ND</t>
        </is>
      </c>
      <c r="M241" s="1420" t="inlineStr">
        <is>
          <t>TypEnreg</t>
        </is>
      </c>
      <c r="N241" s="257" t="inlineStr">
        <is>
          <t>Obligatoire</t>
        </is>
      </c>
      <c r="O241" s="236" t="inlineStr">
        <is>
          <t>Mandatory</t>
        </is>
      </c>
      <c r="P241" s="269" t="inlineStr">
        <is>
          <t>NA</t>
        </is>
      </c>
      <c r="Q241" s="269" t="inlineStr">
        <is>
          <t>NA</t>
        </is>
      </c>
      <c r="R241" s="241" t="inlineStr">
        <is>
          <t>Valeur admise : 'P1' (Domaine Engagement)</t>
        </is>
      </c>
      <c r="S241" s="233" t="inlineStr">
        <is>
          <t>Accepted value: 'P1' (Funds in use domain)</t>
        </is>
      </c>
      <c r="T241" s="313" t="inlineStr">
        <is>
          <t>ALPHA</t>
        </is>
      </c>
      <c r="U241" s="237" t="inlineStr">
        <is>
          <t>NA</t>
        </is>
      </c>
      <c r="V241" s="238" t="inlineStr">
        <is>
          <t>NA</t>
        </is>
      </c>
      <c r="W241" s="257" t="n">
        <v>2</v>
      </c>
      <c r="X241" s="945" t="inlineStr">
        <is>
          <t>NA</t>
        </is>
      </c>
      <c r="Y241" s="237" t="inlineStr">
        <is>
          <t>40</t>
        </is>
      </c>
      <c r="Z241" s="237" t="inlineStr">
        <is>
          <t>NA</t>
        </is>
      </c>
      <c r="AA241" s="237" t="inlineStr">
        <is>
          <t>NA</t>
        </is>
      </c>
      <c r="AB241" s="269" t="inlineStr">
        <is>
          <t>USAGE ZP</t>
        </is>
      </c>
      <c r="AC241" s="231" t="inlineStr">
        <is>
          <t>ND</t>
        </is>
      </c>
      <c r="AD241" s="257" t="inlineStr">
        <is>
          <t>N</t>
        </is>
      </c>
      <c r="AE241" s="971" t="inlineStr">
        <is>
          <t>EQU101
EQU201
ISS100
ISS200 et 300
TRE100
TRE2 à 4XX hors 203,205,206,207
TRE203, 205, 207
TRE206
TRE5XX
SIG
VAR*
INT</t>
        </is>
      </c>
      <c r="AF241" s="257" t="inlineStr">
        <is>
          <t>NA</t>
        </is>
      </c>
      <c r="AG241" s="258" t="inlineStr">
        <is>
          <t>NA</t>
        </is>
      </c>
      <c r="AH241" s="89" t="n"/>
      <c r="AI241" s="316" t="inlineStr">
        <is>
          <t>La donnée est obligatoire</t>
        </is>
      </c>
      <c r="AJ241" s="317" t="inlineStr">
        <is>
          <t>The data is mandatory</t>
        </is>
      </c>
      <c r="AK241" s="257" t="n"/>
      <c r="AL241" s="258" t="inlineStr">
        <is>
          <t>EN0061</t>
        </is>
      </c>
      <c r="AM241" s="318" t="n"/>
      <c r="AN241" s="317" t="n"/>
      <c r="AO241" s="257" t="n"/>
      <c r="AP241" s="258" t="n"/>
      <c r="AQ241" s="410" t="inlineStr">
        <is>
          <t>Si renseignée, la donnée doit être égale à 'P1'</t>
        </is>
      </c>
      <c r="AR241" s="377" t="inlineStr">
        <is>
          <t>If filled in, the data must be equal to 'P1'</t>
        </is>
      </c>
      <c r="AS241" s="257" t="n"/>
      <c r="AT241" s="258" t="inlineStr">
        <is>
          <t>EN0061</t>
        </is>
      </c>
      <c r="AU241" s="318" t="n"/>
      <c r="AV241" s="317" t="n"/>
      <c r="AW241" s="257" t="n"/>
      <c r="AX241" s="258" t="n"/>
      <c r="AY241" s="318" t="n"/>
      <c r="AZ241" s="317" t="n"/>
      <c r="BA241" s="257" t="n"/>
      <c r="BB241" s="258" t="n"/>
      <c r="BC241" s="316" t="n"/>
      <c r="BD241" s="317" t="n"/>
      <c r="BE241" s="257" t="n"/>
      <c r="BF241" s="258" t="n"/>
      <c r="BG241" s="89" t="n"/>
      <c r="BH2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41">
        <f>_xlfn.LET(r,ROW(),oc,INDEX($A:$A,r),cv,TRIM(INDEX($Y:$Y,r)&amp;""),IF(oc&lt;&gt;"P1","",IF(cv="45","V45 - novo, nao alimentado pelo spool atual","V44 - alimentado pelo spool atual")))</f>
        <v/>
      </c>
    </row>
    <row r="242" ht="54" customFormat="1" customHeight="1" s="91">
      <c r="A242" s="306" t="inlineStr">
        <is>
          <t>P1</t>
        </is>
      </c>
      <c r="B242" s="307" t="n">
        <v>7</v>
      </c>
      <c r="C242" s="269" t="inlineStr">
        <is>
          <t>02 - Caractéristiques d'identification fonctionnelles</t>
        </is>
      </c>
      <c r="D242" s="310" t="inlineStr">
        <is>
          <t>02 - Functional identification characteristics</t>
        </is>
      </c>
      <c r="E242" s="307" t="inlineStr">
        <is>
          <t>0.7 (P1)</t>
        </is>
      </c>
      <c r="F242" s="308" t="inlineStr">
        <is>
          <t>Nature de flux (Zone réservée DRG)</t>
        </is>
      </c>
      <c r="G242" s="309" t="inlineStr">
        <is>
          <t>Nature of flow (Zone reserved for Group Risk Management Division)</t>
        </is>
      </c>
      <c r="H242" s="1493">
        <f>"RPAD( "&amp;SUBSTITUTE(SUBSTITUTE(E242," ","_"),".","_")&amp;","&amp;W242&amp;",' '); -- "&amp;E242</f>
        <v/>
      </c>
      <c r="I242" s="241" t="inlineStr">
        <is>
          <t>Nature de flux (Zone réservée DRG)</t>
        </is>
      </c>
      <c r="J242" s="309" t="inlineStr">
        <is>
          <t>Nature of flow (Zone reserved for Group Risk Management Division)</t>
        </is>
      </c>
      <c r="K242" s="370" t="inlineStr">
        <is>
          <t>ND</t>
        </is>
      </c>
      <c r="L242" s="371" t="inlineStr">
        <is>
          <t>ND</t>
        </is>
      </c>
      <c r="M242" s="1420" t="inlineStr">
        <is>
          <t>NatFlux</t>
        </is>
      </c>
      <c r="N242" s="257" t="inlineStr">
        <is>
          <t>Facultatif</t>
        </is>
      </c>
      <c r="O242" s="236" t="inlineStr">
        <is>
          <t>Optional</t>
        </is>
      </c>
      <c r="P242" s="269" t="inlineStr">
        <is>
          <t>NA</t>
        </is>
      </c>
      <c r="Q242" s="269" t="inlineStr">
        <is>
          <t>NA</t>
        </is>
      </c>
      <c r="R242" s="311" t="inlineStr">
        <is>
          <t>Zone réservée DRG</t>
        </is>
      </c>
      <c r="S242" s="312" t="inlineStr">
        <is>
          <t>Zone reserved for the Group Risk Management Division</t>
        </is>
      </c>
      <c r="T242" s="313" t="inlineStr">
        <is>
          <t>ALPHA</t>
        </is>
      </c>
      <c r="U242" s="237" t="inlineStr">
        <is>
          <t>NA</t>
        </is>
      </c>
      <c r="V242" s="238" t="inlineStr">
        <is>
          <t>NA</t>
        </is>
      </c>
      <c r="W242" s="257" t="n">
        <v>1</v>
      </c>
      <c r="X242" s="945" t="inlineStr">
        <is>
          <t>NA</t>
        </is>
      </c>
      <c r="Y242" s="237" t="inlineStr">
        <is>
          <t>40</t>
        </is>
      </c>
      <c r="Z242" s="237" t="inlineStr">
        <is>
          <t>NA</t>
        </is>
      </c>
      <c r="AA242" s="237" t="inlineStr">
        <is>
          <t>NA</t>
        </is>
      </c>
      <c r="AB242" s="636" t="inlineStr">
        <is>
          <t>USAGE ZP</t>
        </is>
      </c>
      <c r="AC242" s="231" t="inlineStr">
        <is>
          <t>ND</t>
        </is>
      </c>
      <c r="AD242" s="257" t="inlineStr">
        <is>
          <t>N</t>
        </is>
      </c>
      <c r="AE242" s="971" t="inlineStr">
        <is>
          <t>EQU101
EQU201
ISS100
ISS200 et 300
TRE100
TRE2 à 4XX hors 203,205,206,207
TRE203, 205, 207
TRE206
TRE5XX
SIG
VAR*
INT</t>
        </is>
      </c>
      <c r="AF242" s="257" t="inlineStr">
        <is>
          <t>NA</t>
        </is>
      </c>
      <c r="AG242" s="258" t="inlineStr">
        <is>
          <t>NA</t>
        </is>
      </c>
      <c r="AH242" s="89" t="n"/>
      <c r="AI242" s="316" t="n"/>
      <c r="AJ242" s="317" t="n"/>
      <c r="AK242" s="257" t="n"/>
      <c r="AL242" s="258" t="n"/>
      <c r="AM242" s="318" t="n"/>
      <c r="AN242" s="317" t="n"/>
      <c r="AO242" s="257" t="n"/>
      <c r="AP242" s="258" t="n"/>
      <c r="AQ242" s="318" t="inlineStr">
        <is>
          <t>Si renseignée et type d'enregistrement (EN [0.6]) est différent de 'Z9', la donnée doit être égale à 'R'.</t>
        </is>
      </c>
      <c r="AR242" s="317" t="inlineStr">
        <is>
          <t>If entered and record type (EN [0.6]) is different from 'Z9', the data must be equal to 'R'.</t>
        </is>
      </c>
      <c r="AS242" s="257" t="n"/>
      <c r="AT242" s="258" t="inlineStr">
        <is>
          <t>EN0071</t>
        </is>
      </c>
      <c r="AU242"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242"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242" s="257" t="n"/>
      <c r="AX242" s="258" t="inlineStr">
        <is>
          <t>EN0071</t>
        </is>
      </c>
      <c r="AY242" s="318" t="n"/>
      <c r="AZ242" s="317" t="n"/>
      <c r="BA242" s="257" t="n"/>
      <c r="BB242" s="258" t="n"/>
      <c r="BC242" s="316" t="n"/>
      <c r="BD242" s="317" t="n"/>
      <c r="BE242" s="257" t="n"/>
      <c r="BF242" s="258" t="n"/>
      <c r="BG242" s="89" t="n"/>
      <c r="BH2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42">
        <f>_xlfn.LET(r,ROW(),oc,INDEX($A:$A,r),cv,TRIM(INDEX($Y:$Y,r)&amp;""),IF(oc&lt;&gt;"P1","",IF(cv="45","V45 - novo, nao alimentado pelo spool atual","V44 - alimentado pelo spool atual")))</f>
        <v/>
      </c>
    </row>
    <row r="243" ht="54" customFormat="1" customHeight="1" s="91">
      <c r="A243" s="306" t="inlineStr">
        <is>
          <t>P1</t>
        </is>
      </c>
      <c r="B243" s="307" t="n">
        <v>8</v>
      </c>
      <c r="C243" s="269" t="inlineStr">
        <is>
          <t>02 - Caractéristiques d'identification fonctionnelles</t>
        </is>
      </c>
      <c r="D243" s="310" t="inlineStr">
        <is>
          <t>02 - Functional identification characteristics</t>
        </is>
      </c>
      <c r="E243" s="307" t="inlineStr">
        <is>
          <t>0.8 (P1)</t>
        </is>
      </c>
      <c r="F243" s="1263" t="inlineStr">
        <is>
          <t>Centre de Responsabilité Comptable (Zone réservée CAsa social)</t>
        </is>
      </c>
      <c r="G243" s="309" t="inlineStr">
        <is>
          <t>Accounting responsibility center (Zone reserved for Crédit Agricole S.A. Holding)</t>
        </is>
      </c>
      <c r="H243" s="1493">
        <f>"RPAD( "&amp;SUBSTITUTE(SUBSTITUTE(E243," ","_"),".","_")&amp;","&amp;W243&amp;",' '); -- "&amp;E243</f>
        <v/>
      </c>
      <c r="I243" s="241" t="inlineStr">
        <is>
          <t>Pour Crédit Agricole SA entité sociale, indique le numéro de CRC (Centre de Responsabilité Comptable) concerné</t>
        </is>
      </c>
      <c r="J243" s="309" t="inlineStr">
        <is>
          <t>For CASAes entity, indicate the relevant CRC (Center of accounting responsability) number</t>
        </is>
      </c>
      <c r="K243" s="370" t="inlineStr">
        <is>
          <t>ND</t>
        </is>
      </c>
      <c r="L243" s="371" t="inlineStr">
        <is>
          <t>ND</t>
        </is>
      </c>
      <c r="M243" s="1420" t="inlineStr">
        <is>
          <t>ZoneResCasa</t>
        </is>
      </c>
      <c r="N243" s="257" t="inlineStr">
        <is>
          <t>Obligatoire sous conditions</t>
        </is>
      </c>
      <c r="O243" s="310" t="inlineStr">
        <is>
          <t>Mandatory under conditions</t>
        </is>
      </c>
      <c r="P243" s="269" t="inlineStr">
        <is>
          <t>LC.0072</t>
        </is>
      </c>
      <c r="Q243" s="269" t="inlineStr">
        <is>
          <t>TA KVCRC</t>
        </is>
      </c>
      <c r="R243" s="241" t="inlineStr">
        <is>
          <t>A renseigner pour CASAes. Pour les autres entités, ne pas renseigner</t>
        </is>
      </c>
      <c r="S243" s="233" t="inlineStr">
        <is>
          <t>To be filled in for CASAes. For other entities, do not enter</t>
        </is>
      </c>
      <c r="T243" s="313" t="inlineStr">
        <is>
          <t>ALPHA</t>
        </is>
      </c>
      <c r="U243" s="237" t="inlineStr">
        <is>
          <t>NA</t>
        </is>
      </c>
      <c r="V243" s="238" t="inlineStr">
        <is>
          <t>NA</t>
        </is>
      </c>
      <c r="W243" s="257" t="n">
        <v>2</v>
      </c>
      <c r="X243" s="945" t="inlineStr">
        <is>
          <t>NA</t>
        </is>
      </c>
      <c r="Y243" s="237" t="inlineStr">
        <is>
          <t>40</t>
        </is>
      </c>
      <c r="Z243" s="237" t="inlineStr">
        <is>
          <t>NA</t>
        </is>
      </c>
      <c r="AA243" s="270" t="inlineStr">
        <is>
          <t>45.00</t>
        </is>
      </c>
      <c r="AB243" s="932" t="inlineStr">
        <is>
          <t>LIQUIDITE, PALMA</t>
        </is>
      </c>
      <c r="AC243" s="231" t="inlineStr">
        <is>
          <t>ND</t>
        </is>
      </c>
      <c r="AD243" s="257" t="inlineStr">
        <is>
          <t>N</t>
        </is>
      </c>
      <c r="AE243" s="971" t="inlineStr">
        <is>
          <t>EQU101
EQU201
ISS100
ISS200 et 300
TRE100
TRE2 à 4XX hors 203,205,206,207
TRE203, 205, 207
TRE206
TRE5XX
SIG
VAR*
INT</t>
        </is>
      </c>
      <c r="AF243" s="257" t="inlineStr">
        <is>
          <t>NA</t>
        </is>
      </c>
      <c r="AG243" s="258" t="inlineStr">
        <is>
          <t>NA</t>
        </is>
      </c>
      <c r="AH243" s="89" t="n"/>
      <c r="AI243" s="316" t="inlineStr">
        <is>
          <t>La donnée est obligatoire si l'entité porteuse de risques [0.2 (P1)] est égale à '00018'</t>
        </is>
      </c>
      <c r="AJ243" s="317" t="inlineStr">
        <is>
          <t>The data is mandatory if Risk taker entity [0.2 (P1)] is equal to '00018'</t>
        </is>
      </c>
      <c r="AK243" s="257" t="n">
        <v>6</v>
      </c>
      <c r="AL243" s="411" t="inlineStr">
        <is>
          <t>TPS0735</t>
        </is>
      </c>
      <c r="AM243" s="318" t="inlineStr">
        <is>
          <t>Si elle est renseignée, la valeur doit être connue du Langage Commun associé</t>
        </is>
      </c>
      <c r="AN243" s="317" t="inlineStr">
        <is>
          <t>If specified, the value must be known to the associated Common Language</t>
        </is>
      </c>
      <c r="AO243" s="257" t="n">
        <v>7</v>
      </c>
      <c r="AP243" s="212" t="inlineStr">
        <is>
          <t>TIG0001</t>
        </is>
      </c>
      <c r="AQ243" s="318" t="n"/>
      <c r="AR243" s="317" t="n"/>
      <c r="AS243" s="257" t="n"/>
      <c r="AT243" s="258" t="n"/>
      <c r="AU243" s="318" t="n"/>
      <c r="AV243" s="317" t="n"/>
      <c r="AW243" s="257" t="n"/>
      <c r="AX243" s="258" t="n"/>
      <c r="AY243" s="318" t="n"/>
      <c r="AZ243" s="317" t="n"/>
      <c r="BA243" s="257" t="n"/>
      <c r="BB243" s="258" t="n"/>
      <c r="BC243" s="316" t="n"/>
      <c r="BD243" s="317" t="n"/>
      <c r="BE243" s="257" t="n"/>
      <c r="BF243" s="258" t="n"/>
      <c r="BG243" s="89" t="n"/>
      <c r="BH2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43">
        <f>_xlfn.LET(r,ROW(),oc,INDEX($A:$A,r),cv,TRIM(INDEX($Y:$Y,r)&amp;""),IF(oc&lt;&gt;"P1","",IF(cv="45","V45 - novo, nao alimentado pelo spool atual","V44 - alimentado pelo spool atual")))</f>
        <v/>
      </c>
    </row>
    <row r="244" ht="54" customFormat="1" customHeight="1" s="91">
      <c r="A244" s="306" t="inlineStr">
        <is>
          <t>P1</t>
        </is>
      </c>
      <c r="B244" s="307" t="n">
        <v>9</v>
      </c>
      <c r="C244" s="269" t="inlineStr">
        <is>
          <t>02 - Caractéristiques d'identification fonctionnelles</t>
        </is>
      </c>
      <c r="D244" s="310" t="inlineStr">
        <is>
          <t>02 - Functional identification characteristics</t>
        </is>
      </c>
      <c r="E244" s="307" t="inlineStr">
        <is>
          <t>0.9 (P1)</t>
        </is>
      </c>
      <c r="F244" s="308" t="inlineStr">
        <is>
          <t>Unité d'exploitation (Zone réservée CACIB)</t>
        </is>
      </c>
      <c r="G244" s="309" t="inlineStr">
        <is>
          <t>Operating unit in the risk taker (Zone reserved for CACIB)</t>
        </is>
      </c>
      <c r="H244" s="1493">
        <f>"RPAD( "&amp;SUBSTITUTE(SUBSTITUTE(E244," ","_"),".","_")&amp;","&amp;W244&amp;",' '); -- "&amp;E244</f>
        <v/>
      </c>
      <c r="I244" s="241" t="inlineStr">
        <is>
          <t>Permet d'indiquer l'unité d'exploitation</t>
        </is>
      </c>
      <c r="J244" s="309" t="inlineStr">
        <is>
          <t>Allows to indicate operating unit in the risk taker entity</t>
        </is>
      </c>
      <c r="K244" s="370" t="inlineStr">
        <is>
          <t>ND</t>
        </is>
      </c>
      <c r="L244" s="371" t="inlineStr">
        <is>
          <t>ND</t>
        </is>
      </c>
      <c r="M244" s="1420" t="inlineStr">
        <is>
          <t>UniteExploit</t>
        </is>
      </c>
      <c r="N244" s="257" t="inlineStr">
        <is>
          <t>Obligatoire sous conditions</t>
        </is>
      </c>
      <c r="O244" s="310" t="inlineStr">
        <is>
          <t>Mandatory under conditions</t>
        </is>
      </c>
      <c r="P244" s="994" t="inlineStr">
        <is>
          <t>NA</t>
        </is>
      </c>
      <c r="Q244" s="269" t="inlineStr">
        <is>
          <t>NA</t>
        </is>
      </c>
      <c r="R244" s="241" t="inlineStr">
        <is>
          <t>Réservé CACIB - laisser à vide si non concerné</t>
        </is>
      </c>
      <c r="S244" s="233" t="inlineStr">
        <is>
          <t>CACIB Reserved - leave empty if not concerned</t>
        </is>
      </c>
      <c r="T244" s="313" t="inlineStr">
        <is>
          <t>ALPHA</t>
        </is>
      </c>
      <c r="U244" s="237" t="inlineStr">
        <is>
          <t>NA</t>
        </is>
      </c>
      <c r="V244" s="238" t="inlineStr">
        <is>
          <t>NA</t>
        </is>
      </c>
      <c r="W244" s="257" t="n">
        <v>4</v>
      </c>
      <c r="X244" s="945" t="inlineStr">
        <is>
          <t>NA</t>
        </is>
      </c>
      <c r="Y244" s="237" t="inlineStr">
        <is>
          <t>40</t>
        </is>
      </c>
      <c r="Z244" s="237" t="inlineStr">
        <is>
          <t>NA</t>
        </is>
      </c>
      <c r="AA244" s="270" t="inlineStr">
        <is>
          <t>NA</t>
        </is>
      </c>
      <c r="AB244" s="1286" t="inlineStr">
        <is>
          <t>CALCULS PRUDENTIELS</t>
        </is>
      </c>
      <c r="AC244" s="231" t="inlineStr">
        <is>
          <t>ND</t>
        </is>
      </c>
      <c r="AD244" s="257" t="inlineStr">
        <is>
          <t>N</t>
        </is>
      </c>
      <c r="AE244" s="971" t="inlineStr">
        <is>
          <t>EQU101
EQU201
ISS100
ISS200 et 300
TRE100
TRE2 à 4XX hors 203,205,206,207
TRE203, 205, 207
TRE206
TRE5XX
SIG
VAR*
INT</t>
        </is>
      </c>
      <c r="AF244" s="257" t="inlineStr">
        <is>
          <t>NA</t>
        </is>
      </c>
      <c r="AG244" s="258" t="inlineStr">
        <is>
          <t>NA</t>
        </is>
      </c>
      <c r="AH244" s="89" t="n"/>
      <c r="AI244" s="323" t="inlineStr">
        <is>
          <t>La donnée est obligatoire si le Type d'enregistrement [0.6 (P1)] est différent de 'C1' et de 'Z9', et que, dans la table START "TA 0990 KVAPPBK", KVBAPPID commence par 'CACI' pour le KVAPPBK valant la concaténation "Entité porteuse de risque" [0.2 (P1)] et "Application source" [0.3 (P1)]</t>
        </is>
      </c>
      <c r="AJ244" s="317" t="inlineStr">
        <is>
          <t>The data is mandatory if the record type [0.6 (P1)] is different from 'C1' and 'Z9', and in the START table "TA 0990 KVAPPBK", KVBAPPID starts with 'CACI' for the KVAPPBK with the concatenation 'Risk taker entity' [0.2 (P1)]and 'Source application' [0.3 (P1)]</t>
        </is>
      </c>
      <c r="AK244" s="257" t="n"/>
      <c r="AL244" s="258" t="inlineStr">
        <is>
          <t>EN0091</t>
        </is>
      </c>
      <c r="AM244" s="324" t="inlineStr">
        <is>
          <t>Si renseignée, et si le type d'enregistrement [0.6 (P1] est différent de 'C1' et de 'Z9' :
1/ Si dans la table START "TA 0990 KVAPPBK", KVBAPPID commence par 'CACI' pour le KVAPPBK valant la concaténation "Entité porteuse de risque" [0.2 (P1)] et "Application source" [0.3 (P1)], alors, dans la table START "TA TMTAKOBU", la concaténation 'CA-CIB' + un blanc + [0.9 (P1)] + "_" + [0.2 (P1)] doit être présente dans le champ TMNOMOBU.
2/ Sinon, dans la table START "TA TMTAKOBU", la concaténation des 9 premiers caractères du BAPPID + '_' + 0.9 (P1)] doit être présente dans le champ TMNOMOBU.</t>
        </is>
      </c>
      <c r="AN244" s="317" t="inlineStr">
        <is>
          <t>If filled in, and the type of record [0.6 (P1] is different from 'C1' and 'Z9':
1/ If in the START table "TA 0990 KVAPPBK", KVBAPPID starts with "CACI" for the KVAPPBK with the concatenation "risk carrying Entity" [0.2 (P1)] and "Source application" [0.3 (P1)], then in the START table "TA TMTAKOBU", the concatenation 'CA-CIB' + a blank + [0.9 (P1)] + "_" + [0.2 (P1)] must be present in the TMNOMOBU field.
2/ Otherwise, in the START table "TA TMTAKOBU", the concatenation of the first 9 characters of the BAPPID + '_' + [0.9 (P1)] must be present in the TMNOMOBU field.</t>
        </is>
      </c>
      <c r="AO244" s="257" t="n"/>
      <c r="AP244" s="258" t="inlineStr">
        <is>
          <t>EN0092</t>
        </is>
      </c>
      <c r="AQ244" s="318" t="n"/>
      <c r="AR244" s="317" t="n"/>
      <c r="AS244" s="257" t="n"/>
      <c r="AT244" s="258" t="n"/>
      <c r="AU244" s="318" t="n"/>
      <c r="AV244" s="317" t="n"/>
      <c r="AW244" s="257" t="n"/>
      <c r="AX244" s="258" t="n"/>
      <c r="AY244" s="318" t="n"/>
      <c r="AZ244" s="317" t="n"/>
      <c r="BA244" s="257" t="n"/>
      <c r="BB244" s="258" t="n"/>
      <c r="BC244" s="316" t="n"/>
      <c r="BD244" s="317" t="n"/>
      <c r="BE244" s="257" t="n"/>
      <c r="BF244" s="258" t="n"/>
      <c r="BG244" s="89" t="n"/>
      <c r="BH2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44">
        <f>_xlfn.LET(r,ROW(),oc,INDEX($A:$A,r),cv,TRIM(INDEX($Y:$Y,r)&amp;""),IF(oc&lt;&gt;"P1","",IF(cv="45","V45 - novo, nao alimentado pelo spool atual","V44 - alimentado pelo spool atual")))</f>
        <v/>
      </c>
    </row>
    <row r="245" ht="54" customFormat="1" customHeight="1" s="57">
      <c r="A245" s="325" t="inlineStr">
        <is>
          <t>P1</t>
        </is>
      </c>
      <c r="B245" s="326" t="n">
        <v>10</v>
      </c>
      <c r="C245" s="284" t="inlineStr">
        <is>
          <t>NA</t>
        </is>
      </c>
      <c r="D245" s="284" t="inlineStr">
        <is>
          <t>NA</t>
        </is>
      </c>
      <c r="E245" s="326" t="inlineStr">
        <is>
          <t>0.99 (P1)</t>
        </is>
      </c>
      <c r="F245" s="327" t="inlineStr">
        <is>
          <t>Filler</t>
        </is>
      </c>
      <c r="G245" s="327" t="inlineStr">
        <is>
          <t>Filler</t>
        </is>
      </c>
      <c r="H245" s="1493">
        <f>"RPAD( "&amp;SUBSTITUTE(SUBSTITUTE(E245," ","_"),".","_")&amp;","&amp;W245&amp;",' '); -- "&amp;E245</f>
        <v/>
      </c>
      <c r="I245" s="247" t="inlineStr">
        <is>
          <t>Zone libre</t>
        </is>
      </c>
      <c r="J245" s="327" t="inlineStr">
        <is>
          <t>Free zone</t>
        </is>
      </c>
      <c r="K245" s="388" t="inlineStr">
        <is>
          <t>NA</t>
        </is>
      </c>
      <c r="L245" s="388" t="inlineStr">
        <is>
          <t>NA</t>
        </is>
      </c>
      <c r="M245" s="1421" t="inlineStr">
        <is>
          <t>ZoneLibre0</t>
        </is>
      </c>
      <c r="N245" s="284" t="inlineStr">
        <is>
          <t>NA</t>
        </is>
      </c>
      <c r="O245" s="244" t="inlineStr">
        <is>
          <t>NA</t>
        </is>
      </c>
      <c r="P245" s="284" t="inlineStr">
        <is>
          <t>NA</t>
        </is>
      </c>
      <c r="Q245" s="284" t="inlineStr">
        <is>
          <t>NA</t>
        </is>
      </c>
      <c r="R245" s="412" t="inlineStr">
        <is>
          <t>Laisser à vide</t>
        </is>
      </c>
      <c r="S245" s="247" t="inlineStr">
        <is>
          <t>Leave empty</t>
        </is>
      </c>
      <c r="T245" s="326" t="inlineStr">
        <is>
          <t>ALPHA</t>
        </is>
      </c>
      <c r="U245" s="248" t="inlineStr">
        <is>
          <t>NA</t>
        </is>
      </c>
      <c r="V245" s="248" t="inlineStr">
        <is>
          <t>NA</t>
        </is>
      </c>
      <c r="W245" s="284" t="n">
        <v>3</v>
      </c>
      <c r="X245" s="244" t="inlineStr">
        <is>
          <t>NA</t>
        </is>
      </c>
      <c r="Y245" s="248" t="inlineStr">
        <is>
          <t>NA</t>
        </is>
      </c>
      <c r="Z245" s="248" t="inlineStr">
        <is>
          <t>NA</t>
        </is>
      </c>
      <c r="AA245" s="248" t="inlineStr">
        <is>
          <t>NA</t>
        </is>
      </c>
      <c r="AB245" s="284" t="inlineStr">
        <is>
          <t>NA</t>
        </is>
      </c>
      <c r="AC245" s="244" t="inlineStr">
        <is>
          <t>NA</t>
        </is>
      </c>
      <c r="AD245" s="284" t="inlineStr">
        <is>
          <t>N</t>
        </is>
      </c>
      <c r="AE245" s="284" t="inlineStr">
        <is>
          <t>NA</t>
        </is>
      </c>
      <c r="AF245" s="284" t="inlineStr">
        <is>
          <t>NA</t>
        </is>
      </c>
      <c r="AG245" s="285" t="inlineStr">
        <is>
          <t>NA</t>
        </is>
      </c>
      <c r="AH245" s="89" t="n"/>
      <c r="AI245" s="330" t="n"/>
      <c r="AJ245" s="331" t="n"/>
      <c r="AK245" s="284" t="n"/>
      <c r="AL245" s="285" t="n"/>
      <c r="AM245" s="331" t="n"/>
      <c r="AN245" s="331" t="n"/>
      <c r="AO245" s="284" t="n"/>
      <c r="AP245" s="285" t="n"/>
      <c r="AQ245" s="331" t="n"/>
      <c r="AR245" s="331" t="n"/>
      <c r="AS245" s="284" t="n"/>
      <c r="AT245" s="285" t="n"/>
      <c r="AU245" s="331" t="n"/>
      <c r="AV245" s="331" t="n"/>
      <c r="AW245" s="284" t="n"/>
      <c r="AX245" s="285" t="n"/>
      <c r="AY245" s="331" t="n"/>
      <c r="AZ245" s="331" t="n"/>
      <c r="BA245" s="284" t="n"/>
      <c r="BB245" s="285" t="n"/>
      <c r="BC245" s="330" t="n"/>
      <c r="BD245" s="331" t="n"/>
      <c r="BE245" s="284" t="n"/>
      <c r="BF245" s="285" t="n"/>
      <c r="BG245" s="89" t="n"/>
      <c r="BH2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45">
        <f>_xlfn.LET(r,ROW(),oc,INDEX($A:$A,r),cv,TRIM(INDEX($Y:$Y,r)&amp;""),IF(oc&lt;&gt;"P1","",IF(cv="45","V45 - novo, nao alimentado pelo spool atual","V44 - alimentado pelo spool atual")))</f>
        <v/>
      </c>
    </row>
    <row r="246" ht="54" customFormat="1" customHeight="1" s="91">
      <c r="A246" s="306" t="inlineStr">
        <is>
          <t>P1</t>
        </is>
      </c>
      <c r="B246" s="307" t="n">
        <v>11</v>
      </c>
      <c r="C246" s="269" t="inlineStr">
        <is>
          <t>16 - Identification Tiers</t>
        </is>
      </c>
      <c r="D246" s="236" t="inlineStr">
        <is>
          <t>16 - Third party identification</t>
        </is>
      </c>
      <c r="E246" s="307" t="inlineStr">
        <is>
          <t>1.1 (P1)</t>
        </is>
      </c>
      <c r="F246" s="308" t="inlineStr">
        <is>
          <t>Identifiant local du tiers en risque</t>
        </is>
      </c>
      <c r="G246" s="309" t="inlineStr">
        <is>
          <t>Local identifier for the counterparty</t>
        </is>
      </c>
      <c r="H246" s="1493">
        <f>"RPAD( "&amp;SUBSTITUTE(SUBSTITUTE(E246," ","_"),".","_")&amp;","&amp;W246&amp;",' '); -- "&amp;E246</f>
        <v/>
      </c>
      <c r="I246" s="308" t="inlineStr">
        <is>
          <t>Identifiant du tiers dans le système utilisé pour générer le flux</t>
        </is>
      </c>
      <c r="J246" s="309" t="inlineStr">
        <is>
          <t>ID of external counterparty in the system used to generate the flow</t>
        </is>
      </c>
      <c r="K246" s="269" t="inlineStr">
        <is>
          <t>ND</t>
        </is>
      </c>
      <c r="L246" s="310" t="inlineStr">
        <is>
          <t>ND</t>
        </is>
      </c>
      <c r="M246" s="1423" t="inlineStr">
        <is>
          <t>IdLocalTiersRisq</t>
        </is>
      </c>
      <c r="N246" s="257" t="inlineStr">
        <is>
          <t>Obligatoire</t>
        </is>
      </c>
      <c r="O246" s="236" t="inlineStr">
        <is>
          <t>Mandatory</t>
        </is>
      </c>
      <c r="P246" s="269" t="inlineStr">
        <is>
          <t>NA</t>
        </is>
      </c>
      <c r="Q246" s="269" t="inlineStr">
        <is>
          <t>NA</t>
        </is>
      </c>
      <c r="R246" s="232" t="inlineStr">
        <is>
          <t>Vérification présence d'un enregistrement de type C1 avec même identifiant dans le lot (Sauf entité émettrice d'un flux FTCA)
Dans le cas de détention de titres, le tiers en risque correspond à l'émetteur du titre</t>
        </is>
      </c>
      <c r="S246" s="233" t="inlineStr">
        <is>
          <t>Check that there is a C1-type record with the same identifier in the batch (except entity issuing a FTCA flow)
In the case of holdings of securities, the third party in risk corresponds to the issuer of the security</t>
        </is>
      </c>
      <c r="T246" s="313" t="inlineStr">
        <is>
          <t>ALPHA</t>
        </is>
      </c>
      <c r="U246" s="237" t="inlineStr">
        <is>
          <t>NA</t>
        </is>
      </c>
      <c r="V246" s="238" t="inlineStr">
        <is>
          <t>NA</t>
        </is>
      </c>
      <c r="W246" s="257" t="n">
        <v>20</v>
      </c>
      <c r="X246" s="945" t="inlineStr">
        <is>
          <t>NA</t>
        </is>
      </c>
      <c r="Y246" s="237" t="inlineStr">
        <is>
          <t>40</t>
        </is>
      </c>
      <c r="Z246" s="237" t="inlineStr">
        <is>
          <t>NA</t>
        </is>
      </c>
      <c r="AA246" s="978" t="inlineStr">
        <is>
          <t>NA</t>
        </is>
      </c>
      <c r="AB246" s="994" t="inlineStr">
        <is>
          <t>CONGLOMERATS, DEI, NSFR, OMP, PALMA, SRB VALUATION</t>
        </is>
      </c>
      <c r="AC246" s="231" t="inlineStr">
        <is>
          <t>ND</t>
        </is>
      </c>
      <c r="AD246" s="257" t="inlineStr">
        <is>
          <t>N</t>
        </is>
      </c>
      <c r="AE246" s="971" t="inlineStr">
        <is>
          <t>EQU101
EQU201
ISS100
ISS200 et 300
TRE100
TRE2 à 4XX hors 203,205,206,207
TRE203, 205, 207
TRE206
TRE5XX
SIG
VAR*
INT</t>
        </is>
      </c>
      <c r="AF246" s="257" t="inlineStr">
        <is>
          <t>NA</t>
        </is>
      </c>
      <c r="AG246" s="258" t="inlineStr">
        <is>
          <t>NA</t>
        </is>
      </c>
      <c r="AH246" s="89" t="n"/>
      <c r="AI246" s="316" t="inlineStr">
        <is>
          <t>La donnée est obligatoire</t>
        </is>
      </c>
      <c r="AJ246" s="317" t="inlineStr">
        <is>
          <t>The data is mandatory</t>
        </is>
      </c>
      <c r="AK246" s="257" t="n">
        <v>7</v>
      </c>
      <c r="AL246" s="335" t="inlineStr">
        <is>
          <t>TPG0001</t>
        </is>
      </c>
      <c r="AM246" s="318" t="n"/>
      <c r="AN246" s="317" t="n"/>
      <c r="AO246" s="257" t="n"/>
      <c r="AP246" s="258" t="n"/>
      <c r="AQ246" s="318" t="n"/>
      <c r="AR246" s="317" t="n"/>
      <c r="AS246" s="257" t="n"/>
      <c r="AT246" s="258" t="n"/>
      <c r="AU246" s="318" t="n"/>
      <c r="AV246" s="317" t="n"/>
      <c r="AW246" s="257" t="n"/>
      <c r="AX246" s="258" t="n"/>
      <c r="AY246" s="413" t="inlineStr">
        <is>
          <t>La donnée doit être présente dans TIGRE
---
L'Identifiant local du tiers en risque doit etre identique à l'Identifiant local du tiers en risque du F2 lié</t>
        </is>
      </c>
      <c r="AZ246" s="317" t="inlineStr">
        <is>
          <t>Data must be present in TIGRE
---
The local ID of the third party in risk must be identical to the local ID of the third party in risk of the linked F2</t>
        </is>
      </c>
      <c r="BA246" s="414" t="inlineStr">
        <is>
          <t>7
6</t>
        </is>
      </c>
      <c r="BB246" s="352" t="inlineStr">
        <is>
          <t>TIG0002
TC0262</t>
        </is>
      </c>
      <c r="BC246" s="316" t="n"/>
      <c r="BD246" s="317" t="n"/>
      <c r="BE246" s="257" t="n"/>
      <c r="BF246" s="258" t="n"/>
      <c r="BG246" s="89" t="n"/>
      <c r="BH2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46">
        <f>_xlfn.LET(r,ROW(),oc,INDEX($A:$A,r),cv,TRIM(INDEX($Y:$Y,r)&amp;""),IF(oc&lt;&gt;"P1","",IF(cv="45","V45 - novo, nao alimentado pelo spool atual","V44 - alimentado pelo spool atual")))</f>
        <v/>
      </c>
    </row>
    <row r="247" ht="54" customFormat="1" customHeight="1" s="91">
      <c r="A247" s="306" t="inlineStr">
        <is>
          <t>P1</t>
        </is>
      </c>
      <c r="B247" s="307" t="n">
        <v>12</v>
      </c>
      <c r="C247" s="269" t="inlineStr">
        <is>
          <t>16 - Identification Tiers</t>
        </is>
      </c>
      <c r="D247" s="236" t="inlineStr">
        <is>
          <t>16 - Third party identification</t>
        </is>
      </c>
      <c r="E247" s="307" t="inlineStr">
        <is>
          <t>1.2 (P1)</t>
        </is>
      </c>
      <c r="F247" s="342" t="inlineStr">
        <is>
          <t>Identifiant central du tiers en risque</t>
        </is>
      </c>
      <c r="G247" s="309" t="inlineStr">
        <is>
          <t>Central identifier for the counterparty</t>
        </is>
      </c>
      <c r="H247" s="1493">
        <f>"RPAD( "&amp;SUBSTITUTE(SUBSTITUTE(E247," ","_"),".","_")&amp;","&amp;W247&amp;",' '); -- "&amp;E247</f>
        <v/>
      </c>
      <c r="I247" s="241" t="inlineStr">
        <is>
          <t>Identifiant du tiers dans le système central DRG</t>
        </is>
      </c>
      <c r="J247" s="309" t="inlineStr">
        <is>
          <t>ID of the external counterparty in the Group Risk Management Division IT System</t>
        </is>
      </c>
      <c r="K247" s="370" t="inlineStr">
        <is>
          <t>ND</t>
        </is>
      </c>
      <c r="L247" s="371" t="inlineStr">
        <is>
          <t>ND</t>
        </is>
      </c>
      <c r="M247" s="1420" t="inlineStr">
        <is>
          <t>cdCentralTiers</t>
        </is>
      </c>
      <c r="N247" s="257" t="inlineStr">
        <is>
          <t>Facultatif</t>
        </is>
      </c>
      <c r="O247" s="310" t="inlineStr">
        <is>
          <t>Optional</t>
        </is>
      </c>
      <c r="P247" s="269" t="inlineStr">
        <is>
          <t>NA</t>
        </is>
      </c>
      <c r="Q247" s="269" t="inlineStr">
        <is>
          <t>NA</t>
        </is>
      </c>
      <c r="R247" s="241" t="inlineStr">
        <is>
          <t>Identifiant central fourni par la DRG dans le fichier mensuel Référentiel ‘Tiers&amp;Groupes' (DTG) transmis aux entités émettrices du flux
Le tiers en risque correspond à l'émetteur du titre pour les types de risques (EQU101, EQU201, ISS100, ISS200 et 300 et TRE100)
Obligatoire pour une entité émettrice d'un flux FTCA</t>
        </is>
      </c>
      <c r="S247" s="233" t="inlineStr">
        <is>
          <t>Central identifier provided by the DRG in the monthly "Third Party&amp;Group" repository (DTG) file sent to the flow issuing
The third party in risk corresponds to the issuer of the security for the risk types (EQU101, EQU201, ISS100, ISS200 and 300 and TRE100)
Mandatory for an entity issuing an FTCA flow</t>
        </is>
      </c>
      <c r="T247" s="313" t="inlineStr">
        <is>
          <t>ALPHA</t>
        </is>
      </c>
      <c r="U247" s="237" t="inlineStr">
        <is>
          <t>NA</t>
        </is>
      </c>
      <c r="V247" s="238" t="inlineStr">
        <is>
          <t>NA</t>
        </is>
      </c>
      <c r="W247" s="257" t="n">
        <v>10</v>
      </c>
      <c r="X247" s="945" t="inlineStr">
        <is>
          <t>NA</t>
        </is>
      </c>
      <c r="Y247" s="237" t="inlineStr">
        <is>
          <t>40</t>
        </is>
      </c>
      <c r="Z247" s="237" t="inlineStr">
        <is>
          <t>NA</t>
        </is>
      </c>
      <c r="AA247" s="978" t="inlineStr">
        <is>
          <t>45.00</t>
        </is>
      </c>
      <c r="AB247" s="994" t="inlineStr">
        <is>
          <t>ALMM, ASTRE, CONGLOMERATS, NPE, NSFR, RISQUE PHYSIQUE, RISQUES SYSTEMIQUES</t>
        </is>
      </c>
      <c r="AC247" s="231" t="inlineStr">
        <is>
          <t>ND</t>
        </is>
      </c>
      <c r="AD247" s="257" t="inlineStr">
        <is>
          <t>N</t>
        </is>
      </c>
      <c r="AE247" s="971" t="inlineStr">
        <is>
          <t>EQU101
EQU201
ISS100
ISS200 et 300
TRE100
TRE2 à 4XX hors 203,205,206,207
TRE203, 205, 207
TRE206
TRE5XX
SIG
VAR*
INT</t>
        </is>
      </c>
      <c r="AF247" s="257" t="inlineStr">
        <is>
          <t>NA</t>
        </is>
      </c>
      <c r="AG247" s="258" t="inlineStr">
        <is>
          <t>NA</t>
        </is>
      </c>
      <c r="AH247" s="89" t="n"/>
      <c r="AI247" s="316" t="n"/>
      <c r="AJ247" s="317" t="n"/>
      <c r="AK247" s="257" t="n"/>
      <c r="AL247" s="258" t="n"/>
      <c r="AM247" s="318" t="n"/>
      <c r="AN247" s="317" t="n"/>
      <c r="AO247" s="257" t="n"/>
      <c r="AP247" s="319" t="n"/>
      <c r="AQ247" s="318" t="n"/>
      <c r="AR247" s="317" t="n"/>
      <c r="AS247" s="257" t="n"/>
      <c r="AT247" s="258" t="n"/>
      <c r="AU247" s="318" t="n"/>
      <c r="AV247" s="317" t="n"/>
      <c r="AW247" s="257" t="n"/>
      <c r="AX247" s="258" t="n"/>
      <c r="AY247" s="1240" t="inlineStr">
        <is>
          <t>S'il est renseigné, l'identifiant doit correspondre à un enregistrement dans l'objet associé, indépendamment de l'entité
---
La donnée doit être présente dans TIGRE
---
Le couple identifiant local / central (1.1 (P1) et 1.2 (P1)) doit exister dans TIGRE</t>
        </is>
      </c>
      <c r="AZ247" s="931" t="inlineStr">
        <is>
          <t>If it is filled in, the identifier must correspond to a record in the associated object, regardless of the entity
---
Data must be present in TIGRE
---
The local/central identifier pair (1.1 (P1) and 1.2 (P1)) must exist in TIGRE</t>
        </is>
      </c>
      <c r="BA247" s="1239" t="inlineStr">
        <is>
          <t>7
6
6</t>
        </is>
      </c>
      <c r="BB247" s="1182" t="inlineStr">
        <is>
          <t>TI0003
TIG0002
TIG0004</t>
        </is>
      </c>
      <c r="BC247" s="316" t="n"/>
      <c r="BD247" s="317" t="n"/>
      <c r="BE247" s="257" t="n"/>
      <c r="BF247" s="258" t="n"/>
      <c r="BG247" s="89" t="n"/>
      <c r="BH2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47">
        <f>_xlfn.LET(r,ROW(),oc,INDEX($A:$A,r),cv,TRIM(INDEX($Y:$Y,r)&amp;""),IF(oc&lt;&gt;"P1","",IF(cv="45","V45 - novo, nao alimentado pelo spool atual","V44 - alimentado pelo spool atual")))</f>
        <v/>
      </c>
    </row>
    <row r="248" ht="54" customFormat="1" customHeight="1" s="57">
      <c r="A248" s="325" t="inlineStr">
        <is>
          <t>P1</t>
        </is>
      </c>
      <c r="B248" s="326" t="n">
        <v>13</v>
      </c>
      <c r="C248" s="284" t="inlineStr">
        <is>
          <t>NA</t>
        </is>
      </c>
      <c r="D248" s="244" t="inlineStr">
        <is>
          <t>NA</t>
        </is>
      </c>
      <c r="E248" s="326" t="inlineStr">
        <is>
          <t>1.4 (P1)</t>
        </is>
      </c>
      <c r="F248" s="327" t="inlineStr">
        <is>
          <t xml:space="preserve">Référence de l'Autorisation Mise En Place </t>
        </is>
      </c>
      <c r="G248" s="327" t="inlineStr">
        <is>
          <t xml:space="preserve">Facility reference </t>
        </is>
      </c>
      <c r="H248" s="1493">
        <f>"RPAD( "&amp;SUBSTITUTE(SUBSTITUTE(E248," ","_"),".","_")&amp;","&amp;W248&amp;",' '); -- "&amp;E248</f>
        <v/>
      </c>
      <c r="I248" s="412" t="inlineStr">
        <is>
          <t>Correspond à la référence unique de l'autorisation mise en place dans le système émetteur</t>
        </is>
      </c>
      <c r="J248" s="327" t="inlineStr">
        <is>
          <t xml:space="preserve">Reference code of Arranged facility </t>
        </is>
      </c>
      <c r="K248" s="388" t="inlineStr">
        <is>
          <t>NA</t>
        </is>
      </c>
      <c r="L248" s="388" t="inlineStr">
        <is>
          <t>NA</t>
        </is>
      </c>
      <c r="M248" s="1421" t="inlineStr">
        <is>
          <t>IdAuto</t>
        </is>
      </c>
      <c r="N248" s="244" t="inlineStr">
        <is>
          <t>NA</t>
        </is>
      </c>
      <c r="O248" s="244" t="inlineStr">
        <is>
          <t>NA</t>
        </is>
      </c>
      <c r="P248" s="284" t="inlineStr">
        <is>
          <t>NA</t>
        </is>
      </c>
      <c r="Q248" s="284" t="inlineStr">
        <is>
          <t>NA</t>
        </is>
      </c>
      <c r="R248" s="247" t="inlineStr">
        <is>
          <t>Laisser à vide</t>
        </is>
      </c>
      <c r="S248" s="247" t="inlineStr">
        <is>
          <t>Leave empty</t>
        </is>
      </c>
      <c r="T248" s="326" t="inlineStr">
        <is>
          <t>ALPHA</t>
        </is>
      </c>
      <c r="U248" s="248" t="inlineStr">
        <is>
          <t>NA</t>
        </is>
      </c>
      <c r="V248" s="248" t="inlineStr">
        <is>
          <t>NA</t>
        </is>
      </c>
      <c r="W248" s="284" t="n">
        <v>30</v>
      </c>
      <c r="X248" s="244" t="inlineStr">
        <is>
          <t>NA</t>
        </is>
      </c>
      <c r="Y248" s="248" t="inlineStr">
        <is>
          <t>NA</t>
        </is>
      </c>
      <c r="Z248" s="248" t="n">
        <v>43</v>
      </c>
      <c r="AA248" s="248" t="inlineStr">
        <is>
          <t>NA</t>
        </is>
      </c>
      <c r="AB248" s="284" t="inlineStr">
        <is>
          <t>NA</t>
        </is>
      </c>
      <c r="AC248" s="244" t="inlineStr">
        <is>
          <t>NA</t>
        </is>
      </c>
      <c r="AD248" s="284" t="inlineStr">
        <is>
          <t>N</t>
        </is>
      </c>
      <c r="AE248" s="284" t="inlineStr">
        <is>
          <t>NA</t>
        </is>
      </c>
      <c r="AF248" s="284" t="inlineStr">
        <is>
          <t>NA</t>
        </is>
      </c>
      <c r="AG248" s="285" t="inlineStr">
        <is>
          <t>NA</t>
        </is>
      </c>
      <c r="AH248" s="89" t="n"/>
      <c r="AI248" s="330" t="n"/>
      <c r="AJ248" s="331" t="n"/>
      <c r="AK248" s="284" t="n"/>
      <c r="AL248" s="285" t="n"/>
      <c r="AM248" s="331" t="n"/>
      <c r="AN248" s="331" t="n"/>
      <c r="AO248" s="284" t="n"/>
      <c r="AP248" s="285" t="n"/>
      <c r="AQ248" s="331" t="n"/>
      <c r="AR248" s="331" t="n"/>
      <c r="AS248" s="284" t="n"/>
      <c r="AT248" s="285" t="n"/>
      <c r="AU248" s="331" t="n"/>
      <c r="AV248" s="331" t="n"/>
      <c r="AW248" s="284" t="n"/>
      <c r="AX248" s="285" t="n"/>
      <c r="AY248" s="331" t="n"/>
      <c r="AZ248" s="331" t="n"/>
      <c r="BA248" s="284" t="n"/>
      <c r="BB248" s="285" t="n"/>
      <c r="BC248" s="330" t="n"/>
      <c r="BD248" s="331" t="n"/>
      <c r="BE248" s="284" t="n"/>
      <c r="BF248" s="285" t="n"/>
      <c r="BG248" s="89" t="n"/>
      <c r="BH2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48">
        <f>_xlfn.LET(r,ROW(),oc,INDEX($A:$A,r),cv,TRIM(INDEX($Y:$Y,r)&amp;""),IF(oc&lt;&gt;"P1","",IF(cv="45","V45 - novo, nao alimentado pelo spool atual","V44 - alimentado pelo spool atual")))</f>
        <v/>
      </c>
    </row>
    <row r="249" ht="54" customFormat="1" customHeight="1" s="91">
      <c r="A249" s="306" t="inlineStr">
        <is>
          <t>P1</t>
        </is>
      </c>
      <c r="B249" s="307" t="n">
        <v>14</v>
      </c>
      <c r="C249" s="269" t="inlineStr">
        <is>
          <t>02 - Caractéristiques d'identification fonctionnelles</t>
        </is>
      </c>
      <c r="D249" s="236" t="inlineStr">
        <is>
          <t>02 - Functional identification characteristics</t>
        </is>
      </c>
      <c r="E249" s="307" t="inlineStr">
        <is>
          <t>1.6 (P1)</t>
        </is>
      </c>
      <c r="F249" s="308" t="inlineStr">
        <is>
          <t>Référence de la ligne de détail de l'Autorisation Mise En Place</t>
        </is>
      </c>
      <c r="G249" s="309" t="inlineStr">
        <is>
          <t>Facility detail line reference</t>
        </is>
      </c>
      <c r="H249" s="1493">
        <f>"RPAD( "&amp;SUBSTITUTE(SUBSTITUTE(E249," ","_"),".","_")&amp;","&amp;W249&amp;",' '); -- "&amp;E249</f>
        <v/>
      </c>
      <c r="I249" s="241" t="inlineStr">
        <is>
          <t>Référence de la ligne de détail de l'Autorisation Mise En Place</t>
        </is>
      </c>
      <c r="J249" s="309" t="inlineStr">
        <is>
          <t>Reference code of the line of the Arranged facility</t>
        </is>
      </c>
      <c r="K249" s="370" t="inlineStr">
        <is>
          <t>ND</t>
        </is>
      </c>
      <c r="L249" s="371" t="inlineStr">
        <is>
          <t>ND</t>
        </is>
      </c>
      <c r="M249" s="1420" t="inlineStr">
        <is>
          <t>IdLigneAuto</t>
        </is>
      </c>
      <c r="N249" s="257" t="inlineStr">
        <is>
          <t>Facultatif</t>
        </is>
      </c>
      <c r="O249" s="236" t="inlineStr">
        <is>
          <t>Optional</t>
        </is>
      </c>
      <c r="P249" s="269" t="inlineStr">
        <is>
          <t>NA</t>
        </is>
      </c>
      <c r="Q249" s="269" t="inlineStr">
        <is>
          <t>NA</t>
        </is>
      </c>
      <c r="R249" s="242" t="inlineStr">
        <is>
          <t>A renseigner si l'engagement est lié à une autorisation et donc à une ligne de détail</t>
        </is>
      </c>
      <c r="S249" s="233" t="inlineStr">
        <is>
          <t>To be completed if the funds in use is linked to an authorization and therefore to a detail line</t>
        </is>
      </c>
      <c r="T249" s="313" t="inlineStr">
        <is>
          <t>ALPHA</t>
        </is>
      </c>
      <c r="U249" s="237" t="inlineStr">
        <is>
          <t>NA</t>
        </is>
      </c>
      <c r="V249" s="238" t="inlineStr">
        <is>
          <t>NA</t>
        </is>
      </c>
      <c r="W249" s="257" t="n">
        <v>30</v>
      </c>
      <c r="X249" s="945" t="inlineStr">
        <is>
          <t>NA</t>
        </is>
      </c>
      <c r="Y249" s="237" t="inlineStr">
        <is>
          <t>40</t>
        </is>
      </c>
      <c r="Z249" s="237" t="inlineStr">
        <is>
          <t>NA</t>
        </is>
      </c>
      <c r="AA249" s="978" t="inlineStr">
        <is>
          <t>NA</t>
        </is>
      </c>
      <c r="AB249" s="994" t="inlineStr">
        <is>
          <t>ASTRE, CALCULS PRUDENTIELS, CONGLOMERATS, NPE, NSFR, RISQUES SYSTEMIQUES</t>
        </is>
      </c>
      <c r="AC249" s="231" t="inlineStr">
        <is>
          <t>ND</t>
        </is>
      </c>
      <c r="AD249" s="257" t="inlineStr">
        <is>
          <t>N</t>
        </is>
      </c>
      <c r="AE249" s="971" t="inlineStr">
        <is>
          <t>TRE2 à 4XX hors 203,205,206,207
TRE203, 205, 207
TRE206
TRE5XX
SIG
VAR*
INT</t>
        </is>
      </c>
      <c r="AF249" s="257" t="inlineStr">
        <is>
          <t>NA</t>
        </is>
      </c>
      <c r="AG249" s="258" t="inlineStr">
        <is>
          <t>NA</t>
        </is>
      </c>
      <c r="AH249" s="89" t="n"/>
      <c r="AI249" s="316" t="n"/>
      <c r="AJ249" s="317" t="n"/>
      <c r="AK249" s="257" t="n"/>
      <c r="AL249" s="258" t="n"/>
      <c r="AM249" s="318" t="n"/>
      <c r="AN249" s="317" t="n"/>
      <c r="AO249" s="257" t="n"/>
      <c r="AP249" s="319" t="n"/>
      <c r="AQ249" s="318" t="n"/>
      <c r="AR249" s="317" t="n"/>
      <c r="AS249" s="257" t="n"/>
      <c r="AT249" s="258" t="n"/>
      <c r="AU249" s="318" t="n"/>
      <c r="AV249" s="317" t="n"/>
      <c r="AW249" s="257" t="n"/>
      <c r="AX249" s="258" t="n"/>
      <c r="AY249" s="394" t="inlineStr">
        <is>
          <t>La ligne d'autorisation associée au P1 doit exister dans le flux F2</t>
        </is>
      </c>
      <c r="AZ249" s="317" t="inlineStr">
        <is>
          <t>The authorization line associated with P1 must exist in the flow F2</t>
        </is>
      </c>
      <c r="BA249" s="257" t="n">
        <v>7</v>
      </c>
      <c r="BB249" s="395" t="inlineStr">
        <is>
          <t>TI0123</t>
        </is>
      </c>
      <c r="BC249" s="316" t="n"/>
      <c r="BD249" s="317" t="n"/>
      <c r="BE249" s="257" t="n"/>
      <c r="BF249" s="258" t="n"/>
      <c r="BG249" s="89" t="n"/>
      <c r="BH2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49">
        <f>_xlfn.LET(r,ROW(),oc,INDEX($A:$A,r),cv,TRIM(INDEX($Y:$Y,r)&amp;""),IF(oc&lt;&gt;"P1","",IF(cv="45","V45 - novo, nao alimentado pelo spool atual","V44 - alimentado pelo spool atual")))</f>
        <v/>
      </c>
    </row>
    <row r="250" ht="54" customFormat="1" customHeight="1" s="57">
      <c r="A250" s="325" t="inlineStr">
        <is>
          <t>P1</t>
        </is>
      </c>
      <c r="B250" s="326" t="n">
        <v>15</v>
      </c>
      <c r="C250" s="284" t="inlineStr">
        <is>
          <t>15 - Caractéristiques Sureté</t>
        </is>
      </c>
      <c r="D250" s="244" t="inlineStr">
        <is>
          <t>15 - Safety characteristics</t>
        </is>
      </c>
      <c r="E250" s="326" t="inlineStr">
        <is>
          <t>1.8 (P1)</t>
        </is>
      </c>
      <c r="F250" s="327" t="inlineStr">
        <is>
          <t>Identifiant de la sûreté reçue</t>
        </is>
      </c>
      <c r="G250" s="327" t="inlineStr">
        <is>
          <t>Mitigant identifier</t>
        </is>
      </c>
      <c r="H250" s="1493">
        <f>"RPAD( "&amp;SUBSTITUTE(SUBSTITUTE(E250," ","_"),".","_")&amp;","&amp;W250&amp;",' '); -- "&amp;E250</f>
        <v/>
      </c>
      <c r="I250" s="245" t="inlineStr">
        <is>
          <t>Identifiant de la sûreté reçue</t>
        </is>
      </c>
      <c r="J250" s="327" t="inlineStr">
        <is>
          <t>ID of mitigant received</t>
        </is>
      </c>
      <c r="K250" s="388" t="inlineStr">
        <is>
          <t>NA</t>
        </is>
      </c>
      <c r="L250" s="388" t="inlineStr">
        <is>
          <t>NA</t>
        </is>
      </c>
      <c r="M250" s="1421" t="inlineStr">
        <is>
          <t>IdSurRecue</t>
        </is>
      </c>
      <c r="N250" s="284" t="inlineStr">
        <is>
          <t>NA</t>
        </is>
      </c>
      <c r="O250" s="244" t="inlineStr">
        <is>
          <t>NA</t>
        </is>
      </c>
      <c r="P250" s="284" t="inlineStr">
        <is>
          <t>NA</t>
        </is>
      </c>
      <c r="Q250" s="284" t="inlineStr">
        <is>
          <t>NA</t>
        </is>
      </c>
      <c r="R250" s="412" t="inlineStr">
        <is>
          <t>Laisser à vide</t>
        </is>
      </c>
      <c r="S250" s="245" t="inlineStr">
        <is>
          <t>Leave unladen</t>
        </is>
      </c>
      <c r="T250" s="326" t="inlineStr">
        <is>
          <t>ALPHA</t>
        </is>
      </c>
      <c r="U250" s="248" t="inlineStr">
        <is>
          <t>NA</t>
        </is>
      </c>
      <c r="V250" s="248" t="inlineStr">
        <is>
          <t>NA</t>
        </is>
      </c>
      <c r="W250" s="284" t="n">
        <v>40</v>
      </c>
      <c r="X250" s="244" t="inlineStr">
        <is>
          <t>NA</t>
        </is>
      </c>
      <c r="Y250" s="248" t="inlineStr">
        <is>
          <t>NA</t>
        </is>
      </c>
      <c r="Z250" s="248" t="n">
        <v>42</v>
      </c>
      <c r="AA250" s="248" t="inlineStr">
        <is>
          <t>NA</t>
        </is>
      </c>
      <c r="AB250" s="284" t="inlineStr">
        <is>
          <t>NA</t>
        </is>
      </c>
      <c r="AC250" s="244" t="inlineStr">
        <is>
          <t>NA</t>
        </is>
      </c>
      <c r="AD250" s="284" t="inlineStr">
        <is>
          <t>N</t>
        </is>
      </c>
      <c r="AE250" s="284" t="inlineStr">
        <is>
          <t>NA</t>
        </is>
      </c>
      <c r="AF250" s="284" t="inlineStr">
        <is>
          <t>NA</t>
        </is>
      </c>
      <c r="AG250" s="285" t="inlineStr">
        <is>
          <t>NA</t>
        </is>
      </c>
      <c r="AH250" s="89" t="n"/>
      <c r="AI250" s="330" t="n"/>
      <c r="AJ250" s="331" t="n"/>
      <c r="AK250" s="284" t="n"/>
      <c r="AL250" s="285" t="n"/>
      <c r="AM250" s="331" t="n"/>
      <c r="AN250" s="331" t="n"/>
      <c r="AO250" s="284" t="n"/>
      <c r="AP250" s="285" t="n"/>
      <c r="AQ250" s="331" t="n"/>
      <c r="AR250" s="331" t="n"/>
      <c r="AS250" s="284" t="n"/>
      <c r="AT250" s="285" t="n"/>
      <c r="AU250" s="331" t="n"/>
      <c r="AV250" s="331" t="n"/>
      <c r="AW250" s="284" t="n"/>
      <c r="AX250" s="285" t="n"/>
      <c r="AY250" s="331" t="n"/>
      <c r="AZ250" s="331" t="n"/>
      <c r="BA250" s="284" t="n"/>
      <c r="BB250" s="285" t="n"/>
      <c r="BC250" s="330" t="n"/>
      <c r="BD250" s="331" t="n"/>
      <c r="BE250" s="284" t="n"/>
      <c r="BF250" s="285" t="n"/>
      <c r="BG250" s="89" t="n"/>
      <c r="BH2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50">
        <f>_xlfn.LET(r,ROW(),oc,INDEX($A:$A,r),cv,TRIM(INDEX($Y:$Y,r)&amp;""),IF(oc&lt;&gt;"P1","",IF(cv="45","V45 - novo, nao alimentado pelo spool atual","V44 - alimentado pelo spool atual")))</f>
        <v/>
      </c>
    </row>
    <row r="251" ht="54" customFormat="1" customHeight="1" s="91">
      <c r="A251" s="306" t="inlineStr">
        <is>
          <t>P1</t>
        </is>
      </c>
      <c r="B251" s="307" t="n">
        <v>16</v>
      </c>
      <c r="C251" s="269" t="inlineStr">
        <is>
          <t>02a - Caractéristiques d'identification fonctionnelles (clé)</t>
        </is>
      </c>
      <c r="D251" s="236" t="inlineStr">
        <is>
          <t>02a - Functional identification characteristics (key)</t>
        </is>
      </c>
      <c r="E251" s="307" t="inlineStr">
        <is>
          <t>1.11 (P1)</t>
        </is>
      </c>
      <c r="F251" s="415" t="inlineStr">
        <is>
          <t>Identifiant de l'engagement</t>
        </is>
      </c>
      <c r="G251" s="309" t="inlineStr">
        <is>
          <t>Commitment identifier</t>
        </is>
      </c>
      <c r="H251" s="1493">
        <f>"RPAD( "&amp;SUBSTITUTE(SUBSTITUTE(E251," ","_"),".","_")&amp;","&amp;W251&amp;",' '); -- "&amp;E251</f>
        <v/>
      </c>
      <c r="I251" s="241" t="inlineStr">
        <is>
          <t>Identifiant unique de l'engagement dans le système local utilisé pour générer le flux</t>
        </is>
      </c>
      <c r="J251" s="233" t="inlineStr">
        <is>
          <t>Unique ID of the commitment in the local system used to generate the flow</t>
        </is>
      </c>
      <c r="K251" s="370" t="inlineStr">
        <is>
          <t>ND</t>
        </is>
      </c>
      <c r="L251" s="371" t="inlineStr">
        <is>
          <t>ND</t>
        </is>
      </c>
      <c r="M251" s="1420" t="inlineStr">
        <is>
          <t>IdEng</t>
        </is>
      </c>
      <c r="N251" s="257" t="inlineStr">
        <is>
          <t>Obligatoire</t>
        </is>
      </c>
      <c r="O251" s="236" t="inlineStr">
        <is>
          <t>Mandatory</t>
        </is>
      </c>
      <c r="P251" s="269" t="inlineStr">
        <is>
          <t>NA</t>
        </is>
      </c>
      <c r="Q251" s="269" t="inlineStr">
        <is>
          <t>NA</t>
        </is>
      </c>
      <c r="R251" s="416" t="inlineStr">
        <is>
          <t>Pour un lot déterminé, l'identifiant de l'engagement doit être unique au sein du lot et et ne doit pas avoir de référence de ligne d'autorisation, d'encours, de garantie ou de provision ayant la même valeur dans le lot
L'identifiant doit être invariant dans le temps</t>
        </is>
      </c>
      <c r="S251" s="233" t="inlineStr">
        <is>
          <t xml:space="preserve">For a given batch, the funds in use identifier must be unique within the batch and must not have an authorization line, outstanding, guarantee or provision reference having the same value in the batch
The identifier must be time invariant </t>
        </is>
      </c>
      <c r="T251" s="313" t="inlineStr">
        <is>
          <t>ALPHA</t>
        </is>
      </c>
      <c r="U251" s="237" t="inlineStr">
        <is>
          <t>NA</t>
        </is>
      </c>
      <c r="V251" s="238" t="inlineStr">
        <is>
          <t>NA</t>
        </is>
      </c>
      <c r="W251" s="257" t="n">
        <v>40</v>
      </c>
      <c r="X251" s="945" t="inlineStr">
        <is>
          <t>NA</t>
        </is>
      </c>
      <c r="Y251" s="237" t="inlineStr">
        <is>
          <t>40</t>
        </is>
      </c>
      <c r="Z251" s="237" t="inlineStr">
        <is>
          <t>NA</t>
        </is>
      </c>
      <c r="AA251" s="978" t="inlineStr">
        <is>
          <t>45.00</t>
        </is>
      </c>
      <c r="AB251" s="932" t="inlineStr">
        <is>
          <t>ALMM, ASTRE, CALCULS PRUDENTIELS, CORFOU, ESG PILIER 3, LIQUIDITE, MREL, NPE, NSFR, NZBA, PALMA, RISQUE PHYSIQUE, SRB VALUATION</t>
        </is>
      </c>
      <c r="AC251" s="231" t="inlineStr">
        <is>
          <t>ND</t>
        </is>
      </c>
      <c r="AD251" s="257" t="inlineStr">
        <is>
          <t>N</t>
        </is>
      </c>
      <c r="AE251" s="971" t="inlineStr">
        <is>
          <t>EQU101
EQU201
ISS100
ISS200 et 300
TRE100
TRE2 à 4XX hors 203,205,206,207
TRE203, 205, 207
TRE206
TRE5XX
SIG
VAR*
INT</t>
        </is>
      </c>
      <c r="AF251" s="257" t="inlineStr">
        <is>
          <t>NA</t>
        </is>
      </c>
      <c r="AG251" s="258" t="inlineStr">
        <is>
          <t>NA</t>
        </is>
      </c>
      <c r="AH251" s="89" t="n"/>
      <c r="AI251" s="316" t="inlineStr">
        <is>
          <t>La donnée est obligatoire</t>
        </is>
      </c>
      <c r="AJ251" s="317" t="inlineStr">
        <is>
          <t>The data is mandatory</t>
        </is>
      </c>
      <c r="AK251" s="257" t="n">
        <v>7</v>
      </c>
      <c r="AL251" s="258" t="inlineStr">
        <is>
          <t>TP0001</t>
        </is>
      </c>
      <c r="AM251" s="318" t="n"/>
      <c r="AN251" s="317" t="n"/>
      <c r="AO251" s="257" t="n"/>
      <c r="AP251" s="258" t="n"/>
      <c r="AQ251" s="318" t="n"/>
      <c r="AR251" s="317" t="n"/>
      <c r="AS251" s="257" t="n"/>
      <c r="AT251" s="258" t="n"/>
      <c r="AU251" s="318" t="n"/>
      <c r="AV251" s="317" t="n"/>
      <c r="AW251" s="257" t="n"/>
      <c r="AX251" s="258" t="n"/>
      <c r="AY251" s="332" t="inlineStr">
        <is>
          <t>L'identifiant renseigné doit être unique au sein de l'entité porteuse de risque
---
Il ne doit pas y avoir de doublon (quelque soit l'entité et quelque soit le flux)
---
Dans le cadre du flux Interlot, un engagement doit être rattaché à une ligne d'autorisation
---
Unicité absolue de la donnée au sein du lot</t>
        </is>
      </c>
      <c r="AZ251" s="317" t="inlineStr">
        <is>
          <t>The identifier provided must be unique within the entity carrying the risk
---
There should be no duplicates (whatever the entity and flow are)
---
Within the Interlot flow, a funds in use must be attached to an authorization line
--
The data must be unique within the batch</t>
        </is>
      </c>
      <c r="BA251" s="257" t="n">
        <v>7</v>
      </c>
      <c r="BB251" s="320" t="inlineStr">
        <is>
          <t>TU0001
TU0003
TC0268
TU0007</t>
        </is>
      </c>
      <c r="BC251" s="278" t="inlineStr">
        <is>
          <t>Pour la Grande Clientèle (P1/P2), si la combinaison de donnée n'est pas trouvée dans la matrice des règles de gestion C01, le contrôle doit se lever
---
Pour la Grande Clientèle (P1/P2), si la combinaison de donnée n'est pas trouvée dans la matrice des règles de gestion C14, le contrôle doit se lever</t>
        </is>
      </c>
      <c r="BD251" s="160" t="inlineStr">
        <is>
          <t>For P1/P2, if the data combinaison is not found in the C01 business rules matrix, the control must trigger
---
For P1/P2, if the data combinaison is not found in the C14 business rules matrix, the control must trigger</t>
        </is>
      </c>
      <c r="BE251" s="257" t="n">
        <v>6</v>
      </c>
      <c r="BF251" s="258" t="inlineStr">
        <is>
          <t>TC0C01
TC0C14</t>
        </is>
      </c>
      <c r="BG251" s="89" t="n"/>
      <c r="BH2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51">
        <f>_xlfn.LET(r,ROW(),oc,INDEX($A:$A,r),cv,TRIM(INDEX($Y:$Y,r)&amp;""),IF(oc&lt;&gt;"P1","",IF(cv="45","V45 - novo, nao alimentado pelo spool atual","V44 - alimentado pelo spool atual")))</f>
        <v/>
      </c>
    </row>
    <row r="252" ht="54" customFormat="1" customHeight="1" s="57">
      <c r="A252" s="325" t="inlineStr">
        <is>
          <t>P1</t>
        </is>
      </c>
      <c r="B252" s="326" t="n">
        <v>17</v>
      </c>
      <c r="C252" s="284" t="inlineStr">
        <is>
          <t>16 - Identification Tiers</t>
        </is>
      </c>
      <c r="D252" s="244" t="inlineStr">
        <is>
          <t>16 - Third party identification</t>
        </is>
      </c>
      <c r="E252" s="326" t="inlineStr">
        <is>
          <t>1.16 (P1)</t>
        </is>
      </c>
      <c r="F252" s="327" t="inlineStr">
        <is>
          <t>Référence de la provision sur tiers</t>
        </is>
      </c>
      <c r="G252" s="327" t="inlineStr">
        <is>
          <t>Reference for the counterparty provision</t>
        </is>
      </c>
      <c r="H252" s="1493">
        <f>"RPAD( "&amp;SUBSTITUTE(SUBSTITUTE(E252," ","_"),".","_")&amp;","&amp;W252&amp;",' '); -- "&amp;E252</f>
        <v/>
      </c>
      <c r="I252" s="245" t="inlineStr">
        <is>
          <t>Référence de la provision sur tiers</t>
        </is>
      </c>
      <c r="J252" s="327" t="inlineStr">
        <is>
          <t>Reference code of the provision for external counterparties</t>
        </is>
      </c>
      <c r="K252" s="388" t="inlineStr">
        <is>
          <t>NA</t>
        </is>
      </c>
      <c r="L252" s="388" t="inlineStr">
        <is>
          <t>NA</t>
        </is>
      </c>
      <c r="M252" s="1421" t="inlineStr">
        <is>
          <t>IdProvTiers</t>
        </is>
      </c>
      <c r="N252" s="284" t="inlineStr">
        <is>
          <t>NA</t>
        </is>
      </c>
      <c r="O252" s="244" t="inlineStr">
        <is>
          <t>NA</t>
        </is>
      </c>
      <c r="P252" s="284" t="inlineStr">
        <is>
          <t>NA</t>
        </is>
      </c>
      <c r="Q252" s="284" t="inlineStr">
        <is>
          <t>NA</t>
        </is>
      </c>
      <c r="R252" s="412" t="inlineStr">
        <is>
          <t>Laisser à vide</t>
        </is>
      </c>
      <c r="S252" s="245" t="inlineStr">
        <is>
          <t>Leave unladen</t>
        </is>
      </c>
      <c r="T252" s="326" t="inlineStr">
        <is>
          <t>ALPHA</t>
        </is>
      </c>
      <c r="U252" s="248" t="inlineStr">
        <is>
          <t>NA</t>
        </is>
      </c>
      <c r="V252" s="248" t="inlineStr">
        <is>
          <t>NA</t>
        </is>
      </c>
      <c r="W252" s="284" t="n">
        <v>40</v>
      </c>
      <c r="X252" s="244" t="inlineStr">
        <is>
          <t>NA</t>
        </is>
      </c>
      <c r="Y252" s="248" t="inlineStr">
        <is>
          <t>NA</t>
        </is>
      </c>
      <c r="Z252" s="248" t="n">
        <v>42</v>
      </c>
      <c r="AA252" s="248" t="inlineStr">
        <is>
          <t>NA</t>
        </is>
      </c>
      <c r="AB252" s="284" t="inlineStr">
        <is>
          <t>NA</t>
        </is>
      </c>
      <c r="AC252" s="244" t="inlineStr">
        <is>
          <t>NA</t>
        </is>
      </c>
      <c r="AD252" s="284" t="inlineStr">
        <is>
          <t>N</t>
        </is>
      </c>
      <c r="AE252" s="284" t="inlineStr">
        <is>
          <t>NA</t>
        </is>
      </c>
      <c r="AF252" s="284" t="inlineStr">
        <is>
          <t>NA</t>
        </is>
      </c>
      <c r="AG252" s="285" t="inlineStr">
        <is>
          <t>NA</t>
        </is>
      </c>
      <c r="AH252" s="89" t="n"/>
      <c r="AI252" s="330" t="n"/>
      <c r="AJ252" s="331" t="n"/>
      <c r="AK252" s="284" t="n"/>
      <c r="AL252" s="285" t="n"/>
      <c r="AM252" s="331" t="n"/>
      <c r="AN252" s="331" t="n"/>
      <c r="AO252" s="284" t="n"/>
      <c r="AP252" s="285" t="n"/>
      <c r="AQ252" s="331" t="n"/>
      <c r="AR252" s="331" t="n"/>
      <c r="AS252" s="284" t="n"/>
      <c r="AT252" s="285" t="n"/>
      <c r="AU252" s="331" t="n"/>
      <c r="AV252" s="331" t="n"/>
      <c r="AW252" s="284" t="n"/>
      <c r="AX252" s="285" t="n"/>
      <c r="AY252" s="331" t="n"/>
      <c r="AZ252" s="331" t="n"/>
      <c r="BA252" s="284" t="n"/>
      <c r="BB252" s="285" t="n"/>
      <c r="BC252" s="330" t="n"/>
      <c r="BD252" s="331" t="n"/>
      <c r="BE252" s="284" t="n"/>
      <c r="BF252" s="285" t="n"/>
      <c r="BG252" s="89" t="n"/>
      <c r="BH2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52">
        <f>_xlfn.LET(r,ROW(),oc,INDEX($A:$A,r),cv,TRIM(INDEX($Y:$Y,r)&amp;""),IF(oc&lt;&gt;"P1","",IF(cv="45","V45 - novo, nao alimentado pelo spool atual","V44 - alimentado pelo spool atual")))</f>
        <v/>
      </c>
    </row>
    <row r="253" ht="54" customFormat="1" customHeight="1" s="58">
      <c r="A253" s="325" t="inlineStr">
        <is>
          <t>P1</t>
        </is>
      </c>
      <c r="B253" s="326" t="n">
        <v>18</v>
      </c>
      <c r="C253" s="284" t="inlineStr">
        <is>
          <t>NA</t>
        </is>
      </c>
      <c r="D253" s="244" t="inlineStr">
        <is>
          <t>NA</t>
        </is>
      </c>
      <c r="E253" s="333" t="inlineStr">
        <is>
          <t>1.99 (P1)</t>
        </is>
      </c>
      <c r="F253" s="329" t="inlineStr">
        <is>
          <t>Filler</t>
        </is>
      </c>
      <c r="G253" s="329" t="inlineStr">
        <is>
          <t>Filler</t>
        </is>
      </c>
      <c r="H253" s="1493">
        <f>"RPAD( "&amp;SUBSTITUTE(SUBSTITUTE(E253," ","_"),".","_")&amp;","&amp;W253&amp;",' '); -- "&amp;E253</f>
        <v/>
      </c>
      <c r="I253" s="247" t="inlineStr">
        <is>
          <t>Zone libre</t>
        </is>
      </c>
      <c r="J253" s="329" t="inlineStr">
        <is>
          <t>Free zone</t>
        </is>
      </c>
      <c r="K253" s="328" t="inlineStr">
        <is>
          <t>NA</t>
        </is>
      </c>
      <c r="L253" s="328" t="inlineStr">
        <is>
          <t>NA</t>
        </is>
      </c>
      <c r="M253" s="1421" t="inlineStr">
        <is>
          <t>ZoneLibre1</t>
        </is>
      </c>
      <c r="N253" s="284" t="inlineStr">
        <is>
          <t>NA</t>
        </is>
      </c>
      <c r="O253" s="244" t="inlineStr">
        <is>
          <t>NA</t>
        </is>
      </c>
      <c r="P253" s="284" t="inlineStr">
        <is>
          <t>NA</t>
        </is>
      </c>
      <c r="Q253" s="284" t="inlineStr">
        <is>
          <t>NA</t>
        </is>
      </c>
      <c r="R253" s="412" t="inlineStr">
        <is>
          <t>Laisser à vide</t>
        </is>
      </c>
      <c r="S253" s="247" t="inlineStr">
        <is>
          <t>Leave empty</t>
        </is>
      </c>
      <c r="T253" s="333" t="inlineStr">
        <is>
          <t>ALPHA</t>
        </is>
      </c>
      <c r="U253" s="256" t="inlineStr">
        <is>
          <t>NA</t>
        </is>
      </c>
      <c r="V253" s="256" t="inlineStr">
        <is>
          <t>NA</t>
        </is>
      </c>
      <c r="W253" s="328" t="n">
        <v>11</v>
      </c>
      <c r="X253" s="244" t="inlineStr">
        <is>
          <t>NA</t>
        </is>
      </c>
      <c r="Y253" s="248" t="inlineStr">
        <is>
          <t>NA</t>
        </is>
      </c>
      <c r="Z253" s="248" t="inlineStr">
        <is>
          <t>NA</t>
        </is>
      </c>
      <c r="AA253" s="248" t="inlineStr">
        <is>
          <t>NA</t>
        </is>
      </c>
      <c r="AB253" s="284" t="inlineStr">
        <is>
          <t>NA</t>
        </is>
      </c>
      <c r="AC253" s="244" t="inlineStr">
        <is>
          <t>NA</t>
        </is>
      </c>
      <c r="AD253" s="284" t="inlineStr">
        <is>
          <t>N</t>
        </is>
      </c>
      <c r="AE253" s="284" t="inlineStr">
        <is>
          <t>NA</t>
        </is>
      </c>
      <c r="AF253" s="284" t="inlineStr">
        <is>
          <t>NA</t>
        </is>
      </c>
      <c r="AG253" s="285" t="inlineStr">
        <is>
          <t>NA</t>
        </is>
      </c>
      <c r="AH253" s="89" t="n"/>
      <c r="AI253" s="330" t="n"/>
      <c r="AJ253" s="331" t="n"/>
      <c r="AK253" s="284" t="n"/>
      <c r="AL253" s="285" t="n"/>
      <c r="AM253" s="331" t="n"/>
      <c r="AN253" s="331" t="n"/>
      <c r="AO253" s="284" t="n"/>
      <c r="AP253" s="285" t="n"/>
      <c r="AQ253" s="331" t="n"/>
      <c r="AR253" s="331" t="n"/>
      <c r="AS253" s="284" t="n"/>
      <c r="AT253" s="285" t="n"/>
      <c r="AU253" s="331" t="n"/>
      <c r="AV253" s="331" t="n"/>
      <c r="AW253" s="284" t="n"/>
      <c r="AX253" s="285" t="n"/>
      <c r="AY253" s="331" t="n"/>
      <c r="AZ253" s="331" t="n"/>
      <c r="BA253" s="284" t="n"/>
      <c r="BB253" s="285" t="n"/>
      <c r="BC253" s="330" t="n"/>
      <c r="BD253" s="331" t="n"/>
      <c r="BE253" s="284" t="n"/>
      <c r="BF253" s="285" t="n"/>
      <c r="BG253" s="89" t="n"/>
      <c r="BH2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53">
        <f>_xlfn.LET(r,ROW(),oc,INDEX($A:$A,r),cv,TRIM(INDEX($Y:$Y,r)&amp;""),IF(oc&lt;&gt;"P1","",IF(cv="45","V45 - novo, nao alimentado pelo spool atual","V44 - alimentado pelo spool atual")))</f>
        <v/>
      </c>
    </row>
    <row r="254" ht="54" customFormat="1" customHeight="1" s="58">
      <c r="A254" s="325" t="inlineStr">
        <is>
          <t>P1</t>
        </is>
      </c>
      <c r="B254" s="326" t="n">
        <v>19</v>
      </c>
      <c r="C254" s="284" t="inlineStr">
        <is>
          <t>NA</t>
        </is>
      </c>
      <c r="D254" s="244" t="inlineStr">
        <is>
          <t>NA</t>
        </is>
      </c>
      <c r="E254" s="333" t="inlineStr">
        <is>
          <t>1.98 (P1)</t>
        </is>
      </c>
      <c r="F254" s="329" t="inlineStr">
        <is>
          <t>Filler</t>
        </is>
      </c>
      <c r="G254" s="329" t="inlineStr">
        <is>
          <t>Filler</t>
        </is>
      </c>
      <c r="H254" s="1493">
        <f>"RPAD( "&amp;SUBSTITUTE(SUBSTITUTE(E254," ","_"),".","_")&amp;","&amp;W254&amp;",' '); -- "&amp;E254</f>
        <v/>
      </c>
      <c r="I254" s="247" t="inlineStr">
        <is>
          <t>Zone libre</t>
        </is>
      </c>
      <c r="J254" s="329" t="inlineStr">
        <is>
          <t>Free zone</t>
        </is>
      </c>
      <c r="K254" s="328" t="inlineStr">
        <is>
          <t>NA</t>
        </is>
      </c>
      <c r="L254" s="328" t="inlineStr">
        <is>
          <t>NA</t>
        </is>
      </c>
      <c r="M254" s="1421" t="inlineStr">
        <is>
          <t>NA</t>
        </is>
      </c>
      <c r="N254" s="284" t="inlineStr">
        <is>
          <t>NA</t>
        </is>
      </c>
      <c r="O254" s="244" t="inlineStr">
        <is>
          <t>NA</t>
        </is>
      </c>
      <c r="P254" s="284" t="inlineStr">
        <is>
          <t>NA</t>
        </is>
      </c>
      <c r="Q254" s="284" t="inlineStr">
        <is>
          <t>NA</t>
        </is>
      </c>
      <c r="R254" s="412" t="inlineStr">
        <is>
          <t>Laisser à vide</t>
        </is>
      </c>
      <c r="S254" s="247" t="inlineStr">
        <is>
          <t>Leave empty</t>
        </is>
      </c>
      <c r="T254" s="333" t="inlineStr">
        <is>
          <t>ALPHA</t>
        </is>
      </c>
      <c r="U254" s="256" t="inlineStr">
        <is>
          <t>NA</t>
        </is>
      </c>
      <c r="V254" s="256" t="inlineStr">
        <is>
          <t>NA</t>
        </is>
      </c>
      <c r="W254" s="328" t="n">
        <v>7</v>
      </c>
      <c r="X254" s="244" t="inlineStr">
        <is>
          <t>NA</t>
        </is>
      </c>
      <c r="Y254" s="248" t="inlineStr">
        <is>
          <t>NA</t>
        </is>
      </c>
      <c r="Z254" s="248" t="inlineStr">
        <is>
          <t>NA</t>
        </is>
      </c>
      <c r="AA254" s="248" t="inlineStr">
        <is>
          <t>NA</t>
        </is>
      </c>
      <c r="AB254" s="284" t="inlineStr">
        <is>
          <t>NA</t>
        </is>
      </c>
      <c r="AC254" s="244" t="inlineStr">
        <is>
          <t>NA</t>
        </is>
      </c>
      <c r="AD254" s="284" t="inlineStr">
        <is>
          <t>N</t>
        </is>
      </c>
      <c r="AE254" s="284" t="inlineStr">
        <is>
          <t>NA</t>
        </is>
      </c>
      <c r="AF254" s="284" t="inlineStr">
        <is>
          <t>NA</t>
        </is>
      </c>
      <c r="AG254" s="285" t="inlineStr">
        <is>
          <t>NA</t>
        </is>
      </c>
      <c r="AH254" s="89" t="n"/>
      <c r="AI254" s="330" t="n"/>
      <c r="AJ254" s="331" t="n"/>
      <c r="AK254" s="284" t="n"/>
      <c r="AL254" s="285" t="n"/>
      <c r="AM254" s="331" t="n"/>
      <c r="AN254" s="331" t="n"/>
      <c r="AO254" s="284" t="n"/>
      <c r="AP254" s="285" t="n"/>
      <c r="AQ254" s="331" t="n"/>
      <c r="AR254" s="331" t="n"/>
      <c r="AS254" s="284" t="n"/>
      <c r="AT254" s="285" t="n"/>
      <c r="AU254" s="331" t="n"/>
      <c r="AV254" s="331" t="n"/>
      <c r="AW254" s="284" t="n"/>
      <c r="AX254" s="285" t="n"/>
      <c r="AY254" s="331" t="n"/>
      <c r="AZ254" s="331" t="n"/>
      <c r="BA254" s="284" t="n"/>
      <c r="BB254" s="285" t="n"/>
      <c r="BC254" s="330" t="n"/>
      <c r="BD254" s="331" t="n"/>
      <c r="BE254" s="284" t="n"/>
      <c r="BF254" s="285" t="n"/>
      <c r="BG254" s="89" t="n"/>
      <c r="BH2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54">
        <f>_xlfn.LET(r,ROW(),oc,INDEX($A:$A,r),cv,TRIM(INDEX($Y:$Y,r)&amp;""),IF(oc&lt;&gt;"P1","",IF(cv="45","V45 - novo, nao alimentado pelo spool atual","V44 - alimentado pelo spool atual")))</f>
        <v/>
      </c>
    </row>
    <row r="255" ht="54" customFormat="1" customHeight="1" s="58">
      <c r="A255" s="325" t="inlineStr">
        <is>
          <t>P1</t>
        </is>
      </c>
      <c r="B255" s="326" t="n">
        <v>20</v>
      </c>
      <c r="C255" s="284" t="inlineStr">
        <is>
          <t>NA</t>
        </is>
      </c>
      <c r="D255" s="244" t="inlineStr">
        <is>
          <t>NA</t>
        </is>
      </c>
      <c r="E255" s="333" t="inlineStr">
        <is>
          <t>1.97 (P1)</t>
        </is>
      </c>
      <c r="F255" s="329" t="inlineStr">
        <is>
          <t>Filler</t>
        </is>
      </c>
      <c r="G255" s="329" t="inlineStr">
        <is>
          <t>Filler</t>
        </is>
      </c>
      <c r="H255" s="1493">
        <f>"RPAD( "&amp;SUBSTITUTE(SUBSTITUTE(E255," ","_"),".","_")&amp;","&amp;W255&amp;",' '); -- "&amp;E255</f>
        <v/>
      </c>
      <c r="I255" s="247" t="inlineStr">
        <is>
          <t>Zone libre</t>
        </is>
      </c>
      <c r="J255" s="329" t="inlineStr">
        <is>
          <t>Free zone</t>
        </is>
      </c>
      <c r="K255" s="328" t="inlineStr">
        <is>
          <t>NA</t>
        </is>
      </c>
      <c r="L255" s="328" t="inlineStr">
        <is>
          <t>NA</t>
        </is>
      </c>
      <c r="M255" s="1421" t="inlineStr">
        <is>
          <t>NA</t>
        </is>
      </c>
      <c r="N255" s="284" t="inlineStr">
        <is>
          <t>NA</t>
        </is>
      </c>
      <c r="O255" s="244" t="inlineStr">
        <is>
          <t>NA</t>
        </is>
      </c>
      <c r="P255" s="284" t="inlineStr">
        <is>
          <t>NA</t>
        </is>
      </c>
      <c r="Q255" s="284" t="inlineStr">
        <is>
          <t>NA</t>
        </is>
      </c>
      <c r="R255" s="412" t="inlineStr">
        <is>
          <t>Laisser à vide</t>
        </is>
      </c>
      <c r="S255" s="247" t="inlineStr">
        <is>
          <t>Leave empty</t>
        </is>
      </c>
      <c r="T255" s="333" t="inlineStr">
        <is>
          <t>ALPHA</t>
        </is>
      </c>
      <c r="U255" s="256" t="inlineStr">
        <is>
          <t>NA</t>
        </is>
      </c>
      <c r="V255" s="256" t="inlineStr">
        <is>
          <t>NA</t>
        </is>
      </c>
      <c r="W255" s="328" t="n">
        <v>2</v>
      </c>
      <c r="X255" s="244" t="inlineStr">
        <is>
          <t>NA</t>
        </is>
      </c>
      <c r="Y255" s="248" t="inlineStr">
        <is>
          <t>NA</t>
        </is>
      </c>
      <c r="Z255" s="248" t="inlineStr">
        <is>
          <t>NA</t>
        </is>
      </c>
      <c r="AA255" s="248" t="inlineStr">
        <is>
          <t>NA</t>
        </is>
      </c>
      <c r="AB255" s="284" t="inlineStr">
        <is>
          <t>NA</t>
        </is>
      </c>
      <c r="AC255" s="244" t="inlineStr">
        <is>
          <t>NA</t>
        </is>
      </c>
      <c r="AD255" s="284" t="inlineStr">
        <is>
          <t>N</t>
        </is>
      </c>
      <c r="AE255" s="284" t="inlineStr">
        <is>
          <t>NA</t>
        </is>
      </c>
      <c r="AF255" s="284" t="inlineStr">
        <is>
          <t>NA</t>
        </is>
      </c>
      <c r="AG255" s="285" t="inlineStr">
        <is>
          <t>NA</t>
        </is>
      </c>
      <c r="AH255" s="89" t="n"/>
      <c r="AI255" s="330" t="n"/>
      <c r="AJ255" s="331" t="n"/>
      <c r="AK255" s="284" t="n"/>
      <c r="AL255" s="285" t="n"/>
      <c r="AM255" s="331" t="n"/>
      <c r="AN255" s="331" t="n"/>
      <c r="AO255" s="284" t="n"/>
      <c r="AP255" s="285" t="n"/>
      <c r="AQ255" s="331" t="n"/>
      <c r="AR255" s="331" t="n"/>
      <c r="AS255" s="284" t="n"/>
      <c r="AT255" s="285" t="n"/>
      <c r="AU255" s="331" t="n"/>
      <c r="AV255" s="331" t="n"/>
      <c r="AW255" s="284" t="n"/>
      <c r="AX255" s="285" t="n"/>
      <c r="AY255" s="331" t="n"/>
      <c r="AZ255" s="331" t="n"/>
      <c r="BA255" s="284" t="n"/>
      <c r="BB255" s="285" t="n"/>
      <c r="BC255" s="330" t="n"/>
      <c r="BD255" s="331" t="n"/>
      <c r="BE255" s="284" t="n"/>
      <c r="BF255" s="285" t="n"/>
      <c r="BG255" s="89" t="n"/>
      <c r="BH2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55">
        <f>_xlfn.LET(r,ROW(),oc,INDEX($A:$A,r),cv,TRIM(INDEX($Y:$Y,r)&amp;""),IF(oc&lt;&gt;"P1","",IF(cv="45","V45 - novo, nao alimentado pelo spool atual","V44 - alimentado pelo spool atual")))</f>
        <v/>
      </c>
    </row>
    <row r="256" ht="54" customFormat="1" customHeight="1" s="91">
      <c r="A256" s="306" t="inlineStr">
        <is>
          <t>P1</t>
        </is>
      </c>
      <c r="B256" s="307" t="n">
        <v>21</v>
      </c>
      <c r="C256" s="269" t="inlineStr">
        <is>
          <t>31 - Paramètres bâlois</t>
        </is>
      </c>
      <c r="D256" s="236" t="inlineStr">
        <is>
          <t>31 - Basel settings</t>
        </is>
      </c>
      <c r="E256" s="307" t="inlineStr">
        <is>
          <t>P1 1.1</t>
        </is>
      </c>
      <c r="F256" s="1266" t="inlineStr">
        <is>
          <t>Méthodologie Bâloise</t>
        </is>
      </c>
      <c r="G256" s="309" t="inlineStr">
        <is>
          <t>Basel methodology</t>
        </is>
      </c>
      <c r="H256" s="1493">
        <f>"RPAD( "&amp;SUBSTITUTE(SUBSTITUTE(E256," ","_"),".","_")&amp;","&amp;W256&amp;",' '); -- "&amp;E256</f>
        <v/>
      </c>
      <c r="I256" s="241" t="inlineStr">
        <is>
          <t>Correspond à la méthode de calcul des risques pondérés dans Bâle</t>
        </is>
      </c>
      <c r="J256" s="309" t="inlineStr">
        <is>
          <t>Represents the risk-weighted asset calculation method in Basel</t>
        </is>
      </c>
      <c r="K256" s="370" t="inlineStr">
        <is>
          <t>ND</t>
        </is>
      </c>
      <c r="L256" s="371" t="inlineStr">
        <is>
          <t>ND</t>
        </is>
      </c>
      <c r="M256" s="1420" t="inlineStr">
        <is>
          <t>cdMetBal</t>
        </is>
      </c>
      <c r="N256" s="257" t="inlineStr">
        <is>
          <t>Obligatoire</t>
        </is>
      </c>
      <c r="O256" s="236" t="inlineStr">
        <is>
          <t>Mandatory</t>
        </is>
      </c>
      <c r="P256" s="269" t="inlineStr">
        <is>
          <t>LC.0068</t>
        </is>
      </c>
      <c r="Q256" s="269" t="inlineStr">
        <is>
          <t xml:space="preserve">TA KVBAL22 </t>
        </is>
      </c>
      <c r="R256" s="241" t="inlineStr">
        <is>
          <t>NA</t>
        </is>
      </c>
      <c r="S256" s="233" t="inlineStr">
        <is>
          <t>NA</t>
        </is>
      </c>
      <c r="T256" s="313" t="inlineStr">
        <is>
          <t>ALPHA</t>
        </is>
      </c>
      <c r="U256" s="237" t="inlineStr">
        <is>
          <t>NA</t>
        </is>
      </c>
      <c r="V256" s="238" t="inlineStr">
        <is>
          <t>NA</t>
        </is>
      </c>
      <c r="W256" s="257" t="n">
        <v>7</v>
      </c>
      <c r="X256" s="945" t="inlineStr">
        <is>
          <t>NA</t>
        </is>
      </c>
      <c r="Y256" s="237" t="n">
        <v>40</v>
      </c>
      <c r="Z256" s="237" t="inlineStr">
        <is>
          <t>NA</t>
        </is>
      </c>
      <c r="AA256" s="978" t="inlineStr">
        <is>
          <t>NA</t>
        </is>
      </c>
      <c r="AB256" s="994" t="inlineStr">
        <is>
          <t>ASTRE, CALCULS PRUDENTIELS, ESG PILIER 3, LOAN TAPE, NPE, OMP</t>
        </is>
      </c>
      <c r="AC256" s="231" t="inlineStr">
        <is>
          <t>ND</t>
        </is>
      </c>
      <c r="AD256" s="257" t="inlineStr">
        <is>
          <t>N</t>
        </is>
      </c>
      <c r="AE256" s="971" t="inlineStr">
        <is>
          <t>EQU101
EQU201
ISS100
ISS200 et 300
TRE100
TRE2 à 4XX hors 203,205,206,207
TRE203, 205, 207
TRE206
TRE5XX
SIG
VAR*
INT</t>
        </is>
      </c>
      <c r="AF256" s="257" t="inlineStr">
        <is>
          <t>NA</t>
        </is>
      </c>
      <c r="AG256" s="258" t="inlineStr">
        <is>
          <t>NA</t>
        </is>
      </c>
      <c r="AH256" s="89" t="n"/>
      <c r="AI256" s="316" t="inlineStr">
        <is>
          <t>La donnée est obligatoire</t>
        </is>
      </c>
      <c r="AJ256" s="317" t="inlineStr">
        <is>
          <t>The data is mandatory</t>
        </is>
      </c>
      <c r="AK256" s="257" t="n">
        <v>7</v>
      </c>
      <c r="AL256" s="335" t="inlineStr">
        <is>
          <t>TPG0001</t>
        </is>
      </c>
      <c r="AM256" s="318" t="inlineStr">
        <is>
          <t>Si elle est renseignée, la valeur doit être connue du Langage Commun associé</t>
        </is>
      </c>
      <c r="AN256" s="317" t="inlineStr">
        <is>
          <t>If specified, the value must be known to the associated Common Language</t>
        </is>
      </c>
      <c r="AO256" s="257" t="n">
        <v>7</v>
      </c>
      <c r="AP256" s="212" t="inlineStr">
        <is>
          <t>TIG0001</t>
        </is>
      </c>
      <c r="AQ256" s="398" t="inlineStr">
        <is>
          <t xml:space="preserve">Si le type de risque [P1 2.0] 
- = 'EQU101' alors la donnée P1 1.1 = 'STD' ou 'IRB FT' ou 'NON RC'
- = 'EQU201' alors la donnée P1 1.1 = 'STD' ou 'NON RC'
- = 'ISS100' alors la donnée P1 1.1 = 'RM' ou 'NON RC'
- commence par 'INTxx' alors la donnée P1 1.1 = 'NON RC'
---
Si renseignée et si le type de risque [P1 2.0] = 'TRE2xx' à 'TRE4xx', 'ISS200', 'ISS300', 'SIG*' hors (TRE201,TRE203,TRE205, TRE206, TRE207) et le 'Portefeuille Bâle Opération' [P1 2.18] = '070' alors la donnée P1 1.1 = 'STD'
</t>
        </is>
      </c>
      <c r="AR256" s="317" t="inlineStr">
        <is>
          <t xml:space="preserve">If the Risk type [P1 2.0] 
- = 'EQU101' then the data P1 1.1 = 'STD' or 'IRB FT' or 'NON RC'
- = 'EQU201' then data P1 1.1 = 'STD' or 'NON RC'
- = 'ISS100' then data P1 1.1 = 'RM' or 'NON RC'
- starts with 'INTxx' then the data P1 1.1 = 'NO RC'
---
If filled and if the Risk type [P1 2.0] = 'TRE2xx' to 'TRE4xx', 'ISS200', 'ISS300', 'SIG*' out (TRE201, TRE203, TRE205, TRE206, TRE207) and the 'Basel Operation Portfolio' [P1 2.18] = '070' then the data P1 1.1 = 'STD'
</t>
        </is>
      </c>
      <c r="AS256" s="257" t="n">
        <v>7</v>
      </c>
      <c r="AT256" s="418" t="inlineStr">
        <is>
          <t>TVS0710
TVS0711</t>
        </is>
      </c>
      <c r="AU256" s="354" t="n"/>
      <c r="AV256" s="317" t="n"/>
      <c r="AW256" s="269" t="n"/>
      <c r="AX256" s="258" t="n"/>
      <c r="AY256" s="318" t="n"/>
      <c r="AZ256" s="317" t="n"/>
      <c r="BA256" s="257" t="n"/>
      <c r="BB256" s="419" t="n"/>
      <c r="BC256" s="316" t="n"/>
      <c r="BD256" s="317" t="n"/>
      <c r="BE256" s="257" t="n"/>
      <c r="BF256" s="258" t="n"/>
      <c r="BG256" s="89" t="n"/>
      <c r="BH2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56">
        <f>_xlfn.LET(r,ROW(),oc,INDEX($A:$A,r),cv,TRIM(INDEX($Y:$Y,r)&amp;""),IF(oc&lt;&gt;"P1","",IF(cv="45","V45 - novo, nao alimentado pelo spool atual","V44 - alimentado pelo spool atual")))</f>
        <v/>
      </c>
    </row>
    <row r="257" ht="54" customFormat="1" customHeight="1" s="91">
      <c r="A257" s="306" t="inlineStr">
        <is>
          <t>P1</t>
        </is>
      </c>
      <c r="B257" s="307" t="n">
        <v>22</v>
      </c>
      <c r="C257" s="269" t="inlineStr">
        <is>
          <t>31 - Paramètres bâlois</t>
        </is>
      </c>
      <c r="D257" s="236" t="inlineStr">
        <is>
          <t>31 - Basel settings</t>
        </is>
      </c>
      <c r="E257" s="307" t="inlineStr">
        <is>
          <t>P1 1.2</t>
        </is>
      </c>
      <c r="F257" s="374" t="inlineStr">
        <is>
          <t>Traitement moteur bâlois</t>
        </is>
      </c>
      <c r="G257" s="309" t="inlineStr">
        <is>
          <t>Basel engine treatment</t>
        </is>
      </c>
      <c r="H257" s="1493">
        <f>"RPAD( "&amp;SUBSTITUTE(SUBSTITUTE(E257," ","_"),".","_")&amp;","&amp;W257&amp;",' '); -- "&amp;E257</f>
        <v/>
      </c>
      <c r="I257" s="241" t="inlineStr">
        <is>
          <t xml:space="preserve">Correspond au traitement moteur de calcul des RWA Bâlois </t>
        </is>
      </c>
      <c r="J257" s="309" t="inlineStr">
        <is>
          <t>Represents treatment by the Basel RWA calculation engine</t>
        </is>
      </c>
      <c r="K257" s="370" t="inlineStr">
        <is>
          <t>ND</t>
        </is>
      </c>
      <c r="L257" s="371" t="inlineStr">
        <is>
          <t>ND</t>
        </is>
      </c>
      <c r="M257" s="1420" t="inlineStr">
        <is>
          <t>cdTraitMot</t>
        </is>
      </c>
      <c r="N257" s="257" t="inlineStr">
        <is>
          <t>Obligatoire</t>
        </is>
      </c>
      <c r="O257" s="236" t="inlineStr">
        <is>
          <t>Mandatory</t>
        </is>
      </c>
      <c r="P257" s="269" t="inlineStr">
        <is>
          <t>LC.0154</t>
        </is>
      </c>
      <c r="Q257" s="269" t="inlineStr">
        <is>
          <t>TA KVTBALE</t>
        </is>
      </c>
      <c r="R257" s="241" t="inlineStr">
        <is>
          <t>Non applicable pour les ISS100, renseigner avec la valeur '09' (Hors moteur)</t>
        </is>
      </c>
      <c r="S257" s="233" t="inlineStr">
        <is>
          <t>Not applicable for ISS100, enter the value '09' (excluding engine)</t>
        </is>
      </c>
      <c r="T257" s="313" t="inlineStr">
        <is>
          <t>ALPHA</t>
        </is>
      </c>
      <c r="U257" s="237" t="inlineStr">
        <is>
          <t>NA</t>
        </is>
      </c>
      <c r="V257" s="238" t="inlineStr">
        <is>
          <t>NA</t>
        </is>
      </c>
      <c r="W257" s="257" t="n">
        <v>2</v>
      </c>
      <c r="X257" s="945" t="inlineStr">
        <is>
          <t>NA</t>
        </is>
      </c>
      <c r="Y257" s="237" t="n">
        <v>40</v>
      </c>
      <c r="Z257" s="237" t="inlineStr">
        <is>
          <t>NA</t>
        </is>
      </c>
      <c r="AA257" s="270" t="inlineStr">
        <is>
          <t>NA</t>
        </is>
      </c>
      <c r="AB257" s="994" t="inlineStr">
        <is>
          <t>CALCULS PRUDENTIELS, ESG PILIER 3</t>
        </is>
      </c>
      <c r="AC257" s="231" t="inlineStr">
        <is>
          <t>ND</t>
        </is>
      </c>
      <c r="AD257" s="257" t="inlineStr">
        <is>
          <t>N</t>
        </is>
      </c>
      <c r="AE257" s="971" t="inlineStr">
        <is>
          <t>EQU101
EQU201
ISS100
ISS200 et 300
TRE100
TRE2 à 4XX hors 203,205,206,207
TRE203, 205, 207
TRE206
TRE5XX
SIG
VAR*
INT</t>
        </is>
      </c>
      <c r="AF257" s="257" t="inlineStr">
        <is>
          <t>NA</t>
        </is>
      </c>
      <c r="AG257" s="258" t="inlineStr">
        <is>
          <t>NA</t>
        </is>
      </c>
      <c r="AH257" s="89" t="n"/>
      <c r="AI257" s="316" t="inlineStr">
        <is>
          <t>La donnée est obligatoire</t>
        </is>
      </c>
      <c r="AJ257" s="317" t="inlineStr">
        <is>
          <t>The data is mandatory</t>
        </is>
      </c>
      <c r="AK257" s="257" t="n">
        <v>7</v>
      </c>
      <c r="AL257" s="335" t="inlineStr">
        <is>
          <t>TPG0001</t>
        </is>
      </c>
      <c r="AM257" s="318" t="inlineStr">
        <is>
          <t>Si elle est renseignée, la valeur doit être connue du Langage Commun associé</t>
        </is>
      </c>
      <c r="AN257" s="317" t="inlineStr">
        <is>
          <t>If specified, the value must be known to the associated Common Language</t>
        </is>
      </c>
      <c r="AO257" s="257" t="n">
        <v>7</v>
      </c>
      <c r="AP257" s="212" t="inlineStr">
        <is>
          <t>TIG0001</t>
        </is>
      </c>
      <c r="AQ257" s="398" t="inlineStr">
        <is>
          <t>Si le type de risque [P1 2.0] = 'ISS100', alors la donnée 'Traitement moteur bâlois' [P1 1.2] = '09'</t>
        </is>
      </c>
      <c r="AR257" s="317" t="inlineStr">
        <is>
          <t>If Risk type [P1 2.0] = 'ISS100' then the data 'Basel engine treatment' [P1 1.2] = '09'</t>
        </is>
      </c>
      <c r="AS257" s="257" t="n">
        <v>7</v>
      </c>
      <c r="AT257" s="345" t="inlineStr">
        <is>
          <t>TVS0712</t>
        </is>
      </c>
      <c r="AU257" s="322" t="inlineStr">
        <is>
          <t>La valeur renseignée doit être cohérente avec la 'Méthodologie Bâloise' [P1 1.1] (LC.0154 - TA 0990 KVCOTMMC)</t>
        </is>
      </c>
      <c r="AV257" s="317" t="inlineStr">
        <is>
          <t>Value filled must be consistent with the 'Basel Methodology' [P1 1.1] (LC.0154 - TA 0990 KVCOTTM)</t>
        </is>
      </c>
      <c r="AW257" s="257" t="n">
        <v>7</v>
      </c>
      <c r="AX257" s="420" t="inlineStr">
        <is>
          <t>TCS0705</t>
        </is>
      </c>
      <c r="AY257" s="318" t="n"/>
      <c r="AZ257" s="317" t="n"/>
      <c r="BA257" s="257" t="n"/>
      <c r="BB257" s="257" t="n"/>
      <c r="BC257" s="316" t="n"/>
      <c r="BD257" s="317" t="n"/>
      <c r="BE257" s="257" t="n"/>
      <c r="BF257" s="258" t="n"/>
      <c r="BG257" s="89" t="n"/>
      <c r="BH2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57">
        <f>_xlfn.LET(r,ROW(),oc,INDEX($A:$A,r),cv,TRIM(INDEX($Y:$Y,r)&amp;""),IF(oc&lt;&gt;"P1","",IF(cv="45","V45 - novo, nao alimentado pelo spool atual","V44 - alimentado pelo spool atual")))</f>
        <v/>
      </c>
    </row>
    <row r="258" ht="54" customFormat="1" customHeight="1" s="91">
      <c r="A258" s="306" t="inlineStr">
        <is>
          <t>P1</t>
        </is>
      </c>
      <c r="B258" s="307" t="n">
        <v>23</v>
      </c>
      <c r="C258" s="269" t="inlineStr">
        <is>
          <t>03 - Caractéristiques Générales</t>
        </is>
      </c>
      <c r="D258" s="236" t="inlineStr">
        <is>
          <t>03 - General characteristics</t>
        </is>
      </c>
      <c r="E258" s="307" t="inlineStr">
        <is>
          <t>P1 4.34</t>
        </is>
      </c>
      <c r="F258" s="308" t="inlineStr">
        <is>
          <t>Traitement GRR</t>
        </is>
      </c>
      <c r="G258" s="309" t="inlineStr">
        <is>
          <t>Large Exposure Treatment</t>
        </is>
      </c>
      <c r="H258" s="1493">
        <f>"RPAD( "&amp;SUBSTITUTE(SUBSTITUTE(E258," ","_"),".","_")&amp;","&amp;W258&amp;",' '); -- "&amp;E258</f>
        <v/>
      </c>
      <c r="I258" s="241" t="inlineStr">
        <is>
          <t>Permet de filtrer certains engagements du moteur GRR (pour faciliter les correctifs)</t>
        </is>
      </c>
      <c r="J258" s="309" t="inlineStr">
        <is>
          <t>Makes it possible to filter certain commitments of the Large Exposures engine (to facilitate corrections)</t>
        </is>
      </c>
      <c r="K258" s="370" t="inlineStr">
        <is>
          <t>ND</t>
        </is>
      </c>
      <c r="L258" s="371" t="inlineStr">
        <is>
          <t>ND</t>
        </is>
      </c>
      <c r="M258" s="1420" t="inlineStr">
        <is>
          <t>cdTraitGRR</t>
        </is>
      </c>
      <c r="N258" s="257" t="inlineStr">
        <is>
          <t>Obligatoire</t>
        </is>
      </c>
      <c r="O258" s="236" t="inlineStr">
        <is>
          <t>Mandatory</t>
        </is>
      </c>
      <c r="P258" s="269" t="inlineStr">
        <is>
          <t>NA</t>
        </is>
      </c>
      <c r="Q258" s="269" t="inlineStr">
        <is>
          <t>NA</t>
        </is>
      </c>
      <c r="R258" s="241" t="inlineStr">
        <is>
          <t>Ce champ doit être utilisé pour gérer des cas d'exception et doit faire l'objet d'un accord de la DRG</t>
        </is>
      </c>
      <c r="S258" s="233" t="inlineStr">
        <is>
          <t>This field must be used to manage exceptions and must be subject to a DRG agreement</t>
        </is>
      </c>
      <c r="T258" s="313" t="inlineStr">
        <is>
          <t>ALPHA</t>
        </is>
      </c>
      <c r="U258" s="237" t="inlineStr">
        <is>
          <t>NA</t>
        </is>
      </c>
      <c r="V258" s="238" t="inlineStr">
        <is>
          <t>NA</t>
        </is>
      </c>
      <c r="W258" s="257" t="n">
        <v>1</v>
      </c>
      <c r="X258" s="945" t="inlineStr">
        <is>
          <t>NA</t>
        </is>
      </c>
      <c r="Y258" s="237" t="n">
        <v>40</v>
      </c>
      <c r="Z258" s="237" t="inlineStr">
        <is>
          <t>NA</t>
        </is>
      </c>
      <c r="AA258" s="237" t="inlineStr">
        <is>
          <t>NA</t>
        </is>
      </c>
      <c r="AB258" s="269" t="inlineStr">
        <is>
          <t>GRR</t>
        </is>
      </c>
      <c r="AC258" s="231" t="inlineStr">
        <is>
          <t>ND</t>
        </is>
      </c>
      <c r="AD258" s="257" t="inlineStr">
        <is>
          <t>N</t>
        </is>
      </c>
      <c r="AE258" s="971" t="inlineStr">
        <is>
          <t>EQU101
EQU201
ISS100
ISS200 et 300
TRE100
TRE2 à 4XX hors 203,205,206,207
TRE203, 205, 207
TRE206
TRE5XX
SIG
VAR*
INT</t>
        </is>
      </c>
      <c r="AF258" s="257" t="inlineStr">
        <is>
          <t>NA</t>
        </is>
      </c>
      <c r="AG258" s="258" t="inlineStr">
        <is>
          <t>NA</t>
        </is>
      </c>
      <c r="AH258" s="89" t="n"/>
      <c r="AI258" s="316" t="inlineStr">
        <is>
          <t>La donnée est obligatoire</t>
        </is>
      </c>
      <c r="AJ258" s="317" t="inlineStr">
        <is>
          <t>The data is mandatory</t>
        </is>
      </c>
      <c r="AK258" s="257" t="n">
        <v>7</v>
      </c>
      <c r="AL258" s="335" t="inlineStr">
        <is>
          <t>TPG0001</t>
        </is>
      </c>
      <c r="AM258" s="421" t="n"/>
      <c r="AN258" s="422" t="n"/>
      <c r="AO258" s="348" t="n"/>
      <c r="AP258" s="423" t="n"/>
      <c r="AQ258" s="318" t="inlineStr">
        <is>
          <t>Si renseignée, la donnée doit être égale à 'Y'</t>
        </is>
      </c>
      <c r="AR258" s="317" t="inlineStr">
        <is>
          <t>If filled, data must be equal to 'Y'</t>
        </is>
      </c>
      <c r="AS258" s="257" t="n">
        <v>6</v>
      </c>
      <c r="AT258" s="424" t="inlineStr">
        <is>
          <t>TVS0713</t>
        </is>
      </c>
      <c r="AU258" s="318" t="n"/>
      <c r="AV258" s="317" t="n"/>
      <c r="AW258" s="257" t="n"/>
      <c r="AX258" s="258" t="n"/>
      <c r="AY258" s="318" t="n"/>
      <c r="AZ258" s="317" t="n"/>
      <c r="BA258" s="257" t="n"/>
      <c r="BB258" s="258" t="n"/>
      <c r="BC258" s="316" t="n"/>
      <c r="BD258" s="317" t="n"/>
      <c r="BE258" s="257" t="n"/>
      <c r="BF258" s="258" t="n"/>
      <c r="BG258" s="89" t="n"/>
      <c r="BH2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58">
        <f>_xlfn.LET(r,ROW(),oc,INDEX($A:$A,r),cv,TRIM(INDEX($Y:$Y,r)&amp;""),IF(oc&lt;&gt;"P1","",IF(cv="45","V45 - novo, nao alimentado pelo spool atual","V44 - alimentado pelo spool atual")))</f>
        <v/>
      </c>
    </row>
    <row r="259" ht="54" customFormat="1" customHeight="1" s="91">
      <c r="A259" s="306" t="inlineStr">
        <is>
          <t>P1</t>
        </is>
      </c>
      <c r="B259" s="307" t="n">
        <v>24</v>
      </c>
      <c r="C259" s="269" t="inlineStr">
        <is>
          <t>03 - Caractéristiques Générales</t>
        </is>
      </c>
      <c r="D259" s="236" t="inlineStr">
        <is>
          <t>03 - General characteristics</t>
        </is>
      </c>
      <c r="E259" s="307" t="inlineStr">
        <is>
          <t>P1 2.0</t>
        </is>
      </c>
      <c r="F259" s="308" t="inlineStr">
        <is>
          <t>Type de risque</t>
        </is>
      </c>
      <c r="G259" s="309" t="inlineStr">
        <is>
          <t>Risk type</t>
        </is>
      </c>
      <c r="H259" s="1493">
        <f>"RPAD( "&amp;SUBSTITUTE(SUBSTITUTE(E259," ","_"),".","_")&amp;","&amp;W259&amp;",' '); -- "&amp;E259</f>
        <v/>
      </c>
      <c r="I259" s="241" t="inlineStr">
        <is>
          <t>Classification de l'opération selon la nomenclature risque</t>
        </is>
      </c>
      <c r="J259" s="309" t="inlineStr">
        <is>
          <t>Classification of transaction on the basis of the risk nomenclature</t>
        </is>
      </c>
      <c r="K259" s="370" t="inlineStr">
        <is>
          <t>ND</t>
        </is>
      </c>
      <c r="L259" s="371" t="inlineStr">
        <is>
          <t>ND</t>
        </is>
      </c>
      <c r="M259" s="1420" t="inlineStr">
        <is>
          <t>cdTypRis</t>
        </is>
      </c>
      <c r="N259" s="257" t="inlineStr">
        <is>
          <t>Obligatoire</t>
        </is>
      </c>
      <c r="O259" s="236" t="inlineStr">
        <is>
          <t>Mandatory</t>
        </is>
      </c>
      <c r="P259" s="269" t="inlineStr">
        <is>
          <t>LC.0030</t>
        </is>
      </c>
      <c r="Q259" s="269" t="inlineStr">
        <is>
          <t>TA KVTYPRIS</t>
        </is>
      </c>
      <c r="R259" s="241" t="inlineStr">
        <is>
          <t>Les titres de créances sont classés en ISS200 ou ISS300, en norme française, en fonction de la durée de conservation de ces titres dans le bilan de l'établissement
Pour les types de risques (TRE100, TRE2xx à 4xx, TRE203,205,207, TRE206, TRE5xx, SIG, VAR (hors Repos), VAR105 et 302, INT) si l'engagement est lié à une autorisation, le type de risque est égal au type de risque de la ligne de détail associée (F2)</t>
        </is>
      </c>
      <c r="S259" s="233" t="inlineStr">
        <is>
          <t>Debts securities are classified in ISS200 or ISS300, in French standard, depending on the length of retention of these securities in the balance sheet of the institution
For risk types (TRE100, TRE2xx to 4xx, TRE203,205,207, TRE206, TRE5xx, SIG, VAR (excluding Rest), VAR105 and 302, INT) if the funds in use is linked to an authorization, the risk type is equal to the risk type of the associated detail line (F2)</t>
        </is>
      </c>
      <c r="T259" s="313" t="inlineStr">
        <is>
          <t>ALPHA</t>
        </is>
      </c>
      <c r="U259" s="237" t="inlineStr">
        <is>
          <t>NA</t>
        </is>
      </c>
      <c r="V259" s="238" t="inlineStr">
        <is>
          <t>NA</t>
        </is>
      </c>
      <c r="W259" s="257" t="n">
        <v>6</v>
      </c>
      <c r="X259" s="945" t="inlineStr">
        <is>
          <t>NA</t>
        </is>
      </c>
      <c r="Y259" s="237" t="n">
        <v>40</v>
      </c>
      <c r="Z259" s="237" t="inlineStr">
        <is>
          <t>NA</t>
        </is>
      </c>
      <c r="AA259" s="270" t="inlineStr">
        <is>
          <t>NA</t>
        </is>
      </c>
      <c r="AB259" s="994" t="inlineStr">
        <is>
          <t>AER, ALMM, ANACREDIT, ASTRE, CALCULS PRUDENTIELS, CONGLOMERATS, CORFOU, DEI, ESG PILIER 3, GRR, LOAN TAPE, NPE, NSFR, OMP, PVA, RISQUES SYSTEMIQUES, SA-CCR, SHS, SRB VALUATION</t>
        </is>
      </c>
      <c r="AC259" s="231" t="inlineStr">
        <is>
          <t>ND</t>
        </is>
      </c>
      <c r="AD259" s="257" t="inlineStr">
        <is>
          <t>N</t>
        </is>
      </c>
      <c r="AE259" s="971" t="inlineStr">
        <is>
          <t>EQU101
EQU201
ISS100
ISS200 et 300
TRE100
TRE2 à 4XX hors 203,205,206,207
TRE203, 205, 207
TRE206
TRE5XX
SIG
VAR*
INT</t>
        </is>
      </c>
      <c r="AF259" s="257" t="inlineStr">
        <is>
          <t>NA</t>
        </is>
      </c>
      <c r="AG259" s="258" t="inlineStr">
        <is>
          <t>NA</t>
        </is>
      </c>
      <c r="AH259" s="89" t="n"/>
      <c r="AI259" s="316" t="inlineStr">
        <is>
          <t>La donnée est obligatoire</t>
        </is>
      </c>
      <c r="AJ259" s="317" t="inlineStr">
        <is>
          <t>The data is mandatory</t>
        </is>
      </c>
      <c r="AK259" s="257" t="n">
        <v>7</v>
      </c>
      <c r="AL259" s="335" t="inlineStr">
        <is>
          <t>TPG0001</t>
        </is>
      </c>
      <c r="AM259" s="318" t="inlineStr">
        <is>
          <t>Si elle est renseignée, la valeur doit être connue du Langage Commun associé</t>
        </is>
      </c>
      <c r="AN259" s="317" t="inlineStr">
        <is>
          <t>If specified, the value must be known to the associated Common Language</t>
        </is>
      </c>
      <c r="AO259" s="257" t="n">
        <v>7</v>
      </c>
      <c r="AP259" s="212" t="inlineStr">
        <is>
          <t>TIG0001</t>
        </is>
      </c>
      <c r="AQ259" s="318" t="inlineStr">
        <is>
          <t>Si renseignée, la valeur doit être différente de 'DVP100'</t>
        </is>
      </c>
      <c r="AR259" s="317" t="inlineStr">
        <is>
          <t>If filled, the value must be different from 'DVP100'</t>
        </is>
      </c>
      <c r="AS259" s="257" t="n">
        <v>7</v>
      </c>
      <c r="AT259" s="366" t="inlineStr">
        <is>
          <t>TVS0707</t>
        </is>
      </c>
      <c r="AU259" s="390" t="inlineStr">
        <is>
          <t>La valeur renseignée doit être cohérente avec l'objet métier (LC.0030 - TA 0990 Z8COTROM)</t>
        </is>
      </c>
      <c r="AV259" s="391" t="inlineStr">
        <is>
          <t>The value filled must be consistent with the business object (LC.0030 - TA 0990 Z8COTROM)</t>
        </is>
      </c>
      <c r="AW259" s="392" t="n">
        <v>7</v>
      </c>
      <c r="AX259" s="393" t="inlineStr">
        <is>
          <t>TCG0005</t>
        </is>
      </c>
      <c r="AY259" s="318" t="inlineStr">
        <is>
          <t>Si la donnée P1 2.0 = 'TRE2xx' à ‘TRE5xx' alors elle doit être identique au 'Type de risque' [F2 2.1] de l'objet métier F2 associé</t>
        </is>
      </c>
      <c r="AZ259" s="317" t="inlineStr">
        <is>
          <t>If the data item P1 2.0 = 'TRE2xx' to 'TRE5xx' then it must be identical to the 'risk Type' [F2 2.1] of the associated business object F2</t>
        </is>
      </c>
      <c r="BA259" s="257" t="n">
        <v>6</v>
      </c>
      <c r="BB259" s="258" t="inlineStr">
        <is>
          <t>TC0065</t>
        </is>
      </c>
      <c r="BC259" s="278" t="inlineStr">
        <is>
          <t>Pour la Grande Clientèle (P1), si la combinaison de donnée n'est pas trouvée dans la matrice des règles de gestion C25, le contrôle doit se lever
---
Si la combinaison de donnée n'est pas trouvée dans la matrice des règles de gestion C31, le contrôle doit se lever</t>
        </is>
      </c>
      <c r="BD259" s="160" t="inlineStr">
        <is>
          <t>For P1, if the data combinaison is not found in the C25 business rules matrix, the control must trigger
---
If the data combinaison is not found in the C31 business rules matrix, the control must trigger</t>
        </is>
      </c>
      <c r="BE259" s="257" t="n">
        <v>6</v>
      </c>
      <c r="BF259" s="393" t="inlineStr">
        <is>
          <t>TC0C25
TC0C31</t>
        </is>
      </c>
      <c r="BG259" s="89" t="n"/>
      <c r="BH2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59">
        <f>_xlfn.LET(r,ROW(),oc,INDEX($A:$A,r),cv,TRIM(INDEX($Y:$Y,r)&amp;""),IF(oc&lt;&gt;"P1","",IF(cv="45","V45 - novo, nao alimentado pelo spool atual","V44 - alimentado pelo spool atual")))</f>
        <v/>
      </c>
    </row>
    <row r="260" ht="54" customFormat="1" customHeight="1" s="91">
      <c r="A260" s="306" t="inlineStr">
        <is>
          <t>P1</t>
        </is>
      </c>
      <c r="B260" s="307" t="n">
        <v>25</v>
      </c>
      <c r="C260" s="269" t="inlineStr">
        <is>
          <t>03 - Caractéristiques Générales</t>
        </is>
      </c>
      <c r="D260" s="236" t="inlineStr">
        <is>
          <t>03 - General characteristics</t>
        </is>
      </c>
      <c r="E260" s="307" t="inlineStr">
        <is>
          <t>P1 2.4</t>
        </is>
      </c>
      <c r="F260" s="374" t="inlineStr">
        <is>
          <t>Portefeuille de booking Intention de Gestion</t>
        </is>
      </c>
      <c r="G260" s="309" t="inlineStr">
        <is>
          <t>Booking portfolio Management intent</t>
        </is>
      </c>
      <c r="H260" s="1493">
        <f>"RPAD( "&amp;SUBSTITUTE(SUBSTITUTE(E260," ","_"),".","_")&amp;","&amp;W260&amp;",' '); -- "&amp;E260</f>
        <v/>
      </c>
      <c r="I260" s="241" t="inlineStr">
        <is>
          <t>Désigne si l'opération appartient au banking book (portefeuille bancaire) ou au trading book (portefeuille de négociation)</t>
        </is>
      </c>
      <c r="J260" s="309" t="inlineStr">
        <is>
          <t>Indicates whether the deal belongs to banking book or trading book</t>
        </is>
      </c>
      <c r="K260" s="370" t="inlineStr">
        <is>
          <t>ND</t>
        </is>
      </c>
      <c r="L260" s="371" t="inlineStr">
        <is>
          <t>ND</t>
        </is>
      </c>
      <c r="M260" s="1420" t="inlineStr">
        <is>
          <t>cdIntGest</t>
        </is>
      </c>
      <c r="N260" s="257" t="inlineStr">
        <is>
          <t>Obligatoire</t>
        </is>
      </c>
      <c r="O260" s="236" t="inlineStr">
        <is>
          <t>Mandatory</t>
        </is>
      </c>
      <c r="P260" s="269" t="inlineStr">
        <is>
          <t>LC.0029</t>
        </is>
      </c>
      <c r="Q260" s="269" t="inlineStr">
        <is>
          <t>TA KVINTENT</t>
        </is>
      </c>
      <c r="R260" s="241" t="inlineStr">
        <is>
          <t>NA</t>
        </is>
      </c>
      <c r="S260" s="233" t="inlineStr">
        <is>
          <t>NA</t>
        </is>
      </c>
      <c r="T260" s="313" t="inlineStr">
        <is>
          <t>ALPHA</t>
        </is>
      </c>
      <c r="U260" s="237" t="inlineStr">
        <is>
          <t>NA</t>
        </is>
      </c>
      <c r="V260" s="238" t="inlineStr">
        <is>
          <t>NA</t>
        </is>
      </c>
      <c r="W260" s="257" t="n">
        <v>1</v>
      </c>
      <c r="X260" s="945" t="inlineStr">
        <is>
          <t>NA</t>
        </is>
      </c>
      <c r="Y260" s="237" t="n">
        <v>40</v>
      </c>
      <c r="Z260" s="237" t="inlineStr">
        <is>
          <t>NA</t>
        </is>
      </c>
      <c r="AA260" s="270" t="inlineStr">
        <is>
          <t>45.00</t>
        </is>
      </c>
      <c r="AB260" s="932" t="inlineStr">
        <is>
          <t>AER, ANACREDIT, ASTRE, CALCULS PRUDENTIELS, CONGLOMERATS, CORFOU, DEI, ESG PILIER 3, GRR, LIQUIDITE, MREL, NPE, PALMA, PVA, RISQUES SYSTEMIQUES, SHS, SRB VALUATION</t>
        </is>
      </c>
      <c r="AC260" s="231" t="inlineStr">
        <is>
          <t>ND</t>
        </is>
      </c>
      <c r="AD260" s="257" t="inlineStr">
        <is>
          <t>N</t>
        </is>
      </c>
      <c r="AE260" s="971" t="inlineStr">
        <is>
          <t>EQU101
EQU201
ISS100
ISS200 et 300
TRE100
TRE2 à 4XX hors 203,205,206,207
TRE203, 205, 207
TRE206
TRE5XX
SIG
VAR*
INT</t>
        </is>
      </c>
      <c r="AF260" s="257" t="inlineStr">
        <is>
          <t>NA</t>
        </is>
      </c>
      <c r="AG260" s="258" t="inlineStr">
        <is>
          <t>NA</t>
        </is>
      </c>
      <c r="AH260" s="89" t="n"/>
      <c r="AI260" s="316" t="inlineStr">
        <is>
          <t>La donnée est obligatoire</t>
        </is>
      </c>
      <c r="AJ260" s="317" t="inlineStr">
        <is>
          <t>The data is mandatory</t>
        </is>
      </c>
      <c r="AK260" s="257" t="n">
        <v>7</v>
      </c>
      <c r="AL260" s="335" t="inlineStr">
        <is>
          <t>TPG0001</t>
        </is>
      </c>
      <c r="AM260" s="318" t="inlineStr">
        <is>
          <t>Si elle est renseignée, la valeur doit être connue du Langage Commun associé</t>
        </is>
      </c>
      <c r="AN260" s="317" t="inlineStr">
        <is>
          <t>If specified, the value must be known to the associated Common Language</t>
        </is>
      </c>
      <c r="AO260" s="257" t="n">
        <v>7</v>
      </c>
      <c r="AP260" s="212" t="inlineStr">
        <is>
          <t>TIG0001</t>
        </is>
      </c>
      <c r="AQ260" s="398" t="inlineStr">
        <is>
          <t xml:space="preserve">Si le type de risque [P1 2.0] = 'EQU201', 'ISS200', 'ISS300', 'TRE100', alors la donnée 'Portefeuille de booking Intention de Gestion' [P1 2.4] = 'B' et si le type de risque = 'ISS100' alors la donnée 'Portefeuille de booking Intention de Gestion' [P1 2.4] = 'T'
---
Si le type de risque [P1 2.0] = 'EQU101' et si Méthodologie Bâloise [P1 1.1] = 'RM', alors la donnée 'Portefeuille de booking Intention de Gestion' [P1 2.4] = 'B' </t>
        </is>
      </c>
      <c r="AR260" s="317" t="inlineStr">
        <is>
          <t xml:space="preserve">If Risk type [P1 2.0] = 'EQU201', 'ISS200', 'ISS300', 'TRE100', then the data 'Booking portfolio Management intent' [P1 2.4] = 'B' and if Risk type = 'ISS100' then the data 'Booking portfolio Management intent' [P1 2.4] = 'T'
---
If Risk type [P1 2.0] = 'EQU101' and if Basel methodology [P1 1.1] = 'RM', then the data 'Booking portfolio Management intent' [P1 2.4] = 'B' </t>
        </is>
      </c>
      <c r="AS260" s="257" t="n">
        <v>7</v>
      </c>
      <c r="AT260" s="418" t="inlineStr">
        <is>
          <t>TVS0714
TVS0715</t>
        </is>
      </c>
      <c r="AU260" s="318" t="n"/>
      <c r="AV260" s="317" t="n"/>
      <c r="AW260" s="257" t="n"/>
      <c r="AX260" s="258" t="n"/>
      <c r="AY260" s="318" t="n"/>
      <c r="AZ260" s="317" t="n"/>
      <c r="BA260" s="257" t="n"/>
      <c r="BB260" s="258" t="n"/>
      <c r="BC260" s="316" t="n"/>
      <c r="BD260" s="317" t="n"/>
      <c r="BE260" s="257" t="n"/>
      <c r="BF260" s="258" t="n"/>
      <c r="BG260" s="89" t="n"/>
      <c r="BH2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60">
        <f>_xlfn.LET(r,ROW(),oc,INDEX($A:$A,r),cv,TRIM(INDEX($Y:$Y,r)&amp;""),IF(oc&lt;&gt;"P1","",IF(cv="45","V45 - novo, nao alimentado pelo spool atual","V44 - alimentado pelo spool atual")))</f>
        <v/>
      </c>
    </row>
    <row r="261" ht="54" customFormat="1" customHeight="1" s="91">
      <c r="A261" s="306" t="inlineStr">
        <is>
          <t>P1</t>
        </is>
      </c>
      <c r="B261" s="307" t="n">
        <v>26</v>
      </c>
      <c r="C261" s="269" t="inlineStr">
        <is>
          <t>03 - Caractéristiques Générales</t>
        </is>
      </c>
      <c r="D261" s="236" t="inlineStr">
        <is>
          <t>03 - General characteristics</t>
        </is>
      </c>
      <c r="E261" s="307" t="inlineStr">
        <is>
          <t>P1 2.6</t>
        </is>
      </c>
      <c r="F261" s="308" t="inlineStr">
        <is>
          <t>Ligne Métier</t>
        </is>
      </c>
      <c r="G261" s="309" t="inlineStr">
        <is>
          <t>Business line</t>
        </is>
      </c>
      <c r="H261" s="1493">
        <f>"RPAD( "&amp;SUBSTITUTE(SUBSTITUTE(E261," ","_"),".","_")&amp;","&amp;W261&amp;",' '); -- "&amp;E261</f>
        <v/>
      </c>
      <c r="I261" s="241" t="inlineStr">
        <is>
          <t>Classification de l'opération selon la ligne Métier</t>
        </is>
      </c>
      <c r="J261" s="309" t="inlineStr">
        <is>
          <t>Classification of the transaction by business line</t>
        </is>
      </c>
      <c r="K261" s="370" t="inlineStr">
        <is>
          <t>ND</t>
        </is>
      </c>
      <c r="L261" s="371" t="inlineStr">
        <is>
          <t>ND</t>
        </is>
      </c>
      <c r="M261" s="1420" t="inlineStr">
        <is>
          <t>cdLm</t>
        </is>
      </c>
      <c r="N261" s="958" t="inlineStr">
        <is>
          <t>Obligatoire (SC)</t>
        </is>
      </c>
      <c r="O261" s="1006" t="inlineStr">
        <is>
          <t>Mandatory (SC)</t>
        </is>
      </c>
      <c r="P261" s="269" t="inlineStr">
        <is>
          <t>LC.0033</t>
        </is>
      </c>
      <c r="Q261" s="269" t="inlineStr">
        <is>
          <t>TA KVMETIER</t>
        </is>
      </c>
      <c r="R261" s="1258" t="inlineStr">
        <is>
          <t>Nomenclature définie par CACIB. Permet de distinguer les encours par ligne métier dans les outils de consolidation risques et notamment la distinction des lignes métier Leasing et Affacturage</t>
        </is>
      </c>
      <c r="S261" s="1259" t="inlineStr">
        <is>
          <t>Nomenclature defined by CACIB. Allows to distinguish the outstandings by business line in the risk consolidation tools and in particular the distinction of business lines Leasing and Factoring</t>
        </is>
      </c>
      <c r="T261" s="313" t="inlineStr">
        <is>
          <t>ALPHA</t>
        </is>
      </c>
      <c r="U261" s="237" t="inlineStr">
        <is>
          <t>NA</t>
        </is>
      </c>
      <c r="V261" s="238" t="inlineStr">
        <is>
          <t>NA</t>
        </is>
      </c>
      <c r="W261" s="257" t="n">
        <v>5</v>
      </c>
      <c r="X261" s="945" t="inlineStr">
        <is>
          <t>NA</t>
        </is>
      </c>
      <c r="Y261" s="237" t="n">
        <v>40</v>
      </c>
      <c r="Z261" s="237" t="inlineStr">
        <is>
          <t>NA</t>
        </is>
      </c>
      <c r="AA261" s="978" t="inlineStr">
        <is>
          <t>45.00</t>
        </is>
      </c>
      <c r="AB261" s="932" t="inlineStr">
        <is>
          <t>ANACREDIT, CALCULS PRUDENTIELS, DEI, LIQUIDITE, MREL</t>
        </is>
      </c>
      <c r="AC261" s="231" t="inlineStr">
        <is>
          <t>ND</t>
        </is>
      </c>
      <c r="AD261" s="257" t="inlineStr">
        <is>
          <t>N</t>
        </is>
      </c>
      <c r="AE261" s="971" t="inlineStr">
        <is>
          <t>EQU101
EQU201
ISS100
ISS200 et 300
TRE100
TRE2 à 4XX hors 203,205,206,207
TRE203, 205, 207
TRE206
TRE5XX
SIG
VAR*
INT</t>
        </is>
      </c>
      <c r="AF261" s="257" t="inlineStr">
        <is>
          <t>NA</t>
        </is>
      </c>
      <c r="AG261" s="258" t="inlineStr">
        <is>
          <t>NA</t>
        </is>
      </c>
      <c r="AH261" s="89" t="n"/>
      <c r="AI261" s="316" t="n"/>
      <c r="AJ261" s="317" t="n"/>
      <c r="AK261" s="257" t="n"/>
      <c r="AL261" s="258" t="n"/>
      <c r="AM261" s="318" t="inlineStr">
        <is>
          <t>Si elle est renseignée, la valeur doit être connue du Langage Commun associé</t>
        </is>
      </c>
      <c r="AN261" s="317" t="inlineStr">
        <is>
          <t>If specified, the value must be known to the associated Common Language</t>
        </is>
      </c>
      <c r="AO261" s="257" t="n">
        <v>7</v>
      </c>
      <c r="AP261" s="212" t="inlineStr">
        <is>
          <t>TIG0001</t>
        </is>
      </c>
      <c r="AQ261" s="318" t="n"/>
      <c r="AR261" s="317" t="n"/>
      <c r="AS261" s="257" t="n"/>
      <c r="AT261" s="258" t="n"/>
      <c r="AU261" s="318" t="n"/>
      <c r="AV261" s="317" t="n"/>
      <c r="AW261" s="257" t="n"/>
      <c r="AX261" s="258" t="n"/>
      <c r="AY261" s="318" t="n"/>
      <c r="AZ261" s="317" t="n"/>
      <c r="BA261" s="257" t="n"/>
      <c r="BB261" s="258" t="n"/>
      <c r="BC261" s="316" t="n"/>
      <c r="BD261" s="317" t="n"/>
      <c r="BE261" s="257" t="n"/>
      <c r="BF261" s="258" t="n"/>
      <c r="BG261" s="89" t="n"/>
      <c r="BH2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61">
        <f>_xlfn.LET(r,ROW(),oc,INDEX($A:$A,r),cv,TRIM(INDEX($Y:$Y,r)&amp;""),IF(oc&lt;&gt;"P1","",IF(cv="45","V45 - novo, nao alimentado pelo spool atual","V44 - alimentado pelo spool atual")))</f>
        <v/>
      </c>
    </row>
    <row r="262" ht="54" customFormat="1" customHeight="1" s="91">
      <c r="A262" s="306" t="inlineStr">
        <is>
          <t>P1</t>
        </is>
      </c>
      <c r="B262" s="307" t="n">
        <v>27</v>
      </c>
      <c r="C262" s="269" t="inlineStr">
        <is>
          <t>31 - Paramètres bâlois</t>
        </is>
      </c>
      <c r="D262" s="236" t="inlineStr">
        <is>
          <t>31 - Basel settings</t>
        </is>
      </c>
      <c r="E262" s="307" t="inlineStr">
        <is>
          <t>P1 2.18</t>
        </is>
      </c>
      <c r="F262" s="1282" t="inlineStr">
        <is>
          <t>Portefeuille Bâle Opération</t>
        </is>
      </c>
      <c r="G262" s="309" t="inlineStr">
        <is>
          <t>Basel Transaction Portfolio</t>
        </is>
      </c>
      <c r="H262" s="1493">
        <f>"RPAD( "&amp;SUBSTITUTE(SUBSTITUTE(E262," ","_"),".","_")&amp;","&amp;W262&amp;",' '); -- "&amp;E262</f>
        <v/>
      </c>
      <c r="I262" s="241" t="inlineStr">
        <is>
          <t>Permet d'identifier le portefeuille de Bâle opération associé</t>
        </is>
      </c>
      <c r="J262" s="233" t="inlineStr">
        <is>
          <t>Identifies the associated transaction Basel portfolio</t>
        </is>
      </c>
      <c r="K262" s="269" t="inlineStr">
        <is>
          <t>ND</t>
        </is>
      </c>
      <c r="L262" s="310" t="inlineStr">
        <is>
          <t>ND</t>
        </is>
      </c>
      <c r="M262" s="1420" t="inlineStr">
        <is>
          <t>cdPortBale</t>
        </is>
      </c>
      <c r="N262" s="231" t="inlineStr">
        <is>
          <t>Obligatoire sous conditions</t>
        </is>
      </c>
      <c r="O262" s="236" t="inlineStr">
        <is>
          <t>Mandatory under conditions</t>
        </is>
      </c>
      <c r="P262" s="269" t="inlineStr">
        <is>
          <t>LC.0028</t>
        </is>
      </c>
      <c r="Q262" s="269" t="inlineStr">
        <is>
          <t>TA KVPTFO</t>
        </is>
      </c>
      <c r="R262" s="241" t="inlineStr">
        <is>
          <t>NA</t>
        </is>
      </c>
      <c r="S262" s="233" t="inlineStr">
        <is>
          <t>NA</t>
        </is>
      </c>
      <c r="T262" s="313" t="inlineStr">
        <is>
          <t>ALPHA</t>
        </is>
      </c>
      <c r="U262" s="237" t="inlineStr">
        <is>
          <t>NA</t>
        </is>
      </c>
      <c r="V262" s="238" t="inlineStr">
        <is>
          <t>NA</t>
        </is>
      </c>
      <c r="W262" s="257" t="n">
        <v>3</v>
      </c>
      <c r="X262" s="945" t="inlineStr">
        <is>
          <t>NA</t>
        </is>
      </c>
      <c r="Y262" s="237" t="n">
        <v>40</v>
      </c>
      <c r="Z262" s="237" t="inlineStr">
        <is>
          <t>NA</t>
        </is>
      </c>
      <c r="AA262" s="283" t="inlineStr">
        <is>
          <t>45.00</t>
        </is>
      </c>
      <c r="AB262" s="994" t="inlineStr">
        <is>
          <t>ANACREDIT, ASTRE, CALCULS PRUDENTIELS, CONGLOMERATS, DEI, ESG PILIER 3, LOAN TAPE, NPE, OMP, PVA, SHS, SRB VALUATION</t>
        </is>
      </c>
      <c r="AC262" s="231" t="inlineStr">
        <is>
          <t>ND</t>
        </is>
      </c>
      <c r="AD262" s="257" t="inlineStr">
        <is>
          <t>N</t>
        </is>
      </c>
      <c r="AE262" s="971" t="inlineStr">
        <is>
          <t>EQU101
EQU201
ISS200 et 300
TRE100
TRE2 à 4XX hors 203,205,206,207
TRE203, 205, 207
TRE206
TRE5XX
SIG
VAR*
INT</t>
        </is>
      </c>
      <c r="AF262" s="257" t="inlineStr">
        <is>
          <t>NA</t>
        </is>
      </c>
      <c r="AG262" s="258" t="inlineStr">
        <is>
          <t>NA</t>
        </is>
      </c>
      <c r="AH262" s="89" t="n"/>
      <c r="AI262" s="425" t="inlineStr">
        <is>
          <t>La donnée est obligatoire si le type de risque [P1 2.0] est égal à ('TRE100', 'TRE2xx', 'TRE3xx', 'TRE4xx', 'TRE5xx', 'SIGxxx', 'VARxxx', 'EQU201', 'ISS200', 'ISS300', 'INTxxx') OU (si le type de risque [P1 2.0] est égal à 'EQU101' ET si le 'Portefeuille de booking / Intention de Gestion' [P1 2.4] est égal à 'B' (Banking Book))</t>
        </is>
      </c>
      <c r="AJ262" s="317" t="inlineStr">
        <is>
          <t>The data is mandatory if Risk type [P1 2.0] is equal to ('TRE100', 'TRE2xx', 'TRE3xx', 'TRE4xx', 'TRE5xx', 'SIGxxx', 'VARxxx', 'EQU201', 'ISS200', 'ISS300', 'INTxxx') OR (if Risk type [P1 2.0] is equal to 'EQU101' AND if the 'Booking portfolio / Management intent' [P1 2.4] is equal to 'B' (Banking Book))</t>
        </is>
      </c>
      <c r="AK262" s="257" t="n">
        <v>7</v>
      </c>
      <c r="AL262" s="420" t="inlineStr">
        <is>
          <t>TPS0736</t>
        </is>
      </c>
      <c r="AM262" s="318" t="inlineStr">
        <is>
          <t>Si elle est renseignée, la valeur doit être connue du Langage Commun associé</t>
        </is>
      </c>
      <c r="AN262" s="317" t="inlineStr">
        <is>
          <t>If specified, the value must be known to the associated Common Language</t>
        </is>
      </c>
      <c r="AO262" s="257" t="n">
        <v>7</v>
      </c>
      <c r="AP262" s="212" t="inlineStr">
        <is>
          <t>TIG0001</t>
        </is>
      </c>
      <c r="AQ262" s="426" t="inlineStr">
        <is>
          <t>Si le 'Type de risque' [P1 2.0] =
- 'TRE100', 'VAR105', 'VAR302', 'INTxxx' alors la donnée P1 2.18 = '900'
- 'VARxxx' (hors 'VAR105' et 'VAR302') alors la donnée P1 2.18 = '900' ou '06x' ou '070'
- 'SIGxxx' hors SIG201', 'SIG206' alors la donnée P1 2.18 = '070' ou '900 ou '06x'
- 'SIG201', 'SIG206' alors la donnée P1 2.18 = '070' ou '900 ou '06x' ou '081'
- 'TRE2xx','TRE3xx','TRE4xx' (hors 'TRE203','TRE205','TRE206','TRE207','TRE405' et 'TRE406') alors la donnée P1 2.18 = '06x', '070', '090', '900' 
- 'TRE405', 'TRE406' alors la donnée P1 2.18 = '06x' ou '070' ou '090' ou '900' ou '080' ou '085'
- 'TRE203', 'TRE205', 'TRE206', 'TRE207' alors la donnée P1 2.18 = '06x' ou '900' 
- 'TRE5xx' alors la donnée P1 2.18 = '06x' ou '900'
- 'ISS200', 'ISS300' alors la donnée P1 2.18 = '070' ou '077' ou '080' ou '081' ou '085' ou '900' 
---
Si le 'Type de risque' [P1 2.0] = 'EQU201' alors la donnée P1 2.18 = '085' ou '080'</t>
        </is>
      </c>
      <c r="AR262" s="317" t="inlineStr">
        <is>
          <t>If the 'Risk type' [P1 2.0] =
- 'TRE100', 'VAR105', 'VAR302', 'INTxxx' then the data P1 2.18 = '900'
- 'VARxxx' (except 'VAR105' and 'VAR302') then the data P1 2.18 = '900' or '06x' or '070'
- 'SIGxxx' except 'SIG201', 'SIG206' then the data P1 2.18 = '070' or '900 or '06x'
- 'SIG201', 'SIG206' then the data P1 2.18 = '070' or '900 or '06x' or '081'
- 'TRE2xx','TRE3xx','TRE4xx' (except 'TRE203','TRE205','TRE206','TRE207','TRE405' and 'TRE406') then the data P1 2.18 = '06x', '070', '090', '900' 
- 'TRE405', 'TRE406' then the data P1 2.18 = '06x' or '070' or '090' or '900' or '080' or '085'
- 'TRE203', 'TRE205', 'TRE206', 'TRE207' then the data P1 2.18 = '06x' or '900' 
- 'TRE5xx' then the data P1 2.18 = '06x' or '900'
- 'ISS200', 'ISS300' then the data P1 2.18 = '070' or '077' or '080' or '081' or '085' or '900' 
---
If the 'Risk type' [P1 2.0] = 'EQU201' then the data P1 2.18 = '085' or '080'</t>
        </is>
      </c>
      <c r="AS262" s="960" t="n">
        <v>7</v>
      </c>
      <c r="AT262" s="418" t="inlineStr">
        <is>
          <t>TVS0716
TVS0717</t>
        </is>
      </c>
      <c r="AU262" s="398" t="inlineStr">
        <is>
          <t>Si le type de risque [P1 2.0] = 'EQU101' ET si le Portefeuille de booking / Intention de Gestion [P1 2.4] = 'B' (Banking Book), alors la donnée = '080' ou '085'
OU
Si le type de risque [P1 2.0] = 'EQU101' ET si le Portefeuille de booking / Intention de Gestion [P1 2.4] = 'T' (Trading Book) alors la donnée ne doit pas être renseignée</t>
        </is>
      </c>
      <c r="AV262" s="317" t="inlineStr">
        <is>
          <t>If Risk type [P1 2.0] = 'EQU101' AND if the 'Booking portfolio / Management intent' [P1 2.4] = 'B' (Banking Book) then the data = '080' or '085'
OR
If Risk type [P1 2.0] = 'EQU101' AND if the 'Booking portfolio / Management intent' [P1 2.4] = 'T' (Trading Book) then the data must be not filled</t>
        </is>
      </c>
      <c r="AW262" s="257" t="n">
        <v>7</v>
      </c>
      <c r="AX262" s="345" t="inlineStr">
        <is>
          <t>TCS0706</t>
        </is>
      </c>
      <c r="AY262" s="318" t="n"/>
      <c r="AZ262" s="317" t="n"/>
      <c r="BA262" s="257" t="n"/>
      <c r="BB262" s="258" t="n"/>
      <c r="BC262" s="278" t="inlineStr">
        <is>
          <t>Pour la Grande Clientèle (P1/P2), si la combinaison de donnée n'est pas trouvée dans la matrice des règles de gestion C03, le contrôle doit se lever
---
Pour la Grande Clientèle (P1), si la combinaison de donnée n'est pas trouvée dans la matrice des règles de gestion C17, le contrôle doit se lever</t>
        </is>
      </c>
      <c r="BD262" s="160" t="inlineStr">
        <is>
          <t>For P1/P2, if the data combinaison is not found in the C03 business rules matrix, the control must trigger
---
For P1, if the data combinaison is not found in the C17 business rules matrix, the control must trigger</t>
        </is>
      </c>
      <c r="BE262" s="257" t="n">
        <v>6</v>
      </c>
      <c r="BF262" s="258" t="inlineStr">
        <is>
          <t>TC0C03
TC0C17</t>
        </is>
      </c>
      <c r="BG262" s="89" t="n"/>
      <c r="BH2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62">
        <f>_xlfn.LET(r,ROW(),oc,INDEX($A:$A,r),cv,TRIM(INDEX($Y:$Y,r)&amp;""),IF(oc&lt;&gt;"P1","",IF(cv="45","V45 - novo, nao alimentado pelo spool atual","V44 - alimentado pelo spool atual")))</f>
        <v/>
      </c>
    </row>
    <row r="263" ht="54" customFormat="1" customHeight="1" s="91">
      <c r="A263" s="306" t="inlineStr">
        <is>
          <t>P1</t>
        </is>
      </c>
      <c r="B263" s="307" t="n">
        <v>28</v>
      </c>
      <c r="C263" s="269" t="inlineStr">
        <is>
          <t>03 - Caractéristiques Générales</t>
        </is>
      </c>
      <c r="D263" s="236" t="inlineStr">
        <is>
          <t>03 - General characteristics</t>
        </is>
      </c>
      <c r="E263" s="307" t="inlineStr">
        <is>
          <t>P1 2.29</t>
        </is>
      </c>
      <c r="F263" s="308" t="inlineStr">
        <is>
          <t>NATure d'Opération de l'engagement</t>
        </is>
      </c>
      <c r="G263" s="309" t="inlineStr">
        <is>
          <t>Commitment Transaction Nature</t>
        </is>
      </c>
      <c r="H263" s="1493">
        <f>"RPAD( "&amp;SUBSTITUTE(SUBSTITUTE(E263," ","_"),".","_")&amp;","&amp;W263&amp;",' '); -- "&amp;E263</f>
        <v/>
      </c>
      <c r="I263" s="241" t="inlineStr">
        <is>
          <t>Correspond à la classification de l'encours selon la nomenclature Groupe CA "NATO" commune aux Risques et à la Comptabilité</t>
        </is>
      </c>
      <c r="J263" s="309" t="inlineStr">
        <is>
          <t>Represents the classification of outstanding amounts on the basis of the CA Group shared Risk and Accounting "NATO" (transaction nature) nomenclature</t>
        </is>
      </c>
      <c r="K263" s="370" t="inlineStr">
        <is>
          <t>ND</t>
        </is>
      </c>
      <c r="L263" s="371" t="inlineStr">
        <is>
          <t>ND</t>
        </is>
      </c>
      <c r="M263" s="1420" t="inlineStr">
        <is>
          <t>cdNatOp</t>
        </is>
      </c>
      <c r="N263" s="257" t="inlineStr">
        <is>
          <t>Obligatoire</t>
        </is>
      </c>
      <c r="O263" s="236" t="inlineStr">
        <is>
          <t>Mandatory</t>
        </is>
      </c>
      <c r="P263" s="269" t="inlineStr">
        <is>
          <t>LC.0064</t>
        </is>
      </c>
      <c r="Q263" s="269" t="inlineStr">
        <is>
          <t xml:space="preserve">TA H8NATOPE
</t>
        </is>
      </c>
      <c r="R263" s="1249" t="inlineStr">
        <is>
          <t>Il s'agit ici de la NATure d'Opération telle que déterminée et employée par l'entité dans son rapprochement comptabilité risques</t>
        </is>
      </c>
      <c r="S263" s="233" t="inlineStr">
        <is>
          <t>This is the NATure of Operation as determined and used by the entity in its accounting reconciliation Risks</t>
        </is>
      </c>
      <c r="T263" s="313" t="inlineStr">
        <is>
          <t>ALPHA</t>
        </is>
      </c>
      <c r="U263" s="237" t="inlineStr">
        <is>
          <t>NA</t>
        </is>
      </c>
      <c r="V263" s="238" t="inlineStr">
        <is>
          <t>NA</t>
        </is>
      </c>
      <c r="W263" s="257" t="n">
        <v>12</v>
      </c>
      <c r="X263" s="945" t="inlineStr">
        <is>
          <t>NA</t>
        </is>
      </c>
      <c r="Y263" s="237" t="n">
        <v>40</v>
      </c>
      <c r="Z263" s="237" t="inlineStr">
        <is>
          <t>NA</t>
        </is>
      </c>
      <c r="AA263" s="270" t="inlineStr">
        <is>
          <t>NA</t>
        </is>
      </c>
      <c r="AB263" s="994" t="inlineStr">
        <is>
          <t>AER, ASTRE, CALCULS PRUDENTIELS, ESG PILIER 3, NPE, PVA</t>
        </is>
      </c>
      <c r="AC263" s="231" t="inlineStr">
        <is>
          <t>ND</t>
        </is>
      </c>
      <c r="AD263" s="257" t="inlineStr">
        <is>
          <t>N</t>
        </is>
      </c>
      <c r="AE263" s="971" t="inlineStr">
        <is>
          <t>EQU101
EQU201
ISS100
ISS200 et 300
TRE100
TRE2 à 4XX hors 203,205,206,207
TRE203, 205, 207
TRE206
TRE5XX
SIG
VAR*
INT</t>
        </is>
      </c>
      <c r="AF263" s="257" t="inlineStr">
        <is>
          <t>NA</t>
        </is>
      </c>
      <c r="AG263" s="258" t="inlineStr">
        <is>
          <t>NA</t>
        </is>
      </c>
      <c r="AH263" s="89" t="n"/>
      <c r="AI263" s="316" t="inlineStr">
        <is>
          <t>La donnée est obligatoire</t>
        </is>
      </c>
      <c r="AJ263" s="317" t="inlineStr">
        <is>
          <t>The data is mandatory</t>
        </is>
      </c>
      <c r="AK263" s="257" t="n">
        <v>7</v>
      </c>
      <c r="AL263" s="335" t="inlineStr">
        <is>
          <t>TPG0001</t>
        </is>
      </c>
      <c r="AM263" s="318" t="inlineStr">
        <is>
          <t>Si elle est renseignée, la valeur doit être connue du Langage Commun associé</t>
        </is>
      </c>
      <c r="AN263" s="317" t="inlineStr">
        <is>
          <t>If specified, the value must be known to the associated Common Language</t>
        </is>
      </c>
      <c r="AO263" s="257" t="n">
        <v>7</v>
      </c>
      <c r="AP263" s="212" t="inlineStr">
        <is>
          <t>TIG0001</t>
        </is>
      </c>
      <c r="AQ263" s="421" t="n"/>
      <c r="AR263" s="422" t="n"/>
      <c r="AS263" s="348" t="n"/>
      <c r="AT263" s="423" t="n"/>
      <c r="AU263" s="398" t="inlineStr">
        <is>
          <t>Si renseignée, la donnée doit être cohérente avec la 'Méthodologie Bâloise' [P1 1.1] (LC.0064 - TA 0990 H8NATOPE (H8IRB, H8STD, H8IRBF))</t>
        </is>
      </c>
      <c r="AV263" s="317" t="inlineStr">
        <is>
          <t>If filled in, the data must be consistent with the 'Basel Methodology' [P1 1.1] (LC.0064 - TA 0990 H8NATOPE (H8IRB, H8STD, H8IRBF))</t>
        </is>
      </c>
      <c r="AW263" s="257" t="n">
        <v>7</v>
      </c>
      <c r="AX263" s="345" t="inlineStr">
        <is>
          <t>TCS0707</t>
        </is>
      </c>
      <c r="AY263" s="318" t="n"/>
      <c r="AZ263" s="317" t="n"/>
      <c r="BA263" s="257" t="n"/>
      <c r="BB263" s="258" t="n"/>
      <c r="BC263" s="278" t="inlineStr">
        <is>
          <t>Si la combinaison de donnée n'est pas trouvée dans la matrice des règles de gestion C11, le contrôle doit se lever
---
Si la combinaison de donnée n'est pas trouvée dans la matrice des règles de gestion C26, le contrôle doit se lever
---
Si la combinaison de donnée n'est pas trouvée dans la matrice des règles de gestion C28, le contrôle doit se lever</t>
        </is>
      </c>
      <c r="BD263" s="160" t="inlineStr">
        <is>
          <t>If the data combinaison is not found in the C11 business rules matrix, the control must trigger
---
If the data combinaison is not found in the C26 business rules matrix, the control must trigger
---
If the data combinaison is not found in the C28 business rules matrix, the control must trigger</t>
        </is>
      </c>
      <c r="BE263" s="257" t="n">
        <v>6</v>
      </c>
      <c r="BF263" s="393" t="inlineStr">
        <is>
          <t>TC0C11
TC0C26
TC0C28</t>
        </is>
      </c>
      <c r="BG263" s="89" t="n"/>
      <c r="BH2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63">
        <f>_xlfn.LET(r,ROW(),oc,INDEX($A:$A,r),cv,TRIM(INDEX($Y:$Y,r)&amp;""),IF(oc&lt;&gt;"P1","",IF(cv="45","V45 - novo, nao alimentado pelo spool atual","V44 - alimentado pelo spool atual")))</f>
        <v/>
      </c>
    </row>
    <row r="264" ht="54" customFormat="1" customHeight="1" s="91">
      <c r="A264" s="306" t="inlineStr">
        <is>
          <t>P1</t>
        </is>
      </c>
      <c r="B264" s="307" t="n">
        <v>29</v>
      </c>
      <c r="C264" s="269" t="inlineStr">
        <is>
          <t>03 - Caractéristiques Générales</t>
        </is>
      </c>
      <c r="D264" s="310" t="inlineStr">
        <is>
          <t>03 - General characteristics</t>
        </is>
      </c>
      <c r="E264" s="307" t="inlineStr">
        <is>
          <t>P1 3.2</t>
        </is>
      </c>
      <c r="F264" s="427" t="inlineStr">
        <is>
          <t>Date de début de l'engagement</t>
        </is>
      </c>
      <c r="G264" s="309" t="inlineStr">
        <is>
          <t>Start date of commitment</t>
        </is>
      </c>
      <c r="H264" s="1493">
        <f>"RPAD( "&amp;SUBSTITUTE(SUBSTITUTE(E264," ","_"),".","_")&amp;","&amp;W264&amp;",' '); -- "&amp;E264</f>
        <v/>
      </c>
      <c r="I264" s="241" t="inlineStr">
        <is>
          <t xml:space="preserve">Date de contractualisation </t>
        </is>
      </c>
      <c r="J264" s="309" t="inlineStr">
        <is>
          <t xml:space="preserve">Contract's inception date </t>
        </is>
      </c>
      <c r="K264" s="370" t="inlineStr">
        <is>
          <t>ND</t>
        </is>
      </c>
      <c r="L264" s="371" t="inlineStr">
        <is>
          <t>ND</t>
        </is>
      </c>
      <c r="M264" s="1420" t="inlineStr">
        <is>
          <t>dtDebEng</t>
        </is>
      </c>
      <c r="N264" s="257" t="inlineStr">
        <is>
          <t>Obligatoire</t>
        </is>
      </c>
      <c r="O264" s="236" t="inlineStr">
        <is>
          <t>Mandatory</t>
        </is>
      </c>
      <c r="P264" s="269" t="inlineStr">
        <is>
          <t>NA</t>
        </is>
      </c>
      <c r="Q264" s="269" t="inlineStr">
        <is>
          <t>NA</t>
        </is>
      </c>
      <c r="R264" s="241" t="inlineStr">
        <is>
          <t>Pour les types de risques (EQU101, EQU201, ISS100, ISS200 et 300), date d'acquisition du titre. Par défaut, la date doit être celle de l'arrêté. Ex : "20110930"
Pour le type de risque TRE100, par convention, puisqu'il s'agit du solde d'un compte, c'est la date d'arrêté qui doit être renseignée
Pour les types de risques (TRE2 à 4XX, TRE203,205,207, TRE206, TRE5XX), date de mise en place de l'opération</t>
        </is>
      </c>
      <c r="S264" s="233" t="inlineStr">
        <is>
          <t>For risk types (EQU101, EQU201, ISS100, ISS200 and 300), the date of acquisition of the security. By default, the date must be the closing date. E.g., "20110930"
For the TRE100 risk type, by convention, since it is the balance of an account, the closing date must be filled in
For risk types (TRE2 to 4XX, TRE203,205,207, TRE206, TRE5XX), the date of implementation of the operation</t>
        </is>
      </c>
      <c r="T264" s="206" t="inlineStr">
        <is>
          <t>DATE</t>
        </is>
      </c>
      <c r="U264" s="237" t="inlineStr">
        <is>
          <t>AAAAMMJJ</t>
        </is>
      </c>
      <c r="V264" s="238" t="inlineStr">
        <is>
          <t>YYYYMMDD</t>
        </is>
      </c>
      <c r="W264" s="257" t="n">
        <v>8</v>
      </c>
      <c r="X264" s="945" t="inlineStr">
        <is>
          <t>NA</t>
        </is>
      </c>
      <c r="Y264" s="237" t="n">
        <v>40</v>
      </c>
      <c r="Z264" s="237" t="inlineStr">
        <is>
          <t>NA</t>
        </is>
      </c>
      <c r="AA264" s="270" t="inlineStr">
        <is>
          <t>45.00</t>
        </is>
      </c>
      <c r="AB264" s="932" t="inlineStr">
        <is>
          <t>ACTIF VERT, ANACREDIT, ASTRE, CALCULS PRUDENTIELS, CONGLOMERATS, CORFOU, DEI, ESG PILIER 3, LIQUIDITE, LOAN TAPE, NPE, OMP, PALMA, PVA, RISQUES SYSTEMIQUES</t>
        </is>
      </c>
      <c r="AC264" s="231" t="inlineStr">
        <is>
          <t>ND</t>
        </is>
      </c>
      <c r="AD264" s="257" t="inlineStr">
        <is>
          <t>N</t>
        </is>
      </c>
      <c r="AE264" s="971" t="inlineStr">
        <is>
          <t>EQU101
EQU201
ISS100
ISS200 et 300
TRE100
TRE2 à 4XX hors 203,205,206,207
TRE203, 205, 207
TRE206
TRE5XX
SIG
VAR*
INT</t>
        </is>
      </c>
      <c r="AF264" s="257" t="inlineStr">
        <is>
          <t>NA</t>
        </is>
      </c>
      <c r="AG264" s="258" t="inlineStr">
        <is>
          <t>NA</t>
        </is>
      </c>
      <c r="AH264" s="89" t="n"/>
      <c r="AI264" s="316" t="inlineStr">
        <is>
          <t>La donnée est obligatoire</t>
        </is>
      </c>
      <c r="AJ264" s="317" t="inlineStr">
        <is>
          <t>The data is mandatory</t>
        </is>
      </c>
      <c r="AK264" s="257" t="n">
        <v>7</v>
      </c>
      <c r="AL264" s="335" t="inlineStr">
        <is>
          <t>TPG0001</t>
        </is>
      </c>
      <c r="AM264" s="318" t="n"/>
      <c r="AN264" s="317" t="n"/>
      <c r="AO264" s="257" t="n"/>
      <c r="AP264" s="258" t="n"/>
      <c r="AQ264" s="318" t="inlineStr">
        <is>
          <t>Si renseignée, la donnée doit être supérieure ou égale à '19000101'</t>
        </is>
      </c>
      <c r="AR264" s="317" t="inlineStr">
        <is>
          <t>If filled, data must be greater or equal to '19000101'</t>
        </is>
      </c>
      <c r="AS264" s="257" t="n">
        <v>7</v>
      </c>
      <c r="AT264" s="258" t="inlineStr">
        <is>
          <t>TVG0005</t>
        </is>
      </c>
      <c r="AU264" s="318" t="inlineStr">
        <is>
          <t>La Date de début de l'engagement [P1 3.2] doit être &lt; Date de fin de l'engagement [P1 3.4]
---
La donnée doit être inférieure ou égale à la date d'arrêté</t>
        </is>
      </c>
      <c r="AV264" s="317" t="inlineStr">
        <is>
          <t>The Start date of commitment [P1 3.2] must be &lt; End date of commitment [P1 3.4]
—
Data must be lower or equal than closing date</t>
        </is>
      </c>
      <c r="AW264" s="257" t="n">
        <v>7</v>
      </c>
      <c r="AX264" s="418" t="inlineStr">
        <is>
          <t>TCS0708
TCG0004</t>
        </is>
      </c>
      <c r="AY264" s="318" t="n"/>
      <c r="AZ264" s="317" t="n"/>
      <c r="BA264" s="257" t="n"/>
      <c r="BB264" s="258" t="n"/>
      <c r="BC264" s="316" t="n"/>
      <c r="BD264" s="317" t="n"/>
      <c r="BE264" s="257" t="n"/>
      <c r="BF264" s="258" t="n"/>
      <c r="BG264" s="89" t="n"/>
      <c r="BH2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64">
        <f>_xlfn.LET(r,ROW(),oc,INDEX($A:$A,r),cv,TRIM(INDEX($Y:$Y,r)&amp;""),IF(oc&lt;&gt;"P1","",IF(cv="45","V45 - novo, nao alimentado pelo spool atual","V44 - alimentado pelo spool atual")))</f>
        <v/>
      </c>
    </row>
    <row r="265" ht="54" customFormat="1" customHeight="1" s="91">
      <c r="A265" s="306" t="inlineStr">
        <is>
          <t>P1</t>
        </is>
      </c>
      <c r="B265" s="307" t="n">
        <v>30</v>
      </c>
      <c r="C265" s="269" t="inlineStr">
        <is>
          <t>03 - Caractéristiques Générales</t>
        </is>
      </c>
      <c r="D265" s="310" t="inlineStr">
        <is>
          <t>03 - General characteristics</t>
        </is>
      </c>
      <c r="E265" s="307" t="inlineStr">
        <is>
          <t>P1 3.4</t>
        </is>
      </c>
      <c r="F265" s="357" t="inlineStr">
        <is>
          <t>Date de fin de l'engagement</t>
        </is>
      </c>
      <c r="G265" s="309" t="inlineStr">
        <is>
          <t>End date of commitment</t>
        </is>
      </c>
      <c r="H265" s="1493">
        <f>"RPAD( "&amp;SUBSTITUTE(SUBSTITUTE(E265," ","_"),".","_")&amp;","&amp;W265&amp;",' '); -- "&amp;E265</f>
        <v/>
      </c>
      <c r="I265" s="241" t="inlineStr">
        <is>
          <t>Date contractuelle d'échéance</t>
        </is>
      </c>
      <c r="J265" s="309" t="inlineStr">
        <is>
          <t>Contractual due date</t>
        </is>
      </c>
      <c r="K265" s="370" t="inlineStr">
        <is>
          <t>ND</t>
        </is>
      </c>
      <c r="L265" s="371" t="inlineStr">
        <is>
          <t>ND</t>
        </is>
      </c>
      <c r="M265" s="1420" t="inlineStr">
        <is>
          <t>dtFinEng</t>
        </is>
      </c>
      <c r="N265" s="257" t="inlineStr">
        <is>
          <t>Obligatoire</t>
        </is>
      </c>
      <c r="O265" s="236" t="inlineStr">
        <is>
          <t>Mandatory</t>
        </is>
      </c>
      <c r="P265" s="269" t="inlineStr">
        <is>
          <t>NA</t>
        </is>
      </c>
      <c r="Q265" s="269" t="inlineStr">
        <is>
          <t>NA</t>
        </is>
      </c>
      <c r="R265" s="428" t="inlineStr">
        <is>
          <t>Pour les types de risques (EQU101, EQU201, ISS100), cette donnée sera renseignée avec la date par défaut, cad "99990630"
Pour les types de risques (ISS200 et 300), date d'échéance des titres
Pour les types de risques (TRE2 à 4XX, TRE203,205,207, TRE206), date d'échéance de l'opération
Pour le type de risque TRE5XX, date contractuelle d'échéance du crédit-bail location</t>
        </is>
      </c>
      <c r="S265" s="233" t="inlineStr">
        <is>
          <t>For risk types (EQU101, EQU201, ISS100), this data will be entered with the default date, cad "99990630"
For risk types (ISS200 and 300), the securities due date date
For risk types (TRE2 to 4XX, TRE203,205,207, TRE206), due date date of the operation
For risk type TRE5XX, contract date of lease credit due date leasing</t>
        </is>
      </c>
      <c r="T265" s="206" t="inlineStr">
        <is>
          <t>DATE</t>
        </is>
      </c>
      <c r="U265" s="237" t="inlineStr">
        <is>
          <t>AAAAMMJJ</t>
        </is>
      </c>
      <c r="V265" s="238" t="inlineStr">
        <is>
          <t>YYYYMMDD</t>
        </is>
      </c>
      <c r="W265" s="257" t="n">
        <v>8</v>
      </c>
      <c r="X265" s="945" t="inlineStr">
        <is>
          <t>NA</t>
        </is>
      </c>
      <c r="Y265" s="237" t="n">
        <v>40</v>
      </c>
      <c r="Z265" s="237" t="inlineStr">
        <is>
          <t>NA</t>
        </is>
      </c>
      <c r="AA265" s="270" t="inlineStr">
        <is>
          <t>45.00</t>
        </is>
      </c>
      <c r="AB265" s="932" t="inlineStr">
        <is>
          <t>AER, ALMM, ANACREDIT, ASTRE, CALCULS PRUDENTIELS, CONGLOMERATS, CORFOU, DEI, ESG PILIER 3, LIQUIDITE, LOAN TAPE, NPE, NSFR, OMP, PALMA, PVA, RISQUES SYSTEMIQUES, SA-CCR, SHS, SRB VALUATION, YOSHIKUNI</t>
        </is>
      </c>
      <c r="AC265" s="231" t="inlineStr">
        <is>
          <t>ND</t>
        </is>
      </c>
      <c r="AD265" s="257" t="inlineStr">
        <is>
          <t>N</t>
        </is>
      </c>
      <c r="AE265" s="971" t="inlineStr">
        <is>
          <t>EQU101
EQU201
ISS100
ISS200 et 300
TRE100
TRE2 à 4XX hors 203,205,206,207
TRE203, 205, 207
TRE206
TRE5XX
SIG
VAR*</t>
        </is>
      </c>
      <c r="AF265" s="257" t="inlineStr">
        <is>
          <t>NA</t>
        </is>
      </c>
      <c r="AG265" s="258" t="inlineStr">
        <is>
          <t>NA</t>
        </is>
      </c>
      <c r="AH265" s="89" t="n"/>
      <c r="AI265" s="316" t="inlineStr">
        <is>
          <t>La donnée est obligatoire</t>
        </is>
      </c>
      <c r="AJ265" s="317" t="inlineStr">
        <is>
          <t>The data is mandatory</t>
        </is>
      </c>
      <c r="AK265" s="257" t="n">
        <v>7</v>
      </c>
      <c r="AL265" s="335" t="inlineStr">
        <is>
          <t>TPG0001</t>
        </is>
      </c>
      <c r="AM265" s="318" t="n"/>
      <c r="AN265" s="317" t="n"/>
      <c r="AO265" s="257" t="n"/>
      <c r="AP265" s="258" t="n"/>
      <c r="AQ265" s="400" t="inlineStr">
        <is>
          <t>Si la donnée est renseignée et si l'année de la date est égale à '9999', alors la donnée doit être égale à '99990630'
---
Si renseignée et si le type de risque [P1 2.0] = (EQU101, EQU201, ISS100), alors la Date de fin de l'engagement [P1 3.4] doit être égale à '99990630'</t>
        </is>
      </c>
      <c r="AR265" s="317" t="inlineStr">
        <is>
          <t>If filled, and if the year of the date = '9999', then the data must be equal to '99990630'
---
If filled and if the risk type [P1 2.0] = (EQU101, EQU201, ISS100), then the End date of commitment [P1 3.4] must be equal to '99990630'</t>
        </is>
      </c>
      <c r="AS265" s="429" t="inlineStr">
        <is>
          <t>7
6</t>
        </is>
      </c>
      <c r="AT265" s="352" t="inlineStr">
        <is>
          <t>TVG0008
TVS0719</t>
        </is>
      </c>
      <c r="AU265" s="318" t="inlineStr">
        <is>
          <t>La donnée doit être supérieure ou égale à la date d'arrêté</t>
        </is>
      </c>
      <c r="AV265" s="317" t="inlineStr">
        <is>
          <t>Data must be greater or equal than closing date</t>
        </is>
      </c>
      <c r="AW265" s="257" t="n">
        <v>7</v>
      </c>
      <c r="AX265" s="258" t="inlineStr">
        <is>
          <t>TCG0002</t>
        </is>
      </c>
      <c r="AY265" s="318" t="n"/>
      <c r="AZ265" s="317" t="n"/>
      <c r="BA265" s="257" t="n"/>
      <c r="BB265" s="258" t="n"/>
      <c r="BC265" s="316" t="n"/>
      <c r="BD265" s="317" t="n"/>
      <c r="BE265" s="257" t="n"/>
      <c r="BF265" s="258" t="n"/>
      <c r="BG265" s="89" t="n"/>
      <c r="BH2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65">
        <f>_xlfn.LET(r,ROW(),oc,INDEX($A:$A,r),cv,TRIM(INDEX($Y:$Y,r)&amp;""),IF(oc&lt;&gt;"P1","",IF(cv="45","V45 - novo, nao alimentado pelo spool atual","V44 - alimentado pelo spool atual")))</f>
        <v/>
      </c>
    </row>
    <row r="266" ht="54" customFormat="1" customHeight="1" s="91">
      <c r="A266" s="306" t="inlineStr">
        <is>
          <t>P1</t>
        </is>
      </c>
      <c r="B266" s="307" t="n">
        <v>31</v>
      </c>
      <c r="C266" s="269" t="inlineStr">
        <is>
          <t>31 - Paramètres bâlois</t>
        </is>
      </c>
      <c r="D266" s="310" t="inlineStr">
        <is>
          <t>31 - Basel settings</t>
        </is>
      </c>
      <c r="E266" s="307" t="inlineStr">
        <is>
          <t>P1 16.6</t>
        </is>
      </c>
      <c r="F266" s="430" t="inlineStr">
        <is>
          <t>Pondération Bâloise de l'engagement (%)</t>
        </is>
      </c>
      <c r="G266" s="309" t="inlineStr">
        <is>
          <t>Basel weighting of commitment (%)</t>
        </is>
      </c>
      <c r="H266" s="1493">
        <f>"RPAD( "&amp;SUBSTITUTE(SUBSTITUTE(E266," ","_"),".","_")&amp;","&amp;W266&amp;",' '); -- "&amp;E266</f>
        <v/>
      </c>
      <c r="I266" s="431" t="inlineStr">
        <is>
          <t>Pondération Bâloise</t>
        </is>
      </c>
      <c r="J266" s="233" t="inlineStr">
        <is>
          <t>Basel weighting</t>
        </is>
      </c>
      <c r="K266" s="269" t="inlineStr">
        <is>
          <t>ND</t>
        </is>
      </c>
      <c r="L266" s="310" t="inlineStr">
        <is>
          <t>ND</t>
        </is>
      </c>
      <c r="M266" s="1420" t="inlineStr">
        <is>
          <t>txPondeBal</t>
        </is>
      </c>
      <c r="N266" s="257" t="inlineStr">
        <is>
          <t>Obligatoire sous conditions</t>
        </is>
      </c>
      <c r="O266" s="310" t="inlineStr">
        <is>
          <t>Mandatory under conditions</t>
        </is>
      </c>
      <c r="P266" s="269" t="inlineStr">
        <is>
          <t>NA</t>
        </is>
      </c>
      <c r="Q266" s="269" t="inlineStr">
        <is>
          <t>NA</t>
        </is>
      </c>
      <c r="R266" s="431" t="inlineStr">
        <is>
          <t>Ce champ sera utilisé : 
- pour les calculs IRB et STD des emplois pondérés des expositions de titrisation
- pour les calculs IRBA Corporate lorsque l'exposition est en défaut et que le champ ELBE n'est pas disponible</t>
        </is>
      </c>
      <c r="S266" s="233" t="inlineStr">
        <is>
          <t>This field will be used:
- for IRB and STD calculations of weighted uses of securitization exposures
- for IRBA Corporate calculations when the exposure is in default and the ELBE field is not available</t>
        </is>
      </c>
      <c r="T266" s="313" t="inlineStr">
        <is>
          <t>NUM</t>
        </is>
      </c>
      <c r="U266" s="237" t="inlineStr">
        <is>
          <t>10 dont signe et 5 décimales</t>
        </is>
      </c>
      <c r="V266" s="238" t="inlineStr">
        <is>
          <t>10 including sign and 5 decimals</t>
        </is>
      </c>
      <c r="W266" s="257" t="n">
        <v>10</v>
      </c>
      <c r="X266" s="945" t="inlineStr">
        <is>
          <t>NA</t>
        </is>
      </c>
      <c r="Y266" s="237" t="n">
        <v>40</v>
      </c>
      <c r="Z266" s="237" t="inlineStr">
        <is>
          <t>NA</t>
        </is>
      </c>
      <c r="AA266" s="270" t="inlineStr">
        <is>
          <t>NA</t>
        </is>
      </c>
      <c r="AB266" s="1286" t="inlineStr">
        <is>
          <t>CALCULS PRUDENTIELS</t>
        </is>
      </c>
      <c r="AC266" s="231" t="inlineStr">
        <is>
          <t>ND</t>
        </is>
      </c>
      <c r="AD266" s="257" t="inlineStr">
        <is>
          <t>N</t>
        </is>
      </c>
      <c r="AE266" s="432" t="inlineStr">
        <is>
          <t>ISS200 et 300
TRExx hors 203, 205, 206 et 207
SIGxxx
VAR hors repos</t>
        </is>
      </c>
      <c r="AF266" s="257" t="inlineStr">
        <is>
          <t>NA</t>
        </is>
      </c>
      <c r="AG266" s="258" t="inlineStr">
        <is>
          <t>NA</t>
        </is>
      </c>
      <c r="AH266" s="89" t="n"/>
      <c r="AI266" s="433" t="inlineStr">
        <is>
          <t>La donnée est obligatoire, si le type de risque [P1 2.0] est égal à 'ISS200', 'ISS300', 'TRExx' (hors 'TRE203', 'TRE205', 'TRE206', 'TRE207), 'SIGxxx', VAR hors repos ET si le Portefeuille Bâle Opération [P1 2.18] est égal à '070'</t>
        </is>
      </c>
      <c r="AJ266" s="434" t="inlineStr">
        <is>
          <t>The data is mandatory, if the risk type [P1 2.0] is equal to 'ISS200', 'ISS300', 'TRExx' (except 'TRE203', 'TRE205', ''TRE206', 'TRE207), 'SIGxxx', VAR except repos AND if the Basel Transaction Portfolio [P1 2.18] is equal to '070'</t>
        </is>
      </c>
      <c r="AK266" s="257" t="n">
        <v>6</v>
      </c>
      <c r="AL266" s="366" t="inlineStr">
        <is>
          <t>TPS0737</t>
        </is>
      </c>
      <c r="AM266" s="318" t="n"/>
      <c r="AN266" s="317" t="n"/>
      <c r="AO266" s="257" t="n"/>
      <c r="AP266" s="258" t="n"/>
      <c r="AQ266" s="318" t="inlineStr">
        <is>
          <t>Si renseignée, la donnée doit être positive (supérieure ou égale à 0)</t>
        </is>
      </c>
      <c r="AR266" s="317" t="inlineStr">
        <is>
          <t xml:space="preserve">If filled, data must be positive (greater or equal to 0) </t>
        </is>
      </c>
      <c r="AS266" s="257" t="n">
        <v>7</v>
      </c>
      <c r="AT266" s="345" t="inlineStr">
        <is>
          <t>TVG0001</t>
        </is>
      </c>
      <c r="AU266" s="318" t="n"/>
      <c r="AV266" s="317" t="n"/>
      <c r="AW266" s="257" t="n"/>
      <c r="AX266" s="258" t="n"/>
      <c r="AY266" s="318" t="n"/>
      <c r="AZ266" s="317" t="n"/>
      <c r="BA266" s="257" t="n"/>
      <c r="BB266" s="258" t="n"/>
      <c r="BC266" s="316" t="n"/>
      <c r="BD266" s="317" t="n"/>
      <c r="BE266" s="257" t="n"/>
      <c r="BF266" s="258" t="n"/>
      <c r="BG266" s="89" t="n"/>
      <c r="BH2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66">
        <f>_xlfn.LET(r,ROW(),oc,INDEX($A:$A,r),cv,TRIM(INDEX($Y:$Y,r)&amp;""),IF(oc&lt;&gt;"P1","",IF(cv="45","V45 - novo, nao alimentado pelo spool atual","V44 - alimentado pelo spool atual")))</f>
        <v/>
      </c>
    </row>
    <row r="267" ht="54" customFormat="1" customHeight="1" s="91">
      <c r="A267" s="306" t="inlineStr">
        <is>
          <t>P1</t>
        </is>
      </c>
      <c r="B267" s="307" t="n">
        <v>32</v>
      </c>
      <c r="C267" s="269" t="inlineStr">
        <is>
          <t>31 - Paramètres bâlois</t>
        </is>
      </c>
      <c r="D267" s="310" t="inlineStr">
        <is>
          <t>31 - Basel settings</t>
        </is>
      </c>
      <c r="E267" s="307" t="inlineStr">
        <is>
          <t>P1 18.1</t>
        </is>
      </c>
      <c r="F267" s="308" t="inlineStr">
        <is>
          <t>Loss Given Default (LGD)</t>
        </is>
      </c>
      <c r="G267" s="309" t="inlineStr">
        <is>
          <t>Loss Given Default (LGD)</t>
        </is>
      </c>
      <c r="H267" s="1493">
        <f>"RPAD( "&amp;SUBSTITUTE(SUBSTITUTE(E267," ","_"),".","_")&amp;","&amp;W267&amp;",' '); -- "&amp;E267</f>
        <v/>
      </c>
      <c r="I267" s="242" t="inlineStr">
        <is>
          <t>LGD calculé par l'entité</t>
        </is>
      </c>
      <c r="J267" s="309" t="inlineStr">
        <is>
          <t>LGD calculated by the entity</t>
        </is>
      </c>
      <c r="K267" s="370" t="inlineStr">
        <is>
          <t>ND</t>
        </is>
      </c>
      <c r="L267" s="371" t="inlineStr">
        <is>
          <t>ND</t>
        </is>
      </c>
      <c r="M267" s="1420" t="inlineStr">
        <is>
          <t>txLGD</t>
        </is>
      </c>
      <c r="N267" s="257" t="inlineStr">
        <is>
          <t>Obligatoire sous conditions</t>
        </is>
      </c>
      <c r="O267" s="310" t="inlineStr">
        <is>
          <t>Mandatory under conditions</t>
        </is>
      </c>
      <c r="P267" s="269" t="inlineStr">
        <is>
          <t>NA</t>
        </is>
      </c>
      <c r="Q267" s="269" t="inlineStr">
        <is>
          <t>NA</t>
        </is>
      </c>
      <c r="R267" s="241" t="inlineStr">
        <is>
          <t>Donnée utilisée par le moteur IRB A et utilisée pour les engagements de certaines activités du groupe
A renseigner uniquement pour les financements spécialisés en IRB A</t>
        </is>
      </c>
      <c r="S267" s="233" t="inlineStr">
        <is>
          <t>Data used by the IRB A engine and used for funds in use of certain Group activities
To be filled in only for specialized funding in IRB A</t>
        </is>
      </c>
      <c r="T267" s="313" t="inlineStr">
        <is>
          <t>NUM</t>
        </is>
      </c>
      <c r="U267" s="237" t="inlineStr">
        <is>
          <t>10 dont signe et 5 décimales</t>
        </is>
      </c>
      <c r="V267" s="238" t="inlineStr">
        <is>
          <t>10 including sign and 5 decimals</t>
        </is>
      </c>
      <c r="W267" s="257" t="n">
        <v>10</v>
      </c>
      <c r="X267" s="945" t="inlineStr">
        <is>
          <t>NA</t>
        </is>
      </c>
      <c r="Y267" s="237" t="n">
        <v>40</v>
      </c>
      <c r="Z267" s="237" t="inlineStr">
        <is>
          <t>NA</t>
        </is>
      </c>
      <c r="AA267" s="270" t="inlineStr">
        <is>
          <t>NA</t>
        </is>
      </c>
      <c r="AB267" s="994" t="inlineStr">
        <is>
          <t>CALCULS PRUDENTIELS, LOAN TAPE, SRB VALUATION</t>
        </is>
      </c>
      <c r="AC267" s="231" t="inlineStr">
        <is>
          <t>ND</t>
        </is>
      </c>
      <c r="AD267" s="257" t="inlineStr">
        <is>
          <t>N</t>
        </is>
      </c>
      <c r="AE267" s="257" t="inlineStr">
        <is>
          <t>ISS200 et 300
TRE2 à 4XX hors 203,205,206,207
TRE5XX
SIG
VAR (hors Repos)
INT</t>
        </is>
      </c>
      <c r="AF267" s="257" t="inlineStr">
        <is>
          <t>NA</t>
        </is>
      </c>
      <c r="AG267" s="258" t="inlineStr">
        <is>
          <t>NA</t>
        </is>
      </c>
      <c r="AH267" s="89" t="n"/>
      <c r="AI267" s="435" t="inlineStr">
        <is>
          <t>La donnée est obligatoire, si le type de risque [P1 2.0] = ‘TRE2xx' à 'TRE4xx' (sauf ‘TRE203,205&amp;206,207'), 'TRE5xx', 'SIGxxx', 'ISS200', 'ISS300', ‘VARxxx' (hors VAR105 et VAR302) ET si la Méthodologie Bâloise [P1 1.1] = ‘IRB A' ET si le Portefeuille Bâlois - Opération [P1 2.18] = '06x'</t>
        </is>
      </c>
      <c r="AJ267" s="317" t="inlineStr">
        <is>
          <t>The data is mandatory, if the risk type [P1 2.0] = ‘TRE2xx' to 'TRE4xx' (except ‘TRE203,205&amp;206,207'), 'TRE5xx', 'SIGxxx', 'ISS200', 'ISS300', ‘VARxxx' (except VAR105 and VAR302) AND if the Basel methodology [P1 1.1] = ‘IRB A' AND if the Basel Transaction Portfolio [P1 2.18] = '06x'</t>
        </is>
      </c>
      <c r="AK267" s="257" t="n">
        <v>6</v>
      </c>
      <c r="AL267" s="366" t="inlineStr">
        <is>
          <t>TPS0738</t>
        </is>
      </c>
      <c r="AM267" s="318" t="n"/>
      <c r="AN267" s="317" t="n"/>
      <c r="AO267" s="257" t="n"/>
      <c r="AP267" s="258" t="n"/>
      <c r="AQ267" s="436" t="inlineStr">
        <is>
          <t>Si renseignée, la donnée doit être comprise entre '0' et '150'</t>
        </is>
      </c>
      <c r="AR267" s="317" t="inlineStr">
        <is>
          <t>If filled, data must be between '0' and '150'</t>
        </is>
      </c>
      <c r="AS267" s="257" t="n">
        <v>7</v>
      </c>
      <c r="AT267" s="366" t="inlineStr">
        <is>
          <t>TVG0007</t>
        </is>
      </c>
      <c r="AU267" s="318" t="n"/>
      <c r="AV267" s="317" t="n"/>
      <c r="AW267" s="257" t="n"/>
      <c r="AX267" s="258" t="n"/>
      <c r="AY267" s="318" t="n"/>
      <c r="AZ267" s="317" t="n"/>
      <c r="BA267" s="257" t="n"/>
      <c r="BB267" s="258" t="n"/>
      <c r="BC267" s="316" t="n"/>
      <c r="BD267" s="317" t="n"/>
      <c r="BE267" s="257" t="n"/>
      <c r="BF267" s="258" t="n"/>
      <c r="BG267" s="89" t="n"/>
      <c r="BH2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67">
        <f>_xlfn.LET(r,ROW(),oc,INDEX($A:$A,r),cv,TRIM(INDEX($Y:$Y,r)&amp;""),IF(oc&lt;&gt;"P1","",IF(cv="45","V45 - novo, nao alimentado pelo spool atual","V44 - alimentado pelo spool atual")))</f>
        <v/>
      </c>
    </row>
    <row r="268" ht="54" customFormat="1" customHeight="1" s="91">
      <c r="A268" s="306" t="inlineStr">
        <is>
          <t>P1</t>
        </is>
      </c>
      <c r="B268" s="307" t="n">
        <v>33</v>
      </c>
      <c r="C268" s="269" t="inlineStr">
        <is>
          <t>31 - Paramètres bâlois</t>
        </is>
      </c>
      <c r="D268" s="310" t="inlineStr">
        <is>
          <t>31 - Basel settings</t>
        </is>
      </c>
      <c r="E268" s="307" t="inlineStr">
        <is>
          <t>P1 18.10</t>
        </is>
      </c>
      <c r="F268" s="437" t="inlineStr">
        <is>
          <t>Crédit Conversion Factor (CCF)</t>
        </is>
      </c>
      <c r="G268" s="309" t="inlineStr">
        <is>
          <t>Credit Conversion Factor (CCF)</t>
        </is>
      </c>
      <c r="H268" s="1493">
        <f>"RPAD( "&amp;SUBSTITUTE(SUBSTITUTE(E268," ","_"),".","_")&amp;","&amp;W268&amp;",' '); -- "&amp;E268</f>
        <v/>
      </c>
      <c r="I268" s="241" t="inlineStr">
        <is>
          <t>Crédit Conversion Factor (CCF)
Exprimé en %</t>
        </is>
      </c>
      <c r="J268" s="309" t="inlineStr">
        <is>
          <t>Integer portion of the CCF
Expressed as %</t>
        </is>
      </c>
      <c r="K268" s="370" t="inlineStr">
        <is>
          <t>ND</t>
        </is>
      </c>
      <c r="L268" s="371" t="inlineStr">
        <is>
          <t>ND</t>
        </is>
      </c>
      <c r="M268" s="1420" t="inlineStr">
        <is>
          <t>txCCF</t>
        </is>
      </c>
      <c r="N268" s="438" t="inlineStr">
        <is>
          <t>Obligatoire (SC)</t>
        </is>
      </c>
      <c r="O268" s="310" t="inlineStr">
        <is>
          <t>Mandatory (SC)</t>
        </is>
      </c>
      <c r="P268" s="269" t="inlineStr">
        <is>
          <t>NA</t>
        </is>
      </c>
      <c r="Q268" s="269" t="inlineStr">
        <is>
          <t>NA</t>
        </is>
      </c>
      <c r="R268" s="241" t="inlineStr">
        <is>
          <t>A renseigner uniquement en IRB A</t>
        </is>
      </c>
      <c r="S268" s="233" t="inlineStr">
        <is>
          <t>To be filled in only in IRB A</t>
        </is>
      </c>
      <c r="T268" s="313" t="inlineStr">
        <is>
          <t>NUM</t>
        </is>
      </c>
      <c r="U268" s="237" t="inlineStr">
        <is>
          <t>10 dont signe et 5 décimales</t>
        </is>
      </c>
      <c r="V268" s="238" t="inlineStr">
        <is>
          <t>10 including sign and 5 decimals</t>
        </is>
      </c>
      <c r="W268" s="257" t="n">
        <v>10</v>
      </c>
      <c r="X268" s="945" t="inlineStr">
        <is>
          <t>NA</t>
        </is>
      </c>
      <c r="Y268" s="237" t="n">
        <v>40</v>
      </c>
      <c r="Z268" s="237" t="inlineStr">
        <is>
          <t>NA</t>
        </is>
      </c>
      <c r="AA268" s="270" t="inlineStr">
        <is>
          <t>NA</t>
        </is>
      </c>
      <c r="AB268" s="994" t="inlineStr">
        <is>
          <t>CALCULS PRUDENTIELS, LOAN TAPE, SRB VALUATION</t>
        </is>
      </c>
      <c r="AC268" s="231" t="inlineStr">
        <is>
          <t>ND</t>
        </is>
      </c>
      <c r="AD268" s="257" t="inlineStr">
        <is>
          <t>N</t>
        </is>
      </c>
      <c r="AE268" s="257" t="inlineStr">
        <is>
          <t>SIGxxx</t>
        </is>
      </c>
      <c r="AF268" s="257" t="inlineStr">
        <is>
          <t>NA</t>
        </is>
      </c>
      <c r="AG268" s="258" t="inlineStr">
        <is>
          <t>NA</t>
        </is>
      </c>
      <c r="AH268" s="89" t="n"/>
      <c r="AI268" s="439" t="n"/>
      <c r="AJ268" s="317" t="n"/>
      <c r="AK268" s="257" t="n"/>
      <c r="AL268" s="440" t="n"/>
      <c r="AM268" s="318" t="n"/>
      <c r="AN268" s="317" t="n"/>
      <c r="AO268" s="257" t="n"/>
      <c r="AP268" s="258" t="n"/>
      <c r="AQ268" s="441" t="inlineStr">
        <is>
          <t>Si renseignée, la donnée doit être positive (supérieure ou égale à 0)</t>
        </is>
      </c>
      <c r="AR268" s="377" t="inlineStr">
        <is>
          <t xml:space="preserve">If filled, data must be positive (greater or equal to 0) </t>
        </is>
      </c>
      <c r="AS268" s="442" t="n">
        <v>7</v>
      </c>
      <c r="AT268" s="443" t="inlineStr">
        <is>
          <t>TVG0001</t>
        </is>
      </c>
      <c r="AU268" s="318" t="n"/>
      <c r="AV268" s="317" t="n"/>
      <c r="AW268" s="257" t="n"/>
      <c r="AX268" s="258" t="n"/>
      <c r="AY268" s="318" t="n"/>
      <c r="AZ268" s="317" t="n"/>
      <c r="BA268" s="257" t="n"/>
      <c r="BB268" s="258" t="n"/>
      <c r="BC268" s="316" t="n"/>
      <c r="BD268" s="317" t="n"/>
      <c r="BE268" s="257" t="n"/>
      <c r="BF268" s="258" t="n"/>
      <c r="BG268" s="89" t="n"/>
      <c r="BH2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68">
        <f>_xlfn.LET(r,ROW(),oc,INDEX($A:$A,r),cv,TRIM(INDEX($Y:$Y,r)&amp;""),IF(oc&lt;&gt;"P1","",IF(cv="45","V45 - novo, nao alimentado pelo spool atual","V44 - alimentado pelo spool atual")))</f>
        <v/>
      </c>
    </row>
    <row r="269" ht="54" customFormat="1" customHeight="1" s="91">
      <c r="A269" s="306" t="inlineStr">
        <is>
          <t>P1</t>
        </is>
      </c>
      <c r="B269" s="307" t="n">
        <v>34</v>
      </c>
      <c r="C269" s="269" t="inlineStr">
        <is>
          <t>31 - Paramètres bâlois</t>
        </is>
      </c>
      <c r="D269" s="310" t="inlineStr">
        <is>
          <t>31 - Basel settings</t>
        </is>
      </c>
      <c r="E269" s="307" t="inlineStr">
        <is>
          <t>P1 18.5</t>
        </is>
      </c>
      <c r="F269" s="278" t="inlineStr">
        <is>
          <t>Montant de l'Exposition en cas de Défaut (EAD)</t>
        </is>
      </c>
      <c r="G269" s="160" t="inlineStr">
        <is>
          <t>Exposure At Default (EAD) amount</t>
        </is>
      </c>
      <c r="H269" s="1493">
        <f>"RPAD( "&amp;SUBSTITUTE(SUBSTITUTE(E269," ","_"),".","_")&amp;","&amp;W269&amp;",' '); -- "&amp;E269</f>
        <v/>
      </c>
      <c r="I269" s="278" t="inlineStr">
        <is>
          <t>Montant de l'Exposition en cas de Défaut (EAD)</t>
        </is>
      </c>
      <c r="J269" s="160" t="inlineStr">
        <is>
          <t>Exposure At Default (EAD) amount</t>
        </is>
      </c>
      <c r="K269" s="370" t="inlineStr">
        <is>
          <t>ND</t>
        </is>
      </c>
      <c r="L269" s="371" t="inlineStr">
        <is>
          <t>ND</t>
        </is>
      </c>
      <c r="M269" s="1420" t="inlineStr">
        <is>
          <t>mtEAD</t>
        </is>
      </c>
      <c r="N269" s="257" t="inlineStr">
        <is>
          <t>Obligatoire sous conditions</t>
        </is>
      </c>
      <c r="O269" s="236" t="inlineStr">
        <is>
          <t>Mandatory under conditions</t>
        </is>
      </c>
      <c r="P269" s="269" t="inlineStr">
        <is>
          <t>NA</t>
        </is>
      </c>
      <c r="Q269" s="269" t="inlineStr">
        <is>
          <t>NA</t>
        </is>
      </c>
      <c r="R269" s="241" t="inlineStr">
        <is>
          <t>Obligatoire pour la titrisation</t>
        </is>
      </c>
      <c r="S269" s="233" t="inlineStr">
        <is>
          <t>Mandatory for securitisation</t>
        </is>
      </c>
      <c r="T269" s="313" t="inlineStr">
        <is>
          <t>NUM</t>
        </is>
      </c>
      <c r="U269" s="237" t="inlineStr">
        <is>
          <t>19 dont signe et 2 décimales</t>
        </is>
      </c>
      <c r="V269" s="238" t="inlineStr">
        <is>
          <t>19 including sign and 2 decimals</t>
        </is>
      </c>
      <c r="W269" s="257" t="n">
        <v>19</v>
      </c>
      <c r="X269" s="945" t="inlineStr">
        <is>
          <t>NA</t>
        </is>
      </c>
      <c r="Y269" s="237" t="n">
        <v>40</v>
      </c>
      <c r="Z269" s="237" t="inlineStr">
        <is>
          <t>NA</t>
        </is>
      </c>
      <c r="AA269" s="283" t="inlineStr">
        <is>
          <t>NA</t>
        </is>
      </c>
      <c r="AB269" s="994" t="inlineStr">
        <is>
          <t>ASTRE, CALCULS PRUDENTIELS, LOAN TAPE</t>
        </is>
      </c>
      <c r="AC269" s="231" t="inlineStr">
        <is>
          <t>ND</t>
        </is>
      </c>
      <c r="AD269" s="257" t="inlineStr">
        <is>
          <t>N</t>
        </is>
      </c>
      <c r="AE269" s="257" t="inlineStr">
        <is>
          <t xml:space="preserve">ISS200 et 300
TRE2 à 4XX hors 203,205,206,207
TRE5XX
SIG
</t>
        </is>
      </c>
      <c r="AF269" s="257" t="inlineStr">
        <is>
          <t>NA</t>
        </is>
      </c>
      <c r="AG269" s="258" t="inlineStr">
        <is>
          <t>NA</t>
        </is>
      </c>
      <c r="AH269" s="89" t="n"/>
      <c r="AI269" s="444" t="inlineStr">
        <is>
          <t>La donnée est obligatoire si (le type de risque [P1 2.0] est égal à 'TRE2xx' à 'TRE4xx', 'ISS200', 'ISS300', 'SIGxxx' hors ('TRE203', 'TRE205', 'TRE206', 'TRE207')) ET si (le Portefeuille Bâle Opération [P1 2.18] est égal à '070')</t>
        </is>
      </c>
      <c r="AJ269" s="317" t="inlineStr">
        <is>
          <t>The data is mandatory if (Risk type [P1 2.0] is equal to 'TRE2xx' to 'TRE4xx', 'ISS200', 'ISS300', 'SIGxxx' except ('TRE203', 'TRE205', 'TRE206', 'TRE207')) AND if (the Basel Transaction Portfolio [P1 2.18] is equal to '070')</t>
        </is>
      </c>
      <c r="AK269" s="257" t="n">
        <v>6</v>
      </c>
      <c r="AL269" s="366" t="inlineStr">
        <is>
          <t>TPS0739</t>
        </is>
      </c>
      <c r="AM269" s="318" t="n"/>
      <c r="AN269" s="317" t="n"/>
      <c r="AO269" s="257" t="n"/>
      <c r="AP269" s="258" t="n"/>
      <c r="AQ269" s="445" t="inlineStr">
        <is>
          <t>Si renseignée, la donnée doit être positive (supérieure ou égale à 0)</t>
        </is>
      </c>
      <c r="AR269" s="377" t="inlineStr">
        <is>
          <t xml:space="preserve">If filled, data must be positive (greater or equal to 0) </t>
        </is>
      </c>
      <c r="AS269" s="257" t="n">
        <v>7</v>
      </c>
      <c r="AT269" s="345" t="inlineStr">
        <is>
          <t>TVG0001</t>
        </is>
      </c>
      <c r="AU269" s="318" t="n"/>
      <c r="AV269" s="317" t="n"/>
      <c r="AW269" s="257" t="n"/>
      <c r="AX269" s="258" t="n"/>
      <c r="AY269" s="318" t="n"/>
      <c r="AZ269" s="317" t="n"/>
      <c r="BA269" s="257" t="n"/>
      <c r="BB269" s="258" t="n"/>
      <c r="BC269" s="316" t="n"/>
      <c r="BD269" s="317" t="n"/>
      <c r="BE269" s="257" t="n"/>
      <c r="BF269" s="258" t="n"/>
      <c r="BG269" s="89" t="n"/>
      <c r="BH2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69">
        <f>_xlfn.LET(r,ROW(),oc,INDEX($A:$A,r),cv,TRIM(INDEX($Y:$Y,r)&amp;""),IF(oc&lt;&gt;"P1","",IF(cv="45","V45 - novo, nao alimentado pelo spool atual","V44 - alimentado pelo spool atual")))</f>
        <v/>
      </c>
    </row>
    <row r="270" ht="54" customFormat="1" customHeight="1" s="91">
      <c r="A270" s="306" t="inlineStr">
        <is>
          <t>P1</t>
        </is>
      </c>
      <c r="B270" s="307" t="n">
        <v>35</v>
      </c>
      <c r="C270" s="269" t="inlineStr">
        <is>
          <t>31 - Paramètres bâlois</t>
        </is>
      </c>
      <c r="D270" s="310" t="inlineStr">
        <is>
          <t>31 - Basel settings</t>
        </is>
      </c>
      <c r="E270" s="307" t="inlineStr">
        <is>
          <t>P1 18.17</t>
        </is>
      </c>
      <c r="F270" s="278" t="inlineStr">
        <is>
          <t>Devise du montant de l'Exposition en cas de Défaut (EAD)</t>
        </is>
      </c>
      <c r="G270" s="160" t="inlineStr">
        <is>
          <t>Exposure At Default (EAD) amount's currency</t>
        </is>
      </c>
      <c r="H270" s="1493">
        <f>"RPAD( "&amp;SUBSTITUTE(SUBSTITUTE(E270," ","_"),".","_")&amp;","&amp;W270&amp;",' '); -- "&amp;E270</f>
        <v/>
      </c>
      <c r="I270" s="278" t="inlineStr">
        <is>
          <t>Devise du montant de l'Exposition en cas de Défaut (EAD)</t>
        </is>
      </c>
      <c r="J270" s="160" t="inlineStr">
        <is>
          <t>Exposure At Default (EAD) amount's currency</t>
        </is>
      </c>
      <c r="K270" s="370" t="inlineStr">
        <is>
          <t>ND</t>
        </is>
      </c>
      <c r="L270" s="371" t="inlineStr">
        <is>
          <t>ND</t>
        </is>
      </c>
      <c r="M270" s="1420" t="inlineStr">
        <is>
          <t>cdDevMtEAD</t>
        </is>
      </c>
      <c r="N270" s="257" t="inlineStr">
        <is>
          <t>Obligatoire sous conditions</t>
        </is>
      </c>
      <c r="O270" s="236" t="inlineStr">
        <is>
          <t>Mandatory under conditions</t>
        </is>
      </c>
      <c r="P270" s="269" t="inlineStr">
        <is>
          <t>LC.0005</t>
        </is>
      </c>
      <c r="Q270" s="269" t="inlineStr">
        <is>
          <t>TA NM253</t>
        </is>
      </c>
      <c r="R270" s="241" t="inlineStr">
        <is>
          <t>NA</t>
        </is>
      </c>
      <c r="S270" s="233" t="inlineStr">
        <is>
          <t>NA</t>
        </is>
      </c>
      <c r="T270" s="313" t="inlineStr">
        <is>
          <t>ALPHA</t>
        </is>
      </c>
      <c r="U270" s="237" t="inlineStr">
        <is>
          <t>NA</t>
        </is>
      </c>
      <c r="V270" s="238" t="inlineStr">
        <is>
          <t>NA</t>
        </is>
      </c>
      <c r="W270" s="257" t="n">
        <v>3</v>
      </c>
      <c r="X270" s="945" t="inlineStr">
        <is>
          <t>NA</t>
        </is>
      </c>
      <c r="Y270" s="237" t="n">
        <v>40</v>
      </c>
      <c r="Z270" s="237" t="inlineStr">
        <is>
          <t>NA</t>
        </is>
      </c>
      <c r="AA270" s="270" t="inlineStr">
        <is>
          <t>NA</t>
        </is>
      </c>
      <c r="AB270" s="1286" t="inlineStr">
        <is>
          <t>CALCULS PRUDENTIELS</t>
        </is>
      </c>
      <c r="AC270" s="231" t="inlineStr">
        <is>
          <t>ND</t>
        </is>
      </c>
      <c r="AD270" s="257" t="inlineStr">
        <is>
          <t>N</t>
        </is>
      </c>
      <c r="AE270" s="257" t="inlineStr">
        <is>
          <t xml:space="preserve">ISS200 et 300
TRE2 à 4XX hors 203,205,206,207
TRE5XX
SIG
</t>
        </is>
      </c>
      <c r="AF270" s="257" t="inlineStr">
        <is>
          <t>NA</t>
        </is>
      </c>
      <c r="AG270" s="258" t="inlineStr">
        <is>
          <t>NA</t>
        </is>
      </c>
      <c r="AH270" s="89" t="n"/>
      <c r="AI270" s="446" t="inlineStr">
        <is>
          <t>La donnée est obligatoire, si Montant de l'Exposition en cas de Défaut (EAD) [P1 18.5] est renseigné</t>
        </is>
      </c>
      <c r="AJ270" s="317" t="inlineStr">
        <is>
          <t>The data is mandatory, if Exposure At Default (EAD) amount [P1 18.5] is filled</t>
        </is>
      </c>
      <c r="AK270" s="257" t="n">
        <v>7</v>
      </c>
      <c r="AL270" s="447" t="inlineStr">
        <is>
          <t>TPG0002</t>
        </is>
      </c>
      <c r="AM270" s="318" t="inlineStr">
        <is>
          <t>Si elle est renseignée, la valeur doit être connue du Langage Commun associé</t>
        </is>
      </c>
      <c r="AN270" s="317" t="inlineStr">
        <is>
          <t>If specified, the value must be known to the associated Common Language</t>
        </is>
      </c>
      <c r="AO270" s="257" t="n">
        <v>7</v>
      </c>
      <c r="AP270" s="212" t="inlineStr">
        <is>
          <t>TIG0001</t>
        </is>
      </c>
      <c r="AQ270" s="318" t="n"/>
      <c r="AR270" s="317" t="n"/>
      <c r="AS270" s="257" t="n"/>
      <c r="AT270" s="258" t="n"/>
      <c r="AU270" s="318" t="n"/>
      <c r="AV270" s="317" t="n"/>
      <c r="AW270" s="257" t="n"/>
      <c r="AX270" s="258" t="n"/>
      <c r="AY270" s="318" t="n"/>
      <c r="AZ270" s="317" t="n"/>
      <c r="BA270" s="257" t="n"/>
      <c r="BB270" s="258" t="n"/>
      <c r="BC270" s="316" t="n"/>
      <c r="BD270" s="317" t="n"/>
      <c r="BE270" s="257" t="n"/>
      <c r="BF270" s="258" t="n"/>
      <c r="BG270" s="89" t="n"/>
      <c r="BH2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70">
        <f>_xlfn.LET(r,ROW(),oc,INDEX($A:$A,r),cv,TRIM(INDEX($Y:$Y,r)&amp;""),IF(oc&lt;&gt;"P1","",IF(cv="45","V45 - novo, nao alimentado pelo spool atual","V44 - alimentado pelo spool atual")))</f>
        <v/>
      </c>
    </row>
    <row r="271" ht="54" customFormat="1" customHeight="1" s="91">
      <c r="A271" s="306" t="inlineStr">
        <is>
          <t>P1</t>
        </is>
      </c>
      <c r="B271" s="307" t="n">
        <v>36</v>
      </c>
      <c r="C271" s="269" t="inlineStr">
        <is>
          <t>03 - Caractéristiques Générales</t>
        </is>
      </c>
      <c r="D271" s="310" t="inlineStr">
        <is>
          <t>03 - General characteristics</t>
        </is>
      </c>
      <c r="E271" s="307" t="inlineStr">
        <is>
          <t>P1 18.18</t>
        </is>
      </c>
      <c r="F271" s="308" t="inlineStr">
        <is>
          <t>Devise d'origine du contrat</t>
        </is>
      </c>
      <c r="G271" s="309" t="inlineStr">
        <is>
          <t>Original currency of contract</t>
        </is>
      </c>
      <c r="H271" s="1493">
        <f>"RPAD( "&amp;SUBSTITUTE(SUBSTITUTE(E271," ","_"),".","_")&amp;","&amp;W271&amp;",' '); -- "&amp;E271</f>
        <v/>
      </c>
      <c r="I271" s="241" t="inlineStr">
        <is>
          <t>Devise de montant du contrat à l'origine</t>
        </is>
      </c>
      <c r="J271" s="309" t="inlineStr">
        <is>
          <t>Currency of the Initial amount of contract</t>
        </is>
      </c>
      <c r="K271" s="370" t="inlineStr">
        <is>
          <t>ND</t>
        </is>
      </c>
      <c r="L271" s="371" t="inlineStr">
        <is>
          <t>ND</t>
        </is>
      </c>
      <c r="M271" s="1420" t="inlineStr">
        <is>
          <t>cdDevOrig</t>
        </is>
      </c>
      <c r="N271" s="231" t="inlineStr">
        <is>
          <t>Obligatoire</t>
        </is>
      </c>
      <c r="O271" s="236" t="inlineStr">
        <is>
          <t>Mandatory</t>
        </is>
      </c>
      <c r="P271" s="269" t="inlineStr">
        <is>
          <t>LC.0005</t>
        </is>
      </c>
      <c r="Q271" s="269" t="inlineStr">
        <is>
          <t>TA NM253</t>
        </is>
      </c>
      <c r="R271" s="241" t="inlineStr">
        <is>
          <t>Cette devise est indispensable. Utilisée pour les traitements Bâlois dans certaines conditions et pour la déclaration des Engagements Internationaux du Groupe
Pour le type de risques ISS100 uniquement, utilisée par le moteur de la Déclaration des Grands Risques</t>
        </is>
      </c>
      <c r="S271" s="233" t="inlineStr">
        <is>
          <t>This currency is critical. Used for Basel treatments under certain conditions and for reporting by the Group's International Funds in use
For the ISS100 risk type only, used by the Major Risks Declaration engine</t>
        </is>
      </c>
      <c r="T271" s="313" t="inlineStr">
        <is>
          <t>ALPHA</t>
        </is>
      </c>
      <c r="U271" s="237" t="inlineStr">
        <is>
          <t>NA</t>
        </is>
      </c>
      <c r="V271" s="238" t="inlineStr">
        <is>
          <t>NA</t>
        </is>
      </c>
      <c r="W271" s="257" t="n">
        <v>3</v>
      </c>
      <c r="X271" s="945" t="inlineStr">
        <is>
          <t>NA</t>
        </is>
      </c>
      <c r="Y271" s="237" t="n">
        <v>40</v>
      </c>
      <c r="Z271" s="237" t="inlineStr">
        <is>
          <t>NA</t>
        </is>
      </c>
      <c r="AA271" s="270" t="inlineStr">
        <is>
          <t>45.00</t>
        </is>
      </c>
      <c r="AB271" s="932" t="inlineStr">
        <is>
          <t>AER, ALMM, ANACREDIT, ASTRE, CALCULS PRUDENTIELS, DEI, GRR, LIQUIDITE, LOAN TAPE, MREL, NSFR, OMP, PALMA, SHS, SRB VALUATION</t>
        </is>
      </c>
      <c r="AC271" s="231" t="inlineStr">
        <is>
          <t>ND</t>
        </is>
      </c>
      <c r="AD271" s="257" t="inlineStr">
        <is>
          <t>N</t>
        </is>
      </c>
      <c r="AE271" s="971" t="inlineStr">
        <is>
          <t>EQU101
EQU201
ISS100
ISS200 et 300
TRE100
TRE2 à 4XX hors 203,205,206,207
TRE203, 205, 207
TRE206
TRE5XX
SIG
VAR*
INT</t>
        </is>
      </c>
      <c r="AF271" s="257" t="inlineStr">
        <is>
          <t>NA</t>
        </is>
      </c>
      <c r="AG271" s="258" t="inlineStr">
        <is>
          <t>NA</t>
        </is>
      </c>
      <c r="AH271" s="89" t="n"/>
      <c r="AI271" s="316" t="inlineStr">
        <is>
          <t>La donnée est obligatoire</t>
        </is>
      </c>
      <c r="AJ271" s="317" t="inlineStr">
        <is>
          <t>The data is mandatory</t>
        </is>
      </c>
      <c r="AK271" s="257" t="n">
        <v>7</v>
      </c>
      <c r="AL271" s="335" t="inlineStr">
        <is>
          <t>TPG0001</t>
        </is>
      </c>
      <c r="AM271" s="318" t="inlineStr">
        <is>
          <t>Si elle est renseignée, la valeur doit être connue du Langage Commun associé</t>
        </is>
      </c>
      <c r="AN271" s="317" t="inlineStr">
        <is>
          <t>If specified, the value must be known to the associated Common Language</t>
        </is>
      </c>
      <c r="AO271" s="257" t="n">
        <v>7</v>
      </c>
      <c r="AP271" s="212" t="inlineStr">
        <is>
          <t>TIG0001</t>
        </is>
      </c>
      <c r="AQ271" s="318" t="n"/>
      <c r="AR271" s="317" t="n"/>
      <c r="AS271" s="257" t="n"/>
      <c r="AT271" s="258" t="n"/>
      <c r="AU271" s="318" t="n"/>
      <c r="AV271" s="317" t="n"/>
      <c r="AW271" s="257" t="n"/>
      <c r="AX271" s="258" t="n"/>
      <c r="AY271" s="318" t="n"/>
      <c r="AZ271" s="317" t="n"/>
      <c r="BA271" s="257" t="n"/>
      <c r="BB271" s="258" t="n"/>
      <c r="BC271" s="316" t="n"/>
      <c r="BD271" s="317" t="n"/>
      <c r="BE271" s="257" t="n"/>
      <c r="BF271" s="258" t="n"/>
      <c r="BG271" s="89" t="n"/>
      <c r="BH2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71">
        <f>_xlfn.LET(r,ROW(),oc,INDEX($A:$A,r),cv,TRIM(INDEX($Y:$Y,r)&amp;""),IF(oc&lt;&gt;"P1","",IF(cv="45","V45 - novo, nao alimentado pelo spool atual","V44 - alimentado pelo spool atual")))</f>
        <v/>
      </c>
    </row>
    <row r="272" ht="54" customFormat="1" customHeight="1" s="91">
      <c r="A272" s="306" t="inlineStr">
        <is>
          <t>P1</t>
        </is>
      </c>
      <c r="B272" s="307" t="n">
        <v>37</v>
      </c>
      <c r="C272" s="269" t="inlineStr">
        <is>
          <t>03 - Caractéristiques Générales</t>
        </is>
      </c>
      <c r="D272" s="310" t="inlineStr">
        <is>
          <t>03 - General characteristics</t>
        </is>
      </c>
      <c r="E272" s="307" t="inlineStr">
        <is>
          <t>P1 3.98</t>
        </is>
      </c>
      <c r="F272" s="308" t="inlineStr">
        <is>
          <t>Zone réservée locale</t>
        </is>
      </c>
      <c r="G272" s="309" t="inlineStr">
        <is>
          <t>Local reserved zone</t>
        </is>
      </c>
      <c r="H272" s="1493">
        <f>"RPAD( "&amp;SUBSTITUTE(SUBSTITUTE(E272," ","_"),".","_")&amp;","&amp;W272&amp;",' '); -- "&amp;E272</f>
        <v/>
      </c>
      <c r="I272" s="241" t="inlineStr">
        <is>
          <t>Zone réservée locale</t>
        </is>
      </c>
      <c r="J272" s="309" t="inlineStr">
        <is>
          <t>Local reserved zone</t>
        </is>
      </c>
      <c r="K272" s="370" t="inlineStr">
        <is>
          <t>ND</t>
        </is>
      </c>
      <c r="L272" s="371" t="inlineStr">
        <is>
          <t>ND</t>
        </is>
      </c>
      <c r="M272" s="1420" t="inlineStr">
        <is>
          <t>ZoneResLoc</t>
        </is>
      </c>
      <c r="N272" s="257" t="inlineStr">
        <is>
          <t>Facultatif</t>
        </is>
      </c>
      <c r="O272" s="236" t="inlineStr">
        <is>
          <t>Optional</t>
        </is>
      </c>
      <c r="P272" s="269" t="inlineStr">
        <is>
          <t>NA</t>
        </is>
      </c>
      <c r="Q272" s="269" t="inlineStr">
        <is>
          <t>NA</t>
        </is>
      </c>
      <c r="R272" s="241" t="inlineStr">
        <is>
          <t>La constitution de ce champ et la maintenance de son contenu seront assurées par l'entité en collaboration avec le suivi métier</t>
        </is>
      </c>
      <c r="S272" s="233" t="inlineStr">
        <is>
          <t>The establishment of this field and the maintenance of its contents will be ensured by the entity in collaboration with the follow-up|monitoring business</t>
        </is>
      </c>
      <c r="T272" s="313" t="inlineStr">
        <is>
          <t>ALPHA</t>
        </is>
      </c>
      <c r="U272" s="237" t="inlineStr">
        <is>
          <t>NA</t>
        </is>
      </c>
      <c r="V272" s="238" t="inlineStr">
        <is>
          <t>NA</t>
        </is>
      </c>
      <c r="W272" s="257" t="n">
        <v>50</v>
      </c>
      <c r="X272" s="945" t="inlineStr">
        <is>
          <t>NA</t>
        </is>
      </c>
      <c r="Y272" s="237" t="inlineStr">
        <is>
          <t>40</t>
        </is>
      </c>
      <c r="Z272" s="237" t="inlineStr">
        <is>
          <t>NA</t>
        </is>
      </c>
      <c r="AA272" s="237" t="inlineStr">
        <is>
          <t>NA</t>
        </is>
      </c>
      <c r="AB272" s="269" t="inlineStr">
        <is>
          <t>USAGE ZP</t>
        </is>
      </c>
      <c r="AC272" s="231" t="inlineStr">
        <is>
          <t>ND</t>
        </is>
      </c>
      <c r="AD272" s="257" t="inlineStr">
        <is>
          <t>N</t>
        </is>
      </c>
      <c r="AE272" s="971" t="inlineStr">
        <is>
          <t>EQU101
EQU201
ISS100
ISS200 et 300
TRE100
TRE2 à 4XX hors 203,205,206,207
TRE203, 205, 207
TRE206
TRE5XX
SIG
VAR*
INT</t>
        </is>
      </c>
      <c r="AF272" s="257" t="inlineStr">
        <is>
          <t>NA</t>
        </is>
      </c>
      <c r="AG272" s="258" t="inlineStr">
        <is>
          <t>NA</t>
        </is>
      </c>
      <c r="AH272" s="89" t="n"/>
      <c r="AI272" s="316" t="n"/>
      <c r="AJ272" s="317" t="n"/>
      <c r="AK272" s="257" t="n"/>
      <c r="AL272" s="258" t="n"/>
      <c r="AM272" s="318" t="n"/>
      <c r="AN272" s="317" t="n"/>
      <c r="AO272" s="257" t="n"/>
      <c r="AP272" s="258" t="n"/>
      <c r="AQ272" s="318" t="n"/>
      <c r="AR272" s="317" t="n"/>
      <c r="AS272" s="257" t="n"/>
      <c r="AT272" s="258" t="n"/>
      <c r="AU272" s="318" t="n"/>
      <c r="AV272" s="317" t="n"/>
      <c r="AW272" s="257" t="n"/>
      <c r="AX272" s="258" t="n"/>
      <c r="AY272" s="318" t="n"/>
      <c r="AZ272" s="317" t="n"/>
      <c r="BA272" s="257" t="n"/>
      <c r="BB272" s="258" t="n"/>
      <c r="BC272" s="316" t="n"/>
      <c r="BD272" s="317" t="n"/>
      <c r="BE272" s="257" t="n"/>
      <c r="BF272" s="258" t="n"/>
      <c r="BG272" s="89" t="n"/>
      <c r="BH2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72">
        <f>_xlfn.LET(r,ROW(),oc,INDEX($A:$A,r),cv,TRIM(INDEX($Y:$Y,r)&amp;""),IF(oc&lt;&gt;"P1","",IF(cv="45","V45 - novo, nao alimentado pelo spool atual","V44 - alimentado pelo spool atual")))</f>
        <v/>
      </c>
    </row>
    <row r="273" ht="54" customFormat="1" customHeight="1" s="91">
      <c r="A273" s="306" t="inlineStr">
        <is>
          <t>P1</t>
        </is>
      </c>
      <c r="B273" s="307" t="n">
        <v>38</v>
      </c>
      <c r="C273" s="269" t="inlineStr">
        <is>
          <t xml:space="preserve">08 - Caractéristiques d'arriérés et de restructuration </t>
        </is>
      </c>
      <c r="D273" s="310" t="inlineStr">
        <is>
          <t>08 - Characteristics of overdues and restructuring</t>
        </is>
      </c>
      <c r="E273" s="307" t="inlineStr">
        <is>
          <t>P1 21.1</t>
        </is>
      </c>
      <c r="F273" s="448" t="inlineStr">
        <is>
          <t>Indicateur Type de Restructuration</t>
        </is>
      </c>
      <c r="G273" s="309" t="inlineStr">
        <is>
          <t>Restructuring Type Indicator</t>
        </is>
      </c>
      <c r="H273" s="1493">
        <f>"RPAD( "&amp;SUBSTITUTE(SUBSTITUTE(E273," ","_"),".","_")&amp;","&amp;W273&amp;",' '); -- "&amp;E273</f>
        <v/>
      </c>
      <c r="I273" s="241" t="inlineStr">
        <is>
          <t>Indicateur permettant d'identifier les encours ayant fait l'objet d'une restructuration, et préciser le type de celle-ci</t>
        </is>
      </c>
      <c r="J273" s="309" t="inlineStr">
        <is>
          <t>Indicator making it possible to identify outstanding amounts having been restructured, and specify type thereof</t>
        </is>
      </c>
      <c r="K273" s="370" t="inlineStr">
        <is>
          <t>ND</t>
        </is>
      </c>
      <c r="L273" s="371" t="inlineStr">
        <is>
          <t>ND</t>
        </is>
      </c>
      <c r="M273" s="1420" t="inlineStr">
        <is>
          <t>cdTypRest</t>
        </is>
      </c>
      <c r="N273" s="449" t="inlineStr">
        <is>
          <t>Facultatif</t>
        </is>
      </c>
      <c r="O273" s="236" t="inlineStr">
        <is>
          <t>Optional</t>
        </is>
      </c>
      <c r="P273" s="269" t="inlineStr">
        <is>
          <t>LC.0112</t>
        </is>
      </c>
      <c r="Q273" s="269" t="inlineStr">
        <is>
          <t>TA KVTRESTR</t>
        </is>
      </c>
      <c r="R273" s="241" t="inlineStr">
        <is>
          <t>Obligatoire en cas de restructuration (ex obligation d'état pour le type de risque ISS200 et 300)
L'origine de la restructuration devra être précisée par le Front Office dans l'accord de crédit</t>
        </is>
      </c>
      <c r="S273" s="233" t="inlineStr">
        <is>
          <t>Mandatory in case of restructuring (e.g. status obligation for risk type ISS200 and 300)
The origin of the restructuring must be specified by the Front Office in the credit agreement</t>
        </is>
      </c>
      <c r="T273" s="313" t="inlineStr">
        <is>
          <t>ALPHA</t>
        </is>
      </c>
      <c r="U273" s="237" t="inlineStr">
        <is>
          <t>NA</t>
        </is>
      </c>
      <c r="V273" s="238" t="inlineStr">
        <is>
          <t>NA</t>
        </is>
      </c>
      <c r="W273" s="257" t="n">
        <v>2</v>
      </c>
      <c r="X273" s="945" t="inlineStr">
        <is>
          <t>NA</t>
        </is>
      </c>
      <c r="Y273" s="237" t="n">
        <v>40</v>
      </c>
      <c r="Z273" s="237" t="inlineStr">
        <is>
          <t>NA</t>
        </is>
      </c>
      <c r="AA273" s="237" t="inlineStr">
        <is>
          <t>NA</t>
        </is>
      </c>
      <c r="AB273" s="269" t="inlineStr">
        <is>
          <t>ANACREDIT, ASTRE, NPE, OMP</t>
        </is>
      </c>
      <c r="AC273" s="231" t="inlineStr">
        <is>
          <t>ND</t>
        </is>
      </c>
      <c r="AD273" s="257" t="inlineStr">
        <is>
          <t>N</t>
        </is>
      </c>
      <c r="AE273" s="257" t="inlineStr">
        <is>
          <t xml:space="preserve">ISS200 et 300
TRE2 à 4XX hors 203,205,206,207
TRE5XX
</t>
        </is>
      </c>
      <c r="AF273" s="257" t="inlineStr">
        <is>
          <t>NA</t>
        </is>
      </c>
      <c r="AG273" s="258" t="inlineStr">
        <is>
          <t>NA</t>
        </is>
      </c>
      <c r="AH273" s="89" t="n"/>
      <c r="AI273" s="316" t="n"/>
      <c r="AJ273" s="317" t="n"/>
      <c r="AK273" s="257" t="n"/>
      <c r="AL273" s="258" t="n"/>
      <c r="AM273" s="318" t="inlineStr">
        <is>
          <t>Si elle est renseignée, la valeur doit être connue du Langage Commun associé</t>
        </is>
      </c>
      <c r="AN273" s="317" t="inlineStr">
        <is>
          <t>If specified, the value must be known to the associated Common Language</t>
        </is>
      </c>
      <c r="AO273" s="257" t="n">
        <v>7</v>
      </c>
      <c r="AP273" s="212" t="inlineStr">
        <is>
          <t>TIG0001</t>
        </is>
      </c>
      <c r="AQ273" s="318" t="n"/>
      <c r="AR273" s="317" t="n"/>
      <c r="AS273" s="257" t="n"/>
      <c r="AT273" s="258" t="n"/>
      <c r="AU273" s="318" t="n"/>
      <c r="AV273" s="317" t="n"/>
      <c r="AW273" s="257" t="n"/>
      <c r="AX273" s="258" t="n"/>
      <c r="AY273" s="318" t="n"/>
      <c r="AZ273" s="317" t="n"/>
      <c r="BA273" s="257" t="n"/>
      <c r="BB273" s="258" t="n"/>
      <c r="BC273" s="316" t="n"/>
      <c r="BD273" s="317" t="n"/>
      <c r="BE273" s="257" t="n"/>
      <c r="BF273" s="258" t="n"/>
      <c r="BG273" s="89" t="n"/>
      <c r="BH2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73">
        <f>_xlfn.LET(r,ROW(),oc,INDEX($A:$A,r),cv,TRIM(INDEX($Y:$Y,r)&amp;""),IF(oc&lt;&gt;"P1","",IF(cv="45","V45 - novo, nao alimentado pelo spool atual","V44 - alimentado pelo spool atual")))</f>
        <v/>
      </c>
    </row>
    <row r="274" ht="54" customFormat="1" customHeight="1" s="91">
      <c r="A274" s="306" t="inlineStr">
        <is>
          <t>P1</t>
        </is>
      </c>
      <c r="B274" s="307" t="n">
        <v>39</v>
      </c>
      <c r="C274" s="269" t="inlineStr">
        <is>
          <t xml:space="preserve">08 - Caractéristiques d'arriérés et de restructuration </t>
        </is>
      </c>
      <c r="D274" s="310" t="inlineStr">
        <is>
          <t>08 - Characteristics of overdues and restructuring</t>
        </is>
      </c>
      <c r="E274" s="307" t="inlineStr">
        <is>
          <t>P1 21.2</t>
        </is>
      </c>
      <c r="F274" s="308" t="inlineStr">
        <is>
          <t>Date de Restructuration</t>
        </is>
      </c>
      <c r="G274" s="309" t="inlineStr">
        <is>
          <t>Date of Restructuring</t>
        </is>
      </c>
      <c r="H274" s="1493">
        <f>"RPAD( "&amp;SUBSTITUTE(SUBSTITUTE(E274," ","_"),".","_")&amp;","&amp;W274&amp;",' '); -- "&amp;E274</f>
        <v/>
      </c>
      <c r="I274" s="241" t="inlineStr">
        <is>
          <t>Correspond à la date à laquelle la restructuration a été validée par l'organe décisionnel compétent</t>
        </is>
      </c>
      <c r="J274" s="309" t="inlineStr">
        <is>
          <t>Represents the date on which the restructuring was approved by the competent decision-making body</t>
        </is>
      </c>
      <c r="K274" s="370" t="inlineStr">
        <is>
          <t>ND</t>
        </is>
      </c>
      <c r="L274" s="371" t="inlineStr">
        <is>
          <t>ND</t>
        </is>
      </c>
      <c r="M274" s="1420" t="inlineStr">
        <is>
          <t>dtRest</t>
        </is>
      </c>
      <c r="N274" s="257" t="inlineStr">
        <is>
          <t>Obligatoire sous conditions</t>
        </is>
      </c>
      <c r="O274" s="236" t="inlineStr">
        <is>
          <t>Mandatory under conditions</t>
        </is>
      </c>
      <c r="P274" s="269" t="inlineStr">
        <is>
          <t>NA</t>
        </is>
      </c>
      <c r="Q274" s="269" t="inlineStr">
        <is>
          <t>NA</t>
        </is>
      </c>
      <c r="R274" s="241" t="inlineStr">
        <is>
          <t>NA</t>
        </is>
      </c>
      <c r="S274" s="233" t="inlineStr">
        <is>
          <t>NA</t>
        </is>
      </c>
      <c r="T274" s="206" t="inlineStr">
        <is>
          <t>DATE</t>
        </is>
      </c>
      <c r="U274" s="237" t="inlineStr">
        <is>
          <t>AAAAMMJJ</t>
        </is>
      </c>
      <c r="V274" s="238" t="inlineStr">
        <is>
          <t>YYYYMMDD</t>
        </is>
      </c>
      <c r="W274" s="257" t="n">
        <v>8</v>
      </c>
      <c r="X274" s="945" t="inlineStr">
        <is>
          <t>NA</t>
        </is>
      </c>
      <c r="Y274" s="237" t="n">
        <v>40</v>
      </c>
      <c r="Z274" s="237" t="inlineStr">
        <is>
          <t>NA</t>
        </is>
      </c>
      <c r="AA274" s="270" t="inlineStr">
        <is>
          <t>45.00</t>
        </is>
      </c>
      <c r="AB274" s="269" t="inlineStr">
        <is>
          <t>ANACREDIT, ASTRE, NPE, OMP</t>
        </is>
      </c>
      <c r="AC274" s="231" t="inlineStr">
        <is>
          <t>ND</t>
        </is>
      </c>
      <c r="AD274" s="257" t="inlineStr">
        <is>
          <t>N</t>
        </is>
      </c>
      <c r="AE274" s="257" t="inlineStr">
        <is>
          <t xml:space="preserve">ISS200 et 300
TRE2 à 4XX hors 203,205,206,207
TRE5XX
</t>
        </is>
      </c>
      <c r="AF274" s="257" t="inlineStr">
        <is>
          <t>NA</t>
        </is>
      </c>
      <c r="AG274" s="258" t="inlineStr">
        <is>
          <t>NA</t>
        </is>
      </c>
      <c r="AH274" s="89" t="n"/>
      <c r="AI274" s="446" t="inlineStr">
        <is>
          <t>La donnée est obligatoire si la donnée Indicateur type de restructuration [P1 21.1] est renseignée</t>
        </is>
      </c>
      <c r="AJ274" s="317" t="inlineStr">
        <is>
          <t>The data is mandatory if the data Restructuring Standard Indicator [P1 21.1] is filled</t>
        </is>
      </c>
      <c r="AK274" s="257" t="n">
        <v>6</v>
      </c>
      <c r="AL274" s="345" t="inlineStr">
        <is>
          <t>TPS0740</t>
        </is>
      </c>
      <c r="AM274" s="318" t="n"/>
      <c r="AN274" s="317" t="n"/>
      <c r="AO274" s="257" t="n"/>
      <c r="AP274" s="258" t="n"/>
      <c r="AQ274" s="1028" t="inlineStr">
        <is>
          <t>Si renseignée, la donnée doit être supérieure ou égale à '19000101'</t>
        </is>
      </c>
      <c r="AR274" s="931" t="inlineStr">
        <is>
          <t>If filled, data must be greater or equal to '19000101'</t>
        </is>
      </c>
      <c r="AS274" s="958" t="n">
        <v>7</v>
      </c>
      <c r="AT274" s="1052" t="inlineStr">
        <is>
          <t>TVG0005</t>
        </is>
      </c>
      <c r="AU274" s="961" t="inlineStr">
        <is>
          <t>La donnée doit être inférieure ou égale à la date d'arrêté</t>
        </is>
      </c>
      <c r="AV274" s="317" t="inlineStr">
        <is>
          <t>Data must be lower or equal than closing date</t>
        </is>
      </c>
      <c r="AW274" s="257" t="n">
        <v>6</v>
      </c>
      <c r="AX274" s="424" t="inlineStr">
        <is>
          <t>TCG0004</t>
        </is>
      </c>
      <c r="AY274" s="318" t="n"/>
      <c r="AZ274" s="317" t="n"/>
      <c r="BA274" s="257" t="n"/>
      <c r="BB274" s="258" t="n"/>
      <c r="BC274" s="316" t="n"/>
      <c r="BD274" s="317" t="n"/>
      <c r="BE274" s="257" t="n"/>
      <c r="BF274" s="258" t="n"/>
      <c r="BG274" s="89" t="n"/>
      <c r="BH2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74">
        <f>_xlfn.LET(r,ROW(),oc,INDEX($A:$A,r),cv,TRIM(INDEX($Y:$Y,r)&amp;""),IF(oc&lt;&gt;"P1","",IF(cv="45","V45 - novo, nao alimentado pelo spool atual","V44 - alimentado pelo spool atual")))</f>
        <v/>
      </c>
    </row>
    <row r="275" ht="54" customFormat="1" customHeight="1" s="91">
      <c r="A275" s="306" t="inlineStr">
        <is>
          <t>P1</t>
        </is>
      </c>
      <c r="B275" s="307" t="n">
        <v>40</v>
      </c>
      <c r="C275" s="269" t="inlineStr">
        <is>
          <t xml:space="preserve">08 - Caractéristiques d'arriérés et de restructuration </t>
        </is>
      </c>
      <c r="D275" s="310" t="inlineStr">
        <is>
          <t>08 - Characteristics of overdues and restructuring</t>
        </is>
      </c>
      <c r="E275" s="307" t="inlineStr">
        <is>
          <t>P1 5.5</t>
        </is>
      </c>
      <c r="F275" s="1242" t="inlineStr">
        <is>
          <t>Indicateur Arriéré de paiement</t>
        </is>
      </c>
      <c r="G275" s="309" t="inlineStr">
        <is>
          <t>Payment Arrears indicator</t>
        </is>
      </c>
      <c r="H275" s="1493">
        <f>"RPAD( "&amp;SUBSTITUTE(SUBSTITUTE(E275," ","_"),".","_")&amp;","&amp;W275&amp;",' '); -- "&amp;E275</f>
        <v/>
      </c>
      <c r="I275" s="241" t="inlineStr">
        <is>
          <t>Indicateur permettant de préciser si le montant remonté est de type arriéré (l'arriéré de paiement naît au 1er incident de paiement)</t>
        </is>
      </c>
      <c r="J275" s="309" t="inlineStr">
        <is>
          <t>Indicator making it possible to specify if the amount reported is an arrears (payment arrears begin with the first payment incident)</t>
        </is>
      </c>
      <c r="K275" s="370" t="inlineStr">
        <is>
          <t>ND</t>
        </is>
      </c>
      <c r="L275" s="371" t="inlineStr">
        <is>
          <t>ND</t>
        </is>
      </c>
      <c r="M275" s="1420" t="inlineStr">
        <is>
          <t>cdInArrPai</t>
        </is>
      </c>
      <c r="N275" s="257" t="inlineStr">
        <is>
          <t>Obligatoire sous conditions</t>
        </is>
      </c>
      <c r="O275" s="310" t="inlineStr">
        <is>
          <t>Mandatory under conditions</t>
        </is>
      </c>
      <c r="P275" s="269" t="inlineStr">
        <is>
          <t>LC.0247</t>
        </is>
      </c>
      <c r="Q275" s="269" t="inlineStr">
        <is>
          <t>TA KVIAP</t>
        </is>
      </c>
      <c r="R275" s="450" t="inlineStr">
        <is>
          <t>Pour les types de risques (EQU101, EQU201, ISS100, ISS200 et 300) : Non paiement des coupons
Pour les types de risques TRE2 à 4XX et TRE5XX : Impayé sur un prêt
Pour le type de risque TRE203, 205, 206, 207 : Valeur attendue 'N'
Pour le type de risque SIG : Non paiement de la commission d'engagement (donnée facultative).
Quand l'indicateur "Arriéré de paiement" est à ‘Y', la ligne est un arriéré de paiement.
Ce qui signifie que, quand sur un contrat, il y a un arriéré de paiement, il faut envoyer 2 lignes : 1 ligne avec le code à 'Y' et le montant d'impayés correspondant et 1 ligne avec le code à ‘N'et le montant d'engagement du contrat hors arriéré de paiement</t>
        </is>
      </c>
      <c r="S275" s="233" t="inlineStr">
        <is>
          <t>For the types of risks (EQU101, EQU201, ISS100, ISS200 and 300): Non payment of coupons
For types of risk TRE2 to 4XX and TRE5XX: Default on a loan
For the type of risk TRE203, 205, 206, 207: Expected value 'N'
For the type of SIG risk: Non payment of the commitment commission (optional data).
When the "Payment arrears" indicator is "Y", the line is payment arrears.
This means that, when there is a payment arrears on a contract, 2 lines must be sent: 1 line with the code at 'Y' and the corresponding amount of outstanding in payments arrears and 1 line with the code at 'N' and the contract commitment amount excluding payment arrears</t>
        </is>
      </c>
      <c r="T275" s="313" t="inlineStr">
        <is>
          <t>ALPHA</t>
        </is>
      </c>
      <c r="U275" s="237" t="inlineStr">
        <is>
          <t>NA</t>
        </is>
      </c>
      <c r="V275" s="238" t="inlineStr">
        <is>
          <t>NA</t>
        </is>
      </c>
      <c r="W275" s="257" t="n">
        <v>1</v>
      </c>
      <c r="X275" s="945" t="inlineStr">
        <is>
          <t>NA</t>
        </is>
      </c>
      <c r="Y275" s="237" t="n">
        <v>40</v>
      </c>
      <c r="Z275" s="237" t="inlineStr">
        <is>
          <t>NA</t>
        </is>
      </c>
      <c r="AA275" s="270" t="inlineStr">
        <is>
          <t>45.00</t>
        </is>
      </c>
      <c r="AB275" s="932" t="inlineStr">
        <is>
          <t>ANACREDIT, ASTRE, CALCULS PRUDENTIELS, DEI, GRR, LIQUIDITE, LOAN TAPE, OMP, SHS</t>
        </is>
      </c>
      <c r="AC275" s="231" t="inlineStr">
        <is>
          <t>ND</t>
        </is>
      </c>
      <c r="AD275" s="257" t="inlineStr">
        <is>
          <t>N</t>
        </is>
      </c>
      <c r="AE275" s="257" t="inlineStr">
        <is>
          <t>EQU101
ISS100
ISS200 et 300
TRE2 à 4XX hors 203,205,206,207
TRE203, 205, 207
TRE206
TRE5XX
SIG</t>
        </is>
      </c>
      <c r="AF275" s="257" t="inlineStr">
        <is>
          <t>NA</t>
        </is>
      </c>
      <c r="AG275" s="258" t="inlineStr">
        <is>
          <t>NA</t>
        </is>
      </c>
      <c r="AH275" s="89" t="n"/>
      <c r="AI275" s="353" t="inlineStr">
        <is>
          <t>La donnée est obligatoire si le type de risque [P1 2.0] = 'TRE2xx' à 'TRE5xx'.
---
La donnée est obligatoire si le type de risque [P1 2.0] = 'EQU101', 'ISS100', 'ISS200', 'ISS300' ET si la Classification comptable de référence des actifs [P1 19.5] = 'CAM'</t>
        </is>
      </c>
      <c r="AJ275" s="317" t="inlineStr">
        <is>
          <t>The data is mandatory if Risk type [P1 2.0] = ‘TRE2xx' to ‘TRE5xx'.
---
The data is mandatory if Risk type [P1 2.0] = 'EQU101', 'ISS100', 'ISS200', 'ISS300' AND if the Reference accounting classification of assets [P1 19.5] = ‘CAM'</t>
        </is>
      </c>
      <c r="AK275" s="257" t="n">
        <v>7</v>
      </c>
      <c r="AL275" s="451" t="inlineStr">
        <is>
          <t>TPS0741
TPS0742</t>
        </is>
      </c>
      <c r="AM275" s="452" t="inlineStr">
        <is>
          <t>Si elle est renseignée, la valeur doit être connue du Langage Commun associé</t>
        </is>
      </c>
      <c r="AN275" s="377" t="inlineStr">
        <is>
          <t>If specified, the value must be known to the associated Common Language</t>
        </is>
      </c>
      <c r="AO275" s="257" t="n">
        <v>7</v>
      </c>
      <c r="AP275" s="212" t="inlineStr">
        <is>
          <t>TIG0001</t>
        </is>
      </c>
      <c r="AQ275" s="1241" t="inlineStr">
        <is>
          <t>Si renseigné, ET si le type de risque [P1 2.0] = 'TRE206', alors Indicateur Arriéré de paiement [P1 5.5] = 'N'
---
Si renseigné, ET si le type de risque [P1 2.0] = 'TRE203', 'TRE205', 'TRE207', alors Indicateur Arriéré de paiement [P1 5.5] = 'N'</t>
        </is>
      </c>
      <c r="AR275" s="317" t="inlineStr">
        <is>
          <t>If filled and if the risk type [P1 2.0] = 'TRE206', then the Payment Arrears indicator [P1 5.5] = 'N'
---
If filled and if the risk type [P1 2.0] = 'TRE203', 'TRE205', 'TRE207', then the Payment Arrears indicator [P1 5.5] = 'N'</t>
        </is>
      </c>
      <c r="AS275" s="257" t="inlineStr">
        <is>
          <t>7
6</t>
        </is>
      </c>
      <c r="AT275" s="418" t="inlineStr">
        <is>
          <t>TVS0720
TVS0721</t>
        </is>
      </c>
      <c r="AU275" s="318" t="n"/>
      <c r="AV275" s="317" t="n"/>
      <c r="AW275" s="257" t="n"/>
      <c r="AX275" s="258" t="n"/>
      <c r="AY275" s="318" t="n"/>
      <c r="AZ275" s="317" t="n"/>
      <c r="BA275" s="257" t="n"/>
      <c r="BB275" s="258" t="n"/>
      <c r="BC275" s="316" t="n"/>
      <c r="BD275" s="317" t="n"/>
      <c r="BE275" s="257" t="n"/>
      <c r="BF275" s="258" t="n"/>
      <c r="BG275" s="89" t="n"/>
      <c r="BH2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75">
        <f>_xlfn.LET(r,ROW(),oc,INDEX($A:$A,r),cv,TRIM(INDEX($Y:$Y,r)&amp;""),IF(oc&lt;&gt;"P1","",IF(cv="45","V45 - novo, nao alimentado pelo spool atual","V44 - alimentado pelo spool atual")))</f>
        <v/>
      </c>
    </row>
    <row r="276" ht="54" customFormat="1" customHeight="1" s="91">
      <c r="A276" s="306" t="inlineStr">
        <is>
          <t>P1</t>
        </is>
      </c>
      <c r="B276" s="307" t="n">
        <v>41</v>
      </c>
      <c r="C276" s="269" t="inlineStr">
        <is>
          <t xml:space="preserve">08 - Caractéristiques d'arriérés et de restructuration </t>
        </is>
      </c>
      <c r="D276" s="310" t="inlineStr">
        <is>
          <t>08 - Characteristics of overdues and restructuring</t>
        </is>
      </c>
      <c r="E276" s="307" t="inlineStr">
        <is>
          <t>P1 4.1</t>
        </is>
      </c>
      <c r="F276" s="967" t="inlineStr">
        <is>
          <t>Indicateur Impayé prudentiel</t>
        </is>
      </c>
      <c r="G276" s="964" t="inlineStr">
        <is>
          <t>Prudential past due indicator</t>
        </is>
      </c>
      <c r="H276" s="1493">
        <f>"RPAD( "&amp;SUBSTITUTE(SUBSTITUTE(E276," ","_"),".","_")&amp;","&amp;W276&amp;",' '); -- "&amp;E276</f>
        <v/>
      </c>
      <c r="I276" s="241" t="inlineStr">
        <is>
          <t>Indicateur permettant de préciser que l'opération est prudentiellement en arriéré de paiement de + de 90 jours</t>
        </is>
      </c>
      <c r="J276" s="309" t="inlineStr">
        <is>
          <t>Indicator making it possible to specify that the transaction is prudentially in payment arrears for over 90 days</t>
        </is>
      </c>
      <c r="K276" s="370" t="inlineStr">
        <is>
          <t>ND</t>
        </is>
      </c>
      <c r="L276" s="371" t="inlineStr">
        <is>
          <t>ND</t>
        </is>
      </c>
      <c r="M276" s="1420" t="inlineStr">
        <is>
          <t>cdIndImpPrud</t>
        </is>
      </c>
      <c r="N276" s="257" t="inlineStr">
        <is>
          <t>Obligatoire sous conditions</t>
        </is>
      </c>
      <c r="O276" s="236" t="inlineStr">
        <is>
          <t>Mandatory under conditions</t>
        </is>
      </c>
      <c r="P276" s="269" t="inlineStr">
        <is>
          <t>LC.0185</t>
        </is>
      </c>
      <c r="Q276" s="269" t="inlineStr">
        <is>
          <t>TA KVIIP</t>
        </is>
      </c>
      <c r="R276" s="1223" t="inlineStr">
        <is>
          <t>Il s'agit ici de la notion d'impayé prudentiel; Ainsi cet indicateur permet de préciser si l'opération est comptabilisée en douteux et ainsi différencier les impayés à - de 90 jours de ceux de + de 90 jours
A noter : jusqu'à nouvel ordre, la notion d'impayé prudentiel est adossé à la notion comptable du douteux déprécié.
Pour les types de risques TRE203, 205, 207 et TRE206, la seule valeur possible est :"N"</t>
        </is>
      </c>
      <c r="S276" s="233" t="inlineStr">
        <is>
          <t>This is the concept of unpaid incidents prudential ; This indicator helps to clarify whether the transaction is recorded as doubtful and thus differentiates unpaid incidents at - 90 days from those over 90 days
Note: until further notice, the concept of prudential unpaid incidents is based on the accounting concept of the doubtful impaired.
For risk types TRE203, 205, 207 and TRE206, the only possible value is: "N"</t>
        </is>
      </c>
      <c r="T276" s="313" t="inlineStr">
        <is>
          <t>ALPHA</t>
        </is>
      </c>
      <c r="U276" s="237" t="inlineStr">
        <is>
          <t>NA</t>
        </is>
      </c>
      <c r="V276" s="238" t="inlineStr">
        <is>
          <t>NA</t>
        </is>
      </c>
      <c r="W276" s="257" t="n">
        <v>1</v>
      </c>
      <c r="X276" s="945" t="inlineStr">
        <is>
          <t>NA</t>
        </is>
      </c>
      <c r="Y276" s="237" t="n">
        <v>40</v>
      </c>
      <c r="Z276" s="237" t="inlineStr">
        <is>
          <t>NA</t>
        </is>
      </c>
      <c r="AA276" s="270" t="inlineStr">
        <is>
          <t>45.00</t>
        </is>
      </c>
      <c r="AB276" s="994" t="inlineStr">
        <is>
          <t>ANACREDIT, ASTRE, DEI, GRR, OMP</t>
        </is>
      </c>
      <c r="AC276" s="231" t="inlineStr">
        <is>
          <t>ND</t>
        </is>
      </c>
      <c r="AD276" s="257" t="inlineStr">
        <is>
          <t>N</t>
        </is>
      </c>
      <c r="AE276" s="981" t="inlineStr">
        <is>
          <t>TRE2 à 5XX 
SIG</t>
        </is>
      </c>
      <c r="AF276" s="257" t="inlineStr">
        <is>
          <t>NA</t>
        </is>
      </c>
      <c r="AG276" s="258" t="inlineStr">
        <is>
          <t>NA</t>
        </is>
      </c>
      <c r="AH276" s="89" t="n"/>
      <c r="AI276" s="984" t="inlineStr">
        <is>
          <t>La donnée est obligatoire, si Type de risque [P1 2.0] = "TRE2xx à TRE5xx, SIG"</t>
        </is>
      </c>
      <c r="AJ276" s="931" t="inlineStr">
        <is>
          <t>The data is mandatory, if Risk Type [P1 2.0] = "TRE2xx to TRE5xx, SIG"</t>
        </is>
      </c>
      <c r="AK276" s="958" t="n">
        <v>6</v>
      </c>
      <c r="AL276" s="980" t="inlineStr">
        <is>
          <t>TPSxxx</t>
        </is>
      </c>
      <c r="AM276" s="436" t="inlineStr">
        <is>
          <t>Si elle est renseignée, la valeur doit être connue du Langage Commun associé</t>
        </is>
      </c>
      <c r="AN276" s="317" t="inlineStr">
        <is>
          <t>If specified, the value must be known to the associated Common Language</t>
        </is>
      </c>
      <c r="AO276" s="257" t="n">
        <v>7</v>
      </c>
      <c r="AP276" s="212" t="inlineStr">
        <is>
          <t>TIG0001</t>
        </is>
      </c>
      <c r="AQ276" s="318" t="n"/>
      <c r="AR276" s="317" t="n"/>
      <c r="AS276" s="257" t="n"/>
      <c r="AT276" s="258" t="n"/>
      <c r="AU276" s="318" t="n"/>
      <c r="AV276" s="317" t="n"/>
      <c r="AW276" s="257" t="n"/>
      <c r="AX276" s="258" t="n"/>
      <c r="AY276" s="318" t="n"/>
      <c r="AZ276" s="317" t="n"/>
      <c r="BA276" s="257" t="n"/>
      <c r="BB276" s="258" t="n"/>
      <c r="BC276" s="316" t="n"/>
      <c r="BD276" s="317" t="n"/>
      <c r="BE276" s="257" t="n"/>
      <c r="BF276" s="258" t="n"/>
      <c r="BG276" s="89" t="n"/>
      <c r="BH2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76">
        <f>_xlfn.LET(r,ROW(),oc,INDEX($A:$A,r),cv,TRIM(INDEX($Y:$Y,r)&amp;""),IF(oc&lt;&gt;"P1","",IF(cv="45","V45 - novo, nao alimentado pelo spool atual","V44 - alimentado pelo spool atual")))</f>
        <v/>
      </c>
    </row>
    <row r="277" ht="54" customFormat="1" customHeight="1" s="91">
      <c r="A277" s="306" t="inlineStr">
        <is>
          <t>P1</t>
        </is>
      </c>
      <c r="B277" s="307" t="n">
        <v>42</v>
      </c>
      <c r="C277" s="269" t="inlineStr">
        <is>
          <t xml:space="preserve">08 - Caractéristiques d'arriérés et de restructuration </t>
        </is>
      </c>
      <c r="D277" s="310" t="inlineStr">
        <is>
          <t>08 - Characteristics of overdues and restructuring</t>
        </is>
      </c>
      <c r="E277" s="307" t="inlineStr">
        <is>
          <t>P1 5.2</t>
        </is>
      </c>
      <c r="F277" s="1264" t="inlineStr">
        <is>
          <t>Indicateur Engagement en défaut</t>
        </is>
      </c>
      <c r="G277" s="968" t="inlineStr">
        <is>
          <t>Defaulted commitments indicator</t>
        </is>
      </c>
      <c r="H277" s="1493">
        <f>"RPAD( "&amp;SUBSTITUTE(SUBSTITUTE(E277," ","_"),".","_")&amp;","&amp;W277&amp;",' '); -- "&amp;E277</f>
        <v/>
      </c>
      <c r="I277" s="1173" t="inlineStr">
        <is>
          <t>Indicateur permettant de préciser si les opérations sont comptabilisées en engagement en défaut</t>
        </is>
      </c>
      <c r="J277" s="968" t="inlineStr">
        <is>
          <t>ndicator to specify whether transactions are recognised as defaulted commitments</t>
        </is>
      </c>
      <c r="K277" s="370" t="inlineStr">
        <is>
          <t>ND</t>
        </is>
      </c>
      <c r="L277" s="371" t="inlineStr">
        <is>
          <t>ND</t>
        </is>
      </c>
      <c r="M277" s="1420" t="inlineStr">
        <is>
          <t>cdIndEngDout</t>
        </is>
      </c>
      <c r="N277" s="1406" t="inlineStr">
        <is>
          <t>Obligatoire</t>
        </is>
      </c>
      <c r="O277" s="1006" t="inlineStr">
        <is>
          <t>Mandatory</t>
        </is>
      </c>
      <c r="P277" s="269" t="inlineStr">
        <is>
          <t>LC.0175</t>
        </is>
      </c>
      <c r="Q277" s="269" t="inlineStr">
        <is>
          <t>TA KVIED</t>
        </is>
      </c>
      <c r="R277" s="241" t="inlineStr">
        <is>
          <t>NA</t>
        </is>
      </c>
      <c r="S277" s="233" t="inlineStr">
        <is>
          <t>NA</t>
        </is>
      </c>
      <c r="T277" s="313" t="inlineStr">
        <is>
          <t>ALPHA</t>
        </is>
      </c>
      <c r="U277" s="237" t="inlineStr">
        <is>
          <t>NA</t>
        </is>
      </c>
      <c r="V277" s="238" t="inlineStr">
        <is>
          <t>NA</t>
        </is>
      </c>
      <c r="W277" s="257" t="n">
        <v>1</v>
      </c>
      <c r="X277" s="945" t="inlineStr">
        <is>
          <t>NA</t>
        </is>
      </c>
      <c r="Y277" s="237" t="n">
        <v>40</v>
      </c>
      <c r="Z277" s="237" t="inlineStr">
        <is>
          <t>NA</t>
        </is>
      </c>
      <c r="AA277" s="237" t="inlineStr">
        <is>
          <t>45.00</t>
        </is>
      </c>
      <c r="AB277" s="994" t="inlineStr">
        <is>
          <t>ANACREDIT, ASTRE, CALCULS PRUDENTIELS, ESG PILIER 3, GRR, NPE, OMP, PALMA, SHS</t>
        </is>
      </c>
      <c r="AC277" s="231" t="inlineStr">
        <is>
          <t>ND</t>
        </is>
      </c>
      <c r="AD277" s="257" t="inlineStr">
        <is>
          <t>N</t>
        </is>
      </c>
      <c r="AE277" s="971" t="inlineStr">
        <is>
          <t>EQU101
EQU201
ISS100
ISS200 et 300
TRE100
TRE2 à 4XX hors 203,205,206,207
TRE203, 205, 207
TRE206
TRE5XX
SIG
VAR*
INT</t>
        </is>
      </c>
      <c r="AF277" s="257" t="inlineStr">
        <is>
          <t>NA</t>
        </is>
      </c>
      <c r="AG277" s="258" t="inlineStr">
        <is>
          <t>NA</t>
        </is>
      </c>
      <c r="AH277" s="89" t="n"/>
      <c r="AI277" s="1222" t="inlineStr">
        <is>
          <t>La donnée est obligatoire</t>
        </is>
      </c>
      <c r="AJ277" s="931" t="inlineStr">
        <is>
          <t>The data is mandatory</t>
        </is>
      </c>
      <c r="AK277" s="1050" t="n">
        <v>7</v>
      </c>
      <c r="AL277" s="1046" t="inlineStr">
        <is>
          <t>TPG0001</t>
        </is>
      </c>
      <c r="AM277" s="452" t="inlineStr">
        <is>
          <t>Si elle est renseignée, la valeur doit être connue du Langage Commun associé</t>
        </is>
      </c>
      <c r="AN277" s="377" t="inlineStr">
        <is>
          <t>If specified, the value must be known to the associated Common Language</t>
        </is>
      </c>
      <c r="AO277" s="257" t="n">
        <v>7</v>
      </c>
      <c r="AP277" s="212" t="inlineStr">
        <is>
          <t>TIG0001</t>
        </is>
      </c>
      <c r="AQ277" s="318" t="inlineStr">
        <is>
          <t>Si renseigné ET si Bucket IFRS9 [P1 22.72] = 'B3' ET si le type de risque [P1 2.0] = (TRE100, TRE2xx, TRE3xx, TRE4xx, TRE5xx, SIGxxx, VARxxx, EQU101, EQU201, ISS200, ISS300, INTxxx'), alors Indicateur engagement douteux [P1 5.2] = 'Y'</t>
        </is>
      </c>
      <c r="AR277" s="317" t="inlineStr">
        <is>
          <t xml:space="preserve">If filled AND if Bucket IFRS9 [P1 22.72] = 'B3' AND if the risk type [P1 2.0] = (TRE100, TRE2xx, TRE3xx, TRE4xx, TRE5xx, SIGxxx, VARxxx, EQU101, EQU201, ISS200, ISS300, INTxxx'), then Doubtful Commitment Indicator [P1 5.2] = 'Y' </t>
        </is>
      </c>
      <c r="AS277" s="257" t="n">
        <v>6</v>
      </c>
      <c r="AT277" s="455" t="inlineStr">
        <is>
          <t>TVS0722</t>
        </is>
      </c>
      <c r="AU277" s="318" t="n"/>
      <c r="AV277" s="317" t="n"/>
      <c r="AW277" s="257" t="n"/>
      <c r="AX277" s="258" t="n"/>
      <c r="AY277" s="318" t="n"/>
      <c r="AZ277" s="317" t="n"/>
      <c r="BA277" s="257" t="n"/>
      <c r="BB277" s="258" t="n"/>
      <c r="BC277" s="278" t="inlineStr">
        <is>
          <t>Pour la Grande Clientèle (P1/P2), si la combinaison de donnée n'est pas trouvée dans la matrice des règles de gestion C01, le contrôle doit se lever</t>
        </is>
      </c>
      <c r="BD277" s="160" t="inlineStr">
        <is>
          <t>For P1/P2, if the data combinaison is not found in the C01 business rules matrix, the control must trigger</t>
        </is>
      </c>
      <c r="BE277" s="257" t="n">
        <v>6</v>
      </c>
      <c r="BF277" s="258" t="inlineStr">
        <is>
          <t>TC0C01</t>
        </is>
      </c>
      <c r="BG277" s="89" t="n"/>
      <c r="BH2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77">
        <f>_xlfn.LET(r,ROW(),oc,INDEX($A:$A,r),cv,TRIM(INDEX($Y:$Y,r)&amp;""),IF(oc&lt;&gt;"P1","",IF(cv="45","V45 - novo, nao alimentado pelo spool atual","V44 - alimentado pelo spool atual")))</f>
        <v/>
      </c>
    </row>
    <row r="278" ht="54" customFormat="1" customHeight="1" s="91">
      <c r="A278" s="306" t="inlineStr">
        <is>
          <t>P1</t>
        </is>
      </c>
      <c r="B278" s="307" t="n">
        <v>43</v>
      </c>
      <c r="C278" s="269" t="inlineStr">
        <is>
          <t xml:space="preserve">08 - Caractéristiques d'arriérés et de restructuration </t>
        </is>
      </c>
      <c r="D278" s="310" t="inlineStr">
        <is>
          <t>08 - Characteristics of overdues and restructuring</t>
        </is>
      </c>
      <c r="E278" s="307" t="inlineStr">
        <is>
          <t>P1 5.3</t>
        </is>
      </c>
      <c r="F278" s="1268" t="inlineStr">
        <is>
          <t>Date de passage en engagement en défaut</t>
        </is>
      </c>
      <c r="G278" s="968" t="inlineStr">
        <is>
          <t>Entry date of commitment into default</t>
        </is>
      </c>
      <c r="H278" s="1493">
        <f>"RPAD( "&amp;SUBSTITUTE(SUBSTITUTE(E278," ","_"),".","_")&amp;","&amp;W278&amp;",' '); -- "&amp;E278</f>
        <v/>
      </c>
      <c r="I278" s="1008" t="inlineStr">
        <is>
          <t>Date de passage en engagement en défaut (ex douteux)</t>
        </is>
      </c>
      <c r="J278" s="968" t="inlineStr">
        <is>
          <t>Entry date of commitment into default (ex doubtful)</t>
        </is>
      </c>
      <c r="K278" s="370" t="inlineStr">
        <is>
          <t>ND</t>
        </is>
      </c>
      <c r="L278" s="371" t="inlineStr">
        <is>
          <t>ND</t>
        </is>
      </c>
      <c r="M278" s="1420" t="inlineStr">
        <is>
          <t>dtEntEngDout</t>
        </is>
      </c>
      <c r="N278" s="257" t="inlineStr">
        <is>
          <t>Obligatoire sous conditions</t>
        </is>
      </c>
      <c r="O278" s="236" t="inlineStr">
        <is>
          <t>Mandatory under conditions</t>
        </is>
      </c>
      <c r="P278" s="269" t="inlineStr">
        <is>
          <t>NA</t>
        </is>
      </c>
      <c r="Q278" s="269" t="inlineStr">
        <is>
          <t>NA</t>
        </is>
      </c>
      <c r="R278" s="241" t="inlineStr">
        <is>
          <t>NA</t>
        </is>
      </c>
      <c r="S278" s="233" t="inlineStr">
        <is>
          <t>NA</t>
        </is>
      </c>
      <c r="T278" s="206" t="inlineStr">
        <is>
          <t>DATE</t>
        </is>
      </c>
      <c r="U278" s="237" t="inlineStr">
        <is>
          <t>AAAAMMJJ</t>
        </is>
      </c>
      <c r="V278" s="238" t="inlineStr">
        <is>
          <t>YYYYMMDD</t>
        </is>
      </c>
      <c r="W278" s="257" t="n">
        <v>8</v>
      </c>
      <c r="X278" s="945" t="inlineStr">
        <is>
          <t>NA</t>
        </is>
      </c>
      <c r="Y278" s="237" t="n">
        <v>40</v>
      </c>
      <c r="Z278" s="237" t="inlineStr">
        <is>
          <t>NA</t>
        </is>
      </c>
      <c r="AA278" s="270" t="inlineStr">
        <is>
          <t>45.00</t>
        </is>
      </c>
      <c r="AB278" s="994" t="inlineStr">
        <is>
          <t>ANACREDIT, ASTRE, CALCULS PRUDENTIELS, NPE, OMP</t>
        </is>
      </c>
      <c r="AC278" s="231" t="inlineStr">
        <is>
          <t>ND</t>
        </is>
      </c>
      <c r="AD278" s="257" t="inlineStr">
        <is>
          <t>N</t>
        </is>
      </c>
      <c r="AE278" s="971" t="inlineStr">
        <is>
          <t>EQU101
EQU201
ISS100
ISS200 et 300
TRE100
TRE2 à 4XX hors 203,205,206,207
TRE203, 205, 207
TRE206
TRE5XX
SIG
VAR*
INT</t>
        </is>
      </c>
      <c r="AF278" s="257" t="inlineStr">
        <is>
          <t>NA</t>
        </is>
      </c>
      <c r="AG278" s="258" t="inlineStr">
        <is>
          <t>NA</t>
        </is>
      </c>
      <c r="AH278" s="89" t="n"/>
      <c r="AI278" s="425" t="inlineStr">
        <is>
          <t>La donnée est obligatoire si le type de risque [P1 2.0] est égal à ('TRE100', 'TRE2xx', 'TRE3xx', 'TRE4xx', 'TRE5xxx', 'SIGxxx', 'VARxxx', 'EQU101', 'EQU201', 'ISS100', 'ISS200', 'ISS300', 'INTxxx') et si la donnée Indicateur engagement douteux [P1 5.2] est égale à 'Y'</t>
        </is>
      </c>
      <c r="AJ278" s="317" t="inlineStr">
        <is>
          <t>The data is mandatory if Risk type [P1 2.0] is equal to ('TRE100', 'TRE2xx', 'TRE3xx', 'TRE4xx', 'TRE5xx', 'SIGxxx', 'VARxxx', 'EQU101', 'EQU201', 'ISS100', 'ISS200', 'ISS300', 'INTxxx') and the data Doubtful Commitment Indicator [P1 5.2] is equal to 'Y'</t>
        </is>
      </c>
      <c r="AK278" s="456" t="n">
        <v>6</v>
      </c>
      <c r="AL278" s="345" t="inlineStr">
        <is>
          <t>TPS0751</t>
        </is>
      </c>
      <c r="AM278" s="318" t="n"/>
      <c r="AN278" s="317" t="n"/>
      <c r="AO278" s="257" t="n"/>
      <c r="AP278" s="258" t="n"/>
      <c r="AQ278" s="318" t="inlineStr">
        <is>
          <t>Si renseignée, la donnée doit être supérieure ou égale à '19000101'</t>
        </is>
      </c>
      <c r="AR278" s="317" t="inlineStr">
        <is>
          <t>If filled, data must be greater or equal to '19000101'</t>
        </is>
      </c>
      <c r="AS278" s="257" t="n">
        <v>7</v>
      </c>
      <c r="AT278" s="258" t="inlineStr">
        <is>
          <t>TVG0005</t>
        </is>
      </c>
      <c r="AU278" s="318" t="inlineStr">
        <is>
          <t>La donnée doit être inférieure ou égale à la date d'arrêté</t>
        </is>
      </c>
      <c r="AV278" s="317" t="inlineStr">
        <is>
          <t>Data must be lower or equal than closing date</t>
        </is>
      </c>
      <c r="AW278" s="257" t="n">
        <v>6</v>
      </c>
      <c r="AX278" s="345" t="inlineStr">
        <is>
          <t>TCG0004</t>
        </is>
      </c>
      <c r="AY278" s="318" t="n"/>
      <c r="AZ278" s="317" t="n"/>
      <c r="BA278" s="257" t="n"/>
      <c r="BB278" s="258" t="n"/>
      <c r="BC278" s="316" t="n"/>
      <c r="BD278" s="317" t="n"/>
      <c r="BE278" s="257" t="n"/>
      <c r="BF278" s="258" t="n"/>
      <c r="BG278" s="89" t="n"/>
      <c r="BH2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78">
        <f>_xlfn.LET(r,ROW(),oc,INDEX($A:$A,r),cv,TRIM(INDEX($Y:$Y,r)&amp;""),IF(oc&lt;&gt;"P1","",IF(cv="45","V45 - novo, nao alimentado pelo spool atual","V44 - alimentado pelo spool atual")))</f>
        <v/>
      </c>
    </row>
    <row r="279" ht="54" customFormat="1" customHeight="1" s="91">
      <c r="A279" s="306" t="inlineStr">
        <is>
          <t>P1</t>
        </is>
      </c>
      <c r="B279" s="307" t="n">
        <v>44</v>
      </c>
      <c r="C279" s="269" t="inlineStr">
        <is>
          <t xml:space="preserve">08 - Caractéristiques d'arriérés et de restructuration </t>
        </is>
      </c>
      <c r="D279" s="310" t="inlineStr">
        <is>
          <t>08 - Characteristics of overdues and restructuring</t>
        </is>
      </c>
      <c r="E279" s="307" t="inlineStr">
        <is>
          <t>P1 4.2</t>
        </is>
      </c>
      <c r="F279" s="448" t="inlineStr">
        <is>
          <t>Montant du solde de compte</t>
        </is>
      </c>
      <c r="G279" s="309" t="inlineStr">
        <is>
          <t>Balance account amount</t>
        </is>
      </c>
      <c r="H279" s="1493">
        <f>"RPAD( "&amp;SUBSTITUTE(SUBSTITUTE(E279," ","_"),".","_")&amp;","&amp;W279&amp;",' '); -- "&amp;E279</f>
        <v/>
      </c>
      <c r="I279" s="308" t="inlineStr">
        <is>
          <t>Montant du solde de compte</t>
        </is>
      </c>
      <c r="J279" s="309" t="inlineStr">
        <is>
          <t>Balance account amount</t>
        </is>
      </c>
      <c r="K279" s="370" t="inlineStr">
        <is>
          <t>ND</t>
        </is>
      </c>
      <c r="L279" s="371" t="inlineStr">
        <is>
          <t>ND</t>
        </is>
      </c>
      <c r="M279" s="1420" t="inlineStr">
        <is>
          <t>mtSolde</t>
        </is>
      </c>
      <c r="N279" s="457" t="inlineStr">
        <is>
          <t>Obligatoire sous conditions</t>
        </is>
      </c>
      <c r="O279" s="236" t="inlineStr">
        <is>
          <t>Mandatory under conditions</t>
        </is>
      </c>
      <c r="P279" s="269" t="inlineStr">
        <is>
          <t>NA</t>
        </is>
      </c>
      <c r="Q279" s="269" t="inlineStr">
        <is>
          <t>NA</t>
        </is>
      </c>
      <c r="R279" s="241" t="inlineStr">
        <is>
          <t>NA</t>
        </is>
      </c>
      <c r="S279" s="233" t="inlineStr">
        <is>
          <t>NA</t>
        </is>
      </c>
      <c r="T279" s="313" t="inlineStr">
        <is>
          <t>NUM</t>
        </is>
      </c>
      <c r="U279" s="237" t="inlineStr">
        <is>
          <t>19 dont signe et 2 décimales</t>
        </is>
      </c>
      <c r="V279" s="238" t="inlineStr">
        <is>
          <t>19 including sign and 2 decimals</t>
        </is>
      </c>
      <c r="W279" s="257" t="n">
        <v>19</v>
      </c>
      <c r="X279" s="945" t="inlineStr">
        <is>
          <t>NA</t>
        </is>
      </c>
      <c r="Y279" s="237" t="n">
        <v>40</v>
      </c>
      <c r="Z279" s="237" t="inlineStr">
        <is>
          <t>NA</t>
        </is>
      </c>
      <c r="AA279" s="978" t="inlineStr">
        <is>
          <t>45.00</t>
        </is>
      </c>
      <c r="AB279" s="932" t="inlineStr">
        <is>
          <t>AER, ANACREDIT, CALCULS PRUDENTIELS, CONGLOMERATS, DEI, ESG PILIER 3, GRR, LIQUIDITE, LOAN TAPE, NSFR, SA-CCR, SRB VALUATION</t>
        </is>
      </c>
      <c r="AC279" s="231" t="inlineStr">
        <is>
          <t>ND</t>
        </is>
      </c>
      <c r="AD279" s="257" t="inlineStr">
        <is>
          <t>N</t>
        </is>
      </c>
      <c r="AE279" s="257" t="inlineStr">
        <is>
          <t>TRE100
TRE203, 205, 207
TRE206</t>
        </is>
      </c>
      <c r="AF279" s="257" t="inlineStr">
        <is>
          <t>NA</t>
        </is>
      </c>
      <c r="AG279" s="258" t="inlineStr">
        <is>
          <t>NA</t>
        </is>
      </c>
      <c r="AH279" s="89" t="n"/>
      <c r="AI279" s="446" t="inlineStr">
        <is>
          <t>La donnée est obligatoire, si type de risque [P1 2.0] = 'TRE100, TRE203, TRE205, TRE206, TRE207'</t>
        </is>
      </c>
      <c r="AJ279" s="317" t="inlineStr">
        <is>
          <t>The data is mandatory, if Risk type [P1 2.0] = 'TRE100, TRE203, TRE205, TRE206, TRE207'</t>
        </is>
      </c>
      <c r="AK279" s="257" t="n">
        <v>7</v>
      </c>
      <c r="AL279" s="345" t="inlineStr">
        <is>
          <t>TPS0752</t>
        </is>
      </c>
      <c r="AM279" s="318" t="n"/>
      <c r="AN279" s="317" t="n"/>
      <c r="AO279" s="257" t="n"/>
      <c r="AP279" s="258" t="n"/>
      <c r="AQ279" s="445" t="inlineStr">
        <is>
          <t>Si renseignée, la donnée doit être positive (supérieure ou égale à 0)</t>
        </is>
      </c>
      <c r="AR279" s="317" t="inlineStr">
        <is>
          <t xml:space="preserve">If filled, data must be positive (greater or equal to 0) </t>
        </is>
      </c>
      <c r="AS279" s="257" t="n">
        <v>7</v>
      </c>
      <c r="AT279" s="345" t="inlineStr">
        <is>
          <t>TVG0001</t>
        </is>
      </c>
      <c r="AU279" s="318" t="n"/>
      <c r="AV279" s="317" t="n"/>
      <c r="AW279" s="257" t="n"/>
      <c r="AX279" s="258" t="n"/>
      <c r="AY279" s="318" t="n"/>
      <c r="AZ279" s="317" t="n"/>
      <c r="BA279" s="257" t="n"/>
      <c r="BB279" s="258" t="n"/>
      <c r="BC279" s="316" t="n"/>
      <c r="BD279" s="317" t="n"/>
      <c r="BE279" s="257" t="n"/>
      <c r="BF279" s="258" t="n"/>
      <c r="BG279" s="89" t="n"/>
      <c r="BH2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79">
        <f>_xlfn.LET(r,ROW(),oc,INDEX($A:$A,r),cv,TRIM(INDEX($Y:$Y,r)&amp;""),IF(oc&lt;&gt;"P1","",IF(cv="45","V45 - novo, nao alimentado pelo spool atual","V44 - alimentado pelo spool atual")))</f>
        <v/>
      </c>
    </row>
    <row r="280" ht="54" customFormat="1" customHeight="1" s="91">
      <c r="A280" s="306" t="inlineStr">
        <is>
          <t>P1</t>
        </is>
      </c>
      <c r="B280" s="307" t="n">
        <v>45</v>
      </c>
      <c r="C280" s="269" t="inlineStr">
        <is>
          <t xml:space="preserve">08 - Caractéristiques d'arriérés et de restructuration </t>
        </is>
      </c>
      <c r="D280" s="310" t="inlineStr">
        <is>
          <t>08 - Characteristics of overdues and restructuring</t>
        </is>
      </c>
      <c r="E280" s="307" t="inlineStr">
        <is>
          <t>P1 4.3</t>
        </is>
      </c>
      <c r="F280" s="308" t="inlineStr">
        <is>
          <t>Devise du montant du solde de compte</t>
        </is>
      </c>
      <c r="G280" s="309" t="inlineStr">
        <is>
          <t xml:space="preserve">Currency of balance account amount </t>
        </is>
      </c>
      <c r="H280" s="1493">
        <f>"RPAD( "&amp;SUBSTITUTE(SUBSTITUTE(E280," ","_"),".","_")&amp;","&amp;W280&amp;",' '); -- "&amp;E280</f>
        <v/>
      </c>
      <c r="I280" s="308" t="inlineStr">
        <is>
          <t>Devise du montant du solde de compte</t>
        </is>
      </c>
      <c r="J280" s="309" t="inlineStr">
        <is>
          <t xml:space="preserve">Currency of balance account amount </t>
        </is>
      </c>
      <c r="K280" s="370" t="inlineStr">
        <is>
          <t>ND</t>
        </is>
      </c>
      <c r="L280" s="371" t="inlineStr">
        <is>
          <t>ND</t>
        </is>
      </c>
      <c r="M280" s="1420" t="inlineStr">
        <is>
          <t>cdDevMtSolde</t>
        </is>
      </c>
      <c r="N280" s="257" t="inlineStr">
        <is>
          <t>Obligatoire sous conditions</t>
        </is>
      </c>
      <c r="O280" s="236" t="inlineStr">
        <is>
          <t>Mandatory under conditions</t>
        </is>
      </c>
      <c r="P280" s="269" t="inlineStr">
        <is>
          <t>LC.0005</t>
        </is>
      </c>
      <c r="Q280" s="269" t="inlineStr">
        <is>
          <t>TA NM253</t>
        </is>
      </c>
      <c r="R280" s="241" t="inlineStr">
        <is>
          <t>NA</t>
        </is>
      </c>
      <c r="S280" s="233" t="inlineStr">
        <is>
          <t>NA</t>
        </is>
      </c>
      <c r="T280" s="313" t="inlineStr">
        <is>
          <t>ALPHA</t>
        </is>
      </c>
      <c r="U280" s="237" t="inlineStr">
        <is>
          <t>NA</t>
        </is>
      </c>
      <c r="V280" s="238" t="inlineStr">
        <is>
          <t>NA</t>
        </is>
      </c>
      <c r="W280" s="257" t="n">
        <v>3</v>
      </c>
      <c r="X280" s="945" t="inlineStr">
        <is>
          <t>NA</t>
        </is>
      </c>
      <c r="Y280" s="237" t="n">
        <v>40</v>
      </c>
      <c r="Z280" s="237" t="inlineStr">
        <is>
          <t>NA</t>
        </is>
      </c>
      <c r="AA280" s="978" t="inlineStr">
        <is>
          <t>45.00</t>
        </is>
      </c>
      <c r="AB280" s="932" t="inlineStr">
        <is>
          <t>AER, ANACREDIT, CALCULS PRUDENTIELS, CONGLOMERATS, DEI, ESG PILIER 3, GRR, LIQUIDITE, NSFR, SA-CCR, SRB VALUATION</t>
        </is>
      </c>
      <c r="AC280" s="231" t="inlineStr">
        <is>
          <t>ND</t>
        </is>
      </c>
      <c r="AD280" s="257" t="inlineStr">
        <is>
          <t>N</t>
        </is>
      </c>
      <c r="AE280" s="257" t="inlineStr">
        <is>
          <t xml:space="preserve">TRE100
TRE203, 205, 207
TRE206
</t>
        </is>
      </c>
      <c r="AF280" s="257" t="inlineStr">
        <is>
          <t>NA</t>
        </is>
      </c>
      <c r="AG280" s="258" t="inlineStr">
        <is>
          <t>NA</t>
        </is>
      </c>
      <c r="AH280" s="89" t="n"/>
      <c r="AI280" s="446" t="inlineStr">
        <is>
          <t>La donnée est obligatoire si Montant du solde de compte [P1 4.2] est renseigné</t>
        </is>
      </c>
      <c r="AJ280" s="317" t="inlineStr">
        <is>
          <t>The data is mandatory if Balance account amount [P1 4.2] is filled</t>
        </is>
      </c>
      <c r="AK280" s="257" t="n">
        <v>7</v>
      </c>
      <c r="AL280" s="447" t="inlineStr">
        <is>
          <t>TPG0002</t>
        </is>
      </c>
      <c r="AM280" s="318" t="inlineStr">
        <is>
          <t>Si elle est renseignée, la valeur doit être connue du Langage Commun associé</t>
        </is>
      </c>
      <c r="AN280" s="317" t="inlineStr">
        <is>
          <t>If specified, the value must be known to the associated Common Language</t>
        </is>
      </c>
      <c r="AO280" s="257" t="n">
        <v>7</v>
      </c>
      <c r="AP280" s="212" t="inlineStr">
        <is>
          <t>TIG0001</t>
        </is>
      </c>
      <c r="AQ280" s="318" t="n"/>
      <c r="AR280" s="317" t="n"/>
      <c r="AS280" s="257" t="n"/>
      <c r="AT280" s="258" t="n"/>
      <c r="AU280" s="318" t="n"/>
      <c r="AV280" s="317" t="n"/>
      <c r="AW280" s="257" t="n"/>
      <c r="AX280" s="258" t="n"/>
      <c r="AY280" s="318" t="n"/>
      <c r="AZ280" s="317" t="n"/>
      <c r="BA280" s="257" t="n"/>
      <c r="BB280" s="258" t="n"/>
      <c r="BC280" s="316" t="n"/>
      <c r="BD280" s="317" t="n"/>
      <c r="BE280" s="257" t="n"/>
      <c r="BF280" s="258" t="n"/>
      <c r="BG280" s="89" t="n"/>
      <c r="BH2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80">
        <f>_xlfn.LET(r,ROW(),oc,INDEX($A:$A,r),cv,TRIM(INDEX($Y:$Y,r)&amp;""),IF(oc&lt;&gt;"P1","",IF(cv="45","V45 - novo, nao alimentado pelo spool atual","V44 - alimentado pelo spool atual")))</f>
        <v/>
      </c>
    </row>
    <row r="281" ht="54" customFormat="1" customHeight="1" s="91">
      <c r="A281" s="306" t="inlineStr">
        <is>
          <t>P1</t>
        </is>
      </c>
      <c r="B281" s="307" t="n">
        <v>46</v>
      </c>
      <c r="C281" s="269" t="inlineStr">
        <is>
          <t xml:space="preserve">08 - Caractéristiques d'arriérés et de restructuration </t>
        </is>
      </c>
      <c r="D281" s="310" t="inlineStr">
        <is>
          <t>08 - Characteristics of overdues and restructuring</t>
        </is>
      </c>
      <c r="E281" s="307" t="inlineStr">
        <is>
          <t>P1 4.4</t>
        </is>
      </c>
      <c r="F281" s="448" t="inlineStr">
        <is>
          <t>Montant du découvert</t>
        </is>
      </c>
      <c r="G281" s="309" t="inlineStr">
        <is>
          <t>Amount of overdraft</t>
        </is>
      </c>
      <c r="H281" s="1493">
        <f>"RPAD( "&amp;SUBSTITUTE(SUBSTITUTE(E281," ","_"),".","_")&amp;","&amp;W281&amp;",' '); -- "&amp;E281</f>
        <v/>
      </c>
      <c r="I281" s="241" t="inlineStr">
        <is>
          <t>Montant du découvert</t>
        </is>
      </c>
      <c r="J281" s="309" t="inlineStr">
        <is>
          <t>Amount of overdraft</t>
        </is>
      </c>
      <c r="K281" s="370" t="inlineStr">
        <is>
          <t>ND</t>
        </is>
      </c>
      <c r="L281" s="371" t="inlineStr">
        <is>
          <t>ND</t>
        </is>
      </c>
      <c r="M281" s="1420" t="inlineStr">
        <is>
          <t>mtDec</t>
        </is>
      </c>
      <c r="N281" s="257" t="inlineStr">
        <is>
          <t>Obligatoire sous conditions</t>
        </is>
      </c>
      <c r="O281" s="236" t="inlineStr">
        <is>
          <t>Mandatory under conditions</t>
        </is>
      </c>
      <c r="P281" s="269" t="inlineStr">
        <is>
          <t>NA</t>
        </is>
      </c>
      <c r="Q281" s="269" t="inlineStr">
        <is>
          <t>NA</t>
        </is>
      </c>
      <c r="R281" s="241" t="inlineStr">
        <is>
          <t>Hors intérêts débiteurs</t>
        </is>
      </c>
      <c r="S281" s="233" t="inlineStr">
        <is>
          <t>Excluding debtor interests</t>
        </is>
      </c>
      <c r="T281" s="313" t="inlineStr">
        <is>
          <t>NUM</t>
        </is>
      </c>
      <c r="U281" s="237" t="inlineStr">
        <is>
          <t>19 dont signe et 2 décimales</t>
        </is>
      </c>
      <c r="V281" s="238" t="inlineStr">
        <is>
          <t>19 including sign and 2 decimals</t>
        </is>
      </c>
      <c r="W281" s="257" t="n">
        <v>19</v>
      </c>
      <c r="X281" s="945" t="inlineStr">
        <is>
          <t>NA</t>
        </is>
      </c>
      <c r="Y281" s="237" t="n">
        <v>40</v>
      </c>
      <c r="Z281" s="237" t="inlineStr">
        <is>
          <t>NA</t>
        </is>
      </c>
      <c r="AA281" s="270" t="inlineStr">
        <is>
          <t>45.00</t>
        </is>
      </c>
      <c r="AB281" s="932" t="inlineStr">
        <is>
          <t>AER, ANACREDIT, CALCULS PRUDENTIELS, DEI, ESG PILIER 3, GRR, LIQUIDITE, LOAN TAPE, OMP</t>
        </is>
      </c>
      <c r="AC281" s="231" t="inlineStr">
        <is>
          <t>ND</t>
        </is>
      </c>
      <c r="AD281" s="257" t="inlineStr">
        <is>
          <t>N</t>
        </is>
      </c>
      <c r="AE281" s="257" t="inlineStr">
        <is>
          <t xml:space="preserve">TRE2 à 4XX hors 203,205,206,207
</t>
        </is>
      </c>
      <c r="AF281" s="257" t="inlineStr">
        <is>
          <t>NA</t>
        </is>
      </c>
      <c r="AG281" s="258" t="inlineStr">
        <is>
          <t>NA</t>
        </is>
      </c>
      <c r="AH281" s="89" t="n"/>
      <c r="AI281" s="446" t="inlineStr">
        <is>
          <t>La donnée est obligatoire si le type de risque [P1 2.0] = ‘TRE201'</t>
        </is>
      </c>
      <c r="AJ281" s="317" t="inlineStr">
        <is>
          <t>The data is mandatory if Risk type [P1 2.0] = ‘TRE201'</t>
        </is>
      </c>
      <c r="AK281" s="257" t="n">
        <v>7</v>
      </c>
      <c r="AL281" s="458" t="inlineStr">
        <is>
          <t>TPS0753</t>
        </is>
      </c>
      <c r="AM281" s="318" t="n"/>
      <c r="AN281" s="317" t="n"/>
      <c r="AO281" s="257" t="n"/>
      <c r="AP281" s="258" t="n"/>
      <c r="AQ281" s="445" t="inlineStr">
        <is>
          <t>Si renseignée, la donnée doit être positive (supérieure ou égale à 0)</t>
        </is>
      </c>
      <c r="AR281" s="317" t="inlineStr">
        <is>
          <t xml:space="preserve">If filled, data must be positive (greater or equal to 0) </t>
        </is>
      </c>
      <c r="AS281" s="257" t="n">
        <v>7</v>
      </c>
      <c r="AT281" s="345" t="inlineStr">
        <is>
          <t>TVG0001</t>
        </is>
      </c>
      <c r="AU281" s="318" t="n"/>
      <c r="AV281" s="317" t="n"/>
      <c r="AW281" s="257" t="n"/>
      <c r="AX281" s="258" t="n"/>
      <c r="AY281" s="318" t="n"/>
      <c r="AZ281" s="317" t="n"/>
      <c r="BA281" s="257" t="n"/>
      <c r="BB281" s="258" t="n"/>
      <c r="BC281" s="316" t="n"/>
      <c r="BD281" s="317" t="n"/>
      <c r="BE281" s="257" t="n"/>
      <c r="BF281" s="258" t="n"/>
      <c r="BG281" s="89" t="n"/>
      <c r="BH2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81">
        <f>_xlfn.LET(r,ROW(),oc,INDEX($A:$A,r),cv,TRIM(INDEX($Y:$Y,r)&amp;""),IF(oc&lt;&gt;"P1","",IF(cv="45","V45 - novo, nao alimentado pelo spool atual","V44 - alimentado pelo spool atual")))</f>
        <v/>
      </c>
    </row>
    <row r="282" ht="54" customFormat="1" customHeight="1" s="91">
      <c r="A282" s="306" t="inlineStr">
        <is>
          <t>P1</t>
        </is>
      </c>
      <c r="B282" s="307" t="n">
        <v>47</v>
      </c>
      <c r="C282" s="269" t="inlineStr">
        <is>
          <t xml:space="preserve">08 - Caractéristiques d'arriérés et de restructuration </t>
        </is>
      </c>
      <c r="D282" s="310" t="inlineStr">
        <is>
          <t>08 - Characteristics of overdues and restructuring</t>
        </is>
      </c>
      <c r="E282" s="307" t="inlineStr">
        <is>
          <t>P1 4.5</t>
        </is>
      </c>
      <c r="F282" s="1248" t="inlineStr">
        <is>
          <t>Devise du montant du découvert</t>
        </is>
      </c>
      <c r="G282" s="309" t="inlineStr">
        <is>
          <t>Currency of amount of overdraft</t>
        </is>
      </c>
      <c r="H282" s="1493">
        <f>"RPAD( "&amp;SUBSTITUTE(SUBSTITUTE(E282," ","_"),".","_")&amp;","&amp;W282&amp;",' '); -- "&amp;E282</f>
        <v/>
      </c>
      <c r="I282" s="1249" t="inlineStr">
        <is>
          <t xml:space="preserve">Devise du montant du découvert </t>
        </is>
      </c>
      <c r="J282" s="309" t="inlineStr">
        <is>
          <t xml:space="preserve">Currency in which the overdraft amount is denominated </t>
        </is>
      </c>
      <c r="K282" s="370" t="inlineStr">
        <is>
          <t>ND</t>
        </is>
      </c>
      <c r="L282" s="371" t="inlineStr">
        <is>
          <t>ND</t>
        </is>
      </c>
      <c r="M282" s="1420" t="inlineStr">
        <is>
          <t>cdMtDec</t>
        </is>
      </c>
      <c r="N282" s="257" t="inlineStr">
        <is>
          <t>Obligatoire sous conditions</t>
        </is>
      </c>
      <c r="O282" s="236" t="inlineStr">
        <is>
          <t>Mandatory under conditions</t>
        </is>
      </c>
      <c r="P282" s="269" t="inlineStr">
        <is>
          <t>LC.0005</t>
        </is>
      </c>
      <c r="Q282" s="269" t="inlineStr">
        <is>
          <t>TA NM253</t>
        </is>
      </c>
      <c r="R282" s="241" t="inlineStr">
        <is>
          <t>NA</t>
        </is>
      </c>
      <c r="S282" s="233" t="inlineStr">
        <is>
          <t>NA</t>
        </is>
      </c>
      <c r="T282" s="313" t="inlineStr">
        <is>
          <t>ALPHA</t>
        </is>
      </c>
      <c r="U282" s="237" t="inlineStr">
        <is>
          <t>NA</t>
        </is>
      </c>
      <c r="V282" s="238" t="inlineStr">
        <is>
          <t>NA</t>
        </is>
      </c>
      <c r="W282" s="257" t="n">
        <v>3</v>
      </c>
      <c r="X282" s="945" t="inlineStr">
        <is>
          <t>NA</t>
        </is>
      </c>
      <c r="Y282" s="237" t="n">
        <v>40</v>
      </c>
      <c r="Z282" s="237" t="inlineStr">
        <is>
          <t>NA</t>
        </is>
      </c>
      <c r="AA282" s="978" t="inlineStr">
        <is>
          <t>45.00</t>
        </is>
      </c>
      <c r="AB282" s="932" t="inlineStr">
        <is>
          <t>AER, ANACREDIT, CALCULS PRUDENTIELS, CONGLOMERATS, DEI, ESG PILIER 3, GRR, LIQUIDITE, OMP</t>
        </is>
      </c>
      <c r="AC282" s="231" t="inlineStr">
        <is>
          <t>ND</t>
        </is>
      </c>
      <c r="AD282" s="257" t="inlineStr">
        <is>
          <t>N</t>
        </is>
      </c>
      <c r="AE282" s="257" t="inlineStr">
        <is>
          <t xml:space="preserve">TRE2 à 4XX hors 203,205,206,207
</t>
        </is>
      </c>
      <c r="AF282" s="257" t="inlineStr">
        <is>
          <t>NA</t>
        </is>
      </c>
      <c r="AG282" s="258" t="inlineStr">
        <is>
          <t>NA</t>
        </is>
      </c>
      <c r="AH282" s="89" t="n"/>
      <c r="AI282" s="446" t="inlineStr">
        <is>
          <t>La donnée est obligatoire si Montant du découvert [P1 4.4] est renseigné</t>
        </is>
      </c>
      <c r="AJ282" s="317" t="inlineStr">
        <is>
          <t>The data is mandatory if Amount of overdraft [P1 4.4] is filled</t>
        </is>
      </c>
      <c r="AK282" s="257" t="n">
        <v>7</v>
      </c>
      <c r="AL282" s="447" t="inlineStr">
        <is>
          <t>TPG0002</t>
        </is>
      </c>
      <c r="AM282" s="318" t="inlineStr">
        <is>
          <t>Si elle est renseignée, la valeur doit être connue du Langage Commun associé</t>
        </is>
      </c>
      <c r="AN282" s="317" t="inlineStr">
        <is>
          <t>If specified, the value must be known to the associated Common Language</t>
        </is>
      </c>
      <c r="AO282" s="257" t="n">
        <v>7</v>
      </c>
      <c r="AP282" s="212" t="inlineStr">
        <is>
          <t>TIG0001</t>
        </is>
      </c>
      <c r="AQ282" s="318" t="n"/>
      <c r="AR282" s="317" t="n"/>
      <c r="AS282" s="257" t="n"/>
      <c r="AT282" s="258" t="n"/>
      <c r="AU282" s="318" t="n"/>
      <c r="AV282" s="317" t="n"/>
      <c r="AW282" s="257" t="n"/>
      <c r="AX282" s="258" t="n"/>
      <c r="AY282" s="318" t="n"/>
      <c r="AZ282" s="317" t="n"/>
      <c r="BA282" s="257" t="n"/>
      <c r="BB282" s="258" t="n"/>
      <c r="BC282" s="316" t="n"/>
      <c r="BD282" s="317" t="n"/>
      <c r="BE282" s="257" t="n"/>
      <c r="BF282" s="258" t="n"/>
      <c r="BG282" s="89" t="n"/>
      <c r="BH2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82">
        <f>_xlfn.LET(r,ROW(),oc,INDEX($A:$A,r),cv,TRIM(INDEX($Y:$Y,r)&amp;""),IF(oc&lt;&gt;"P1","",IF(cv="45","V45 - novo, nao alimentado pelo spool atual","V44 - alimentado pelo spool atual")))</f>
        <v/>
      </c>
    </row>
    <row r="283" ht="54" customFormat="1" customHeight="1" s="91">
      <c r="A283" s="306" t="inlineStr">
        <is>
          <t>P1</t>
        </is>
      </c>
      <c r="B283" s="307" t="n">
        <v>48</v>
      </c>
      <c r="C283" s="269" t="inlineStr">
        <is>
          <t>03 - Caractéristiques Générales</t>
        </is>
      </c>
      <c r="D283" s="310" t="inlineStr">
        <is>
          <t>03 - General characteristics</t>
        </is>
      </c>
      <c r="E283" s="307" t="inlineStr">
        <is>
          <t>P1 4.9</t>
        </is>
      </c>
      <c r="F283" s="448" t="inlineStr">
        <is>
          <t>Montant du capital restant dû</t>
        </is>
      </c>
      <c r="G283" s="309" t="inlineStr">
        <is>
          <t>Amount of principal outstanding</t>
        </is>
      </c>
      <c r="H283" s="1493">
        <f>"RPAD( "&amp;SUBSTITUTE(SUBSTITUTE(E283," ","_"),".","_")&amp;","&amp;W283&amp;",' '); -- "&amp;E283</f>
        <v/>
      </c>
      <c r="I283" s="241" t="inlineStr">
        <is>
          <t>Capital restant dû</t>
        </is>
      </c>
      <c r="J283" s="309" t="inlineStr">
        <is>
          <t>Principal outstanding</t>
        </is>
      </c>
      <c r="K283" s="370" t="inlineStr">
        <is>
          <t>ND</t>
        </is>
      </c>
      <c r="L283" s="371" t="inlineStr">
        <is>
          <t>ND</t>
        </is>
      </c>
      <c r="M283" s="1420" t="inlineStr">
        <is>
          <t>mtCapResDu</t>
        </is>
      </c>
      <c r="N283" s="257" t="inlineStr">
        <is>
          <t>Obligatoire sous conditions</t>
        </is>
      </c>
      <c r="O283" s="236" t="inlineStr">
        <is>
          <t>Mandatory under conditions</t>
        </is>
      </c>
      <c r="P283" s="269" t="inlineStr">
        <is>
          <t>NA</t>
        </is>
      </c>
      <c r="Q283" s="269" t="inlineStr">
        <is>
          <t>NA</t>
        </is>
      </c>
      <c r="R283" s="241" t="inlineStr">
        <is>
          <t>NA</t>
        </is>
      </c>
      <c r="S283" s="233" t="inlineStr">
        <is>
          <t>NA</t>
        </is>
      </c>
      <c r="T283" s="313" t="inlineStr">
        <is>
          <t>NUM</t>
        </is>
      </c>
      <c r="U283" s="237" t="inlineStr">
        <is>
          <t>19 dont signe et 2 décimales</t>
        </is>
      </c>
      <c r="V283" s="238" t="inlineStr">
        <is>
          <t>19 including sign and 2 decimals</t>
        </is>
      </c>
      <c r="W283" s="257" t="n">
        <v>19</v>
      </c>
      <c r="X283" s="945" t="inlineStr">
        <is>
          <t>NA</t>
        </is>
      </c>
      <c r="Y283" s="237" t="n">
        <v>40</v>
      </c>
      <c r="Z283" s="237" t="inlineStr">
        <is>
          <t>NA</t>
        </is>
      </c>
      <c r="AA283" s="270" t="inlineStr">
        <is>
          <t>45.00</t>
        </is>
      </c>
      <c r="AB283" s="932" t="inlineStr">
        <is>
          <t>AER, ANACREDIT, CALCULS PRUDENTIELS, DEI, ESG PILIER 3, GRR, LIQUIDITE, LOAN TAPE, OMP, PALMA</t>
        </is>
      </c>
      <c r="AC283" s="231" t="inlineStr">
        <is>
          <t>ND</t>
        </is>
      </c>
      <c r="AD283" s="257" t="inlineStr">
        <is>
          <t>N</t>
        </is>
      </c>
      <c r="AE283" s="257" t="inlineStr">
        <is>
          <t xml:space="preserve">TRE2 à 4XX hors 201,203,205,206,207
</t>
        </is>
      </c>
      <c r="AF283" s="257" t="inlineStr">
        <is>
          <t>NA</t>
        </is>
      </c>
      <c r="AG283" s="258" t="inlineStr">
        <is>
          <t>NA</t>
        </is>
      </c>
      <c r="AH283" s="89" t="n"/>
      <c r="AI283" s="459" t="inlineStr">
        <is>
          <t>La donnée est obligatoire, si type de risque [P1 2.0] = 'TRE2xx à TRE4xx (sauf 'TRE201, TRE203, TRE205, TRE206, TRE207')' ET que Montant du MtM [P1 3.52] est non renseigné (vide ou égal à 0)</t>
        </is>
      </c>
      <c r="AJ283" s="317" t="inlineStr">
        <is>
          <t>The data is mandatory if Risk type = 'TRE2xx to TRE4xx (except 'TRE201, TRE203, TRE205, TRE206, TRE207')' AND Amount of MtM [P1 3.52] is not filled (empty or equal to 0)</t>
        </is>
      </c>
      <c r="AK283" s="257" t="n">
        <v>7</v>
      </c>
      <c r="AL283" s="345" t="inlineStr">
        <is>
          <t>TPS0754</t>
        </is>
      </c>
      <c r="AM283" s="318" t="n"/>
      <c r="AN283" s="317" t="n"/>
      <c r="AO283" s="257" t="n"/>
      <c r="AP283" s="258" t="n"/>
      <c r="AQ283" s="445" t="inlineStr">
        <is>
          <t>Si renseignée, ET si le type de risque =TRE2xx à TRE4xx (sauf ‘TRE201, TRE203, TRE205, TRE206, TRE207')' ET si Montant du MtM [P1 3.52] est non renseigné (vide ou égal à 0), alors la donnée doit être positive (&gt;=0)</t>
        </is>
      </c>
      <c r="AR283" s="317" t="inlineStr">
        <is>
          <t>If filled, AND if Risk type =TRE2xx à TRE4xx (except ‘TRE201, TRE203, TRE205, TRE206, TRE207) AND Amount of MtM [P1 3.52] is not filled (empty or equal to 0), the data must be positive (&gt;=0)</t>
        </is>
      </c>
      <c r="AS283" s="257" t="n">
        <v>7</v>
      </c>
      <c r="AT283" s="345" t="inlineStr">
        <is>
          <t>TVS0723</t>
        </is>
      </c>
      <c r="AU283" s="318" t="n"/>
      <c r="AV283" s="317" t="n"/>
      <c r="AW283" s="257" t="n"/>
      <c r="AX283" s="258" t="n"/>
      <c r="AY283" s="318" t="n"/>
      <c r="AZ283" s="317" t="n"/>
      <c r="BA283" s="257" t="n"/>
      <c r="BB283" s="258" t="n"/>
      <c r="BC283" s="316" t="n"/>
      <c r="BD283" s="317" t="n"/>
      <c r="BE283" s="257" t="n"/>
      <c r="BF283" s="258" t="n"/>
      <c r="BG283" s="89" t="n"/>
      <c r="BH2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83">
        <f>_xlfn.LET(r,ROW(),oc,INDEX($A:$A,r),cv,TRIM(INDEX($Y:$Y,r)&amp;""),IF(oc&lt;&gt;"P1","",IF(cv="45","V45 - novo, nao alimentado pelo spool atual","V44 - alimentado pelo spool atual")))</f>
        <v/>
      </c>
    </row>
    <row r="284" ht="54" customFormat="1" customHeight="1" s="91">
      <c r="A284" s="306" t="inlineStr">
        <is>
          <t>P1</t>
        </is>
      </c>
      <c r="B284" s="307" t="n">
        <v>49</v>
      </c>
      <c r="C284" s="269" t="inlineStr">
        <is>
          <t>03 - Caractéristiques Générales</t>
        </is>
      </c>
      <c r="D284" s="310" t="inlineStr">
        <is>
          <t>03 - General characteristics</t>
        </is>
      </c>
      <c r="E284" s="307" t="inlineStr">
        <is>
          <t>P1 4.13</t>
        </is>
      </c>
      <c r="F284" s="460" t="inlineStr">
        <is>
          <t>Devise du montant du capital restant dû</t>
        </is>
      </c>
      <c r="G284" s="309" t="inlineStr">
        <is>
          <t>Currency of amount of principal outstanding</t>
        </is>
      </c>
      <c r="H284" s="1493">
        <f>"RPAD( "&amp;SUBSTITUTE(SUBSTITUTE(E284," ","_"),".","_")&amp;","&amp;W284&amp;",' '); -- "&amp;E284</f>
        <v/>
      </c>
      <c r="I284" s="241" t="inlineStr">
        <is>
          <t>Devise du capital restant dû</t>
        </is>
      </c>
      <c r="J284" s="309" t="inlineStr">
        <is>
          <t>Currency of principal outstanding</t>
        </is>
      </c>
      <c r="K284" s="370" t="inlineStr">
        <is>
          <t>ND</t>
        </is>
      </c>
      <c r="L284" s="371" t="inlineStr">
        <is>
          <t>ND</t>
        </is>
      </c>
      <c r="M284" s="1420" t="inlineStr">
        <is>
          <t>cdDevMtCapResDu</t>
        </is>
      </c>
      <c r="N284" s="257" t="inlineStr">
        <is>
          <t>Obligatoire sous conditions</t>
        </is>
      </c>
      <c r="O284" s="236" t="inlineStr">
        <is>
          <t>Mandatory under conditions</t>
        </is>
      </c>
      <c r="P284" s="269" t="inlineStr">
        <is>
          <t>LC.0005</t>
        </is>
      </c>
      <c r="Q284" s="269" t="inlineStr">
        <is>
          <t>TA NM253</t>
        </is>
      </c>
      <c r="R284" s="241" t="inlineStr">
        <is>
          <t>NA</t>
        </is>
      </c>
      <c r="S284" s="233" t="inlineStr">
        <is>
          <t>NA</t>
        </is>
      </c>
      <c r="T284" s="313" t="inlineStr">
        <is>
          <t>ALPHA</t>
        </is>
      </c>
      <c r="U284" s="237" t="inlineStr">
        <is>
          <t>NA</t>
        </is>
      </c>
      <c r="V284" s="238" t="inlineStr">
        <is>
          <t>NA</t>
        </is>
      </c>
      <c r="W284" s="257" t="n">
        <v>3</v>
      </c>
      <c r="X284" s="945" t="inlineStr">
        <is>
          <t>NA</t>
        </is>
      </c>
      <c r="Y284" s="237" t="n">
        <v>40</v>
      </c>
      <c r="Z284" s="237" t="inlineStr">
        <is>
          <t>NA</t>
        </is>
      </c>
      <c r="AA284" s="978" t="inlineStr">
        <is>
          <t>45.00</t>
        </is>
      </c>
      <c r="AB284" s="932" t="inlineStr">
        <is>
          <t>AER, ANACREDIT, CALCULS PRUDENTIELS, CONGLOMERATS, DEI, ESG PILIER 3, GRR, LIQUIDITE, MREL, OMP, PALMA</t>
        </is>
      </c>
      <c r="AC284" s="231" t="inlineStr">
        <is>
          <t>ND</t>
        </is>
      </c>
      <c r="AD284" s="257" t="inlineStr">
        <is>
          <t>N</t>
        </is>
      </c>
      <c r="AE284" s="257" t="inlineStr">
        <is>
          <t xml:space="preserve">TRE2 à 4XX hors 203,205,206,207
</t>
        </is>
      </c>
      <c r="AF284" s="257" t="inlineStr">
        <is>
          <t>NA</t>
        </is>
      </c>
      <c r="AG284" s="258" t="inlineStr">
        <is>
          <t>NA</t>
        </is>
      </c>
      <c r="AH284" s="89" t="n"/>
      <c r="AI284" s="461" t="inlineStr">
        <is>
          <t>La donnée est obligatoire, si Montant du capital restant dû [P1 4.9] est renseigné</t>
        </is>
      </c>
      <c r="AJ284" s="317" t="inlineStr">
        <is>
          <t>The data is mandatory, if Amount of principal outstanding [P1 4.9] is filled</t>
        </is>
      </c>
      <c r="AK284" s="257" t="n">
        <v>7</v>
      </c>
      <c r="AL284" s="335" t="inlineStr">
        <is>
          <t>TPG0002</t>
        </is>
      </c>
      <c r="AM284" s="318" t="inlineStr">
        <is>
          <t>Si elle est renseignée, la valeur doit être connue du Langage Commun associé</t>
        </is>
      </c>
      <c r="AN284" s="317" t="inlineStr">
        <is>
          <t>If specified, the value must be known to the associated Common Language</t>
        </is>
      </c>
      <c r="AO284" s="257" t="n">
        <v>7</v>
      </c>
      <c r="AP284" s="212" t="inlineStr">
        <is>
          <t>TIG0001</t>
        </is>
      </c>
      <c r="AQ284" s="318" t="n"/>
      <c r="AR284" s="317" t="n"/>
      <c r="AS284" s="257" t="n"/>
      <c r="AT284" s="258" t="n"/>
      <c r="AU284" s="318" t="n"/>
      <c r="AV284" s="317" t="n"/>
      <c r="AW284" s="257" t="n"/>
      <c r="AX284" s="258" t="n"/>
      <c r="AY284" s="318" t="n"/>
      <c r="AZ284" s="317" t="n"/>
      <c r="BA284" s="257" t="n"/>
      <c r="BB284" s="258" t="n"/>
      <c r="BC284" s="316" t="n"/>
      <c r="BD284" s="317" t="n"/>
      <c r="BE284" s="257" t="n"/>
      <c r="BF284" s="258" t="n"/>
      <c r="BG284" s="89" t="n"/>
      <c r="BH2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84">
        <f>_xlfn.LET(r,ROW(),oc,INDEX($A:$A,r),cv,TRIM(INDEX($Y:$Y,r)&amp;""),IF(oc&lt;&gt;"P1","",IF(cv="45","V45 - novo, nao alimentado pelo spool atual","V44 - alimentado pelo spool atual")))</f>
        <v/>
      </c>
    </row>
    <row r="285" ht="54" customFormat="1" customHeight="1" s="91">
      <c r="A285" s="306" t="inlineStr">
        <is>
          <t>P1</t>
        </is>
      </c>
      <c r="B285" s="307" t="n">
        <v>50</v>
      </c>
      <c r="C285" s="269" t="inlineStr">
        <is>
          <t>07 - Caractéristiques Crédit Bail</t>
        </is>
      </c>
      <c r="D285" s="310" t="inlineStr">
        <is>
          <t>07 - Credit Lease characteristics</t>
        </is>
      </c>
      <c r="E285" s="307" t="inlineStr">
        <is>
          <t>P1 4.14</t>
        </is>
      </c>
      <c r="F285" s="448" t="inlineStr">
        <is>
          <t>Montant des loyers</t>
        </is>
      </c>
      <c r="G285" s="309" t="inlineStr">
        <is>
          <t>Amount of lease payments</t>
        </is>
      </c>
      <c r="H285" s="1493">
        <f>"RPAD( "&amp;SUBSTITUTE(SUBSTITUTE(E285," ","_"),".","_")&amp;","&amp;W285&amp;",' '); -- "&amp;E285</f>
        <v/>
      </c>
      <c r="I285" s="241" t="inlineStr">
        <is>
          <t>Loyers</t>
        </is>
      </c>
      <c r="J285" s="309" t="inlineStr">
        <is>
          <t>Lease payments</t>
        </is>
      </c>
      <c r="K285" s="370" t="inlineStr">
        <is>
          <t>ND</t>
        </is>
      </c>
      <c r="L285" s="371" t="inlineStr">
        <is>
          <t>ND</t>
        </is>
      </c>
      <c r="M285" s="1420" t="inlineStr">
        <is>
          <t>mtLoyers</t>
        </is>
      </c>
      <c r="N285" s="257" t="inlineStr">
        <is>
          <t>Obligatoire sous conditions</t>
        </is>
      </c>
      <c r="O285" s="236" t="inlineStr">
        <is>
          <t>Mandatory under conditions</t>
        </is>
      </c>
      <c r="P285" s="269" t="inlineStr">
        <is>
          <t>NA</t>
        </is>
      </c>
      <c r="Q285" s="269" t="inlineStr">
        <is>
          <t>NA</t>
        </is>
      </c>
      <c r="R285" s="241" t="inlineStr">
        <is>
          <t>NA</t>
        </is>
      </c>
      <c r="S285" s="233" t="inlineStr">
        <is>
          <t>NA</t>
        </is>
      </c>
      <c r="T285" s="313" t="inlineStr">
        <is>
          <t>NUM</t>
        </is>
      </c>
      <c r="U285" s="237" t="inlineStr">
        <is>
          <t>19 dont signe et 2 décimales</t>
        </is>
      </c>
      <c r="V285" s="238" t="inlineStr">
        <is>
          <t>19 including sign and 2 decimals</t>
        </is>
      </c>
      <c r="W285" s="257" t="n">
        <v>19</v>
      </c>
      <c r="X285" s="945" t="inlineStr">
        <is>
          <t>NA</t>
        </is>
      </c>
      <c r="Y285" s="237" t="n">
        <v>40</v>
      </c>
      <c r="Z285" s="237" t="inlineStr">
        <is>
          <t>NA</t>
        </is>
      </c>
      <c r="AA285" s="270" t="inlineStr">
        <is>
          <t>45.00</t>
        </is>
      </c>
      <c r="AB285" s="932" t="inlineStr">
        <is>
          <t>ANACREDIT, CALCULS PRUDENTIELS, CONGLOMERATS, DEI, ESG PILIER 3, GRR, LIQUIDITE, LOAN TAPE, OMP</t>
        </is>
      </c>
      <c r="AC285" s="231" t="inlineStr">
        <is>
          <t>ND</t>
        </is>
      </c>
      <c r="AD285" s="257" t="inlineStr">
        <is>
          <t>N</t>
        </is>
      </c>
      <c r="AE285" s="1265" t="inlineStr">
        <is>
          <t>TRE5XX</t>
        </is>
      </c>
      <c r="AF285" s="257" t="inlineStr">
        <is>
          <t>NA</t>
        </is>
      </c>
      <c r="AG285" s="258" t="inlineStr">
        <is>
          <t>NA</t>
        </is>
      </c>
      <c r="AH285" s="89" t="n"/>
      <c r="AI285" s="461" t="inlineStr">
        <is>
          <t>La donnée est obligatoire, si type de risque [P1 2.0] = 'TRE5*'</t>
        </is>
      </c>
      <c r="AJ285" s="317" t="inlineStr">
        <is>
          <t>The data is mandatory, if Risk type [P1 2.0] = 'TRE5*'</t>
        </is>
      </c>
      <c r="AK285" s="257" t="n">
        <v>7</v>
      </c>
      <c r="AL285" s="345" t="inlineStr">
        <is>
          <t>TPS0755</t>
        </is>
      </c>
      <c r="AM285" s="318" t="n"/>
      <c r="AN285" s="317" t="n"/>
      <c r="AO285" s="257" t="n"/>
      <c r="AP285" s="258" t="n"/>
      <c r="AQ285" s="445" t="inlineStr">
        <is>
          <t>Si renseignée, la donnée doit être positive (supérieure ou égale à 0)</t>
        </is>
      </c>
      <c r="AR285" s="317" t="inlineStr">
        <is>
          <t xml:space="preserve">If filled, data must be positive (greater or equal to 0) </t>
        </is>
      </c>
      <c r="AS285" s="257" t="n">
        <v>7</v>
      </c>
      <c r="AT285" s="345" t="inlineStr">
        <is>
          <t>TVG0001</t>
        </is>
      </c>
      <c r="AU285" s="318" t="n"/>
      <c r="AV285" s="317" t="n"/>
      <c r="AW285" s="257" t="n"/>
      <c r="AX285" s="258" t="n"/>
      <c r="AY285" s="318" t="n"/>
      <c r="AZ285" s="317" t="n"/>
      <c r="BA285" s="257" t="n"/>
      <c r="BB285" s="258" t="n"/>
      <c r="BC285" s="316" t="n"/>
      <c r="BD285" s="317" t="n"/>
      <c r="BE285" s="257" t="n"/>
      <c r="BF285" s="258" t="n"/>
      <c r="BG285" s="89" t="n"/>
      <c r="BH2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85">
        <f>_xlfn.LET(r,ROW(),oc,INDEX($A:$A,r),cv,TRIM(INDEX($Y:$Y,r)&amp;""),IF(oc&lt;&gt;"P1","",IF(cv="45","V45 - novo, nao alimentado pelo spool atual","V44 - alimentado pelo spool atual")))</f>
        <v/>
      </c>
    </row>
    <row r="286" ht="54" customFormat="1" customHeight="1" s="91">
      <c r="A286" s="306" t="inlineStr">
        <is>
          <t>P1</t>
        </is>
      </c>
      <c r="B286" s="307" t="n">
        <v>51</v>
      </c>
      <c r="C286" s="269" t="inlineStr">
        <is>
          <t>07 - Caractéristiques Crédit Bail</t>
        </is>
      </c>
      <c r="D286" s="310" t="inlineStr">
        <is>
          <t>07 - Credit Lease characteristics</t>
        </is>
      </c>
      <c r="E286" s="307" t="inlineStr">
        <is>
          <t>P1 4.15</t>
        </is>
      </c>
      <c r="F286" s="308" t="inlineStr">
        <is>
          <t>Devise d'origine des loyers</t>
        </is>
      </c>
      <c r="G286" s="309" t="inlineStr">
        <is>
          <t>Original currency of lease payments</t>
        </is>
      </c>
      <c r="H286" s="1493">
        <f>"RPAD( "&amp;SUBSTITUTE(SUBSTITUTE(E286," ","_"),".","_")&amp;","&amp;W286&amp;",' '); -- "&amp;E286</f>
        <v/>
      </c>
      <c r="I286" s="241" t="inlineStr">
        <is>
          <t>Devise d'origine des loyers</t>
        </is>
      </c>
      <c r="J286" s="309" t="inlineStr">
        <is>
          <t>Original currency of lease payments</t>
        </is>
      </c>
      <c r="K286" s="370" t="inlineStr">
        <is>
          <t>ND</t>
        </is>
      </c>
      <c r="L286" s="371" t="inlineStr">
        <is>
          <t>ND</t>
        </is>
      </c>
      <c r="M286" s="1420" t="inlineStr">
        <is>
          <t>cdDevMtLoyers</t>
        </is>
      </c>
      <c r="N286" s="257" t="inlineStr">
        <is>
          <t>Obligatoire sous conditions</t>
        </is>
      </c>
      <c r="O286" s="236" t="inlineStr">
        <is>
          <t>Mandatory under conditions</t>
        </is>
      </c>
      <c r="P286" s="269" t="inlineStr">
        <is>
          <t>LC.0005</t>
        </is>
      </c>
      <c r="Q286" s="269" t="inlineStr">
        <is>
          <t>TA NM253</t>
        </is>
      </c>
      <c r="R286" s="241" t="inlineStr">
        <is>
          <t>NA</t>
        </is>
      </c>
      <c r="S286" s="233" t="inlineStr">
        <is>
          <t>NA</t>
        </is>
      </c>
      <c r="T286" s="313" t="inlineStr">
        <is>
          <t>ALPHA</t>
        </is>
      </c>
      <c r="U286" s="237" t="inlineStr">
        <is>
          <t>NA</t>
        </is>
      </c>
      <c r="V286" s="238" t="inlineStr">
        <is>
          <t>NA</t>
        </is>
      </c>
      <c r="W286" s="257" t="n">
        <v>3</v>
      </c>
      <c r="X286" s="945" t="inlineStr">
        <is>
          <t>NA</t>
        </is>
      </c>
      <c r="Y286" s="237" t="n">
        <v>40</v>
      </c>
      <c r="Z286" s="237" t="inlineStr">
        <is>
          <t>NA</t>
        </is>
      </c>
      <c r="AA286" s="270" t="inlineStr">
        <is>
          <t>45.00</t>
        </is>
      </c>
      <c r="AB286" s="932" t="inlineStr">
        <is>
          <t>ANACREDIT, CALCULS PRUDENTIELS, CONGLOMERATS, DEI, ESG PILIER 3, GRR, LIQUIDITE, OMP</t>
        </is>
      </c>
      <c r="AC286" s="231" t="inlineStr">
        <is>
          <t>ND</t>
        </is>
      </c>
      <c r="AD286" s="257" t="inlineStr">
        <is>
          <t>N</t>
        </is>
      </c>
      <c r="AE286" s="1265" t="inlineStr">
        <is>
          <t>TRE5XX</t>
        </is>
      </c>
      <c r="AF286" s="257" t="inlineStr">
        <is>
          <t>NA</t>
        </is>
      </c>
      <c r="AG286" s="258" t="inlineStr">
        <is>
          <t>NA</t>
        </is>
      </c>
      <c r="AH286" s="89" t="n"/>
      <c r="AI286" s="461" t="inlineStr">
        <is>
          <t>La donnée est obligatoire, si Montant des loyers [P1 4.14] est renseigné</t>
        </is>
      </c>
      <c r="AJ286" s="317" t="inlineStr">
        <is>
          <t>The data is mandatory, if Amount of lease payments [P1 4.14] is filled</t>
        </is>
      </c>
      <c r="AK286" s="257" t="n">
        <v>7</v>
      </c>
      <c r="AL286" s="335" t="inlineStr">
        <is>
          <t>TPG0002</t>
        </is>
      </c>
      <c r="AM286" s="318" t="inlineStr">
        <is>
          <t>Si elle est renseignée, la valeur doit être connue du Langage Commun associé</t>
        </is>
      </c>
      <c r="AN286" s="317" t="inlineStr">
        <is>
          <t>If specified, the value must be known to the associated Common Language</t>
        </is>
      </c>
      <c r="AO286" s="257" t="n">
        <v>7</v>
      </c>
      <c r="AP286" s="212" t="inlineStr">
        <is>
          <t>TIG0001</t>
        </is>
      </c>
      <c r="AQ286" s="318" t="n"/>
      <c r="AR286" s="317" t="n"/>
      <c r="AS286" s="257" t="n"/>
      <c r="AT286" s="258" t="n"/>
      <c r="AU286" s="318" t="n"/>
      <c r="AV286" s="317" t="n"/>
      <c r="AW286" s="257" t="n"/>
      <c r="AX286" s="258" t="n"/>
      <c r="AY286" s="318" t="n"/>
      <c r="AZ286" s="317" t="n"/>
      <c r="BA286" s="257" t="n"/>
      <c r="BB286" s="258" t="n"/>
      <c r="BC286" s="316" t="n"/>
      <c r="BD286" s="317" t="n"/>
      <c r="BE286" s="257" t="n"/>
      <c r="BF286" s="258" t="n"/>
      <c r="BG286" s="89" t="n"/>
      <c r="BH2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86">
        <f>_xlfn.LET(r,ROW(),oc,INDEX($A:$A,r),cv,TRIM(INDEX($Y:$Y,r)&amp;""),IF(oc&lt;&gt;"P1","",IF(cv="45","V45 - novo, nao alimentado pelo spool atual","V44 - alimentado pelo spool atual")))</f>
        <v/>
      </c>
    </row>
    <row r="287" ht="54" customFormat="1" customHeight="1" s="91">
      <c r="A287" s="306" t="inlineStr">
        <is>
          <t>P1</t>
        </is>
      </c>
      <c r="B287" s="307" t="n">
        <v>52</v>
      </c>
      <c r="C287" s="269" t="inlineStr">
        <is>
          <t>07 - Caractéristiques Crédit Bail</t>
        </is>
      </c>
      <c r="D287" s="310" t="inlineStr">
        <is>
          <t>07 - Credit Lease characteristics</t>
        </is>
      </c>
      <c r="E287" s="307" t="inlineStr">
        <is>
          <t>P1 4.16</t>
        </is>
      </c>
      <c r="F287" s="462" t="inlineStr">
        <is>
          <t>Montant du nominal de l'engagement</t>
        </is>
      </c>
      <c r="G287" s="309" t="inlineStr">
        <is>
          <t>Commitment's nominal amount</t>
        </is>
      </c>
      <c r="H287" s="1493">
        <f>"RPAD( "&amp;SUBSTITUTE(SUBSTITUTE(E287," ","_"),".","_")&amp;","&amp;W287&amp;",' '); -- "&amp;E287</f>
        <v/>
      </c>
      <c r="I287" s="241" t="inlineStr">
        <is>
          <t>Montant du nominal de l'engagement</t>
        </is>
      </c>
      <c r="J287" s="309" t="inlineStr">
        <is>
          <t>Commitment's nominal amount</t>
        </is>
      </c>
      <c r="K287" s="370" t="inlineStr">
        <is>
          <t>ND</t>
        </is>
      </c>
      <c r="L287" s="371" t="inlineStr">
        <is>
          <t>ND</t>
        </is>
      </c>
      <c r="M287" s="1420" t="inlineStr">
        <is>
          <t>mtNomiEPS</t>
        </is>
      </c>
      <c r="N287" s="257" t="inlineStr">
        <is>
          <t>Obligatoire sous conditions</t>
        </is>
      </c>
      <c r="O287" s="310" t="inlineStr">
        <is>
          <t>Mandatory under conditions</t>
        </is>
      </c>
      <c r="P287" s="269" t="inlineStr">
        <is>
          <t>NA</t>
        </is>
      </c>
      <c r="Q287" s="269" t="inlineStr">
        <is>
          <t>NA</t>
        </is>
      </c>
      <c r="R287" s="241" t="inlineStr">
        <is>
          <t>Montant contractuel de l'engagement</t>
        </is>
      </c>
      <c r="S287" s="233" t="inlineStr">
        <is>
          <t>Contractual amount of the funds in use</t>
        </is>
      </c>
      <c r="T287" s="313" t="inlineStr">
        <is>
          <t>NUM</t>
        </is>
      </c>
      <c r="U287" s="237" t="inlineStr">
        <is>
          <t>19 dont signe et 2 décimales</t>
        </is>
      </c>
      <c r="V287" s="238" t="inlineStr">
        <is>
          <t>19 including sign and 2 decimals</t>
        </is>
      </c>
      <c r="W287" s="257" t="n">
        <v>19</v>
      </c>
      <c r="X287" s="945" t="inlineStr">
        <is>
          <t>NA</t>
        </is>
      </c>
      <c r="Y287" s="237" t="n">
        <v>40</v>
      </c>
      <c r="Z287" s="237" t="inlineStr">
        <is>
          <t>NA</t>
        </is>
      </c>
      <c r="AA287" s="270" t="inlineStr">
        <is>
          <t>45.00</t>
        </is>
      </c>
      <c r="AB287" s="932" t="inlineStr">
        <is>
          <t>ANACREDIT, CALCULS PRUDENTIELS, CONGLOMERATS, DEI, ESG PILIER 3, GRR, LIQUIDITE</t>
        </is>
      </c>
      <c r="AC287" s="231" t="inlineStr">
        <is>
          <t>ND</t>
        </is>
      </c>
      <c r="AD287" s="257" t="inlineStr">
        <is>
          <t>N</t>
        </is>
      </c>
      <c r="AE287" s="1265" t="inlineStr">
        <is>
          <t>SIG</t>
        </is>
      </c>
      <c r="AF287" s="257" t="inlineStr">
        <is>
          <t>NA</t>
        </is>
      </c>
      <c r="AG287" s="258" t="inlineStr">
        <is>
          <t>NA</t>
        </is>
      </c>
      <c r="AH287" s="89" t="n"/>
      <c r="AI287" s="408" t="inlineStr">
        <is>
          <t xml:space="preserve">La donnée est obligatoire si le type de risque [P1 2.0] = 'SIGxxx' </t>
        </is>
      </c>
      <c r="AJ287" s="317" t="inlineStr">
        <is>
          <t xml:space="preserve">The data is mandatory if risk type [P1 2.0] = 'SIGxxx' </t>
        </is>
      </c>
      <c r="AK287" s="257" t="n">
        <v>7</v>
      </c>
      <c r="AL287" s="463" t="inlineStr">
        <is>
          <t>TPS0756</t>
        </is>
      </c>
      <c r="AM287" s="318" t="n"/>
      <c r="AN287" s="317" t="n"/>
      <c r="AO287" s="257" t="n"/>
      <c r="AP287" s="258" t="n"/>
      <c r="AQ287" s="318" t="inlineStr">
        <is>
          <t>Si renseignée, la donnée doit être positive (supérieure ou égale à 0)</t>
        </is>
      </c>
      <c r="AR287" s="317" t="inlineStr">
        <is>
          <t xml:space="preserve">If filled, data must be positive (greater or equal to 0) </t>
        </is>
      </c>
      <c r="AS287" s="257" t="n">
        <v>7</v>
      </c>
      <c r="AT287" s="345" t="inlineStr">
        <is>
          <t>TVG0001</t>
        </is>
      </c>
      <c r="AU287" s="318" t="n"/>
      <c r="AV287" s="317" t="n"/>
      <c r="AW287" s="257" t="n"/>
      <c r="AX287" s="258" t="n"/>
      <c r="AY287" s="318" t="n"/>
      <c r="AZ287" s="317" t="n"/>
      <c r="BA287" s="257" t="n"/>
      <c r="BB287" s="258" t="n"/>
      <c r="BC287" s="316" t="n"/>
      <c r="BD287" s="317" t="n"/>
      <c r="BE287" s="257" t="n"/>
      <c r="BF287" s="258" t="n"/>
      <c r="BG287" s="89" t="n"/>
      <c r="BH2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87">
        <f>_xlfn.LET(r,ROW(),oc,INDEX($A:$A,r),cv,TRIM(INDEX($Y:$Y,r)&amp;""),IF(oc&lt;&gt;"P1","",IF(cv="45","V45 - novo, nao alimentado pelo spool atual","V44 - alimentado pelo spool atual")))</f>
        <v/>
      </c>
    </row>
    <row r="288" ht="54" customFormat="1" customHeight="1" s="91">
      <c r="A288" s="306" t="inlineStr">
        <is>
          <t>P1</t>
        </is>
      </c>
      <c r="B288" s="307" t="n">
        <v>53</v>
      </c>
      <c r="C288" s="269" t="inlineStr">
        <is>
          <t>07 - Caractéristiques Crédit Bail</t>
        </is>
      </c>
      <c r="D288" s="310" t="inlineStr">
        <is>
          <t>07 - Credit Lease characteristics</t>
        </is>
      </c>
      <c r="E288" s="307" t="inlineStr">
        <is>
          <t>P1 4.17</t>
        </is>
      </c>
      <c r="F288" s="308" t="inlineStr">
        <is>
          <t>Devise du nominal de l'engagement</t>
        </is>
      </c>
      <c r="G288" s="309" t="inlineStr">
        <is>
          <t>Currency of commitment's nominal amount</t>
        </is>
      </c>
      <c r="H288" s="1493">
        <f>"RPAD( "&amp;SUBSTITUTE(SUBSTITUTE(E288," ","_"),".","_")&amp;","&amp;W288&amp;",' '); -- "&amp;E288</f>
        <v/>
      </c>
      <c r="I288" s="241" t="inlineStr">
        <is>
          <t>Devise d'expression du nominal de l'engagement</t>
        </is>
      </c>
      <c r="J288" s="309" t="inlineStr">
        <is>
          <t>Currency in which the commitment's nominal amount is expressed</t>
        </is>
      </c>
      <c r="K288" s="370" t="inlineStr">
        <is>
          <t>ND</t>
        </is>
      </c>
      <c r="L288" s="371" t="inlineStr">
        <is>
          <t>ND</t>
        </is>
      </c>
      <c r="M288" s="1420" t="inlineStr">
        <is>
          <t>cdDevMtNomiEPS</t>
        </is>
      </c>
      <c r="N288" s="257" t="inlineStr">
        <is>
          <t>Obligatoire sous conditions</t>
        </is>
      </c>
      <c r="O288" s="310" t="inlineStr">
        <is>
          <t>Mandatory under conditions</t>
        </is>
      </c>
      <c r="P288" s="269" t="inlineStr">
        <is>
          <t>LC.0005</t>
        </is>
      </c>
      <c r="Q288" s="269" t="inlineStr">
        <is>
          <t>TA NM253</t>
        </is>
      </c>
      <c r="R288" s="241" t="inlineStr">
        <is>
          <t>NA</t>
        </is>
      </c>
      <c r="S288" s="233" t="inlineStr">
        <is>
          <t>NA</t>
        </is>
      </c>
      <c r="T288" s="313" t="inlineStr">
        <is>
          <t>ALPHA</t>
        </is>
      </c>
      <c r="U288" s="237" t="inlineStr">
        <is>
          <t>NA</t>
        </is>
      </c>
      <c r="V288" s="238" t="inlineStr">
        <is>
          <t>NA</t>
        </is>
      </c>
      <c r="W288" s="257" t="n">
        <v>3</v>
      </c>
      <c r="X288" s="945" t="inlineStr">
        <is>
          <t>NA</t>
        </is>
      </c>
      <c r="Y288" s="237" t="n">
        <v>40</v>
      </c>
      <c r="Z288" s="237" t="inlineStr">
        <is>
          <t>NA</t>
        </is>
      </c>
      <c r="AA288" s="270" t="inlineStr">
        <is>
          <t>45.00</t>
        </is>
      </c>
      <c r="AB288" s="932" t="inlineStr">
        <is>
          <t>ANACREDIT, CALCULS PRUDENTIELS, CONGLOMERATS, DEI, ESG PILIER 3, GRR, LIQUIDITE</t>
        </is>
      </c>
      <c r="AC288" s="231" t="inlineStr">
        <is>
          <t>ND</t>
        </is>
      </c>
      <c r="AD288" s="257" t="inlineStr">
        <is>
          <t>N</t>
        </is>
      </c>
      <c r="AE288" s="1265" t="inlineStr">
        <is>
          <t>SIG</t>
        </is>
      </c>
      <c r="AF288" s="257" t="inlineStr">
        <is>
          <t>NA</t>
        </is>
      </c>
      <c r="AG288" s="258" t="inlineStr">
        <is>
          <t>NA</t>
        </is>
      </c>
      <c r="AH288" s="89" t="n"/>
      <c r="AI288" s="316" t="inlineStr">
        <is>
          <t>La donnée est obligatoire si le Montant du nominal de l'engagement [P1 4.16] est renseigné</t>
        </is>
      </c>
      <c r="AJ288" s="317" t="inlineStr">
        <is>
          <t>The data is mandatory if the Commitment's nominal amount [P1 4.16] is filled</t>
        </is>
      </c>
      <c r="AK288" s="257" t="n">
        <v>7</v>
      </c>
      <c r="AL288" s="335" t="inlineStr">
        <is>
          <t>TPG0002</t>
        </is>
      </c>
      <c r="AM288" s="452" t="inlineStr">
        <is>
          <t>Si elle est renseignée, la valeur doit être connue du Langage Commun associé</t>
        </is>
      </c>
      <c r="AN288" s="377" t="inlineStr">
        <is>
          <t>If specified, the value must be known to the associated Common Language</t>
        </is>
      </c>
      <c r="AO288" s="257" t="n">
        <v>7</v>
      </c>
      <c r="AP288" s="212" t="inlineStr">
        <is>
          <t>TIG0001</t>
        </is>
      </c>
      <c r="AQ288" s="318" t="n"/>
      <c r="AR288" s="317" t="n"/>
      <c r="AS288" s="257" t="n"/>
      <c r="AT288" s="258" t="n"/>
      <c r="AU288" s="318" t="n"/>
      <c r="AV288" s="317" t="n"/>
      <c r="AW288" s="257" t="n"/>
      <c r="AX288" s="258" t="n"/>
      <c r="AY288" s="318" t="n"/>
      <c r="AZ288" s="317" t="n"/>
      <c r="BA288" s="257" t="n"/>
      <c r="BB288" s="258" t="n"/>
      <c r="BC288" s="316" t="n"/>
      <c r="BD288" s="317" t="n"/>
      <c r="BE288" s="257" t="n"/>
      <c r="BF288" s="258" t="n"/>
      <c r="BG288" s="89" t="n"/>
      <c r="BH2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88">
        <f>_xlfn.LET(r,ROW(),oc,INDEX($A:$A,r),cv,TRIM(INDEX($Y:$Y,r)&amp;""),IF(oc&lt;&gt;"P1","",IF(cv="45","V45 - novo, nao alimentado pelo spool atual","V44 - alimentado pelo spool atual")))</f>
        <v/>
      </c>
    </row>
    <row r="289" ht="54" customFormat="1" customHeight="1" s="57">
      <c r="A289" s="325" t="inlineStr">
        <is>
          <t>P1</t>
        </is>
      </c>
      <c r="B289" s="326" t="n">
        <v>54</v>
      </c>
      <c r="C289" s="284" t="inlineStr">
        <is>
          <t xml:space="preserve">19 - Données comptables </t>
        </is>
      </c>
      <c r="D289" s="284" t="inlineStr">
        <is>
          <t>19 - Accounting data</t>
        </is>
      </c>
      <c r="E289" s="326" t="inlineStr">
        <is>
          <t>P1 4.18</t>
        </is>
      </c>
      <c r="F289" s="327" t="inlineStr">
        <is>
          <t>Zone libre (Ex PCCO du montant demandé)</t>
        </is>
      </c>
      <c r="G289" s="327" t="inlineStr">
        <is>
          <t>Free zone (Ex PCCO of declared amount)</t>
        </is>
      </c>
      <c r="H289" s="1493">
        <f>"RPAD( "&amp;SUBSTITUTE(SUBSTITUTE(E289," ","_"),".","_")&amp;","&amp;W289&amp;",' '); -- "&amp;E289</f>
        <v/>
      </c>
      <c r="I289" s="329" t="inlineStr">
        <is>
          <t>Zone libre</t>
        </is>
      </c>
      <c r="J289" s="329" t="inlineStr">
        <is>
          <t>Free zone</t>
        </is>
      </c>
      <c r="K289" s="328" t="inlineStr">
        <is>
          <t>NA</t>
        </is>
      </c>
      <c r="L289" s="328" t="inlineStr">
        <is>
          <t>NA</t>
        </is>
      </c>
      <c r="M289" s="1421" t="inlineStr">
        <is>
          <t>ZoneLibre418</t>
        </is>
      </c>
      <c r="N289" s="284" t="inlineStr">
        <is>
          <t>NA</t>
        </is>
      </c>
      <c r="O289" s="244" t="inlineStr">
        <is>
          <t>NA</t>
        </is>
      </c>
      <c r="P289" s="284" t="inlineStr">
        <is>
          <t>NA</t>
        </is>
      </c>
      <c r="Q289" s="284" t="inlineStr">
        <is>
          <t>NA</t>
        </is>
      </c>
      <c r="R289" s="412" t="inlineStr">
        <is>
          <t>Laisser à vide</t>
        </is>
      </c>
      <c r="S289" s="245" t="inlineStr">
        <is>
          <t>Leave empty</t>
        </is>
      </c>
      <c r="T289" s="333" t="inlineStr">
        <is>
          <t>ALPHA</t>
        </is>
      </c>
      <c r="U289" s="256" t="inlineStr">
        <is>
          <t>NA</t>
        </is>
      </c>
      <c r="V289" s="256" t="inlineStr">
        <is>
          <t>NA</t>
        </is>
      </c>
      <c r="W289" s="328" t="n">
        <v>12</v>
      </c>
      <c r="X289" s="244" t="inlineStr">
        <is>
          <t>NA</t>
        </is>
      </c>
      <c r="Y289" s="248" t="inlineStr">
        <is>
          <t>NA</t>
        </is>
      </c>
      <c r="Z289" s="248" t="inlineStr">
        <is>
          <t>NA</t>
        </is>
      </c>
      <c r="AA289" s="248" t="inlineStr">
        <is>
          <t>NA</t>
        </is>
      </c>
      <c r="AB289" s="284" t="inlineStr">
        <is>
          <t>NA</t>
        </is>
      </c>
      <c r="AC289" s="244" t="inlineStr">
        <is>
          <t>NA</t>
        </is>
      </c>
      <c r="AD289" s="284" t="inlineStr">
        <is>
          <t>N</t>
        </is>
      </c>
      <c r="AE289" s="284" t="inlineStr">
        <is>
          <t>NA</t>
        </is>
      </c>
      <c r="AF289" s="284" t="inlineStr">
        <is>
          <t>NA</t>
        </is>
      </c>
      <c r="AG289" s="285" t="inlineStr">
        <is>
          <t>NA</t>
        </is>
      </c>
      <c r="AH289" s="89" t="n"/>
      <c r="AI289" s="330" t="n"/>
      <c r="AJ289" s="331" t="n"/>
      <c r="AK289" s="284" t="n"/>
      <c r="AL289" s="285" t="n"/>
      <c r="AM289" s="331" t="n"/>
      <c r="AN289" s="331" t="n"/>
      <c r="AO289" s="284" t="n"/>
      <c r="AP289" s="285" t="n"/>
      <c r="AQ289" s="331" t="n"/>
      <c r="AR289" s="331" t="n"/>
      <c r="AS289" s="284" t="n"/>
      <c r="AT289" s="285" t="n"/>
      <c r="AU289" s="331" t="n"/>
      <c r="AV289" s="331" t="n"/>
      <c r="AW289" s="284" t="n"/>
      <c r="AX289" s="285" t="n"/>
      <c r="AY289" s="331" t="n"/>
      <c r="AZ289" s="331" t="n"/>
      <c r="BA289" s="284" t="n"/>
      <c r="BB289" s="285" t="n"/>
      <c r="BC289" s="330" t="n"/>
      <c r="BD289" s="331" t="n"/>
      <c r="BE289" s="284" t="n"/>
      <c r="BF289" s="285" t="n"/>
      <c r="BG289" s="89" t="n"/>
      <c r="BH2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89">
        <f>_xlfn.LET(r,ROW(),oc,INDEX($A:$A,r),cv,TRIM(INDEX($Y:$Y,r)&amp;""),IF(oc&lt;&gt;"P1","",IF(cv="45","V45 - novo, nao alimentado pelo spool atual","V44 - alimentado pelo spool atual")))</f>
        <v/>
      </c>
    </row>
    <row r="290" ht="54" customFormat="1" customHeight="1" s="91">
      <c r="A290" s="306" t="inlineStr">
        <is>
          <t>P1</t>
        </is>
      </c>
      <c r="B290" s="307" t="n">
        <v>55</v>
      </c>
      <c r="C290" s="269" t="inlineStr">
        <is>
          <t>03 - Caractéristiques Générales</t>
        </is>
      </c>
      <c r="D290" s="310" t="inlineStr">
        <is>
          <t>03 - General characteristics</t>
        </is>
      </c>
      <c r="E290" s="307" t="inlineStr">
        <is>
          <t>P1 4.6</t>
        </is>
      </c>
      <c r="F290" s="308" t="inlineStr">
        <is>
          <t>Montant des intérêts restant dus</t>
        </is>
      </c>
      <c r="G290" s="309" t="inlineStr">
        <is>
          <t>Amount of interest outstanding</t>
        </is>
      </c>
      <c r="H290" s="1493">
        <f>"RPAD( "&amp;SUBSTITUTE(SUBSTITUTE(E290," ","_"),".","_")&amp;","&amp;W290&amp;",' '); -- "&amp;E290</f>
        <v/>
      </c>
      <c r="I290" s="308" t="inlineStr">
        <is>
          <t>Montant des intérêts restant dus</t>
        </is>
      </c>
      <c r="J290" s="309" t="inlineStr">
        <is>
          <t>Amount of interest outstanding</t>
        </is>
      </c>
      <c r="K290" s="370" t="inlineStr">
        <is>
          <t>ND</t>
        </is>
      </c>
      <c r="L290" s="371" t="inlineStr">
        <is>
          <t>ND</t>
        </is>
      </c>
      <c r="M290" s="1420" t="inlineStr">
        <is>
          <t>mtIntResDu</t>
        </is>
      </c>
      <c r="N290" s="231" t="inlineStr">
        <is>
          <t>Obligatoire sous conditions</t>
        </is>
      </c>
      <c r="O290" s="236" t="inlineStr">
        <is>
          <t>Mandatory under conditions</t>
        </is>
      </c>
      <c r="P290" s="269" t="inlineStr">
        <is>
          <t>NA</t>
        </is>
      </c>
      <c r="Q290" s="269" t="inlineStr">
        <is>
          <t>NA</t>
        </is>
      </c>
      <c r="R290" s="976" t="inlineStr">
        <is>
          <t>Pour le type de risques (TRE2 à 4XX hors 203,205-207), ce sont les intérêts restant dus, échus (cas impayés) ou non échus (cas sans impayés), enregistrés comptablement en "créances rattachées".
Pour le type de risques SIG : Commissions d'engagements</t>
        </is>
      </c>
      <c r="S290" s="233" t="inlineStr">
        <is>
          <t>For the type of risk (TRE2 to 4XX excluding 203,205-207), it is the interest remaining due, due (unpaid payment incidents case) or not due (case without unpaid payment incidents), which is accounted for in "connected debts".
For the GIS risk type: Funds in use commissions</t>
        </is>
      </c>
      <c r="T290" s="313" t="inlineStr">
        <is>
          <t>NUM</t>
        </is>
      </c>
      <c r="U290" s="237" t="inlineStr">
        <is>
          <t>19 dont signe et 2 décimales</t>
        </is>
      </c>
      <c r="V290" s="238" t="inlineStr">
        <is>
          <t>19 including sign and 2 decimals</t>
        </is>
      </c>
      <c r="W290" s="257" t="n">
        <v>19</v>
      </c>
      <c r="X290" s="945" t="inlineStr">
        <is>
          <t>NA</t>
        </is>
      </c>
      <c r="Y290" s="237" t="n">
        <v>40</v>
      </c>
      <c r="Z290" s="237" t="inlineStr">
        <is>
          <t>NA</t>
        </is>
      </c>
      <c r="AA290" s="270" t="inlineStr">
        <is>
          <t>45.00</t>
        </is>
      </c>
      <c r="AB290" s="994" t="inlineStr">
        <is>
          <t>AER, ANACREDIT, CALCULS PRUDENTIELS, DEI, ESG PILIER 3, GRR, LOAN TAPE, PALMA, SHS</t>
        </is>
      </c>
      <c r="AC290" s="231" t="inlineStr">
        <is>
          <t>ND</t>
        </is>
      </c>
      <c r="AD290" s="257" t="inlineStr">
        <is>
          <t>N</t>
        </is>
      </c>
      <c r="AE290" s="257" t="inlineStr">
        <is>
          <t>TRE2 à 4XX hors 203,205,206,207
TRE5XX
SIG</t>
        </is>
      </c>
      <c r="AF290" s="257" t="inlineStr">
        <is>
          <t>NA</t>
        </is>
      </c>
      <c r="AG290" s="258" t="inlineStr">
        <is>
          <t>NA</t>
        </is>
      </c>
      <c r="AH290" s="89" t="n"/>
      <c r="AI290" s="1057" t="inlineStr">
        <is>
          <t>La donnée est obligatoire si le type de risque [P1 2.0] = 'TRE2xx à TRE4xx, SIGxx (sauf TRE203, TRE205, TRE206, TRE207)'</t>
        </is>
      </c>
      <c r="AJ290" s="317" t="inlineStr">
        <is>
          <t>The data is mandatory if Risk type [P1 2.0] = 'TRE2xx to TRE4xx, SIGxx (except TRE203, TRE205, TRE206, TRE207)'</t>
        </is>
      </c>
      <c r="AK290" s="257" t="n">
        <v>7</v>
      </c>
      <c r="AL290" s="464" t="inlineStr">
        <is>
          <t>TPS0952</t>
        </is>
      </c>
      <c r="AM290" s="318" t="n"/>
      <c r="AN290" s="465" t="n"/>
      <c r="AO290" s="317" t="n"/>
      <c r="AP290" s="258" t="n"/>
      <c r="AQ290" s="1243" t="inlineStr">
        <is>
          <t>Si renseignée, la donnée doit être positive (supérieure ou égale à 0)
---
Si renseignée ET si Indicateur Arriéré de paiement [P1 5.5] = 'N', alors la donnée doit être strictement positive</t>
        </is>
      </c>
      <c r="AR290" s="931" t="inlineStr">
        <is>
          <t>If filled, data must be positive (greater or equal to 0)
---
If filled in AND if Payment Arrears indicator [P1 5.5] = 'N', then the data must be strictly positive</t>
        </is>
      </c>
      <c r="AS290" s="958" t="n">
        <v>7</v>
      </c>
      <c r="AT290" s="1244" t="inlineStr">
        <is>
          <t>TVG0001
TVSxxxx</t>
        </is>
      </c>
      <c r="AU290" s="318" t="n"/>
      <c r="AV290" s="317" t="n"/>
      <c r="AW290" s="257" t="n"/>
      <c r="AX290" s="258" t="n"/>
      <c r="AY290" s="318" t="n"/>
      <c r="AZ290" s="317" t="n"/>
      <c r="BA290" s="257" t="n"/>
      <c r="BB290" s="258" t="n"/>
      <c r="BC290" s="316" t="n"/>
      <c r="BD290" s="317" t="n"/>
      <c r="BE290" s="257" t="n"/>
      <c r="BF290" s="258" t="n"/>
      <c r="BG290" s="89" t="n"/>
      <c r="BH2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90">
        <f>_xlfn.LET(r,ROW(),oc,INDEX($A:$A,r),cv,TRIM(INDEX($Y:$Y,r)&amp;""),IF(oc&lt;&gt;"P1","",IF(cv="45","V45 - novo, nao alimentado pelo spool atual","V44 - alimentado pelo spool atual")))</f>
        <v/>
      </c>
    </row>
    <row r="291" ht="54" customFormat="1" customHeight="1" s="91">
      <c r="A291" s="306" t="inlineStr">
        <is>
          <t>P1</t>
        </is>
      </c>
      <c r="B291" s="307" t="n">
        <v>56</v>
      </c>
      <c r="C291" s="269" t="inlineStr">
        <is>
          <t>03 - Caractéristiques Générales</t>
        </is>
      </c>
      <c r="D291" s="310" t="inlineStr">
        <is>
          <t>03 - General characteristics</t>
        </is>
      </c>
      <c r="E291" s="307" t="inlineStr">
        <is>
          <t>P1 4.7</t>
        </is>
      </c>
      <c r="F291" s="1032" t="inlineStr">
        <is>
          <t>Devise du montant des intérêts restant dus</t>
        </is>
      </c>
      <c r="G291" s="309" t="inlineStr">
        <is>
          <t>Currency of amount of interest outstanding</t>
        </is>
      </c>
      <c r="H291" s="1493">
        <f>"RPAD( "&amp;SUBSTITUTE(SUBSTITUTE(E291," ","_"),".","_")&amp;","&amp;W291&amp;",' '); -- "&amp;E291</f>
        <v/>
      </c>
      <c r="I291" s="241" t="inlineStr">
        <is>
          <t>Devise d'expression des intérêts restant dus</t>
        </is>
      </c>
      <c r="J291" s="309" t="inlineStr">
        <is>
          <t>Currency in which outstanding interest is denominated</t>
        </is>
      </c>
      <c r="K291" s="370" t="inlineStr">
        <is>
          <t>ND</t>
        </is>
      </c>
      <c r="L291" s="371" t="inlineStr">
        <is>
          <t>ND</t>
        </is>
      </c>
      <c r="M291" s="1420" t="inlineStr">
        <is>
          <t>cdDevMtIntResDu</t>
        </is>
      </c>
      <c r="N291" s="257" t="inlineStr">
        <is>
          <t>Obligatoire sous conditions</t>
        </is>
      </c>
      <c r="O291" s="236" t="inlineStr">
        <is>
          <t>Mandatory under conditions</t>
        </is>
      </c>
      <c r="P291" s="269" t="inlineStr">
        <is>
          <t>LC.0005</t>
        </is>
      </c>
      <c r="Q291" s="269" t="inlineStr">
        <is>
          <t>TA NM253</t>
        </is>
      </c>
      <c r="R291" s="241" t="inlineStr">
        <is>
          <t>NA</t>
        </is>
      </c>
      <c r="S291" s="233" t="inlineStr">
        <is>
          <t>NA</t>
        </is>
      </c>
      <c r="T291" s="313" t="inlineStr">
        <is>
          <t>ALPHA</t>
        </is>
      </c>
      <c r="U291" s="237" t="inlineStr">
        <is>
          <t>NA</t>
        </is>
      </c>
      <c r="V291" s="238" t="inlineStr">
        <is>
          <t>NA</t>
        </is>
      </c>
      <c r="W291" s="257" t="n">
        <v>3</v>
      </c>
      <c r="X291" s="945" t="inlineStr">
        <is>
          <t>NA</t>
        </is>
      </c>
      <c r="Y291" s="237" t="n">
        <v>40</v>
      </c>
      <c r="Z291" s="237" t="inlineStr">
        <is>
          <t>NA</t>
        </is>
      </c>
      <c r="AA291" s="270" t="inlineStr">
        <is>
          <t>NA</t>
        </is>
      </c>
      <c r="AB291" s="994" t="inlineStr">
        <is>
          <t>AER, ANACREDIT, CALCULS PRUDENTIELS, DEI, ESG PILIER 3, GRR, LOAN TAPE, PALMA, SHS</t>
        </is>
      </c>
      <c r="AC291" s="231" t="inlineStr">
        <is>
          <t>ND</t>
        </is>
      </c>
      <c r="AD291" s="257" t="inlineStr">
        <is>
          <t>N</t>
        </is>
      </c>
      <c r="AE291" s="257" t="inlineStr">
        <is>
          <t>TRE2 à 4XX hors 203,205,206,207
SIG</t>
        </is>
      </c>
      <c r="AF291" s="257" t="inlineStr">
        <is>
          <t>NA</t>
        </is>
      </c>
      <c r="AG291" s="258" t="inlineStr">
        <is>
          <t>NA</t>
        </is>
      </c>
      <c r="AH291" s="89" t="n"/>
      <c r="AI291" s="466" t="inlineStr">
        <is>
          <t xml:space="preserve">La donnée est obligatoire si le Montant des intérêts restant dus [P1 4.6] est renseigné
</t>
        </is>
      </c>
      <c r="AJ291" s="467" t="inlineStr">
        <is>
          <t>The data is mandatory if the Amount of interest outstanding [P1 4.6] is filled</t>
        </is>
      </c>
      <c r="AK291" s="344" t="n">
        <v>7</v>
      </c>
      <c r="AL291" s="335" t="inlineStr">
        <is>
          <t>TPG0002</t>
        </is>
      </c>
      <c r="AM291" s="318" t="inlineStr">
        <is>
          <t>Si elle est renseignée, la valeur doit être connue du Langage Commun associé</t>
        </is>
      </c>
      <c r="AN291" s="317" t="inlineStr">
        <is>
          <t>If specified, the value must be known to the associated Common Language</t>
        </is>
      </c>
      <c r="AO291" s="257" t="n">
        <v>7</v>
      </c>
      <c r="AP291" s="212" t="inlineStr">
        <is>
          <t>TIG0001</t>
        </is>
      </c>
      <c r="AQ291" s="318" t="n"/>
      <c r="AR291" s="317" t="n"/>
      <c r="AS291" s="257" t="n"/>
      <c r="AT291" s="258" t="n"/>
      <c r="AU291" s="318" t="n"/>
      <c r="AV291" s="317" t="n"/>
      <c r="AW291" s="257" t="n"/>
      <c r="AX291" s="258" t="n"/>
      <c r="AY291" s="318" t="n"/>
      <c r="AZ291" s="317" t="n"/>
      <c r="BA291" s="257" t="n"/>
      <c r="BB291" s="258" t="n"/>
      <c r="BC291" s="316" t="n"/>
      <c r="BD291" s="317" t="n"/>
      <c r="BE291" s="257" t="n"/>
      <c r="BF291" s="258" t="n"/>
      <c r="BG291" s="89" t="n"/>
      <c r="BH2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91">
        <f>_xlfn.LET(r,ROW(),oc,INDEX($A:$A,r),cv,TRIM(INDEX($Y:$Y,r)&amp;""),IF(oc&lt;&gt;"P1","",IF(cv="45","V45 - novo, nao alimentado pelo spool atual","V44 - alimentado pelo spool atual")))</f>
        <v/>
      </c>
    </row>
    <row r="292" ht="54" customFormat="1" customHeight="1" s="57">
      <c r="A292" s="325" t="inlineStr">
        <is>
          <t>P1</t>
        </is>
      </c>
      <c r="B292" s="326" t="n">
        <v>57</v>
      </c>
      <c r="C292" s="284" t="inlineStr">
        <is>
          <t xml:space="preserve">19 - Données comptables </t>
        </is>
      </c>
      <c r="D292" s="284" t="inlineStr">
        <is>
          <t>19 - Accounting data</t>
        </is>
      </c>
      <c r="E292" s="326" t="inlineStr">
        <is>
          <t>P1 4.19</t>
        </is>
      </c>
      <c r="F292" s="327" t="inlineStr">
        <is>
          <t>Zone libre (Ex PCCO – des intérêts restant dus)</t>
        </is>
      </c>
      <c r="G292" s="327" t="inlineStr">
        <is>
          <t>Free zone (Ex PCCO - of interest outstanding)</t>
        </is>
      </c>
      <c r="H292" s="1493">
        <f>"RPAD( "&amp;SUBSTITUTE(SUBSTITUTE(E292," ","_"),".","_")&amp;","&amp;W292&amp;",' '); -- "&amp;E292</f>
        <v/>
      </c>
      <c r="I292" s="329" t="inlineStr">
        <is>
          <t>Zone Libre</t>
        </is>
      </c>
      <c r="J292" s="329" t="inlineStr">
        <is>
          <t>Free zone</t>
        </is>
      </c>
      <c r="K292" s="328" t="inlineStr">
        <is>
          <t>NA</t>
        </is>
      </c>
      <c r="L292" s="328" t="inlineStr">
        <is>
          <t>NA</t>
        </is>
      </c>
      <c r="M292" s="1421" t="inlineStr">
        <is>
          <t>ZoneLibre419</t>
        </is>
      </c>
      <c r="N292" s="284" t="inlineStr">
        <is>
          <t>NA</t>
        </is>
      </c>
      <c r="O292" s="244" t="inlineStr">
        <is>
          <t>NA</t>
        </is>
      </c>
      <c r="P292" s="284" t="inlineStr">
        <is>
          <t>NA</t>
        </is>
      </c>
      <c r="Q292" s="284" t="inlineStr">
        <is>
          <t>NA</t>
        </is>
      </c>
      <c r="R292" s="412" t="inlineStr">
        <is>
          <t>Laisser à vide</t>
        </is>
      </c>
      <c r="S292" s="245" t="inlineStr">
        <is>
          <t>Leave empty</t>
        </is>
      </c>
      <c r="T292" s="333" t="inlineStr">
        <is>
          <t>ALPHA</t>
        </is>
      </c>
      <c r="U292" s="256" t="inlineStr">
        <is>
          <t>NA</t>
        </is>
      </c>
      <c r="V292" s="256" t="inlineStr">
        <is>
          <t>NA</t>
        </is>
      </c>
      <c r="W292" s="328" t="n">
        <v>12</v>
      </c>
      <c r="X292" s="244" t="inlineStr">
        <is>
          <t>NA</t>
        </is>
      </c>
      <c r="Y292" s="248" t="inlineStr">
        <is>
          <t>NA</t>
        </is>
      </c>
      <c r="Z292" s="248" t="inlineStr">
        <is>
          <t>NA</t>
        </is>
      </c>
      <c r="AA292" s="248" t="inlineStr">
        <is>
          <t>NA</t>
        </is>
      </c>
      <c r="AB292" s="284" t="inlineStr">
        <is>
          <t>NA</t>
        </is>
      </c>
      <c r="AC292" s="244" t="inlineStr">
        <is>
          <t>NA</t>
        </is>
      </c>
      <c r="AD292" s="284" t="inlineStr">
        <is>
          <t>N</t>
        </is>
      </c>
      <c r="AE292" s="284" t="inlineStr">
        <is>
          <t xml:space="preserve">EQU101
</t>
        </is>
      </c>
      <c r="AF292" s="284" t="inlineStr">
        <is>
          <t>NA</t>
        </is>
      </c>
      <c r="AG292" s="285" t="inlineStr">
        <is>
          <t>NA</t>
        </is>
      </c>
      <c r="AH292" s="89" t="n"/>
      <c r="AI292" s="330" t="n"/>
      <c r="AJ292" s="331" t="n"/>
      <c r="AK292" s="284" t="n"/>
      <c r="AL292" s="285" t="n"/>
      <c r="AM292" s="331" t="n"/>
      <c r="AN292" s="331" t="n"/>
      <c r="AO292" s="284" t="n"/>
      <c r="AP292" s="285" t="n"/>
      <c r="AQ292" s="331" t="n"/>
      <c r="AR292" s="331" t="n"/>
      <c r="AS292" s="284" t="n"/>
      <c r="AT292" s="285" t="n"/>
      <c r="AU292" s="331" t="n"/>
      <c r="AV292" s="331" t="n"/>
      <c r="AW292" s="284" t="n"/>
      <c r="AX292" s="285" t="n"/>
      <c r="AY292" s="331" t="n"/>
      <c r="AZ292" s="331" t="n"/>
      <c r="BA292" s="284" t="n"/>
      <c r="BB292" s="285" t="n"/>
      <c r="BC292" s="330" t="n"/>
      <c r="BD292" s="331" t="n"/>
      <c r="BE292" s="284" t="n"/>
      <c r="BF292" s="285" t="n"/>
      <c r="BG292" s="89" t="n"/>
      <c r="BH2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92">
        <f>_xlfn.LET(r,ROW(),oc,INDEX($A:$A,r),cv,TRIM(INDEX($Y:$Y,r)&amp;""),IF(oc&lt;&gt;"P1","",IF(cv="45","V45 - novo, nao alimentado pelo spool atual","V44 - alimentado pelo spool atual")))</f>
        <v/>
      </c>
    </row>
    <row r="293" ht="54" customFormat="1" customHeight="1" s="91">
      <c r="A293" s="306" t="inlineStr">
        <is>
          <t>P1</t>
        </is>
      </c>
      <c r="B293" s="307" t="n">
        <v>58</v>
      </c>
      <c r="C293" s="269" t="inlineStr">
        <is>
          <t>22 - Caractéristiques de taux</t>
        </is>
      </c>
      <c r="D293" s="310" t="inlineStr">
        <is>
          <t>22 - Rate characteristics</t>
        </is>
      </c>
      <c r="E293" s="307" t="inlineStr">
        <is>
          <t>P1 4.20</t>
        </is>
      </c>
      <c r="F293" s="468" t="inlineStr">
        <is>
          <t>Taux facial du prêt fixe</t>
        </is>
      </c>
      <c r="G293" s="309" t="inlineStr">
        <is>
          <t>Nominal interest rate of fixed-rate loan</t>
        </is>
      </c>
      <c r="H293" s="1493">
        <f>"RPAD( "&amp;SUBSTITUTE(SUBSTITUTE(E293," ","_"),".","_")&amp;","&amp;W293&amp;",' '); -- "&amp;E293</f>
        <v/>
      </c>
      <c r="I293" s="1248" t="inlineStr">
        <is>
          <t>Taux facial du prêt fixe
Exprimé en %</t>
        </is>
      </c>
      <c r="J293" s="309" t="inlineStr">
        <is>
          <t>Nominal interest rate of fixed-rate loan
Expressed as %</t>
        </is>
      </c>
      <c r="K293" s="370" t="inlineStr">
        <is>
          <t>ND</t>
        </is>
      </c>
      <c r="L293" s="371" t="inlineStr">
        <is>
          <t>ND</t>
        </is>
      </c>
      <c r="M293" s="1420" t="inlineStr">
        <is>
          <t>txFacPretFix</t>
        </is>
      </c>
      <c r="N293" s="257" t="inlineStr">
        <is>
          <t>Facultatif</t>
        </is>
      </c>
      <c r="O293" s="236" t="inlineStr">
        <is>
          <t>Optional</t>
        </is>
      </c>
      <c r="P293" s="269" t="inlineStr">
        <is>
          <t>NA</t>
        </is>
      </c>
      <c r="Q293" s="269" t="inlineStr">
        <is>
          <t>NA</t>
        </is>
      </c>
      <c r="R293" s="241" t="inlineStr">
        <is>
          <t>Le taux facial du prêt fixe sera renseigné à vide si taux variable ou révisable</t>
        </is>
      </c>
      <c r="S293" s="233" t="inlineStr">
        <is>
          <t>The fixed loan face rate will be empty if floating rate or variable</t>
        </is>
      </c>
      <c r="T293" s="313" t="inlineStr">
        <is>
          <t>NUM</t>
        </is>
      </c>
      <c r="U293" s="237" t="inlineStr">
        <is>
          <t>10 dont signe et 5 décimales</t>
        </is>
      </c>
      <c r="V293" s="238" t="inlineStr">
        <is>
          <t>10 including sign and 5 decimals</t>
        </is>
      </c>
      <c r="W293" s="257" t="n">
        <v>10</v>
      </c>
      <c r="X293" s="945" t="inlineStr">
        <is>
          <t>NA</t>
        </is>
      </c>
      <c r="Y293" s="237" t="n">
        <v>40</v>
      </c>
      <c r="Z293" s="237" t="inlineStr">
        <is>
          <t>NA</t>
        </is>
      </c>
      <c r="AA293" s="283" t="inlineStr">
        <is>
          <t>NA</t>
        </is>
      </c>
      <c r="AB293" s="269" t="inlineStr">
        <is>
          <t>DEI</t>
        </is>
      </c>
      <c r="AC293" s="231" t="inlineStr">
        <is>
          <t>ND</t>
        </is>
      </c>
      <c r="AD293" s="257" t="inlineStr">
        <is>
          <t>N</t>
        </is>
      </c>
      <c r="AE293" s="257" t="inlineStr">
        <is>
          <t xml:space="preserve">TRE2 à 4XX hors 203,205,206,207
</t>
        </is>
      </c>
      <c r="AF293" s="257" t="inlineStr">
        <is>
          <t>NA</t>
        </is>
      </c>
      <c r="AG293" s="258" t="inlineStr">
        <is>
          <t>NA</t>
        </is>
      </c>
      <c r="AH293" s="89" t="n"/>
      <c r="AI293" s="316" t="n"/>
      <c r="AJ293" s="317" t="n"/>
      <c r="AK293" s="257" t="n"/>
      <c r="AL293" s="258" t="n"/>
      <c r="AM293" s="318" t="n"/>
      <c r="AN293" s="317" t="n"/>
      <c r="AO293" s="257" t="n"/>
      <c r="AP293" s="258" t="n"/>
      <c r="AQ293" s="436" t="n"/>
      <c r="AR293" s="317" t="n"/>
      <c r="AS293" s="257" t="n"/>
      <c r="AT293" s="469" t="n"/>
      <c r="AU293" s="318" t="n"/>
      <c r="AV293" s="317" t="n"/>
      <c r="AW293" s="257" t="n"/>
      <c r="AX293" s="258" t="n"/>
      <c r="AY293" s="318" t="n"/>
      <c r="AZ293" s="317" t="n"/>
      <c r="BA293" s="257" t="n"/>
      <c r="BB293" s="258" t="n"/>
      <c r="BC293" s="316" t="n"/>
      <c r="BD293" s="317" t="n"/>
      <c r="BE293" s="257" t="n"/>
      <c r="BF293" s="258" t="n"/>
      <c r="BG293" s="89" t="n"/>
      <c r="BH2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93">
        <f>_xlfn.LET(r,ROW(),oc,INDEX($A:$A,r),cv,TRIM(INDEX($Y:$Y,r)&amp;""),IF(oc&lt;&gt;"P1","",IF(cv="45","V45 - novo, nao alimentado pelo spool atual","V44 - alimentado pelo spool atual")))</f>
        <v/>
      </c>
    </row>
    <row r="294" ht="54" customFormat="1" customHeight="1" s="91">
      <c r="A294" s="306" t="inlineStr">
        <is>
          <t>P1</t>
        </is>
      </c>
      <c r="B294" s="307" t="n">
        <v>59</v>
      </c>
      <c r="C294" s="269" t="inlineStr">
        <is>
          <t xml:space="preserve">08 - Caractéristiques d'arriérés et de restructuration </t>
        </is>
      </c>
      <c r="D294" s="310" t="inlineStr">
        <is>
          <t>08 - Characteristics of overdues and restructuring</t>
        </is>
      </c>
      <c r="E294" s="307" t="inlineStr">
        <is>
          <t>P1 4.21</t>
        </is>
      </c>
      <c r="F294" s="448" t="inlineStr">
        <is>
          <t>Montant de la décote sur actif déprécié à l'achat</t>
        </is>
      </c>
      <c r="G294" s="309" t="inlineStr">
        <is>
          <t>Amount of haircut on asset impaired at purchase</t>
        </is>
      </c>
      <c r="H294" s="1493">
        <f>"RPAD( "&amp;SUBSTITUTE(SUBSTITUTE(E294," ","_"),".","_")&amp;","&amp;W294&amp;",' '); -- "&amp;E294</f>
        <v/>
      </c>
      <c r="I294" s="241" t="inlineStr">
        <is>
          <t>Différence entre le montant de rachat de la créance par l'entité et le montant effectif de la créance dû</t>
        </is>
      </c>
      <c r="J294" s="309" t="inlineStr">
        <is>
          <t>Difference between the buyback amount of the receivable by the entity and the effective amount of the receivable due</t>
        </is>
      </c>
      <c r="K294" s="370" t="inlineStr">
        <is>
          <t>ND</t>
        </is>
      </c>
      <c r="L294" s="371" t="inlineStr">
        <is>
          <t>ND</t>
        </is>
      </c>
      <c r="M294" s="1420" t="inlineStr">
        <is>
          <t>mtDecote</t>
        </is>
      </c>
      <c r="N294" s="449" t="inlineStr">
        <is>
          <t>Facultatif</t>
        </is>
      </c>
      <c r="O294" s="236" t="inlineStr">
        <is>
          <t>Optional</t>
        </is>
      </c>
      <c r="P294" s="269" t="inlineStr">
        <is>
          <t>NA</t>
        </is>
      </c>
      <c r="Q294" s="269" t="inlineStr">
        <is>
          <t>NA</t>
        </is>
      </c>
      <c r="R294" s="241" t="inlineStr">
        <is>
          <t>Obligatoire s'il s'agit de rachat de créances dépréciées</t>
        </is>
      </c>
      <c r="S294" s="233" t="inlineStr">
        <is>
          <t>Mandatory in the case of the repurchase of impaired debts</t>
        </is>
      </c>
      <c r="T294" s="313" t="inlineStr">
        <is>
          <t>NUM</t>
        </is>
      </c>
      <c r="U294" s="237" t="inlineStr">
        <is>
          <t>19 dont signe et 2 décimales</t>
        </is>
      </c>
      <c r="V294" s="238" t="inlineStr">
        <is>
          <t>19 including sign and 2 decimals</t>
        </is>
      </c>
      <c r="W294" s="257" t="n">
        <v>19</v>
      </c>
      <c r="X294" s="945" t="inlineStr">
        <is>
          <t>NA</t>
        </is>
      </c>
      <c r="Y294" s="237" t="n">
        <v>40</v>
      </c>
      <c r="Z294" s="237" t="inlineStr">
        <is>
          <t>NA</t>
        </is>
      </c>
      <c r="AA294" s="270" t="inlineStr">
        <is>
          <t>NA</t>
        </is>
      </c>
      <c r="AB294" s="994" t="inlineStr">
        <is>
          <t>ANACREDIT, CALCULS PRUDENTIELS, DEI, ESG PILIER 3, GRR, LOAN TAPE, PALMA</t>
        </is>
      </c>
      <c r="AC294" s="231" t="inlineStr">
        <is>
          <t>ND</t>
        </is>
      </c>
      <c r="AD294" s="257" t="inlineStr">
        <is>
          <t>N</t>
        </is>
      </c>
      <c r="AE294" s="1265" t="inlineStr">
        <is>
          <t>TRE2 à 4XX hors 203,205,206,207</t>
        </is>
      </c>
      <c r="AF294" s="257" t="inlineStr">
        <is>
          <t>NA</t>
        </is>
      </c>
      <c r="AG294" s="258" t="inlineStr">
        <is>
          <t>NA</t>
        </is>
      </c>
      <c r="AH294" s="89" t="n"/>
      <c r="AI294" s="316" t="n"/>
      <c r="AJ294" s="317" t="n"/>
      <c r="AK294" s="257" t="n"/>
      <c r="AL294" s="258" t="n"/>
      <c r="AM294" s="318" t="n"/>
      <c r="AN294" s="317" t="n"/>
      <c r="AO294" s="257" t="n"/>
      <c r="AP294" s="258" t="n"/>
      <c r="AQ294" s="445" t="inlineStr">
        <is>
          <t>Si renseignée, la donnée doit être positive (supérieure ou égale à 0)</t>
        </is>
      </c>
      <c r="AR294" s="317" t="inlineStr">
        <is>
          <t xml:space="preserve">If filled, data must be positive (greater or equal to 0) </t>
        </is>
      </c>
      <c r="AS294" s="257" t="n">
        <v>7</v>
      </c>
      <c r="AT294" s="345" t="inlineStr">
        <is>
          <t>TVG0001</t>
        </is>
      </c>
      <c r="AU294" s="318" t="n"/>
      <c r="AV294" s="317" t="n"/>
      <c r="AW294" s="257" t="n"/>
      <c r="AX294" s="258" t="n"/>
      <c r="AY294" s="318" t="n"/>
      <c r="AZ294" s="317" t="n"/>
      <c r="BA294" s="257" t="n"/>
      <c r="BB294" s="258" t="n"/>
      <c r="BC294" s="316" t="n"/>
      <c r="BD294" s="317" t="n"/>
      <c r="BE294" s="257" t="n"/>
      <c r="BF294" s="258" t="n"/>
      <c r="BG294" s="89" t="n"/>
      <c r="BH2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94">
        <f>_xlfn.LET(r,ROW(),oc,INDEX($A:$A,r),cv,TRIM(INDEX($Y:$Y,r)&amp;""),IF(oc&lt;&gt;"P1","",IF(cv="45","V45 - novo, nao alimentado pelo spool atual","V44 - alimentado pelo spool atual")))</f>
        <v/>
      </c>
    </row>
    <row r="295" ht="54" customFormat="1" customHeight="1" s="91">
      <c r="A295" s="306" t="inlineStr">
        <is>
          <t>P1</t>
        </is>
      </c>
      <c r="B295" s="307" t="n">
        <v>60</v>
      </c>
      <c r="C295" s="269" t="inlineStr">
        <is>
          <t xml:space="preserve">08 - Caractéristiques d'arriérés et de restructuration </t>
        </is>
      </c>
      <c r="D295" s="310" t="inlineStr">
        <is>
          <t>08 - Characteristics of overdues and restructuring</t>
        </is>
      </c>
      <c r="E295" s="307" t="inlineStr">
        <is>
          <t>P1 4.22</t>
        </is>
      </c>
      <c r="F295" s="308" t="inlineStr">
        <is>
          <t>Devise du montant de la décote sur actif déprécié à l'achat</t>
        </is>
      </c>
      <c r="G295" s="309" t="inlineStr">
        <is>
          <t>Currency of amount of haircut on asset impaired at purchase</t>
        </is>
      </c>
      <c r="H295" s="1493">
        <f>"RPAD( "&amp;SUBSTITUTE(SUBSTITUTE(E295," ","_"),".","_")&amp;","&amp;W295&amp;",' '); -- "&amp;E295</f>
        <v/>
      </c>
      <c r="I295" s="241" t="inlineStr">
        <is>
          <t xml:space="preserve">Devise du montant de la décote sur actif déprécié à l'achat </t>
        </is>
      </c>
      <c r="J295" s="309" t="inlineStr">
        <is>
          <t>Currency of amount of haircut on asset impaired at purchase</t>
        </is>
      </c>
      <c r="K295" s="370" t="inlineStr">
        <is>
          <t>ND</t>
        </is>
      </c>
      <c r="L295" s="371" t="inlineStr">
        <is>
          <t>ND</t>
        </is>
      </c>
      <c r="M295" s="1420" t="inlineStr">
        <is>
          <t>cdDeMtDecote</t>
        </is>
      </c>
      <c r="N295" s="257" t="inlineStr">
        <is>
          <t>Obligatoire sous conditions</t>
        </is>
      </c>
      <c r="O295" s="236" t="inlineStr">
        <is>
          <t>Mandatory under conditions</t>
        </is>
      </c>
      <c r="P295" s="269" t="inlineStr">
        <is>
          <t>LC.0005</t>
        </is>
      </c>
      <c r="Q295" s="269" t="inlineStr">
        <is>
          <t>TA NM253</t>
        </is>
      </c>
      <c r="R295" s="241" t="inlineStr">
        <is>
          <t>NA</t>
        </is>
      </c>
      <c r="S295" s="233" t="inlineStr">
        <is>
          <t>NA</t>
        </is>
      </c>
      <c r="T295" s="313" t="inlineStr">
        <is>
          <t>ALPHA</t>
        </is>
      </c>
      <c r="U295" s="237" t="inlineStr">
        <is>
          <t>NA</t>
        </is>
      </c>
      <c r="V295" s="238" t="inlineStr">
        <is>
          <t>NA</t>
        </is>
      </c>
      <c r="W295" s="257" t="n">
        <v>3</v>
      </c>
      <c r="X295" s="945" t="inlineStr">
        <is>
          <t>NA</t>
        </is>
      </c>
      <c r="Y295" s="237" t="n">
        <v>40</v>
      </c>
      <c r="Z295" s="237" t="inlineStr">
        <is>
          <t>NA</t>
        </is>
      </c>
      <c r="AA295" s="270" t="inlineStr">
        <is>
          <t>NA</t>
        </is>
      </c>
      <c r="AB295" s="994" t="inlineStr">
        <is>
          <t>ANACREDIT, CALCULS PRUDENTIELS, DEI, ESG PILIER 3, GRR</t>
        </is>
      </c>
      <c r="AC295" s="231" t="inlineStr">
        <is>
          <t>ND</t>
        </is>
      </c>
      <c r="AD295" s="257" t="inlineStr">
        <is>
          <t>N</t>
        </is>
      </c>
      <c r="AE295" s="1265" t="inlineStr">
        <is>
          <t>TRE2 à 4XX hors 203,205,206,207</t>
        </is>
      </c>
      <c r="AF295" s="257" t="inlineStr">
        <is>
          <t>NA</t>
        </is>
      </c>
      <c r="AG295" s="258" t="inlineStr">
        <is>
          <t>NA</t>
        </is>
      </c>
      <c r="AH295" s="89" t="n"/>
      <c r="AI295" s="446" t="inlineStr">
        <is>
          <t>La donnée est obligatoire si Montant de la décote sur actif déprécié à l'achat [P1 4.21] est renseigné</t>
        </is>
      </c>
      <c r="AJ295" s="317" t="inlineStr">
        <is>
          <t>The data is mandatory, if Amount of haircut on asset impaired at purchase [P1 4.21] is filled</t>
        </is>
      </c>
      <c r="AK295" s="257" t="n">
        <v>7</v>
      </c>
      <c r="AL295" s="335" t="inlineStr">
        <is>
          <t>TPG0002</t>
        </is>
      </c>
      <c r="AM295" s="318" t="inlineStr">
        <is>
          <t>Si elle est renseignée, la valeur doit être connue du Langage Commun associé</t>
        </is>
      </c>
      <c r="AN295" s="317" t="inlineStr">
        <is>
          <t>If specified, the value must be known to the associated Common Language</t>
        </is>
      </c>
      <c r="AO295" s="257" t="n">
        <v>7</v>
      </c>
      <c r="AP295" s="212" t="inlineStr">
        <is>
          <t>TIG0001</t>
        </is>
      </c>
      <c r="AQ295" s="318" t="n"/>
      <c r="AR295" s="317" t="n"/>
      <c r="AS295" s="257" t="n"/>
      <c r="AT295" s="258" t="n"/>
      <c r="AU295" s="318" t="n"/>
      <c r="AV295" s="317" t="n"/>
      <c r="AW295" s="257" t="n"/>
      <c r="AX295" s="258" t="n"/>
      <c r="AY295" s="318" t="n"/>
      <c r="AZ295" s="317" t="n"/>
      <c r="BA295" s="257" t="n"/>
      <c r="BB295" s="258" t="n"/>
      <c r="BC295" s="316" t="n"/>
      <c r="BD295" s="317" t="n"/>
      <c r="BE295" s="257" t="n"/>
      <c r="BF295" s="258" t="n"/>
      <c r="BG295" s="89" t="n"/>
      <c r="BH2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95">
        <f>_xlfn.LET(r,ROW(),oc,INDEX($A:$A,r),cv,TRIM(INDEX($Y:$Y,r)&amp;""),IF(oc&lt;&gt;"P1","",IF(cv="45","V45 - novo, nao alimentado pelo spool atual","V44 - alimentado pelo spool atual")))</f>
        <v/>
      </c>
    </row>
    <row r="296" ht="54" customFormat="1" customHeight="1" s="91">
      <c r="A296" s="306" t="inlineStr">
        <is>
          <t>P1</t>
        </is>
      </c>
      <c r="B296" s="307" t="n">
        <v>61</v>
      </c>
      <c r="C296" s="269" t="inlineStr">
        <is>
          <t>03 - Caractéristiques Générales</t>
        </is>
      </c>
      <c r="D296" s="310" t="inlineStr">
        <is>
          <t>03 - General characteristics</t>
        </is>
      </c>
      <c r="E296" s="307" t="inlineStr">
        <is>
          <t>P1 4.23</t>
        </is>
      </c>
      <c r="F296" s="308" t="inlineStr">
        <is>
          <t>Circuit de distribution</t>
        </is>
      </c>
      <c r="G296" s="309" t="inlineStr">
        <is>
          <t>Distribution channel</t>
        </is>
      </c>
      <c r="H296" s="1493">
        <f>"RPAD( "&amp;SUBSTITUTE(SUBSTITUTE(E296," ","_"),".","_")&amp;","&amp;W296&amp;",' '); -- "&amp;E296</f>
        <v/>
      </c>
      <c r="I296" s="241" t="inlineStr">
        <is>
          <t>Circuit de distribution</t>
        </is>
      </c>
      <c r="J296" s="309" t="inlineStr">
        <is>
          <t>Distribution channel</t>
        </is>
      </c>
      <c r="K296" s="370" t="inlineStr">
        <is>
          <t>ND</t>
        </is>
      </c>
      <c r="L296" s="371" t="inlineStr">
        <is>
          <t>ND</t>
        </is>
      </c>
      <c r="M296" s="1420" t="inlineStr">
        <is>
          <t>cdCirDis</t>
        </is>
      </c>
      <c r="N296" s="257" t="inlineStr">
        <is>
          <t>Facultatif</t>
        </is>
      </c>
      <c r="O296" s="236" t="inlineStr">
        <is>
          <t>Optional</t>
        </is>
      </c>
      <c r="P296" s="269" t="inlineStr">
        <is>
          <t>LC.0143</t>
        </is>
      </c>
      <c r="Q296" s="269" t="inlineStr">
        <is>
          <t>TA KVCIRCUI</t>
        </is>
      </c>
      <c r="R296" s="241" t="inlineStr">
        <is>
          <t>NA</t>
        </is>
      </c>
      <c r="S296" s="233" t="inlineStr">
        <is>
          <t>NA</t>
        </is>
      </c>
      <c r="T296" s="313" t="inlineStr">
        <is>
          <t>ALPHA</t>
        </is>
      </c>
      <c r="U296" s="237" t="inlineStr">
        <is>
          <t>NA</t>
        </is>
      </c>
      <c r="V296" s="238" t="inlineStr">
        <is>
          <t>NA</t>
        </is>
      </c>
      <c r="W296" s="257" t="n">
        <v>2</v>
      </c>
      <c r="X296" s="945" t="inlineStr">
        <is>
          <t>NA</t>
        </is>
      </c>
      <c r="Y296" s="237" t="n">
        <v>40</v>
      </c>
      <c r="Z296" s="237" t="inlineStr">
        <is>
          <t>NA</t>
        </is>
      </c>
      <c r="AA296" s="978" t="inlineStr">
        <is>
          <t>NA</t>
        </is>
      </c>
      <c r="AB296" s="994" t="inlineStr">
        <is>
          <t>ANACREDIT, DEI, GRR</t>
        </is>
      </c>
      <c r="AC296" s="231" t="inlineStr">
        <is>
          <t>ND</t>
        </is>
      </c>
      <c r="AD296" s="257" t="inlineStr">
        <is>
          <t>N</t>
        </is>
      </c>
      <c r="AE296" s="1265" t="inlineStr">
        <is>
          <t>TRE2 à 4XX hors 203,205,206,207
TRE5XX</t>
        </is>
      </c>
      <c r="AF296" s="257" t="inlineStr">
        <is>
          <t>NA</t>
        </is>
      </c>
      <c r="AG296" s="258" t="inlineStr">
        <is>
          <t>NA</t>
        </is>
      </c>
      <c r="AH296" s="89" t="n"/>
      <c r="AI296" s="316" t="n"/>
      <c r="AJ296" s="317" t="n"/>
      <c r="AK296" s="257" t="n"/>
      <c r="AL296" s="258" t="n"/>
      <c r="AM296" s="318" t="inlineStr">
        <is>
          <t>Si elle est renseignée, la valeur doit être connue du Langage Commun associé</t>
        </is>
      </c>
      <c r="AN296" s="317" t="inlineStr">
        <is>
          <t>If specified, the value must be known to the associated Common Language</t>
        </is>
      </c>
      <c r="AO296" s="257" t="n">
        <v>7</v>
      </c>
      <c r="AP296" s="212" t="inlineStr">
        <is>
          <t>TIG0001</t>
        </is>
      </c>
      <c r="AQ296" s="318" t="n"/>
      <c r="AR296" s="317" t="n"/>
      <c r="AS296" s="257" t="n"/>
      <c r="AT296" s="258" t="n"/>
      <c r="AU296" s="318" t="n"/>
      <c r="AV296" s="317" t="n"/>
      <c r="AW296" s="257" t="n"/>
      <c r="AX296" s="258" t="n"/>
      <c r="AY296" s="318" t="n"/>
      <c r="AZ296" s="317" t="n"/>
      <c r="BA296" s="257" t="n"/>
      <c r="BB296" s="258" t="n"/>
      <c r="BC296" s="316" t="n"/>
      <c r="BD296" s="317" t="n"/>
      <c r="BE296" s="257" t="n"/>
      <c r="BF296" s="258" t="n"/>
      <c r="BG296" s="89" t="n"/>
      <c r="BH2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96">
        <f>_xlfn.LET(r,ROW(),oc,INDEX($A:$A,r),cv,TRIM(INDEX($Y:$Y,r)&amp;""),IF(oc&lt;&gt;"P1","",IF(cv="45","V45 - novo, nao alimentado pelo spool atual","V44 - alimentado pelo spool atual")))</f>
        <v/>
      </c>
    </row>
    <row r="297" ht="54" customFormat="1" customHeight="1" s="91">
      <c r="A297" s="306" t="inlineStr">
        <is>
          <t>P1</t>
        </is>
      </c>
      <c r="B297" s="307" t="n">
        <v>62</v>
      </c>
      <c r="C297" s="269" t="inlineStr">
        <is>
          <t>10 - Caractéristiques Engagements par Signature</t>
        </is>
      </c>
      <c r="D297" s="310" t="inlineStr">
        <is>
          <t>10 - Funds in use by signature characteristics</t>
        </is>
      </c>
      <c r="E297" s="307" t="inlineStr">
        <is>
          <t>P1 5.6</t>
        </is>
      </c>
      <c r="F297" s="342" t="inlineStr">
        <is>
          <t>Indicateur 'Prêt Revolving Roll-over'</t>
        </is>
      </c>
      <c r="G297" s="363" t="inlineStr">
        <is>
          <t>Revolving Loan Roll-over' indicator</t>
        </is>
      </c>
      <c r="H297" s="1493">
        <f>"RPAD( "&amp;SUBSTITUTE(SUBSTITUTE(E297," ","_"),".","_")&amp;","&amp;W297&amp;",' '); -- "&amp;E297</f>
        <v/>
      </c>
      <c r="I297" s="241" t="inlineStr">
        <is>
          <t>Indicateur permettant de préciser si le prêt est de caractère 'Revolving' ou 'Roll-over'</t>
        </is>
      </c>
      <c r="J297" s="309" t="inlineStr">
        <is>
          <t>Indicator making it possible to specify whether the loan is 'Revolving' or 'Roll-over' in nature</t>
        </is>
      </c>
      <c r="K297" s="370" t="inlineStr">
        <is>
          <t>ND</t>
        </is>
      </c>
      <c r="L297" s="371" t="inlineStr">
        <is>
          <t>ND</t>
        </is>
      </c>
      <c r="M297" s="1420" t="inlineStr">
        <is>
          <t>cdIndRvRoll</t>
        </is>
      </c>
      <c r="N297" s="257" t="inlineStr">
        <is>
          <t>Facultatif</t>
        </is>
      </c>
      <c r="O297" s="236" t="inlineStr">
        <is>
          <t>Optional</t>
        </is>
      </c>
      <c r="P297" s="269" t="inlineStr">
        <is>
          <t>LC.0160</t>
        </is>
      </c>
      <c r="Q297" s="269" t="inlineStr">
        <is>
          <t>TA KVIREVOL</t>
        </is>
      </c>
      <c r="R297" s="241" t="inlineStr">
        <is>
          <t>NA</t>
        </is>
      </c>
      <c r="S297" s="233" t="inlineStr">
        <is>
          <t>NA</t>
        </is>
      </c>
      <c r="T297" s="313" t="inlineStr">
        <is>
          <t>ALPHA</t>
        </is>
      </c>
      <c r="U297" s="237" t="inlineStr">
        <is>
          <t>NA</t>
        </is>
      </c>
      <c r="V297" s="238" t="inlineStr">
        <is>
          <t>NA</t>
        </is>
      </c>
      <c r="W297" s="257" t="n">
        <v>1</v>
      </c>
      <c r="X297" s="945" t="inlineStr">
        <is>
          <t>NA</t>
        </is>
      </c>
      <c r="Y297" s="237" t="n">
        <v>40</v>
      </c>
      <c r="Z297" s="237" t="inlineStr">
        <is>
          <t>NA</t>
        </is>
      </c>
      <c r="AA297" s="237" t="inlineStr">
        <is>
          <t>NA</t>
        </is>
      </c>
      <c r="AB297" s="269" t="inlineStr">
        <is>
          <t>ANACREDIT, ASTRE, LOAN TAPE</t>
        </is>
      </c>
      <c r="AC297" s="231" t="inlineStr">
        <is>
          <t>ND</t>
        </is>
      </c>
      <c r="AD297" s="257" t="inlineStr">
        <is>
          <t>N</t>
        </is>
      </c>
      <c r="AE297" s="257" t="inlineStr">
        <is>
          <t xml:space="preserve">TRE2 à 4XX hors 203,205,206,207
</t>
        </is>
      </c>
      <c r="AF297" s="257" t="inlineStr">
        <is>
          <t>NA</t>
        </is>
      </c>
      <c r="AG297" s="258" t="inlineStr">
        <is>
          <t>NA</t>
        </is>
      </c>
      <c r="AH297" s="89" t="n"/>
      <c r="AI297" s="316" t="n"/>
      <c r="AJ297" s="317" t="n"/>
      <c r="AK297" s="257" t="n"/>
      <c r="AL297" s="258" t="n"/>
      <c r="AM297" s="318" t="inlineStr">
        <is>
          <t>Si elle est renseignée, la valeur doit être connue du Langage Commun associé</t>
        </is>
      </c>
      <c r="AN297" s="317" t="inlineStr">
        <is>
          <t>If specified, the value must be known to the associated Common Language</t>
        </is>
      </c>
      <c r="AO297" s="257" t="n">
        <v>7</v>
      </c>
      <c r="AP297" s="212" t="inlineStr">
        <is>
          <t>TIG0001</t>
        </is>
      </c>
      <c r="AQ297" s="318" t="n"/>
      <c r="AR297" s="317" t="n"/>
      <c r="AS297" s="257" t="n"/>
      <c r="AT297" s="258" t="n"/>
      <c r="AU297" s="318" t="n"/>
      <c r="AV297" s="317" t="n"/>
      <c r="AW297" s="257" t="n"/>
      <c r="AX297" s="258" t="n"/>
      <c r="AY297" s="318" t="n"/>
      <c r="AZ297" s="317" t="n"/>
      <c r="BA297" s="257" t="n"/>
      <c r="BB297" s="258" t="n"/>
      <c r="BC297" s="316" t="n"/>
      <c r="BD297" s="317" t="n"/>
      <c r="BE297" s="257" t="n"/>
      <c r="BF297" s="258" t="n"/>
      <c r="BG297" s="89" t="n"/>
      <c r="BH2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97">
        <f>_xlfn.LET(r,ROW(),oc,INDEX($A:$A,r),cv,TRIM(INDEX($Y:$Y,r)&amp;""),IF(oc&lt;&gt;"P1","",IF(cv="45","V45 - novo, nao alimentado pelo spool atual","V44 - alimentado pelo spool atual")))</f>
        <v/>
      </c>
    </row>
    <row r="298" ht="54" customFormat="1" customHeight="1" s="91">
      <c r="A298" s="306" t="inlineStr">
        <is>
          <t>P1</t>
        </is>
      </c>
      <c r="B298" s="307" t="n">
        <v>63</v>
      </c>
      <c r="C298" s="269" t="inlineStr">
        <is>
          <t>10 - Caractéristiques Engagements par Signature</t>
        </is>
      </c>
      <c r="D298" s="310" t="inlineStr">
        <is>
          <t>10 - Funds in use by signature characteristics</t>
        </is>
      </c>
      <c r="E298" s="307" t="inlineStr">
        <is>
          <t>P1 5.7</t>
        </is>
      </c>
      <c r="F298" s="308" t="inlineStr">
        <is>
          <t>Identifiant local du bénéficiaire final de l'EPS</t>
        </is>
      </c>
      <c r="G298" s="309" t="inlineStr">
        <is>
          <t>Local ID of the ultimate beneficiary of the signed undertaking</t>
        </is>
      </c>
      <c r="H298" s="1493">
        <f>"RPAD( "&amp;SUBSTITUTE(SUBSTITUTE(E298," ","_"),".","_")&amp;","&amp;W298&amp;",' '); -- "&amp;E298</f>
        <v/>
      </c>
      <c r="I298" s="241" t="inlineStr">
        <is>
          <t>Identifiant du bénéficiaire final de l'EPS dans le système local utilisé pour générer le flux</t>
        </is>
      </c>
      <c r="J298" s="233" t="inlineStr">
        <is>
          <t>ID of ultimate beneficiary in the local system used to generate the flow</t>
        </is>
      </c>
      <c r="K298" s="370" t="inlineStr">
        <is>
          <t>ND</t>
        </is>
      </c>
      <c r="L298" s="371" t="inlineStr">
        <is>
          <t>ND</t>
        </is>
      </c>
      <c r="M298" s="1420" t="inlineStr">
        <is>
          <t>cdLocalBenefEPS</t>
        </is>
      </c>
      <c r="N298" s="257" t="inlineStr">
        <is>
          <t>Facultatif</t>
        </is>
      </c>
      <c r="O298" s="236" t="inlineStr">
        <is>
          <t>Optional</t>
        </is>
      </c>
      <c r="P298" s="269" t="inlineStr">
        <is>
          <t>NA</t>
        </is>
      </c>
      <c r="Q298" s="269" t="inlineStr">
        <is>
          <t>NA</t>
        </is>
      </c>
      <c r="R298" s="241" t="inlineStr">
        <is>
          <t>A renseigner en cas de bénéficiaire unique, il permet d'identifier le caractère intra ou extra Groupe CA de l'engagement.
En cas de bénéficiaires multiples, ne pas renseigner</t>
        </is>
      </c>
      <c r="S298" s="233" t="inlineStr">
        <is>
          <t>To be completed in the event of a single beneficiary, it is used to identify the funds'in use intra or extra CA Group character.
In case of multiple beneficiaries, do not enter</t>
        </is>
      </c>
      <c r="T298" s="313" t="inlineStr">
        <is>
          <t>ALPHA</t>
        </is>
      </c>
      <c r="U298" s="237" t="inlineStr">
        <is>
          <t>NA</t>
        </is>
      </c>
      <c r="V298" s="238" t="inlineStr">
        <is>
          <t>NA</t>
        </is>
      </c>
      <c r="W298" s="257" t="n">
        <v>20</v>
      </c>
      <c r="X298" s="945" t="inlineStr">
        <is>
          <t>NA</t>
        </is>
      </c>
      <c r="Y298" s="237" t="n">
        <v>40</v>
      </c>
      <c r="Z298" s="237" t="inlineStr">
        <is>
          <t>NA</t>
        </is>
      </c>
      <c r="AA298" s="270" t="inlineStr">
        <is>
          <t>NA</t>
        </is>
      </c>
      <c r="AB298" s="994" t="inlineStr">
        <is>
          <t>CALCULS PRUDENTIELS, DEI</t>
        </is>
      </c>
      <c r="AC298" s="231" t="inlineStr">
        <is>
          <t>ND</t>
        </is>
      </c>
      <c r="AD298" s="257" t="inlineStr">
        <is>
          <t>N</t>
        </is>
      </c>
      <c r="AE298" s="257" t="inlineStr">
        <is>
          <t xml:space="preserve">SIG
</t>
        </is>
      </c>
      <c r="AF298" s="257" t="inlineStr">
        <is>
          <t>NA</t>
        </is>
      </c>
      <c r="AG298" s="258" t="inlineStr">
        <is>
          <t>NA</t>
        </is>
      </c>
      <c r="AH298" s="89" t="n"/>
      <c r="AI298" s="316" t="n"/>
      <c r="AJ298" s="317" t="n"/>
      <c r="AK298" s="257" t="n"/>
      <c r="AL298" s="258" t="n"/>
      <c r="AM298" s="318" t="n"/>
      <c r="AN298" s="317" t="n"/>
      <c r="AO298" s="257" t="n"/>
      <c r="AP298" s="258" t="n"/>
      <c r="AQ298" s="318" t="n"/>
      <c r="AR298" s="317" t="n"/>
      <c r="AS298" s="257" t="n"/>
      <c r="AT298" s="258" t="n"/>
      <c r="AU298" s="318" t="n"/>
      <c r="AV298" s="317" t="n"/>
      <c r="AW298" s="257" t="n"/>
      <c r="AX298" s="258" t="n"/>
      <c r="AY298" s="318" t="inlineStr">
        <is>
          <t>La donnée doit être présente dans TIGRE
---
L'Identifiant local du tiers en risque doit etre identique à l'Identifiant local du tiers en risque du F2 lié</t>
        </is>
      </c>
      <c r="AZ298" s="317" t="inlineStr">
        <is>
          <t>Data must be present in TIGRE
---
The local ID of the third party in risk must be identical to the local ID of the third party in risk of the linked F2</t>
        </is>
      </c>
      <c r="BA298" s="257" t="n">
        <v>6</v>
      </c>
      <c r="BB298" s="352" t="inlineStr">
        <is>
          <t>TIG0002
TC0262</t>
        </is>
      </c>
      <c r="BC298" s="316" t="n"/>
      <c r="BD298" s="317" t="n"/>
      <c r="BE298" s="257" t="n"/>
      <c r="BF298" s="258" t="n"/>
      <c r="BG298" s="89" t="n"/>
      <c r="BH2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98">
        <f>_xlfn.LET(r,ROW(),oc,INDEX($A:$A,r),cv,TRIM(INDEX($Y:$Y,r)&amp;""),IF(oc&lt;&gt;"P1","",IF(cv="45","V45 - novo, nao alimentado pelo spool atual","V44 - alimentado pelo spool atual")))</f>
        <v/>
      </c>
    </row>
    <row r="299" ht="54" customFormat="1" customHeight="1" s="91">
      <c r="A299" s="306" t="inlineStr">
        <is>
          <t>P1</t>
        </is>
      </c>
      <c r="B299" s="307" t="n">
        <v>64</v>
      </c>
      <c r="C299" s="269" t="inlineStr">
        <is>
          <t>10 - Caractéristiques Engagements par Signature</t>
        </is>
      </c>
      <c r="D299" s="310" t="inlineStr">
        <is>
          <t>10 - Funds in use by signature characteristics</t>
        </is>
      </c>
      <c r="E299" s="307" t="inlineStr">
        <is>
          <t>P1 5.8</t>
        </is>
      </c>
      <c r="F299" s="308" t="inlineStr">
        <is>
          <t>Identifiant central du bénéficiaire final de l'EPS</t>
        </is>
      </c>
      <c r="G299" s="309" t="inlineStr">
        <is>
          <t>Central ID of the ultimate beneficiary of the signed undertaking</t>
        </is>
      </c>
      <c r="H299" s="1493">
        <f>"RPAD( "&amp;SUBSTITUTE(SUBSTITUTE(E299," ","_"),".","_")&amp;","&amp;W299&amp;",' '); -- "&amp;E299</f>
        <v/>
      </c>
      <c r="I299" s="241" t="inlineStr">
        <is>
          <t>Identifiant du bénéficiaire final de l'EPS dans le système central DRG</t>
        </is>
      </c>
      <c r="J299" s="309" t="inlineStr">
        <is>
          <t>ID of the ultimate beneficiary of the signed undertaking in the Group Risk Management Division IT system</t>
        </is>
      </c>
      <c r="K299" s="370" t="inlineStr">
        <is>
          <t>ND</t>
        </is>
      </c>
      <c r="L299" s="371" t="inlineStr">
        <is>
          <t>ND</t>
        </is>
      </c>
      <c r="M299" s="1420" t="inlineStr">
        <is>
          <t>cdCentralBenefEPS</t>
        </is>
      </c>
      <c r="N299" s="257" t="inlineStr">
        <is>
          <t>Facultatif</t>
        </is>
      </c>
      <c r="O299" s="236" t="inlineStr">
        <is>
          <t>Optional</t>
        </is>
      </c>
      <c r="P299" s="269" t="inlineStr">
        <is>
          <t>NA</t>
        </is>
      </c>
      <c r="Q299" s="269" t="inlineStr">
        <is>
          <t>NA</t>
        </is>
      </c>
      <c r="R299" s="241" t="inlineStr">
        <is>
          <t>Identifiant central fourni par la DRG dans le fichier mensuel Référentiel ‘Tiers&amp;Groupes' (DTG) transmis aux entités émettrices du flux.
Obligatoire pour une entité émettrice d'un flux FTCA</t>
        </is>
      </c>
      <c r="S299" s="233" t="inlineStr">
        <is>
          <t>Central identifier provided by the DRG in the monthly "Third Party&amp;Group" repository (DTG) file sent to the flow issuing .
Mandatory for an entity issuing a FTCA flow</t>
        </is>
      </c>
      <c r="T299" s="313" t="inlineStr">
        <is>
          <t>ALPHA</t>
        </is>
      </c>
      <c r="U299" s="237" t="inlineStr">
        <is>
          <t>NA</t>
        </is>
      </c>
      <c r="V299" s="238" t="inlineStr">
        <is>
          <t>NA</t>
        </is>
      </c>
      <c r="W299" s="257" t="n">
        <v>10</v>
      </c>
      <c r="X299" s="945" t="inlineStr">
        <is>
          <t>NA</t>
        </is>
      </c>
      <c r="Y299" s="237" t="n">
        <v>40</v>
      </c>
      <c r="Z299" s="237" t="inlineStr">
        <is>
          <t>NA</t>
        </is>
      </c>
      <c r="AA299" s="978" t="inlineStr">
        <is>
          <t>45.00</t>
        </is>
      </c>
      <c r="AB299" s="994" t="inlineStr">
        <is>
          <t>ASTRE, CALCULS PRUDENTIELS, CONGLOMERATS, ESG PILIER 3, DEI</t>
        </is>
      </c>
      <c r="AC299" s="231" t="inlineStr">
        <is>
          <t>ND</t>
        </is>
      </c>
      <c r="AD299" s="257" t="inlineStr">
        <is>
          <t>N</t>
        </is>
      </c>
      <c r="AE299" s="257" t="inlineStr">
        <is>
          <t xml:space="preserve">SIG
</t>
        </is>
      </c>
      <c r="AF299" s="257" t="inlineStr">
        <is>
          <t>NA</t>
        </is>
      </c>
      <c r="AG299" s="258" t="inlineStr">
        <is>
          <t>NA</t>
        </is>
      </c>
      <c r="AH299" s="89" t="n"/>
      <c r="AI299" s="316" t="n"/>
      <c r="AJ299" s="317" t="n"/>
      <c r="AK299" s="257" t="n"/>
      <c r="AL299" s="258" t="n"/>
      <c r="AM299" s="318" t="n"/>
      <c r="AN299" s="317" t="n"/>
      <c r="AO299" s="257" t="n"/>
      <c r="AP299" s="258" t="n"/>
      <c r="AQ299" s="318" t="n"/>
      <c r="AR299" s="317" t="n"/>
      <c r="AS299" s="257" t="n"/>
      <c r="AT299" s="258" t="n"/>
      <c r="AU299" s="318" t="n"/>
      <c r="AV299" s="317" t="n"/>
      <c r="AW299" s="257" t="n"/>
      <c r="AX299" s="258" t="n"/>
      <c r="AY299" s="1240" t="inlineStr">
        <is>
          <t>S'il est renseigné, l'identifiant doit correspondre à un enregistrement dans l'objet associé, indépendamment de l'entité
---
La donnée doit être présente dans TIGRE
---
Le couple identifiant local / central (P1 5.7 et P1 5.8) doit exister dans TIGRE</t>
        </is>
      </c>
      <c r="AZ299" s="931" t="inlineStr">
        <is>
          <t>If it is filled in, the identifier must correspond to a record in the associated object, regardless of the entity
---
Data must be present in TIGRE
---
The local/central identifier pair (P1 5.7 and P1 5.8) must exist in TIGRE</t>
        </is>
      </c>
      <c r="BA299" s="1181" t="inlineStr">
        <is>
          <t>7
6
6</t>
        </is>
      </c>
      <c r="BB299" s="1182" t="inlineStr">
        <is>
          <t>TI0003
TIG0002
TIG0004</t>
        </is>
      </c>
      <c r="BC299" s="316" t="n"/>
      <c r="BD299" s="317" t="n"/>
      <c r="BE299" s="257" t="n"/>
      <c r="BF299" s="258" t="n"/>
      <c r="BG299" s="89" t="n"/>
      <c r="BH2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299">
        <f>_xlfn.LET(r,ROW(),oc,INDEX($A:$A,r),cv,TRIM(INDEX($Y:$Y,r)&amp;""),IF(oc&lt;&gt;"P1","",IF(cv="45","V45 - novo, nao alimentado pelo spool atual","V44 - alimentado pelo spool atual")))</f>
        <v/>
      </c>
    </row>
    <row r="300" ht="54" customFormat="1" customHeight="1" s="91">
      <c r="A300" s="306" t="inlineStr">
        <is>
          <t>P1</t>
        </is>
      </c>
      <c r="B300" s="307" t="n">
        <v>65</v>
      </c>
      <c r="C300" s="269" t="inlineStr">
        <is>
          <t>10 - Caractéristiques Engagements par Signature</t>
        </is>
      </c>
      <c r="D300" s="310" t="inlineStr">
        <is>
          <t>10 - Funds in use by signature characteristics</t>
        </is>
      </c>
      <c r="E300" s="307" t="inlineStr">
        <is>
          <t>P1 3.33</t>
        </is>
      </c>
      <c r="F300" s="308" t="inlineStr">
        <is>
          <t>Nature d'OPCVM Garanti</t>
        </is>
      </c>
      <c r="G300" s="309" t="inlineStr">
        <is>
          <t>Nature of the guaranteed mutual fund</t>
        </is>
      </c>
      <c r="H300" s="1493">
        <f>"RPAD( "&amp;SUBSTITUTE(SUBSTITUTE(E300," ","_"),".","_")&amp;","&amp;W300&amp;",' '); -- "&amp;E300</f>
        <v/>
      </c>
      <c r="I300" s="241" t="inlineStr">
        <is>
          <t>Permet de déterminer le CCF des protections données aux OPCVM en central</t>
        </is>
      </c>
      <c r="J300" s="309" t="inlineStr">
        <is>
          <t>Makes it possible to determine the CCF of protection given to the UCITS centrally</t>
        </is>
      </c>
      <c r="K300" s="370" t="inlineStr">
        <is>
          <t>ND</t>
        </is>
      </c>
      <c r="L300" s="371" t="inlineStr">
        <is>
          <t>ND</t>
        </is>
      </c>
      <c r="M300" s="1420" t="inlineStr">
        <is>
          <t>cdNatOPCVM</t>
        </is>
      </c>
      <c r="N300" s="449" t="inlineStr">
        <is>
          <t>Facultatif</t>
        </is>
      </c>
      <c r="O300" s="236" t="inlineStr">
        <is>
          <t>Optional</t>
        </is>
      </c>
      <c r="P300" s="269" t="inlineStr">
        <is>
          <t>LC.0145</t>
        </is>
      </c>
      <c r="Q300" s="269" t="inlineStr">
        <is>
          <t>TA KVNOPCVM</t>
        </is>
      </c>
      <c r="R300" s="241" t="inlineStr">
        <is>
          <t>Il permet de traiter en IRB A, les garanties aux OPCVM données par AMUNDI Finance</t>
        </is>
      </c>
      <c r="S300" s="233" t="inlineStr">
        <is>
          <t>It enables the processing of guarantees to UCITS given by AMUNDI Finance in IRB A</t>
        </is>
      </c>
      <c r="T300" s="313" t="inlineStr">
        <is>
          <t>ALPHA</t>
        </is>
      </c>
      <c r="U300" s="237" t="inlineStr">
        <is>
          <t>NA</t>
        </is>
      </c>
      <c r="V300" s="238" t="inlineStr">
        <is>
          <t>NA</t>
        </is>
      </c>
      <c r="W300" s="257" t="n">
        <v>2</v>
      </c>
      <c r="X300" s="945" t="inlineStr">
        <is>
          <t>NA</t>
        </is>
      </c>
      <c r="Y300" s="237" t="n">
        <v>40</v>
      </c>
      <c r="Z300" s="237" t="inlineStr">
        <is>
          <t>NA</t>
        </is>
      </c>
      <c r="AA300" s="270" t="inlineStr">
        <is>
          <t>NA</t>
        </is>
      </c>
      <c r="AB300" s="1287" t="inlineStr">
        <is>
          <t>USAGE ZP</t>
        </is>
      </c>
      <c r="AC300" s="231" t="inlineStr">
        <is>
          <t>ND</t>
        </is>
      </c>
      <c r="AD300" s="257" t="inlineStr">
        <is>
          <t>N</t>
        </is>
      </c>
      <c r="AE300" s="257" t="inlineStr">
        <is>
          <t xml:space="preserve">SIG
</t>
        </is>
      </c>
      <c r="AF300" s="257" t="inlineStr">
        <is>
          <t>NA</t>
        </is>
      </c>
      <c r="AG300" s="258" t="inlineStr">
        <is>
          <t>NA</t>
        </is>
      </c>
      <c r="AH300" s="89" t="n"/>
      <c r="AI300" s="316" t="n"/>
      <c r="AJ300" s="317" t="n"/>
      <c r="AK300" s="257" t="n"/>
      <c r="AL300" s="258" t="n"/>
      <c r="AM300" s="318" t="inlineStr">
        <is>
          <t>Si elle est renseignée, la valeur doit être connue du Langage Commun associé</t>
        </is>
      </c>
      <c r="AN300" s="317" t="inlineStr">
        <is>
          <t>If specified, the value must be known to the associated Common Language</t>
        </is>
      </c>
      <c r="AO300" s="257" t="n">
        <v>7</v>
      </c>
      <c r="AP300" s="212" t="inlineStr">
        <is>
          <t>TIG0001</t>
        </is>
      </c>
      <c r="AQ300" s="318" t="n"/>
      <c r="AR300" s="317" t="n"/>
      <c r="AS300" s="257" t="n"/>
      <c r="AT300" s="258" t="n"/>
      <c r="AU300" s="318" t="n"/>
      <c r="AV300" s="317" t="n"/>
      <c r="AW300" s="257" t="n"/>
      <c r="AX300" s="258" t="n"/>
      <c r="AY300" s="318" t="n"/>
      <c r="AZ300" s="317" t="n"/>
      <c r="BA300" s="257" t="n"/>
      <c r="BB300" s="258" t="n"/>
      <c r="BC300" s="316" t="n"/>
      <c r="BD300" s="317" t="n"/>
      <c r="BE300" s="257" t="n"/>
      <c r="BF300" s="258" t="n"/>
      <c r="BG300" s="89" t="n"/>
      <c r="BH3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00">
        <f>_xlfn.LET(r,ROW(),oc,INDEX($A:$A,r),cv,TRIM(INDEX($Y:$Y,r)&amp;""),IF(oc&lt;&gt;"P1","",IF(cv="45","V45 - novo, nao alimentado pelo spool atual","V44 - alimentado pelo spool atual")))</f>
        <v/>
      </c>
    </row>
    <row r="301" ht="54" customFormat="1" customHeight="1" s="91">
      <c r="A301" s="306" t="inlineStr">
        <is>
          <t>P1</t>
        </is>
      </c>
      <c r="B301" s="307" t="n">
        <v>66</v>
      </c>
      <c r="C301" s="269" t="inlineStr">
        <is>
          <t>10 - Caractéristiques Engagements par Signature</t>
        </is>
      </c>
      <c r="D301" s="310" t="inlineStr">
        <is>
          <t>10 - Funds in use by signature characteristics</t>
        </is>
      </c>
      <c r="E301" s="307" t="inlineStr">
        <is>
          <t>P1 5.10</t>
        </is>
      </c>
      <c r="F301" s="470" t="inlineStr">
        <is>
          <t>Indicateur Accord de Fusion</t>
        </is>
      </c>
      <c r="G301" s="363" t="inlineStr">
        <is>
          <t>Merger agreement indicator</t>
        </is>
      </c>
      <c r="H301" s="1493">
        <f>"RPAD( "&amp;SUBSTITUTE(SUBSTITUTE(E301," ","_"),".","_")&amp;","&amp;W301&amp;",' '); -- "&amp;E301</f>
        <v/>
      </c>
      <c r="I301" s="471" t="inlineStr">
        <is>
          <t>Indicateur permettant de préciser si le prêt entre dans le cadre d'une lettre de fusion.
Indique que l'engagement a fait l'objet d'une compensation de comptes suite à l'accord de fusion</t>
        </is>
      </c>
      <c r="J301" s="233" t="inlineStr">
        <is>
          <t>Indicator making it possible to specify whether the loan outstanding amount comes under a merger letter.
Indicates that the commitment has been the subject of account netting following the merger agreement</t>
        </is>
      </c>
      <c r="K301" s="269" t="inlineStr">
        <is>
          <t>ND</t>
        </is>
      </c>
      <c r="L301" s="310" t="inlineStr">
        <is>
          <t>ND</t>
        </is>
      </c>
      <c r="M301" s="1420" t="inlineStr">
        <is>
          <t>indAccordFusion</t>
        </is>
      </c>
      <c r="N301" s="449" t="inlineStr">
        <is>
          <t>Facultatif</t>
        </is>
      </c>
      <c r="O301" s="236" t="inlineStr">
        <is>
          <t>Optional</t>
        </is>
      </c>
      <c r="P301" s="269" t="inlineStr">
        <is>
          <t>LC.0288</t>
        </is>
      </c>
      <c r="Q301" s="269" t="inlineStr">
        <is>
          <t>TA KVIAF</t>
        </is>
      </c>
      <c r="R301" s="241" t="inlineStr">
        <is>
          <t>NA</t>
        </is>
      </c>
      <c r="S301" s="233" t="inlineStr">
        <is>
          <t>NA</t>
        </is>
      </c>
      <c r="T301" s="313" t="inlineStr">
        <is>
          <t>ALPHA</t>
        </is>
      </c>
      <c r="U301" s="237" t="inlineStr">
        <is>
          <t>NA</t>
        </is>
      </c>
      <c r="V301" s="238" t="inlineStr">
        <is>
          <t>NA</t>
        </is>
      </c>
      <c r="W301" s="257" t="n">
        <v>1</v>
      </c>
      <c r="X301" s="945" t="inlineStr">
        <is>
          <t>NA</t>
        </is>
      </c>
      <c r="Y301" s="237" t="n">
        <v>40</v>
      </c>
      <c r="Z301" s="237" t="inlineStr">
        <is>
          <t>NA</t>
        </is>
      </c>
      <c r="AA301" s="283" t="inlineStr">
        <is>
          <t>NA</t>
        </is>
      </c>
      <c r="AB301" s="269" t="inlineStr">
        <is>
          <t>USAGE ZP</t>
        </is>
      </c>
      <c r="AC301" s="231" t="inlineStr">
        <is>
          <t>ND</t>
        </is>
      </c>
      <c r="AD301" s="257" t="inlineStr">
        <is>
          <t>N</t>
        </is>
      </c>
      <c r="AE301" s="257" t="inlineStr">
        <is>
          <t>TRE2 à 4XX hors 203,205,206,207</t>
        </is>
      </c>
      <c r="AF301" s="257" t="inlineStr">
        <is>
          <t>NA</t>
        </is>
      </c>
      <c r="AG301" s="258" t="inlineStr">
        <is>
          <t>NA</t>
        </is>
      </c>
      <c r="AH301" s="89" t="n"/>
      <c r="AI301" s="472" t="n"/>
      <c r="AJ301" s="317" t="n"/>
      <c r="AK301" s="257" t="n"/>
      <c r="AL301" s="473" t="n"/>
      <c r="AM301" s="318" t="inlineStr">
        <is>
          <t>Si elle est renseignée, la valeur doit être connue du Langage Commun associé</t>
        </is>
      </c>
      <c r="AN301" s="317" t="inlineStr">
        <is>
          <t>If specified, the value must be known to the associated Common Language</t>
        </is>
      </c>
      <c r="AO301" s="474" t="n">
        <v>7</v>
      </c>
      <c r="AP301" s="212" t="inlineStr">
        <is>
          <t>TIG0001</t>
        </is>
      </c>
      <c r="AQ301" s="346" t="n"/>
      <c r="AR301" s="347" t="n"/>
      <c r="AS301" s="348" t="n"/>
      <c r="AT301" s="423" t="n"/>
      <c r="AU301" s="318" t="n"/>
      <c r="AV301" s="317" t="n"/>
      <c r="AW301" s="257" t="n"/>
      <c r="AX301" s="258" t="n"/>
      <c r="AY301" s="318" t="n"/>
      <c r="AZ301" s="317" t="n"/>
      <c r="BA301" s="257" t="n"/>
      <c r="BB301" s="258" t="n"/>
      <c r="BC301" s="316" t="n"/>
      <c r="BD301" s="317" t="n"/>
      <c r="BE301" s="257" t="n"/>
      <c r="BF301" s="258" t="n"/>
      <c r="BG301" s="89" t="n"/>
      <c r="BH3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01">
        <f>_xlfn.LET(r,ROW(),oc,INDEX($A:$A,r),cv,TRIM(INDEX($Y:$Y,r)&amp;""),IF(oc&lt;&gt;"P1","",IF(cv="45","V45 - novo, nao alimentado pelo spool atual","V44 - alimentado pelo spool atual")))</f>
        <v/>
      </c>
    </row>
    <row r="302" ht="54" customFormat="1" customHeight="1" s="91">
      <c r="A302" s="306" t="inlineStr">
        <is>
          <t>P1</t>
        </is>
      </c>
      <c r="B302" s="307" t="n">
        <v>67</v>
      </c>
      <c r="C302" s="269" t="inlineStr">
        <is>
          <t>10 - Caractéristiques Engagements par Signature</t>
        </is>
      </c>
      <c r="D302" s="310" t="inlineStr">
        <is>
          <t>10 - Funds in use by signature characteristics</t>
        </is>
      </c>
      <c r="E302" s="307" t="inlineStr">
        <is>
          <t>P1 5.11</t>
        </is>
      </c>
      <c r="F302" s="308" t="inlineStr">
        <is>
          <t>Référence de la lettre de Fusion</t>
        </is>
      </c>
      <c r="G302" s="309" t="inlineStr">
        <is>
          <t>Merger letter reference code</t>
        </is>
      </c>
      <c r="H302" s="1493">
        <f>"RPAD( "&amp;SUBSTITUTE(SUBSTITUTE(E302," ","_"),".","_")&amp;","&amp;W302&amp;",' '); -- "&amp;E302</f>
        <v/>
      </c>
      <c r="I302" s="241" t="inlineStr">
        <is>
          <t>Référence locale de la lettre de Fusion</t>
        </is>
      </c>
      <c r="J302" s="309" t="inlineStr">
        <is>
          <t>Local reference code of merger letter</t>
        </is>
      </c>
      <c r="K302" s="370" t="inlineStr">
        <is>
          <t>ND</t>
        </is>
      </c>
      <c r="L302" s="371" t="inlineStr">
        <is>
          <t>ND</t>
        </is>
      </c>
      <c r="M302" s="1420" t="inlineStr">
        <is>
          <t>idLettreFusion</t>
        </is>
      </c>
      <c r="N302" s="231" t="inlineStr">
        <is>
          <t>Facultatif</t>
        </is>
      </c>
      <c r="O302" s="236" t="inlineStr">
        <is>
          <t>Optional</t>
        </is>
      </c>
      <c r="P302" s="269" t="inlineStr">
        <is>
          <t>NA</t>
        </is>
      </c>
      <c r="Q302" s="269" t="inlineStr">
        <is>
          <t>NA</t>
        </is>
      </c>
      <c r="R302" s="241" t="inlineStr">
        <is>
          <t>NA</t>
        </is>
      </c>
      <c r="S302" s="233" t="inlineStr">
        <is>
          <t>NA</t>
        </is>
      </c>
      <c r="T302" s="313" t="inlineStr">
        <is>
          <t>ALPHA</t>
        </is>
      </c>
      <c r="U302" s="237" t="inlineStr">
        <is>
          <t>NA</t>
        </is>
      </c>
      <c r="V302" s="238" t="inlineStr">
        <is>
          <t>NA</t>
        </is>
      </c>
      <c r="W302" s="257" t="n">
        <v>25</v>
      </c>
      <c r="X302" s="945" t="inlineStr">
        <is>
          <t>NA</t>
        </is>
      </c>
      <c r="Y302" s="237" t="n">
        <v>40</v>
      </c>
      <c r="Z302" s="237" t="inlineStr">
        <is>
          <t>NA</t>
        </is>
      </c>
      <c r="AA302" s="283" t="inlineStr">
        <is>
          <t>NA</t>
        </is>
      </c>
      <c r="AB302" s="269" t="inlineStr">
        <is>
          <t>USAGE ZP</t>
        </is>
      </c>
      <c r="AC302" s="231" t="inlineStr">
        <is>
          <t>ND</t>
        </is>
      </c>
      <c r="AD302" s="257" t="inlineStr">
        <is>
          <t>N</t>
        </is>
      </c>
      <c r="AE302" s="257" t="inlineStr">
        <is>
          <t xml:space="preserve">TRE2 à 4XX hors 203,205,206,207
</t>
        </is>
      </c>
      <c r="AF302" s="257" t="inlineStr">
        <is>
          <t>NA</t>
        </is>
      </c>
      <c r="AG302" s="258" t="inlineStr">
        <is>
          <t>NA</t>
        </is>
      </c>
      <c r="AH302" s="89" t="n"/>
      <c r="AI302" s="439" t="n"/>
      <c r="AJ302" s="317" t="n"/>
      <c r="AK302" s="257" t="n"/>
      <c r="AL302" s="473" t="n"/>
      <c r="AM302" s="318" t="n"/>
      <c r="AN302" s="317" t="n"/>
      <c r="AO302" s="257" t="n"/>
      <c r="AP302" s="258" t="n"/>
      <c r="AQ302" s="318" t="n"/>
      <c r="AR302" s="317" t="n"/>
      <c r="AS302" s="257" t="n"/>
      <c r="AT302" s="258" t="n"/>
      <c r="AU302" s="318" t="n"/>
      <c r="AV302" s="317" t="n"/>
      <c r="AW302" s="257" t="n"/>
      <c r="AX302" s="258" t="n"/>
      <c r="AY302" s="318" t="n"/>
      <c r="AZ302" s="317" t="n"/>
      <c r="BA302" s="257" t="n"/>
      <c r="BB302" s="258" t="n"/>
      <c r="BC302" s="316" t="n"/>
      <c r="BD302" s="317" t="n"/>
      <c r="BE302" s="257" t="n"/>
      <c r="BF302" s="258" t="n"/>
      <c r="BG302" s="89" t="n"/>
      <c r="BH3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02">
        <f>_xlfn.LET(r,ROW(),oc,INDEX($A:$A,r),cv,TRIM(INDEX($Y:$Y,r)&amp;""),IF(oc&lt;&gt;"P1","",IF(cv="45","V45 - novo, nao alimentado pelo spool atual","V44 - alimentado pelo spool atual")))</f>
        <v/>
      </c>
    </row>
    <row r="303" ht="54" customFormat="1" customHeight="1" s="91">
      <c r="A303" s="306" t="inlineStr">
        <is>
          <t>P1</t>
        </is>
      </c>
      <c r="B303" s="307" t="n">
        <v>68</v>
      </c>
      <c r="C303" s="269" t="inlineStr">
        <is>
          <t>10 - Caractéristiques Engagements par Signature</t>
        </is>
      </c>
      <c r="D303" s="310" t="inlineStr">
        <is>
          <t>10 - Funds in use by signature characteristics</t>
        </is>
      </c>
      <c r="E303" s="307" t="inlineStr">
        <is>
          <t>P1 3.32</t>
        </is>
      </c>
      <c r="F303" s="308" t="inlineStr">
        <is>
          <t>Rôle du Tiers dans l'opération d'affacturage</t>
        </is>
      </c>
      <c r="G303" s="309" t="inlineStr">
        <is>
          <t>Role of External Counterparty in the factoring transaction</t>
        </is>
      </c>
      <c r="H303" s="1493">
        <f>"RPAD( "&amp;SUBSTITUTE(SUBSTITUTE(E303," ","_"),".","_")&amp;","&amp;W303&amp;",' '); -- "&amp;E303</f>
        <v/>
      </c>
      <c r="I303" s="475" t="inlineStr">
        <is>
          <t>Doit permettre d'identifier le rôle du tiers en risque « Client ou Acheteur » sur l'engagement</t>
        </is>
      </c>
      <c r="J303" s="309" t="inlineStr">
        <is>
          <t xml:space="preserve">Makes it possible to identify the role of the “Client or Buyer” external counterparty at-risk </t>
        </is>
      </c>
      <c r="K303" s="370" t="inlineStr">
        <is>
          <t>ND</t>
        </is>
      </c>
      <c r="L303" s="371" t="inlineStr">
        <is>
          <t>ND</t>
        </is>
      </c>
      <c r="M303" s="1420" t="inlineStr">
        <is>
          <t>ZoneResAffa</t>
        </is>
      </c>
      <c r="N303" s="257" t="inlineStr">
        <is>
          <t>Obligatoire sous conditions</t>
        </is>
      </c>
      <c r="O303" s="236" t="inlineStr">
        <is>
          <t>Mandatory under conditions</t>
        </is>
      </c>
      <c r="P303" s="269" t="inlineStr">
        <is>
          <t>LC.0163</t>
        </is>
      </c>
      <c r="Q303" s="269" t="inlineStr">
        <is>
          <t>TA KVROLAFF</t>
        </is>
      </c>
      <c r="R303" s="241" t="inlineStr">
        <is>
          <t>A renseigner uniquement par les entités exerçant une activité d'affacturage
Ne pas renseigner sinon</t>
        </is>
      </c>
      <c r="S303" s="233" t="inlineStr">
        <is>
          <t>To be filled in only by entities carrying out an factoring activity
Do not enter otherwise</t>
        </is>
      </c>
      <c r="T303" s="313" t="inlineStr">
        <is>
          <t>ALPHA</t>
        </is>
      </c>
      <c r="U303" s="237" t="inlineStr">
        <is>
          <t>NA</t>
        </is>
      </c>
      <c r="V303" s="238" t="inlineStr">
        <is>
          <t>NA</t>
        </is>
      </c>
      <c r="W303" s="257" t="n">
        <v>2</v>
      </c>
      <c r="X303" s="945" t="inlineStr">
        <is>
          <t>NA</t>
        </is>
      </c>
      <c r="Y303" s="237" t="n">
        <v>40</v>
      </c>
      <c r="Z303" s="237" t="inlineStr">
        <is>
          <t>NA</t>
        </is>
      </c>
      <c r="AA303" s="283" t="inlineStr">
        <is>
          <t>NA</t>
        </is>
      </c>
      <c r="AB303" s="269" t="inlineStr">
        <is>
          <t>ANACREDIT</t>
        </is>
      </c>
      <c r="AC303" s="231" t="inlineStr">
        <is>
          <t>ND</t>
        </is>
      </c>
      <c r="AD303" s="257" t="inlineStr">
        <is>
          <t>N</t>
        </is>
      </c>
      <c r="AE303" s="257" t="inlineStr">
        <is>
          <t xml:space="preserve">TRE2 à 4XX hors 203,205,206,207
</t>
        </is>
      </c>
      <c r="AF303" s="257" t="inlineStr">
        <is>
          <t>NA</t>
        </is>
      </c>
      <c r="AG303" s="258" t="inlineStr">
        <is>
          <t>NA</t>
        </is>
      </c>
      <c r="AH303" s="89" t="n"/>
      <c r="AI303" s="439" t="inlineStr">
        <is>
          <t>La donnée est obligatoire si le type de Risque [P1 2.0] est égal à ('TRE2xx' (hors 'TRE203', 'TRE205', 'TRE206', 'TRE207'), 'TRE3xx', 'TRE4xx') et si le Portefeuille Bâle Opération [P1 2.18] est égal à ‘090'</t>
        </is>
      </c>
      <c r="AJ303" s="317" t="inlineStr">
        <is>
          <t>The data is mandatory if Risk type [P1 2.0] is equal to ('TRE2xx' (except 'TRE203', 'TRE205', 'TRE206', 'TRE207'), 'TRE3xx', 'TRE4xx') and if Basel Transaction Portfolio [P1 2.18] is equal to ‘090'</t>
        </is>
      </c>
      <c r="AK303" s="257" t="n">
        <v>6</v>
      </c>
      <c r="AL303" s="366" t="inlineStr">
        <is>
          <t>TPS0757</t>
        </is>
      </c>
      <c r="AM303" s="318" t="inlineStr">
        <is>
          <t>Si elle est renseignée, la valeur doit être connue du Langage Commun associé</t>
        </is>
      </c>
      <c r="AN303" s="317" t="inlineStr">
        <is>
          <t>If specified, the value must be known to the associated Common Language</t>
        </is>
      </c>
      <c r="AO303" s="257" t="n">
        <v>7</v>
      </c>
      <c r="AP303" s="212" t="inlineStr">
        <is>
          <t>TIG0001</t>
        </is>
      </c>
      <c r="AQ303" s="318" t="n"/>
      <c r="AR303" s="317" t="n"/>
      <c r="AS303" s="257" t="n"/>
      <c r="AT303" s="258" t="n"/>
      <c r="AU303" s="318" t="n"/>
      <c r="AV303" s="317" t="n"/>
      <c r="AW303" s="257" t="n"/>
      <c r="AX303" s="258" t="n"/>
      <c r="AY303" s="318" t="n"/>
      <c r="AZ303" s="317" t="n"/>
      <c r="BA303" s="257" t="n"/>
      <c r="BB303" s="258" t="n"/>
      <c r="BC303" s="316" t="n"/>
      <c r="BD303" s="317" t="n"/>
      <c r="BE303" s="257" t="n"/>
      <c r="BF303" s="258" t="n"/>
      <c r="BG303" s="89" t="n"/>
      <c r="BH3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03">
        <f>_xlfn.LET(r,ROW(),oc,INDEX($A:$A,r),cv,TRIM(INDEX($Y:$Y,r)&amp;""),IF(oc&lt;&gt;"P1","",IF(cv="45","V45 - novo, nao alimentado pelo spool atual","V44 - alimentado pelo spool atual")))</f>
        <v/>
      </c>
    </row>
    <row r="304" ht="54" customFormat="1" customHeight="1" s="91">
      <c r="A304" s="306" t="inlineStr">
        <is>
          <t>P1</t>
        </is>
      </c>
      <c r="B304" s="307" t="n">
        <v>69</v>
      </c>
      <c r="C304" s="269" t="inlineStr">
        <is>
          <t>03 - Caractéristiques Générales</t>
        </is>
      </c>
      <c r="D304" s="310" t="inlineStr">
        <is>
          <t>03 - General characteristics</t>
        </is>
      </c>
      <c r="E304" s="307" t="inlineStr">
        <is>
          <t>P1 3.46</t>
        </is>
      </c>
      <c r="F304" s="417" t="inlineStr">
        <is>
          <t>Usage du bien immobilier apporté en garantie</t>
        </is>
      </c>
      <c r="G304" s="309" t="inlineStr">
        <is>
          <t>Use of real-estate brought into guarantee</t>
        </is>
      </c>
      <c r="H304" s="1493">
        <f>"RPAD( "&amp;SUBSTITUTE(SUBSTITUTE(E304," ","_"),".","_")&amp;","&amp;W304&amp;",' '); -- "&amp;E304</f>
        <v/>
      </c>
      <c r="I304" s="476" t="inlineStr">
        <is>
          <t xml:space="preserve">Permet de préciser l'usage à retenir pour l'exposition garantie par un bien immobilier (usage résidentiel ou commercial).
Il s'agit d'un attribut au niveau de l'exposition </t>
        </is>
      </c>
      <c r="J304" s="309" t="inlineStr">
        <is>
          <t>Specifies the use to be made of exposure secured by immovable property (residential or commercial use).
This is an attribute at the level of the exposure</t>
        </is>
      </c>
      <c r="K304" s="370" t="inlineStr">
        <is>
          <t>ND</t>
        </is>
      </c>
      <c r="L304" s="371" t="inlineStr">
        <is>
          <t>ND</t>
        </is>
      </c>
      <c r="M304" s="1420" t="inlineStr">
        <is>
          <t>cdUsBien</t>
        </is>
      </c>
      <c r="N304" s="477" t="inlineStr">
        <is>
          <t>Obligatoire (SC)</t>
        </is>
      </c>
      <c r="O304" s="236" t="inlineStr">
        <is>
          <t>Mandatory (SC)</t>
        </is>
      </c>
      <c r="P304" s="269" t="inlineStr">
        <is>
          <t>LC.0166</t>
        </is>
      </c>
      <c r="Q304" s="269" t="inlineStr">
        <is>
          <t>TA KVUSGBI</t>
        </is>
      </c>
      <c r="R304" s="1249" t="inlineStr">
        <is>
          <t>Cette donnée est obligatoire et permet de déterminer la méthode de calcul de la pondération RWA pour les prêts garantis par un bien immobilier. Donnée uniquement pour l'usage COREP</t>
        </is>
      </c>
      <c r="S304" s="233" t="inlineStr">
        <is>
          <t>This data is mandatory and used to determine the method for calculating the RWA weighting for loans secured by real estate. Data only for COREP use</t>
        </is>
      </c>
      <c r="T304" s="313" t="inlineStr">
        <is>
          <t>ALPHA</t>
        </is>
      </c>
      <c r="U304" s="237" t="inlineStr">
        <is>
          <t>NA</t>
        </is>
      </c>
      <c r="V304" s="238" t="inlineStr">
        <is>
          <t>NA</t>
        </is>
      </c>
      <c r="W304" s="257" t="n">
        <v>1</v>
      </c>
      <c r="X304" s="945" t="inlineStr">
        <is>
          <t>NA</t>
        </is>
      </c>
      <c r="Y304" s="237" t="n">
        <v>40</v>
      </c>
      <c r="Z304" s="237" t="inlineStr">
        <is>
          <t>NA</t>
        </is>
      </c>
      <c r="AA304" s="270" t="inlineStr">
        <is>
          <t>NA</t>
        </is>
      </c>
      <c r="AB304" s="1286" t="inlineStr">
        <is>
          <t>CALCULS PRUDENTIELS</t>
        </is>
      </c>
      <c r="AC304" s="231" t="inlineStr">
        <is>
          <t>ND</t>
        </is>
      </c>
      <c r="AD304" s="257" t="inlineStr">
        <is>
          <t>N</t>
        </is>
      </c>
      <c r="AE304" s="1265" t="inlineStr">
        <is>
          <t>TRE2 à 4XX hors 203,205,206,207
TRE5XX</t>
        </is>
      </c>
      <c r="AF304" s="257" t="inlineStr">
        <is>
          <t>NA</t>
        </is>
      </c>
      <c r="AG304" s="258" t="inlineStr">
        <is>
          <t>NA</t>
        </is>
      </c>
      <c r="AH304" s="89" t="n"/>
      <c r="AI304" s="316" t="n"/>
      <c r="AJ304" s="317" t="n"/>
      <c r="AK304" s="257" t="n"/>
      <c r="AL304" s="258" t="n"/>
      <c r="AM304" s="318" t="inlineStr">
        <is>
          <t>Si elle est renseignée, la valeur doit être connue du Langage Commun associé</t>
        </is>
      </c>
      <c r="AN304" s="317" t="inlineStr">
        <is>
          <t>If specified, the value must be known to the associated Common Language</t>
        </is>
      </c>
      <c r="AO304" s="257" t="n">
        <v>7</v>
      </c>
      <c r="AP304" s="212" t="inlineStr">
        <is>
          <t>TIG0001</t>
        </is>
      </c>
      <c r="AQ304" s="318" t="n"/>
      <c r="AR304" s="317" t="n"/>
      <c r="AS304" s="257" t="n"/>
      <c r="AT304" s="258" t="n"/>
      <c r="AU304" s="318" t="n"/>
      <c r="AV304" s="317" t="n"/>
      <c r="AW304" s="257" t="n"/>
      <c r="AX304" s="258" t="n"/>
      <c r="AY304" s="318" t="n"/>
      <c r="AZ304" s="317" t="n"/>
      <c r="BA304" s="257" t="n"/>
      <c r="BB304" s="258" t="n"/>
      <c r="BC304" s="278" t="n"/>
      <c r="BD304" s="160" t="n"/>
      <c r="BE304" s="257" t="n"/>
      <c r="BF304" s="393" t="n"/>
      <c r="BG304" s="89" t="n"/>
      <c r="BH3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04">
        <f>_xlfn.LET(r,ROW(),oc,INDEX($A:$A,r),cv,TRIM(INDEX($Y:$Y,r)&amp;""),IF(oc&lt;&gt;"P1","",IF(cv="45","V45 - novo, nao alimentado pelo spool atual","V44 - alimentado pelo spool atual")))</f>
        <v/>
      </c>
    </row>
    <row r="305" ht="54" customFormat="1" customHeight="1" s="57">
      <c r="A305" s="325" t="inlineStr">
        <is>
          <t>P1</t>
        </is>
      </c>
      <c r="B305" s="326" t="n">
        <v>70</v>
      </c>
      <c r="C305" s="284" t="inlineStr">
        <is>
          <t>07 - Caractéristiques Crédit Bail</t>
        </is>
      </c>
      <c r="D305" s="284" t="inlineStr">
        <is>
          <t>07 - Credit Lease characteristics</t>
        </is>
      </c>
      <c r="E305" s="326" t="inlineStr">
        <is>
          <t>P1 3.47</t>
        </is>
      </c>
      <c r="F305" s="327" t="inlineStr">
        <is>
          <t>Respect des conditions réglementaires</t>
        </is>
      </c>
      <c r="G305" s="327" t="inlineStr">
        <is>
          <t>Compliance with regulatory conditions</t>
        </is>
      </c>
      <c r="H305" s="1493">
        <f>"RPAD( "&amp;SUBSTITUTE(SUBSTITUTE(E305," ","_"),".","_")&amp;","&amp;W305&amp;",' '); -- "&amp;E305</f>
        <v/>
      </c>
      <c r="I305" s="245" t="inlineStr">
        <is>
          <t>Respect des conditions réglementaires</t>
        </is>
      </c>
      <c r="J305" s="327" t="inlineStr">
        <is>
          <t>Compliance with regulatory conditions</t>
        </is>
      </c>
      <c r="K305" s="388" t="inlineStr">
        <is>
          <t>NA</t>
        </is>
      </c>
      <c r="L305" s="388" t="inlineStr">
        <is>
          <t>NA</t>
        </is>
      </c>
      <c r="M305" s="1421" t="inlineStr">
        <is>
          <t>indRespectCdtRegle</t>
        </is>
      </c>
      <c r="N305" s="284" t="inlineStr">
        <is>
          <t>NA</t>
        </is>
      </c>
      <c r="O305" s="244" t="inlineStr">
        <is>
          <t>NA</t>
        </is>
      </c>
      <c r="P305" s="284" t="inlineStr">
        <is>
          <t>LC.0171</t>
        </is>
      </c>
      <c r="Q305" s="284" t="inlineStr">
        <is>
          <t>TA KVRCR</t>
        </is>
      </c>
      <c r="R305" s="245" t="inlineStr">
        <is>
          <t xml:space="preserve">Obligatoire si usage du bien immobilier est renseigné.
A renseigner à 'N' (Sans objet), si "Usage du bien immmobilier" (P1 3.46) à '0' (ne s'applique pas)
</t>
        </is>
      </c>
      <c r="S305" s="245" t="inlineStr">
        <is>
          <t xml:space="preserve">Mandatory if use of the property is completed.
To be filled in to 'N' (Not applicable), if "Use of real estate" (P1 3.46) to '0' (not applicable)
</t>
        </is>
      </c>
      <c r="T305" s="326" t="inlineStr">
        <is>
          <t>ALPHA</t>
        </is>
      </c>
      <c r="U305" s="248" t="inlineStr">
        <is>
          <t>NA</t>
        </is>
      </c>
      <c r="V305" s="248" t="inlineStr">
        <is>
          <t>NA</t>
        </is>
      </c>
      <c r="W305" s="284" t="n">
        <v>1</v>
      </c>
      <c r="X305" s="244" t="inlineStr">
        <is>
          <t>NA</t>
        </is>
      </c>
      <c r="Y305" s="248" t="n">
        <v>40</v>
      </c>
      <c r="Z305" s="248" t="inlineStr">
        <is>
          <t>45</t>
        </is>
      </c>
      <c r="AA305" s="279" t="inlineStr">
        <is>
          <t>45.00</t>
        </is>
      </c>
      <c r="AB305" s="996" t="inlineStr">
        <is>
          <t>CALCULS PRUDENTIELS</t>
        </is>
      </c>
      <c r="AC305" s="244" t="inlineStr">
        <is>
          <t>NA</t>
        </is>
      </c>
      <c r="AD305" s="284" t="inlineStr">
        <is>
          <t>N</t>
        </is>
      </c>
      <c r="AE305" s="284" t="inlineStr">
        <is>
          <t xml:space="preserve">TRE2 à 4XX hors 203,205,206,207
TRE5XX
</t>
        </is>
      </c>
      <c r="AF305" s="284" t="inlineStr">
        <is>
          <t>NA</t>
        </is>
      </c>
      <c r="AG305" s="285" t="inlineStr">
        <is>
          <t>NA</t>
        </is>
      </c>
      <c r="AH305" s="1362" t="n"/>
      <c r="AI305" s="951" t="n"/>
      <c r="AJ305" s="952" t="n"/>
      <c r="AK305" s="953" t="n"/>
      <c r="AL305" s="954" t="n"/>
      <c r="AM305" s="952" t="n"/>
      <c r="AN305" s="952" t="n"/>
      <c r="AO305" s="953" t="n"/>
      <c r="AP305" s="955" t="n"/>
      <c r="AQ305" s="331" t="n"/>
      <c r="AR305" s="331" t="n"/>
      <c r="AS305" s="284" t="n"/>
      <c r="AT305" s="285" t="n"/>
      <c r="AU305" s="331" t="n"/>
      <c r="AV305" s="331" t="n"/>
      <c r="AW305" s="284" t="n"/>
      <c r="AX305" s="285" t="n"/>
      <c r="AY305" s="331" t="n"/>
      <c r="AZ305" s="331" t="n"/>
      <c r="BA305" s="284" t="n"/>
      <c r="BB305" s="285" t="n"/>
      <c r="BC305" s="330" t="n"/>
      <c r="BD305" s="331" t="n"/>
      <c r="BE305" s="284" t="n"/>
      <c r="BF305" s="285" t="n"/>
      <c r="BG305" s="89" t="n"/>
      <c r="BH3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05">
        <f>_xlfn.LET(r,ROW(),oc,INDEX($A:$A,r),cv,TRIM(INDEX($Y:$Y,r)&amp;""),IF(oc&lt;&gt;"P1","",IF(cv="45","V45 - novo, nao alimentado pelo spool atual","V44 - alimentado pelo spool atual")))</f>
        <v/>
      </c>
    </row>
    <row r="306" ht="54" customFormat="1" customHeight="1" s="91">
      <c r="A306" s="306" t="inlineStr">
        <is>
          <t>P1</t>
        </is>
      </c>
      <c r="B306" s="307" t="n">
        <v>71</v>
      </c>
      <c r="C306" s="269" t="inlineStr">
        <is>
          <t>07 - Caractéristiques Crédit Bail</t>
        </is>
      </c>
      <c r="D306" s="310" t="inlineStr">
        <is>
          <t>07 - Credit Lease characteristics</t>
        </is>
      </c>
      <c r="E306" s="307" t="inlineStr">
        <is>
          <t>P1 3.40</t>
        </is>
      </c>
      <c r="F306" s="448" t="inlineStr">
        <is>
          <t>Valeur de marché du bien immobilier loué à la dernière date d'évaluation</t>
        </is>
      </c>
      <c r="G306" s="309" t="inlineStr">
        <is>
          <t>Market value of the leased real-estate as of the most recent valuation date</t>
        </is>
      </c>
      <c r="H306" s="1493">
        <f>"RPAD( "&amp;SUBSTITUTE(SUBSTITUTE(E306," ","_"),".","_")&amp;","&amp;W306&amp;",' '); -- "&amp;E306</f>
        <v/>
      </c>
      <c r="I306" s="308" t="inlineStr">
        <is>
          <t>Valeur de marché du bien immobilier loué à la dernière date d'évaluation</t>
        </is>
      </c>
      <c r="J306" s="309" t="inlineStr">
        <is>
          <t>Market value of the leased real-estate as of the most recent valuation date</t>
        </is>
      </c>
      <c r="K306" s="370" t="inlineStr">
        <is>
          <t>ND</t>
        </is>
      </c>
      <c r="L306" s="371" t="inlineStr">
        <is>
          <t>ND</t>
        </is>
      </c>
      <c r="M306" s="1420" t="inlineStr">
        <is>
          <t>mtMarLastEval</t>
        </is>
      </c>
      <c r="N306" s="257" t="inlineStr">
        <is>
          <t>Obligatoire sous conditions</t>
        </is>
      </c>
      <c r="O306" s="236" t="inlineStr">
        <is>
          <t>Mandatory under conditions</t>
        </is>
      </c>
      <c r="P306" s="269" t="inlineStr">
        <is>
          <t>NA</t>
        </is>
      </c>
      <c r="Q306" s="269" t="inlineStr">
        <is>
          <t>NA</t>
        </is>
      </c>
      <c r="R306" s="241" t="inlineStr">
        <is>
          <t>Obligatoire si le type de risque (P1 2.0) = TRE502 (crédit-bail immobilier)
Ce champ correspond au montant de la valeur de marché du bien immobilier loué à la date d'évaluation.
NA sinon</t>
        </is>
      </c>
      <c r="S306" s="233" t="inlineStr">
        <is>
          <t>Mandatory if risk type (P1 2.0) = TRE502 (real estate leasing)
This field corresponds to the market value amount of the leased property on the valuation date.
NA</t>
        </is>
      </c>
      <c r="T306" s="313" t="inlineStr">
        <is>
          <t>NUM</t>
        </is>
      </c>
      <c r="U306" s="237" t="inlineStr">
        <is>
          <t>19 dont signe et 2 décimales</t>
        </is>
      </c>
      <c r="V306" s="238" t="inlineStr">
        <is>
          <t>19 including sign and 2 decimals</t>
        </is>
      </c>
      <c r="W306" s="257" t="n">
        <v>19</v>
      </c>
      <c r="X306" s="945" t="inlineStr">
        <is>
          <t>NA</t>
        </is>
      </c>
      <c r="Y306" s="237" t="n">
        <v>40</v>
      </c>
      <c r="Z306" s="237" t="inlineStr">
        <is>
          <t>NA</t>
        </is>
      </c>
      <c r="AA306" s="270" t="inlineStr">
        <is>
          <t>NA</t>
        </is>
      </c>
      <c r="AB306" s="1286" t="inlineStr">
        <is>
          <t>CALCULS PRUDENTIELS</t>
        </is>
      </c>
      <c r="AC306" s="231" t="inlineStr">
        <is>
          <t>ND</t>
        </is>
      </c>
      <c r="AD306" s="257" t="inlineStr">
        <is>
          <t>N</t>
        </is>
      </c>
      <c r="AE306" s="478" t="inlineStr">
        <is>
          <t>TRE5XX</t>
        </is>
      </c>
      <c r="AF306" s="257" t="inlineStr">
        <is>
          <t>NA</t>
        </is>
      </c>
      <c r="AG306" s="258" t="inlineStr">
        <is>
          <t>NA</t>
        </is>
      </c>
      <c r="AH306" s="89" t="n"/>
      <c r="AI306" s="461" t="inlineStr">
        <is>
          <t>La donnée est obligatoire si le Type de risque [P1 2.0] est égal à ‘TRE502' et la Méthodologie Bâloise [P1 1.1] = 'STD'</t>
        </is>
      </c>
      <c r="AJ306" s="317" t="inlineStr">
        <is>
          <t>The data is mandatory if Risk type [P1 2.0] is equal to ‘TRE502' and the Basel Methodology [P1 1.1] = ‘STD'</t>
        </is>
      </c>
      <c r="AK306" s="257" t="n">
        <v>6</v>
      </c>
      <c r="AL306" s="345" t="inlineStr">
        <is>
          <t>TPS0759</t>
        </is>
      </c>
      <c r="AM306" s="318" t="n"/>
      <c r="AN306" s="317" t="n"/>
      <c r="AO306" s="257" t="n"/>
      <c r="AP306" s="258" t="n"/>
      <c r="AQ306" s="445" t="inlineStr">
        <is>
          <t>Si renseignée, la donnée doit être positive (supérieure ou égale à 0)</t>
        </is>
      </c>
      <c r="AR306" s="317" t="inlineStr">
        <is>
          <t xml:space="preserve">If filled, data must be positive (greater or equal to 0) </t>
        </is>
      </c>
      <c r="AS306" s="257" t="n">
        <v>7</v>
      </c>
      <c r="AT306" s="345" t="inlineStr">
        <is>
          <t>TVG0001</t>
        </is>
      </c>
      <c r="AU306" s="318" t="n"/>
      <c r="AV306" s="317" t="n"/>
      <c r="AW306" s="257" t="n"/>
      <c r="AX306" s="258" t="n"/>
      <c r="AY306" s="318" t="n"/>
      <c r="AZ306" s="317" t="n"/>
      <c r="BA306" s="257" t="n"/>
      <c r="BB306" s="258" t="n"/>
      <c r="BC306" s="316" t="n"/>
      <c r="BD306" s="317" t="n"/>
      <c r="BE306" s="257" t="n"/>
      <c r="BF306" s="258" t="n"/>
      <c r="BG306" s="89" t="n"/>
      <c r="BH3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06">
        <f>_xlfn.LET(r,ROW(),oc,INDEX($A:$A,r),cv,TRIM(INDEX($Y:$Y,r)&amp;""),IF(oc&lt;&gt;"P1","",IF(cv="45","V45 - novo, nao alimentado pelo spool atual","V44 - alimentado pelo spool atual")))</f>
        <v/>
      </c>
    </row>
    <row r="307" ht="54" customFormat="1" customHeight="1" s="91">
      <c r="A307" s="306" t="inlineStr">
        <is>
          <t>P1</t>
        </is>
      </c>
      <c r="B307" s="307" t="n">
        <v>72</v>
      </c>
      <c r="C307" s="269" t="inlineStr">
        <is>
          <t>07 - Caractéristiques Crédit Bail</t>
        </is>
      </c>
      <c r="D307" s="310" t="inlineStr">
        <is>
          <t>07 - Credit Lease characteristics</t>
        </is>
      </c>
      <c r="E307" s="307" t="inlineStr">
        <is>
          <t>P1 3.41</t>
        </is>
      </c>
      <c r="F307" s="308" t="inlineStr">
        <is>
          <t>Devise de la valeur de marché du bien immobilier loué à la date d'évaluation</t>
        </is>
      </c>
      <c r="G307" s="309" t="inlineStr">
        <is>
          <t>Currency of market value of the leased real-estate as of the valuation date</t>
        </is>
      </c>
      <c r="H307" s="1493">
        <f>"RPAD( "&amp;SUBSTITUTE(SUBSTITUTE(E307," ","_"),".","_")&amp;","&amp;W307&amp;",' '); -- "&amp;E307</f>
        <v/>
      </c>
      <c r="I307" s="241" t="inlineStr">
        <is>
          <t>Devise de la valeur de marché du bien immobilier loué à la date d'évaluation</t>
        </is>
      </c>
      <c r="J307" s="309" t="inlineStr">
        <is>
          <t>Currency of the leased real property's market value at the valuation date</t>
        </is>
      </c>
      <c r="K307" s="370" t="inlineStr">
        <is>
          <t>ND</t>
        </is>
      </c>
      <c r="L307" s="371" t="inlineStr">
        <is>
          <t>ND</t>
        </is>
      </c>
      <c r="M307" s="1420" t="inlineStr">
        <is>
          <t>cdDevMtMarLastEval</t>
        </is>
      </c>
      <c r="N307" s="257" t="inlineStr">
        <is>
          <t>Obligatoire sous conditions</t>
        </is>
      </c>
      <c r="O307" s="236" t="inlineStr">
        <is>
          <t>Mandatory under conditions</t>
        </is>
      </c>
      <c r="P307" s="269" t="inlineStr">
        <is>
          <t>LC.0005</t>
        </is>
      </c>
      <c r="Q307" s="269" t="inlineStr">
        <is>
          <t>TA NM253</t>
        </is>
      </c>
      <c r="R307" s="241" t="inlineStr">
        <is>
          <t>NA</t>
        </is>
      </c>
      <c r="S307" s="233" t="inlineStr">
        <is>
          <t>NA</t>
        </is>
      </c>
      <c r="T307" s="313" t="inlineStr">
        <is>
          <t>ALPHA</t>
        </is>
      </c>
      <c r="U307" s="237" t="inlineStr">
        <is>
          <t>NA</t>
        </is>
      </c>
      <c r="V307" s="238" t="inlineStr">
        <is>
          <t>NA</t>
        </is>
      </c>
      <c r="W307" s="257" t="n">
        <v>3</v>
      </c>
      <c r="X307" s="945" t="inlineStr">
        <is>
          <t>NA</t>
        </is>
      </c>
      <c r="Y307" s="237" t="n">
        <v>40</v>
      </c>
      <c r="Z307" s="237" t="inlineStr">
        <is>
          <t>NA</t>
        </is>
      </c>
      <c r="AA307" s="270" t="inlineStr">
        <is>
          <t>NA</t>
        </is>
      </c>
      <c r="AB307" s="1286" t="inlineStr">
        <is>
          <t>CALCULS PRUDENTIELS</t>
        </is>
      </c>
      <c r="AC307" s="231" t="inlineStr">
        <is>
          <t>ND</t>
        </is>
      </c>
      <c r="AD307" s="257" t="inlineStr">
        <is>
          <t>N</t>
        </is>
      </c>
      <c r="AE307" s="257" t="inlineStr">
        <is>
          <t xml:space="preserve">TRE5XX
</t>
        </is>
      </c>
      <c r="AF307" s="257" t="inlineStr">
        <is>
          <t>NA</t>
        </is>
      </c>
      <c r="AG307" s="258" t="inlineStr">
        <is>
          <t>NA</t>
        </is>
      </c>
      <c r="AH307" s="89" t="n"/>
      <c r="AI307" s="446" t="inlineStr">
        <is>
          <t>La donnée est obligatoire, si Valeur de marché du bien immobilier loué à la dernière date d'évaluation [P1 3.40] est renseignée</t>
        </is>
      </c>
      <c r="AJ307" s="317" t="inlineStr">
        <is>
          <t>The data is mandatory, if Market value of the leased real-estate as of the most recent valuation date [P1 3.40] is filled</t>
        </is>
      </c>
      <c r="AK307" s="257" t="n">
        <v>7</v>
      </c>
      <c r="AL307" s="335" t="inlineStr">
        <is>
          <t>TPG0002</t>
        </is>
      </c>
      <c r="AM307" s="318" t="inlineStr">
        <is>
          <t>Si elle est renseignée, la valeur doit être connue du Langage Commun associé</t>
        </is>
      </c>
      <c r="AN307" s="317" t="inlineStr">
        <is>
          <t>If specified, the value must be known to the associated Common Language</t>
        </is>
      </c>
      <c r="AO307" s="257" t="n">
        <v>7</v>
      </c>
      <c r="AP307" s="212" t="inlineStr">
        <is>
          <t>TIG0001</t>
        </is>
      </c>
      <c r="AQ307" s="318" t="n"/>
      <c r="AR307" s="317" t="n"/>
      <c r="AS307" s="257" t="n"/>
      <c r="AT307" s="258" t="n"/>
      <c r="AU307" s="318" t="n"/>
      <c r="AV307" s="317" t="n"/>
      <c r="AW307" s="257" t="n"/>
      <c r="AX307" s="258" t="n"/>
      <c r="AY307" s="318" t="n"/>
      <c r="AZ307" s="317" t="n"/>
      <c r="BA307" s="257" t="n"/>
      <c r="BB307" s="258" t="n"/>
      <c r="BC307" s="316" t="n"/>
      <c r="BD307" s="317" t="n"/>
      <c r="BE307" s="257" t="n"/>
      <c r="BF307" s="258" t="n"/>
      <c r="BG307" s="89" t="n"/>
      <c r="BH3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07">
        <f>_xlfn.LET(r,ROW(),oc,INDEX($A:$A,r),cv,TRIM(INDEX($Y:$Y,r)&amp;""),IF(oc&lt;&gt;"P1","",IF(cv="45","V45 - novo, nao alimentado pelo spool atual","V44 - alimentado pelo spool atual")))</f>
        <v/>
      </c>
    </row>
    <row r="308" ht="54" customFormat="1" customHeight="1" s="91">
      <c r="A308" s="306" t="inlineStr">
        <is>
          <t>P1</t>
        </is>
      </c>
      <c r="B308" s="307" t="n">
        <v>73</v>
      </c>
      <c r="C308" s="269" t="inlineStr">
        <is>
          <t>07 - Caractéristiques Crédit Bail</t>
        </is>
      </c>
      <c r="D308" s="310" t="inlineStr">
        <is>
          <t>07 - Credit Lease characteristics</t>
        </is>
      </c>
      <c r="E308" s="307" t="inlineStr">
        <is>
          <t>P1 3.42</t>
        </is>
      </c>
      <c r="F308" s="448" t="inlineStr">
        <is>
          <t>Valeur hypothécaire du bien immobilier loué à la date d'évaluation</t>
        </is>
      </c>
      <c r="G308" s="309" t="inlineStr">
        <is>
          <t>Mortgage lending value of the leased real-estate as of the valuation date</t>
        </is>
      </c>
      <c r="H308" s="1493">
        <f>"RPAD( "&amp;SUBSTITUTE(SUBSTITUTE(E308," ","_"),".","_")&amp;","&amp;W308&amp;",' '); -- "&amp;E308</f>
        <v/>
      </c>
      <c r="I308" s="308" t="inlineStr">
        <is>
          <t>Valeur hypothécaire du bien immobilier loué à la date d'évaluation</t>
        </is>
      </c>
      <c r="J308" s="309" t="inlineStr">
        <is>
          <t>Mortgage lending value of the leased real-estate as of the valuation date</t>
        </is>
      </c>
      <c r="K308" s="370" t="inlineStr">
        <is>
          <t>ND</t>
        </is>
      </c>
      <c r="L308" s="371" t="inlineStr">
        <is>
          <t>ND</t>
        </is>
      </c>
      <c r="M308" s="1420" t="inlineStr">
        <is>
          <t>mtHypoLastEval</t>
        </is>
      </c>
      <c r="N308" s="257" t="inlineStr">
        <is>
          <t>Obligatoire sous conditions</t>
        </is>
      </c>
      <c r="O308" s="236" t="inlineStr">
        <is>
          <t>Mandatory under conditions</t>
        </is>
      </c>
      <c r="P308" s="269" t="inlineStr">
        <is>
          <t>NA</t>
        </is>
      </c>
      <c r="Q308" s="269" t="inlineStr">
        <is>
          <t>NA</t>
        </is>
      </c>
      <c r="R308" s="241" t="inlineStr">
        <is>
          <t>NA</t>
        </is>
      </c>
      <c r="S308" s="233" t="inlineStr">
        <is>
          <t>NA</t>
        </is>
      </c>
      <c r="T308" s="313" t="inlineStr">
        <is>
          <t>NUM</t>
        </is>
      </c>
      <c r="U308" s="237" t="inlineStr">
        <is>
          <t>19 dont signe et 2 décimales</t>
        </is>
      </c>
      <c r="V308" s="238" t="inlineStr">
        <is>
          <t>19 including sign and 2 decimals</t>
        </is>
      </c>
      <c r="W308" s="257" t="n">
        <v>19</v>
      </c>
      <c r="X308" s="945" t="inlineStr">
        <is>
          <t>NA</t>
        </is>
      </c>
      <c r="Y308" s="237" t="n">
        <v>40</v>
      </c>
      <c r="Z308" s="237" t="inlineStr">
        <is>
          <t>NA</t>
        </is>
      </c>
      <c r="AA308" s="270" t="inlineStr">
        <is>
          <t>NA</t>
        </is>
      </c>
      <c r="AB308" s="1286" t="inlineStr">
        <is>
          <t>CALCULS PRUDENTIELS</t>
        </is>
      </c>
      <c r="AC308" s="231" t="inlineStr">
        <is>
          <t>ND</t>
        </is>
      </c>
      <c r="AD308" s="257" t="inlineStr">
        <is>
          <t>N</t>
        </is>
      </c>
      <c r="AE308" s="257" t="inlineStr">
        <is>
          <t xml:space="preserve">TRE5XX
</t>
        </is>
      </c>
      <c r="AF308" s="257" t="inlineStr">
        <is>
          <t>NA</t>
        </is>
      </c>
      <c r="AG308" s="258" t="inlineStr">
        <is>
          <t>NA</t>
        </is>
      </c>
      <c r="AH308" s="89" t="n"/>
      <c r="AI308" s="461" t="inlineStr">
        <is>
          <t>La donnée est obligatoire si Type de risque [P1 2.0] = ‘TRE502' et Usage du bien immobilier apporté en garantie [P1 3.46] = ‘2'</t>
        </is>
      </c>
      <c r="AJ308" s="317" t="inlineStr">
        <is>
          <t>The data is mandatory if Risk type [P1 2.0] = ‘TRE502' and Use of real-estate brought into guarantee [P1 3.46] = ‘2'</t>
        </is>
      </c>
      <c r="AK308" s="257" t="n">
        <v>6</v>
      </c>
      <c r="AL308" s="455" t="inlineStr">
        <is>
          <t>TPS0760</t>
        </is>
      </c>
      <c r="AM308" s="318" t="n"/>
      <c r="AN308" s="317" t="n"/>
      <c r="AO308" s="257" t="n"/>
      <c r="AP308" s="258" t="n"/>
      <c r="AQ308" s="445" t="inlineStr">
        <is>
          <t>Si renseignée, la donnée doit être positive (supérieure ou égale à 0)</t>
        </is>
      </c>
      <c r="AR308" s="317" t="inlineStr">
        <is>
          <t xml:space="preserve">If filled, data must be positive (greater or equal to 0) </t>
        </is>
      </c>
      <c r="AS308" s="257" t="n">
        <v>7</v>
      </c>
      <c r="AT308" s="345" t="inlineStr">
        <is>
          <t>TVG0001</t>
        </is>
      </c>
      <c r="AU308" s="318" t="n"/>
      <c r="AV308" s="317" t="n"/>
      <c r="AW308" s="257" t="n"/>
      <c r="AX308" s="258" t="n"/>
      <c r="AY308" s="318" t="n"/>
      <c r="AZ308" s="317" t="n"/>
      <c r="BA308" s="257" t="n"/>
      <c r="BB308" s="258" t="n"/>
      <c r="BC308" s="316" t="n"/>
      <c r="BD308" s="317" t="n"/>
      <c r="BE308" s="257" t="n"/>
      <c r="BF308" s="258" t="n"/>
      <c r="BG308" s="89" t="n"/>
      <c r="BH3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08">
        <f>_xlfn.LET(r,ROW(),oc,INDEX($A:$A,r),cv,TRIM(INDEX($Y:$Y,r)&amp;""),IF(oc&lt;&gt;"P1","",IF(cv="45","V45 - novo, nao alimentado pelo spool atual","V44 - alimentado pelo spool atual")))</f>
        <v/>
      </c>
    </row>
    <row r="309" ht="54" customFormat="1" customHeight="1" s="91">
      <c r="A309" s="306" t="inlineStr">
        <is>
          <t>P1</t>
        </is>
      </c>
      <c r="B309" s="307" t="n">
        <v>74</v>
      </c>
      <c r="C309" s="269" t="inlineStr">
        <is>
          <t>07 - Caractéristiques Crédit Bail</t>
        </is>
      </c>
      <c r="D309" s="310" t="inlineStr">
        <is>
          <t>07 - Credit Lease characteristics</t>
        </is>
      </c>
      <c r="E309" s="307" t="inlineStr">
        <is>
          <t>P1 3.43</t>
        </is>
      </c>
      <c r="F309" s="308" t="inlineStr">
        <is>
          <t>Devise de la valeur hypothécaire du bien immobilier loué à la date d'évaluation</t>
        </is>
      </c>
      <c r="G309" s="309" t="inlineStr">
        <is>
          <t>Currency of mortgage lending value of the leased real-estate as of the valuation date</t>
        </is>
      </c>
      <c r="H309" s="1493">
        <f>"RPAD( "&amp;SUBSTITUTE(SUBSTITUTE(E309," ","_"),".","_")&amp;","&amp;W309&amp;",' '); -- "&amp;E309</f>
        <v/>
      </c>
      <c r="I309" s="241" t="inlineStr">
        <is>
          <t>Devise de la valeur hypothécaire du bien immobilier loué à la date d'évaluation</t>
        </is>
      </c>
      <c r="J309" s="309" t="inlineStr">
        <is>
          <t>Currency of the leased real property's mortgage value at the valuation date</t>
        </is>
      </c>
      <c r="K309" s="370" t="inlineStr">
        <is>
          <t>ND</t>
        </is>
      </c>
      <c r="L309" s="371" t="inlineStr">
        <is>
          <t>ND</t>
        </is>
      </c>
      <c r="M309" s="1420" t="inlineStr">
        <is>
          <t>cdDEvMtHypoLastEval</t>
        </is>
      </c>
      <c r="N309" s="257" t="inlineStr">
        <is>
          <t>Obligatoire sous conditions</t>
        </is>
      </c>
      <c r="O309" s="236" t="inlineStr">
        <is>
          <t>Mandatory under conditions</t>
        </is>
      </c>
      <c r="P309" s="269" t="inlineStr">
        <is>
          <t>LC.0005</t>
        </is>
      </c>
      <c r="Q309" s="269" t="inlineStr">
        <is>
          <t>TA NM253</t>
        </is>
      </c>
      <c r="R309" s="241" t="inlineStr">
        <is>
          <t>NA</t>
        </is>
      </c>
      <c r="S309" s="233" t="inlineStr">
        <is>
          <t>NA</t>
        </is>
      </c>
      <c r="T309" s="313" t="inlineStr">
        <is>
          <t>ALPHA</t>
        </is>
      </c>
      <c r="U309" s="237" t="inlineStr">
        <is>
          <t>NA</t>
        </is>
      </c>
      <c r="V309" s="238" t="inlineStr">
        <is>
          <t>NA</t>
        </is>
      </c>
      <c r="W309" s="257" t="n">
        <v>3</v>
      </c>
      <c r="X309" s="945" t="inlineStr">
        <is>
          <t>NA</t>
        </is>
      </c>
      <c r="Y309" s="237" t="n">
        <v>40</v>
      </c>
      <c r="Z309" s="237" t="inlineStr">
        <is>
          <t>NA</t>
        </is>
      </c>
      <c r="AA309" s="270" t="inlineStr">
        <is>
          <t>NA</t>
        </is>
      </c>
      <c r="AB309" s="1286" t="inlineStr">
        <is>
          <t>CALCULS PRUDENTIELS</t>
        </is>
      </c>
      <c r="AC309" s="231" t="inlineStr">
        <is>
          <t>ND</t>
        </is>
      </c>
      <c r="AD309" s="257" t="inlineStr">
        <is>
          <t>N</t>
        </is>
      </c>
      <c r="AE309" s="257" t="inlineStr">
        <is>
          <t xml:space="preserve">TRE5XX
</t>
        </is>
      </c>
      <c r="AF309" s="257" t="inlineStr">
        <is>
          <t>NA</t>
        </is>
      </c>
      <c r="AG309" s="258" t="inlineStr">
        <is>
          <t>NA</t>
        </is>
      </c>
      <c r="AH309" s="89" t="n"/>
      <c r="AI309" s="446" t="inlineStr">
        <is>
          <t>La donnée est obligatoire, si Valeur hypothécaire du bien immobilier loué à la date d'évaluation [P1 3.42] est renseignée</t>
        </is>
      </c>
      <c r="AJ309" s="317" t="inlineStr">
        <is>
          <t>The data is mandatory, if Mortgage lending value of the leased real-estate as of the valuation date [P1 3.42] is filled</t>
        </is>
      </c>
      <c r="AK309" s="257" t="n">
        <v>7</v>
      </c>
      <c r="AL309" s="335" t="inlineStr">
        <is>
          <t>TPG0002</t>
        </is>
      </c>
      <c r="AM309" s="318" t="inlineStr">
        <is>
          <t>Si elle est renseignée, la valeur doit être connue du Langage Commun associé</t>
        </is>
      </c>
      <c r="AN309" s="317" t="inlineStr">
        <is>
          <t>If specified, the value must be known to the associated Common Language</t>
        </is>
      </c>
      <c r="AO309" s="257" t="n">
        <v>7</v>
      </c>
      <c r="AP309" s="212" t="inlineStr">
        <is>
          <t>TIG0001</t>
        </is>
      </c>
      <c r="AQ309" s="318" t="n"/>
      <c r="AR309" s="317" t="n"/>
      <c r="AS309" s="257" t="n"/>
      <c r="AT309" s="258" t="n"/>
      <c r="AU309" s="318" t="n"/>
      <c r="AV309" s="317" t="n"/>
      <c r="AW309" s="257" t="n"/>
      <c r="AX309" s="258" t="n"/>
      <c r="AY309" s="318" t="n"/>
      <c r="AZ309" s="317" t="n"/>
      <c r="BA309" s="257" t="n"/>
      <c r="BB309" s="258" t="n"/>
      <c r="BC309" s="316" t="n"/>
      <c r="BD309" s="317" t="n"/>
      <c r="BE309" s="257" t="n"/>
      <c r="BF309" s="258" t="n"/>
      <c r="BG309" s="89" t="n"/>
      <c r="BH3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09">
        <f>_xlfn.LET(r,ROW(),oc,INDEX($A:$A,r),cv,TRIM(INDEX($Y:$Y,r)&amp;""),IF(oc&lt;&gt;"P1","",IF(cv="45","V45 - novo, nao alimentado pelo spool atual","V44 - alimentado pelo spool atual")))</f>
        <v/>
      </c>
    </row>
    <row r="310" ht="54" customFormat="1" customHeight="1" s="57">
      <c r="A310" s="325" t="inlineStr">
        <is>
          <t>P1</t>
        </is>
      </c>
      <c r="B310" s="326" t="n">
        <v>75</v>
      </c>
      <c r="C310" s="284" t="inlineStr">
        <is>
          <t>NA</t>
        </is>
      </c>
      <c r="D310" s="284" t="inlineStr">
        <is>
          <t>NA</t>
        </is>
      </c>
      <c r="E310" s="326" t="inlineStr">
        <is>
          <t>P1 3.44</t>
        </is>
      </c>
      <c r="F310" s="327" t="inlineStr">
        <is>
          <t>Zone libre (Ex Localisation du bien immobilier)</t>
        </is>
      </c>
      <c r="G310" s="327" t="inlineStr">
        <is>
          <t>Free zone (Ex Location of real-estate)</t>
        </is>
      </c>
      <c r="H310" s="1493">
        <f>"RPAD( "&amp;SUBSTITUTE(SUBSTITUTE(E310," ","_"),".","_")&amp;","&amp;W310&amp;",' '); -- "&amp;E310</f>
        <v/>
      </c>
      <c r="I310" s="329" t="inlineStr">
        <is>
          <t xml:space="preserve">Remplacé par le champ "Lieu d'investissement du bien financé : Code pays" (P1 31.10) </t>
        </is>
      </c>
      <c r="J310" s="329" t="inlineStr">
        <is>
          <t>Replaced by the field "Investment location of the financed asset: Country code" (P1 31.10)</t>
        </is>
      </c>
      <c r="K310" s="328" t="inlineStr">
        <is>
          <t>NA</t>
        </is>
      </c>
      <c r="L310" s="328" t="inlineStr">
        <is>
          <t>NA</t>
        </is>
      </c>
      <c r="M310" s="1421" t="inlineStr">
        <is>
          <t>Zonelibre344</t>
        </is>
      </c>
      <c r="N310" s="284" t="inlineStr">
        <is>
          <t>NA</t>
        </is>
      </c>
      <c r="O310" s="284" t="inlineStr">
        <is>
          <t>NA</t>
        </is>
      </c>
      <c r="P310" s="284" t="inlineStr">
        <is>
          <t>LC.0004</t>
        </is>
      </c>
      <c r="Q310" s="284" t="inlineStr">
        <is>
          <t>TA NM252</t>
        </is>
      </c>
      <c r="R310" s="245" t="inlineStr">
        <is>
          <t>NA</t>
        </is>
      </c>
      <c r="S310" s="245" t="inlineStr">
        <is>
          <t>NA</t>
        </is>
      </c>
      <c r="T310" s="333" t="inlineStr">
        <is>
          <t>ALPHA</t>
        </is>
      </c>
      <c r="U310" s="256" t="inlineStr">
        <is>
          <t>NA</t>
        </is>
      </c>
      <c r="V310" s="256" t="inlineStr">
        <is>
          <t>NA</t>
        </is>
      </c>
      <c r="W310" s="328" t="n">
        <v>2</v>
      </c>
      <c r="X310" s="244" t="inlineStr">
        <is>
          <t>NA</t>
        </is>
      </c>
      <c r="Y310" s="248" t="inlineStr">
        <is>
          <t>NA</t>
        </is>
      </c>
      <c r="Z310" s="248" t="n">
        <v>43</v>
      </c>
      <c r="AA310" s="248" t="inlineStr">
        <is>
          <t>NA</t>
        </is>
      </c>
      <c r="AB310" s="284" t="inlineStr">
        <is>
          <t>NA</t>
        </is>
      </c>
      <c r="AC310" s="244" t="inlineStr">
        <is>
          <t>NA</t>
        </is>
      </c>
      <c r="AD310" s="284" t="inlineStr">
        <is>
          <t>N</t>
        </is>
      </c>
      <c r="AE310" s="284" t="inlineStr">
        <is>
          <t>NA</t>
        </is>
      </c>
      <c r="AF310" s="284" t="inlineStr">
        <is>
          <t>NA</t>
        </is>
      </c>
      <c r="AG310" s="285" t="inlineStr">
        <is>
          <t>NA</t>
        </is>
      </c>
      <c r="AH310" s="89" t="n"/>
      <c r="AI310" s="330" t="n"/>
      <c r="AJ310" s="331" t="n"/>
      <c r="AK310" s="284" t="n"/>
      <c r="AL310" s="285" t="n"/>
      <c r="AM310" s="331" t="n"/>
      <c r="AN310" s="331" t="n"/>
      <c r="AO310" s="284" t="n"/>
      <c r="AP310" s="285" t="n"/>
      <c r="AQ310" s="331" t="n"/>
      <c r="AR310" s="331" t="n"/>
      <c r="AS310" s="284" t="n"/>
      <c r="AT310" s="285" t="n"/>
      <c r="AU310" s="331" t="n"/>
      <c r="AV310" s="331" t="n"/>
      <c r="AW310" s="284" t="n"/>
      <c r="AX310" s="285" t="n"/>
      <c r="AY310" s="331" t="n"/>
      <c r="AZ310" s="331" t="n"/>
      <c r="BA310" s="284" t="n"/>
      <c r="BB310" s="285" t="n"/>
      <c r="BC310" s="330" t="n"/>
      <c r="BD310" s="331" t="n"/>
      <c r="BE310" s="284" t="n"/>
      <c r="BF310" s="285" t="n"/>
      <c r="BG310" s="89" t="n"/>
      <c r="BH3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10">
        <f>_xlfn.LET(r,ROW(),oc,INDEX($A:$A,r),cv,TRIM(INDEX($Y:$Y,r)&amp;""),IF(oc&lt;&gt;"P1","",IF(cv="45","V45 - novo, nao alimentado pelo spool atual","V44 - alimentado pelo spool atual")))</f>
        <v/>
      </c>
    </row>
    <row r="311" ht="54" customFormat="1" customHeight="1" s="91">
      <c r="A311" s="306" t="inlineStr">
        <is>
          <t>P1</t>
        </is>
      </c>
      <c r="B311" s="307" t="n">
        <v>76</v>
      </c>
      <c r="C311" s="269" t="inlineStr">
        <is>
          <t>07 - Caractéristiques Crédit Bail</t>
        </is>
      </c>
      <c r="D311" s="310" t="inlineStr">
        <is>
          <t>07 - Credit Lease characteristics</t>
        </is>
      </c>
      <c r="E311" s="307" t="inlineStr">
        <is>
          <t>P1 3.45</t>
        </is>
      </c>
      <c r="F311" s="448" t="inlineStr">
        <is>
          <t xml:space="preserve">Achat en fin de contrat du bien loué </t>
        </is>
      </c>
      <c r="G311" s="309" t="inlineStr">
        <is>
          <t xml:space="preserve">Purchase of leased asset at end of lease </t>
        </is>
      </c>
      <c r="H311" s="1493">
        <f>"RPAD( "&amp;SUBSTITUTE(SUBSTITUTE(E311," ","_"),".","_")&amp;","&amp;W311&amp;",' '); -- "&amp;E311</f>
        <v/>
      </c>
      <c r="I311" s="241" t="inlineStr">
        <is>
          <t>Achat en fin de contrat du bien loué</t>
        </is>
      </c>
      <c r="J311" s="309" t="inlineStr">
        <is>
          <t>Purchase at end of leased property's contract</t>
        </is>
      </c>
      <c r="K311" s="370" t="inlineStr">
        <is>
          <t>ND</t>
        </is>
      </c>
      <c r="L311" s="371" t="inlineStr">
        <is>
          <t>ND</t>
        </is>
      </c>
      <c r="M311" s="1420" t="inlineStr">
        <is>
          <t>cdAchatFinContrBien</t>
        </is>
      </c>
      <c r="N311" s="257" t="inlineStr">
        <is>
          <t>Obligatoire sous conditions</t>
        </is>
      </c>
      <c r="O311" s="236" t="inlineStr">
        <is>
          <t>Mandatory under conditions</t>
        </is>
      </c>
      <c r="P311" s="269" t="inlineStr">
        <is>
          <t>LC.0155</t>
        </is>
      </c>
      <c r="Q311" s="269" t="inlineStr">
        <is>
          <t>TA KVIACHAT</t>
        </is>
      </c>
      <c r="R311" s="241" t="inlineStr">
        <is>
          <t>Obligatoire pour si le type de risque (P1 2.0) = TRE5XX, et valable pour toute opération de location financière et à caractère financier (bien mobilier et immobilier)</t>
        </is>
      </c>
      <c r="S311" s="233" t="inlineStr">
        <is>
          <t>Mandatory if the risk type (P1 2.0) = TRE5XX, and valid for any operating lease and financial transaction (real estate and property)</t>
        </is>
      </c>
      <c r="T311" s="313" t="inlineStr">
        <is>
          <t>ALPHA</t>
        </is>
      </c>
      <c r="U311" s="237" t="inlineStr">
        <is>
          <t>NA</t>
        </is>
      </c>
      <c r="V311" s="238" t="inlineStr">
        <is>
          <t>NA</t>
        </is>
      </c>
      <c r="W311" s="257" t="n">
        <v>1</v>
      </c>
      <c r="X311" s="945" t="inlineStr">
        <is>
          <t>NA</t>
        </is>
      </c>
      <c r="Y311" s="237" t="n">
        <v>40</v>
      </c>
      <c r="Z311" s="237" t="inlineStr">
        <is>
          <t>NA</t>
        </is>
      </c>
      <c r="AA311" s="270" t="inlineStr">
        <is>
          <t>NA</t>
        </is>
      </c>
      <c r="AB311" s="994" t="inlineStr">
        <is>
          <t>ANACREDIT, CALCULS PRUDENTIELS, DEI, ESG PILIER 3, GRR, LOAN TAPE</t>
        </is>
      </c>
      <c r="AC311" s="231" t="inlineStr">
        <is>
          <t>ND</t>
        </is>
      </c>
      <c r="AD311" s="257" t="inlineStr">
        <is>
          <t>N</t>
        </is>
      </c>
      <c r="AE311" s="1265" t="inlineStr">
        <is>
          <t>TRE5XX</t>
        </is>
      </c>
      <c r="AF311" s="257" t="inlineStr">
        <is>
          <t>NA</t>
        </is>
      </c>
      <c r="AG311" s="258" t="inlineStr">
        <is>
          <t>NA</t>
        </is>
      </c>
      <c r="AH311" s="89" t="n"/>
      <c r="AI311" s="446" t="inlineStr">
        <is>
          <t>La donnée est obligatoire si le Type de risque [P1 2.0] = 'TRE5*' ET si la Méthodologie Bâloise [P1 1.1] = 'STD'</t>
        </is>
      </c>
      <c r="AJ311" s="317" t="inlineStr">
        <is>
          <t>The data is mandatory, if Risk type [P1 2.0] = 'TRE5*' AND if the Basel Methodology [P1 1.1] = 'STD'</t>
        </is>
      </c>
      <c r="AK311" s="257" t="n">
        <v>7</v>
      </c>
      <c r="AL311" s="345" t="inlineStr">
        <is>
          <t>TPS0761</t>
        </is>
      </c>
      <c r="AM311" s="318" t="inlineStr">
        <is>
          <t>Si elle est renseignée, la valeur doit être connue du Langage Commun associé</t>
        </is>
      </c>
      <c r="AN311" s="317" t="inlineStr">
        <is>
          <t>If specified, the value must be known to the associated Common Language</t>
        </is>
      </c>
      <c r="AO311" s="257" t="n">
        <v>7</v>
      </c>
      <c r="AP311" s="212" t="inlineStr">
        <is>
          <t>TIG0001</t>
        </is>
      </c>
      <c r="AQ311" s="318" t="n"/>
      <c r="AR311" s="317" t="n"/>
      <c r="AS311" s="257" t="n"/>
      <c r="AT311" s="258" t="n"/>
      <c r="AU311" s="318" t="n"/>
      <c r="AV311" s="317" t="n"/>
      <c r="AW311" s="257" t="n"/>
      <c r="AX311" s="258" t="n"/>
      <c r="AY311" s="318" t="n"/>
      <c r="AZ311" s="317" t="n"/>
      <c r="BA311" s="257" t="n"/>
      <c r="BB311" s="258" t="n"/>
      <c r="BC311" s="278" t="inlineStr">
        <is>
          <t>Si la combinaison de donnée n'est pas trouvée dans la matrice des règles de gestion C16, le contrôle doit se lever</t>
        </is>
      </c>
      <c r="BD311" s="160" t="inlineStr">
        <is>
          <t>If the data combinaison is not found in the C16 business rules matrix, the control must trigger</t>
        </is>
      </c>
      <c r="BE311" s="257" t="n">
        <v>6</v>
      </c>
      <c r="BF311" s="393" t="inlineStr">
        <is>
          <t>TC0C16</t>
        </is>
      </c>
      <c r="BG311" s="89" t="n"/>
      <c r="BH3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11">
        <f>_xlfn.LET(r,ROW(),oc,INDEX($A:$A,r),cv,TRIM(INDEX($Y:$Y,r)&amp;""),IF(oc&lt;&gt;"P1","",IF(cv="45","V45 - novo, nao alimentado pelo spool atual","V44 - alimentado pelo spool atual")))</f>
        <v/>
      </c>
    </row>
    <row r="312" ht="54" customFormat="1" customHeight="1" s="91">
      <c r="A312" s="306" t="inlineStr">
        <is>
          <t>P1</t>
        </is>
      </c>
      <c r="B312" s="307" t="n">
        <v>77</v>
      </c>
      <c r="C312" s="269" t="inlineStr">
        <is>
          <t>07 - Caractéristiques Crédit Bail</t>
        </is>
      </c>
      <c r="D312" s="310" t="inlineStr">
        <is>
          <t>07 - Credit Lease characteristics</t>
        </is>
      </c>
      <c r="E312" s="307" t="inlineStr">
        <is>
          <t>P1 5.19</t>
        </is>
      </c>
      <c r="F312" s="448" t="inlineStr">
        <is>
          <t xml:space="preserve">Valeur estimée en fin de période du bien loué </t>
        </is>
      </c>
      <c r="G312" s="309" t="inlineStr">
        <is>
          <t xml:space="preserve">Leased property's estimated value at end of period </t>
        </is>
      </c>
      <c r="H312" s="1493">
        <f>"RPAD( "&amp;SUBSTITUTE(SUBSTITUTE(E312," ","_"),".","_")&amp;","&amp;W312&amp;",' '); -- "&amp;E312</f>
        <v/>
      </c>
      <c r="I312" s="241" t="inlineStr">
        <is>
          <t>Valeur résiduelle en risque du portefeuille de Crédit-Bail</t>
        </is>
      </c>
      <c r="J312" s="233" t="inlineStr">
        <is>
          <t>Residual value at risk of the Leasing portfolio</t>
        </is>
      </c>
      <c r="K312" s="269" t="inlineStr">
        <is>
          <t>ND</t>
        </is>
      </c>
      <c r="L312" s="310" t="inlineStr">
        <is>
          <t>ND</t>
        </is>
      </c>
      <c r="M312" s="1420" t="inlineStr">
        <is>
          <t>mtFinContrBien</t>
        </is>
      </c>
      <c r="N312" s="257" t="inlineStr">
        <is>
          <t>Obligatoire sous conditions</t>
        </is>
      </c>
      <c r="O312" s="236" t="inlineStr">
        <is>
          <t>Mandatory under conditions</t>
        </is>
      </c>
      <c r="P312" s="269" t="inlineStr">
        <is>
          <t>NA</t>
        </is>
      </c>
      <c r="Q312" s="269" t="inlineStr">
        <is>
          <t>NA</t>
        </is>
      </c>
      <c r="R312" s="241" t="inlineStr">
        <is>
          <t>Cette valeur est ajoutée aux paiements minimaux pour constituer l'exposition à pondérer, seulement s'il existe une certitude raisonnable que le bien sera cédé à la fin du contrat (champ "Achat en fin de contrat du bien loué" = '1')</t>
        </is>
      </c>
      <c r="S312" s="233" t="inlineStr">
        <is>
          <t>This value is added to the minimum payments to constitute the exposure to be weighted, only if there is reasonable certainty that the property will be assigned at the end of the contract (field "Purchase at the end of the lease of the leased property" = '1')</t>
        </is>
      </c>
      <c r="T312" s="313" t="inlineStr">
        <is>
          <t>NUM</t>
        </is>
      </c>
      <c r="U312" s="237" t="inlineStr">
        <is>
          <t>19 dont signe et 2 décimales</t>
        </is>
      </c>
      <c r="V312" s="238" t="inlineStr">
        <is>
          <t>19 including sign and 2 decimals</t>
        </is>
      </c>
      <c r="W312" s="257" t="n">
        <v>19</v>
      </c>
      <c r="X312" s="945" t="inlineStr">
        <is>
          <t>NA</t>
        </is>
      </c>
      <c r="Y312" s="237" t="n">
        <v>40</v>
      </c>
      <c r="Z312" s="237" t="inlineStr">
        <is>
          <t>NA</t>
        </is>
      </c>
      <c r="AA312" s="978" t="inlineStr">
        <is>
          <t>NA</t>
        </is>
      </c>
      <c r="AB312" s="994" t="inlineStr">
        <is>
          <t>CALCULS PRUDENTIELS, DEI, ESG PILIER 3, GRR, LOAN TAPE, OMP</t>
        </is>
      </c>
      <c r="AC312" s="231" t="inlineStr">
        <is>
          <t>ND</t>
        </is>
      </c>
      <c r="AD312" s="257" t="inlineStr">
        <is>
          <t>N</t>
        </is>
      </c>
      <c r="AE312" s="257" t="inlineStr">
        <is>
          <t>TRE5XX</t>
        </is>
      </c>
      <c r="AF312" s="257" t="inlineStr">
        <is>
          <t>NA</t>
        </is>
      </c>
      <c r="AG312" s="258" t="inlineStr">
        <is>
          <t>NA</t>
        </is>
      </c>
      <c r="AH312" s="89" t="n"/>
      <c r="AI312" s="446" t="inlineStr">
        <is>
          <t>La donnée est obligatoire, si type de risque [P1 2.0] = 'TRE5*' ET si Achat en fin de contrat du bien loué [P1 3.45] = ‘1'</t>
        </is>
      </c>
      <c r="AJ312" s="317" t="inlineStr">
        <is>
          <t>The data is mandatory, if Risk type [P1 2.0] = 'TRE5*'AND if Purchase of leased asset at end of lease [P1 3.45] = ‘1'</t>
        </is>
      </c>
      <c r="AK312" s="257" t="n">
        <v>7</v>
      </c>
      <c r="AL312" s="345" t="inlineStr">
        <is>
          <t>TPS0762</t>
        </is>
      </c>
      <c r="AM312" s="318" t="n"/>
      <c r="AN312" s="317" t="n"/>
      <c r="AO312" s="257" t="n"/>
      <c r="AP312" s="258" t="n"/>
      <c r="AQ312" s="445" t="inlineStr">
        <is>
          <t>Si renseignée, la donnée doit être positive (supérieure ou égale à 0)</t>
        </is>
      </c>
      <c r="AR312" s="317" t="inlineStr">
        <is>
          <t xml:space="preserve">If filled, data must be positive (greater or equal to 0) </t>
        </is>
      </c>
      <c r="AS312" s="257" t="n">
        <v>7</v>
      </c>
      <c r="AT312" s="345" t="inlineStr">
        <is>
          <t>TVG0001</t>
        </is>
      </c>
      <c r="AU312" s="318" t="n"/>
      <c r="AV312" s="317" t="n"/>
      <c r="AW312" s="257" t="n"/>
      <c r="AX312" s="258" t="n"/>
      <c r="AY312" s="318" t="n"/>
      <c r="AZ312" s="317" t="n"/>
      <c r="BA312" s="257" t="n"/>
      <c r="BB312" s="258" t="n"/>
      <c r="BC312" s="316" t="n"/>
      <c r="BD312" s="317" t="n"/>
      <c r="BE312" s="257" t="n"/>
      <c r="BF312" s="258" t="n"/>
      <c r="BG312" s="89" t="n"/>
      <c r="BH3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12">
        <f>_xlfn.LET(r,ROW(),oc,INDEX($A:$A,r),cv,TRIM(INDEX($Y:$Y,r)&amp;""),IF(oc&lt;&gt;"P1","",IF(cv="45","V45 - novo, nao alimentado pelo spool atual","V44 - alimentado pelo spool atual")))</f>
        <v/>
      </c>
    </row>
    <row r="313" ht="54" customFormat="1" customHeight="1" s="91">
      <c r="A313" s="306" t="inlineStr">
        <is>
          <t>P1</t>
        </is>
      </c>
      <c r="B313" s="307" t="n">
        <v>78</v>
      </c>
      <c r="C313" s="269" t="inlineStr">
        <is>
          <t>07 - Caractéristiques Crédit Bail</t>
        </is>
      </c>
      <c r="D313" s="310" t="inlineStr">
        <is>
          <t>07 - Credit Lease characteristics</t>
        </is>
      </c>
      <c r="E313" s="307" t="inlineStr">
        <is>
          <t>P1 5.20</t>
        </is>
      </c>
      <c r="F313" s="308" t="inlineStr">
        <is>
          <t>Devise de la valeur estimée en fin de période du bien loué</t>
        </is>
      </c>
      <c r="G313" s="309" t="inlineStr">
        <is>
          <t>Currency of the estimated value of leased asset at end of period</t>
        </is>
      </c>
      <c r="H313" s="1493">
        <f>"RPAD( "&amp;SUBSTITUTE(SUBSTITUTE(E313," ","_"),".","_")&amp;","&amp;W313&amp;",' '); -- "&amp;E313</f>
        <v/>
      </c>
      <c r="I313" s="241" t="inlineStr">
        <is>
          <t>Devise d'expression de la Valeur Résiduelle en risque du portefeuille de crédit-bail</t>
        </is>
      </c>
      <c r="J313" s="309" t="inlineStr">
        <is>
          <t>Currency in which the Residual Value at Risk of the Leasing Portfolio is expressed</t>
        </is>
      </c>
      <c r="K313" s="370" t="inlineStr">
        <is>
          <t>ND</t>
        </is>
      </c>
      <c r="L313" s="371" t="inlineStr">
        <is>
          <t>ND</t>
        </is>
      </c>
      <c r="M313" s="1420" t="inlineStr">
        <is>
          <t>cdDevMtFinContrBien</t>
        </is>
      </c>
      <c r="N313" s="257" t="inlineStr">
        <is>
          <t>Obligatoire sous conditions</t>
        </is>
      </c>
      <c r="O313" s="236" t="inlineStr">
        <is>
          <t>Mandatory under conditions</t>
        </is>
      </c>
      <c r="P313" s="269" t="inlineStr">
        <is>
          <t>LC.0005</t>
        </is>
      </c>
      <c r="Q313" s="269" t="inlineStr">
        <is>
          <t>TA NM253</t>
        </is>
      </c>
      <c r="R313" s="241" t="inlineStr">
        <is>
          <t>NA</t>
        </is>
      </c>
      <c r="S313" s="233" t="inlineStr">
        <is>
          <t>NA</t>
        </is>
      </c>
      <c r="T313" s="313" t="inlineStr">
        <is>
          <t>ALPHA</t>
        </is>
      </c>
      <c r="U313" s="237" t="inlineStr">
        <is>
          <t>NA</t>
        </is>
      </c>
      <c r="V313" s="238" t="inlineStr">
        <is>
          <t>NA</t>
        </is>
      </c>
      <c r="W313" s="257" t="n">
        <v>3</v>
      </c>
      <c r="X313" s="945" t="inlineStr">
        <is>
          <t>NA</t>
        </is>
      </c>
      <c r="Y313" s="237" t="n">
        <v>40</v>
      </c>
      <c r="Z313" s="237" t="inlineStr">
        <is>
          <t>NA</t>
        </is>
      </c>
      <c r="AA313" s="978" t="inlineStr">
        <is>
          <t>NA</t>
        </is>
      </c>
      <c r="AB313" s="994" t="inlineStr">
        <is>
          <t>CALCULS PRUDENTIELS, DEI, ESG PILIER 3, GRR, OMP</t>
        </is>
      </c>
      <c r="AC313" s="231" t="inlineStr">
        <is>
          <t>ND</t>
        </is>
      </c>
      <c r="AD313" s="257" t="inlineStr">
        <is>
          <t>N</t>
        </is>
      </c>
      <c r="AE313" s="1265" t="inlineStr">
        <is>
          <t>TRE5XX</t>
        </is>
      </c>
      <c r="AF313" s="257" t="inlineStr">
        <is>
          <t>NA</t>
        </is>
      </c>
      <c r="AG313" s="258" t="inlineStr">
        <is>
          <t>NA</t>
        </is>
      </c>
      <c r="AH313" s="89" t="n"/>
      <c r="AI313" s="446" t="inlineStr">
        <is>
          <t>La donnée est obligatoire, si Valeur estimée en fin de période du bien loué [P1 5.19] est renseignée</t>
        </is>
      </c>
      <c r="AJ313" s="317" t="inlineStr">
        <is>
          <t>The data is mandatory, if Leased property's estimated value at end of period [P1 5.19] is filled</t>
        </is>
      </c>
      <c r="AK313" s="257" t="n">
        <v>7</v>
      </c>
      <c r="AL313" s="335" t="inlineStr">
        <is>
          <t>TPG0002</t>
        </is>
      </c>
      <c r="AM313" s="318" t="inlineStr">
        <is>
          <t>Si elle est renseignée, la valeur doit être connue du Langage Commun associé</t>
        </is>
      </c>
      <c r="AN313" s="317" t="inlineStr">
        <is>
          <t>If specified, the value must be known to the associated Common Language</t>
        </is>
      </c>
      <c r="AO313" s="257" t="n">
        <v>7</v>
      </c>
      <c r="AP313" s="212" t="inlineStr">
        <is>
          <t>TIG0001</t>
        </is>
      </c>
      <c r="AQ313" s="318" t="n"/>
      <c r="AR313" s="317" t="n"/>
      <c r="AS313" s="257" t="n"/>
      <c r="AT313" s="258" t="n"/>
      <c r="AU313" s="318" t="n"/>
      <c r="AV313" s="317" t="n"/>
      <c r="AW313" s="257" t="n"/>
      <c r="AX313" s="258" t="n"/>
      <c r="AY313" s="318" t="n"/>
      <c r="AZ313" s="317" t="n"/>
      <c r="BA313" s="257" t="n"/>
      <c r="BB313" s="258" t="n"/>
      <c r="BC313" s="316" t="n"/>
      <c r="BD313" s="317" t="n"/>
      <c r="BE313" s="257" t="n"/>
      <c r="BF313" s="258" t="n"/>
      <c r="BG313" s="89" t="n"/>
      <c r="BH3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13">
        <f>_xlfn.LET(r,ROW(),oc,INDEX($A:$A,r),cv,TRIM(INDEX($Y:$Y,r)&amp;""),IF(oc&lt;&gt;"P1","",IF(cv="45","V45 - novo, nao alimentado pelo spool atual","V44 - alimentado pelo spool atual")))</f>
        <v/>
      </c>
    </row>
    <row r="314" ht="54" customFormat="1" customHeight="1" s="91">
      <c r="A314" s="306" t="inlineStr">
        <is>
          <t>P1</t>
        </is>
      </c>
      <c r="B314" s="307" t="n">
        <v>79</v>
      </c>
      <c r="C314" s="269" t="inlineStr">
        <is>
          <t>03 - Caractéristiques Générales</t>
        </is>
      </c>
      <c r="D314" s="310" t="inlineStr">
        <is>
          <t>03 - General characteristics</t>
        </is>
      </c>
      <c r="E314" s="307" t="inlineStr">
        <is>
          <t>P1 19.5</t>
        </is>
      </c>
      <c r="F314" s="479" t="inlineStr">
        <is>
          <t xml:space="preserve">Classification comptable de référence des actifs </t>
        </is>
      </c>
      <c r="G314" s="309" t="inlineStr">
        <is>
          <t>Reference accounting classification of assets</t>
        </is>
      </c>
      <c r="H314" s="1493">
        <f>"RPAD( "&amp;SUBSTITUTE(SUBSTITUTE(E314," ","_"),".","_")&amp;","&amp;W314&amp;",' '); -- "&amp;E314</f>
        <v/>
      </c>
      <c r="I314" s="475" t="inlineStr">
        <is>
          <t>Classification comptable de référence des actifs en norme IFRS 9</t>
        </is>
      </c>
      <c r="J314" s="309" t="inlineStr">
        <is>
          <t>Reference accounting classification of assets under IFRS 9</t>
        </is>
      </c>
      <c r="K314" s="370" t="inlineStr">
        <is>
          <t>ND</t>
        </is>
      </c>
      <c r="L314" s="371" t="inlineStr">
        <is>
          <t>ND</t>
        </is>
      </c>
      <c r="M314" s="1420" t="inlineStr">
        <is>
          <t>cdClassNormeIAS</t>
        </is>
      </c>
      <c r="N314" s="257" t="inlineStr">
        <is>
          <t>Obligatoire</t>
        </is>
      </c>
      <c r="O314" s="310" t="inlineStr">
        <is>
          <t>Mandatory</t>
        </is>
      </c>
      <c r="P314" s="269" t="inlineStr">
        <is>
          <t>LC.0066</t>
        </is>
      </c>
      <c r="Q314" s="269" t="inlineStr">
        <is>
          <t>TA KVCLCOMP</t>
        </is>
      </c>
      <c r="R314" s="241" t="inlineStr">
        <is>
          <t>NA</t>
        </is>
      </c>
      <c r="S314" s="233" t="inlineStr">
        <is>
          <t>NA</t>
        </is>
      </c>
      <c r="T314" s="313" t="inlineStr">
        <is>
          <t>ALPHA</t>
        </is>
      </c>
      <c r="U314" s="237" t="inlineStr">
        <is>
          <t>NA</t>
        </is>
      </c>
      <c r="V314" s="238" t="inlineStr">
        <is>
          <t>NA</t>
        </is>
      </c>
      <c r="W314" s="257" t="n">
        <v>3</v>
      </c>
      <c r="X314" s="945" t="inlineStr">
        <is>
          <t>NA</t>
        </is>
      </c>
      <c r="Y314" s="237" t="inlineStr">
        <is>
          <t>40</t>
        </is>
      </c>
      <c r="Z314" s="237" t="inlineStr">
        <is>
          <t>NA</t>
        </is>
      </c>
      <c r="AA314" s="270" t="inlineStr">
        <is>
          <t>NA</t>
        </is>
      </c>
      <c r="AB314" s="994" t="inlineStr">
        <is>
          <t>ANACREDIT, ASTRE, CALCULS PRUDENTIELS, CONGLOMERATS, CORFOU, ESG PILIER 3, LOAN TAPE, OMP, PALMA, PVA, RISQUES SYSTEMIQUES, SHS, SRB VALUATION</t>
        </is>
      </c>
      <c r="AC314" s="231" t="inlineStr">
        <is>
          <t>ND</t>
        </is>
      </c>
      <c r="AD314" s="257" t="inlineStr">
        <is>
          <t>N</t>
        </is>
      </c>
      <c r="AE314" s="971" t="inlineStr">
        <is>
          <t>EQU101
EQU201
ISS100
ISS200 et 300
TRE100
TRE2 à 4XX hors 203,205,206,207
TRE203, 205, 207
TRE206
TRE5XX
SIG
VAR*
INT</t>
        </is>
      </c>
      <c r="AF314" s="257" t="inlineStr">
        <is>
          <t>NA</t>
        </is>
      </c>
      <c r="AG314" s="258" t="inlineStr">
        <is>
          <t>NA</t>
        </is>
      </c>
      <c r="AH314" s="89" t="n"/>
      <c r="AI314" s="316" t="inlineStr">
        <is>
          <t>La donnée est obligatoire</t>
        </is>
      </c>
      <c r="AJ314" s="317" t="inlineStr">
        <is>
          <t>The data is mandatory</t>
        </is>
      </c>
      <c r="AK314" s="257" t="n">
        <v>7</v>
      </c>
      <c r="AL314" s="335" t="inlineStr">
        <is>
          <t>TPG0001</t>
        </is>
      </c>
      <c r="AM314" s="318" t="inlineStr">
        <is>
          <t>Si elle est renseignée, la valeur doit être connue du Langage Commun associé</t>
        </is>
      </c>
      <c r="AN314" s="317" t="inlineStr">
        <is>
          <t>If specified, the value must be known to the associated Common Language</t>
        </is>
      </c>
      <c r="AO314" s="257" t="n">
        <v>7</v>
      </c>
      <c r="AP314" s="212" t="inlineStr">
        <is>
          <t>TIG0001</t>
        </is>
      </c>
      <c r="AQ314" s="421" t="n"/>
      <c r="AR314" s="422" t="n"/>
      <c r="AS314" s="348" t="n"/>
      <c r="AT314" s="423" t="n"/>
      <c r="AU314" s="480" t="inlineStr">
        <is>
          <t>La valeur renseignée doit être cohérente avec le type de risque [P1 2.0] (LC.0066 - Z8COCCTR)</t>
        </is>
      </c>
      <c r="AV314" s="317" t="inlineStr">
        <is>
          <t>The value filled must be consistent with the risk type [P1 2.0] (LC.0066 - Z8COCCTR)</t>
        </is>
      </c>
      <c r="AW314" s="257" t="n">
        <v>6</v>
      </c>
      <c r="AX314" s="962" t="inlineStr">
        <is>
          <t>TCS0709</t>
        </is>
      </c>
      <c r="AY314" s="318" t="n"/>
      <c r="AZ314" s="317" t="n"/>
      <c r="BA314" s="257" t="n"/>
      <c r="BB314" s="258" t="n"/>
      <c r="BC314" s="316" t="n"/>
      <c r="BD314" s="317" t="n"/>
      <c r="BE314" s="257" t="n"/>
      <c r="BF314" s="258" t="n"/>
      <c r="BG314" s="89" t="n"/>
      <c r="BH3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14">
        <f>_xlfn.LET(r,ROW(),oc,INDEX($A:$A,r),cv,TRIM(INDEX($Y:$Y,r)&amp;""),IF(oc&lt;&gt;"P1","",IF(cv="45","V45 - novo, nao alimentado pelo spool atual","V44 - alimentado pelo spool atual")))</f>
        <v/>
      </c>
    </row>
    <row r="315" ht="54" customFormat="1" customHeight="1" s="57">
      <c r="A315" s="325" t="inlineStr">
        <is>
          <t>P1</t>
        </is>
      </c>
      <c r="B315" s="326" t="n">
        <v>80</v>
      </c>
      <c r="C315" s="284" t="inlineStr">
        <is>
          <t xml:space="preserve">19 - Données comptables </t>
        </is>
      </c>
      <c r="D315" s="284" t="inlineStr">
        <is>
          <t>19 - Accounting data</t>
        </is>
      </c>
      <c r="E315" s="326" t="inlineStr">
        <is>
          <t>P1 3.56</t>
        </is>
      </c>
      <c r="F315" s="327" t="inlineStr">
        <is>
          <t>Zone libre (Ex PCCO – Valeur du titre en norme IFRS)</t>
        </is>
      </c>
      <c r="G315" s="327" t="inlineStr">
        <is>
          <t>Free zone (Ex PCCO – Value of the security under IFRS)</t>
        </is>
      </c>
      <c r="H315" s="1493">
        <f>"RPAD( "&amp;SUBSTITUTE(SUBSTITUTE(E315," ","_"),".","_")&amp;","&amp;W315&amp;",' '); -- "&amp;E315</f>
        <v/>
      </c>
      <c r="I315" s="329" t="inlineStr">
        <is>
          <t>Zone libre</t>
        </is>
      </c>
      <c r="J315" s="329" t="inlineStr">
        <is>
          <t>Free zone</t>
        </is>
      </c>
      <c r="K315" s="328" t="inlineStr">
        <is>
          <t>NA</t>
        </is>
      </c>
      <c r="L315" s="328" t="inlineStr">
        <is>
          <t>NA</t>
        </is>
      </c>
      <c r="M315" s="1421" t="inlineStr">
        <is>
          <t>ZoneLibre356</t>
        </is>
      </c>
      <c r="N315" s="284" t="inlineStr">
        <is>
          <t>NA</t>
        </is>
      </c>
      <c r="O315" s="244" t="inlineStr">
        <is>
          <t>NA</t>
        </is>
      </c>
      <c r="P315" s="284" t="inlineStr">
        <is>
          <t>NA</t>
        </is>
      </c>
      <c r="Q315" s="284" t="inlineStr">
        <is>
          <t>NA</t>
        </is>
      </c>
      <c r="R315" s="412" t="inlineStr">
        <is>
          <t>Laisser à vide</t>
        </is>
      </c>
      <c r="S315" s="245" t="inlineStr">
        <is>
          <t>Leave empty</t>
        </is>
      </c>
      <c r="T315" s="333" t="inlineStr">
        <is>
          <t>ALPHA</t>
        </is>
      </c>
      <c r="U315" s="256" t="inlineStr">
        <is>
          <t>NA</t>
        </is>
      </c>
      <c r="V315" s="256" t="inlineStr">
        <is>
          <t>NA</t>
        </is>
      </c>
      <c r="W315" s="328" t="n">
        <v>12</v>
      </c>
      <c r="X315" s="244" t="inlineStr">
        <is>
          <t>NA</t>
        </is>
      </c>
      <c r="Y315" s="248" t="inlineStr">
        <is>
          <t>NA</t>
        </is>
      </c>
      <c r="Z315" s="248" t="inlineStr">
        <is>
          <t>NA</t>
        </is>
      </c>
      <c r="AA315" s="248" t="inlineStr">
        <is>
          <t>NA</t>
        </is>
      </c>
      <c r="AB315" s="284" t="inlineStr">
        <is>
          <t>NA</t>
        </is>
      </c>
      <c r="AC315" s="244" t="inlineStr">
        <is>
          <t>NA</t>
        </is>
      </c>
      <c r="AD315" s="284" t="inlineStr">
        <is>
          <t>N</t>
        </is>
      </c>
      <c r="AE315" s="284" t="inlineStr">
        <is>
          <t xml:space="preserve">EQU101
</t>
        </is>
      </c>
      <c r="AF315" s="284" t="inlineStr">
        <is>
          <t>NA</t>
        </is>
      </c>
      <c r="AG315" s="285" t="inlineStr">
        <is>
          <t>NA</t>
        </is>
      </c>
      <c r="AH315" s="89" t="n"/>
      <c r="AI315" s="330" t="n"/>
      <c r="AJ315" s="331" t="n"/>
      <c r="AK315" s="284" t="n"/>
      <c r="AL315" s="285" t="n"/>
      <c r="AM315" s="331" t="n"/>
      <c r="AN315" s="331" t="n"/>
      <c r="AO315" s="284" t="n"/>
      <c r="AP315" s="285" t="n"/>
      <c r="AQ315" s="331" t="n"/>
      <c r="AR315" s="331" t="n"/>
      <c r="AS315" s="284" t="n"/>
      <c r="AT315" s="285" t="n"/>
      <c r="AU315" s="331" t="n"/>
      <c r="AV315" s="331" t="n"/>
      <c r="AW315" s="284" t="n"/>
      <c r="AX315" s="285" t="n"/>
      <c r="AY315" s="331" t="n"/>
      <c r="AZ315" s="331" t="n"/>
      <c r="BA315" s="284" t="n"/>
      <c r="BB315" s="285" t="n"/>
      <c r="BC315" s="330" t="n"/>
      <c r="BD315" s="331" t="n"/>
      <c r="BE315" s="284" t="n"/>
      <c r="BF315" s="285" t="n"/>
      <c r="BG315" s="89" t="n"/>
      <c r="BH3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15">
        <f>_xlfn.LET(r,ROW(),oc,INDEX($A:$A,r),cv,TRIM(INDEX($Y:$Y,r)&amp;""),IF(oc&lt;&gt;"P1","",IF(cv="45","V45 - novo, nao alimentado pelo spool atual","V44 - alimentado pelo spool atual")))</f>
        <v/>
      </c>
    </row>
    <row r="316" ht="54" customFormat="1" customHeight="1" s="91">
      <c r="A316" s="306" t="inlineStr">
        <is>
          <t>P1</t>
        </is>
      </c>
      <c r="B316" s="307" t="n">
        <v>81</v>
      </c>
      <c r="C316" s="269" t="inlineStr">
        <is>
          <t>17 - Caractéristiques Titres</t>
        </is>
      </c>
      <c r="D316" s="310" t="inlineStr">
        <is>
          <t>17 - Securities characteristics</t>
        </is>
      </c>
      <c r="E316" s="307" t="inlineStr">
        <is>
          <t>P1 3.50</t>
        </is>
      </c>
      <c r="F316" s="482" t="inlineStr">
        <is>
          <t>Montant du coût d'acquisition</t>
        </is>
      </c>
      <c r="G316" s="309" t="inlineStr">
        <is>
          <t>Amount of acquisition cost</t>
        </is>
      </c>
      <c r="H316" s="1493">
        <f>"RPAD( "&amp;SUBSTITUTE(SUBSTITUTE(E316," ","_"),".","_")&amp;","&amp;W316&amp;",' '); -- "&amp;E316</f>
        <v/>
      </c>
      <c r="I316" s="308" t="inlineStr">
        <is>
          <t>Montant du coût d'acquisition</t>
        </is>
      </c>
      <c r="J316" s="309" t="inlineStr">
        <is>
          <t>Amount of acquisition cost</t>
        </is>
      </c>
      <c r="K316" s="370" t="inlineStr">
        <is>
          <t>ND</t>
        </is>
      </c>
      <c r="L316" s="371" t="inlineStr">
        <is>
          <t>ND</t>
        </is>
      </c>
      <c r="M316" s="1420" t="inlineStr">
        <is>
          <t>mtOctroi</t>
        </is>
      </c>
      <c r="N316" s="257" t="inlineStr">
        <is>
          <t>Obligatoire sous conditions</t>
        </is>
      </c>
      <c r="O316" s="236" t="inlineStr">
        <is>
          <t>Mandatory under conditions</t>
        </is>
      </c>
      <c r="P316" s="269" t="inlineStr">
        <is>
          <t>NA</t>
        </is>
      </c>
      <c r="Q316" s="269" t="inlineStr">
        <is>
          <t>NA</t>
        </is>
      </c>
      <c r="R316" s="241" t="inlineStr">
        <is>
          <t>Le coût d'acquisition est une donnée obligatoire. Ce montant est requis par le suivi métier sur les titres</t>
        </is>
      </c>
      <c r="S316" s="233" t="inlineStr">
        <is>
          <t>Acquisition cost is a mandatory data. This amount is required by the business follow-up on securities</t>
        </is>
      </c>
      <c r="T316" s="313" t="inlineStr">
        <is>
          <t>NUM</t>
        </is>
      </c>
      <c r="U316" s="237" t="inlineStr">
        <is>
          <t>19 dont signe et 2 décimales</t>
        </is>
      </c>
      <c r="V316" s="238" t="inlineStr">
        <is>
          <t>19 including sign and 2 decimals</t>
        </is>
      </c>
      <c r="W316" s="257" t="n">
        <v>19</v>
      </c>
      <c r="X316" s="945" t="inlineStr">
        <is>
          <t>NA</t>
        </is>
      </c>
      <c r="Y316" s="237" t="n">
        <v>40</v>
      </c>
      <c r="Z316" s="237" t="inlineStr">
        <is>
          <t>NA</t>
        </is>
      </c>
      <c r="AA316" s="270" t="inlineStr">
        <is>
          <t>NA</t>
        </is>
      </c>
      <c r="AB316" s="994" t="inlineStr">
        <is>
          <t>AER, CALCULS PRUDENTIELS, CORFOU, DEI, ESG PILIER 3, GRR, NPVA</t>
        </is>
      </c>
      <c r="AC316" s="231" t="inlineStr">
        <is>
          <t>ND</t>
        </is>
      </c>
      <c r="AD316" s="257" t="inlineStr">
        <is>
          <t>N</t>
        </is>
      </c>
      <c r="AE316" s="257" t="inlineStr">
        <is>
          <t xml:space="preserve">EQU101
ISS200 et 300
</t>
        </is>
      </c>
      <c r="AF316" s="257" t="inlineStr">
        <is>
          <t>NA</t>
        </is>
      </c>
      <c r="AG316" s="258" t="inlineStr">
        <is>
          <t>NA</t>
        </is>
      </c>
      <c r="AH316" s="89" t="n"/>
      <c r="AI316" s="461" t="inlineStr">
        <is>
          <t>La donnée est obligatoire, si le 'Type de risque' [P1 2.0] = 'EQU101, ISS200, ISS300' ET si le 'Portefeuille de booking Intention de Gestion' [P1 2.4] = 'B'</t>
        </is>
      </c>
      <c r="AJ316" s="317" t="inlineStr">
        <is>
          <t>The data is mandatory, if 'Risk type' [P1 2.0] = 'EQU101, ISS200, ISS300' AND if the 'Booking portfolio Management intent' [P1 2.4] = 'B'</t>
        </is>
      </c>
      <c r="AK316" s="257" t="n">
        <v>7</v>
      </c>
      <c r="AL316" s="420" t="inlineStr">
        <is>
          <t>TPS0763</t>
        </is>
      </c>
      <c r="AM316" s="318" t="n"/>
      <c r="AN316" s="317" t="n"/>
      <c r="AO316" s="257" t="n"/>
      <c r="AP316" s="258" t="n"/>
      <c r="AQ316" s="445" t="inlineStr">
        <is>
          <t>Si renseignée, la donnée doit être positive (supérieure ou égale à 0)</t>
        </is>
      </c>
      <c r="AR316" s="317" t="inlineStr">
        <is>
          <t xml:space="preserve">If filled, data must be positive (greater or equal to 0) </t>
        </is>
      </c>
      <c r="AS316" s="257" t="n">
        <v>7</v>
      </c>
      <c r="AT316" s="345" t="inlineStr">
        <is>
          <t>TVG0001</t>
        </is>
      </c>
      <c r="AU316" s="318" t="n"/>
      <c r="AV316" s="317" t="n"/>
      <c r="AW316" s="257" t="n"/>
      <c r="AX316" s="258" t="n"/>
      <c r="AY316" s="318" t="n"/>
      <c r="AZ316" s="317" t="n"/>
      <c r="BA316" s="257" t="n"/>
      <c r="BB316" s="258" t="n"/>
      <c r="BC316" s="316" t="n"/>
      <c r="BD316" s="317" t="n"/>
      <c r="BE316" s="257" t="n"/>
      <c r="BF316" s="258" t="n"/>
      <c r="BG316" s="89" t="n"/>
      <c r="BH3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16">
        <f>_xlfn.LET(r,ROW(),oc,INDEX($A:$A,r),cv,TRIM(INDEX($Y:$Y,r)&amp;""),IF(oc&lt;&gt;"P1","",IF(cv="45","V45 - novo, nao alimentado pelo spool atual","V44 - alimentado pelo spool atual")))</f>
        <v/>
      </c>
    </row>
    <row r="317" ht="54" customFormat="1" customHeight="1" s="91">
      <c r="A317" s="306" t="inlineStr">
        <is>
          <t>P1</t>
        </is>
      </c>
      <c r="B317" s="307" t="n">
        <v>82</v>
      </c>
      <c r="C317" s="269" t="inlineStr">
        <is>
          <t>17 - Caractéristiques Titres</t>
        </is>
      </c>
      <c r="D317" s="310" t="inlineStr">
        <is>
          <t>17 - Securities characteristics</t>
        </is>
      </c>
      <c r="E317" s="307" t="inlineStr">
        <is>
          <t>P1 3.51</t>
        </is>
      </c>
      <c r="F317" s="308" t="inlineStr">
        <is>
          <t>Devise du montant du coût d'acquisition</t>
        </is>
      </c>
      <c r="G317" s="309" t="inlineStr">
        <is>
          <t>Currency of amount of acquisition cost</t>
        </is>
      </c>
      <c r="H317" s="1493">
        <f>"RPAD( "&amp;SUBSTITUTE(SUBSTITUTE(E317," ","_"),".","_")&amp;","&amp;W317&amp;",' '); -- "&amp;E317</f>
        <v/>
      </c>
      <c r="I317" s="241" t="inlineStr">
        <is>
          <t>Devise du montant du coût d'acquisition</t>
        </is>
      </c>
      <c r="J317" s="309" t="inlineStr">
        <is>
          <t>Currency of acquisition cost amount</t>
        </is>
      </c>
      <c r="K317" s="370" t="inlineStr">
        <is>
          <t>ND</t>
        </is>
      </c>
      <c r="L317" s="371" t="inlineStr">
        <is>
          <t>ND</t>
        </is>
      </c>
      <c r="M317" s="1420" t="inlineStr">
        <is>
          <t>cdDevMtOctroi</t>
        </is>
      </c>
      <c r="N317" s="257" t="inlineStr">
        <is>
          <t>Obligatoire sous conditions</t>
        </is>
      </c>
      <c r="O317" s="236" t="inlineStr">
        <is>
          <t>Mandatory under conditions</t>
        </is>
      </c>
      <c r="P317" s="269" t="inlineStr">
        <is>
          <t>LC.0005</t>
        </is>
      </c>
      <c r="Q317" s="269" t="inlineStr">
        <is>
          <t>TA NM253</t>
        </is>
      </c>
      <c r="R317" s="241" t="inlineStr">
        <is>
          <t>NA</t>
        </is>
      </c>
      <c r="S317" s="233" t="inlineStr">
        <is>
          <t>NA</t>
        </is>
      </c>
      <c r="T317" s="313" t="inlineStr">
        <is>
          <t>ALPHA</t>
        </is>
      </c>
      <c r="U317" s="237" t="inlineStr">
        <is>
          <t>NA</t>
        </is>
      </c>
      <c r="V317" s="238" t="inlineStr">
        <is>
          <t>NA</t>
        </is>
      </c>
      <c r="W317" s="257" t="n">
        <v>3</v>
      </c>
      <c r="X317" s="945" t="inlineStr">
        <is>
          <t>NA</t>
        </is>
      </c>
      <c r="Y317" s="237" t="n">
        <v>40</v>
      </c>
      <c r="Z317" s="237" t="inlineStr">
        <is>
          <t>NA</t>
        </is>
      </c>
      <c r="AA317" s="270" t="inlineStr">
        <is>
          <t>NA</t>
        </is>
      </c>
      <c r="AB317" s="994" t="inlineStr">
        <is>
          <t>AER, CALCULS PRUDENTIELS, CORFOU, DEI, ESG PILIER 3, GRR, PVA</t>
        </is>
      </c>
      <c r="AC317" s="231" t="inlineStr">
        <is>
          <t>ND</t>
        </is>
      </c>
      <c r="AD317" s="257" t="inlineStr">
        <is>
          <t>N</t>
        </is>
      </c>
      <c r="AE317" s="257" t="inlineStr">
        <is>
          <t xml:space="preserve">EQU101
ISS200 et 300
</t>
        </is>
      </c>
      <c r="AF317" s="257" t="inlineStr">
        <is>
          <t>NA</t>
        </is>
      </c>
      <c r="AG317" s="258" t="inlineStr">
        <is>
          <t>NA</t>
        </is>
      </c>
      <c r="AH317" s="89" t="n"/>
      <c r="AI317" s="483" t="inlineStr">
        <is>
          <t>La donnée est obligatoire si le Montant du coût d'acquisition [P1 3.50] est renseigné</t>
        </is>
      </c>
      <c r="AJ317" s="317" t="inlineStr">
        <is>
          <t>The data is mandatory if the Amount of acquisition cost [P1 3.50] is filled</t>
        </is>
      </c>
      <c r="AK317" s="257" t="n">
        <v>7</v>
      </c>
      <c r="AL317" s="335" t="inlineStr">
        <is>
          <t>TPG0002</t>
        </is>
      </c>
      <c r="AM317" s="318" t="inlineStr">
        <is>
          <t>Si elle est renseignée, la valeur doit être connue du Langage Commun associé</t>
        </is>
      </c>
      <c r="AN317" s="317" t="inlineStr">
        <is>
          <t>If specified, the value must be known to the associated Common Language</t>
        </is>
      </c>
      <c r="AO317" s="257" t="n">
        <v>7</v>
      </c>
      <c r="AP317" s="212" t="inlineStr">
        <is>
          <t>TIG0001</t>
        </is>
      </c>
      <c r="AQ317" s="318" t="n"/>
      <c r="AR317" s="317" t="n"/>
      <c r="AS317" s="257" t="n"/>
      <c r="AT317" s="258" t="n"/>
      <c r="AU317" s="318" t="n"/>
      <c r="AV317" s="317" t="n"/>
      <c r="AW317" s="257" t="n"/>
      <c r="AX317" s="258" t="n"/>
      <c r="AY317" s="318" t="n"/>
      <c r="AZ317" s="317" t="n"/>
      <c r="BA317" s="257" t="n"/>
      <c r="BB317" s="258" t="n"/>
      <c r="BC317" s="316" t="n"/>
      <c r="BD317" s="317" t="n"/>
      <c r="BE317" s="257" t="n"/>
      <c r="BF317" s="258" t="n"/>
      <c r="BG317" s="89" t="n"/>
      <c r="BH3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17">
        <f>_xlfn.LET(r,ROW(),oc,INDEX($A:$A,r),cv,TRIM(INDEX($Y:$Y,r)&amp;""),IF(oc&lt;&gt;"P1","",IF(cv="45","V45 - novo, nao alimentado pelo spool atual","V44 - alimentado pelo spool atual")))</f>
        <v/>
      </c>
    </row>
    <row r="318" ht="54" customFormat="1" customHeight="1" s="91">
      <c r="A318" s="306" t="inlineStr">
        <is>
          <t>P1</t>
        </is>
      </c>
      <c r="B318" s="307" t="n">
        <v>83</v>
      </c>
      <c r="C318" s="269" t="inlineStr">
        <is>
          <t>03 - Caractéristiques Générales</t>
        </is>
      </c>
      <c r="D318" s="310" t="inlineStr">
        <is>
          <t>03 - General characteristics</t>
        </is>
      </c>
      <c r="E318" s="307" t="inlineStr">
        <is>
          <t>P1 3.52</t>
        </is>
      </c>
      <c r="F318" s="1248" t="inlineStr">
        <is>
          <t>Montant du Mark-to-Market (MtM)</t>
        </is>
      </c>
      <c r="G318" s="309" t="inlineStr">
        <is>
          <t>Amount of Mark-to-Market (MtM)</t>
        </is>
      </c>
      <c r="H318" s="1493">
        <f>"RPAD( "&amp;SUBSTITUTE(SUBSTITUTE(E318," ","_"),".","_")&amp;","&amp;W318&amp;",' '); -- "&amp;E318</f>
        <v/>
      </c>
      <c r="I318" s="308" t="inlineStr">
        <is>
          <t>La juste valeur se définit comme le prix qui serait reçu pour la vente d'un actif ou payé pour le transfert d'un passif lors d'une transaction normale entre des intervenants du marché à la date d'évaluation.
Le prix de référence pour la juste valeur correspond à un prix de sortie directement observable sur le marché ou estimé selon une technique d'évaluation qui maximise le recours aux données observables: prix coté, prix indirectement observable, autres données de marché.
Le prix directement observable correspond au prix côté de l'instrument immédiatement observable sur le marché</t>
        </is>
      </c>
      <c r="J318" s="309" t="inlineStr">
        <is>
          <t>Fair value is defined as the price that would be received for the sale of an asset or paid for the transfer of a liability in a normal transaction between market participants at the valuation date.
The fair value reference price is an output price that is directly observable in the market or estimated using a valuation technique that maximizes the use of observable data: quoted price, indirectly observable price, other market data
The directly observable price corresponds to the price on the instrument side which is immediately observable on the market</t>
        </is>
      </c>
      <c r="K318" s="370" t="inlineStr">
        <is>
          <t>ND</t>
        </is>
      </c>
      <c r="L318" s="371" t="inlineStr">
        <is>
          <t>ND</t>
        </is>
      </c>
      <c r="M318" s="1420" t="inlineStr">
        <is>
          <t>mtMtM</t>
        </is>
      </c>
      <c r="N318" s="257" t="inlineStr">
        <is>
          <t>Obligatoire sous conditions</t>
        </is>
      </c>
      <c r="O318" s="310" t="inlineStr">
        <is>
          <t>Mandatory under conditions</t>
        </is>
      </c>
      <c r="P318" s="269" t="inlineStr">
        <is>
          <t>NA</t>
        </is>
      </c>
      <c r="Q318" s="269" t="inlineStr">
        <is>
          <t>NA</t>
        </is>
      </c>
      <c r="R318" s="241" t="inlineStr">
        <is>
          <t>Pour le type de risques ISS100, ce montant est obligatoire pour les titres de créances du portefeuille de négociation uniquement.
Pour les dérivés de crédit vendus, ce MtM ne doit pas être remonté, la valorisation du risque s'effectuant sur le notionnel (Nominal).
Pour les types de risques (ISS200 et 300 et TRE2 à 4XX), obligatoire si classification comptable de référence des actifs (P1 19.5) en juste valeur</t>
        </is>
      </c>
      <c r="S318" s="233" t="inlineStr">
        <is>
          <t>For the ISS100 risk type, this amount is mandatory for trading book debts securities only.
For credit derivatives sold, this MtM must not be reported, as the risk valuation is performed on the notional (Nominal).
For risk types (ISS200 and 300 and TRE2 to 4XX), mandatory if the accounting classification of asset (P1 19.5) is fair value</t>
        </is>
      </c>
      <c r="T318" s="313" t="inlineStr">
        <is>
          <t>NUM</t>
        </is>
      </c>
      <c r="U318" s="237" t="inlineStr">
        <is>
          <t>19 dont signe et 2 décimales</t>
        </is>
      </c>
      <c r="V318" s="238" t="inlineStr">
        <is>
          <t>19 including sign and 2 decimals</t>
        </is>
      </c>
      <c r="W318" s="257" t="n">
        <v>19</v>
      </c>
      <c r="X318" s="945" t="inlineStr">
        <is>
          <t>NA</t>
        </is>
      </c>
      <c r="Y318" s="237" t="n">
        <v>40</v>
      </c>
      <c r="Z318" s="237" t="inlineStr">
        <is>
          <t>NA</t>
        </is>
      </c>
      <c r="AA318" s="270" t="inlineStr">
        <is>
          <t>45.00</t>
        </is>
      </c>
      <c r="AB318" s="932" t="inlineStr">
        <is>
          <t>AER, CALCULS PRUDENTIELS, CONGLOMERATS, CORFOU, DEI, ESG PILIER 3, GRR, LIQUIDITE, LOAN TAPE, MREL, PALMA, RISQUES SYSTEMIQUES, SHS, SRB VALUATION</t>
        </is>
      </c>
      <c r="AC318" s="231" t="inlineStr">
        <is>
          <t>ND</t>
        </is>
      </c>
      <c r="AD318" s="257" t="inlineStr">
        <is>
          <t>N</t>
        </is>
      </c>
      <c r="AE318" s="972" t="inlineStr">
        <is>
          <t>EQU101
ISS100
ISS200 et 300
TRE2 à 4XX hors 203,205,206,207</t>
        </is>
      </c>
      <c r="AF318" s="257" t="inlineStr">
        <is>
          <t>NA</t>
        </is>
      </c>
      <c r="AG318" s="258" t="inlineStr">
        <is>
          <t>NA</t>
        </is>
      </c>
      <c r="AH318" s="89" t="n"/>
      <c r="AI318" s="1439" t="inlineStr">
        <is>
          <t>La donnée est obligatoire si le type de risque [P1 2.0] = 'EQU101', 'ISSxxx', 'TRE2xx' à 'TRE4xx' (hors 'TRE203', 'TRE205', 'TRE206', 'TRE207'), ET si la classification comptable de référence des actifs [P1 19.5] = 'JCN','JCR','JVR'</t>
        </is>
      </c>
      <c r="AJ318" s="973" t="inlineStr">
        <is>
          <t>The data is mandatory if Risk type [P1 2.0] = 'EQU101', 'ISSxxx', 'TRE2xx' to 'TRE4xx' (except 'TRE203', 'TRE205', 'TRE206', 'TRE207'), AND if Reference accounting classification of assets [P1 19.5] = 'JCN','JCR','JVR'</t>
        </is>
      </c>
      <c r="AK318" s="958" t="n">
        <v>7</v>
      </c>
      <c r="AL318" s="1058" t="inlineStr">
        <is>
          <t>TBD</t>
        </is>
      </c>
      <c r="AM318" s="318" t="n"/>
      <c r="AN318" s="317" t="n"/>
      <c r="AO318" s="257" t="n"/>
      <c r="AP318" s="258" t="n"/>
      <c r="AQ318" s="1438" t="inlineStr">
        <is>
          <t>Si type de risque [P1 2.0] = 'INTxxx', 'VARxxx', alors la donnée doit être vide</t>
        </is>
      </c>
      <c r="AR318" s="931" t="inlineStr">
        <is>
          <t>If Risk type [P1 2.0] = 'INTxxx', 'VARxxx', then data must be empty</t>
        </is>
      </c>
      <c r="AS318" s="958" t="n">
        <v>7</v>
      </c>
      <c r="AT318" s="1058" t="inlineStr">
        <is>
          <t>TBD</t>
        </is>
      </c>
      <c r="AU318" s="1059" t="n"/>
      <c r="AV318" s="940" t="n"/>
      <c r="AW318" s="982" t="n"/>
      <c r="AX318" s="1060" t="n"/>
      <c r="AY318" s="318" t="n"/>
      <c r="AZ318" s="317" t="n"/>
      <c r="BA318" s="257" t="n"/>
      <c r="BB318" s="258" t="n"/>
      <c r="BC318" s="316" t="n"/>
      <c r="BD318" s="317" t="n"/>
      <c r="BE318" s="257" t="n"/>
      <c r="BF318" s="258" t="n"/>
      <c r="BG318" s="89" t="n"/>
      <c r="BH3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18">
        <f>_xlfn.LET(r,ROW(),oc,INDEX($A:$A,r),cv,TRIM(INDEX($Y:$Y,r)&amp;""),IF(oc&lt;&gt;"P1","",IF(cv="45","V45 - novo, nao alimentado pelo spool atual","V44 - alimentado pelo spool atual")))</f>
        <v/>
      </c>
    </row>
    <row r="319" ht="54" customFormat="1" customHeight="1" s="91">
      <c r="A319" s="306" t="inlineStr">
        <is>
          <t>P1</t>
        </is>
      </c>
      <c r="B319" s="307" t="n">
        <v>84</v>
      </c>
      <c r="C319" s="269" t="inlineStr">
        <is>
          <t>03 - Caractéristiques Générales</t>
        </is>
      </c>
      <c r="D319" s="310" t="inlineStr">
        <is>
          <t>03 - General characteristics</t>
        </is>
      </c>
      <c r="E319" s="307" t="inlineStr">
        <is>
          <t>P1 3.53</t>
        </is>
      </c>
      <c r="F319" s="1248" t="inlineStr">
        <is>
          <t>Devise du montant du Mark-to-Market (MtM)</t>
        </is>
      </c>
      <c r="G319" s="309" t="inlineStr">
        <is>
          <t>Currency of the amount of Mark-to-Market (MtM)</t>
        </is>
      </c>
      <c r="H319" s="1493">
        <f>"RPAD( "&amp;SUBSTITUTE(SUBSTITUTE(E319," ","_"),".","_")&amp;","&amp;W319&amp;",' '); -- "&amp;E319</f>
        <v/>
      </c>
      <c r="I319" s="308" t="inlineStr">
        <is>
          <t>Devise du montant du Mark-to-Market (MtM)</t>
        </is>
      </c>
      <c r="J319" s="309" t="inlineStr">
        <is>
          <t>Currency of the Amount of Mark-to-Market (MtM)</t>
        </is>
      </c>
      <c r="K319" s="370" t="inlineStr">
        <is>
          <t>ND</t>
        </is>
      </c>
      <c r="L319" s="371" t="inlineStr">
        <is>
          <t>ND</t>
        </is>
      </c>
      <c r="M319" s="1420" t="inlineStr">
        <is>
          <t>cdDevMtM</t>
        </is>
      </c>
      <c r="N319" s="257" t="inlineStr">
        <is>
          <t>Obligatoire sous conditions</t>
        </is>
      </c>
      <c r="O319" s="236" t="inlineStr">
        <is>
          <t>Mandatory under conditions</t>
        </is>
      </c>
      <c r="P319" s="269" t="inlineStr">
        <is>
          <t>LC.0005</t>
        </is>
      </c>
      <c r="Q319" s="269" t="inlineStr">
        <is>
          <t>TA NM253</t>
        </is>
      </c>
      <c r="R319" s="241" t="inlineStr">
        <is>
          <t>NA</t>
        </is>
      </c>
      <c r="S319" s="233" t="inlineStr">
        <is>
          <t>NA</t>
        </is>
      </c>
      <c r="T319" s="313" t="inlineStr">
        <is>
          <t>ALPHA</t>
        </is>
      </c>
      <c r="U319" s="237" t="inlineStr">
        <is>
          <t>NA</t>
        </is>
      </c>
      <c r="V319" s="238" t="inlineStr">
        <is>
          <t>NA</t>
        </is>
      </c>
      <c r="W319" s="257" t="n">
        <v>3</v>
      </c>
      <c r="X319" s="945" t="inlineStr">
        <is>
          <t>NA</t>
        </is>
      </c>
      <c r="Y319" s="237" t="n">
        <v>40</v>
      </c>
      <c r="Z319" s="237" t="inlineStr">
        <is>
          <t>NA</t>
        </is>
      </c>
      <c r="AA319" s="978" t="inlineStr">
        <is>
          <t>45.00</t>
        </is>
      </c>
      <c r="AB319" s="932" t="inlineStr">
        <is>
          <t>AER, CALCULS PRUDENTIELS, CONGLOMERATS, CORFOU, DEI, ESG PILIER 3, GRR, LIQUIDITE, LOAN TAPE, MREL, PALMA, RISQUES SYSTEMIQUES, SHS, SRB VALUATION</t>
        </is>
      </c>
      <c r="AC319" s="231" t="inlineStr">
        <is>
          <t>ND</t>
        </is>
      </c>
      <c r="AD319" s="257" t="inlineStr">
        <is>
          <t>N</t>
        </is>
      </c>
      <c r="AE319" s="958" t="inlineStr">
        <is>
          <t xml:space="preserve">EQU101
ISS100
ISS200 et 300
TRE2 à 4XX hors 203,205,206,207
</t>
        </is>
      </c>
      <c r="AF319" s="257" t="inlineStr">
        <is>
          <t>NA</t>
        </is>
      </c>
      <c r="AG319" s="258" t="inlineStr">
        <is>
          <t>NA</t>
        </is>
      </c>
      <c r="AH319" s="89" t="n"/>
      <c r="AI319" s="446" t="inlineStr">
        <is>
          <t>La donnée est obligatoire, si Montant du MtM [P1 3.52] est renseigné</t>
        </is>
      </c>
      <c r="AJ319" s="317" t="inlineStr">
        <is>
          <t>The data is mandatory, if Amount of MtM [P1 3.52] is filled</t>
        </is>
      </c>
      <c r="AK319" s="257" t="n">
        <v>7</v>
      </c>
      <c r="AL319" s="335" t="inlineStr">
        <is>
          <t>TPG0002</t>
        </is>
      </c>
      <c r="AM319" s="318" t="inlineStr">
        <is>
          <t>Si elle est renseignée, la valeur doit être connue du Langage Commun associé</t>
        </is>
      </c>
      <c r="AN319" s="317" t="inlineStr">
        <is>
          <t>If specified, the value must be known to the associated Common Language</t>
        </is>
      </c>
      <c r="AO319" s="257" t="n">
        <v>7</v>
      </c>
      <c r="AP319" s="212" t="inlineStr">
        <is>
          <t>TIG0001</t>
        </is>
      </c>
      <c r="AQ319" s="318" t="n"/>
      <c r="AR319" s="317" t="n"/>
      <c r="AS319" s="257" t="n"/>
      <c r="AT319" s="258" t="n"/>
      <c r="AU319" s="318" t="n"/>
      <c r="AV319" s="317" t="n"/>
      <c r="AW319" s="257" t="n"/>
      <c r="AX319" s="258" t="n"/>
      <c r="AY319" s="318" t="n"/>
      <c r="AZ319" s="317" t="n"/>
      <c r="BA319" s="257" t="n"/>
      <c r="BB319" s="258" t="n"/>
      <c r="BC319" s="316" t="n"/>
      <c r="BD319" s="317" t="n"/>
      <c r="BE319" s="257" t="n"/>
      <c r="BF319" s="258" t="n"/>
      <c r="BG319" s="89" t="n"/>
      <c r="BH3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19">
        <f>_xlfn.LET(r,ROW(),oc,INDEX($A:$A,r),cv,TRIM(INDEX($Y:$Y,r)&amp;""),IF(oc&lt;&gt;"P1","",IF(cv="45","V45 - novo, nao alimentado pelo spool atual","V44 - alimentado pelo spool atual")))</f>
        <v/>
      </c>
    </row>
    <row r="320" ht="54" customFormat="1" customHeight="1" s="91">
      <c r="A320" s="306" t="inlineStr">
        <is>
          <t>P1</t>
        </is>
      </c>
      <c r="B320" s="307" t="n">
        <v>85</v>
      </c>
      <c r="C320" s="269" t="inlineStr">
        <is>
          <t>17 - Caractéristiques Titres</t>
        </is>
      </c>
      <c r="D320" s="310" t="inlineStr">
        <is>
          <t>17 - Securities characteristics</t>
        </is>
      </c>
      <c r="E320" s="307" t="inlineStr">
        <is>
          <t>P1 3.54</t>
        </is>
      </c>
      <c r="F320" s="484" t="inlineStr">
        <is>
          <t>Montant du coût amorti</t>
        </is>
      </c>
      <c r="G320" s="309" t="inlineStr">
        <is>
          <t>Amount of amortised cost</t>
        </is>
      </c>
      <c r="H320" s="1493">
        <f>"RPAD( "&amp;SUBSTITUTE(SUBSTITUTE(E320," ","_"),".","_")&amp;","&amp;W320&amp;",' '); -- "&amp;E320</f>
        <v/>
      </c>
      <c r="I320" s="308" t="inlineStr">
        <is>
          <t>Montant du coût amorti</t>
        </is>
      </c>
      <c r="J320" s="309" t="inlineStr">
        <is>
          <t>Amount of amortised cost</t>
        </is>
      </c>
      <c r="K320" s="370" t="inlineStr">
        <is>
          <t>ND</t>
        </is>
      </c>
      <c r="L320" s="371" t="inlineStr">
        <is>
          <t>ND</t>
        </is>
      </c>
      <c r="M320" s="1420" t="inlineStr">
        <is>
          <t>mtAmort</t>
        </is>
      </c>
      <c r="N320" s="257" t="inlineStr">
        <is>
          <t>Obligatoire sous conditions</t>
        </is>
      </c>
      <c r="O320" s="236" t="inlineStr">
        <is>
          <t>Mandatory under conditions</t>
        </is>
      </c>
      <c r="P320" s="269" t="inlineStr">
        <is>
          <t>NA</t>
        </is>
      </c>
      <c r="Q320" s="269" t="inlineStr">
        <is>
          <t>NA</t>
        </is>
      </c>
      <c r="R320" s="241" t="inlineStr">
        <is>
          <t>Pour le type de risques EQU101, obligatoire si classification comptable de référence de l'actif (P1 19.5) est égal à 'CAM' (Norme IFRS9).
Pour le type de risques ISS200 et 300, obligatoire si classification comptable de référence des actifs (P1 19.5) en coût amorti</t>
        </is>
      </c>
      <c r="S320" s="233" t="inlineStr">
        <is>
          <t>For the risk type EQU101, mandatory if the reference accounting classification of the asset (P1 19.5) is equal to 'CAM' (IFRS9 standard).
For the risk type ISS200 and 300, mandatory if the accounting classification of asset (P1 19.5) in amortized cost</t>
        </is>
      </c>
      <c r="T320" s="313" t="inlineStr">
        <is>
          <t>NUM</t>
        </is>
      </c>
      <c r="U320" s="237" t="inlineStr">
        <is>
          <t>19 dont signe et 2 décimales</t>
        </is>
      </c>
      <c r="V320" s="238" t="inlineStr">
        <is>
          <t>19 including sign and 2 decimals</t>
        </is>
      </c>
      <c r="W320" s="257" t="n">
        <v>19</v>
      </c>
      <c r="X320" s="945" t="inlineStr">
        <is>
          <t>NA</t>
        </is>
      </c>
      <c r="Y320" s="237" t="n">
        <v>40</v>
      </c>
      <c r="Z320" s="237" t="inlineStr">
        <is>
          <t>NA</t>
        </is>
      </c>
      <c r="AA320" s="978" t="inlineStr">
        <is>
          <t>45.00</t>
        </is>
      </c>
      <c r="AB320" s="932" t="inlineStr">
        <is>
          <t>ANACREDIT, CALCULS PRUDENTIELS, CORFOU, DEI, ESG PILIER 3, GRR, LIQUIDITE, OMP, RISQUES SYSTEMIQUES</t>
        </is>
      </c>
      <c r="AC320" s="231" t="inlineStr">
        <is>
          <t>ND</t>
        </is>
      </c>
      <c r="AD320" s="257" t="inlineStr">
        <is>
          <t>N</t>
        </is>
      </c>
      <c r="AE320" s="485" t="inlineStr">
        <is>
          <t>EQU101
ISS200 et 300</t>
        </is>
      </c>
      <c r="AF320" s="257" t="inlineStr">
        <is>
          <t>NA</t>
        </is>
      </c>
      <c r="AG320" s="258" t="inlineStr">
        <is>
          <t>NA</t>
        </is>
      </c>
      <c r="AH320" s="89" t="n"/>
      <c r="AI320" s="486" t="inlineStr">
        <is>
          <t>La donnée est obligatoire si la Classification comptable de référence des actifs [P1 19.5] = ‘CAM' et le type de risque [P1 2.0] = 'EQU101', ‘ISS200', ‘ISS300'</t>
        </is>
      </c>
      <c r="AJ320" s="317" t="inlineStr">
        <is>
          <t>The data is mandatory if the Reference accounting classification of assets [P1 19.5] = ‘CAM' and the Risk type [P1 2.0] = 'EQU101', ‘ISS200', ‘ISS300'</t>
        </is>
      </c>
      <c r="AK320" s="257" t="n">
        <v>7</v>
      </c>
      <c r="AL320" s="458" t="inlineStr">
        <is>
          <t>TPS0765</t>
        </is>
      </c>
      <c r="AM320" s="318" t="n"/>
      <c r="AN320" s="317" t="n"/>
      <c r="AO320" s="257" t="n"/>
      <c r="AP320" s="258" t="n"/>
      <c r="AQ320" s="445" t="inlineStr">
        <is>
          <t>Si renseignée, la donnée doit être positive (supérieure ou égale à 0)</t>
        </is>
      </c>
      <c r="AR320" s="317" t="inlineStr">
        <is>
          <t xml:space="preserve">If filled, data must be positive (greater or equal to 0) </t>
        </is>
      </c>
      <c r="AS320" s="257" t="n">
        <v>7</v>
      </c>
      <c r="AT320" s="345" t="inlineStr">
        <is>
          <t>TVG0001</t>
        </is>
      </c>
      <c r="AU320" s="318" t="n"/>
      <c r="AV320" s="317" t="n"/>
      <c r="AW320" s="257" t="n"/>
      <c r="AX320" s="258" t="n"/>
      <c r="AY320" s="318" t="n"/>
      <c r="AZ320" s="317" t="n"/>
      <c r="BA320" s="257" t="n"/>
      <c r="BB320" s="258" t="n"/>
      <c r="BC320" s="316" t="n"/>
      <c r="BD320" s="317" t="n"/>
      <c r="BE320" s="257" t="n"/>
      <c r="BF320" s="258" t="n"/>
      <c r="BG320" s="89" t="n"/>
      <c r="BH3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20">
        <f>_xlfn.LET(r,ROW(),oc,INDEX($A:$A,r),cv,TRIM(INDEX($Y:$Y,r)&amp;""),IF(oc&lt;&gt;"P1","",IF(cv="45","V45 - novo, nao alimentado pelo spool atual","V44 - alimentado pelo spool atual")))</f>
        <v/>
      </c>
    </row>
    <row r="321" ht="54" customFormat="1" customHeight="1" s="91">
      <c r="A321" s="306" t="inlineStr">
        <is>
          <t>P1</t>
        </is>
      </c>
      <c r="B321" s="307" t="n">
        <v>86</v>
      </c>
      <c r="C321" s="269" t="inlineStr">
        <is>
          <t>17 - Caractéristiques Titres</t>
        </is>
      </c>
      <c r="D321" s="310" t="inlineStr">
        <is>
          <t>17 - Securities characteristics</t>
        </is>
      </c>
      <c r="E321" s="307" t="inlineStr">
        <is>
          <t>P1 3.55</t>
        </is>
      </c>
      <c r="F321" s="308" t="inlineStr">
        <is>
          <t>Devise du montant du coût amorti</t>
        </is>
      </c>
      <c r="G321" s="309" t="inlineStr">
        <is>
          <t>Currency of amount of amortised cost</t>
        </is>
      </c>
      <c r="H321" s="1493">
        <f>"RPAD( "&amp;SUBSTITUTE(SUBSTITUTE(E321," ","_"),".","_")&amp;","&amp;W321&amp;",' '); -- "&amp;E321</f>
        <v/>
      </c>
      <c r="I321" s="241" t="inlineStr">
        <is>
          <t>Devise du montant du coût amorti</t>
        </is>
      </c>
      <c r="J321" s="309" t="inlineStr">
        <is>
          <t>Currency of amortised cost amount</t>
        </is>
      </c>
      <c r="K321" s="370" t="inlineStr">
        <is>
          <t>ND</t>
        </is>
      </c>
      <c r="L321" s="371" t="inlineStr">
        <is>
          <t>ND</t>
        </is>
      </c>
      <c r="M321" s="1420" t="inlineStr">
        <is>
          <t>cdDevMtAmort</t>
        </is>
      </c>
      <c r="N321" s="257" t="inlineStr">
        <is>
          <t>Obligatoire sous conditions</t>
        </is>
      </c>
      <c r="O321" s="236" t="inlineStr">
        <is>
          <t>Mandatory under conditions</t>
        </is>
      </c>
      <c r="P321" s="269" t="inlineStr">
        <is>
          <t>LC.0005</t>
        </is>
      </c>
      <c r="Q321" s="269" t="inlineStr">
        <is>
          <t>TA NM253</t>
        </is>
      </c>
      <c r="R321" s="241" t="inlineStr">
        <is>
          <t>NA</t>
        </is>
      </c>
      <c r="S321" s="233" t="inlineStr">
        <is>
          <t>NA</t>
        </is>
      </c>
      <c r="T321" s="313" t="inlineStr">
        <is>
          <t>ALPHA</t>
        </is>
      </c>
      <c r="U321" s="237" t="inlineStr">
        <is>
          <t>NA</t>
        </is>
      </c>
      <c r="V321" s="238" t="inlineStr">
        <is>
          <t>NA</t>
        </is>
      </c>
      <c r="W321" s="257" t="n">
        <v>3</v>
      </c>
      <c r="X321" s="945" t="inlineStr">
        <is>
          <t>NA</t>
        </is>
      </c>
      <c r="Y321" s="237" t="n">
        <v>40</v>
      </c>
      <c r="Z321" s="237" t="inlineStr">
        <is>
          <t>NA</t>
        </is>
      </c>
      <c r="AA321" s="978" t="inlineStr">
        <is>
          <t>NA</t>
        </is>
      </c>
      <c r="AB321" s="994" t="inlineStr">
        <is>
          <t>ANACREDIT, CALCULS PRUDENTIELS, CORFOU, DEI, ESG PILIER 3, GRR, OMP</t>
        </is>
      </c>
      <c r="AC321" s="231" t="inlineStr">
        <is>
          <t>ND</t>
        </is>
      </c>
      <c r="AD321" s="257" t="inlineStr">
        <is>
          <t>N</t>
        </is>
      </c>
      <c r="AE321" s="485" t="inlineStr">
        <is>
          <t>EQU101
ISS200 et 300</t>
        </is>
      </c>
      <c r="AF321" s="257" t="inlineStr">
        <is>
          <t>NA</t>
        </is>
      </c>
      <c r="AG321" s="258" t="inlineStr">
        <is>
          <t>NA</t>
        </is>
      </c>
      <c r="AH321" s="89" t="n"/>
      <c r="AI321" s="435" t="inlineStr">
        <is>
          <t>La donnée est obligatoire, si Montant du coût amorti [P1 3.54] est renseigné</t>
        </is>
      </c>
      <c r="AJ321" s="317" t="inlineStr">
        <is>
          <t>The data is mandatory, if Amount of amortised cost [P1 3.54] is filled</t>
        </is>
      </c>
      <c r="AK321" s="257" t="n">
        <v>7</v>
      </c>
      <c r="AL321" s="335" t="inlineStr">
        <is>
          <t>TPG0002</t>
        </is>
      </c>
      <c r="AM321" s="318" t="inlineStr">
        <is>
          <t>Si elle est renseignée, la valeur doit être connue du Langage Commun associé</t>
        </is>
      </c>
      <c r="AN321" s="317" t="inlineStr">
        <is>
          <t>If specified, the value must be known to the associated Common Language</t>
        </is>
      </c>
      <c r="AO321" s="257" t="n">
        <v>7</v>
      </c>
      <c r="AP321" s="212" t="inlineStr">
        <is>
          <t>TIG0001</t>
        </is>
      </c>
      <c r="AQ321" s="318" t="n"/>
      <c r="AR321" s="317" t="n"/>
      <c r="AS321" s="257" t="n"/>
      <c r="AT321" s="258" t="n"/>
      <c r="AU321" s="318" t="n"/>
      <c r="AV321" s="317" t="n"/>
      <c r="AW321" s="257" t="n"/>
      <c r="AX321" s="258" t="n"/>
      <c r="AY321" s="318" t="n"/>
      <c r="AZ321" s="317" t="n"/>
      <c r="BA321" s="257" t="n"/>
      <c r="BB321" s="258" t="n"/>
      <c r="BC321" s="316" t="n"/>
      <c r="BD321" s="317" t="n"/>
      <c r="BE321" s="257" t="n"/>
      <c r="BF321" s="258" t="n"/>
      <c r="BG321" s="89" t="n"/>
      <c r="BH3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21">
        <f>_xlfn.LET(r,ROW(),oc,INDEX($A:$A,r),cv,TRIM(INDEX($Y:$Y,r)&amp;""),IF(oc&lt;&gt;"P1","",IF(cv="45","V45 - novo, nao alimentado pelo spool atual","V44 - alimentado pelo spool atual")))</f>
        <v/>
      </c>
    </row>
    <row r="322" ht="54" customFormat="1" customHeight="1" s="91">
      <c r="A322" s="306" t="inlineStr">
        <is>
          <t>P1</t>
        </is>
      </c>
      <c r="B322" s="307" t="n">
        <v>87</v>
      </c>
      <c r="C322" s="269" t="inlineStr">
        <is>
          <t>17 - Caractéristiques Titres</t>
        </is>
      </c>
      <c r="D322" s="310" t="inlineStr">
        <is>
          <t>17 - Securities characteristics</t>
        </is>
      </c>
      <c r="E322" s="307" t="inlineStr">
        <is>
          <t>P1 3.57</t>
        </is>
      </c>
      <c r="F322" s="375" t="inlineStr">
        <is>
          <t>Montant des coupons restant dû</t>
        </is>
      </c>
      <c r="G322" s="309" t="inlineStr">
        <is>
          <t>Amount of remaining due coupons</t>
        </is>
      </c>
      <c r="H322" s="1493">
        <f>"RPAD( "&amp;SUBSTITUTE(SUBSTITUTE(E322," ","_"),".","_")&amp;","&amp;W322&amp;",' '); -- "&amp;E322</f>
        <v/>
      </c>
      <c r="I322" s="241" t="inlineStr">
        <is>
          <t>Montant des coupons restant dû</t>
        </is>
      </c>
      <c r="J322" s="309" t="inlineStr">
        <is>
          <t>Amount of remaining due coupons</t>
        </is>
      </c>
      <c r="K322" s="370" t="inlineStr">
        <is>
          <t>ND</t>
        </is>
      </c>
      <c r="L322" s="371" t="inlineStr">
        <is>
          <t>ND</t>
        </is>
      </c>
      <c r="M322" s="1420" t="inlineStr">
        <is>
          <t>mtICNE</t>
        </is>
      </c>
      <c r="N322" s="257" t="inlineStr">
        <is>
          <t>Obligatoire sous conditions</t>
        </is>
      </c>
      <c r="O322" s="236" t="inlineStr">
        <is>
          <t>Mandatory under conditions</t>
        </is>
      </c>
      <c r="P322" s="269" t="inlineStr">
        <is>
          <t>NA</t>
        </is>
      </c>
      <c r="Q322" s="269" t="inlineStr">
        <is>
          <t>NA</t>
        </is>
      </c>
      <c r="R322" s="241" t="inlineStr">
        <is>
          <t>NA</t>
        </is>
      </c>
      <c r="S322" s="233" t="inlineStr">
        <is>
          <t>NA</t>
        </is>
      </c>
      <c r="T322" s="313" t="inlineStr">
        <is>
          <t>NUM</t>
        </is>
      </c>
      <c r="U322" s="237" t="inlineStr">
        <is>
          <t>19 dont signe et 2 décimales</t>
        </is>
      </c>
      <c r="V322" s="238" t="inlineStr">
        <is>
          <t>19 including sign and 2 decimals</t>
        </is>
      </c>
      <c r="W322" s="257" t="n">
        <v>19</v>
      </c>
      <c r="X322" s="945" t="inlineStr">
        <is>
          <t>NA</t>
        </is>
      </c>
      <c r="Y322" s="237" t="n">
        <v>40</v>
      </c>
      <c r="Z322" s="237" t="inlineStr">
        <is>
          <t>NA</t>
        </is>
      </c>
      <c r="AA322" s="270" t="inlineStr">
        <is>
          <t>45.00</t>
        </is>
      </c>
      <c r="AB322" s="932" t="inlineStr">
        <is>
          <t>AER, ANACREDIT, CALCULS PRUDENTIELS, CORFOU, DEI, ESG PILIER 3, GRR, LIQUIDITE, SRB VALUATION</t>
        </is>
      </c>
      <c r="AC322" s="231" t="inlineStr">
        <is>
          <t>ND</t>
        </is>
      </c>
      <c r="AD322" s="257" t="inlineStr">
        <is>
          <t>N</t>
        </is>
      </c>
      <c r="AE322" s="257" t="inlineStr">
        <is>
          <t>EQU101
ISS100
ISS200 et 300</t>
        </is>
      </c>
      <c r="AF322" s="257" t="inlineStr">
        <is>
          <t>NA</t>
        </is>
      </c>
      <c r="AG322" s="258" t="inlineStr">
        <is>
          <t>NA</t>
        </is>
      </c>
      <c r="AH322" s="89" t="n"/>
      <c r="AI322" s="353" t="inlineStr">
        <is>
          <t>La donnée est obligatoire si le type de risque [P1 2.0] = 'ISS100', 'ISS200', 'ISS300'</t>
        </is>
      </c>
      <c r="AJ322" s="317" t="inlineStr">
        <is>
          <t>The data is mandatory if risk type [P1 2.0] = 'ISS100', 'ISS200', 'ISS300'</t>
        </is>
      </c>
      <c r="AK322" s="257" t="n">
        <v>7</v>
      </c>
      <c r="AL322" s="464" t="inlineStr">
        <is>
          <t>TPS0801</t>
        </is>
      </c>
      <c r="AM322" s="318" t="n"/>
      <c r="AN322" s="317" t="n"/>
      <c r="AO322" s="257" t="n"/>
      <c r="AP322" s="258" t="n"/>
      <c r="AQ322" s="318" t="n"/>
      <c r="AR322" s="317" t="n"/>
      <c r="AS322" s="257" t="n"/>
      <c r="AT322" s="258" t="n"/>
      <c r="AU322" s="318" t="n"/>
      <c r="AV322" s="317" t="n"/>
      <c r="AW322" s="257" t="n"/>
      <c r="AX322" s="258" t="n"/>
      <c r="AY322" s="318" t="n"/>
      <c r="AZ322" s="317" t="n"/>
      <c r="BA322" s="257" t="n"/>
      <c r="BB322" s="258" t="n"/>
      <c r="BC322" s="316" t="n"/>
      <c r="BD322" s="317" t="n"/>
      <c r="BE322" s="257" t="n"/>
      <c r="BF322" s="258" t="n"/>
      <c r="BG322" s="89" t="n"/>
      <c r="BH3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22">
        <f>_xlfn.LET(r,ROW(),oc,INDEX($A:$A,r),cv,TRIM(INDEX($Y:$Y,r)&amp;""),IF(oc&lt;&gt;"P1","",IF(cv="45","V45 - novo, nao alimentado pelo spool atual","V44 - alimentado pelo spool atual")))</f>
        <v/>
      </c>
    </row>
    <row r="323" ht="54" customFormat="1" customHeight="1" s="91">
      <c r="A323" s="306" t="inlineStr">
        <is>
          <t>P1</t>
        </is>
      </c>
      <c r="B323" s="307" t="n">
        <v>88</v>
      </c>
      <c r="C323" s="269" t="inlineStr">
        <is>
          <t>17 - Caractéristiques Titres</t>
        </is>
      </c>
      <c r="D323" s="310" t="inlineStr">
        <is>
          <t>17 - Securities characteristics</t>
        </is>
      </c>
      <c r="E323" s="307" t="inlineStr">
        <is>
          <t>P1 3.58</t>
        </is>
      </c>
      <c r="F323" s="308" t="inlineStr">
        <is>
          <t>Devise du montant des coupons restant dû</t>
        </is>
      </c>
      <c r="G323" s="309" t="inlineStr">
        <is>
          <t>Currency of remaining due coupons</t>
        </is>
      </c>
      <c r="H323" s="1493">
        <f>"RPAD( "&amp;SUBSTITUTE(SUBSTITUTE(E323," ","_"),".","_")&amp;","&amp;W323&amp;",' '); -- "&amp;E323</f>
        <v/>
      </c>
      <c r="I323" s="241" t="inlineStr">
        <is>
          <t>Devise d'expression des coupons</t>
        </is>
      </c>
      <c r="J323" s="309" t="inlineStr">
        <is>
          <t>Currency in which coupons are expressed</t>
        </is>
      </c>
      <c r="K323" s="370" t="inlineStr">
        <is>
          <t>ND</t>
        </is>
      </c>
      <c r="L323" s="371" t="inlineStr">
        <is>
          <t>ND</t>
        </is>
      </c>
      <c r="M323" s="1420" t="inlineStr">
        <is>
          <t>cdDevMtICNE</t>
        </is>
      </c>
      <c r="N323" s="231" t="inlineStr">
        <is>
          <t>Obligatoire sous conditions</t>
        </is>
      </c>
      <c r="O323" s="236" t="inlineStr">
        <is>
          <t>Mandatory under conditions</t>
        </is>
      </c>
      <c r="P323" s="269" t="inlineStr">
        <is>
          <t>LC.0005</t>
        </is>
      </c>
      <c r="Q323" s="269" t="inlineStr">
        <is>
          <t>TA NM253</t>
        </is>
      </c>
      <c r="R323" s="241" t="inlineStr">
        <is>
          <t>NA</t>
        </is>
      </c>
      <c r="S323" s="233" t="inlineStr">
        <is>
          <t>NA</t>
        </is>
      </c>
      <c r="T323" s="313" t="inlineStr">
        <is>
          <t>ALPHA</t>
        </is>
      </c>
      <c r="U323" s="237" t="inlineStr">
        <is>
          <t>NA</t>
        </is>
      </c>
      <c r="V323" s="238" t="inlineStr">
        <is>
          <t>NA</t>
        </is>
      </c>
      <c r="W323" s="257" t="n">
        <v>3</v>
      </c>
      <c r="X323" s="945" t="inlineStr">
        <is>
          <t>NA</t>
        </is>
      </c>
      <c r="Y323" s="237" t="n">
        <v>40</v>
      </c>
      <c r="Z323" s="237" t="inlineStr">
        <is>
          <t>NA</t>
        </is>
      </c>
      <c r="AA323" s="270" t="inlineStr">
        <is>
          <t>45.00</t>
        </is>
      </c>
      <c r="AB323" s="932" t="inlineStr">
        <is>
          <t>AER, ANACREDIT, CALCULS PRUDENTIELS, CORFOU, DEI, ESG PILIER 3, GRR, LIQUIDITE, SRB VALUATION</t>
        </is>
      </c>
      <c r="AC323" s="231" t="inlineStr">
        <is>
          <t>ND</t>
        </is>
      </c>
      <c r="AD323" s="257" t="inlineStr">
        <is>
          <t>N</t>
        </is>
      </c>
      <c r="AE323" s="485" t="inlineStr">
        <is>
          <t>EQU101
ISS100
ISS200 et 300</t>
        </is>
      </c>
      <c r="AF323" s="257" t="inlineStr">
        <is>
          <t>NA</t>
        </is>
      </c>
      <c r="AG323" s="258" t="inlineStr">
        <is>
          <t>NA</t>
        </is>
      </c>
      <c r="AH323" s="89" t="n"/>
      <c r="AI323" s="316" t="inlineStr">
        <is>
          <t xml:space="preserve">La donnée est obligatoire si le montant des coupons restant dus [P1 3.57] est renseigné </t>
        </is>
      </c>
      <c r="AJ323" s="317" t="inlineStr">
        <is>
          <t>The data is mandatory if the amount of coupons remaining due [P1 3.57] is filled</t>
        </is>
      </c>
      <c r="AK323" s="257" t="n">
        <v>7</v>
      </c>
      <c r="AL323" s="335" t="inlineStr">
        <is>
          <t>TPG0002</t>
        </is>
      </c>
      <c r="AM323" s="452" t="inlineStr">
        <is>
          <t>Si elle est renseignée, la valeur doit être connue du Langage Commun associé</t>
        </is>
      </c>
      <c r="AN323" s="377" t="inlineStr">
        <is>
          <t>If specified, the value must be known to the associated Common Language</t>
        </is>
      </c>
      <c r="AO323" s="257" t="n">
        <v>7</v>
      </c>
      <c r="AP323" s="212" t="inlineStr">
        <is>
          <t>TIG0001</t>
        </is>
      </c>
      <c r="AQ323" s="318" t="n"/>
      <c r="AR323" s="317" t="n"/>
      <c r="AS323" s="257" t="n"/>
      <c r="AT323" s="258" t="n"/>
      <c r="AU323" s="318" t="n"/>
      <c r="AV323" s="317" t="n"/>
      <c r="AW323" s="257" t="n"/>
      <c r="AX323" s="258" t="n"/>
      <c r="AY323" s="318" t="n"/>
      <c r="AZ323" s="317" t="n"/>
      <c r="BA323" s="257" t="n"/>
      <c r="BB323" s="258" t="n"/>
      <c r="BC323" s="316" t="n"/>
      <c r="BD323" s="317" t="n"/>
      <c r="BE323" s="257" t="n"/>
      <c r="BF323" s="258" t="n"/>
      <c r="BG323" s="89" t="n"/>
      <c r="BH3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23">
        <f>_xlfn.LET(r,ROW(),oc,INDEX($A:$A,r),cv,TRIM(INDEX($Y:$Y,r)&amp;""),IF(oc&lt;&gt;"P1","",IF(cv="45","V45 - novo, nao alimentado pelo spool atual","V44 - alimentado pelo spool atual")))</f>
        <v/>
      </c>
    </row>
    <row r="324" ht="54" customFormat="1" customHeight="1" s="91">
      <c r="A324" s="306" t="inlineStr">
        <is>
          <t>P1</t>
        </is>
      </c>
      <c r="B324" s="307" t="n">
        <v>89</v>
      </c>
      <c r="C324" s="269" t="inlineStr">
        <is>
          <t>17 - Caractéristiques Titres</t>
        </is>
      </c>
      <c r="D324" s="310" t="inlineStr">
        <is>
          <t>17 - Securities characteristics</t>
        </is>
      </c>
      <c r="E324" s="307" t="inlineStr">
        <is>
          <t>P1 3.59</t>
        </is>
      </c>
      <c r="F324" s="448" t="inlineStr">
        <is>
          <t>Montant du solde du compte courant d'associé</t>
        </is>
      </c>
      <c r="G324" s="309" t="inlineStr">
        <is>
          <t>Amount of associated current account balance</t>
        </is>
      </c>
      <c r="H324" s="1493">
        <f>"RPAD( "&amp;SUBSTITUTE(SUBSTITUTE(E324," ","_"),".","_")&amp;","&amp;W324&amp;",' '); -- "&amp;E324</f>
        <v/>
      </c>
      <c r="I324" s="308" t="inlineStr">
        <is>
          <t>Montant du solde du compte courant d'associé</t>
        </is>
      </c>
      <c r="J324" s="309" t="inlineStr">
        <is>
          <t>Amount of associated current account balance</t>
        </is>
      </c>
      <c r="K324" s="370" t="inlineStr">
        <is>
          <t>ND</t>
        </is>
      </c>
      <c r="L324" s="371" t="inlineStr">
        <is>
          <t>ND</t>
        </is>
      </c>
      <c r="M324" s="1420" t="inlineStr">
        <is>
          <t>mtSoldeAss</t>
        </is>
      </c>
      <c r="N324" s="257" t="inlineStr">
        <is>
          <t>Obligatoire sous conditions</t>
        </is>
      </c>
      <c r="O324" s="236" t="inlineStr">
        <is>
          <t>Mandatory under conditions</t>
        </is>
      </c>
      <c r="P324" s="269" t="inlineStr">
        <is>
          <t>NA</t>
        </is>
      </c>
      <c r="Q324" s="269" t="inlineStr">
        <is>
          <t>NA</t>
        </is>
      </c>
      <c r="R324" s="241" t="inlineStr">
        <is>
          <t>Ce montant constitue l'assiette en Risque</t>
        </is>
      </c>
      <c r="S324" s="233" t="inlineStr">
        <is>
          <t>This amount constitutes the Risk base</t>
        </is>
      </c>
      <c r="T324" s="313" t="inlineStr">
        <is>
          <t>NUM</t>
        </is>
      </c>
      <c r="U324" s="237" t="inlineStr">
        <is>
          <t>19 dont signe et 2 décimales</t>
        </is>
      </c>
      <c r="V324" s="238" t="inlineStr">
        <is>
          <t>19 including sign and 2 decimals</t>
        </is>
      </c>
      <c r="W324" s="257" t="n">
        <v>19</v>
      </c>
      <c r="X324" s="945" t="inlineStr">
        <is>
          <t>NA</t>
        </is>
      </c>
      <c r="Y324" s="237" t="n">
        <v>40</v>
      </c>
      <c r="Z324" s="237" t="inlineStr">
        <is>
          <t>NA</t>
        </is>
      </c>
      <c r="AA324" s="270" t="inlineStr">
        <is>
          <t>NA</t>
        </is>
      </c>
      <c r="AB324" s="994" t="inlineStr">
        <is>
          <t>ANACREDIT, CALCULS PRUDENTIELS, CONGLOMERATS, DEI, ESG PILIER 3, GRR</t>
        </is>
      </c>
      <c r="AC324" s="231" t="inlineStr">
        <is>
          <t>ND</t>
        </is>
      </c>
      <c r="AD324" s="257" t="inlineStr">
        <is>
          <t>N</t>
        </is>
      </c>
      <c r="AE324" s="485" t="inlineStr">
        <is>
          <t>EQU201</t>
        </is>
      </c>
      <c r="AF324" s="257" t="inlineStr">
        <is>
          <t>NA</t>
        </is>
      </c>
      <c r="AG324" s="258" t="inlineStr">
        <is>
          <t>NA</t>
        </is>
      </c>
      <c r="AH324" s="89" t="n"/>
      <c r="AI324" s="446" t="inlineStr">
        <is>
          <t>La donnée est obligatoire, si le type de risque [P1 2.0] = 'EQU201'</t>
        </is>
      </c>
      <c r="AJ324" s="317" t="inlineStr">
        <is>
          <t>The data is mandatory, if Risk type [P1 2.0] = 'EQU201'</t>
        </is>
      </c>
      <c r="AK324" s="257" t="n">
        <v>7</v>
      </c>
      <c r="AL324" s="345" t="inlineStr">
        <is>
          <t>TPS0770</t>
        </is>
      </c>
      <c r="AM324" s="318" t="n"/>
      <c r="AN324" s="317" t="n"/>
      <c r="AO324" s="257" t="n"/>
      <c r="AP324" s="258" t="n"/>
      <c r="AQ324" s="445" t="inlineStr">
        <is>
          <t>Si renseignée, la donnée doit être positive (supérieure ou égale à 0)</t>
        </is>
      </c>
      <c r="AR324" s="317" t="inlineStr">
        <is>
          <t xml:space="preserve">If filled, data must be positive (greater or equal to 0) </t>
        </is>
      </c>
      <c r="AS324" s="257" t="n">
        <v>7</v>
      </c>
      <c r="AT324" s="345" t="inlineStr">
        <is>
          <t>TVG0001</t>
        </is>
      </c>
      <c r="AU324" s="318" t="n"/>
      <c r="AV324" s="317" t="n"/>
      <c r="AW324" s="257" t="n"/>
      <c r="AX324" s="258" t="n"/>
      <c r="AY324" s="318" t="n"/>
      <c r="AZ324" s="317" t="n"/>
      <c r="BA324" s="257" t="n"/>
      <c r="BB324" s="258" t="n"/>
      <c r="BC324" s="316" t="n"/>
      <c r="BD324" s="317" t="n"/>
      <c r="BE324" s="257" t="n"/>
      <c r="BF324" s="258" t="n"/>
      <c r="BG324" s="89" t="n"/>
      <c r="BH3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24">
        <f>_xlfn.LET(r,ROW(),oc,INDEX($A:$A,r),cv,TRIM(INDEX($Y:$Y,r)&amp;""),IF(oc&lt;&gt;"P1","",IF(cv="45","V45 - novo, nao alimentado pelo spool atual","V44 - alimentado pelo spool atual")))</f>
        <v/>
      </c>
    </row>
    <row r="325" ht="54" customFormat="1" customHeight="1" s="91">
      <c r="A325" s="306" t="inlineStr">
        <is>
          <t>P1</t>
        </is>
      </c>
      <c r="B325" s="307" t="n">
        <v>90</v>
      </c>
      <c r="C325" s="269" t="inlineStr">
        <is>
          <t>17 - Caractéristiques Titres</t>
        </is>
      </c>
      <c r="D325" s="310" t="inlineStr">
        <is>
          <t>17 - Securities characteristics</t>
        </is>
      </c>
      <c r="E325" s="307" t="inlineStr">
        <is>
          <t>P1 3.60</t>
        </is>
      </c>
      <c r="F325" s="308" t="inlineStr">
        <is>
          <t>Devise du solde du compte courant d'associé</t>
        </is>
      </c>
      <c r="G325" s="309" t="inlineStr">
        <is>
          <t>Currency of associated current account balance</t>
        </is>
      </c>
      <c r="H325" s="1493">
        <f>"RPAD( "&amp;SUBSTITUTE(SUBSTITUTE(E325," ","_"),".","_")&amp;","&amp;W325&amp;",' '); -- "&amp;E325</f>
        <v/>
      </c>
      <c r="I325" s="241" t="inlineStr">
        <is>
          <t>Devise d'expression du solde du compte</t>
        </is>
      </c>
      <c r="J325" s="309" t="inlineStr">
        <is>
          <t>Currency of account's balance</t>
        </is>
      </c>
      <c r="K325" s="370" t="inlineStr">
        <is>
          <t>ND</t>
        </is>
      </c>
      <c r="L325" s="371" t="inlineStr">
        <is>
          <t>ND</t>
        </is>
      </c>
      <c r="M325" s="1420" t="inlineStr">
        <is>
          <t>cdDevMtSoldeAss</t>
        </is>
      </c>
      <c r="N325" s="257" t="inlineStr">
        <is>
          <t>Obligatoire sous conditions</t>
        </is>
      </c>
      <c r="O325" s="236" t="inlineStr">
        <is>
          <t>Mandatory under conditions</t>
        </is>
      </c>
      <c r="P325" s="269" t="inlineStr">
        <is>
          <t>LC.0005</t>
        </is>
      </c>
      <c r="Q325" s="269" t="inlineStr">
        <is>
          <t>TA NM253</t>
        </is>
      </c>
      <c r="R325" s="241" t="inlineStr">
        <is>
          <t>NA</t>
        </is>
      </c>
      <c r="S325" s="233" t="inlineStr">
        <is>
          <t>NA</t>
        </is>
      </c>
      <c r="T325" s="313" t="inlineStr">
        <is>
          <t>ALPHA</t>
        </is>
      </c>
      <c r="U325" s="237" t="inlineStr">
        <is>
          <t>NA</t>
        </is>
      </c>
      <c r="V325" s="238" t="inlineStr">
        <is>
          <t>NA</t>
        </is>
      </c>
      <c r="W325" s="257" t="n">
        <v>3</v>
      </c>
      <c r="X325" s="945" t="inlineStr">
        <is>
          <t>NA</t>
        </is>
      </c>
      <c r="Y325" s="237" t="n">
        <v>40</v>
      </c>
      <c r="Z325" s="237" t="inlineStr">
        <is>
          <t>NA</t>
        </is>
      </c>
      <c r="AA325" s="270" t="inlineStr">
        <is>
          <t>NA</t>
        </is>
      </c>
      <c r="AB325" s="994" t="inlineStr">
        <is>
          <t>ANACREDIT, CALCULS PRUDENTIELS, CONGLOMERATS, DEI, ESG PILIER 3, GRR</t>
        </is>
      </c>
      <c r="AC325" s="231" t="inlineStr">
        <is>
          <t>ND</t>
        </is>
      </c>
      <c r="AD325" s="257" t="inlineStr">
        <is>
          <t>N</t>
        </is>
      </c>
      <c r="AE325" s="485" t="inlineStr">
        <is>
          <t>EQU201</t>
        </is>
      </c>
      <c r="AF325" s="257" t="inlineStr">
        <is>
          <t>NA</t>
        </is>
      </c>
      <c r="AG325" s="258" t="inlineStr">
        <is>
          <t>NA</t>
        </is>
      </c>
      <c r="AH325" s="89" t="n"/>
      <c r="AI325" s="446" t="inlineStr">
        <is>
          <t>La donnée est obligatoire, si Montant du solde du compte courant d'associé [P1 3.59] est renseigné</t>
        </is>
      </c>
      <c r="AJ325" s="317" t="inlineStr">
        <is>
          <t>The data is mandatory, if Amount of associated current account balance [P1 3.59] is filled</t>
        </is>
      </c>
      <c r="AK325" s="257" t="n">
        <v>7</v>
      </c>
      <c r="AL325" s="335" t="inlineStr">
        <is>
          <t>TPG0002</t>
        </is>
      </c>
      <c r="AM325" s="318" t="inlineStr">
        <is>
          <t>Si elle est renseignée, la valeur doit être connue du Langage Commun associé</t>
        </is>
      </c>
      <c r="AN325" s="317" t="inlineStr">
        <is>
          <t>If specified, the value must be known to the associated Common Language</t>
        </is>
      </c>
      <c r="AO325" s="257" t="n">
        <v>7</v>
      </c>
      <c r="AP325" s="212" t="inlineStr">
        <is>
          <t>TIG0001</t>
        </is>
      </c>
      <c r="AQ325" s="318" t="n"/>
      <c r="AR325" s="317" t="n"/>
      <c r="AS325" s="257" t="n"/>
      <c r="AT325" s="258" t="n"/>
      <c r="AU325" s="318" t="n"/>
      <c r="AV325" s="317" t="n"/>
      <c r="AW325" s="257" t="n"/>
      <c r="AX325" s="258" t="n"/>
      <c r="AY325" s="318" t="n"/>
      <c r="AZ325" s="317" t="n"/>
      <c r="BA325" s="257" t="n"/>
      <c r="BB325" s="258" t="n"/>
      <c r="BC325" s="316" t="n"/>
      <c r="BD325" s="317" t="n"/>
      <c r="BE325" s="257" t="n"/>
      <c r="BF325" s="258" t="n"/>
      <c r="BG325" s="89" t="n"/>
      <c r="BH3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25">
        <f>_xlfn.LET(r,ROW(),oc,INDEX($A:$A,r),cv,TRIM(INDEX($Y:$Y,r)&amp;""),IF(oc&lt;&gt;"P1","",IF(cv="45","V45 - novo, nao alimentado pelo spool atual","V44 - alimentado pelo spool atual")))</f>
        <v/>
      </c>
    </row>
    <row r="326" ht="54" customFormat="1" customHeight="1" s="91">
      <c r="A326" s="306" t="inlineStr">
        <is>
          <t>P1</t>
        </is>
      </c>
      <c r="B326" s="307" t="n">
        <v>91</v>
      </c>
      <c r="C326" s="269" t="inlineStr">
        <is>
          <t>17 - Caractéristiques Titres</t>
        </is>
      </c>
      <c r="D326" s="310" t="inlineStr">
        <is>
          <t>17 - Securities characteristics</t>
        </is>
      </c>
      <c r="E326" s="307" t="inlineStr">
        <is>
          <t>P1 3.61</t>
        </is>
      </c>
      <c r="F326" s="308" t="inlineStr">
        <is>
          <t>Traitement prudentiel des titres et créances subordonnées</t>
        </is>
      </c>
      <c r="G326" s="309" t="inlineStr">
        <is>
          <t>Prudential processing of securities and subordinated debt holdings</t>
        </is>
      </c>
      <c r="H326" s="1493">
        <f>"RPAD( "&amp;SUBSTITUTE(SUBSTITUTE(E326," ","_"),".","_")&amp;","&amp;W326&amp;",' '); -- "&amp;E326</f>
        <v/>
      </c>
      <c r="I326" s="241" t="inlineStr">
        <is>
          <t>Indicateur permettant de préciser s'il s'agit de titres ou créances subordonnées à traiter en quasi-fonds propres (déduction possible au numérateur)</t>
        </is>
      </c>
      <c r="J326" s="309" t="inlineStr">
        <is>
          <t>Indicator specifying if it concerns securities or subordinated debt holdings to be processed as quasi-equity (possible numerator deduction)</t>
        </is>
      </c>
      <c r="K326" s="370" t="inlineStr">
        <is>
          <t>ND</t>
        </is>
      </c>
      <c r="L326" s="371" t="inlineStr">
        <is>
          <t>ND</t>
        </is>
      </c>
      <c r="M326" s="1420" t="inlineStr">
        <is>
          <t>cdTraitPrud</t>
        </is>
      </c>
      <c r="N326" s="257" t="inlineStr">
        <is>
          <t>Obligatoire sous conditions</t>
        </is>
      </c>
      <c r="O326" s="310" t="inlineStr">
        <is>
          <t>Mandatory under conditions</t>
        </is>
      </c>
      <c r="P326" s="269" t="inlineStr">
        <is>
          <t>LC.0176</t>
        </is>
      </c>
      <c r="Q326" s="269" t="inlineStr">
        <is>
          <t>TA KVTPTCS</t>
        </is>
      </c>
      <c r="R326" s="241" t="inlineStr">
        <is>
          <t>NA</t>
        </is>
      </c>
      <c r="S326" s="233" t="inlineStr">
        <is>
          <t>NA</t>
        </is>
      </c>
      <c r="T326" s="313" t="inlineStr">
        <is>
          <t>ALPHA</t>
        </is>
      </c>
      <c r="U326" s="237" t="inlineStr">
        <is>
          <t>NA</t>
        </is>
      </c>
      <c r="V326" s="238" t="inlineStr">
        <is>
          <t>NA</t>
        </is>
      </c>
      <c r="W326" s="257" t="n">
        <v>1</v>
      </c>
      <c r="X326" s="945" t="inlineStr">
        <is>
          <t>NA</t>
        </is>
      </c>
      <c r="Y326" s="237" t="inlineStr">
        <is>
          <t>40</t>
        </is>
      </c>
      <c r="Z326" s="237" t="inlineStr">
        <is>
          <t>NA</t>
        </is>
      </c>
      <c r="AA326" s="270" t="inlineStr">
        <is>
          <t>NA</t>
        </is>
      </c>
      <c r="AB326" s="1286" t="inlineStr">
        <is>
          <t>CALCULS PRUDENTIELS</t>
        </is>
      </c>
      <c r="AC326" s="231" t="inlineStr">
        <is>
          <t>ND</t>
        </is>
      </c>
      <c r="AD326" s="257" t="inlineStr">
        <is>
          <t>N</t>
        </is>
      </c>
      <c r="AE326" s="485" t="inlineStr">
        <is>
          <t>EQU101
EQU201
ISS200 et 300
TRE2 à 4XX hors 203,205,206,207</t>
        </is>
      </c>
      <c r="AF326" s="257" t="inlineStr">
        <is>
          <t>NA</t>
        </is>
      </c>
      <c r="AG326" s="258" t="inlineStr">
        <is>
          <t>NA</t>
        </is>
      </c>
      <c r="AH326" s="89" t="n"/>
      <c r="AI326" s="487" t="inlineStr">
        <is>
          <t>La donnée est obligatoire si le type de risque [P1 2.0] est égal à 'TRE405', 'TRE406'
---
La donnée est obligatoire si le type de risque [P1 2.0] est égal à ‘ISS200', ‘ISS300', 'EQUxxx' ET si la Classification comptable de référence des actifs [P1 19.5] est égale à 'JCN','JCR','JVR'</t>
        </is>
      </c>
      <c r="AJ326" s="317" t="inlineStr">
        <is>
          <t>The data is mandatory if Risk type [P1 2.0] is equal to 'TRE405', 'TRE406'
---
The data is mandatory if Risk type [P1 2.0] is equal to ‘ISS200' , ‘ISS300', 'EQUxxx' AND if the Reference accounting classification of assets [P1 19.5] is equal to 'JCN','JCR','JVR'</t>
        </is>
      </c>
      <c r="AK326" s="257" t="inlineStr">
        <is>
          <t>7
6</t>
        </is>
      </c>
      <c r="AL326" s="378" t="inlineStr">
        <is>
          <t>TPS0771
TPS0772</t>
        </is>
      </c>
      <c r="AM326" s="488" t="inlineStr">
        <is>
          <t>Si elle est renseignée, la valeur doit être connue du Langage Commun associé</t>
        </is>
      </c>
      <c r="AN326" s="489" t="inlineStr">
        <is>
          <t>If specified, the value must be known to the associated Common Language</t>
        </is>
      </c>
      <c r="AO326" s="257" t="n">
        <v>7</v>
      </c>
      <c r="AP326" s="212" t="inlineStr">
        <is>
          <t>TIG0001</t>
        </is>
      </c>
      <c r="AQ326" s="318" t="n"/>
      <c r="AR326" s="317" t="n"/>
      <c r="AS326" s="257" t="n"/>
      <c r="AT326" s="258" t="n"/>
      <c r="AU326" s="318" t="n"/>
      <c r="AV326" s="317" t="n"/>
      <c r="AW326" s="257" t="n"/>
      <c r="AX326" s="258" t="n"/>
      <c r="AY326" s="318" t="n"/>
      <c r="AZ326" s="317" t="n"/>
      <c r="BA326" s="257" t="n"/>
      <c r="BB326" s="258" t="n"/>
      <c r="BC326" s="316" t="n"/>
      <c r="BD326" s="317" t="n"/>
      <c r="BE326" s="257" t="n"/>
      <c r="BF326" s="258" t="n"/>
      <c r="BG326" s="89" t="n"/>
      <c r="BH3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26">
        <f>_xlfn.LET(r,ROW(),oc,INDEX($A:$A,r),cv,TRIM(INDEX($Y:$Y,r)&amp;""),IF(oc&lt;&gt;"P1","",IF(cv="45","V45 - novo, nao alimentado pelo spool atual","V44 - alimentado pelo spool atual")))</f>
        <v/>
      </c>
    </row>
    <row r="327" ht="54" customFormat="1" customHeight="1" s="57">
      <c r="A327" s="325" t="inlineStr">
        <is>
          <t>P1</t>
        </is>
      </c>
      <c r="B327" s="326" t="n">
        <v>92</v>
      </c>
      <c r="C327" s="284" t="inlineStr">
        <is>
          <t>NA</t>
        </is>
      </c>
      <c r="D327" s="284" t="inlineStr">
        <is>
          <t>NA</t>
        </is>
      </c>
      <c r="E327" s="326" t="inlineStr">
        <is>
          <t>P1 3.99</t>
        </is>
      </c>
      <c r="F327" s="327" t="inlineStr">
        <is>
          <t>Filler</t>
        </is>
      </c>
      <c r="G327" s="245" t="inlineStr">
        <is>
          <t>Filler</t>
        </is>
      </c>
      <c r="H327" s="1493">
        <f>"RPAD( "&amp;SUBSTITUTE(SUBSTITUTE(E327," ","_"),".","_")&amp;","&amp;W327&amp;",' '); -- "&amp;E327</f>
        <v/>
      </c>
      <c r="I327" s="247" t="inlineStr">
        <is>
          <t>Zone libre</t>
        </is>
      </c>
      <c r="J327" s="245" t="inlineStr">
        <is>
          <t>Free zone</t>
        </is>
      </c>
      <c r="K327" s="284" t="inlineStr">
        <is>
          <t>NA</t>
        </is>
      </c>
      <c r="L327" s="284" t="inlineStr">
        <is>
          <t>NA</t>
        </is>
      </c>
      <c r="M327" s="1421" t="inlineStr">
        <is>
          <t>ZoneLibre3</t>
        </is>
      </c>
      <c r="N327" s="284" t="inlineStr">
        <is>
          <t>NA</t>
        </is>
      </c>
      <c r="O327" s="284" t="inlineStr">
        <is>
          <t>NA</t>
        </is>
      </c>
      <c r="P327" s="284" t="inlineStr">
        <is>
          <t>NA</t>
        </is>
      </c>
      <c r="Q327" s="284" t="inlineStr">
        <is>
          <t>NA</t>
        </is>
      </c>
      <c r="R327" s="247" t="inlineStr">
        <is>
          <t>Laisser à vide</t>
        </is>
      </c>
      <c r="S327" s="247" t="inlineStr">
        <is>
          <t>Leave empty</t>
        </is>
      </c>
      <c r="T327" s="326" t="inlineStr">
        <is>
          <t>ALPHA</t>
        </is>
      </c>
      <c r="U327" s="248" t="inlineStr">
        <is>
          <t>NA</t>
        </is>
      </c>
      <c r="V327" s="248" t="inlineStr">
        <is>
          <t>NA</t>
        </is>
      </c>
      <c r="W327" s="284" t="n">
        <v>2</v>
      </c>
      <c r="X327" s="244" t="inlineStr">
        <is>
          <t>NA</t>
        </is>
      </c>
      <c r="Y327" s="248" t="inlineStr">
        <is>
          <t>NA</t>
        </is>
      </c>
      <c r="Z327" s="248" t="inlineStr">
        <is>
          <t>NA</t>
        </is>
      </c>
      <c r="AA327" s="248" t="inlineStr">
        <is>
          <t>NA</t>
        </is>
      </c>
      <c r="AB327" s="284" t="inlineStr">
        <is>
          <t>NA</t>
        </is>
      </c>
      <c r="AC327" s="244" t="inlineStr">
        <is>
          <t>NA</t>
        </is>
      </c>
      <c r="AD327" s="284" t="inlineStr">
        <is>
          <t>N</t>
        </is>
      </c>
      <c r="AE327" s="284" t="inlineStr">
        <is>
          <t>NA</t>
        </is>
      </c>
      <c r="AF327" s="284" t="inlineStr">
        <is>
          <t>NA</t>
        </is>
      </c>
      <c r="AG327" s="285" t="inlineStr">
        <is>
          <t>NA</t>
        </is>
      </c>
      <c r="AH327" s="89" t="n"/>
      <c r="AI327" s="330" t="n"/>
      <c r="AJ327" s="331" t="n"/>
      <c r="AK327" s="284" t="n"/>
      <c r="AL327" s="285" t="n"/>
      <c r="AM327" s="331" t="n"/>
      <c r="AN327" s="331" t="n"/>
      <c r="AO327" s="284" t="n"/>
      <c r="AP327" s="285" t="n"/>
      <c r="AQ327" s="331" t="n"/>
      <c r="AR327" s="331" t="n"/>
      <c r="AS327" s="284" t="n"/>
      <c r="AT327" s="285" t="n"/>
      <c r="AU327" s="331" t="n"/>
      <c r="AV327" s="331" t="n"/>
      <c r="AW327" s="284" t="n"/>
      <c r="AX327" s="285" t="n"/>
      <c r="AY327" s="331" t="n"/>
      <c r="AZ327" s="331" t="n"/>
      <c r="BA327" s="284" t="n"/>
      <c r="BB327" s="285" t="n"/>
      <c r="BC327" s="330" t="n"/>
      <c r="BD327" s="331" t="n"/>
      <c r="BE327" s="284" t="n"/>
      <c r="BF327" s="285" t="n"/>
      <c r="BG327" s="89" t="n"/>
      <c r="BH3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27">
        <f>_xlfn.LET(r,ROW(),oc,INDEX($A:$A,r),cv,TRIM(INDEX($Y:$Y,r)&amp;""),IF(oc&lt;&gt;"P1","",IF(cv="45","V45 - novo, nao alimentado pelo spool atual","V44 - alimentado pelo spool atual")))</f>
        <v/>
      </c>
    </row>
    <row r="328" ht="54" customFormat="1" customHeight="1" s="91">
      <c r="A328" s="306" t="inlineStr">
        <is>
          <t>P1</t>
        </is>
      </c>
      <c r="B328" s="307" t="n">
        <v>93</v>
      </c>
      <c r="C328" s="269" t="inlineStr">
        <is>
          <t>03 - Caractéristiques Générales</t>
        </is>
      </c>
      <c r="D328" s="310" t="inlineStr">
        <is>
          <t>03 - General characteristics</t>
        </is>
      </c>
      <c r="E328" s="307" t="inlineStr">
        <is>
          <t>P1 3.8</t>
        </is>
      </c>
      <c r="F328" s="448" t="inlineStr">
        <is>
          <t>Montant nominal</t>
        </is>
      </c>
      <c r="G328" s="309" t="inlineStr">
        <is>
          <t>Nominal amount</t>
        </is>
      </c>
      <c r="H328" s="1493">
        <f>"RPAD( "&amp;SUBSTITUTE(SUBSTITUTE(E328," ","_"),".","_")&amp;","&amp;W328&amp;",' '); -- "&amp;E328</f>
        <v/>
      </c>
      <c r="I328" s="490" t="inlineStr">
        <is>
          <t>Montant notionnel ou transactionnel de l'engagement selon sa nature
Correspond au nominal des titres de créances ou au notionnel du dérivé de crédit vendu</t>
        </is>
      </c>
      <c r="J328" s="309" t="inlineStr">
        <is>
          <t>Notional or transactional amount of the commitment according to its nature
Corresponds to the nominal value of the debt securities or the notional value of the credit derivative sold</t>
        </is>
      </c>
      <c r="K328" s="370" t="inlineStr">
        <is>
          <t>ND</t>
        </is>
      </c>
      <c r="L328" s="371" t="inlineStr">
        <is>
          <t>ND</t>
        </is>
      </c>
      <c r="M328" s="1420" t="inlineStr">
        <is>
          <t>mtNom</t>
        </is>
      </c>
      <c r="N328" s="257" t="inlineStr">
        <is>
          <t>Obligatoire sous conditions</t>
        </is>
      </c>
      <c r="O328" s="310" t="inlineStr">
        <is>
          <t>Mandatory under conditions</t>
        </is>
      </c>
      <c r="P328" s="269" t="inlineStr">
        <is>
          <t>NA</t>
        </is>
      </c>
      <c r="Q328" s="269" t="inlineStr">
        <is>
          <t>NA</t>
        </is>
      </c>
      <c r="R328" s="241" t="inlineStr">
        <is>
          <t>NA</t>
        </is>
      </c>
      <c r="S328" s="233" t="inlineStr">
        <is>
          <t>NA</t>
        </is>
      </c>
      <c r="T328" s="313" t="inlineStr">
        <is>
          <t>NUM</t>
        </is>
      </c>
      <c r="U328" s="237" t="inlineStr">
        <is>
          <t>19 dont signe et 2 décimales</t>
        </is>
      </c>
      <c r="V328" s="238" t="inlineStr">
        <is>
          <t>19 including sign and 2 decimals</t>
        </is>
      </c>
      <c r="W328" s="257" t="n">
        <v>19</v>
      </c>
      <c r="X328" s="945" t="inlineStr">
        <is>
          <t>NA</t>
        </is>
      </c>
      <c r="Y328" s="237" t="n">
        <v>40</v>
      </c>
      <c r="Z328" s="237" t="inlineStr">
        <is>
          <t>NA</t>
        </is>
      </c>
      <c r="AA328" s="270" t="inlineStr">
        <is>
          <t>45.00</t>
        </is>
      </c>
      <c r="AB328" s="932" t="inlineStr">
        <is>
          <t>AER, ALMM, ANACREDIT, CALCULS PRUDENTIELS, CONGLOMERATS, CORFOU, DEI, GRR, LIQUIDITE, MREL, NSFR, PALMA, PVA, RISQUES SYSTEMIQUES, SA-CCR, YOSHIKUNI</t>
        </is>
      </c>
      <c r="AC328" s="231" t="inlineStr">
        <is>
          <t>ND</t>
        </is>
      </c>
      <c r="AD328" s="257" t="inlineStr">
        <is>
          <t>N</t>
        </is>
      </c>
      <c r="AE328" s="971" t="inlineStr">
        <is>
          <t>EQU101
ISS100
ISS200 et 300
VAR*
INT</t>
        </is>
      </c>
      <c r="AF328" s="257" t="inlineStr">
        <is>
          <t>NA</t>
        </is>
      </c>
      <c r="AG328" s="258" t="inlineStr">
        <is>
          <t>NA</t>
        </is>
      </c>
      <c r="AH328" s="89" t="n"/>
      <c r="AI328" s="408" t="inlineStr">
        <is>
          <t>La donnée est obligatoire si le type de risque [P1 2.0] = 'EQU101, 'ISS100, 'ISS200', 'ISS300', 'INTxxx', 'VARxxx' (sauf VAR105 et VAR302)</t>
        </is>
      </c>
      <c r="AJ328" s="317" t="inlineStr">
        <is>
          <t>The data is mandatory if risk type [P1 2.0] = 'EQU101, 'ISS100, 'ISS200', 'ISS300', 'INTxxx', 'VARxxx' (except VAR105 and VAR302)</t>
        </is>
      </c>
      <c r="AK328" s="257" t="n">
        <v>7</v>
      </c>
      <c r="AL328" s="335" t="inlineStr">
        <is>
          <t>TPS0773</t>
        </is>
      </c>
      <c r="AM328" s="318" t="n"/>
      <c r="AN328" s="317" t="n"/>
      <c r="AO328" s="257" t="n"/>
      <c r="AP328" s="258" t="n"/>
      <c r="AQ328" s="436" t="inlineStr">
        <is>
          <t>Si renseignée, la donnée doit être positive (supérieure ou égale à 0)</t>
        </is>
      </c>
      <c r="AR328" s="317" t="inlineStr">
        <is>
          <t xml:space="preserve">If filled, data must be positive (greater or equal to 0) </t>
        </is>
      </c>
      <c r="AS328" s="257" t="n">
        <v>7</v>
      </c>
      <c r="AT328" s="345" t="inlineStr">
        <is>
          <t>TVG0001</t>
        </is>
      </c>
      <c r="AU328" s="318" t="n"/>
      <c r="AV328" s="317" t="n"/>
      <c r="AW328" s="257" t="n"/>
      <c r="AX328" s="258" t="n"/>
      <c r="AY328" s="318" t="n"/>
      <c r="AZ328" s="317" t="n"/>
      <c r="BA328" s="257" t="n"/>
      <c r="BB328" s="258" t="n"/>
      <c r="BC328" s="316" t="n"/>
      <c r="BD328" s="317" t="n"/>
      <c r="BE328" s="257" t="n"/>
      <c r="BF328" s="258" t="n"/>
      <c r="BG328" s="89" t="n"/>
      <c r="BH3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28">
        <f>_xlfn.LET(r,ROW(),oc,INDEX($A:$A,r),cv,TRIM(INDEX($Y:$Y,r)&amp;""),IF(oc&lt;&gt;"P1","",IF(cv="45","V45 - novo, nao alimentado pelo spool atual","V44 - alimentado pelo spool atual")))</f>
        <v/>
      </c>
    </row>
    <row r="329" ht="54" customFormat="1" customHeight="1" s="91">
      <c r="A329" s="306" t="inlineStr">
        <is>
          <t>P1</t>
        </is>
      </c>
      <c r="B329" s="307" t="n">
        <v>94</v>
      </c>
      <c r="C329" s="269" t="inlineStr">
        <is>
          <t>03 - Caractéristiques Générales</t>
        </is>
      </c>
      <c r="D329" s="310" t="inlineStr">
        <is>
          <t>03 - General characteristics</t>
        </is>
      </c>
      <c r="E329" s="307" t="inlineStr">
        <is>
          <t>P1 3.9</t>
        </is>
      </c>
      <c r="F329" s="308" t="inlineStr">
        <is>
          <t>Devise du montant nominal</t>
        </is>
      </c>
      <c r="G329" s="309" t="inlineStr">
        <is>
          <t>Currency of nominal amount</t>
        </is>
      </c>
      <c r="H329" s="1493">
        <f>"RPAD( "&amp;SUBSTITUTE(SUBSTITUTE(E329," ","_"),".","_")&amp;","&amp;W329&amp;",' '); -- "&amp;E329</f>
        <v/>
      </c>
      <c r="I329" s="241" t="inlineStr">
        <is>
          <t>Devise d'expression du nominal de l'engagement</t>
        </is>
      </c>
      <c r="J329" s="309" t="inlineStr">
        <is>
          <t>Currency in which the commitment's nominal amount is expressed</t>
        </is>
      </c>
      <c r="K329" s="370" t="inlineStr">
        <is>
          <t>ND</t>
        </is>
      </c>
      <c r="L329" s="371" t="inlineStr">
        <is>
          <t>ND</t>
        </is>
      </c>
      <c r="M329" s="1420" t="inlineStr">
        <is>
          <t>cdDevMtNom</t>
        </is>
      </c>
      <c r="N329" s="257" t="inlineStr">
        <is>
          <t>Obligatoire sous conditions</t>
        </is>
      </c>
      <c r="O329" s="236" t="inlineStr">
        <is>
          <t>Mandatory under conditions</t>
        </is>
      </c>
      <c r="P329" s="269" t="inlineStr">
        <is>
          <t>LC.0005</t>
        </is>
      </c>
      <c r="Q329" s="269" t="inlineStr">
        <is>
          <t>TA NM253</t>
        </is>
      </c>
      <c r="R329" s="241" t="inlineStr">
        <is>
          <t>NA</t>
        </is>
      </c>
      <c r="S329" s="233" t="inlineStr">
        <is>
          <t>NA</t>
        </is>
      </c>
      <c r="T329" s="313" t="inlineStr">
        <is>
          <t>ALPHA</t>
        </is>
      </c>
      <c r="U329" s="237" t="inlineStr">
        <is>
          <t>NA</t>
        </is>
      </c>
      <c r="V329" s="238" t="inlineStr">
        <is>
          <t>NA</t>
        </is>
      </c>
      <c r="W329" s="257" t="n">
        <v>3</v>
      </c>
      <c r="X329" s="945" t="inlineStr">
        <is>
          <t>NA</t>
        </is>
      </c>
      <c r="Y329" s="237" t="n">
        <v>40</v>
      </c>
      <c r="Z329" s="237" t="inlineStr">
        <is>
          <t>NA</t>
        </is>
      </c>
      <c r="AA329" s="270" t="inlineStr">
        <is>
          <t>45.00</t>
        </is>
      </c>
      <c r="AB329" s="932" t="inlineStr">
        <is>
          <t>AER, ALMM, ANACREDIT, CALCULS PRUDENTIELS, CONGLOMERATS, CORFOU, DEI, GRR, LIQUIDITE, MREL, NSFR, PALMA, PVA, RISQUES SYSTEMIQUES, SA-CCR, YOSHIKUNI</t>
        </is>
      </c>
      <c r="AC329" s="231" t="inlineStr">
        <is>
          <t>ND</t>
        </is>
      </c>
      <c r="AD329" s="257" t="inlineStr">
        <is>
          <t>N</t>
        </is>
      </c>
      <c r="AE329" s="971" t="inlineStr">
        <is>
          <t>EQU101
ISS100
ISS200 et 300
VAR*
INT</t>
        </is>
      </c>
      <c r="AF329" s="257" t="inlineStr">
        <is>
          <t>NA</t>
        </is>
      </c>
      <c r="AG329" s="258" t="inlineStr">
        <is>
          <t>NA</t>
        </is>
      </c>
      <c r="AH329" s="89" t="n"/>
      <c r="AI329" s="446" t="inlineStr">
        <is>
          <t>La donnée est obligatoire, si Montant nominal [P1 3.8] est renseigné</t>
        </is>
      </c>
      <c r="AJ329" s="317" t="inlineStr">
        <is>
          <t>The data is mandatory, if Nominal amount [P1 3.8] is filled</t>
        </is>
      </c>
      <c r="AK329" s="257" t="n">
        <v>7</v>
      </c>
      <c r="AL329" s="335" t="inlineStr">
        <is>
          <t>TPG0002</t>
        </is>
      </c>
      <c r="AM329" s="318" t="inlineStr">
        <is>
          <t>Si elle est renseignée, la valeur doit être connue du Langage Commun associé</t>
        </is>
      </c>
      <c r="AN329" s="317" t="inlineStr">
        <is>
          <t>If specified, the value must be known to the associated Common Language</t>
        </is>
      </c>
      <c r="AO329" s="257" t="n">
        <v>7</v>
      </c>
      <c r="AP329" s="212" t="inlineStr">
        <is>
          <t>TIG0001</t>
        </is>
      </c>
      <c r="AQ329" s="318" t="n"/>
      <c r="AR329" s="317" t="n"/>
      <c r="AS329" s="257" t="n"/>
      <c r="AT329" s="258" t="n"/>
      <c r="AU329" s="318" t="n"/>
      <c r="AV329" s="317" t="n"/>
      <c r="AW329" s="257" t="n"/>
      <c r="AX329" s="258" t="n"/>
      <c r="AY329" s="318" t="n"/>
      <c r="AZ329" s="317" t="n"/>
      <c r="BA329" s="257" t="n"/>
      <c r="BB329" s="258" t="n"/>
      <c r="BC329" s="316" t="n"/>
      <c r="BD329" s="317" t="n"/>
      <c r="BE329" s="257" t="n"/>
      <c r="BF329" s="258" t="n"/>
      <c r="BG329" s="89" t="n"/>
      <c r="BH3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29">
        <f>_xlfn.LET(r,ROW(),oc,INDEX($A:$A,r),cv,TRIM(INDEX($Y:$Y,r)&amp;""),IF(oc&lt;&gt;"P1","",IF(cv="45","V45 - novo, nao alimentado pelo spool atual","V44 - alimentado pelo spool atual")))</f>
        <v/>
      </c>
    </row>
    <row r="330" ht="54" customFormat="1" customHeight="1" s="57">
      <c r="A330" s="325" t="inlineStr">
        <is>
          <t>P1</t>
        </is>
      </c>
      <c r="B330" s="326" t="n">
        <v>95</v>
      </c>
      <c r="C330" s="284" t="inlineStr">
        <is>
          <t xml:space="preserve">19 - Données comptables </t>
        </is>
      </c>
      <c r="D330" s="284" t="inlineStr">
        <is>
          <t>19 - Accounting data</t>
        </is>
      </c>
      <c r="E330" s="326" t="inlineStr">
        <is>
          <t>P1 3.31</t>
        </is>
      </c>
      <c r="F330" s="327" t="inlineStr">
        <is>
          <t>Zone libre (Ex PCCO – Nominal)</t>
        </is>
      </c>
      <c r="G330" s="327" t="inlineStr">
        <is>
          <t>Free zone (Ex PCCO – Nominal)</t>
        </is>
      </c>
      <c r="H330" s="1493">
        <f>"RPAD( "&amp;SUBSTITUTE(SUBSTITUTE(E330," ","_"),".","_")&amp;","&amp;W330&amp;",' '); -- "&amp;E330</f>
        <v/>
      </c>
      <c r="I330" s="329" t="inlineStr">
        <is>
          <t>Zone libre</t>
        </is>
      </c>
      <c r="J330" s="329" t="inlineStr">
        <is>
          <t>Free zone</t>
        </is>
      </c>
      <c r="K330" s="328" t="inlineStr">
        <is>
          <t>NA</t>
        </is>
      </c>
      <c r="L330" s="328" t="inlineStr">
        <is>
          <t>NA</t>
        </is>
      </c>
      <c r="M330" s="1421" t="inlineStr">
        <is>
          <t>ZoneLibre331</t>
        </is>
      </c>
      <c r="N330" s="284" t="inlineStr">
        <is>
          <t>NA</t>
        </is>
      </c>
      <c r="O330" s="244" t="inlineStr">
        <is>
          <t>NA</t>
        </is>
      </c>
      <c r="P330" s="284" t="inlineStr">
        <is>
          <t>NA</t>
        </is>
      </c>
      <c r="Q330" s="284" t="inlineStr">
        <is>
          <t>NA</t>
        </is>
      </c>
      <c r="R330" s="412" t="inlineStr">
        <is>
          <t>Laisser à vide</t>
        </is>
      </c>
      <c r="S330" s="245" t="inlineStr">
        <is>
          <t>Leave empty</t>
        </is>
      </c>
      <c r="T330" s="333" t="inlineStr">
        <is>
          <t>ALPHA</t>
        </is>
      </c>
      <c r="U330" s="256" t="inlineStr">
        <is>
          <t>NA</t>
        </is>
      </c>
      <c r="V330" s="256" t="inlineStr">
        <is>
          <t>NA</t>
        </is>
      </c>
      <c r="W330" s="328" t="n">
        <v>12</v>
      </c>
      <c r="X330" s="244" t="inlineStr">
        <is>
          <t>NA</t>
        </is>
      </c>
      <c r="Y330" s="248" t="inlineStr">
        <is>
          <t>NA</t>
        </is>
      </c>
      <c r="Z330" s="248" t="inlineStr">
        <is>
          <t>NA</t>
        </is>
      </c>
      <c r="AA330" s="248" t="inlineStr">
        <is>
          <t>NA</t>
        </is>
      </c>
      <c r="AB330" s="284" t="inlineStr">
        <is>
          <t>CONGLOMERATS</t>
        </is>
      </c>
      <c r="AC330" s="244" t="inlineStr">
        <is>
          <t>NA</t>
        </is>
      </c>
      <c r="AD330" s="284" t="inlineStr">
        <is>
          <t>N</t>
        </is>
      </c>
      <c r="AE330" s="284" t="inlineStr">
        <is>
          <t>NA</t>
        </is>
      </c>
      <c r="AF330" s="284" t="inlineStr">
        <is>
          <t>NA</t>
        </is>
      </c>
      <c r="AG330" s="285" t="inlineStr">
        <is>
          <t>NA</t>
        </is>
      </c>
      <c r="AH330" s="89" t="n"/>
      <c r="AI330" s="330" t="n"/>
      <c r="AJ330" s="331" t="n"/>
      <c r="AK330" s="284" t="n"/>
      <c r="AL330" s="285" t="n"/>
      <c r="AM330" s="331" t="n"/>
      <c r="AN330" s="331" t="n"/>
      <c r="AO330" s="284" t="n"/>
      <c r="AP330" s="285" t="n"/>
      <c r="AQ330" s="331" t="n"/>
      <c r="AR330" s="331" t="n"/>
      <c r="AS330" s="284" t="n"/>
      <c r="AT330" s="285" t="n"/>
      <c r="AU330" s="331" t="n"/>
      <c r="AV330" s="331" t="n"/>
      <c r="AW330" s="284" t="n"/>
      <c r="AX330" s="285" t="n"/>
      <c r="AY330" s="331" t="n"/>
      <c r="AZ330" s="331" t="n"/>
      <c r="BA330" s="284" t="n"/>
      <c r="BB330" s="285" t="n"/>
      <c r="BC330" s="330" t="n"/>
      <c r="BD330" s="331" t="n"/>
      <c r="BE330" s="284" t="n"/>
      <c r="BF330" s="285" t="n"/>
      <c r="BG330" s="89" t="n"/>
      <c r="BH3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30">
        <f>_xlfn.LET(r,ROW(),oc,INDEX($A:$A,r),cv,TRIM(INDEX($Y:$Y,r)&amp;""),IF(oc&lt;&gt;"P1","",IF(cv="45","V45 - novo, nao alimentado pelo spool atual","V44 - alimentado pelo spool atual")))</f>
        <v/>
      </c>
    </row>
    <row r="331" ht="54" customFormat="1" customHeight="1" s="91">
      <c r="A331" s="306" t="inlineStr">
        <is>
          <t>P1</t>
        </is>
      </c>
      <c r="B331" s="307" t="n">
        <v>96</v>
      </c>
      <c r="C331" s="269" t="inlineStr">
        <is>
          <t>14 - Caractéristiques Sous-jacent</t>
        </is>
      </c>
      <c r="D331" s="310" t="inlineStr">
        <is>
          <t>14 - Underlying characteristics</t>
        </is>
      </c>
      <c r="E331" s="307" t="inlineStr">
        <is>
          <t>P1 12.1</t>
        </is>
      </c>
      <c r="F331" s="491" t="inlineStr">
        <is>
          <t>Nature du sous-Jacent</t>
        </is>
      </c>
      <c r="G331" s="309" t="inlineStr">
        <is>
          <t>Nature of underlying</t>
        </is>
      </c>
      <c r="H331" s="1493">
        <f>"RPAD( "&amp;SUBSTITUTE(SUBSTITUTE(E331," ","_"),".","_")&amp;","&amp;W331&amp;",' '); -- "&amp;E331</f>
        <v/>
      </c>
      <c r="I331" s="241" t="inlineStr">
        <is>
          <t>Correspond à la nature de l'actif sous-jacent servant de référence au contrat</t>
        </is>
      </c>
      <c r="J331" s="309" t="inlineStr">
        <is>
          <t>Represents the nature of the underlying asset used as contract reference</t>
        </is>
      </c>
      <c r="K331" s="370" t="inlineStr">
        <is>
          <t>ND</t>
        </is>
      </c>
      <c r="L331" s="371" t="inlineStr">
        <is>
          <t>ND</t>
        </is>
      </c>
      <c r="M331" s="1420" t="inlineStr">
        <is>
          <t>cdNatSJ</t>
        </is>
      </c>
      <c r="N331" s="257" t="inlineStr">
        <is>
          <t>Obligatoire sous conditions</t>
        </is>
      </c>
      <c r="O331" s="236" t="inlineStr">
        <is>
          <t>Mandatory under conditions</t>
        </is>
      </c>
      <c r="P331" s="269" t="inlineStr">
        <is>
          <t>LC.0046</t>
        </is>
      </c>
      <c r="Q331" s="269" t="inlineStr">
        <is>
          <t>TA KVNSJACE</t>
        </is>
      </c>
      <c r="R331" s="241" t="inlineStr">
        <is>
          <t>Elle est indispensable pour déterminer la pondération à appliquer
Pour les OPCVM déclarés en portefeuille Bâle Opération (P1 2.18) ='081' (OPCVM) et Type de risque (P1 2.0) = 'SIG201' ou 'SIG206', renseigner la composante la plus risquée</t>
        </is>
      </c>
      <c r="S331" s="233" t="inlineStr">
        <is>
          <t>It is essential to determine the risk weight to be applied
For UCITS reported in the Basel Transaction Portfolio (P1 2.18) ='081' (UCITS) and risk Type (P1 2.0) = 'SIG201' or 'SIG206', indicate the riskiest component</t>
        </is>
      </c>
      <c r="T331" s="313" t="inlineStr">
        <is>
          <t>ALPHA</t>
        </is>
      </c>
      <c r="U331" s="237" t="inlineStr">
        <is>
          <t>NA</t>
        </is>
      </c>
      <c r="V331" s="238" t="inlineStr">
        <is>
          <t>NA</t>
        </is>
      </c>
      <c r="W331" s="257" t="n">
        <v>2</v>
      </c>
      <c r="X331" s="945" t="inlineStr">
        <is>
          <t>NA</t>
        </is>
      </c>
      <c r="Y331" s="237" t="n">
        <v>40</v>
      </c>
      <c r="Z331" s="237" t="inlineStr">
        <is>
          <t>NA</t>
        </is>
      </c>
      <c r="AA331" s="978" t="inlineStr">
        <is>
          <t>NA</t>
        </is>
      </c>
      <c r="AB331" s="994" t="inlineStr">
        <is>
          <t>AER, ANACREDIT, CALCULS PRUDENTIELS, CONGLOMERATS, CORFOU, DEI, GRR, LOAN TAPE, PVA, RISQUES SYSTEMIQUES, SA-CCR, SHS, SRB VALUATION, YOSHIKUNI</t>
        </is>
      </c>
      <c r="AC331" s="231" t="inlineStr">
        <is>
          <t>ND</t>
        </is>
      </c>
      <c r="AD331" s="257" t="inlineStr">
        <is>
          <t>N</t>
        </is>
      </c>
      <c r="AE331" s="492" t="inlineStr">
        <is>
          <t>EQU101
ISS100, ISS200, ISS 300
TRE203, 205, 206, 207
SIG201, SIG206
VAR (hors Repos)
INT</t>
        </is>
      </c>
      <c r="AF331" s="257" t="inlineStr">
        <is>
          <t>NA</t>
        </is>
      </c>
      <c r="AG331" s="258" t="inlineStr">
        <is>
          <t>NA</t>
        </is>
      </c>
      <c r="AH331" s="89" t="n"/>
      <c r="AI331" s="493" t="inlineStr">
        <is>
          <t>La donnée est obligatoire si le type de risque [P1 2.0] est égal à 'EQU101, 'ISS100, 'ISS200', 'ISS300', 'INTxxx', 'TRE203', 'TRE205', 'TRE206', 'TRE207', 'VARxxx' (sauf VAR105 et VAR302)
---
La donnée est obligatoire si le type de risque [P1 2.0] est égal à 'SIG201' ou 'SIG206' ET si le Portefeuille Bâle Opération [P1 2.18] est égal à '081'
---
La donnée est obligatoire si l'indicateur de l'application de l'approche par mandat [P1 21.67] est renseigné à 'Y'</t>
        </is>
      </c>
      <c r="AJ331" s="317" t="inlineStr">
        <is>
          <t>The data is mandatory if Risk type [P1 2.0] is equal to 'EQU101, 'ISS100, 'ISS200', 'ISS300', 'INTxxx', 'TRE203', 'TRE205', 'TRE206', 'TRE207', 'VARxxx' (except VAR105 and VAR302)
---
The data is mandatory if Risk type [P1 2.0] is equal to 'SIG201' or 'SIG206' AND if the Basel Transaction Portfolio [P1 2.18] is equal to '081'
---
The data is mandatory if the Mandate-based approach indicator [P1 21.67] is filled in with 'Y'</t>
        </is>
      </c>
      <c r="AK331" s="257" t="inlineStr">
        <is>
          <t>7
6
6</t>
        </is>
      </c>
      <c r="AL331" s="378" t="inlineStr">
        <is>
          <t>TPS0774
TPS0775
TPS0776</t>
        </is>
      </c>
      <c r="AM331" s="452" t="inlineStr">
        <is>
          <t>Si elle est renseignée, la valeur doit être connue du Langage Commun associé</t>
        </is>
      </c>
      <c r="AN331" s="377" t="inlineStr">
        <is>
          <t>If specified, the value must be known to the associated Common Language</t>
        </is>
      </c>
      <c r="AO331" s="257" t="n">
        <v>7</v>
      </c>
      <c r="AP331" s="212" t="inlineStr">
        <is>
          <t>TIG0001</t>
        </is>
      </c>
      <c r="AQ331" s="421" t="n"/>
      <c r="AR331" s="422" t="n"/>
      <c r="AS331" s="348" t="n"/>
      <c r="AT331" s="423" t="n"/>
      <c r="AU331" s="318" t="n"/>
      <c r="AV331" s="317" t="n"/>
      <c r="AW331" s="257" t="n"/>
      <c r="AX331" s="258" t="n"/>
      <c r="AY331" s="318" t="n"/>
      <c r="AZ331" s="317" t="n"/>
      <c r="BA331" s="257" t="n"/>
      <c r="BB331" s="258" t="n"/>
      <c r="BC331" s="316" t="n"/>
      <c r="BD331" s="317" t="n"/>
      <c r="BE331" s="257" t="n"/>
      <c r="BF331" s="258" t="n"/>
      <c r="BG331" s="89" t="n"/>
      <c r="BH3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31">
        <f>_xlfn.LET(r,ROW(),oc,INDEX($A:$A,r),cv,TRIM(INDEX($Y:$Y,r)&amp;""),IF(oc&lt;&gt;"P1","",IF(cv="45","V45 - novo, nao alimentado pelo spool atual","V44 - alimentado pelo spool atual")))</f>
        <v/>
      </c>
    </row>
    <row r="332" ht="54" customFormat="1" customHeight="1" s="91">
      <c r="A332" s="306" t="inlineStr">
        <is>
          <t>P1</t>
        </is>
      </c>
      <c r="B332" s="307" t="n">
        <v>97</v>
      </c>
      <c r="C332" s="269" t="inlineStr">
        <is>
          <t>09 - Caractéristiques Dérivés</t>
        </is>
      </c>
      <c r="D332" s="310" t="inlineStr">
        <is>
          <t>09 - Derivative characteristics</t>
        </is>
      </c>
      <c r="E332" s="307" t="inlineStr">
        <is>
          <t>P1 3.7</t>
        </is>
      </c>
      <c r="F332" s="308" t="inlineStr">
        <is>
          <t>Sens de la transaction</t>
        </is>
      </c>
      <c r="G332" s="309" t="inlineStr">
        <is>
          <t>Direction of transaction</t>
        </is>
      </c>
      <c r="H332" s="1493">
        <f>"RPAD( "&amp;SUBSTITUTE(SUBSTITUTE(E332," ","_"),".","_")&amp;","&amp;W332&amp;",' '); -- "&amp;E332</f>
        <v/>
      </c>
      <c r="I332" s="241" t="inlineStr">
        <is>
          <t>Indicateur précisant le sens de l'opération du point de vue de la banque</t>
        </is>
      </c>
      <c r="J332" s="309" t="inlineStr">
        <is>
          <t>Indicator specifying the direction of the transaction from the bank's perspective</t>
        </is>
      </c>
      <c r="K332" s="370" t="inlineStr">
        <is>
          <t>ND</t>
        </is>
      </c>
      <c r="L332" s="371" t="inlineStr">
        <is>
          <t>ND</t>
        </is>
      </c>
      <c r="M332" s="1420" t="inlineStr">
        <is>
          <t>cdSensOpe</t>
        </is>
      </c>
      <c r="N332" s="257" t="inlineStr">
        <is>
          <t>Obligatoire sous conditions</t>
        </is>
      </c>
      <c r="O332" s="236" t="inlineStr">
        <is>
          <t>Mandatory under conditions</t>
        </is>
      </c>
      <c r="P332" s="269" t="inlineStr">
        <is>
          <t>LC.0116</t>
        </is>
      </c>
      <c r="Q332" s="269" t="inlineStr">
        <is>
          <t>TA KVSENS</t>
        </is>
      </c>
      <c r="R332" s="241" t="inlineStr">
        <is>
          <t>NA</t>
        </is>
      </c>
      <c r="S332" s="233" t="inlineStr">
        <is>
          <t>NA</t>
        </is>
      </c>
      <c r="T332" s="313" t="inlineStr">
        <is>
          <t>NUM</t>
        </is>
      </c>
      <c r="U332" s="237" t="inlineStr">
        <is>
          <t>NA</t>
        </is>
      </c>
      <c r="V332" s="238" t="inlineStr">
        <is>
          <t>NA</t>
        </is>
      </c>
      <c r="W332" s="257" t="n">
        <v>1</v>
      </c>
      <c r="X332" s="945" t="inlineStr">
        <is>
          <t>NA</t>
        </is>
      </c>
      <c r="Y332" s="237" t="n">
        <v>40</v>
      </c>
      <c r="Z332" s="237" t="inlineStr">
        <is>
          <t>NA</t>
        </is>
      </c>
      <c r="AA332" s="978" t="inlineStr">
        <is>
          <t>NA</t>
        </is>
      </c>
      <c r="AB332" s="994" t="inlineStr">
        <is>
          <t>CALCULS PRUDENTIELS, CORFOU, DEI, GRR, PALMA, SA-CCR, YOSHIKUNI</t>
        </is>
      </c>
      <c r="AC332" s="231" t="inlineStr">
        <is>
          <t>ND</t>
        </is>
      </c>
      <c r="AD332" s="257" t="inlineStr">
        <is>
          <t>N</t>
        </is>
      </c>
      <c r="AE332" s="971" t="inlineStr">
        <is>
          <t>VAR*
INT</t>
        </is>
      </c>
      <c r="AF332" s="257" t="inlineStr">
        <is>
          <t>NA</t>
        </is>
      </c>
      <c r="AG332" s="258" t="inlineStr">
        <is>
          <t>NA</t>
        </is>
      </c>
      <c r="AH332" s="89" t="n"/>
      <c r="AI332" s="461" t="inlineStr">
        <is>
          <t>La donnée est obligatoire si Type de risque [P1 2.0] = ‘VAR200', ‘INT' est renseignée
---
La donnée est obligatoire si Type de risque [P1 2.0] = VAR* (hors VAR105/200/302) ET si l'indicateur call put [P1 10.2] est renseigné</t>
        </is>
      </c>
      <c r="AJ332" s="317" t="inlineStr">
        <is>
          <t>The data is mandatory if Risk type [P1 2.0] = ‘VAR200', ‘INT' is filled in
---
The data is mandatory if Risk type [P1 2.0] = VAR* (except VAR105/200/302) AND if Indicator Call Put [P1 10.2] is filled in</t>
        </is>
      </c>
      <c r="AK332" s="494" t="inlineStr">
        <is>
          <t>7
6</t>
        </is>
      </c>
      <c r="AL332" s="378" t="inlineStr">
        <is>
          <t>TPS0777
TPS0778</t>
        </is>
      </c>
      <c r="AM332" s="318" t="inlineStr">
        <is>
          <t>Si elle est renseignée, la valeur doit être connue du Langage Commun associé</t>
        </is>
      </c>
      <c r="AN332" s="317" t="inlineStr">
        <is>
          <t>If specified, the value must be known to the associated Common Language</t>
        </is>
      </c>
      <c r="AO332" s="257" t="n">
        <v>7</v>
      </c>
      <c r="AP332" s="212" t="inlineStr">
        <is>
          <t>TIG0001</t>
        </is>
      </c>
      <c r="AQ332" s="318" t="n"/>
      <c r="AR332" s="317" t="n"/>
      <c r="AS332" s="257" t="n"/>
      <c r="AT332" s="258" t="n"/>
      <c r="AU332" s="318" t="n"/>
      <c r="AV332" s="317" t="n"/>
      <c r="AW332" s="257" t="n"/>
      <c r="AX332" s="258" t="n"/>
      <c r="AY332" s="318" t="n"/>
      <c r="AZ332" s="317" t="n"/>
      <c r="BA332" s="257" t="n"/>
      <c r="BB332" s="258" t="n"/>
      <c r="BC332" s="316" t="n"/>
      <c r="BD332" s="317" t="n"/>
      <c r="BE332" s="257" t="n"/>
      <c r="BF332" s="258" t="n"/>
      <c r="BG332" s="89" t="n"/>
      <c r="BH3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32">
        <f>_xlfn.LET(r,ROW(),oc,INDEX($A:$A,r),cv,TRIM(INDEX($Y:$Y,r)&amp;""),IF(oc&lt;&gt;"P1","",IF(cv="45","V45 - novo, nao alimentado pelo spool atual","V44 - alimentado pelo spool atual")))</f>
        <v/>
      </c>
    </row>
    <row r="333" ht="54" customFormat="1" customHeight="1" s="91">
      <c r="A333" s="306" t="inlineStr">
        <is>
          <t>P1</t>
        </is>
      </c>
      <c r="B333" s="307" t="n">
        <v>98</v>
      </c>
      <c r="C333" s="269" t="inlineStr">
        <is>
          <t>09 - Caractéristiques Dérivés</t>
        </is>
      </c>
      <c r="D333" s="310" t="inlineStr">
        <is>
          <t>09 - Derivative characteristics</t>
        </is>
      </c>
      <c r="E333" s="307" t="inlineStr">
        <is>
          <t>P1 3.70</t>
        </is>
      </c>
      <c r="F333" s="1248" t="inlineStr">
        <is>
          <t>Montant du Mark-to-Market (MtM) net si accord de netting</t>
        </is>
      </c>
      <c r="G333" s="309" t="inlineStr">
        <is>
          <t>Amount of the net Mark-to-Market (MtM) where netting arrangement</t>
        </is>
      </c>
      <c r="H333" s="1493">
        <f>"RPAD( "&amp;SUBSTITUTE(SUBSTITUTE(E333," ","_"),".","_")&amp;","&amp;W333&amp;",' '); -- "&amp;E333</f>
        <v/>
      </c>
      <c r="I333" s="1249" t="inlineStr">
        <is>
          <t>Montant du Mark-to-Market (MtM) net si accord de netting</t>
        </is>
      </c>
      <c r="J333" s="309" t="inlineStr">
        <is>
          <t>Net Mark-to-Market (MtM) amount where netting arrangement</t>
        </is>
      </c>
      <c r="K333" s="370" t="inlineStr">
        <is>
          <t>ND</t>
        </is>
      </c>
      <c r="L333" s="371" t="inlineStr">
        <is>
          <t>ND</t>
        </is>
      </c>
      <c r="M333" s="1420" t="inlineStr">
        <is>
          <t>mtMtMNett</t>
        </is>
      </c>
      <c r="N333" s="257" t="inlineStr">
        <is>
          <t>Obligatoire sous conditions</t>
        </is>
      </c>
      <c r="O333" s="236" t="inlineStr">
        <is>
          <t>Mandatory under conditions</t>
        </is>
      </c>
      <c r="P333" s="269" t="inlineStr">
        <is>
          <t>NA</t>
        </is>
      </c>
      <c r="Q333" s="269" t="inlineStr">
        <is>
          <t>NA</t>
        </is>
      </c>
      <c r="R333" s="241" t="inlineStr">
        <is>
          <t>Pour la déclaration du MTM net, se référer à l'onglet méthodologie</t>
        </is>
      </c>
      <c r="S333" s="233" t="inlineStr">
        <is>
          <t>For the MTM net declaration, please refer to the methodology tab</t>
        </is>
      </c>
      <c r="T333" s="313" t="inlineStr">
        <is>
          <t>NUM</t>
        </is>
      </c>
      <c r="U333" s="237" t="inlineStr">
        <is>
          <t>19 dont signe et 2 décimales</t>
        </is>
      </c>
      <c r="V333" s="238" t="inlineStr">
        <is>
          <t>19 including sign and 2 decimals</t>
        </is>
      </c>
      <c r="W333" s="257" t="n">
        <v>19</v>
      </c>
      <c r="X333" s="945" t="inlineStr">
        <is>
          <t>NA</t>
        </is>
      </c>
      <c r="Y333" s="237" t="n">
        <v>40</v>
      </c>
      <c r="Z333" s="237" t="inlineStr">
        <is>
          <t>NA</t>
        </is>
      </c>
      <c r="AA333" s="237" t="inlineStr">
        <is>
          <t>NA</t>
        </is>
      </c>
      <c r="AB333" s="269" t="inlineStr">
        <is>
          <t>ANACREDIT</t>
        </is>
      </c>
      <c r="AC333" s="231" t="inlineStr">
        <is>
          <t>ND</t>
        </is>
      </c>
      <c r="AD333" s="257" t="inlineStr">
        <is>
          <t>N</t>
        </is>
      </c>
      <c r="AE333" s="257" t="inlineStr">
        <is>
          <t>VAR (hors Repos)
INT</t>
        </is>
      </c>
      <c r="AF333" s="257" t="inlineStr">
        <is>
          <t>NA</t>
        </is>
      </c>
      <c r="AG333" s="258" t="inlineStr">
        <is>
          <t>NA</t>
        </is>
      </c>
      <c r="AH333" s="89" t="n"/>
      <c r="AI333" s="453" t="inlineStr">
        <is>
          <t>La donnée est obligatoire si l'Indicateur accord de netting prudentiel [P1 3.16] est égal à 'Y'</t>
        </is>
      </c>
      <c r="AJ333" s="317" t="inlineStr">
        <is>
          <t>The data is mandatory if the Prudential netting arrangement indicator [P1 3.16] is equal to 'Y'</t>
        </is>
      </c>
      <c r="AK333" s="257" t="n">
        <v>6</v>
      </c>
      <c r="AL333" s="447" t="inlineStr">
        <is>
          <t>TPS0779</t>
        </is>
      </c>
      <c r="AM333" s="318" t="n"/>
      <c r="AN333" s="317" t="n"/>
      <c r="AO333" s="257" t="n"/>
      <c r="AP333" s="258" t="n"/>
      <c r="AQ333" s="318" t="n"/>
      <c r="AR333" s="317" t="n"/>
      <c r="AS333" s="257" t="n"/>
      <c r="AT333" s="258" t="n"/>
      <c r="AU333" s="318" t="n"/>
      <c r="AV333" s="317" t="n"/>
      <c r="AW333" s="257" t="n"/>
      <c r="AX333" s="258" t="n"/>
      <c r="AY333" s="318" t="n"/>
      <c r="AZ333" s="317" t="n"/>
      <c r="BA333" s="257" t="n"/>
      <c r="BB333" s="258" t="n"/>
      <c r="BC333" s="316" t="n"/>
      <c r="BD333" s="317" t="n"/>
      <c r="BE333" s="257" t="n"/>
      <c r="BF333" s="258" t="n"/>
      <c r="BG333" s="89" t="n"/>
      <c r="BH3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33">
        <f>_xlfn.LET(r,ROW(),oc,INDEX($A:$A,r),cv,TRIM(INDEX($Y:$Y,r)&amp;""),IF(oc&lt;&gt;"P1","",IF(cv="45","V45 - novo, nao alimentado pelo spool atual","V44 - alimentado pelo spool atual")))</f>
        <v/>
      </c>
    </row>
    <row r="334" ht="54" customFormat="1" customHeight="1" s="91">
      <c r="A334" s="306" t="inlineStr">
        <is>
          <t>P1</t>
        </is>
      </c>
      <c r="B334" s="307" t="n">
        <v>99</v>
      </c>
      <c r="C334" s="269" t="inlineStr">
        <is>
          <t>09 - Caractéristiques Dérivés</t>
        </is>
      </c>
      <c r="D334" s="310" t="inlineStr">
        <is>
          <t>09 - Derivative characteristics</t>
        </is>
      </c>
      <c r="E334" s="307" t="inlineStr">
        <is>
          <t>P1 3.71</t>
        </is>
      </c>
      <c r="F334" s="1248" t="inlineStr">
        <is>
          <t>Devise du montant du Mark-to-Market (MtM) net si accord de netting</t>
        </is>
      </c>
      <c r="G334" s="309" t="inlineStr">
        <is>
          <t>Currency of the amount of net Mark-to-Market (MtM) where netting arrangement</t>
        </is>
      </c>
      <c r="H334" s="1493">
        <f>"RPAD( "&amp;SUBSTITUTE(SUBSTITUTE(E334," ","_"),".","_")&amp;","&amp;W334&amp;",' '); -- "&amp;E334</f>
        <v/>
      </c>
      <c r="I334" s="1249" t="inlineStr">
        <is>
          <t>Devise du Mark-to-Market (MtM) net si accord de netting</t>
        </is>
      </c>
      <c r="J334" s="309" t="inlineStr">
        <is>
          <t>Currency of net Mark-to-Market (MtM) amount where netting arrangement</t>
        </is>
      </c>
      <c r="K334" s="370" t="inlineStr">
        <is>
          <t>ND</t>
        </is>
      </c>
      <c r="L334" s="371" t="inlineStr">
        <is>
          <t>ND</t>
        </is>
      </c>
      <c r="M334" s="1420" t="inlineStr">
        <is>
          <t>cdDevMtMNett</t>
        </is>
      </c>
      <c r="N334" s="257" t="inlineStr">
        <is>
          <t>Obligatoire sous conditions</t>
        </is>
      </c>
      <c r="O334" s="236" t="inlineStr">
        <is>
          <t>Mandatory under conditions</t>
        </is>
      </c>
      <c r="P334" s="269" t="inlineStr">
        <is>
          <t>LC.0005</t>
        </is>
      </c>
      <c r="Q334" s="269" t="inlineStr">
        <is>
          <t>TA NM253</t>
        </is>
      </c>
      <c r="R334" s="241" t="inlineStr">
        <is>
          <t>NA</t>
        </is>
      </c>
      <c r="S334" s="233" t="inlineStr">
        <is>
          <t>NA</t>
        </is>
      </c>
      <c r="T334" s="313" t="inlineStr">
        <is>
          <t>ALPHA</t>
        </is>
      </c>
      <c r="U334" s="237" t="inlineStr">
        <is>
          <t>NA</t>
        </is>
      </c>
      <c r="V334" s="238" t="inlineStr">
        <is>
          <t>NA</t>
        </is>
      </c>
      <c r="W334" s="257" t="n">
        <v>3</v>
      </c>
      <c r="X334" s="945" t="inlineStr">
        <is>
          <t>NA</t>
        </is>
      </c>
      <c r="Y334" s="237" t="n">
        <v>40</v>
      </c>
      <c r="Z334" s="237" t="inlineStr">
        <is>
          <t>NA</t>
        </is>
      </c>
      <c r="AA334" s="237" t="inlineStr">
        <is>
          <t>NA</t>
        </is>
      </c>
      <c r="AB334" s="269" t="inlineStr">
        <is>
          <t>ANACREDIT, YOSHIKUNI</t>
        </is>
      </c>
      <c r="AC334" s="231" t="inlineStr">
        <is>
          <t>ND</t>
        </is>
      </c>
      <c r="AD334" s="257" t="inlineStr">
        <is>
          <t>N</t>
        </is>
      </c>
      <c r="AE334" s="257" t="inlineStr">
        <is>
          <t>VAR (hors Repos)
INT</t>
        </is>
      </c>
      <c r="AF334" s="257" t="inlineStr">
        <is>
          <t>NA</t>
        </is>
      </c>
      <c r="AG334" s="258" t="inlineStr">
        <is>
          <t>NA</t>
        </is>
      </c>
      <c r="AH334" s="89" t="n"/>
      <c r="AI334" s="446" t="inlineStr">
        <is>
          <t>La donnée est obligatoire, si Montant du MtM net si accord de netting [P1 3.70] est renseigné</t>
        </is>
      </c>
      <c r="AJ334" s="317" t="inlineStr">
        <is>
          <t>The data is mandatory, if Net MtM amount where netting arrangement [P1 3.70] is filled</t>
        </is>
      </c>
      <c r="AK334" s="257" t="n">
        <v>7</v>
      </c>
      <c r="AL334" s="335" t="inlineStr">
        <is>
          <t>TPG0002</t>
        </is>
      </c>
      <c r="AM334" s="318" t="inlineStr">
        <is>
          <t>Si elle est renseignée, la valeur doit être connue du Langage Commun associé</t>
        </is>
      </c>
      <c r="AN334" s="317" t="inlineStr">
        <is>
          <t>If specified, the value must be known to the associated Common Language</t>
        </is>
      </c>
      <c r="AO334" s="257" t="n">
        <v>7</v>
      </c>
      <c r="AP334" s="212" t="inlineStr">
        <is>
          <t>TIG0001</t>
        </is>
      </c>
      <c r="AQ334" s="318" t="n"/>
      <c r="AR334" s="317" t="n"/>
      <c r="AS334" s="257" t="n"/>
      <c r="AT334" s="258" t="n"/>
      <c r="AU334" s="318" t="n"/>
      <c r="AV334" s="317" t="n"/>
      <c r="AW334" s="257" t="n"/>
      <c r="AX334" s="258" t="n"/>
      <c r="AY334" s="318" t="n"/>
      <c r="AZ334" s="317" t="n"/>
      <c r="BA334" s="257" t="n"/>
      <c r="BB334" s="258" t="n"/>
      <c r="BC334" s="316" t="n"/>
      <c r="BD334" s="317" t="n"/>
      <c r="BE334" s="257" t="n"/>
      <c r="BF334" s="258" t="n"/>
      <c r="BG334" s="89" t="n"/>
      <c r="BH3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34">
        <f>_xlfn.LET(r,ROW(),oc,INDEX($A:$A,r),cv,TRIM(INDEX($Y:$Y,r)&amp;""),IF(oc&lt;&gt;"P1","",IF(cv="45","V45 - novo, nao alimentado pelo spool atual","V44 - alimentado pelo spool atual")))</f>
        <v/>
      </c>
    </row>
    <row r="335" ht="54" customFormat="1" customHeight="1" s="91">
      <c r="A335" s="306" t="inlineStr">
        <is>
          <t>P1</t>
        </is>
      </c>
      <c r="B335" s="307" t="n">
        <v>100</v>
      </c>
      <c r="C335" s="269" t="inlineStr">
        <is>
          <t>14 - Caractéristiques Sous-jacent</t>
        </is>
      </c>
      <c r="D335" s="310" t="inlineStr">
        <is>
          <t>14 - Underlying characteristics</t>
        </is>
      </c>
      <c r="E335" s="307" t="inlineStr">
        <is>
          <t>P1 3.74</t>
        </is>
      </c>
      <c r="F335" s="495" t="inlineStr">
        <is>
          <t>Eligibilité des actifs sous-jacents des CDS TRS</t>
        </is>
      </c>
      <c r="G335" s="309" t="inlineStr">
        <is>
          <t>Eligibility of assets underlying CDS TRS</t>
        </is>
      </c>
      <c r="H335" s="1493">
        <f>"RPAD( "&amp;SUBSTITUTE(SUBSTITUTE(E335," ","_"),".","_")&amp;","&amp;W335&amp;",' '); -- "&amp;E335</f>
        <v/>
      </c>
      <c r="I335" s="241" t="inlineStr">
        <is>
          <t>Ce champ permet d'indiquer si les actifs de référence des CDS et TRS sont éligibles selon les règles de la méthode STD</t>
        </is>
      </c>
      <c r="J335" s="309" t="inlineStr">
        <is>
          <t>This field makes it possible to indicate whether the CDS and TRS reference assets qualify under Standardised approach rules</t>
        </is>
      </c>
      <c r="K335" s="370" t="inlineStr">
        <is>
          <t>ND</t>
        </is>
      </c>
      <c r="L335" s="371" t="inlineStr">
        <is>
          <t>ND</t>
        </is>
      </c>
      <c r="M335" s="1420" t="inlineStr">
        <is>
          <t>cdEligActSsJacent</t>
        </is>
      </c>
      <c r="N335" s="257" t="inlineStr">
        <is>
          <t>Obligatoire sous conditions</t>
        </is>
      </c>
      <c r="O335" s="236" t="inlineStr">
        <is>
          <t>Mandatory under conditions</t>
        </is>
      </c>
      <c r="P335" s="269" t="inlineStr">
        <is>
          <t>LC.0197</t>
        </is>
      </c>
      <c r="Q335" s="269" t="inlineStr">
        <is>
          <t>TA KVELISJ</t>
        </is>
      </c>
      <c r="R335" s="241" t="inlineStr">
        <is>
          <t>Permet de calculer un ADD-ON réduit</t>
        </is>
      </c>
      <c r="S335" s="233" t="inlineStr">
        <is>
          <t>Calculates a reduced ADD-ON</t>
        </is>
      </c>
      <c r="T335" s="313" t="inlineStr">
        <is>
          <t>ALPHA</t>
        </is>
      </c>
      <c r="U335" s="237" t="inlineStr">
        <is>
          <t>NA</t>
        </is>
      </c>
      <c r="V335" s="238" t="inlineStr">
        <is>
          <t>NA</t>
        </is>
      </c>
      <c r="W335" s="257" t="n">
        <v>1</v>
      </c>
      <c r="X335" s="945" t="inlineStr">
        <is>
          <t>NA</t>
        </is>
      </c>
      <c r="Y335" s="237" t="n">
        <v>40</v>
      </c>
      <c r="Z335" s="237" t="inlineStr">
        <is>
          <t>NA</t>
        </is>
      </c>
      <c r="AA335" s="270" t="inlineStr">
        <is>
          <t>NA</t>
        </is>
      </c>
      <c r="AB335" s="994" t="inlineStr">
        <is>
          <t>CALCULS PRUDENTIELS, GRR</t>
        </is>
      </c>
      <c r="AC335" s="231" t="inlineStr">
        <is>
          <t>ND</t>
        </is>
      </c>
      <c r="AD335" s="257" t="inlineStr">
        <is>
          <t>N</t>
        </is>
      </c>
      <c r="AE335" s="971" t="inlineStr">
        <is>
          <t xml:space="preserve">VAR (hors Repos)
</t>
        </is>
      </c>
      <c r="AF335" s="257" t="inlineStr">
        <is>
          <t>NA</t>
        </is>
      </c>
      <c r="AG335" s="258" t="inlineStr">
        <is>
          <t>NA</t>
        </is>
      </c>
      <c r="AH335" s="89" t="n"/>
      <c r="AI335" s="461" t="inlineStr">
        <is>
          <t xml:space="preserve">La donnée est obligatoire si Type de risque [P1 2.0] = ‘VAR200'
</t>
        </is>
      </c>
      <c r="AJ335" s="317" t="inlineStr">
        <is>
          <t xml:space="preserve">The data is mandatory if Risk type [P1 2.0] = ‘VAR200'
</t>
        </is>
      </c>
      <c r="AK335" s="257" t="n">
        <v>6</v>
      </c>
      <c r="AL335" s="366" t="inlineStr">
        <is>
          <t>TPS0780</t>
        </is>
      </c>
      <c r="AM335" s="452" t="inlineStr">
        <is>
          <t>Si elle est renseignée, la valeur doit être connue du Langage Commun associé</t>
        </is>
      </c>
      <c r="AN335" s="377" t="inlineStr">
        <is>
          <t>If specified, the value must be known to the associated Common Language</t>
        </is>
      </c>
      <c r="AO335" s="257" t="n">
        <v>7</v>
      </c>
      <c r="AP335" s="212" t="inlineStr">
        <is>
          <t>TIG0001</t>
        </is>
      </c>
      <c r="AQ335" s="318" t="n"/>
      <c r="AR335" s="317" t="n"/>
      <c r="AS335" s="257" t="n"/>
      <c r="AT335" s="258" t="n"/>
      <c r="AU335" s="318" t="n"/>
      <c r="AV335" s="317" t="n"/>
      <c r="AW335" s="257" t="n"/>
      <c r="AX335" s="258" t="n"/>
      <c r="AY335" s="318" t="n"/>
      <c r="AZ335" s="317" t="n"/>
      <c r="BA335" s="257" t="n"/>
      <c r="BB335" s="258" t="n"/>
      <c r="BC335" s="316" t="n"/>
      <c r="BD335" s="317" t="n"/>
      <c r="BE335" s="257" t="n"/>
      <c r="BF335" s="258" t="n"/>
      <c r="BG335" s="89" t="n"/>
      <c r="BH3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35">
        <f>_xlfn.LET(r,ROW(),oc,INDEX($A:$A,r),cv,TRIM(INDEX($Y:$Y,r)&amp;""),IF(oc&lt;&gt;"P1","",IF(cv="45","V45 - novo, nao alimentado pelo spool atual","V44 - alimentado pelo spool atual")))</f>
        <v/>
      </c>
    </row>
    <row r="336" ht="54" customFormat="1" customHeight="1" s="139">
      <c r="A336" s="306" t="inlineStr">
        <is>
          <t>P1</t>
        </is>
      </c>
      <c r="B336" s="307" t="n">
        <v>101</v>
      </c>
      <c r="C336" s="269" t="inlineStr">
        <is>
          <t>31 - Paramètres bâlois</t>
        </is>
      </c>
      <c r="D336" s="310" t="inlineStr">
        <is>
          <t>31 - Basel settings</t>
        </is>
      </c>
      <c r="E336" s="307" t="inlineStr">
        <is>
          <t>P1 2.99</t>
        </is>
      </c>
      <c r="F336" s="375" t="inlineStr">
        <is>
          <t>Code méthode IFRS9 - PD à l'origine</t>
        </is>
      </c>
      <c r="G336" s="309" t="inlineStr">
        <is>
          <t>Method code IFRS9 - PD originally</t>
        </is>
      </c>
      <c r="H336" s="1493">
        <f>"RPAD( "&amp;SUBSTITUTE(SUBSTITUTE(E336," ","_"),".","_")&amp;","&amp;W336&amp;",' '); -- "&amp;E336</f>
        <v/>
      </c>
      <c r="I336" s="497" t="inlineStr">
        <is>
          <t>Clé d'appariement avec les courbes de PD du référentiel IFRS 9 à l'origine</t>
        </is>
      </c>
      <c r="J336" s="309" t="inlineStr">
        <is>
          <t>Matching code with IFRS 9 referential PD curves originally</t>
        </is>
      </c>
      <c r="K336" s="370" t="inlineStr">
        <is>
          <t>ND</t>
        </is>
      </c>
      <c r="L336" s="371" t="inlineStr">
        <is>
          <t>ND</t>
        </is>
      </c>
      <c r="M336" s="1424" t="inlineStr">
        <is>
          <t>cdMetPDOri</t>
        </is>
      </c>
      <c r="N336" s="231" t="inlineStr">
        <is>
          <t>Obligatoire (SC)</t>
        </is>
      </c>
      <c r="O336" s="236" t="inlineStr">
        <is>
          <t>Mandatory (SC)</t>
        </is>
      </c>
      <c r="P336" s="269" t="inlineStr">
        <is>
          <t>NA</t>
        </is>
      </c>
      <c r="Q336" s="269" t="inlineStr">
        <is>
          <t>NA</t>
        </is>
      </c>
      <c r="R336" s="234" t="inlineStr">
        <is>
          <t>La donnée est attendue sur maximum 12 caractères</t>
        </is>
      </c>
      <c r="S336" s="235" t="inlineStr">
        <is>
          <t>Data is expected to be up to 12 characters long</t>
        </is>
      </c>
      <c r="T336" s="307" t="inlineStr">
        <is>
          <t>ALPHA</t>
        </is>
      </c>
      <c r="U336" s="237" t="inlineStr">
        <is>
          <t>NA</t>
        </is>
      </c>
      <c r="V336" s="238" t="inlineStr">
        <is>
          <t>NA</t>
        </is>
      </c>
      <c r="W336" s="269" t="n">
        <v>20</v>
      </c>
      <c r="X336" s="231" t="inlineStr">
        <is>
          <t>NA</t>
        </is>
      </c>
      <c r="Y336" s="237" t="inlineStr">
        <is>
          <t>NA</t>
        </is>
      </c>
      <c r="Z336" s="237" t="inlineStr">
        <is>
          <t>NA</t>
        </is>
      </c>
      <c r="AA336" s="237" t="inlineStr">
        <is>
          <t>NA</t>
        </is>
      </c>
      <c r="AB336" s="269" t="inlineStr">
        <is>
          <t>OMP</t>
        </is>
      </c>
      <c r="AC336" s="231" t="inlineStr">
        <is>
          <t>ND</t>
        </is>
      </c>
      <c r="AD336" s="269" t="inlineStr">
        <is>
          <t>N</t>
        </is>
      </c>
      <c r="AE336" s="269" t="inlineStr">
        <is>
          <t>NA</t>
        </is>
      </c>
      <c r="AF336" s="269" t="inlineStr">
        <is>
          <t>NA</t>
        </is>
      </c>
      <c r="AG336" s="364" t="inlineStr">
        <is>
          <t>NA</t>
        </is>
      </c>
      <c r="AH336" s="1360" t="n"/>
      <c r="AI336" s="353" t="n"/>
      <c r="AJ336" s="354" t="n"/>
      <c r="AK336" s="269" t="n"/>
      <c r="AL336" s="364" t="n"/>
      <c r="AM336" s="354" t="n"/>
      <c r="AN336" s="354" t="n"/>
      <c r="AO336" s="269" t="n"/>
      <c r="AP336" s="364" t="n"/>
      <c r="AQ336" s="354" t="n"/>
      <c r="AR336" s="354" t="n"/>
      <c r="AS336" s="269" t="n"/>
      <c r="AT336" s="364" t="n"/>
      <c r="AU336" s="354" t="n"/>
      <c r="AV336" s="354" t="n"/>
      <c r="AW336" s="269" t="n"/>
      <c r="AX336" s="364" t="n"/>
      <c r="AY336" s="354" t="n"/>
      <c r="AZ336" s="354" t="n"/>
      <c r="BA336" s="269" t="n"/>
      <c r="BB336" s="364" t="n"/>
      <c r="BC336" s="353" t="n"/>
      <c r="BD336" s="354" t="n"/>
      <c r="BE336" s="269" t="n"/>
      <c r="BF336" s="364" t="n"/>
      <c r="BG336" s="89" t="n"/>
      <c r="BH3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36">
        <f>_xlfn.LET(r,ROW(),oc,INDEX($A:$A,r),cv,TRIM(INDEX($Y:$Y,r)&amp;""),IF(oc&lt;&gt;"P1","",IF(cv="45","V45 - novo, nao alimentado pelo spool atual","V44 - alimentado pelo spool atual")))</f>
        <v/>
      </c>
    </row>
    <row r="337" ht="54" customFormat="1" customHeight="1" s="91">
      <c r="A337" s="306" t="inlineStr">
        <is>
          <t>P1</t>
        </is>
      </c>
      <c r="B337" s="307" t="n">
        <v>102</v>
      </c>
      <c r="C337" s="269" t="inlineStr">
        <is>
          <t>09 - Caractéristiques Dérivés</t>
        </is>
      </c>
      <c r="D337" s="310" t="inlineStr">
        <is>
          <t>09 - Derivative characteristics</t>
        </is>
      </c>
      <c r="E337" s="307" t="inlineStr">
        <is>
          <t>P1 3.80</t>
        </is>
      </c>
      <c r="F337" s="278" t="inlineStr">
        <is>
          <t>Montant du Mark-to-Market (MtM) brut</t>
        </is>
      </c>
      <c r="G337" s="520" t="inlineStr">
        <is>
          <t>Amount of Mark-to-Market (MtM) gross</t>
        </is>
      </c>
      <c r="H337" s="1493">
        <f>"RPAD( "&amp;SUBSTITUTE(SUBSTITUTE(E337," ","_"),".","_")&amp;","&amp;W337&amp;",' '); -- "&amp;E337</f>
        <v/>
      </c>
      <c r="I337" s="308" t="inlineStr">
        <is>
          <t>La juste valeur se définit comme le prix qui serait reçu pour la vente d'un actif ou payé pour le transfert d'un passif lors d'une transaction normale entre des intervenants du marché à la date d'évaluation.
Le prix de référence pour la juste valeur correspond à un prix de sortie directement observable sur le marché ou estimé selon une technique d'évaluation qui maximise le recours aux données observables: prix coté, prix indirectement observable, autres données de marché.
Le prix directement observable correspond au prix côté de l'instrument immédiatement observable sur le marché</t>
        </is>
      </c>
      <c r="J337" s="309" t="inlineStr">
        <is>
          <t>Fair value is defined as the price that would be received for the sale of an asset or paid for the transfer of a liability in a normal transaction between market participants at the valuation date.
The fair value reference price is an output price that is directly observable in the market or estimated using a valuation technique that maximizes the use of observable data: quoted price, indirectly observable price, other market data
The directly observable price corresponds to the price on the instrument side which is immediately observable on the market</t>
        </is>
      </c>
      <c r="K337" s="269" t="inlineStr">
        <is>
          <t>ND</t>
        </is>
      </c>
      <c r="L337" s="310" t="inlineStr">
        <is>
          <t>ND</t>
        </is>
      </c>
      <c r="M337" s="1420" t="inlineStr">
        <is>
          <t>mtMtMBrut</t>
        </is>
      </c>
      <c r="N337" s="257" t="inlineStr">
        <is>
          <t>Obligatoire sous conditions</t>
        </is>
      </c>
      <c r="O337" s="310" t="inlineStr">
        <is>
          <t>Mandatory under conditions</t>
        </is>
      </c>
      <c r="P337" s="269" t="inlineStr">
        <is>
          <t>NA</t>
        </is>
      </c>
      <c r="Q337" s="269" t="inlineStr">
        <is>
          <t>NA</t>
        </is>
      </c>
      <c r="R337" s="498" t="inlineStr">
        <is>
          <t>Une Juste Valeur pouvant être qualifiée de « brute » ne prend en compte que les risques de marché</t>
        </is>
      </c>
      <c r="S337" s="233" t="inlineStr">
        <is>
          <t>A Fair Value that can be described as "gross" only considers market risks</t>
        </is>
      </c>
      <c r="T337" s="313" t="inlineStr">
        <is>
          <t>NUM</t>
        </is>
      </c>
      <c r="U337" s="237" t="inlineStr">
        <is>
          <t>19 dont signe et 2 décimales</t>
        </is>
      </c>
      <c r="V337" s="238" t="inlineStr">
        <is>
          <t>19 including sign and 2 decimals</t>
        </is>
      </c>
      <c r="W337" s="257" t="n">
        <v>19</v>
      </c>
      <c r="X337" s="945" t="inlineStr">
        <is>
          <t>NA</t>
        </is>
      </c>
      <c r="Y337" s="237" t="n">
        <v>40</v>
      </c>
      <c r="Z337" s="237" t="inlineStr">
        <is>
          <t>NA</t>
        </is>
      </c>
      <c r="AA337" s="270" t="inlineStr">
        <is>
          <t>45.00</t>
        </is>
      </c>
      <c r="AB337" s="932" t="inlineStr">
        <is>
          <t>AER, CALCULS PRUDENTIELS, CONGLOMERATS, DEI, GRR, LIQUIDITE, MREL, NSFR, PALMA, PVA, SA-CCR, YOSHIKUNI</t>
        </is>
      </c>
      <c r="AC337" s="231" t="inlineStr">
        <is>
          <t>ND</t>
        </is>
      </c>
      <c r="AD337" s="257" t="inlineStr">
        <is>
          <t>N</t>
        </is>
      </c>
      <c r="AE337" s="971" t="inlineStr">
        <is>
          <t>VAR*
INT</t>
        </is>
      </c>
      <c r="AF337" s="257" t="inlineStr">
        <is>
          <t>NA</t>
        </is>
      </c>
      <c r="AG337" s="258" t="inlineStr">
        <is>
          <t>NA</t>
        </is>
      </c>
      <c r="AH337" s="89" t="n"/>
      <c r="AI337" s="991" t="inlineStr">
        <is>
          <t xml:space="preserve">La donnée est obligatoire si le type de risque [P1 2.0] = 'INTxxx', 'VARxxx' </t>
        </is>
      </c>
      <c r="AJ337" s="317" t="inlineStr">
        <is>
          <t xml:space="preserve">The data is mandatory if risk type [P1 2.0] = 'INTxxx', 'VARxxx' </t>
        </is>
      </c>
      <c r="AK337" s="257" t="n">
        <v>7</v>
      </c>
      <c r="AL337" s="463" t="inlineStr">
        <is>
          <t>TPS0750</t>
        </is>
      </c>
      <c r="AM337" s="318" t="n"/>
      <c r="AN337" s="317" t="n"/>
      <c r="AO337" s="257" t="n"/>
      <c r="AP337" s="258" t="n"/>
      <c r="AQ337" s="318" t="n"/>
      <c r="AR337" s="317" t="n"/>
      <c r="AS337" s="257" t="n"/>
      <c r="AT337" s="258" t="n"/>
      <c r="AU337" s="318" t="n"/>
      <c r="AV337" s="317" t="n"/>
      <c r="AW337" s="257" t="n"/>
      <c r="AX337" s="258" t="n"/>
      <c r="AY337" s="318" t="n"/>
      <c r="AZ337" s="317" t="n"/>
      <c r="BA337" s="257" t="n"/>
      <c r="BB337" s="258" t="n"/>
      <c r="BC337" s="316" t="n"/>
      <c r="BD337" s="317" t="n"/>
      <c r="BE337" s="257" t="n"/>
      <c r="BF337" s="258" t="n"/>
      <c r="BG337" s="89" t="n"/>
      <c r="BH3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37">
        <f>_xlfn.LET(r,ROW(),oc,INDEX($A:$A,r),cv,TRIM(INDEX($Y:$Y,r)&amp;""),IF(oc&lt;&gt;"P1","",IF(cv="45","V45 - novo, nao alimentado pelo spool atual","V44 - alimentado pelo spool atual")))</f>
        <v/>
      </c>
    </row>
    <row r="338" ht="54" customFormat="1" customHeight="1" s="91">
      <c r="A338" s="306" t="inlineStr">
        <is>
          <t>P1</t>
        </is>
      </c>
      <c r="B338" s="307" t="n">
        <v>103</v>
      </c>
      <c r="C338" s="269" t="inlineStr">
        <is>
          <t>09 - Caractéristiques Dérivés</t>
        </is>
      </c>
      <c r="D338" s="310" t="inlineStr">
        <is>
          <t>09 - Derivative characteristics</t>
        </is>
      </c>
      <c r="E338" s="307" t="inlineStr">
        <is>
          <t>P1 3.81</t>
        </is>
      </c>
      <c r="F338" s="278" t="inlineStr">
        <is>
          <t>Devise du montant du Mark-to-Market (MtM) brut</t>
        </is>
      </c>
      <c r="G338" s="160" t="inlineStr">
        <is>
          <t>Currency of the amount of Mark-to-Market (MtM) gross</t>
        </is>
      </c>
      <c r="H338" s="1493">
        <f>"RPAD( "&amp;SUBSTITUTE(SUBSTITUTE(E338," ","_"),".","_")&amp;","&amp;W338&amp;",' '); -- "&amp;E338</f>
        <v/>
      </c>
      <c r="I338" s="519" t="inlineStr">
        <is>
          <t>Devise du montant du Mark-to-Market (MtM) brut</t>
        </is>
      </c>
      <c r="J338" s="520" t="inlineStr">
        <is>
          <t>Currency of the Amount of Mark-to-Market (MtM) gross</t>
        </is>
      </c>
      <c r="K338" s="370" t="inlineStr">
        <is>
          <t>ND</t>
        </is>
      </c>
      <c r="L338" s="371" t="inlineStr">
        <is>
          <t>ND</t>
        </is>
      </c>
      <c r="M338" s="1420" t="inlineStr">
        <is>
          <t>cdDevMtMBrut</t>
        </is>
      </c>
      <c r="N338" s="257" t="inlineStr">
        <is>
          <t>Obligatoire sous conditions</t>
        </is>
      </c>
      <c r="O338" s="236" t="inlineStr">
        <is>
          <t>Mandatory under conditions</t>
        </is>
      </c>
      <c r="P338" s="269" t="inlineStr">
        <is>
          <t>LC.0005</t>
        </is>
      </c>
      <c r="Q338" s="269" t="inlineStr">
        <is>
          <t>TA NM253</t>
        </is>
      </c>
      <c r="R338" s="241" t="inlineStr">
        <is>
          <t>NA</t>
        </is>
      </c>
      <c r="S338" s="233" t="inlineStr">
        <is>
          <t>NA</t>
        </is>
      </c>
      <c r="T338" s="313" t="inlineStr">
        <is>
          <t>ALPHA</t>
        </is>
      </c>
      <c r="U338" s="237" t="inlineStr">
        <is>
          <t>NA</t>
        </is>
      </c>
      <c r="V338" s="238" t="inlineStr">
        <is>
          <t>NA</t>
        </is>
      </c>
      <c r="W338" s="257" t="n">
        <v>3</v>
      </c>
      <c r="X338" s="945" t="inlineStr">
        <is>
          <t>NA</t>
        </is>
      </c>
      <c r="Y338" s="237" t="n">
        <v>40</v>
      </c>
      <c r="Z338" s="237" t="inlineStr">
        <is>
          <t>NA</t>
        </is>
      </c>
      <c r="AA338" s="978" t="inlineStr">
        <is>
          <t>45.00</t>
        </is>
      </c>
      <c r="AB338" s="932" t="inlineStr">
        <is>
          <t>AER, CALCULS PRUDENTIELS, CONGLOMERATS, DEI, GRR, LIQUIDITE, MREL, NSFR, PVA, RISQUES SYSTEMIQUES, SA-CCR, YOSHIKUNI</t>
        </is>
      </c>
      <c r="AC338" s="231" t="inlineStr">
        <is>
          <t>ND</t>
        </is>
      </c>
      <c r="AD338" s="257" t="inlineStr">
        <is>
          <t>N</t>
        </is>
      </c>
      <c r="AE338" s="971" t="inlineStr">
        <is>
          <t>VAR*
INT</t>
        </is>
      </c>
      <c r="AF338" s="257" t="inlineStr">
        <is>
          <t>NA</t>
        </is>
      </c>
      <c r="AG338" s="258" t="inlineStr">
        <is>
          <t>NA</t>
        </is>
      </c>
      <c r="AH338" s="89" t="n"/>
      <c r="AI338" s="446" t="inlineStr">
        <is>
          <t>La donnée est obligatoire, si Montant du MtM brut [P1 3.80] est renseigné</t>
        </is>
      </c>
      <c r="AJ338" s="317" t="inlineStr">
        <is>
          <t>The data is mandatory, if Gross MtM amount [P1 3.80] is filled</t>
        </is>
      </c>
      <c r="AK338" s="257" t="n">
        <v>7</v>
      </c>
      <c r="AL338" s="335" t="inlineStr">
        <is>
          <t>TPG0002</t>
        </is>
      </c>
      <c r="AM338" s="318" t="inlineStr">
        <is>
          <t>Si elle est renseignée, la valeur doit être connue du Langage Commun associé</t>
        </is>
      </c>
      <c r="AN338" s="317" t="inlineStr">
        <is>
          <t>If specified, the value must be known to the associated Common Language</t>
        </is>
      </c>
      <c r="AO338" s="257" t="n">
        <v>7</v>
      </c>
      <c r="AP338" s="212" t="inlineStr">
        <is>
          <t>TIG0001</t>
        </is>
      </c>
      <c r="AQ338" s="318" t="n"/>
      <c r="AR338" s="317" t="n"/>
      <c r="AS338" s="257" t="n"/>
      <c r="AT338" s="258" t="n"/>
      <c r="AU338" s="318" t="n"/>
      <c r="AV338" s="317" t="n"/>
      <c r="AW338" s="257" t="n"/>
      <c r="AX338" s="258" t="n"/>
      <c r="AY338" s="318" t="n"/>
      <c r="AZ338" s="317" t="n"/>
      <c r="BA338" s="257" t="n"/>
      <c r="BB338" s="258" t="n"/>
      <c r="BC338" s="316" t="n"/>
      <c r="BD338" s="317" t="n"/>
      <c r="BE338" s="257" t="n"/>
      <c r="BF338" s="258" t="n"/>
      <c r="BG338" s="89" t="n"/>
      <c r="BH3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38">
        <f>_xlfn.LET(r,ROW(),oc,INDEX($A:$A,r),cv,TRIM(INDEX($Y:$Y,r)&amp;""),IF(oc&lt;&gt;"P1","",IF(cv="45","V45 - novo, nao alimentado pelo spool atual","V44 - alimentado pelo spool atual")))</f>
        <v/>
      </c>
    </row>
    <row r="339" ht="54" customFormat="1" customHeight="1" s="57">
      <c r="A339" s="325" t="inlineStr">
        <is>
          <t>P1</t>
        </is>
      </c>
      <c r="B339" s="326" t="n">
        <v>104</v>
      </c>
      <c r="C339" s="284" t="inlineStr">
        <is>
          <t xml:space="preserve">19 - Données comptables </t>
        </is>
      </c>
      <c r="D339" s="284" t="inlineStr">
        <is>
          <t>19 - Accounting data</t>
        </is>
      </c>
      <c r="E339" s="326" t="inlineStr">
        <is>
          <t>P1 3.82</t>
        </is>
      </c>
      <c r="F339" s="327" t="inlineStr">
        <is>
          <t>Zone libre (Ex PCCO – MtM brut)</t>
        </is>
      </c>
      <c r="G339" s="327" t="inlineStr">
        <is>
          <t>Free zone (Ex PCCO – Gross MtM)</t>
        </is>
      </c>
      <c r="H339" s="1493">
        <f>"RPAD( "&amp;SUBSTITUTE(SUBSTITUTE(E339," ","_"),".","_")&amp;","&amp;W339&amp;",' '); -- "&amp;E339</f>
        <v/>
      </c>
      <c r="I339" s="329" t="inlineStr">
        <is>
          <t>Zone libre</t>
        </is>
      </c>
      <c r="J339" s="329" t="inlineStr">
        <is>
          <t>Free zone</t>
        </is>
      </c>
      <c r="K339" s="328" t="inlineStr">
        <is>
          <t>NA</t>
        </is>
      </c>
      <c r="L339" s="328" t="inlineStr">
        <is>
          <t>NA</t>
        </is>
      </c>
      <c r="M339" s="1421" t="inlineStr">
        <is>
          <t>ZoneLibre382</t>
        </is>
      </c>
      <c r="N339" s="284" t="inlineStr">
        <is>
          <t>NA</t>
        </is>
      </c>
      <c r="O339" s="244" t="inlineStr">
        <is>
          <t>NA</t>
        </is>
      </c>
      <c r="P339" s="284" t="inlineStr">
        <is>
          <t>NA</t>
        </is>
      </c>
      <c r="Q339" s="284" t="inlineStr">
        <is>
          <t>NA</t>
        </is>
      </c>
      <c r="R339" s="412" t="inlineStr">
        <is>
          <t>Laisser à vide</t>
        </is>
      </c>
      <c r="S339" s="245" t="inlineStr">
        <is>
          <t>Leave empty</t>
        </is>
      </c>
      <c r="T339" s="333" t="inlineStr">
        <is>
          <t>ALPHA</t>
        </is>
      </c>
      <c r="U339" s="256" t="inlineStr">
        <is>
          <t>NA</t>
        </is>
      </c>
      <c r="V339" s="256" t="inlineStr">
        <is>
          <t>NA</t>
        </is>
      </c>
      <c r="W339" s="328" t="n">
        <v>12</v>
      </c>
      <c r="X339" s="244" t="inlineStr">
        <is>
          <t>NA</t>
        </is>
      </c>
      <c r="Y339" s="248" t="inlineStr">
        <is>
          <t>NA</t>
        </is>
      </c>
      <c r="Z339" s="248" t="inlineStr">
        <is>
          <t>NA</t>
        </is>
      </c>
      <c r="AA339" s="248" t="inlineStr">
        <is>
          <t>NA</t>
        </is>
      </c>
      <c r="AB339" s="284" t="inlineStr">
        <is>
          <t>NA</t>
        </is>
      </c>
      <c r="AC339" s="244" t="inlineStr">
        <is>
          <t>NA</t>
        </is>
      </c>
      <c r="AD339" s="284" t="inlineStr">
        <is>
          <t>N</t>
        </is>
      </c>
      <c r="AE339" s="284" t="inlineStr">
        <is>
          <t>NA</t>
        </is>
      </c>
      <c r="AF339" s="284" t="inlineStr">
        <is>
          <t>NA</t>
        </is>
      </c>
      <c r="AG339" s="285" t="inlineStr">
        <is>
          <t>NA</t>
        </is>
      </c>
      <c r="AH339" s="89" t="n"/>
      <c r="AI339" s="330" t="n"/>
      <c r="AJ339" s="331" t="n"/>
      <c r="AK339" s="284" t="n"/>
      <c r="AL339" s="285" t="n"/>
      <c r="AM339" s="331" t="n"/>
      <c r="AN339" s="331" t="n"/>
      <c r="AO339" s="284" t="n"/>
      <c r="AP339" s="285" t="n"/>
      <c r="AQ339" s="331" t="n"/>
      <c r="AR339" s="331" t="n"/>
      <c r="AS339" s="284" t="n"/>
      <c r="AT339" s="285" t="n"/>
      <c r="AU339" s="331" t="n"/>
      <c r="AV339" s="331" t="n"/>
      <c r="AW339" s="284" t="n"/>
      <c r="AX339" s="285" t="n"/>
      <c r="AY339" s="331" t="n"/>
      <c r="AZ339" s="331" t="n"/>
      <c r="BA339" s="284" t="n"/>
      <c r="BB339" s="285" t="n"/>
      <c r="BC339" s="330" t="n"/>
      <c r="BD339" s="331" t="n"/>
      <c r="BE339" s="284" t="n"/>
      <c r="BF339" s="285" t="n"/>
      <c r="BG339" s="89" t="n"/>
      <c r="BH3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39">
        <f>_xlfn.LET(r,ROW(),oc,INDEX($A:$A,r),cv,TRIM(INDEX($Y:$Y,r)&amp;""),IF(oc&lt;&gt;"P1","",IF(cv="45","V45 - novo, nao alimentado pelo spool atual","V44 - alimentado pelo spool atual")))</f>
        <v/>
      </c>
    </row>
    <row r="340" ht="54" customFormat="1" customHeight="1" s="91">
      <c r="A340" s="306" t="inlineStr">
        <is>
          <t>P1</t>
        </is>
      </c>
      <c r="B340" s="307" t="n">
        <v>105</v>
      </c>
      <c r="C340" s="269" t="inlineStr">
        <is>
          <t>09 - Caractéristiques Dérivés</t>
        </is>
      </c>
      <c r="D340" s="310" t="inlineStr">
        <is>
          <t>09 - Derivative characteristics</t>
        </is>
      </c>
      <c r="E340" s="307" t="inlineStr">
        <is>
          <t>P1 3.83</t>
        </is>
      </c>
      <c r="F340" s="308" t="inlineStr">
        <is>
          <t xml:space="preserve">Modèle de l'assiette interne du risque de variation </t>
        </is>
      </c>
      <c r="G340" s="309" t="inlineStr">
        <is>
          <t xml:space="preserve">Model of internal variation risk base </t>
        </is>
      </c>
      <c r="H340" s="1493">
        <f>"RPAD( "&amp;SUBSTITUTE(SUBSTITUTE(E340," ","_"),".","_")&amp;","&amp;W340&amp;",' '); -- "&amp;E340</f>
        <v/>
      </c>
      <c r="I340" s="241" t="inlineStr">
        <is>
          <t>Permet d'identifier le modèle interne utilisé en local pour calculer le risque interne de variation</t>
        </is>
      </c>
      <c r="J340" s="309" t="inlineStr">
        <is>
          <t>Identifies the internal model used locally to calculate the internal risk of fluctuations in value</t>
        </is>
      </c>
      <c r="K340" s="370" t="inlineStr">
        <is>
          <t>ND</t>
        </is>
      </c>
      <c r="L340" s="371" t="inlineStr">
        <is>
          <t>ND</t>
        </is>
      </c>
      <c r="M340" s="1420" t="inlineStr">
        <is>
          <t>cdAssieIntRisqVar</t>
        </is>
      </c>
      <c r="N340" s="257" t="inlineStr">
        <is>
          <t>Obligatoire sous conditions</t>
        </is>
      </c>
      <c r="O340" s="236" t="inlineStr">
        <is>
          <t>Mandatory under conditions</t>
        </is>
      </c>
      <c r="P340" s="269" t="inlineStr">
        <is>
          <t>LC.0148</t>
        </is>
      </c>
      <c r="Q340" s="269" t="inlineStr">
        <is>
          <t>TA KVMAIRV</t>
        </is>
      </c>
      <c r="R340" s="241" t="inlineStr">
        <is>
          <t>NA</t>
        </is>
      </c>
      <c r="S340" s="233" t="inlineStr">
        <is>
          <t>NA</t>
        </is>
      </c>
      <c r="T340" s="313" t="inlineStr">
        <is>
          <t>ALPHA</t>
        </is>
      </c>
      <c r="U340" s="237" t="inlineStr">
        <is>
          <t>NA</t>
        </is>
      </c>
      <c r="V340" s="238" t="inlineStr">
        <is>
          <t>NA</t>
        </is>
      </c>
      <c r="W340" s="257" t="n">
        <v>1</v>
      </c>
      <c r="X340" s="945" t="inlineStr">
        <is>
          <t>NA</t>
        </is>
      </c>
      <c r="Y340" s="237" t="n">
        <v>40</v>
      </c>
      <c r="Z340" s="237" t="inlineStr">
        <is>
          <t>NA</t>
        </is>
      </c>
      <c r="AA340" s="283" t="inlineStr">
        <is>
          <t>NA</t>
        </is>
      </c>
      <c r="AB340" s="269" t="inlineStr">
        <is>
          <t>SI RISQUE</t>
        </is>
      </c>
      <c r="AC340" s="231" t="inlineStr">
        <is>
          <t>ND</t>
        </is>
      </c>
      <c r="AD340" s="257" t="inlineStr">
        <is>
          <t>N</t>
        </is>
      </c>
      <c r="AE340" s="971" t="inlineStr">
        <is>
          <t>VAR*
INT</t>
        </is>
      </c>
      <c r="AF340" s="257" t="inlineStr">
        <is>
          <t>NA</t>
        </is>
      </c>
      <c r="AG340" s="258" t="inlineStr">
        <is>
          <t>NA</t>
        </is>
      </c>
      <c r="AH340" s="89" t="n"/>
      <c r="AI340" s="408" t="inlineStr">
        <is>
          <t xml:space="preserve">La donnée est obligatoire si le type de risque [P1 2.0] = 'INTxxx', 'VARxxx' </t>
        </is>
      </c>
      <c r="AJ340" s="317" t="inlineStr">
        <is>
          <t xml:space="preserve">The data is mandatory if risk type [P1 2.0] = 'INTxxx', 'VARxxx' </t>
        </is>
      </c>
      <c r="AK340" s="257" t="n">
        <v>6</v>
      </c>
      <c r="AL340" s="335" t="inlineStr">
        <is>
          <t>TPS0750</t>
        </is>
      </c>
      <c r="AM340" s="318" t="inlineStr">
        <is>
          <t>Si elle est renseignée, la valeur doit être connue du Langage Commun associé</t>
        </is>
      </c>
      <c r="AN340" s="317" t="inlineStr">
        <is>
          <t>If specified, the value must be known to the associated Common Language</t>
        </is>
      </c>
      <c r="AO340" s="257" t="n">
        <v>7</v>
      </c>
      <c r="AP340" s="212" t="inlineStr">
        <is>
          <t>TIG0001</t>
        </is>
      </c>
      <c r="AQ340" s="318" t="n"/>
      <c r="AR340" s="317" t="n"/>
      <c r="AS340" s="257" t="n"/>
      <c r="AT340" s="258" t="n"/>
      <c r="AU340" s="318" t="n"/>
      <c r="AV340" s="317" t="n"/>
      <c r="AW340" s="257" t="n"/>
      <c r="AX340" s="258" t="n"/>
      <c r="AY340" s="318" t="n"/>
      <c r="AZ340" s="317" t="n"/>
      <c r="BA340" s="257" t="n"/>
      <c r="BB340" s="258" t="n"/>
      <c r="BC340" s="316" t="n"/>
      <c r="BD340" s="317" t="n"/>
      <c r="BE340" s="257" t="n"/>
      <c r="BF340" s="258" t="n"/>
      <c r="BG340" s="89" t="n"/>
      <c r="BH3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40">
        <f>_xlfn.LET(r,ROW(),oc,INDEX($A:$A,r),cv,TRIM(INDEX($Y:$Y,r)&amp;""),IF(oc&lt;&gt;"P1","",IF(cv="45","V45 - novo, nao alimentado pelo spool atual","V44 - alimentado pelo spool atual")))</f>
        <v/>
      </c>
    </row>
    <row r="341" ht="54" customFormat="1" customHeight="1" s="91">
      <c r="A341" s="306" t="inlineStr">
        <is>
          <t>P1</t>
        </is>
      </c>
      <c r="B341" s="307" t="n">
        <v>106</v>
      </c>
      <c r="C341" s="269" t="inlineStr">
        <is>
          <t>09 - Caractéristiques Dérivés</t>
        </is>
      </c>
      <c r="D341" s="310" t="inlineStr">
        <is>
          <t>09 - Derivative characteristics</t>
        </is>
      </c>
      <c r="E341" s="307" t="inlineStr">
        <is>
          <t>P1 3.15</t>
        </is>
      </c>
      <c r="F341" s="308" t="inlineStr">
        <is>
          <t>Indicateur accord de collatéralisation</t>
        </is>
      </c>
      <c r="G341" s="309" t="inlineStr">
        <is>
          <t>Collateralisation arrangement indicator</t>
        </is>
      </c>
      <c r="H341" s="1493">
        <f>"RPAD( "&amp;SUBSTITUTE(SUBSTITUTE(E341," ","_"),".","_")&amp;","&amp;W341&amp;",' '); -- "&amp;E341</f>
        <v/>
      </c>
      <c r="I341" s="241" t="inlineStr">
        <is>
          <t>Indique si l'opération de marché entre dans le cadre d'un accord de collatéralisation</t>
        </is>
      </c>
      <c r="J341" s="309" t="inlineStr">
        <is>
          <t>Indicates whether the market transaction comes under a collateralisation agreement.</t>
        </is>
      </c>
      <c r="K341" s="370" t="inlineStr">
        <is>
          <t>ND</t>
        </is>
      </c>
      <c r="L341" s="371" t="inlineStr">
        <is>
          <t>ND</t>
        </is>
      </c>
      <c r="M341" s="1420" t="inlineStr">
        <is>
          <t>indAccCollat</t>
        </is>
      </c>
      <c r="N341" s="449" t="inlineStr">
        <is>
          <t>Obligatoire sous conditions</t>
        </is>
      </c>
      <c r="O341" s="236" t="inlineStr">
        <is>
          <t>Mandatory under conditions</t>
        </is>
      </c>
      <c r="P341" s="269" t="inlineStr">
        <is>
          <t>LC.0184</t>
        </is>
      </c>
      <c r="Q341" s="269" t="inlineStr">
        <is>
          <t>TA KVIADC</t>
        </is>
      </c>
      <c r="R341" s="241" t="inlineStr">
        <is>
          <t>Obligatoire pour les marges initiales versées auprès d'une CCP ou d'un dépositaire indépendant</t>
        </is>
      </c>
      <c r="S341" s="233" t="inlineStr">
        <is>
          <t>Mandatory for initial margins paid to a CCP or an independent depository</t>
        </is>
      </c>
      <c r="T341" s="313" t="inlineStr">
        <is>
          <t>ALPHA</t>
        </is>
      </c>
      <c r="U341" s="237" t="inlineStr">
        <is>
          <t>NA</t>
        </is>
      </c>
      <c r="V341" s="238" t="inlineStr">
        <is>
          <t>NA</t>
        </is>
      </c>
      <c r="W341" s="257" t="n">
        <v>1</v>
      </c>
      <c r="X341" s="945" t="inlineStr">
        <is>
          <t>NA</t>
        </is>
      </c>
      <c r="Y341" s="237" t="n">
        <v>40</v>
      </c>
      <c r="Z341" s="237" t="inlineStr">
        <is>
          <t>NA</t>
        </is>
      </c>
      <c r="AA341" s="978" t="inlineStr">
        <is>
          <t>NA</t>
        </is>
      </c>
      <c r="AB341" s="994" t="inlineStr">
        <is>
          <t>CALCULS PRUDENTIELS, CONGLOMERATS, GRR, NSFR, PALMA, SA-CCR, SRB VALUATION</t>
        </is>
      </c>
      <c r="AC341" s="231" t="inlineStr">
        <is>
          <t>ND</t>
        </is>
      </c>
      <c r="AD341" s="257" t="inlineStr">
        <is>
          <t>N</t>
        </is>
      </c>
      <c r="AE341" s="971" t="inlineStr">
        <is>
          <t>TRE203, 207
TRE206
VAR*
INT</t>
        </is>
      </c>
      <c r="AF341" s="257" t="inlineStr">
        <is>
          <t>NA</t>
        </is>
      </c>
      <c r="AG341" s="258" t="inlineStr">
        <is>
          <t>NA</t>
        </is>
      </c>
      <c r="AH341" s="89" t="n"/>
      <c r="AI341" s="472" t="inlineStr">
        <is>
          <t>La donnée est obligatoire si le type de risque [P1 2.0] est égal à 'INTxxx', 'VARxxx', 'TRE203', 'TRE206', 'TRE207'</t>
        </is>
      </c>
      <c r="AJ341" s="317" t="inlineStr">
        <is>
          <t>The data is mandatory if Risk type [P1 2.0] is equal to 'INTxxx', 'VARxxx', 'TRE203', 'TRE206', 'TRE207'</t>
        </is>
      </c>
      <c r="AK341" s="257" t="n">
        <v>7</v>
      </c>
      <c r="AL341" s="335" t="inlineStr">
        <is>
          <t>TPS0781</t>
        </is>
      </c>
      <c r="AM341" s="318" t="inlineStr">
        <is>
          <t>Si elle est renseignée, la valeur doit être connue du Langage Commun associé</t>
        </is>
      </c>
      <c r="AN341" s="317" t="inlineStr">
        <is>
          <t>If specified, the value must be known to the associated Common Language</t>
        </is>
      </c>
      <c r="AO341" s="257" t="n">
        <v>7</v>
      </c>
      <c r="AP341" s="212" t="inlineStr">
        <is>
          <t>TIG0001</t>
        </is>
      </c>
      <c r="AQ341" s="318" t="n"/>
      <c r="AR341" s="317" t="n"/>
      <c r="AS341" s="257" t="n"/>
      <c r="AT341" s="258" t="n"/>
      <c r="AU341" s="318" t="n"/>
      <c r="AV341" s="317" t="n"/>
      <c r="AW341" s="257" t="n"/>
      <c r="AX341" s="258" t="n"/>
      <c r="AY341" s="318" t="n"/>
      <c r="AZ341" s="317" t="n"/>
      <c r="BA341" s="257" t="n"/>
      <c r="BB341" s="258" t="n"/>
      <c r="BC341" s="316" t="n"/>
      <c r="BD341" s="317" t="n"/>
      <c r="BE341" s="257" t="n"/>
      <c r="BF341" s="258" t="n"/>
      <c r="BG341" s="89" t="n"/>
      <c r="BH3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41">
        <f>_xlfn.LET(r,ROW(),oc,INDEX($A:$A,r),cv,TRIM(INDEX($Y:$Y,r)&amp;""),IF(oc&lt;&gt;"P1","",IF(cv="45","V45 - novo, nao alimentado pelo spool atual","V44 - alimentado pelo spool atual")))</f>
        <v/>
      </c>
    </row>
    <row r="342" ht="54" customFormat="1" customHeight="1" s="91">
      <c r="A342" s="306" t="inlineStr">
        <is>
          <t>P1</t>
        </is>
      </c>
      <c r="B342" s="307" t="n">
        <v>107</v>
      </c>
      <c r="C342" s="269" t="inlineStr">
        <is>
          <t>02 - Caractéristiques d'identification fonctionnelles</t>
        </is>
      </c>
      <c r="D342" s="310" t="inlineStr">
        <is>
          <t>02 - Functional identification characteristics</t>
        </is>
      </c>
      <c r="E342" s="307" t="inlineStr">
        <is>
          <t>P1 13.10</t>
        </is>
      </c>
      <c r="F342" s="308" t="inlineStr">
        <is>
          <t>Référence du contrat de collatéralisation</t>
        </is>
      </c>
      <c r="G342" s="309" t="inlineStr">
        <is>
          <t>Collateralisation arrangement reference code</t>
        </is>
      </c>
      <c r="H342" s="1493">
        <f>"RPAD( "&amp;SUBSTITUTE(SUBSTITUTE(E342," ","_"),".","_")&amp;","&amp;W342&amp;",' '); -- "&amp;E342</f>
        <v/>
      </c>
      <c r="I342" s="241" t="inlineStr">
        <is>
          <t>Référence locale du contrat de collatéralisation</t>
        </is>
      </c>
      <c r="J342" s="309" t="inlineStr">
        <is>
          <t>Collateralisation contract's local reference</t>
        </is>
      </c>
      <c r="K342" s="370" t="inlineStr">
        <is>
          <t>ND</t>
        </is>
      </c>
      <c r="L342" s="371" t="inlineStr">
        <is>
          <t>ND</t>
        </is>
      </c>
      <c r="M342" s="1420" t="inlineStr">
        <is>
          <t>cdContrCollat</t>
        </is>
      </c>
      <c r="N342" s="257" t="inlineStr">
        <is>
          <t>Obligatoire sous conditions</t>
        </is>
      </c>
      <c r="O342" s="236" t="inlineStr">
        <is>
          <t>Mandatory under conditions</t>
        </is>
      </c>
      <c r="P342" s="269" t="inlineStr">
        <is>
          <t>NA</t>
        </is>
      </c>
      <c r="Q342" s="269" t="inlineStr">
        <is>
          <t>NA</t>
        </is>
      </c>
      <c r="R342" s="241" t="inlineStr">
        <is>
          <t>Pour le type de risques TRE203, 205, 207, obligatoire pour les marges initiales versées auprès d'une CCP ou d'un dépositaire indépendant
- 'Y' si l'opération entre dans le cadre d'un accord de collatéralisation; 'N' sinon</t>
        </is>
      </c>
      <c r="S342" s="233" t="inlineStr">
        <is>
          <t>For risk type TRE203, 205, 207, mandatory for initial margins paid to a CCP or an independent depository (SA-CCR requirement). Data not applicable for TRE205. 
- 'Y' if the transaction is part of a collateralization ; 'N' otherwise</t>
        </is>
      </c>
      <c r="T342" s="313" t="inlineStr">
        <is>
          <t>ALPHA</t>
        </is>
      </c>
      <c r="U342" s="237" t="inlineStr">
        <is>
          <t>NA</t>
        </is>
      </c>
      <c r="V342" s="238" t="inlineStr">
        <is>
          <t>NA</t>
        </is>
      </c>
      <c r="W342" s="257" t="n">
        <v>25</v>
      </c>
      <c r="X342" s="945" t="inlineStr">
        <is>
          <t>NA</t>
        </is>
      </c>
      <c r="Y342" s="237" t="n">
        <v>40</v>
      </c>
      <c r="Z342" s="237" t="inlineStr">
        <is>
          <t>NA</t>
        </is>
      </c>
      <c r="AA342" s="270" t="inlineStr">
        <is>
          <t>NA</t>
        </is>
      </c>
      <c r="AB342" s="994" t="inlineStr">
        <is>
          <t>AER, CALCULS PRUDENTIELS, CONGLOMERATS, GRR, NSFR, SA-CCR</t>
        </is>
      </c>
      <c r="AC342" s="231" t="inlineStr">
        <is>
          <t>ND</t>
        </is>
      </c>
      <c r="AD342" s="257" t="inlineStr">
        <is>
          <t>N</t>
        </is>
      </c>
      <c r="AE342" s="971" t="inlineStr">
        <is>
          <t>TRE203, 205, 207
TRE206
VAR*
INT</t>
        </is>
      </c>
      <c r="AF342" s="257" t="inlineStr">
        <is>
          <t>NA</t>
        </is>
      </c>
      <c r="AG342" s="258" t="inlineStr">
        <is>
          <t>NA</t>
        </is>
      </c>
      <c r="AH342" s="89" t="n"/>
      <c r="AI342" s="499" t="inlineStr">
        <is>
          <t>La donnée est obligatoire si l'indicateur accord de collatéralisation [P1 3.15] ='Y' et si le type de risque [P1 2.0] = INTxxx, VARxxx, TRE203, TRE206, TRE207</t>
        </is>
      </c>
      <c r="AJ342" s="317" t="inlineStr">
        <is>
          <t>The data is mandatory if Collateralisation arrangement indicator [P1 3.15] ='Y' and if Risk type [P1 2.0] = INTxxx, VARxxx, TRE203, TRE206, TRE207</t>
        </is>
      </c>
      <c r="AK342" s="257" t="n">
        <v>7</v>
      </c>
      <c r="AL342" s="345" t="inlineStr">
        <is>
          <t>TPS0782</t>
        </is>
      </c>
      <c r="AM342" s="318" t="n"/>
      <c r="AN342" s="317" t="n"/>
      <c r="AO342" s="257" t="n"/>
      <c r="AP342" s="258" t="n"/>
      <c r="AQ342" s="318" t="n"/>
      <c r="AR342" s="317" t="n"/>
      <c r="AS342" s="257" t="n"/>
      <c r="AT342" s="258" t="n"/>
      <c r="AU342" s="318" t="n"/>
      <c r="AV342" s="317" t="n"/>
      <c r="AW342" s="257" t="n"/>
      <c r="AX342" s="258" t="n"/>
      <c r="AY342" s="318" t="n"/>
      <c r="AZ342" s="317" t="n"/>
      <c r="BA342" s="257" t="n"/>
      <c r="BB342" s="258" t="n"/>
      <c r="BC342" s="316" t="n"/>
      <c r="BD342" s="317" t="n"/>
      <c r="BE342" s="257" t="n"/>
      <c r="BF342" s="258" t="n"/>
      <c r="BG342" s="89" t="n"/>
      <c r="BH3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42">
        <f>_xlfn.LET(r,ROW(),oc,INDEX($A:$A,r),cv,TRIM(INDEX($Y:$Y,r)&amp;""),IF(oc&lt;&gt;"P1","",IF(cv="45","V45 - novo, nao alimentado pelo spool atual","V44 - alimentado pelo spool atual")))</f>
        <v/>
      </c>
    </row>
    <row r="343" ht="54" customFormat="1" customHeight="1" s="91">
      <c r="A343" s="306" t="inlineStr">
        <is>
          <t>P1</t>
        </is>
      </c>
      <c r="B343" s="307" t="n">
        <v>108</v>
      </c>
      <c r="C343" s="269" t="inlineStr">
        <is>
          <t>09 - Caractéristiques Dérivés</t>
        </is>
      </c>
      <c r="D343" s="310" t="inlineStr">
        <is>
          <t>09 - Derivative characteristics</t>
        </is>
      </c>
      <c r="E343" s="307" t="inlineStr">
        <is>
          <t>P1 3.16</t>
        </is>
      </c>
      <c r="F343" s="375" t="inlineStr">
        <is>
          <t>Indicateur accord de netting prudentiel</t>
        </is>
      </c>
      <c r="G343" s="309" t="inlineStr">
        <is>
          <t>Prudential netting arrangement indicator</t>
        </is>
      </c>
      <c r="H343" s="1493">
        <f>"RPAD( "&amp;SUBSTITUTE(SUBSTITUTE(E343," ","_"),".","_")&amp;","&amp;W343&amp;",' '); -- "&amp;E343</f>
        <v/>
      </c>
      <c r="I343" s="232" t="inlineStr">
        <is>
          <t xml:space="preserve">Indique si l'opération de marché entre dans le cadre d'un accord de netting prudentiel </t>
        </is>
      </c>
      <c r="J343" s="309" t="inlineStr">
        <is>
          <t xml:space="preserve">Indicates whether the transaction is part of a prudentiel netting arrangement </t>
        </is>
      </c>
      <c r="K343" s="370" t="inlineStr">
        <is>
          <t>ND</t>
        </is>
      </c>
      <c r="L343" s="371" t="inlineStr">
        <is>
          <t>ND</t>
        </is>
      </c>
      <c r="M343" s="1420" t="inlineStr">
        <is>
          <t>indAccNett</t>
        </is>
      </c>
      <c r="N343" s="449" t="inlineStr">
        <is>
          <t>Obligatoire sous conditions</t>
        </is>
      </c>
      <c r="O343" s="236" t="inlineStr">
        <is>
          <t>Mandatory under conditions</t>
        </is>
      </c>
      <c r="P343" s="269" t="inlineStr">
        <is>
          <t>LC.0174</t>
        </is>
      </c>
      <c r="Q343" s="269" t="inlineStr">
        <is>
          <t>TA KVIADN</t>
        </is>
      </c>
      <c r="R343" s="278" t="inlineStr">
        <is>
          <t xml:space="preserve">Pour le type de risques TRE203, 206, 207, obligatoire pour les marges initiales versées auprès d'une CCP ou d'un dépositaire indépendant
- 'Y' si l'opération entre dans le cadre d'un accord de collatéralisation; 'N' sinon
</t>
        </is>
      </c>
      <c r="S343" s="160" t="inlineStr">
        <is>
          <t xml:space="preserve">For risk type TRE203, 206, 207, mandatory for initial margins paid to a CCP or an independent depository
- 'Y' if the transaction is part of a collateralization ; 'N' otherwise
</t>
        </is>
      </c>
      <c r="T343" s="313" t="inlineStr">
        <is>
          <t>ALPHA</t>
        </is>
      </c>
      <c r="U343" s="237" t="inlineStr">
        <is>
          <t>NA</t>
        </is>
      </c>
      <c r="V343" s="238" t="inlineStr">
        <is>
          <t>NA</t>
        </is>
      </c>
      <c r="W343" s="257" t="n">
        <v>1</v>
      </c>
      <c r="X343" s="945" t="inlineStr">
        <is>
          <t>NA</t>
        </is>
      </c>
      <c r="Y343" s="237" t="n">
        <v>40</v>
      </c>
      <c r="Z343" s="237" t="inlineStr">
        <is>
          <t>NA</t>
        </is>
      </c>
      <c r="AA343" s="978" t="inlineStr">
        <is>
          <t>45.00</t>
        </is>
      </c>
      <c r="AB343" s="932" t="inlineStr">
        <is>
          <t>CALCULS PRUDENTIELS, DEI, GRR, LIQUIDITE, MREL, NSFR, RISQUES SYSTEMIQUES, SA-CCR</t>
        </is>
      </c>
      <c r="AC343" s="231" t="inlineStr">
        <is>
          <t>ND</t>
        </is>
      </c>
      <c r="AD343" s="257" t="inlineStr">
        <is>
          <t>N</t>
        </is>
      </c>
      <c r="AE343" s="971" t="inlineStr">
        <is>
          <t>TRE203, 207
TRE206
VAR*
INT</t>
        </is>
      </c>
      <c r="AF343" s="257" t="inlineStr">
        <is>
          <t>NA</t>
        </is>
      </c>
      <c r="AG343" s="258" t="inlineStr">
        <is>
          <t>NA</t>
        </is>
      </c>
      <c r="AH343" s="89" t="n"/>
      <c r="AI343" s="472" t="inlineStr">
        <is>
          <t>La donnée est obligatoire si le type de risque [P1 2.0] est égal à 'INTxxx', 'VARxxx', 'TRE203', 'TRE206', 'TRE207'</t>
        </is>
      </c>
      <c r="AJ343" s="317" t="inlineStr">
        <is>
          <t>The data is mandatory if Risk type [P1 2.0] is equal to 'INTxxx', 'VARxxx', 'TRE203', 'TRE206', 'TRE207'</t>
        </is>
      </c>
      <c r="AK343" s="257" t="n">
        <v>7</v>
      </c>
      <c r="AL343" s="335" t="inlineStr">
        <is>
          <t>TPS0781</t>
        </is>
      </c>
      <c r="AM343" s="318" t="inlineStr">
        <is>
          <t>Si elle est renseignée, la valeur doit être connue du Langage Commun associé</t>
        </is>
      </c>
      <c r="AN343" s="317" t="inlineStr">
        <is>
          <t>If specified, the value must be known to the associated Common Language</t>
        </is>
      </c>
      <c r="AO343" s="257" t="n">
        <v>7</v>
      </c>
      <c r="AP343" s="212" t="inlineStr">
        <is>
          <t>TIG0001</t>
        </is>
      </c>
      <c r="AQ343" s="318" t="n"/>
      <c r="AR343" s="317" t="n"/>
      <c r="AS343" s="257" t="n"/>
      <c r="AT343" s="258" t="n"/>
      <c r="AU343" s="318" t="n"/>
      <c r="AV343" s="317" t="n"/>
      <c r="AW343" s="257" t="n"/>
      <c r="AX343" s="258" t="n"/>
      <c r="AY343" s="318" t="n"/>
      <c r="AZ343" s="317" t="n"/>
      <c r="BA343" s="257" t="n"/>
      <c r="BB343" s="258" t="n"/>
      <c r="BC343" s="316" t="n"/>
      <c r="BD343" s="317" t="n"/>
      <c r="BE343" s="257" t="n"/>
      <c r="BF343" s="258" t="n"/>
      <c r="BG343" s="89" t="n"/>
      <c r="BH3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43">
        <f>_xlfn.LET(r,ROW(),oc,INDEX($A:$A,r),cv,TRIM(INDEX($Y:$Y,r)&amp;""),IF(oc&lt;&gt;"P1","",IF(cv="45","V45 - novo, nao alimentado pelo spool atual","V44 - alimentado pelo spool atual")))</f>
        <v/>
      </c>
    </row>
    <row r="344" ht="54" customFormat="1" customHeight="1" s="91">
      <c r="A344" s="306" t="inlineStr">
        <is>
          <t>P1</t>
        </is>
      </c>
      <c r="B344" s="307" t="n">
        <v>109</v>
      </c>
      <c r="C344" s="269" t="inlineStr">
        <is>
          <t>02 - Caractéristiques d'identification fonctionnelles</t>
        </is>
      </c>
      <c r="D344" s="310" t="inlineStr">
        <is>
          <t>02 - Functional identification characteristics</t>
        </is>
      </c>
      <c r="E344" s="307" t="inlineStr">
        <is>
          <t>P1 3.17</t>
        </is>
      </c>
      <c r="F344" s="375" t="inlineStr">
        <is>
          <t>Référence du contrat de netting prudentiel</t>
        </is>
      </c>
      <c r="G344" s="309" t="inlineStr">
        <is>
          <t>Prudential netting arrangement reference code</t>
        </is>
      </c>
      <c r="H344" s="1493">
        <f>"RPAD( "&amp;SUBSTITUTE(SUBSTITUTE(E344," ","_"),".","_")&amp;","&amp;W344&amp;",' '); -- "&amp;E344</f>
        <v/>
      </c>
      <c r="I344" s="232" t="inlineStr">
        <is>
          <t>Référence locale du contrat de netting prudentiel</t>
        </is>
      </c>
      <c r="J344" s="309" t="inlineStr">
        <is>
          <t>Prudential netting contract's local reference</t>
        </is>
      </c>
      <c r="K344" s="370" t="inlineStr">
        <is>
          <t>ND</t>
        </is>
      </c>
      <c r="L344" s="371" t="inlineStr">
        <is>
          <t>ND</t>
        </is>
      </c>
      <c r="M344" s="1420" t="inlineStr">
        <is>
          <t>cdContrNett</t>
        </is>
      </c>
      <c r="N344" s="257" t="inlineStr">
        <is>
          <t>Obligatoire sous conditions</t>
        </is>
      </c>
      <c r="O344" s="236" t="inlineStr">
        <is>
          <t>Mandatory under conditions</t>
        </is>
      </c>
      <c r="P344" s="269" t="inlineStr">
        <is>
          <t>NA</t>
        </is>
      </c>
      <c r="Q344" s="269" t="inlineStr">
        <is>
          <t>NA</t>
        </is>
      </c>
      <c r="R344" s="278" t="inlineStr">
        <is>
          <t>Pour le type de risques TRE203, 206, 207, obligatoire pour les marges initiales versées auprès d'une CCP ou d'un dépositaire indépendant</t>
        </is>
      </c>
      <c r="S344" s="160" t="inlineStr">
        <is>
          <t>For risk type TRE203, 206, 207, mandatory for initial margins paid to a CCP or an independent depositary</t>
        </is>
      </c>
      <c r="T344" s="313" t="inlineStr">
        <is>
          <t>ALPHA</t>
        </is>
      </c>
      <c r="U344" s="237" t="inlineStr">
        <is>
          <t>NA</t>
        </is>
      </c>
      <c r="V344" s="238" t="inlineStr">
        <is>
          <t>NA</t>
        </is>
      </c>
      <c r="W344" s="257" t="n">
        <v>25</v>
      </c>
      <c r="X344" s="945" t="inlineStr">
        <is>
          <t>NA</t>
        </is>
      </c>
      <c r="Y344" s="237" t="n">
        <v>40</v>
      </c>
      <c r="Z344" s="237" t="inlineStr">
        <is>
          <t>NA</t>
        </is>
      </c>
      <c r="AA344" s="978" t="inlineStr">
        <is>
          <t>45.00</t>
        </is>
      </c>
      <c r="AB344" s="932" t="inlineStr">
        <is>
          <t>AER, CALCULS PRUDENTIELS, DEI, GRR, LIQUIDITE, MREL, NSFR, RISQUES SYSTEMIQUES, SA-CCR</t>
        </is>
      </c>
      <c r="AC344" s="231" t="inlineStr">
        <is>
          <t>ND</t>
        </is>
      </c>
      <c r="AD344" s="257" t="inlineStr">
        <is>
          <t>N</t>
        </is>
      </c>
      <c r="AE344" s="971" t="inlineStr">
        <is>
          <t>TRE203, 207
TRE206
VAR*
INT</t>
        </is>
      </c>
      <c r="AF344" s="257" t="inlineStr">
        <is>
          <t>NA</t>
        </is>
      </c>
      <c r="AG344" s="258" t="inlineStr">
        <is>
          <t>NA</t>
        </is>
      </c>
      <c r="AH344" s="89" t="n"/>
      <c r="AI344" s="472" t="inlineStr">
        <is>
          <t>La donnée est obligatoire si l'Indicateur accord de netting prudentiel [P1 3.16] est égal à 'Y' ET si le type de risque [P1 2.0] = INTxxx, VARxxx, TRE203, TRE206, TRE207</t>
        </is>
      </c>
      <c r="AJ344" s="317" t="inlineStr">
        <is>
          <t>The data is mandatory if the Prudential netting arrangement indicator [P1 3.16] is equal to 'Y' AND if Risk type [P1 2.0] = INTxxx, VARxxx, TRE203, TRE206, TRE207</t>
        </is>
      </c>
      <c r="AK344" s="257" t="n">
        <v>7</v>
      </c>
      <c r="AL344" s="345" t="inlineStr">
        <is>
          <t>TPS0783</t>
        </is>
      </c>
      <c r="AM344" s="318" t="n"/>
      <c r="AN344" s="317" t="n"/>
      <c r="AO344" s="257" t="n"/>
      <c r="AP344" s="258" t="n"/>
      <c r="AQ344" s="318" t="n"/>
      <c r="AR344" s="317" t="n"/>
      <c r="AS344" s="257" t="n"/>
      <c r="AT344" s="258" t="n"/>
      <c r="AU344" s="318" t="n"/>
      <c r="AV344" s="317" t="n"/>
      <c r="AW344" s="257" t="n"/>
      <c r="AX344" s="258" t="n"/>
      <c r="AY344" s="318" t="n"/>
      <c r="AZ344" s="317" t="n"/>
      <c r="BA344" s="257" t="n"/>
      <c r="BB344" s="258" t="n"/>
      <c r="BC344" s="316" t="n"/>
      <c r="BD344" s="317" t="n"/>
      <c r="BE344" s="257" t="n"/>
      <c r="BF344" s="258" t="n"/>
      <c r="BG344" s="89" t="n"/>
      <c r="BH3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44">
        <f>_xlfn.LET(r,ROW(),oc,INDEX($A:$A,r),cv,TRIM(INDEX($Y:$Y,r)&amp;""),IF(oc&lt;&gt;"P1","",IF(cv="45","V45 - novo, nao alimentado pelo spool atual","V44 - alimentado pelo spool atual")))</f>
        <v/>
      </c>
    </row>
    <row r="345" ht="54" customFormat="1" customHeight="1" s="91">
      <c r="A345" s="306" t="inlineStr">
        <is>
          <t>P1</t>
        </is>
      </c>
      <c r="B345" s="307" t="n">
        <v>110</v>
      </c>
      <c r="C345" s="269" t="inlineStr">
        <is>
          <t>09 - Caractéristiques Dérivés</t>
        </is>
      </c>
      <c r="D345" s="310" t="inlineStr">
        <is>
          <t>09 - Derivative characteristics</t>
        </is>
      </c>
      <c r="E345" s="307" t="inlineStr">
        <is>
          <t>P1 3.19</t>
        </is>
      </c>
      <c r="F345" s="375" t="inlineStr">
        <is>
          <t>Devise de règlement de l'accord de netting prudentiel</t>
        </is>
      </c>
      <c r="G345" s="309" t="inlineStr">
        <is>
          <t>Prudential netting arrangement settlement currency</t>
        </is>
      </c>
      <c r="H345" s="1493">
        <f>"RPAD( "&amp;SUBSTITUTE(SUBSTITUTE(E345," ","_"),".","_")&amp;","&amp;W345&amp;",' '); -- "&amp;E345</f>
        <v/>
      </c>
      <c r="I345" s="232" t="inlineStr">
        <is>
          <t>Devise de référence de l'accord de netting prudentiel</t>
        </is>
      </c>
      <c r="J345" s="309" t="inlineStr">
        <is>
          <t>Prudential netting agreement's reference currency</t>
        </is>
      </c>
      <c r="K345" s="370" t="inlineStr">
        <is>
          <t>ND</t>
        </is>
      </c>
      <c r="L345" s="371" t="inlineStr">
        <is>
          <t>ND</t>
        </is>
      </c>
      <c r="M345" s="1420" t="inlineStr">
        <is>
          <t>cdDevAccNett</t>
        </is>
      </c>
      <c r="N345" s="257" t="inlineStr">
        <is>
          <t>Obligatoire sous conditions</t>
        </is>
      </c>
      <c r="O345" s="236" t="inlineStr">
        <is>
          <t>Mandatory under conditions</t>
        </is>
      </c>
      <c r="P345" s="269" t="inlineStr">
        <is>
          <t>LC.0005</t>
        </is>
      </c>
      <c r="Q345" s="269" t="inlineStr">
        <is>
          <t>TA NM253</t>
        </is>
      </c>
      <c r="R345" s="241" t="inlineStr">
        <is>
          <t>Permet de calculer une décote en cas d'assymétrie de devise</t>
        </is>
      </c>
      <c r="S345" s="233" t="inlineStr">
        <is>
          <t>Calculates a discount in case of currency mismatch</t>
        </is>
      </c>
      <c r="T345" s="313" t="inlineStr">
        <is>
          <t>ALPHA</t>
        </is>
      </c>
      <c r="U345" s="237" t="inlineStr">
        <is>
          <t>NA</t>
        </is>
      </c>
      <c r="V345" s="238" t="inlineStr">
        <is>
          <t>NA</t>
        </is>
      </c>
      <c r="W345" s="257" t="n">
        <v>3</v>
      </c>
      <c r="X345" s="945" t="inlineStr">
        <is>
          <t>NA</t>
        </is>
      </c>
      <c r="Y345" s="237" t="n">
        <v>40</v>
      </c>
      <c r="Z345" s="237" t="inlineStr">
        <is>
          <t>NA</t>
        </is>
      </c>
      <c r="AA345" s="978" t="inlineStr">
        <is>
          <t>45.00</t>
        </is>
      </c>
      <c r="AB345" s="932" t="inlineStr">
        <is>
          <t>CALCULS PRUDENTIELS, DEI, GRR, LIQUIDITE, MREL, NSFR, SA-CCR</t>
        </is>
      </c>
      <c r="AC345" s="231" t="inlineStr">
        <is>
          <t>ND</t>
        </is>
      </c>
      <c r="AD345" s="257" t="inlineStr">
        <is>
          <t>N</t>
        </is>
      </c>
      <c r="AE345" s="971" t="inlineStr">
        <is>
          <t>TRE203, 207
TRE206
VAR*
INT</t>
        </is>
      </c>
      <c r="AF345" s="257" t="inlineStr">
        <is>
          <t>NA</t>
        </is>
      </c>
      <c r="AG345" s="258" t="inlineStr">
        <is>
          <t>NA</t>
        </is>
      </c>
      <c r="AH345" s="89" t="n"/>
      <c r="AI345" s="316" t="inlineStr">
        <is>
          <t>La donnée est obligatoire si l'Indicateur accord de netting prudentiel [P1 3.16] est égal à 'Y' ET si le type de risque [P1 2.0] = INTxxx, VARxxx, TRE206</t>
        </is>
      </c>
      <c r="AJ345" s="317" t="inlineStr">
        <is>
          <t>The data is mandatory if the Prudential netting arrangement indicator [P1 3.16] is equal to 'Y' AND if Risk type [P1 2.0] = INTxxx, VARxxx, TRE206</t>
        </is>
      </c>
      <c r="AK345" s="257" t="n">
        <v>7</v>
      </c>
      <c r="AL345" s="345" t="inlineStr">
        <is>
          <t>TPS0784</t>
        </is>
      </c>
      <c r="AM345" s="318" t="inlineStr">
        <is>
          <t>Si elle est renseignée, la valeur doit être connue du Langage Commun associé</t>
        </is>
      </c>
      <c r="AN345" s="317" t="inlineStr">
        <is>
          <t>If specified, the value must be known to the associated Common Language</t>
        </is>
      </c>
      <c r="AO345" s="257" t="n">
        <v>7</v>
      </c>
      <c r="AP345" s="212" t="inlineStr">
        <is>
          <t>TIG0001</t>
        </is>
      </c>
      <c r="AQ345" s="318" t="n"/>
      <c r="AR345" s="317" t="n"/>
      <c r="AS345" s="257" t="n"/>
      <c r="AT345" s="258" t="n"/>
      <c r="AU345" s="318" t="n"/>
      <c r="AV345" s="317" t="n"/>
      <c r="AW345" s="257" t="n"/>
      <c r="AX345" s="258" t="n"/>
      <c r="AY345" s="318" t="n"/>
      <c r="AZ345" s="317" t="n"/>
      <c r="BA345" s="257" t="n"/>
      <c r="BB345" s="258" t="n"/>
      <c r="BC345" s="316" t="n"/>
      <c r="BD345" s="317" t="n"/>
      <c r="BE345" s="257" t="n"/>
      <c r="BF345" s="258" t="n"/>
      <c r="BG345" s="89" t="n"/>
      <c r="BH3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45">
        <f>_xlfn.LET(r,ROW(),oc,INDEX($A:$A,r),cv,TRIM(INDEX($Y:$Y,r)&amp;""),IF(oc&lt;&gt;"P1","",IF(cv="45","V45 - novo, nao alimentado pelo spool atual","V44 - alimentado pelo spool atual")))</f>
        <v/>
      </c>
    </row>
    <row r="346" ht="54" customFormat="1" customHeight="1" s="91">
      <c r="A346" s="306" t="inlineStr">
        <is>
          <t>P1</t>
        </is>
      </c>
      <c r="B346" s="307" t="n">
        <v>111</v>
      </c>
      <c r="C346" s="269" t="inlineStr">
        <is>
          <t>09 - Caractéristiques Dérivés</t>
        </is>
      </c>
      <c r="D346" s="310" t="inlineStr">
        <is>
          <t>09 - Derivative characteristics</t>
        </is>
      </c>
      <c r="E346" s="307" t="inlineStr">
        <is>
          <t>P1 3.84</t>
        </is>
      </c>
      <c r="F346" s="448" t="inlineStr">
        <is>
          <t>Montant de l'assiette interne du risque de variation</t>
        </is>
      </c>
      <c r="G346" s="309" t="inlineStr">
        <is>
          <t>Amount of internal variation risk base</t>
        </is>
      </c>
      <c r="H346" s="1493">
        <f>"RPAD( "&amp;SUBSTITUTE(SUBSTITUTE(E346," ","_"),".","_")&amp;","&amp;W346&amp;",' '); -- "&amp;E346</f>
        <v/>
      </c>
      <c r="I346" s="308" t="inlineStr">
        <is>
          <t>Montant de l'assiette interne du risque de variation</t>
        </is>
      </c>
      <c r="J346" s="309" t="inlineStr">
        <is>
          <t>Amount of internal variation risk base</t>
        </is>
      </c>
      <c r="K346" s="370" t="inlineStr">
        <is>
          <t>ND</t>
        </is>
      </c>
      <c r="L346" s="371" t="inlineStr">
        <is>
          <t>ND</t>
        </is>
      </c>
      <c r="M346" s="1420" t="inlineStr">
        <is>
          <t>mtAssieIntRisqVar</t>
        </is>
      </c>
      <c r="N346" s="257" t="inlineStr">
        <is>
          <t>Obligatoire sous conditions</t>
        </is>
      </c>
      <c r="O346" s="236" t="inlineStr">
        <is>
          <t>Mandatory under conditions</t>
        </is>
      </c>
      <c r="P346" s="269" t="inlineStr">
        <is>
          <t>NA</t>
        </is>
      </c>
      <c r="Q346" s="269" t="inlineStr">
        <is>
          <t>NA</t>
        </is>
      </c>
      <c r="R346" s="241" t="inlineStr">
        <is>
          <t>Obligatoire pour les engagements sur dérivés et repos (VAR hors courtage)
Ce champ répond aux besoins de suivi du risque de variation interne et permet de remonter l'exposition pseudo maximale calculée en locale</t>
        </is>
      </c>
      <c r="S346" s="233" t="inlineStr">
        <is>
          <t>Mandatory for funds in use on derivatives and repos (VAR excluding brokerage)
This field meets the follow-up|monitoring needs of the risk of internal variation and allows the maximum pseudo exposure calculated in local</t>
        </is>
      </c>
      <c r="T346" s="313" t="inlineStr">
        <is>
          <t>NUM</t>
        </is>
      </c>
      <c r="U346" s="237" t="inlineStr">
        <is>
          <t>19 dont signe et 2 décimales</t>
        </is>
      </c>
      <c r="V346" s="238" t="inlineStr">
        <is>
          <t>19 including sign and 2 decimals</t>
        </is>
      </c>
      <c r="W346" s="257" t="n">
        <v>19</v>
      </c>
      <c r="X346" s="945" t="inlineStr">
        <is>
          <t>NA</t>
        </is>
      </c>
      <c r="Y346" s="237" t="n">
        <v>40</v>
      </c>
      <c r="Z346" s="237" t="inlineStr">
        <is>
          <t>NA</t>
        </is>
      </c>
      <c r="AA346" s="237" t="inlineStr">
        <is>
          <t>NA</t>
        </is>
      </c>
      <c r="AB346" s="269" t="inlineStr">
        <is>
          <t>SI RISQUE</t>
        </is>
      </c>
      <c r="AC346" s="231" t="inlineStr">
        <is>
          <t>ND</t>
        </is>
      </c>
      <c r="AD346" s="257" t="inlineStr">
        <is>
          <t>N</t>
        </is>
      </c>
      <c r="AE346" s="971" t="inlineStr">
        <is>
          <t>VAR*
INT</t>
        </is>
      </c>
      <c r="AF346" s="257" t="inlineStr">
        <is>
          <t>NA</t>
        </is>
      </c>
      <c r="AG346" s="258" t="inlineStr">
        <is>
          <t>NA</t>
        </is>
      </c>
      <c r="AH346" s="89" t="n"/>
      <c r="AI346" s="408" t="inlineStr">
        <is>
          <t xml:space="preserve">La donnée est obligatoire si le type de risque [P1 2.0] = 'INTxxx', 'VARxxx' </t>
        </is>
      </c>
      <c r="AJ346" s="317" t="inlineStr">
        <is>
          <t xml:space="preserve">The data is mandatory if risk type [P1 2.0] = 'INTxxx', 'VARxxx' </t>
        </is>
      </c>
      <c r="AK346" s="257" t="n">
        <v>7</v>
      </c>
      <c r="AL346" s="335" t="inlineStr">
        <is>
          <t>TPS0750</t>
        </is>
      </c>
      <c r="AM346" s="318" t="n"/>
      <c r="AN346" s="317" t="n"/>
      <c r="AO346" s="257" t="n"/>
      <c r="AP346" s="258" t="n"/>
      <c r="AQ346" s="318" t="n"/>
      <c r="AR346" s="317" t="n"/>
      <c r="AS346" s="257" t="n"/>
      <c r="AT346" s="258" t="n"/>
      <c r="AU346" s="318" t="n"/>
      <c r="AV346" s="317" t="n"/>
      <c r="AW346" s="257" t="n"/>
      <c r="AX346" s="258" t="n"/>
      <c r="AY346" s="318" t="n"/>
      <c r="AZ346" s="317" t="n"/>
      <c r="BA346" s="257" t="n"/>
      <c r="BB346" s="258" t="n"/>
      <c r="BC346" s="316" t="n"/>
      <c r="BD346" s="317" t="n"/>
      <c r="BE346" s="257" t="n"/>
      <c r="BF346" s="258" t="n"/>
      <c r="BG346" s="89" t="n"/>
      <c r="BH3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46">
        <f>_xlfn.LET(r,ROW(),oc,INDEX($A:$A,r),cv,TRIM(INDEX($Y:$Y,r)&amp;""),IF(oc&lt;&gt;"P1","",IF(cv="45","V45 - novo, nao alimentado pelo spool atual","V44 - alimentado pelo spool atual")))</f>
        <v/>
      </c>
    </row>
    <row r="347" ht="54" customFormat="1" customHeight="1" s="91">
      <c r="A347" s="306" t="inlineStr">
        <is>
          <t>P1</t>
        </is>
      </c>
      <c r="B347" s="307" t="n">
        <v>112</v>
      </c>
      <c r="C347" s="269" t="inlineStr">
        <is>
          <t>09 - Caractéristiques Dérivés</t>
        </is>
      </c>
      <c r="D347" s="310" t="inlineStr">
        <is>
          <t>09 - Derivative characteristics</t>
        </is>
      </c>
      <c r="E347" s="307" t="inlineStr">
        <is>
          <t>P1 3.85</t>
        </is>
      </c>
      <c r="F347" s="308" t="inlineStr">
        <is>
          <t>Devise de l'assiette interne du risque de variation</t>
        </is>
      </c>
      <c r="G347" s="309" t="inlineStr">
        <is>
          <t>Currency of internal variation risk base</t>
        </is>
      </c>
      <c r="H347" s="1493">
        <f>"RPAD( "&amp;SUBSTITUTE(SUBSTITUTE(E347," ","_"),".","_")&amp;","&amp;W347&amp;",' '); -- "&amp;E347</f>
        <v/>
      </c>
      <c r="I347" s="241" t="inlineStr">
        <is>
          <t>Devise de l'assiette interne du risque de variation</t>
        </is>
      </c>
      <c r="J347" s="309" t="inlineStr">
        <is>
          <t>Currency of the internal base of the risk of fluctuations in value</t>
        </is>
      </c>
      <c r="K347" s="370" t="inlineStr">
        <is>
          <t>ND</t>
        </is>
      </c>
      <c r="L347" s="371" t="inlineStr">
        <is>
          <t>ND</t>
        </is>
      </c>
      <c r="M347" s="1420" t="inlineStr">
        <is>
          <t>cdDevMtAssieIntRisqVar</t>
        </is>
      </c>
      <c r="N347" s="257" t="inlineStr">
        <is>
          <t>Obligatoire sous conditions</t>
        </is>
      </c>
      <c r="O347" s="236" t="inlineStr">
        <is>
          <t>Mandatory under conditions</t>
        </is>
      </c>
      <c r="P347" s="269" t="inlineStr">
        <is>
          <t>LC.0005</t>
        </is>
      </c>
      <c r="Q347" s="269" t="inlineStr">
        <is>
          <t>TA NM253</t>
        </is>
      </c>
      <c r="R347" s="241" t="inlineStr">
        <is>
          <t>NA</t>
        </is>
      </c>
      <c r="S347" s="233" t="inlineStr">
        <is>
          <t>NA</t>
        </is>
      </c>
      <c r="T347" s="313" t="inlineStr">
        <is>
          <t>ALPHA</t>
        </is>
      </c>
      <c r="U347" s="237" t="inlineStr">
        <is>
          <t>NA</t>
        </is>
      </c>
      <c r="V347" s="238" t="inlineStr">
        <is>
          <t>NA</t>
        </is>
      </c>
      <c r="W347" s="257" t="n">
        <v>3</v>
      </c>
      <c r="X347" s="945" t="inlineStr">
        <is>
          <t>NA</t>
        </is>
      </c>
      <c r="Y347" s="237" t="n">
        <v>40</v>
      </c>
      <c r="Z347" s="237" t="inlineStr">
        <is>
          <t>NA</t>
        </is>
      </c>
      <c r="AA347" s="283" t="inlineStr">
        <is>
          <t>NA</t>
        </is>
      </c>
      <c r="AB347" s="269" t="inlineStr">
        <is>
          <t>SI RISQUE</t>
        </is>
      </c>
      <c r="AC347" s="231" t="inlineStr">
        <is>
          <t>ND</t>
        </is>
      </c>
      <c r="AD347" s="257" t="inlineStr">
        <is>
          <t>N</t>
        </is>
      </c>
      <c r="AE347" s="971" t="inlineStr">
        <is>
          <t>VAR*
INT</t>
        </is>
      </c>
      <c r="AF347" s="257" t="inlineStr">
        <is>
          <t>NA</t>
        </is>
      </c>
      <c r="AG347" s="258" t="inlineStr">
        <is>
          <t>NA</t>
        </is>
      </c>
      <c r="AH347" s="89" t="n"/>
      <c r="AI347" s="446" t="inlineStr">
        <is>
          <t>La donnée est obligatoire, si Montant de l'assiette interne du risque de variation [P1 3.84] est renseigné</t>
        </is>
      </c>
      <c r="AJ347" s="317" t="inlineStr">
        <is>
          <t>The data is mandatory, if Amount of internal variation risk base [P1 3.84] is filled</t>
        </is>
      </c>
      <c r="AK347" s="257" t="n">
        <v>7</v>
      </c>
      <c r="AL347" s="335" t="inlineStr">
        <is>
          <t>TPG0002</t>
        </is>
      </c>
      <c r="AM347" s="318" t="inlineStr">
        <is>
          <t>Si elle est renseignée, la valeur doit être connue du Langage Commun associé</t>
        </is>
      </c>
      <c r="AN347" s="317" t="inlineStr">
        <is>
          <t>If specified, the value must be known to the associated Common Language</t>
        </is>
      </c>
      <c r="AO347" s="257" t="n">
        <v>7</v>
      </c>
      <c r="AP347" s="212" t="inlineStr">
        <is>
          <t>TIG0001</t>
        </is>
      </c>
      <c r="AQ347" s="318" t="n"/>
      <c r="AR347" s="317" t="n"/>
      <c r="AS347" s="257" t="n"/>
      <c r="AT347" s="258" t="n"/>
      <c r="AU347" s="318" t="n"/>
      <c r="AV347" s="317" t="n"/>
      <c r="AW347" s="257" t="n"/>
      <c r="AX347" s="258" t="n"/>
      <c r="AY347" s="318" t="n"/>
      <c r="AZ347" s="317" t="n"/>
      <c r="BA347" s="257" t="n"/>
      <c r="BB347" s="258" t="n"/>
      <c r="BC347" s="316" t="n"/>
      <c r="BD347" s="317" t="n"/>
      <c r="BE347" s="257" t="n"/>
      <c r="BF347" s="258" t="n"/>
      <c r="BG347" s="89" t="n"/>
      <c r="BH3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47">
        <f>_xlfn.LET(r,ROW(),oc,INDEX($A:$A,r),cv,TRIM(INDEX($Y:$Y,r)&amp;""),IF(oc&lt;&gt;"P1","",IF(cv="45","V45 - novo, nao alimentado pelo spool atual","V44 - alimentado pelo spool atual")))</f>
        <v/>
      </c>
    </row>
    <row r="348" ht="54" customFormat="1" customHeight="1" s="91">
      <c r="A348" s="306" t="inlineStr">
        <is>
          <t>P1</t>
        </is>
      </c>
      <c r="B348" s="307" t="n">
        <v>113</v>
      </c>
      <c r="C348" s="269" t="inlineStr">
        <is>
          <t>09 - Caractéristiques Dérivés</t>
        </is>
      </c>
      <c r="D348" s="310" t="inlineStr">
        <is>
          <t>09 - Derivative characteristics</t>
        </is>
      </c>
      <c r="E348" s="307" t="inlineStr">
        <is>
          <t>P1 3.72</t>
        </is>
      </c>
      <c r="F348" s="308" t="inlineStr">
        <is>
          <t xml:space="preserve">Montant de l'assiette réglementaire </t>
        </is>
      </c>
      <c r="G348" s="309" t="inlineStr">
        <is>
          <t>Amount of regulatory base calculated locally</t>
        </is>
      </c>
      <c r="H348" s="1493">
        <f>"RPAD( "&amp;SUBSTITUTE(SUBSTITUTE(E348," ","_"),".","_")&amp;","&amp;W348&amp;",' '); -- "&amp;E348</f>
        <v/>
      </c>
      <c r="I348" s="308" t="inlineStr">
        <is>
          <t xml:space="preserve">Montant de l'assiette réglementaire </t>
        </is>
      </c>
      <c r="J348" s="309" t="inlineStr">
        <is>
          <t>Amount of regulatory base calculated locally</t>
        </is>
      </c>
      <c r="K348" s="370" t="inlineStr">
        <is>
          <t>ND</t>
        </is>
      </c>
      <c r="L348" s="371" t="inlineStr">
        <is>
          <t>ND</t>
        </is>
      </c>
      <c r="M348" s="1420" t="inlineStr">
        <is>
          <t>mtAssieRegl</t>
        </is>
      </c>
      <c r="N348" s="449" t="inlineStr">
        <is>
          <t>Facultatif</t>
        </is>
      </c>
      <c r="O348" s="236" t="inlineStr">
        <is>
          <t>Optional</t>
        </is>
      </c>
      <c r="P348" s="269" t="inlineStr">
        <is>
          <t>NA</t>
        </is>
      </c>
      <c r="Q348" s="269" t="inlineStr">
        <is>
          <t>NA</t>
        </is>
      </c>
      <c r="R348" s="241" t="inlineStr">
        <is>
          <t>Réservée exclusivement aux entités sous-traitant leurs opérations de marchés à CA-CIB
NA sinon, l'assiette réglementaire étant calculée en central</t>
        </is>
      </c>
      <c r="S348" s="233" t="inlineStr">
        <is>
          <t>Reserved exclusively for entities outsourcing their market transactions to CA-CIB
Otherwise, the regulatory base is calculated in central</t>
        </is>
      </c>
      <c r="T348" s="313" t="inlineStr">
        <is>
          <t>NUM</t>
        </is>
      </c>
      <c r="U348" s="237" t="inlineStr">
        <is>
          <t>19 dont signe et 2 décimales</t>
        </is>
      </c>
      <c r="V348" s="238" t="inlineStr">
        <is>
          <t>19 including sign and 2 decimals</t>
        </is>
      </c>
      <c r="W348" s="257" t="n">
        <v>19</v>
      </c>
      <c r="X348" s="945" t="inlineStr">
        <is>
          <t>NA</t>
        </is>
      </c>
      <c r="Y348" s="237" t="n">
        <v>40</v>
      </c>
      <c r="Z348" s="237" t="inlineStr">
        <is>
          <t>NA</t>
        </is>
      </c>
      <c r="AA348" s="270" t="inlineStr">
        <is>
          <t>NA</t>
        </is>
      </c>
      <c r="AB348" s="994" t="inlineStr">
        <is>
          <t>GRR</t>
        </is>
      </c>
      <c r="AC348" s="231" t="inlineStr">
        <is>
          <t>ND</t>
        </is>
      </c>
      <c r="AD348" s="257" t="inlineStr">
        <is>
          <t>N</t>
        </is>
      </c>
      <c r="AE348" s="971" t="inlineStr">
        <is>
          <t xml:space="preserve">VAR*
</t>
        </is>
      </c>
      <c r="AF348" s="257" t="inlineStr">
        <is>
          <t>NA</t>
        </is>
      </c>
      <c r="AG348" s="258" t="inlineStr">
        <is>
          <t>NA</t>
        </is>
      </c>
      <c r="AH348" s="89" t="n"/>
      <c r="AI348" s="316" t="n"/>
      <c r="AJ348" s="317" t="n"/>
      <c r="AK348" s="257" t="n"/>
      <c r="AL348" s="258" t="n"/>
      <c r="AM348" s="318" t="n"/>
      <c r="AN348" s="317" t="n"/>
      <c r="AO348" s="257" t="n"/>
      <c r="AP348" s="258" t="n"/>
      <c r="AQ348" s="445" t="inlineStr">
        <is>
          <t>Si renseignée, la donnée doit être positive (supérieure ou égale à 0)</t>
        </is>
      </c>
      <c r="AR348" s="317" t="inlineStr">
        <is>
          <t xml:space="preserve">If filled, data must be positive (greater or equal to 0) </t>
        </is>
      </c>
      <c r="AS348" s="257" t="n">
        <v>7</v>
      </c>
      <c r="AT348" s="345" t="inlineStr">
        <is>
          <t>TVG0001</t>
        </is>
      </c>
      <c r="AU348" s="318" t="n"/>
      <c r="AV348" s="317" t="n"/>
      <c r="AW348" s="257" t="n"/>
      <c r="AX348" s="258" t="n"/>
      <c r="AY348" s="318" t="n"/>
      <c r="AZ348" s="317" t="n"/>
      <c r="BA348" s="257" t="n"/>
      <c r="BB348" s="258" t="n"/>
      <c r="BC348" s="316" t="n"/>
      <c r="BD348" s="317" t="n"/>
      <c r="BE348" s="257" t="n"/>
      <c r="BF348" s="258" t="n"/>
      <c r="BG348" s="89" t="n"/>
      <c r="BH3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48">
        <f>_xlfn.LET(r,ROW(),oc,INDEX($A:$A,r),cv,TRIM(INDEX($Y:$Y,r)&amp;""),IF(oc&lt;&gt;"P1","",IF(cv="45","V45 - novo, nao alimentado pelo spool atual","V44 - alimentado pelo spool atual")))</f>
        <v/>
      </c>
    </row>
    <row r="349" ht="54" customFormat="1" customHeight="1" s="91">
      <c r="A349" s="306" t="inlineStr">
        <is>
          <t>P1</t>
        </is>
      </c>
      <c r="B349" s="307" t="n">
        <v>114</v>
      </c>
      <c r="C349" s="269" t="inlineStr">
        <is>
          <t>09 - Caractéristiques Dérivés</t>
        </is>
      </c>
      <c r="D349" s="310" t="inlineStr">
        <is>
          <t>09 - Derivative characteristics</t>
        </is>
      </c>
      <c r="E349" s="307" t="inlineStr">
        <is>
          <t>P1 3.73</t>
        </is>
      </c>
      <c r="F349" s="308" t="inlineStr">
        <is>
          <t xml:space="preserve">Devise du montant de l'assiette réglementaire </t>
        </is>
      </c>
      <c r="G349" s="309" t="inlineStr">
        <is>
          <t>Currency of amount of regulatory base calculated locally</t>
        </is>
      </c>
      <c r="H349" s="1493">
        <f>"RPAD( "&amp;SUBSTITUTE(SUBSTITUTE(E349," ","_"),".","_")&amp;","&amp;W349&amp;",' '); -- "&amp;E349</f>
        <v/>
      </c>
      <c r="I349" s="241" t="inlineStr">
        <is>
          <t>Devise du montant de l'assiette réglementaire</t>
        </is>
      </c>
      <c r="J349" s="309" t="inlineStr">
        <is>
          <t>Currency of the regulatory base amount</t>
        </is>
      </c>
      <c r="K349" s="370" t="inlineStr">
        <is>
          <t>ND</t>
        </is>
      </c>
      <c r="L349" s="371" t="inlineStr">
        <is>
          <t>ND</t>
        </is>
      </c>
      <c r="M349" s="1420" t="inlineStr">
        <is>
          <t>cdDevMtAssieRegl</t>
        </is>
      </c>
      <c r="N349" s="257" t="inlineStr">
        <is>
          <t>Obligatoire sous conditions</t>
        </is>
      </c>
      <c r="O349" s="236" t="inlineStr">
        <is>
          <t>Mandatory under conditions</t>
        </is>
      </c>
      <c r="P349" s="269" t="inlineStr">
        <is>
          <t>LC.0005</t>
        </is>
      </c>
      <c r="Q349" s="269" t="inlineStr">
        <is>
          <t>TA NM253</t>
        </is>
      </c>
      <c r="R349" s="241" t="inlineStr">
        <is>
          <t>NA</t>
        </is>
      </c>
      <c r="S349" s="233" t="inlineStr">
        <is>
          <t>NA</t>
        </is>
      </c>
      <c r="T349" s="313" t="inlineStr">
        <is>
          <t>ALPHA</t>
        </is>
      </c>
      <c r="U349" s="237" t="inlineStr">
        <is>
          <t>NA</t>
        </is>
      </c>
      <c r="V349" s="238" t="inlineStr">
        <is>
          <t>NA</t>
        </is>
      </c>
      <c r="W349" s="257" t="n">
        <v>3</v>
      </c>
      <c r="X349" s="945" t="inlineStr">
        <is>
          <t>NA</t>
        </is>
      </c>
      <c r="Y349" s="237" t="n">
        <v>40</v>
      </c>
      <c r="Z349" s="237" t="inlineStr">
        <is>
          <t>NA</t>
        </is>
      </c>
      <c r="AA349" s="270" t="inlineStr">
        <is>
          <t>NA</t>
        </is>
      </c>
      <c r="AB349" s="994" t="inlineStr">
        <is>
          <t>GRR</t>
        </is>
      </c>
      <c r="AC349" s="231" t="inlineStr">
        <is>
          <t>ND</t>
        </is>
      </c>
      <c r="AD349" s="257" t="inlineStr">
        <is>
          <t>N</t>
        </is>
      </c>
      <c r="AE349" s="971" t="inlineStr">
        <is>
          <t xml:space="preserve">VAR*
</t>
        </is>
      </c>
      <c r="AF349" s="257" t="inlineStr">
        <is>
          <t>NA</t>
        </is>
      </c>
      <c r="AG349" s="258" t="inlineStr">
        <is>
          <t>NA</t>
        </is>
      </c>
      <c r="AH349" s="89" t="n"/>
      <c r="AI349" s="316" t="inlineStr">
        <is>
          <t>La donnée est obligatoire, si le montant de l'assiette réglementaire [P1 3.72] est renseigné</t>
        </is>
      </c>
      <c r="AJ349" s="317" t="inlineStr">
        <is>
          <t>The data is mandatory, if Amount of regulatory base calculated locally [P1 3.72] is filled</t>
        </is>
      </c>
      <c r="AK349" s="257" t="n">
        <v>7</v>
      </c>
      <c r="AL349" s="335" t="inlineStr">
        <is>
          <t>TPG0002</t>
        </is>
      </c>
      <c r="AM349" s="318" t="inlineStr">
        <is>
          <t>Si elle est renseignée, la valeur doit être connue du Langage Commun associé</t>
        </is>
      </c>
      <c r="AN349" s="317" t="inlineStr">
        <is>
          <t>If specified, the value must be known to the associated Common Language</t>
        </is>
      </c>
      <c r="AO349" s="257" t="n">
        <v>7</v>
      </c>
      <c r="AP349" s="212" t="inlineStr">
        <is>
          <t>TIG0001</t>
        </is>
      </c>
      <c r="AQ349" s="318" t="n"/>
      <c r="AR349" s="317" t="n"/>
      <c r="AS349" s="257" t="n"/>
      <c r="AT349" s="258" t="n"/>
      <c r="AU349" s="318" t="n"/>
      <c r="AV349" s="317" t="n"/>
      <c r="AW349" s="257" t="n"/>
      <c r="AX349" s="258" t="n"/>
      <c r="AY349" s="318" t="n"/>
      <c r="AZ349" s="317" t="n"/>
      <c r="BA349" s="257" t="n"/>
      <c r="BB349" s="258" t="n"/>
      <c r="BC349" s="316" t="n"/>
      <c r="BD349" s="317" t="n"/>
      <c r="BE349" s="257" t="n"/>
      <c r="BF349" s="258" t="n"/>
      <c r="BG349" s="89" t="n"/>
      <c r="BH3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49">
        <f>_xlfn.LET(r,ROW(),oc,INDEX($A:$A,r),cv,TRIM(INDEX($Y:$Y,r)&amp;""),IF(oc&lt;&gt;"P1","",IF(cv="45","V45 - novo, nao alimentado pelo spool atual","V44 - alimentado pelo spool atual")))</f>
        <v/>
      </c>
    </row>
    <row r="350" ht="54" customFormat="1" customHeight="1" s="91">
      <c r="A350" s="306" t="inlineStr">
        <is>
          <t>P1</t>
        </is>
      </c>
      <c r="B350" s="307" t="n">
        <v>115</v>
      </c>
      <c r="C350" s="269" t="inlineStr">
        <is>
          <t>05 - Caractéristiques Cessions temporaires de titres</t>
        </is>
      </c>
      <c r="D350" s="310" t="inlineStr">
        <is>
          <t>05 - Temporary Assignment characteristics of securities</t>
        </is>
      </c>
      <c r="E350" s="307" t="inlineStr">
        <is>
          <t>P1 7.0</t>
        </is>
      </c>
      <c r="F350" s="308" t="inlineStr">
        <is>
          <t>Périodicité de réévaluation</t>
        </is>
      </c>
      <c r="G350" s="309" t="inlineStr">
        <is>
          <t>Periodicity of revaluation</t>
        </is>
      </c>
      <c r="H350" s="1493">
        <f>"RPAD( "&amp;SUBSTITUTE(SUBSTITUTE(E350," ","_"),".","_")&amp;","&amp;W350&amp;",' '); -- "&amp;E350</f>
        <v/>
      </c>
      <c r="I350" s="241" t="inlineStr">
        <is>
          <t>Périodicité de réévaluation de l'opération (patte prêteuse patte emprunteuse)</t>
        </is>
      </c>
      <c r="J350" s="309" t="inlineStr">
        <is>
          <t>Periodicity of transaction's revaluation (Lending leg Borrowing leg)</t>
        </is>
      </c>
      <c r="K350" s="370" t="inlineStr">
        <is>
          <t>ND</t>
        </is>
      </c>
      <c r="L350" s="371" t="inlineStr">
        <is>
          <t>ND</t>
        </is>
      </c>
      <c r="M350" s="1420" t="inlineStr">
        <is>
          <t>peReeval</t>
        </is>
      </c>
      <c r="N350" s="449" t="inlineStr">
        <is>
          <t>Obligatoire sous conditions</t>
        </is>
      </c>
      <c r="O350" s="236" t="inlineStr">
        <is>
          <t>Mandatory under conditions</t>
        </is>
      </c>
      <c r="P350" s="269" t="inlineStr">
        <is>
          <t>NA</t>
        </is>
      </c>
      <c r="Q350" s="269" t="inlineStr">
        <is>
          <t>NA</t>
        </is>
      </c>
      <c r="R350" s="241" t="inlineStr">
        <is>
          <t>Obligatoire pour les marges initiales versées auprès d'une CCP ou d'un dépositaire indépendant
Exprimée en nombre de jours ouvrés</t>
        </is>
      </c>
      <c r="S350" s="233" t="inlineStr">
        <is>
          <t>Mandatory for initial margins paid to a CCP or an independent depository
Expressed as a number of business days</t>
        </is>
      </c>
      <c r="T350" s="313" t="inlineStr">
        <is>
          <t>NUM</t>
        </is>
      </c>
      <c r="U350" s="237" t="inlineStr">
        <is>
          <t>NA</t>
        </is>
      </c>
      <c r="V350" s="238" t="inlineStr">
        <is>
          <t>NA</t>
        </is>
      </c>
      <c r="W350" s="257" t="n">
        <v>3</v>
      </c>
      <c r="X350" s="945" t="inlineStr">
        <is>
          <t>NA</t>
        </is>
      </c>
      <c r="Y350" s="237" t="n">
        <v>40</v>
      </c>
      <c r="Z350" s="237" t="inlineStr">
        <is>
          <t>NA</t>
        </is>
      </c>
      <c r="AA350" s="270" t="inlineStr">
        <is>
          <t>NA</t>
        </is>
      </c>
      <c r="AB350" s="994" t="inlineStr">
        <is>
          <t>CALCULS PRUDENTIELS, GRR, SA-CCR</t>
        </is>
      </c>
      <c r="AC350" s="231" t="inlineStr">
        <is>
          <t>ND</t>
        </is>
      </c>
      <c r="AD350" s="257" t="inlineStr">
        <is>
          <t>N</t>
        </is>
      </c>
      <c r="AE350" s="257" t="inlineStr">
        <is>
          <t>TRE203, 207
TRE206
VAR105 et 302</t>
        </is>
      </c>
      <c r="AF350" s="257" t="inlineStr">
        <is>
          <t>NA</t>
        </is>
      </c>
      <c r="AG350" s="258" t="inlineStr">
        <is>
          <t>NA</t>
        </is>
      </c>
      <c r="AH350" s="89" t="n"/>
      <c r="AI350" s="472" t="inlineStr">
        <is>
          <t>La donnée est obligatoire si le type de risque [P1 2.0] = 'VAR105', 'VAR302', 'TRE203', 'TRE206' ou 'TRE207'</t>
        </is>
      </c>
      <c r="AJ350" s="317" t="inlineStr">
        <is>
          <t>The data is mandatory if Risk type [P1 2.0] = 'VAR105', 'VAR302', 'TRE203', 'TRE206' or 'TRE207'</t>
        </is>
      </c>
      <c r="AK350" s="257" t="n">
        <v>6</v>
      </c>
      <c r="AL350" s="420" t="inlineStr">
        <is>
          <t>TPS0785</t>
        </is>
      </c>
      <c r="AM350" s="318" t="n"/>
      <c r="AN350" s="317" t="n"/>
      <c r="AO350" s="257" t="n"/>
      <c r="AP350" s="258" t="n"/>
      <c r="AQ350" s="318" t="n"/>
      <c r="AR350" s="317" t="n"/>
      <c r="AS350" s="257" t="n"/>
      <c r="AT350" s="258" t="n"/>
      <c r="AU350" s="318" t="n"/>
      <c r="AV350" s="317" t="n"/>
      <c r="AW350" s="257" t="n"/>
      <c r="AX350" s="258" t="n"/>
      <c r="AY350" s="318" t="n"/>
      <c r="AZ350" s="317" t="n"/>
      <c r="BA350" s="257" t="n"/>
      <c r="BB350" s="258" t="n"/>
      <c r="BC350" s="316" t="n"/>
      <c r="BD350" s="317" t="n"/>
      <c r="BE350" s="257" t="n"/>
      <c r="BF350" s="258" t="n"/>
      <c r="BG350" s="89" t="n"/>
      <c r="BH3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50">
        <f>_xlfn.LET(r,ROW(),oc,INDEX($A:$A,r),cv,TRIM(INDEX($Y:$Y,r)&amp;""),IF(oc&lt;&gt;"P1","",IF(cv="45","V45 - novo, nao alimentado pelo spool atual","V44 - alimentado pelo spool atual")))</f>
        <v/>
      </c>
    </row>
    <row r="351" ht="54" customFormat="1" customHeight="1" s="91">
      <c r="A351" s="306" t="inlineStr">
        <is>
          <t>P1</t>
        </is>
      </c>
      <c r="B351" s="307" t="n">
        <v>116</v>
      </c>
      <c r="C351" s="269" t="inlineStr">
        <is>
          <t>05 - Caractéristiques Cessions temporaires de titres</t>
        </is>
      </c>
      <c r="D351" s="310" t="inlineStr">
        <is>
          <t>05 - Temporary Assignment characteristics of securities</t>
        </is>
      </c>
      <c r="E351" s="307" t="inlineStr">
        <is>
          <t>P1 7.1</t>
        </is>
      </c>
      <c r="F351" s="1253" t="inlineStr">
        <is>
          <t>Montant Mark-to-Market (MtM) de la jambe prêteuse du repo</t>
        </is>
      </c>
      <c r="G351" s="309" t="inlineStr">
        <is>
          <t>Amount of Mark-to-Market (MtM) of the lending leg from repo</t>
        </is>
      </c>
      <c r="H351" s="1493">
        <f>"RPAD( "&amp;SUBSTITUTE(SUBSTITUTE(E351," ","_"),".","_")&amp;","&amp;W351&amp;",' '); -- "&amp;E351</f>
        <v/>
      </c>
      <c r="I351" s="1253" t="inlineStr">
        <is>
          <t>Montant Mark-to-Market (MtM) de la jambe prêteuse du repo</t>
        </is>
      </c>
      <c r="J351" s="309" t="inlineStr">
        <is>
          <t>Mark-to-Market amount of the lending leg from repo</t>
        </is>
      </c>
      <c r="K351" s="370" t="inlineStr">
        <is>
          <t>ND</t>
        </is>
      </c>
      <c r="L351" s="371" t="inlineStr">
        <is>
          <t>ND</t>
        </is>
      </c>
      <c r="M351" s="1420" t="inlineStr">
        <is>
          <t>mtMtMJamPret</t>
        </is>
      </c>
      <c r="N351" s="449" t="inlineStr">
        <is>
          <t>Obligatoire sous conditions</t>
        </is>
      </c>
      <c r="O351" s="236" t="inlineStr">
        <is>
          <t>Mandatory under conditions</t>
        </is>
      </c>
      <c r="P351" s="269" t="inlineStr">
        <is>
          <t>NA</t>
        </is>
      </c>
      <c r="Q351" s="269" t="inlineStr">
        <is>
          <t>NA</t>
        </is>
      </c>
      <c r="R351" s="241" t="inlineStr">
        <is>
          <t>NA</t>
        </is>
      </c>
      <c r="S351" s="233" t="inlineStr">
        <is>
          <t>NA</t>
        </is>
      </c>
      <c r="T351" s="313" t="inlineStr">
        <is>
          <t>NUM</t>
        </is>
      </c>
      <c r="U351" s="237" t="inlineStr">
        <is>
          <t>19 dont signe et 2 décimales</t>
        </is>
      </c>
      <c r="V351" s="238" t="inlineStr">
        <is>
          <t>19 including sign and 2 decimals</t>
        </is>
      </c>
      <c r="W351" s="257" t="n">
        <v>19</v>
      </c>
      <c r="X351" s="945" t="inlineStr">
        <is>
          <t>NA</t>
        </is>
      </c>
      <c r="Y351" s="237" t="n">
        <v>40</v>
      </c>
      <c r="Z351" s="237" t="inlineStr">
        <is>
          <t>NA</t>
        </is>
      </c>
      <c r="AA351" s="270" t="inlineStr">
        <is>
          <t>45.00</t>
        </is>
      </c>
      <c r="AB351" s="932" t="inlineStr">
        <is>
          <t>ALMM, ANACREDIT, CALCULS PRUDENTIELS, DEI, ESG PILIER 3, GRR, LIQUIDITE, LOAN TAPE, MREL, PALMA, RISQUES SYSTEMIQUES</t>
        </is>
      </c>
      <c r="AC351" s="231" t="inlineStr">
        <is>
          <t>ND</t>
        </is>
      </c>
      <c r="AD351" s="257" t="inlineStr">
        <is>
          <t>N</t>
        </is>
      </c>
      <c r="AE351" s="1034" t="inlineStr">
        <is>
          <t>VAR105 et 302</t>
        </is>
      </c>
      <c r="AF351" s="257" t="inlineStr">
        <is>
          <t>NA</t>
        </is>
      </c>
      <c r="AG351" s="258" t="inlineStr">
        <is>
          <t>NA</t>
        </is>
      </c>
      <c r="AH351" s="89" t="n"/>
      <c r="AI351" s="316" t="inlineStr">
        <is>
          <t>La donnée est obligatoire si le type de risque [P1 2.0] = 'VAR105','VAR302'</t>
        </is>
      </c>
      <c r="AJ351" s="317" t="inlineStr">
        <is>
          <t>The data is mandatory if Risk type [P1 2.0] = 'VAR105','VAR302'</t>
        </is>
      </c>
      <c r="AK351" s="257" t="n">
        <v>7</v>
      </c>
      <c r="AL351" s="366" t="inlineStr">
        <is>
          <t>TPS0786</t>
        </is>
      </c>
      <c r="AM351" s="318" t="n"/>
      <c r="AN351" s="317" t="n"/>
      <c r="AO351" s="257" t="n"/>
      <c r="AP351" s="258" t="n"/>
      <c r="AQ351" s="318" t="n"/>
      <c r="AR351" s="317" t="n"/>
      <c r="AS351" s="257" t="n"/>
      <c r="AT351" s="258" t="n"/>
      <c r="AU351" s="318" t="n"/>
      <c r="AV351" s="317" t="n"/>
      <c r="AW351" s="257" t="n"/>
      <c r="AX351" s="258" t="n"/>
      <c r="AY351" s="318" t="n"/>
      <c r="AZ351" s="317" t="n"/>
      <c r="BA351" s="257" t="n"/>
      <c r="BB351" s="258" t="n"/>
      <c r="BC351" s="316" t="n"/>
      <c r="BD351" s="317" t="n"/>
      <c r="BE351" s="257" t="n"/>
      <c r="BF351" s="258" t="n"/>
      <c r="BG351" s="89" t="n"/>
      <c r="BH3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51">
        <f>_xlfn.LET(r,ROW(),oc,INDEX($A:$A,r),cv,TRIM(INDEX($Y:$Y,r)&amp;""),IF(oc&lt;&gt;"P1","",IF(cv="45","V45 - novo, nao alimentado pelo spool atual","V44 - alimentado pelo spool atual")))</f>
        <v/>
      </c>
    </row>
    <row r="352" ht="54" customFormat="1" customHeight="1" s="91">
      <c r="A352" s="306" t="inlineStr">
        <is>
          <t>P1</t>
        </is>
      </c>
      <c r="B352" s="307" t="n">
        <v>117</v>
      </c>
      <c r="C352" s="269" t="inlineStr">
        <is>
          <t>05 - Caractéristiques Cessions temporaires de titres</t>
        </is>
      </c>
      <c r="D352" s="310" t="inlineStr">
        <is>
          <t>05 - Temporary Assignment characteristics of securities</t>
        </is>
      </c>
      <c r="E352" s="307" t="inlineStr">
        <is>
          <t>P1 7.2</t>
        </is>
      </c>
      <c r="F352" s="1248" t="inlineStr">
        <is>
          <t>Devise du montant Mark-to-Market (MtM) de la jambe prêteuse du repo</t>
        </is>
      </c>
      <c r="G352" s="309" t="inlineStr">
        <is>
          <t>Currency of the amount of the Mark-to-Market (MtM) of the lending leg from repo</t>
        </is>
      </c>
      <c r="H352" s="1493">
        <f>"RPAD( "&amp;SUBSTITUTE(SUBSTITUTE(E352," ","_"),".","_")&amp;","&amp;W352&amp;",' '); -- "&amp;E352</f>
        <v/>
      </c>
      <c r="I352" s="1248" t="inlineStr">
        <is>
          <t>Devise du montant Mark-to-Market (MtM) de la jambe prêteuse du repo</t>
        </is>
      </c>
      <c r="J352" s="309" t="inlineStr">
        <is>
          <t>Currency of the amount of Mark-to-Market (MtM) of the lending leg from repo</t>
        </is>
      </c>
      <c r="K352" s="370" t="inlineStr">
        <is>
          <t>ND</t>
        </is>
      </c>
      <c r="L352" s="371" t="inlineStr">
        <is>
          <t>ND</t>
        </is>
      </c>
      <c r="M352" s="1420" t="inlineStr">
        <is>
          <t>cdDevMtMtMJamPret</t>
        </is>
      </c>
      <c r="N352" s="257" t="inlineStr">
        <is>
          <t>Obligatoire sous conditions</t>
        </is>
      </c>
      <c r="O352" s="236" t="inlineStr">
        <is>
          <t>Mandatory under conditions</t>
        </is>
      </c>
      <c r="P352" s="269" t="inlineStr">
        <is>
          <t>LC.0005</t>
        </is>
      </c>
      <c r="Q352" s="269" t="inlineStr">
        <is>
          <t>TA NM253</t>
        </is>
      </c>
      <c r="R352" s="241" t="inlineStr">
        <is>
          <t>NA</t>
        </is>
      </c>
      <c r="S352" s="233" t="inlineStr">
        <is>
          <t>NA</t>
        </is>
      </c>
      <c r="T352" s="313" t="inlineStr">
        <is>
          <t>ALPHA</t>
        </is>
      </c>
      <c r="U352" s="237" t="inlineStr">
        <is>
          <t>NA</t>
        </is>
      </c>
      <c r="V352" s="238" t="inlineStr">
        <is>
          <t>NA</t>
        </is>
      </c>
      <c r="W352" s="257" t="n">
        <v>3</v>
      </c>
      <c r="X352" s="945" t="inlineStr">
        <is>
          <t>NA</t>
        </is>
      </c>
      <c r="Y352" s="237" t="n">
        <v>40</v>
      </c>
      <c r="Z352" s="237" t="inlineStr">
        <is>
          <t>NA</t>
        </is>
      </c>
      <c r="AA352" s="270" t="inlineStr">
        <is>
          <t>45.00</t>
        </is>
      </c>
      <c r="AB352" s="932" t="inlineStr">
        <is>
          <t>ALMM, ANACREDIT, CALCULS PRUDENTIELS, DEI, ESG PILIER 3, GRR, LIQUIDITE, MREL, PALMA, RISQUES SYSTEMIQUES</t>
        </is>
      </c>
      <c r="AC352" s="231" t="inlineStr">
        <is>
          <t>ND</t>
        </is>
      </c>
      <c r="AD352" s="257" t="inlineStr">
        <is>
          <t>N</t>
        </is>
      </c>
      <c r="AE352" s="1034" t="inlineStr">
        <is>
          <t>VAR105 et 302</t>
        </is>
      </c>
      <c r="AF352" s="257" t="inlineStr">
        <is>
          <t>NA</t>
        </is>
      </c>
      <c r="AG352" s="258" t="inlineStr">
        <is>
          <t>NA</t>
        </is>
      </c>
      <c r="AH352" s="89" t="n"/>
      <c r="AI352" s="500" t="inlineStr">
        <is>
          <t>La donnée est obligatoire, si Montant Mark-to-Market de la jambe prêteuse [P1 7.1] est renseigné</t>
        </is>
      </c>
      <c r="AJ352" s="317" t="inlineStr">
        <is>
          <t>The data is mandatory, if Mark-to-Market amount of the lending leg [P1 7.1] is filled</t>
        </is>
      </c>
      <c r="AK352" s="257" t="n">
        <v>7</v>
      </c>
      <c r="AL352" s="258" t="inlineStr">
        <is>
          <t>TPG0002</t>
        </is>
      </c>
      <c r="AM352" s="318" t="inlineStr">
        <is>
          <t>Si elle est renseignée, la valeur doit être connue du Langage Commun associé</t>
        </is>
      </c>
      <c r="AN352" s="317" t="inlineStr">
        <is>
          <t>If specified, the value must be known to the associated Common Language</t>
        </is>
      </c>
      <c r="AO352" s="257" t="n">
        <v>7</v>
      </c>
      <c r="AP352" s="212" t="inlineStr">
        <is>
          <t>TIG0001</t>
        </is>
      </c>
      <c r="AQ352" s="318" t="n"/>
      <c r="AR352" s="317" t="n"/>
      <c r="AS352" s="257" t="n"/>
      <c r="AT352" s="258" t="n"/>
      <c r="AU352" s="318" t="n"/>
      <c r="AV352" s="317" t="n"/>
      <c r="AW352" s="257" t="n"/>
      <c r="AX352" s="258" t="n"/>
      <c r="AY352" s="318" t="n"/>
      <c r="AZ352" s="317" t="n"/>
      <c r="BA352" s="257" t="n"/>
      <c r="BB352" s="258" t="n"/>
      <c r="BC352" s="316" t="n"/>
      <c r="BD352" s="317" t="n"/>
      <c r="BE352" s="257" t="n"/>
      <c r="BF352" s="258" t="n"/>
      <c r="BG352" s="89" t="n"/>
      <c r="BH3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52">
        <f>_xlfn.LET(r,ROW(),oc,INDEX($A:$A,r),cv,TRIM(INDEX($Y:$Y,r)&amp;""),IF(oc&lt;&gt;"P1","",IF(cv="45","V45 - novo, nao alimentado pelo spool atual","V44 - alimentado pelo spool atual")))</f>
        <v/>
      </c>
    </row>
    <row r="353" ht="54" customFormat="1" customHeight="1" s="57">
      <c r="A353" s="325" t="inlineStr">
        <is>
          <t>P1</t>
        </is>
      </c>
      <c r="B353" s="326" t="n">
        <v>118</v>
      </c>
      <c r="C353" s="284" t="inlineStr">
        <is>
          <t xml:space="preserve">19 - Données comptables </t>
        </is>
      </c>
      <c r="D353" s="284" t="inlineStr">
        <is>
          <t>19 - Accounting data</t>
        </is>
      </c>
      <c r="E353" s="326" t="inlineStr">
        <is>
          <t>P1 7.6</t>
        </is>
      </c>
      <c r="F353" s="327" t="inlineStr">
        <is>
          <t>Zone libre (Ex PCCO du MtM de la jambe prêteuse)</t>
        </is>
      </c>
      <c r="G353" s="327" t="inlineStr">
        <is>
          <t>Free zone (Ex PCCO of MtM of the lending leg)</t>
        </is>
      </c>
      <c r="H353" s="1493">
        <f>"RPAD( "&amp;SUBSTITUTE(SUBSTITUTE(E353," ","_"),".","_")&amp;","&amp;W353&amp;",' '); -- "&amp;E353</f>
        <v/>
      </c>
      <c r="I353" s="329" t="inlineStr">
        <is>
          <t>Zone libre</t>
        </is>
      </c>
      <c r="J353" s="329" t="inlineStr">
        <is>
          <t>Free zone</t>
        </is>
      </c>
      <c r="K353" s="328" t="inlineStr">
        <is>
          <t>NA</t>
        </is>
      </c>
      <c r="L353" s="328" t="inlineStr">
        <is>
          <t>NA</t>
        </is>
      </c>
      <c r="M353" s="1421" t="inlineStr">
        <is>
          <t>ZoneLibre76</t>
        </is>
      </c>
      <c r="N353" s="284" t="inlineStr">
        <is>
          <t>NA</t>
        </is>
      </c>
      <c r="O353" s="244" t="inlineStr">
        <is>
          <t>NA</t>
        </is>
      </c>
      <c r="P353" s="284" t="inlineStr">
        <is>
          <t>NA</t>
        </is>
      </c>
      <c r="Q353" s="284" t="inlineStr">
        <is>
          <t>NA</t>
        </is>
      </c>
      <c r="R353" s="412" t="inlineStr">
        <is>
          <t>Laisser à vide</t>
        </is>
      </c>
      <c r="S353" s="245" t="inlineStr">
        <is>
          <t>Leave empty</t>
        </is>
      </c>
      <c r="T353" s="333" t="inlineStr">
        <is>
          <t>ALPHA</t>
        </is>
      </c>
      <c r="U353" s="256" t="inlineStr">
        <is>
          <t>NA</t>
        </is>
      </c>
      <c r="V353" s="256" t="inlineStr">
        <is>
          <t>NA</t>
        </is>
      </c>
      <c r="W353" s="328" t="n">
        <v>12</v>
      </c>
      <c r="X353" s="244" t="inlineStr">
        <is>
          <t>NA</t>
        </is>
      </c>
      <c r="Y353" s="248" t="inlineStr">
        <is>
          <t>NA</t>
        </is>
      </c>
      <c r="Z353" s="248" t="inlineStr">
        <is>
          <t>NA</t>
        </is>
      </c>
      <c r="AA353" s="248" t="inlineStr">
        <is>
          <t>NA</t>
        </is>
      </c>
      <c r="AB353" s="284" t="inlineStr">
        <is>
          <t>NA</t>
        </is>
      </c>
      <c r="AC353" s="244" t="inlineStr">
        <is>
          <t>NA</t>
        </is>
      </c>
      <c r="AD353" s="284" t="inlineStr">
        <is>
          <t>N</t>
        </is>
      </c>
      <c r="AE353" s="284" t="inlineStr">
        <is>
          <t>NA</t>
        </is>
      </c>
      <c r="AF353" s="284" t="inlineStr">
        <is>
          <t>NA</t>
        </is>
      </c>
      <c r="AG353" s="285" t="inlineStr">
        <is>
          <t>NA</t>
        </is>
      </c>
      <c r="AH353" s="89" t="n"/>
      <c r="AI353" s="330" t="n"/>
      <c r="AJ353" s="331" t="n"/>
      <c r="AK353" s="284" t="n"/>
      <c r="AL353" s="285" t="n"/>
      <c r="AM353" s="331" t="n"/>
      <c r="AN353" s="331" t="n"/>
      <c r="AO353" s="284" t="n"/>
      <c r="AP353" s="285" t="n"/>
      <c r="AQ353" s="331" t="n"/>
      <c r="AR353" s="331" t="n"/>
      <c r="AS353" s="284" t="n"/>
      <c r="AT353" s="285" t="n"/>
      <c r="AU353" s="331" t="n"/>
      <c r="AV353" s="331" t="n"/>
      <c r="AW353" s="284" t="n"/>
      <c r="AX353" s="285" t="n"/>
      <c r="AY353" s="331" t="n"/>
      <c r="AZ353" s="331" t="n"/>
      <c r="BA353" s="284" t="n"/>
      <c r="BB353" s="285" t="n"/>
      <c r="BC353" s="330" t="n"/>
      <c r="BD353" s="331" t="n"/>
      <c r="BE353" s="284" t="n"/>
      <c r="BF353" s="285" t="n"/>
      <c r="BG353" s="89" t="n"/>
      <c r="BH3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53">
        <f>_xlfn.LET(r,ROW(),oc,INDEX($A:$A,r),cv,TRIM(INDEX($Y:$Y,r)&amp;""),IF(oc&lt;&gt;"P1","",IF(cv="45","V45 - novo, nao alimentado pelo spool atual","V44 - alimentado pelo spool atual")))</f>
        <v/>
      </c>
    </row>
    <row r="354" ht="54" customFormat="1" customHeight="1" s="91">
      <c r="A354" s="306" t="inlineStr">
        <is>
          <t>P1</t>
        </is>
      </c>
      <c r="B354" s="307" t="n">
        <v>119</v>
      </c>
      <c r="C354" s="269" t="inlineStr">
        <is>
          <t>14 - Caractéristiques Sous-jacent</t>
        </is>
      </c>
      <c r="D354" s="310" t="inlineStr">
        <is>
          <t>14 - Underlying characteristics</t>
        </is>
      </c>
      <c r="E354" s="307" t="inlineStr">
        <is>
          <t>P1 7.7</t>
        </is>
      </c>
      <c r="F354" s="1032" t="inlineStr">
        <is>
          <t>Jambe prêteuse du repo : nature du sous-jacent</t>
        </is>
      </c>
      <c r="G354" s="309" t="inlineStr">
        <is>
          <t>Lending leg from repo: Nature of underlying</t>
        </is>
      </c>
      <c r="H354" s="1493">
        <f>"RPAD( "&amp;SUBSTITUTE(SUBSTITUTE(E354," ","_"),".","_")&amp;","&amp;W354&amp;",' '); -- "&amp;E354</f>
        <v/>
      </c>
      <c r="I354" s="1033" t="inlineStr">
        <is>
          <t>Ce champ permet d'identifier la nature du sous-jacent de la jambe prêteuse du repo et de déterminer la décote relative à l'exposition</t>
        </is>
      </c>
      <c r="J354" s="309" t="inlineStr">
        <is>
          <t>This field identifies the type of underlying asset of the Lending leg from repo and determines the discount relating to the exposure</t>
        </is>
      </c>
      <c r="K354" s="370" t="inlineStr">
        <is>
          <t>ND</t>
        </is>
      </c>
      <c r="L354" s="371" t="inlineStr">
        <is>
          <t>ND</t>
        </is>
      </c>
      <c r="M354" s="1420" t="inlineStr">
        <is>
          <t>cdNatSsJacJamPret</t>
        </is>
      </c>
      <c r="N354" s="257" t="inlineStr">
        <is>
          <t>Obligatoire sous conditions</t>
        </is>
      </c>
      <c r="O354" s="236" t="inlineStr">
        <is>
          <t>Mandatory under conditions</t>
        </is>
      </c>
      <c r="P354" s="269" t="inlineStr">
        <is>
          <t>LC.0046</t>
        </is>
      </c>
      <c r="Q354" s="269" t="inlineStr">
        <is>
          <t>TA KVNSJACE</t>
        </is>
      </c>
      <c r="R354" s="241" t="inlineStr">
        <is>
          <t>NA</t>
        </is>
      </c>
      <c r="S354" s="233" t="inlineStr">
        <is>
          <t>NA</t>
        </is>
      </c>
      <c r="T354" s="313" t="inlineStr">
        <is>
          <t>ALPHA</t>
        </is>
      </c>
      <c r="U354" s="237" t="inlineStr">
        <is>
          <t>NA</t>
        </is>
      </c>
      <c r="V354" s="238" t="inlineStr">
        <is>
          <t>NA</t>
        </is>
      </c>
      <c r="W354" s="257" t="n">
        <v>2</v>
      </c>
      <c r="X354" s="945" t="inlineStr">
        <is>
          <t>NA</t>
        </is>
      </c>
      <c r="Y354" s="237" t="n">
        <v>40</v>
      </c>
      <c r="Z354" s="237" t="inlineStr">
        <is>
          <t>NA</t>
        </is>
      </c>
      <c r="AA354" s="270" t="inlineStr">
        <is>
          <t>45.00</t>
        </is>
      </c>
      <c r="AB354" s="932" t="inlineStr">
        <is>
          <t>AER, ALMM, ANACREDIT, CALCULS PRUDENTIELS, DEI, GRR, LIQUIDITE, LOAN TAPE, MREL, PALMA, RISQUES SYSTEMIQUES</t>
        </is>
      </c>
      <c r="AC354" s="231" t="inlineStr">
        <is>
          <t>ND</t>
        </is>
      </c>
      <c r="AD354" s="257" t="inlineStr">
        <is>
          <t>N</t>
        </is>
      </c>
      <c r="AE354" s="1034" t="inlineStr">
        <is>
          <t>VAR105 et 302</t>
        </is>
      </c>
      <c r="AF354" s="257" t="inlineStr">
        <is>
          <t>NA</t>
        </is>
      </c>
      <c r="AG354" s="258" t="inlineStr">
        <is>
          <t>NA</t>
        </is>
      </c>
      <c r="AH354" s="89" t="n"/>
      <c r="AI354" s="316" t="inlineStr">
        <is>
          <t>La donnée est obligatoire si le type de risque [P1 2.0] = 'VAR105','VAR302'</t>
        </is>
      </c>
      <c r="AJ354" s="317" t="inlineStr">
        <is>
          <t>The data is mandatory if Risk type [P1 2.0] = 'VAR105','VAR302'</t>
        </is>
      </c>
      <c r="AK354" s="257" t="n">
        <v>7</v>
      </c>
      <c r="AL354" s="366" t="inlineStr">
        <is>
          <t>TPS0786</t>
        </is>
      </c>
      <c r="AM354" s="318" t="inlineStr">
        <is>
          <t>Si elle est renseignée, la valeur doit être connue du Langage Commun associé</t>
        </is>
      </c>
      <c r="AN354" s="317" t="inlineStr">
        <is>
          <t>If specified, the value must be known to the associated Common Language</t>
        </is>
      </c>
      <c r="AO354" s="257" t="n">
        <v>7</v>
      </c>
      <c r="AP354" s="212" t="inlineStr">
        <is>
          <t>TIG0001</t>
        </is>
      </c>
      <c r="AQ354" s="318" t="n"/>
      <c r="AR354" s="317" t="n"/>
      <c r="AS354" s="257" t="n"/>
      <c r="AT354" s="258" t="n"/>
      <c r="AU354" s="318" t="n"/>
      <c r="AV354" s="317" t="n"/>
      <c r="AW354" s="257" t="n"/>
      <c r="AX354" s="258" t="n"/>
      <c r="AY354" s="318" t="n"/>
      <c r="AZ354" s="317" t="n"/>
      <c r="BA354" s="257" t="n"/>
      <c r="BB354" s="258" t="n"/>
      <c r="BC354" s="316" t="n"/>
      <c r="BD354" s="317" t="n"/>
      <c r="BE354" s="257" t="n"/>
      <c r="BF354" s="258" t="n"/>
      <c r="BG354" s="89" t="n"/>
      <c r="BH3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54">
        <f>_xlfn.LET(r,ROW(),oc,INDEX($A:$A,r),cv,TRIM(INDEX($Y:$Y,r)&amp;""),IF(oc&lt;&gt;"P1","",IF(cv="45","V45 - novo, nao alimentado pelo spool atual","V44 - alimentado pelo spool atual")))</f>
        <v/>
      </c>
    </row>
    <row r="355" ht="54" customFormat="1" customHeight="1" s="91">
      <c r="A355" s="306" t="inlineStr">
        <is>
          <t>P1</t>
        </is>
      </c>
      <c r="B355" s="307" t="n">
        <v>120</v>
      </c>
      <c r="C355" s="269" t="inlineStr">
        <is>
          <t>05 - Caractéristiques Cessions temporaires de titres</t>
        </is>
      </c>
      <c r="D355" s="310" t="inlineStr">
        <is>
          <t>05 - Temporary Assignment characteristics of securities</t>
        </is>
      </c>
      <c r="E355" s="307" t="inlineStr">
        <is>
          <t>P1 7.8</t>
        </is>
      </c>
      <c r="F355" s="1044" t="inlineStr">
        <is>
          <t>Jambe prêteuse du repo : localisation bourse de cotation</t>
        </is>
      </c>
      <c r="G355" s="968" t="inlineStr">
        <is>
          <t>Lending leg from repo: location listing exchange</t>
        </is>
      </c>
      <c r="H355" s="1493">
        <f>"RPAD( "&amp;SUBSTITUTE(SUBSTITUTE(E355," ","_"),".","_")&amp;","&amp;W355&amp;",' '); -- "&amp;E355</f>
        <v/>
      </c>
      <c r="I355" s="1033" t="inlineStr">
        <is>
          <t>Code du pays de la place boursière sur laquelle sont côtés les titres de la jambe prêteuse du repo</t>
        </is>
      </c>
      <c r="J355" s="309" t="inlineStr">
        <is>
          <t>Country code of the stock exchange on which the securities are listed from lending leg from repo</t>
        </is>
      </c>
      <c r="K355" s="370" t="inlineStr">
        <is>
          <t>ND</t>
        </is>
      </c>
      <c r="L355" s="371" t="inlineStr">
        <is>
          <t>ND</t>
        </is>
      </c>
      <c r="M355" s="1420" t="inlineStr">
        <is>
          <t>cdBourseCotaJamPret</t>
        </is>
      </c>
      <c r="N355" s="257" t="inlineStr">
        <is>
          <t>Obligatoire sous conditions</t>
        </is>
      </c>
      <c r="O355" s="236" t="inlineStr">
        <is>
          <t>Mandatory under conditions</t>
        </is>
      </c>
      <c r="P355" s="269" t="inlineStr">
        <is>
          <t>LC.0063</t>
        </is>
      </c>
      <c r="Q355" s="269" t="inlineStr">
        <is>
          <t>TA KVMARCHE</t>
        </is>
      </c>
      <c r="R355" s="241" t="inlineStr">
        <is>
          <t>NA</t>
        </is>
      </c>
      <c r="S355" s="233" t="inlineStr">
        <is>
          <t>NA</t>
        </is>
      </c>
      <c r="T355" s="313" t="inlineStr">
        <is>
          <t>ALPHA</t>
        </is>
      </c>
      <c r="U355" s="237" t="inlineStr">
        <is>
          <t>NA</t>
        </is>
      </c>
      <c r="V355" s="238" t="inlineStr">
        <is>
          <t>NA</t>
        </is>
      </c>
      <c r="W355" s="257" t="n">
        <v>2</v>
      </c>
      <c r="X355" s="945" t="inlineStr">
        <is>
          <t>NA</t>
        </is>
      </c>
      <c r="Y355" s="237" t="n">
        <v>40</v>
      </c>
      <c r="Z355" s="237" t="inlineStr">
        <is>
          <t>NA</t>
        </is>
      </c>
      <c r="AA355" s="270" t="inlineStr">
        <is>
          <t>45.00</t>
        </is>
      </c>
      <c r="AB355" s="994" t="inlineStr">
        <is>
          <t>CALCULS PRUDENTIELS, GRR</t>
        </is>
      </c>
      <c r="AC355" s="231" t="inlineStr">
        <is>
          <t>ND</t>
        </is>
      </c>
      <c r="AD355" s="257" t="inlineStr">
        <is>
          <t>N</t>
        </is>
      </c>
      <c r="AE355" s="1034" t="inlineStr">
        <is>
          <t>VAR105 et 302</t>
        </is>
      </c>
      <c r="AF355" s="257" t="inlineStr">
        <is>
          <t>NA</t>
        </is>
      </c>
      <c r="AG355" s="258" t="inlineStr">
        <is>
          <t>NA</t>
        </is>
      </c>
      <c r="AH355" s="89" t="n"/>
      <c r="AI355" s="501" t="inlineStr">
        <is>
          <t>La donnée est obligatoire si le type de risque [P1 2.0] est égal à 'VAR105', 'VAR302' et la nature du sous-jacent de la jambe prêteuse [P1 7.7] est égale à (01, 06, 07, 08, 09, 11)</t>
        </is>
      </c>
      <c r="AJ355" s="317" t="inlineStr">
        <is>
          <t>The data is mandatory if Risk type [P1 2.0] is equal to 'VAR105', 'VAR302' and the Nature of underlying of the lending leg [P1 7.7] is equal to (01, 06, 07, 08, 09, 11)</t>
        </is>
      </c>
      <c r="AK355" s="257" t="n">
        <v>6</v>
      </c>
      <c r="AL355" s="366" t="inlineStr">
        <is>
          <t>TPS0787</t>
        </is>
      </c>
      <c r="AM355" s="318" t="inlineStr">
        <is>
          <t>Si elle est renseignée, la valeur doit être connue du Langage Commun associé</t>
        </is>
      </c>
      <c r="AN355" s="317" t="inlineStr">
        <is>
          <t>If specified, the value must be known to the associated Common Language</t>
        </is>
      </c>
      <c r="AO355" s="257" t="n">
        <v>7</v>
      </c>
      <c r="AP355" s="212" t="inlineStr">
        <is>
          <t>TIG0001</t>
        </is>
      </c>
      <c r="AQ355" s="318" t="n"/>
      <c r="AR355" s="317" t="n"/>
      <c r="AS355" s="257" t="n"/>
      <c r="AT355" s="258" t="n"/>
      <c r="AU355" s="318" t="n"/>
      <c r="AV355" s="317" t="n"/>
      <c r="AW355" s="257" t="n"/>
      <c r="AX355" s="258" t="n"/>
      <c r="AY355" s="318" t="n"/>
      <c r="AZ355" s="317" t="n"/>
      <c r="BA355" s="257" t="n"/>
      <c r="BB355" s="258" t="n"/>
      <c r="BC355" s="316" t="n"/>
      <c r="BD355" s="317" t="n"/>
      <c r="BE355" s="257" t="n"/>
      <c r="BF355" s="258" t="n"/>
      <c r="BG355" s="89" t="n"/>
      <c r="BH3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55">
        <f>_xlfn.LET(r,ROW(),oc,INDEX($A:$A,r),cv,TRIM(INDEX($Y:$Y,r)&amp;""),IF(oc&lt;&gt;"P1","",IF(cv="45","V45 - novo, nao alimentado pelo spool atual","V44 - alimentado pelo spool atual")))</f>
        <v/>
      </c>
    </row>
    <row r="356" ht="54" customFormat="1" customHeight="1" s="91">
      <c r="A356" s="306" t="inlineStr">
        <is>
          <t>P1</t>
        </is>
      </c>
      <c r="B356" s="307" t="n">
        <v>121</v>
      </c>
      <c r="C356" s="269" t="inlineStr">
        <is>
          <t>17 - Caractéristiques Titres</t>
        </is>
      </c>
      <c r="D356" s="310" t="inlineStr">
        <is>
          <t>17 - Securities characteristics</t>
        </is>
      </c>
      <c r="E356" s="307" t="inlineStr">
        <is>
          <t>P1 7.9</t>
        </is>
      </c>
      <c r="F356" s="1032" t="inlineStr">
        <is>
          <t>Jambe prêteuse du repo : indice dont les titres font partie</t>
        </is>
      </c>
      <c r="G356" s="309" t="inlineStr">
        <is>
          <t>Lending leg from repo: index to which the securities belong</t>
        </is>
      </c>
      <c r="H356" s="1493">
        <f>"RPAD( "&amp;SUBSTITUTE(SUBSTITUTE(E356," ","_"),".","_")&amp;","&amp;W356&amp;",' '); -- "&amp;E356</f>
        <v/>
      </c>
      <c r="I356" s="1033" t="inlineStr">
        <is>
          <t>Code de l'indice de la jambe prêteuse du repo : indice dont les titres font partie</t>
        </is>
      </c>
      <c r="J356" s="309" t="inlineStr">
        <is>
          <t>Index code from lending leg from repo: index to which the securities belong</t>
        </is>
      </c>
      <c r="K356" s="370" t="inlineStr">
        <is>
          <t>ND</t>
        </is>
      </c>
      <c r="L356" s="371" t="inlineStr">
        <is>
          <t>ND</t>
        </is>
      </c>
      <c r="M356" s="1420" t="inlineStr">
        <is>
          <t>cdIndTitreJamPret</t>
        </is>
      </c>
      <c r="N356" s="257" t="inlineStr">
        <is>
          <t>Obligatoire sous conditions</t>
        </is>
      </c>
      <c r="O356" s="236" t="inlineStr">
        <is>
          <t>Mandatory under conditions</t>
        </is>
      </c>
      <c r="P356" s="269" t="inlineStr">
        <is>
          <t>LC.0055</t>
        </is>
      </c>
      <c r="Q356" s="269" t="inlineStr">
        <is>
          <t>TA KVINDICE</t>
        </is>
      </c>
      <c r="R356" s="241" t="inlineStr">
        <is>
          <t>NA</t>
        </is>
      </c>
      <c r="S356" s="233" t="inlineStr">
        <is>
          <t>NA</t>
        </is>
      </c>
      <c r="T356" s="313" t="inlineStr">
        <is>
          <t>ALPHA</t>
        </is>
      </c>
      <c r="U356" s="237" t="inlineStr">
        <is>
          <t>NA</t>
        </is>
      </c>
      <c r="V356" s="238" t="inlineStr">
        <is>
          <t>NA</t>
        </is>
      </c>
      <c r="W356" s="257" t="n">
        <v>2</v>
      </c>
      <c r="X356" s="945" t="inlineStr">
        <is>
          <t>NA</t>
        </is>
      </c>
      <c r="Y356" s="237" t="n">
        <v>40</v>
      </c>
      <c r="Z356" s="237" t="inlineStr">
        <is>
          <t>NA</t>
        </is>
      </c>
      <c r="AA356" s="978" t="inlineStr">
        <is>
          <t>NA</t>
        </is>
      </c>
      <c r="AB356" s="994" t="inlineStr">
        <is>
          <t>CALCULS PRUDENTIELS, CONGLOMERATS, GRR</t>
        </is>
      </c>
      <c r="AC356" s="231" t="inlineStr">
        <is>
          <t>ND</t>
        </is>
      </c>
      <c r="AD356" s="257" t="inlineStr">
        <is>
          <t>N</t>
        </is>
      </c>
      <c r="AE356" s="1034" t="inlineStr">
        <is>
          <t>VAR302</t>
        </is>
      </c>
      <c r="AF356" s="257" t="inlineStr">
        <is>
          <t>NA</t>
        </is>
      </c>
      <c r="AG356" s="258" t="inlineStr">
        <is>
          <t>NA</t>
        </is>
      </c>
      <c r="AH356" s="89" t="n"/>
      <c r="AI356" s="501" t="inlineStr">
        <is>
          <t>La donnée est obligatoire si le type de risque [P1 2.0] est égal à 'VAR302' et la nature du sous-jacent de la jambe prêteuse [P1 7.7] est égale à '01'</t>
        </is>
      </c>
      <c r="AJ356" s="317" t="inlineStr">
        <is>
          <t>The data is mandatory if Risk type [P1 2.0] is equal to 'VAR302' and the Nature of underlying of the lending leg [P1 7.7] is equal to '01'</t>
        </is>
      </c>
      <c r="AK356" s="257" t="n">
        <v>6</v>
      </c>
      <c r="AL356" s="366" t="inlineStr">
        <is>
          <t>TPS0788</t>
        </is>
      </c>
      <c r="AM356" s="318" t="inlineStr">
        <is>
          <t>Si elle est renseignée, la valeur doit être connue du Langage Commun associé</t>
        </is>
      </c>
      <c r="AN356" s="317" t="inlineStr">
        <is>
          <t>If specified, the value must be known to the associated Common Language</t>
        </is>
      </c>
      <c r="AO356" s="257" t="n">
        <v>7</v>
      </c>
      <c r="AP356" s="212" t="inlineStr">
        <is>
          <t>TIG0001</t>
        </is>
      </c>
      <c r="AQ356" s="318" t="n"/>
      <c r="AR356" s="317" t="n"/>
      <c r="AS356" s="257" t="n"/>
      <c r="AT356" s="258" t="n"/>
      <c r="AU356" s="318" t="n"/>
      <c r="AV356" s="317" t="n"/>
      <c r="AW356" s="257" t="n"/>
      <c r="AX356" s="258" t="n"/>
      <c r="AY356" s="318" t="n"/>
      <c r="AZ356" s="317" t="n"/>
      <c r="BA356" s="257" t="n"/>
      <c r="BB356" s="258" t="n"/>
      <c r="BC356" s="316" t="n"/>
      <c r="BD356" s="317" t="n"/>
      <c r="BE356" s="257" t="n"/>
      <c r="BF356" s="258" t="n"/>
      <c r="BG356" s="89" t="n"/>
      <c r="BH3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56">
        <f>_xlfn.LET(r,ROW(),oc,INDEX($A:$A,r),cv,TRIM(INDEX($Y:$Y,r)&amp;""),IF(oc&lt;&gt;"P1","",IF(cv="45","V45 - novo, nao alimentado pelo spool atual","V44 - alimentado pelo spool atual")))</f>
        <v/>
      </c>
    </row>
    <row r="357" ht="54" customFormat="1" customHeight="1" s="91">
      <c r="A357" s="306" t="inlineStr">
        <is>
          <t>P1</t>
        </is>
      </c>
      <c r="B357" s="307" t="n">
        <v>122</v>
      </c>
      <c r="C357" s="269" t="inlineStr">
        <is>
          <t>17 - Caractéristiques Titres</t>
        </is>
      </c>
      <c r="D357" s="310" t="inlineStr">
        <is>
          <t>17 - Securities characteristics</t>
        </is>
      </c>
      <c r="E357" s="307" t="inlineStr">
        <is>
          <t>P1 7.10</t>
        </is>
      </c>
      <c r="F357" s="1032" t="inlineStr">
        <is>
          <t xml:space="preserve">Jambe prêteuse du repo : référence des titres </t>
        </is>
      </c>
      <c r="G357" s="309" t="inlineStr">
        <is>
          <t xml:space="preserve">Lending leg from repo: details of Securities </t>
        </is>
      </c>
      <c r="H357" s="1493">
        <f>"RPAD( "&amp;SUBSTITUTE(SUBSTITUTE(E357," ","_"),".","_")&amp;","&amp;W357&amp;",' '); -- "&amp;E357</f>
        <v/>
      </c>
      <c r="I357" s="1033" t="inlineStr">
        <is>
          <t>Code ISIN des titres de la jambe prêteuse du repo</t>
        </is>
      </c>
      <c r="J357" s="309" t="inlineStr">
        <is>
          <t xml:space="preserve"> ISIN code from lending leg from repo</t>
        </is>
      </c>
      <c r="K357" s="370" t="inlineStr">
        <is>
          <t>ND</t>
        </is>
      </c>
      <c r="L357" s="371" t="inlineStr">
        <is>
          <t>ND</t>
        </is>
      </c>
      <c r="M357" s="1420" t="inlineStr">
        <is>
          <t>cdRefTitreJamPret</t>
        </is>
      </c>
      <c r="N357" s="257" t="inlineStr">
        <is>
          <t>Obligatoire sous conditions</t>
        </is>
      </c>
      <c r="O357" s="310" t="inlineStr">
        <is>
          <t>Mandatory under conditions</t>
        </is>
      </c>
      <c r="P357" s="269" t="inlineStr">
        <is>
          <t>NA</t>
        </is>
      </c>
      <c r="Q357" s="269" t="inlineStr">
        <is>
          <t>NA</t>
        </is>
      </c>
      <c r="R357" s="241" t="inlineStr">
        <is>
          <t>NA</t>
        </is>
      </c>
      <c r="S357" s="233" t="inlineStr">
        <is>
          <t>NA</t>
        </is>
      </c>
      <c r="T357" s="313" t="inlineStr">
        <is>
          <t>ALPHA</t>
        </is>
      </c>
      <c r="U357" s="237" t="inlineStr">
        <is>
          <t>NA</t>
        </is>
      </c>
      <c r="V357" s="238" t="inlineStr">
        <is>
          <t>NA</t>
        </is>
      </c>
      <c r="W357" s="257" t="n">
        <v>12</v>
      </c>
      <c r="X357" s="945" t="inlineStr">
        <is>
          <t>NA</t>
        </is>
      </c>
      <c r="Y357" s="237" t="n">
        <v>40</v>
      </c>
      <c r="Z357" s="237" t="inlineStr">
        <is>
          <t>NA</t>
        </is>
      </c>
      <c r="AA357" s="270" t="inlineStr">
        <is>
          <t>45.00</t>
        </is>
      </c>
      <c r="AB357" s="932" t="inlineStr">
        <is>
          <t>AER, ALMM, CALCULS PRUDENTIELS, GRR, LIQUIDITE, MREL, PALMA, RISQUES SYSTEMIQUES</t>
        </is>
      </c>
      <c r="AC357" s="231" t="inlineStr">
        <is>
          <t>ND</t>
        </is>
      </c>
      <c r="AD357" s="257" t="inlineStr">
        <is>
          <t>N</t>
        </is>
      </c>
      <c r="AE357" s="1034" t="inlineStr">
        <is>
          <t>VAR105 et 302</t>
        </is>
      </c>
      <c r="AF357" s="257" t="inlineStr">
        <is>
          <t>NA</t>
        </is>
      </c>
      <c r="AG357" s="258" t="inlineStr">
        <is>
          <t>NA</t>
        </is>
      </c>
      <c r="AH357" s="89" t="n"/>
      <c r="AI357" s="501" t="inlineStr">
        <is>
          <t>La donnée est obligatoire si le type de risque [P1 2.0] est égal à 'VAR105' et la nature du sous-jacent de la jambe prêteuse [P1 7.7] est égale à (06, 07, 08, 09, 11)
---
La donnée est obligatoire si le type de risque [P1 2.0] est égal à 'VAR302' et la nature du sous-jacent de la jambe prêteuse [P1 7.7] est égale à '01'</t>
        </is>
      </c>
      <c r="AJ357" s="317" t="inlineStr">
        <is>
          <t>The data is mandatory if Risk type [P1 2.0] is equal to 'VAR105' and the Nature of underlying of the lending leg [P1 7.7] is equal to (06, 07, 08, 09, 11)
---
The data is mandatory if Risk type [P1 2.0] is equal to 'VAR302' and the Nature of underlying of the lending leg [P1 7.7] is equal to '01'</t>
        </is>
      </c>
      <c r="AK357" s="958" t="n">
        <v>7</v>
      </c>
      <c r="AL357" s="378" t="inlineStr">
        <is>
          <t>TPS0789
TPS0788</t>
        </is>
      </c>
      <c r="AM357" s="318" t="n"/>
      <c r="AN357" s="317" t="n"/>
      <c r="AO357" s="257" t="n"/>
      <c r="AP357" s="258" t="n"/>
      <c r="AQ357" s="502" t="inlineStr">
        <is>
          <t>Si la donnée est renseignée, alors la donnée doit commencer par 2 caractères alphabétiques et avoir une longueur de 12 caractères avec un caractère numérique pour le dernier caractère ET la donnée doit être validée comme un code ISIN à l'aide de l'algorithme de Luhn</t>
        </is>
      </c>
      <c r="AR357" s="317" t="inlineStr">
        <is>
          <t>If filled, then the data must start with 2 alphabetic characters and have a length of 12 characters with a numeric character for the last character AND the data must be validated as an ISIN code using the Luhn algorithm</t>
        </is>
      </c>
      <c r="AS357" s="257" t="n">
        <v>6</v>
      </c>
      <c r="AT357" s="503" t="inlineStr">
        <is>
          <t>TVG0006</t>
        </is>
      </c>
      <c r="AU357" s="318" t="n"/>
      <c r="AV357" s="317" t="n"/>
      <c r="AW357" s="257" t="n"/>
      <c r="AX357" s="258" t="n"/>
      <c r="AY357" s="318" t="n"/>
      <c r="AZ357" s="317" t="n"/>
      <c r="BA357" s="257" t="n"/>
      <c r="BB357" s="258" t="n"/>
      <c r="BC357" s="316" t="n"/>
      <c r="BD357" s="317" t="n"/>
      <c r="BE357" s="257" t="n"/>
      <c r="BF357" s="258" t="n"/>
      <c r="BG357" s="89" t="n"/>
      <c r="BH3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57">
        <f>_xlfn.LET(r,ROW(),oc,INDEX($A:$A,r),cv,TRIM(INDEX($Y:$Y,r)&amp;""),IF(oc&lt;&gt;"P1","",IF(cv="45","V45 - novo, nao alimentado pelo spool atual","V44 - alimentado pelo spool atual")))</f>
        <v/>
      </c>
    </row>
    <row r="358" ht="54" customFormat="1" customHeight="1" s="91">
      <c r="A358" s="306" t="inlineStr">
        <is>
          <t>P1</t>
        </is>
      </c>
      <c r="B358" s="307" t="n">
        <v>123</v>
      </c>
      <c r="C358" s="269" t="inlineStr">
        <is>
          <t>17 - Caractéristiques Titres</t>
        </is>
      </c>
      <c r="D358" s="310" t="inlineStr">
        <is>
          <t>17 - Securities characteristics</t>
        </is>
      </c>
      <c r="E358" s="307" t="inlineStr">
        <is>
          <t>P1 7.11</t>
        </is>
      </c>
      <c r="F358" s="1032" t="inlineStr">
        <is>
          <t>Jambe prêteuse du repo : échelon de qualité de crédit des titres</t>
        </is>
      </c>
      <c r="G358" s="309" t="inlineStr">
        <is>
          <t>Lending leg from repo: Credit quality level of securities</t>
        </is>
      </c>
      <c r="H358" s="1493">
        <f>"RPAD( "&amp;SUBSTITUTE(SUBSTITUTE(E358," ","_"),".","_")&amp;","&amp;W358&amp;",' '); -- "&amp;E358</f>
        <v/>
      </c>
      <c r="I358" s="1033" t="inlineStr">
        <is>
          <t>Correspond à l'échelon de qualité de crédit des titres de la jambe prêteuse du repo</t>
        </is>
      </c>
      <c r="J358" s="309" t="inlineStr">
        <is>
          <t>Securities' credit quality level from lending leg from repo</t>
        </is>
      </c>
      <c r="K358" s="370" t="inlineStr">
        <is>
          <t>ND</t>
        </is>
      </c>
      <c r="L358" s="371" t="inlineStr">
        <is>
          <t>ND</t>
        </is>
      </c>
      <c r="M358" s="1420" t="inlineStr">
        <is>
          <t>cdEchelQualTitreJamPret</t>
        </is>
      </c>
      <c r="N358" s="257" t="inlineStr">
        <is>
          <t>Obligatoire sous conditions</t>
        </is>
      </c>
      <c r="O358" s="236" t="inlineStr">
        <is>
          <t>Mandatory under conditions</t>
        </is>
      </c>
      <c r="P358" s="269" t="inlineStr">
        <is>
          <t>LC.0178</t>
        </is>
      </c>
      <c r="Q358" s="269" t="inlineStr">
        <is>
          <t>TA KVECHLON</t>
        </is>
      </c>
      <c r="R358" s="241" t="inlineStr">
        <is>
          <t>NA</t>
        </is>
      </c>
      <c r="S358" s="233" t="inlineStr">
        <is>
          <t>NA</t>
        </is>
      </c>
      <c r="T358" s="313" t="inlineStr">
        <is>
          <t>ALPHA</t>
        </is>
      </c>
      <c r="U358" s="237" t="inlineStr">
        <is>
          <t>NA</t>
        </is>
      </c>
      <c r="V358" s="238" t="inlineStr">
        <is>
          <t>NA</t>
        </is>
      </c>
      <c r="W358" s="257" t="n">
        <v>1</v>
      </c>
      <c r="X358" s="945" t="inlineStr">
        <is>
          <t>NA</t>
        </is>
      </c>
      <c r="Y358" s="237" t="n">
        <v>40</v>
      </c>
      <c r="Z358" s="237" t="inlineStr">
        <is>
          <t>NA</t>
        </is>
      </c>
      <c r="AA358" s="270" t="inlineStr">
        <is>
          <t>NA</t>
        </is>
      </c>
      <c r="AB358" s="994" t="inlineStr">
        <is>
          <t>CALCULS PRUDENTIELS, GRR</t>
        </is>
      </c>
      <c r="AC358" s="231" t="inlineStr">
        <is>
          <t>ND</t>
        </is>
      </c>
      <c r="AD358" s="257" t="inlineStr">
        <is>
          <t>N</t>
        </is>
      </c>
      <c r="AE358" s="1034" t="inlineStr">
        <is>
          <t>VAR105 et 302</t>
        </is>
      </c>
      <c r="AF358" s="257" t="inlineStr">
        <is>
          <t>NA</t>
        </is>
      </c>
      <c r="AG358" s="258" t="inlineStr">
        <is>
          <t>NA</t>
        </is>
      </c>
      <c r="AH358" s="89" t="n"/>
      <c r="AI358" s="501" t="inlineStr">
        <is>
          <t>La donnée est obligatoire si le type de risque [P1 2.0] est égal à 'VAR105' et la nature du sous-jacent de la jambe prêteuse [P1 7.7] est égale à (06, 07, 08, 09, 11)
---
La donnée est obligatoire si le type de risque [P1 2.0] est égal à 'VAR302' et la nature du sous-jacent de la jambe prêteuse [P1 7.7] est égale à '01'</t>
        </is>
      </c>
      <c r="AJ358" s="317" t="inlineStr">
        <is>
          <t>The data is mandatory if Risk type [P1 2.0] is equal to 'VAR105' and the Nature of underlying of the lending leg [P1 7.7] is equal to (06, 07, 08, 09, 11)
---
The data is mandatory if Risk type [P1 2.0] is equal to 'VAR302' and the Nature of underlying of the lending leg [P1 7.7] is equal to '01'</t>
        </is>
      </c>
      <c r="AK358" s="257" t="n">
        <v>6</v>
      </c>
      <c r="AL358" s="378" t="inlineStr">
        <is>
          <t>TPS0789
TPS0788</t>
        </is>
      </c>
      <c r="AM358" s="318" t="inlineStr">
        <is>
          <t>Si elle est renseignée, la valeur doit être connue du Langage Commun associé</t>
        </is>
      </c>
      <c r="AN358" s="317" t="inlineStr">
        <is>
          <t>If specified, the value must be known to the associated Common Language</t>
        </is>
      </c>
      <c r="AO358" s="257" t="n">
        <v>7</v>
      </c>
      <c r="AP358" s="212" t="inlineStr">
        <is>
          <t>TIG0001</t>
        </is>
      </c>
      <c r="AQ358" s="318" t="n"/>
      <c r="AR358" s="317" t="n"/>
      <c r="AS358" s="257" t="n"/>
      <c r="AT358" s="258" t="n"/>
      <c r="AU358" s="318" t="n"/>
      <c r="AV358" s="317" t="n"/>
      <c r="AW358" s="257" t="n"/>
      <c r="AX358" s="258" t="n"/>
      <c r="AY358" s="318" t="n"/>
      <c r="AZ358" s="317" t="n"/>
      <c r="BA358" s="257" t="n"/>
      <c r="BB358" s="258" t="n"/>
      <c r="BC358" s="316" t="n"/>
      <c r="BD358" s="317" t="n"/>
      <c r="BE358" s="257" t="n"/>
      <c r="BF358" s="258" t="n"/>
      <c r="BG358" s="89" t="n"/>
      <c r="BH3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58">
        <f>_xlfn.LET(r,ROW(),oc,INDEX($A:$A,r),cv,TRIM(INDEX($Y:$Y,r)&amp;""),IF(oc&lt;&gt;"P1","",IF(cv="45","V45 - novo, nao alimentado pelo spool atual","V44 - alimentado pelo spool atual")))</f>
        <v/>
      </c>
    </row>
    <row r="359" ht="54" customFormat="1" customHeight="1" s="91">
      <c r="A359" s="306" t="inlineStr">
        <is>
          <t>P1</t>
        </is>
      </c>
      <c r="B359" s="307" t="n">
        <v>124</v>
      </c>
      <c r="C359" s="269" t="inlineStr">
        <is>
          <t>14 - Caractéristiques Sous-jacent</t>
        </is>
      </c>
      <c r="D359" s="310" t="inlineStr">
        <is>
          <t>14 - Underlying characteristics</t>
        </is>
      </c>
      <c r="E359" s="307" t="inlineStr">
        <is>
          <t>P1 7.12</t>
        </is>
      </c>
      <c r="F359" s="1032" t="inlineStr">
        <is>
          <t>Jambe prêteuse du repo : échéance du titre sous-jacent</t>
        </is>
      </c>
      <c r="G359" s="309" t="inlineStr">
        <is>
          <t>Lending leg from repo: maturity of underlying security</t>
        </is>
      </c>
      <c r="H359" s="1493">
        <f>"RPAD( "&amp;SUBSTITUTE(SUBSTITUTE(E359," ","_"),".","_")&amp;","&amp;W359&amp;",' '); -- "&amp;E359</f>
        <v/>
      </c>
      <c r="I359" s="1033" t="inlineStr">
        <is>
          <t>Date d'échéance du titre sous-jacent de la jambe prêteuse du repo</t>
        </is>
      </c>
      <c r="J359" s="309" t="inlineStr">
        <is>
          <t>Underlying security's maturity date from lending leg from repo</t>
        </is>
      </c>
      <c r="K359" s="370" t="inlineStr">
        <is>
          <t>ND</t>
        </is>
      </c>
      <c r="L359" s="371" t="inlineStr">
        <is>
          <t>ND</t>
        </is>
      </c>
      <c r="M359" s="1420" t="inlineStr">
        <is>
          <t>cdEcheaTitreJamPret</t>
        </is>
      </c>
      <c r="N359" s="257" t="inlineStr">
        <is>
          <t>Obligatoire sous conditions</t>
        </is>
      </c>
      <c r="O359" s="236" t="inlineStr">
        <is>
          <t>Mandatory under conditions</t>
        </is>
      </c>
      <c r="P359" s="269" t="inlineStr">
        <is>
          <t>NA</t>
        </is>
      </c>
      <c r="Q359" s="269" t="inlineStr">
        <is>
          <t>NA</t>
        </is>
      </c>
      <c r="R359" s="241" t="inlineStr">
        <is>
          <t>NA</t>
        </is>
      </c>
      <c r="S359" s="233" t="inlineStr">
        <is>
          <t>NA</t>
        </is>
      </c>
      <c r="T359" s="206" t="inlineStr">
        <is>
          <t>DATE</t>
        </is>
      </c>
      <c r="U359" s="237" t="inlineStr">
        <is>
          <t>AAAAMMJJ</t>
        </is>
      </c>
      <c r="V359" s="238" t="inlineStr">
        <is>
          <t>YYYYMMDD</t>
        </is>
      </c>
      <c r="W359" s="257" t="n">
        <v>8</v>
      </c>
      <c r="X359" s="945" t="inlineStr">
        <is>
          <t>NA</t>
        </is>
      </c>
      <c r="Y359" s="237" t="n">
        <v>40</v>
      </c>
      <c r="Z359" s="237" t="inlineStr">
        <is>
          <t>NA</t>
        </is>
      </c>
      <c r="AA359" s="270" t="inlineStr">
        <is>
          <t>NA</t>
        </is>
      </c>
      <c r="AB359" s="994" t="inlineStr">
        <is>
          <t>AER, CALCULS PRUDENTIELS, GRR</t>
        </is>
      </c>
      <c r="AC359" s="231" t="inlineStr">
        <is>
          <t>ND</t>
        </is>
      </c>
      <c r="AD359" s="257" t="inlineStr">
        <is>
          <t>N</t>
        </is>
      </c>
      <c r="AE359" s="1034" t="inlineStr">
        <is>
          <t>VAR105</t>
        </is>
      </c>
      <c r="AF359" s="257" t="inlineStr">
        <is>
          <t>NA</t>
        </is>
      </c>
      <c r="AG359" s="258" t="inlineStr">
        <is>
          <t>NA</t>
        </is>
      </c>
      <c r="AH359" s="89" t="n"/>
      <c r="AI359" s="501" t="inlineStr">
        <is>
          <t>La donnée est obligatoire si le type de risque [P1 2.0] est égal à 'VAR105' et la nature du sous-jacent de la jambe prêteuse [P1 7.7] est égale à (06, 07, 08, 09, 11)</t>
        </is>
      </c>
      <c r="AJ359" s="317" t="inlineStr">
        <is>
          <t>The data is mandatory if Risk type [P1 2.0] is equal to 'VAR105' and the Nature of underlying of the lending leg [P1 7.7] is equal to (06, 07, 08, 09, 11)</t>
        </is>
      </c>
      <c r="AK359" s="257" t="n">
        <v>6</v>
      </c>
      <c r="AL359" s="366" t="inlineStr">
        <is>
          <t>TPS0789</t>
        </is>
      </c>
      <c r="AM359" s="318" t="n"/>
      <c r="AN359" s="317" t="n"/>
      <c r="AO359" s="257" t="n"/>
      <c r="AP359" s="258" t="n"/>
      <c r="AQ359" s="362" t="inlineStr">
        <is>
          <t>Si la donnée est renseignée et si l'année de la date est égale à '9999', alors la donnée doit être égale à '99990630'</t>
        </is>
      </c>
      <c r="AR359" s="317" t="inlineStr">
        <is>
          <t>If filled, and if the year of the date = '9999', then the data must be equal to '99990630'</t>
        </is>
      </c>
      <c r="AS359" s="257" t="n">
        <v>7</v>
      </c>
      <c r="AT359" s="359" t="inlineStr">
        <is>
          <t>TVG0008</t>
        </is>
      </c>
      <c r="AU359" s="318" t="n"/>
      <c r="AV359" s="317" t="n"/>
      <c r="AW359" s="257" t="n"/>
      <c r="AX359" s="258" t="n"/>
      <c r="AY359" s="318" t="n"/>
      <c r="AZ359" s="317" t="n"/>
      <c r="BA359" s="257" t="n"/>
      <c r="BB359" s="258" t="n"/>
      <c r="BC359" s="316" t="n"/>
      <c r="BD359" s="317" t="n"/>
      <c r="BE359" s="257" t="n"/>
      <c r="BF359" s="258" t="n"/>
      <c r="BG359" s="89" t="n"/>
      <c r="BH3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59">
        <f>_xlfn.LET(r,ROW(),oc,INDEX($A:$A,r),cv,TRIM(INDEX($Y:$Y,r)&amp;""),IF(oc&lt;&gt;"P1","",IF(cv="45","V45 - novo, nao alimentado pelo spool atual","V44 - alimentado pelo spool atual")))</f>
        <v/>
      </c>
    </row>
    <row r="360" ht="54" customFormat="1" customHeight="1" s="91">
      <c r="A360" s="306" t="inlineStr">
        <is>
          <t>P1</t>
        </is>
      </c>
      <c r="B360" s="307" t="n">
        <v>125</v>
      </c>
      <c r="C360" s="269" t="inlineStr">
        <is>
          <t>17 - Caractéristiques Titres</t>
        </is>
      </c>
      <c r="D360" s="310" t="inlineStr">
        <is>
          <t>17 - Securities characteristics</t>
        </is>
      </c>
      <c r="E360" s="307" t="inlineStr">
        <is>
          <t>P1 7.13</t>
        </is>
      </c>
      <c r="F360" s="1032" t="inlineStr">
        <is>
          <t>Jambe prêteuse du repo : identifiant local de l'émetteur des titres</t>
        </is>
      </c>
      <c r="G360" s="309" t="inlineStr">
        <is>
          <t>Lending leg from repo: local ID of issuer of securities</t>
        </is>
      </c>
      <c r="H360" s="1493">
        <f>"RPAD( "&amp;SUBSTITUTE(SUBSTITUTE(E360," ","_"),".","_")&amp;","&amp;W360&amp;",' '); -- "&amp;E360</f>
        <v/>
      </c>
      <c r="I360" s="1033" t="inlineStr">
        <is>
          <t xml:space="preserve">Identifiant local de l'émetteur des titres dans le système utilisé pour générer le flux de la jambe prêteuse du repo </t>
        </is>
      </c>
      <c r="J360" s="309" t="inlineStr">
        <is>
          <t>Local identifier of the securities' issuer in the local system used to generate the flow from lending leg from repo</t>
        </is>
      </c>
      <c r="K360" s="370" t="inlineStr">
        <is>
          <t>ND</t>
        </is>
      </c>
      <c r="L360" s="371" t="inlineStr">
        <is>
          <t>ND</t>
        </is>
      </c>
      <c r="M360" s="1420" t="inlineStr">
        <is>
          <t>idLocalEmetTitreJamPret</t>
        </is>
      </c>
      <c r="N360" s="257" t="inlineStr">
        <is>
          <t>Obligatoire sous conditions</t>
        </is>
      </c>
      <c r="O360" s="236" t="inlineStr">
        <is>
          <t>Mandatory under conditions</t>
        </is>
      </c>
      <c r="P360" s="269" t="inlineStr">
        <is>
          <t>NA</t>
        </is>
      </c>
      <c r="Q360" s="269" t="inlineStr">
        <is>
          <t>NA</t>
        </is>
      </c>
      <c r="R360" s="241" t="inlineStr">
        <is>
          <t>NA</t>
        </is>
      </c>
      <c r="S360" s="233" t="inlineStr">
        <is>
          <t>NA</t>
        </is>
      </c>
      <c r="T360" s="313" t="inlineStr">
        <is>
          <t>ALPHA</t>
        </is>
      </c>
      <c r="U360" s="237" t="inlineStr">
        <is>
          <t>NA</t>
        </is>
      </c>
      <c r="V360" s="238" t="inlineStr">
        <is>
          <t>NA</t>
        </is>
      </c>
      <c r="W360" s="257" t="n">
        <v>20</v>
      </c>
      <c r="X360" s="945" t="inlineStr">
        <is>
          <t>NA</t>
        </is>
      </c>
      <c r="Y360" s="237" t="n">
        <v>40</v>
      </c>
      <c r="Z360" s="237" t="inlineStr">
        <is>
          <t>NA</t>
        </is>
      </c>
      <c r="AA360" s="270" t="inlineStr">
        <is>
          <t>NA</t>
        </is>
      </c>
      <c r="AB360" s="994" t="inlineStr">
        <is>
          <t>AER, CONGLOMERATS, GRR</t>
        </is>
      </c>
      <c r="AC360" s="231" t="inlineStr">
        <is>
          <t>ND</t>
        </is>
      </c>
      <c r="AD360" s="257" t="inlineStr">
        <is>
          <t>N</t>
        </is>
      </c>
      <c r="AE360" s="1034" t="inlineStr">
        <is>
          <t>VAR105 et 302</t>
        </is>
      </c>
      <c r="AF360" s="257" t="inlineStr">
        <is>
          <t>NA</t>
        </is>
      </c>
      <c r="AG360" s="258" t="inlineStr">
        <is>
          <t>NA</t>
        </is>
      </c>
      <c r="AH360" s="89" t="n"/>
      <c r="AI360" s="501" t="inlineStr">
        <is>
          <t>La donnée est obligatoire si le type de risque [P1 2.0] est égal à 'VAR105', 'VAR302' et la nature du sous-jacent de la jambe prêteuse [P1 7.7] est égale à (01, 06, 07, 08, 09, 11)</t>
        </is>
      </c>
      <c r="AJ360" s="317" t="inlineStr">
        <is>
          <t>The data is mandatory if Risk type [P1 2.0] is equal to 'VAR105', 'VAR302' and the Nature of underlying of the lending leg [P1 7.7] is equal to (01, 06, 07, 08, 09, 11)</t>
        </is>
      </c>
      <c r="AK360" s="257" t="n">
        <v>6</v>
      </c>
      <c r="AL360" s="447" t="inlineStr">
        <is>
          <t>TPS0787</t>
        </is>
      </c>
      <c r="AM360" s="318" t="n"/>
      <c r="AN360" s="317" t="n"/>
      <c r="AO360" s="257" t="n"/>
      <c r="AP360" s="258" t="n"/>
      <c r="AQ360" s="318" t="n"/>
      <c r="AR360" s="317" t="n"/>
      <c r="AS360" s="257" t="n"/>
      <c r="AT360" s="258" t="n"/>
      <c r="AU360" s="318" t="n"/>
      <c r="AV360" s="317" t="n"/>
      <c r="AW360" s="257" t="n"/>
      <c r="AX360" s="258" t="n"/>
      <c r="AY360" s="337" t="inlineStr">
        <is>
          <t>Le tiers doit exister (présence du tiers dans TIGRE)</t>
        </is>
      </c>
      <c r="AZ360" s="317" t="inlineStr">
        <is>
          <t>The third-party must exist (presence of the third-party in TIGRE)</t>
        </is>
      </c>
      <c r="BA360" s="257" t="n">
        <v>7</v>
      </c>
      <c r="BB360" s="352" t="inlineStr">
        <is>
          <t>TIG0002</t>
        </is>
      </c>
      <c r="BC360" s="316" t="n"/>
      <c r="BD360" s="317" t="n"/>
      <c r="BE360" s="257" t="n"/>
      <c r="BF360" s="258" t="n"/>
      <c r="BG360" s="89" t="n"/>
      <c r="BH3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60">
        <f>_xlfn.LET(r,ROW(),oc,INDEX($A:$A,r),cv,TRIM(INDEX($Y:$Y,r)&amp;""),IF(oc&lt;&gt;"P1","",IF(cv="45","V45 - novo, nao alimentado pelo spool atual","V44 - alimentado pelo spool atual")))</f>
        <v/>
      </c>
    </row>
    <row r="361" ht="54" customFormat="1" customHeight="1" s="91">
      <c r="A361" s="306" t="inlineStr">
        <is>
          <t>P1</t>
        </is>
      </c>
      <c r="B361" s="307" t="n">
        <v>126</v>
      </c>
      <c r="C361" s="269" t="inlineStr">
        <is>
          <t>17 - Caractéristiques Titres</t>
        </is>
      </c>
      <c r="D361" s="310" t="inlineStr">
        <is>
          <t>17 - Securities characteristics</t>
        </is>
      </c>
      <c r="E361" s="307" t="inlineStr">
        <is>
          <t>P1 7.14</t>
        </is>
      </c>
      <c r="F361" s="1032" t="inlineStr">
        <is>
          <t>Jambe prêteuse du repo : identifiant central de l'émetteur des titres</t>
        </is>
      </c>
      <c r="G361" s="309" t="inlineStr">
        <is>
          <t>Lending leg from repo: central ID of issuer of securities</t>
        </is>
      </c>
      <c r="H361" s="1493">
        <f>"RPAD( "&amp;SUBSTITUTE(SUBSTITUTE(E361," ","_"),".","_")&amp;","&amp;W361&amp;",' '); -- "&amp;E361</f>
        <v/>
      </c>
      <c r="I361" s="1033" t="inlineStr">
        <is>
          <t>Identifiant de l'émetteur des titres dans le système central DRG de la jambe prêteuse du repo</t>
        </is>
      </c>
      <c r="J361" s="309" t="inlineStr">
        <is>
          <t>Identifier of the securities' issuer in the central DRG system from lending leg from repo</t>
        </is>
      </c>
      <c r="K361" s="370" t="inlineStr">
        <is>
          <t>ND</t>
        </is>
      </c>
      <c r="L361" s="371" t="inlineStr">
        <is>
          <t>ND</t>
        </is>
      </c>
      <c r="M361" s="1420" t="inlineStr">
        <is>
          <t>idCentralEmetTitreJamPret</t>
        </is>
      </c>
      <c r="N361" s="257" t="inlineStr">
        <is>
          <t>Facultatif</t>
        </is>
      </c>
      <c r="O361" s="236" t="inlineStr">
        <is>
          <t>Optional</t>
        </is>
      </c>
      <c r="P361" s="269" t="inlineStr">
        <is>
          <t>NA</t>
        </is>
      </c>
      <c r="Q361" s="269" t="inlineStr">
        <is>
          <t>NA</t>
        </is>
      </c>
      <c r="R361" s="241" t="inlineStr">
        <is>
          <t>Obligatoire uniquement si Nature du sous-jacent (P1 7.7) de la jambe prêteuse est un titre</t>
        </is>
      </c>
      <c r="S361" s="233" t="inlineStr">
        <is>
          <t>Mandatory only if Nature of the underlying (P1 7.7) of the lender leg is a security</t>
        </is>
      </c>
      <c r="T361" s="313" t="inlineStr">
        <is>
          <t>ALPHA</t>
        </is>
      </c>
      <c r="U361" s="237" t="inlineStr">
        <is>
          <t>NA</t>
        </is>
      </c>
      <c r="V361" s="238" t="inlineStr">
        <is>
          <t>NA</t>
        </is>
      </c>
      <c r="W361" s="257" t="n">
        <v>10</v>
      </c>
      <c r="X361" s="945" t="inlineStr">
        <is>
          <t>NA</t>
        </is>
      </c>
      <c r="Y361" s="237" t="n">
        <v>40</v>
      </c>
      <c r="Z361" s="237" t="inlineStr">
        <is>
          <t>NA</t>
        </is>
      </c>
      <c r="AA361" s="270" t="inlineStr">
        <is>
          <t>45.00</t>
        </is>
      </c>
      <c r="AB361" s="994" t="inlineStr">
        <is>
          <t>AER, ASTRE, CALCULS PRUDENTIELS, CONGLOMERATS, GRR</t>
        </is>
      </c>
      <c r="AC361" s="231" t="inlineStr">
        <is>
          <t>ND</t>
        </is>
      </c>
      <c r="AD361" s="257" t="inlineStr">
        <is>
          <t>N</t>
        </is>
      </c>
      <c r="AE361" s="1034" t="inlineStr">
        <is>
          <t>VAR105 et 302</t>
        </is>
      </c>
      <c r="AF361" s="257" t="inlineStr">
        <is>
          <t>NA</t>
        </is>
      </c>
      <c r="AG361" s="258" t="inlineStr">
        <is>
          <t>NA</t>
        </is>
      </c>
      <c r="AH361" s="89" t="n"/>
      <c r="AI361" s="316" t="n"/>
      <c r="AJ361" s="317" t="n"/>
      <c r="AK361" s="257" t="n"/>
      <c r="AL361" s="258" t="n"/>
      <c r="AM361" s="318" t="n"/>
      <c r="AN361" s="317" t="n"/>
      <c r="AO361" s="257" t="n"/>
      <c r="AP361" s="258" t="n"/>
      <c r="AQ361" s="318" t="n"/>
      <c r="AR361" s="317" t="n"/>
      <c r="AS361" s="257" t="n"/>
      <c r="AT361" s="258" t="n"/>
      <c r="AU361" s="318" t="n"/>
      <c r="AV361" s="317" t="n"/>
      <c r="AW361" s="257" t="n"/>
      <c r="AX361" s="258" t="n"/>
      <c r="AY361" s="1180" t="inlineStr">
        <is>
          <t>S'il est renseigné, l'identifiant doit correspondre à un enregistrement dans l'objet associé, indépendamment de l'entité
---
La donnée doit être présente dans TIGRE
---
Le couple identifiant local / central (P1 7.13 et P1 7.14) doit exister dans TIGRE</t>
        </is>
      </c>
      <c r="AZ361" s="931" t="inlineStr">
        <is>
          <t>If it is filled in, the identifier must correspond to a record in the associated object, regardless of the entity
---
Data must be present in TIGRE
---
The local/central identifier pair (P1 7.13 and P1 7.14) must exist in TIGRE</t>
        </is>
      </c>
      <c r="BA361" s="1181" t="inlineStr">
        <is>
          <t>7
6
6</t>
        </is>
      </c>
      <c r="BB361" s="1182" t="inlineStr">
        <is>
          <t>TI0003
TIG0002
TIG0004</t>
        </is>
      </c>
      <c r="BC361" s="316" t="n"/>
      <c r="BD361" s="317" t="n"/>
      <c r="BE361" s="257" t="n"/>
      <c r="BF361" s="258" t="n"/>
      <c r="BG361" s="89" t="n"/>
      <c r="BH3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61">
        <f>_xlfn.LET(r,ROW(),oc,INDEX($A:$A,r),cv,TRIM(INDEX($Y:$Y,r)&amp;""),IF(oc&lt;&gt;"P1","",IF(cv="45","V45 - novo, nao alimentado pelo spool atual","V44 - alimentado pelo spool atual")))</f>
        <v/>
      </c>
    </row>
    <row r="362" ht="54" customFormat="1" customHeight="1" s="91">
      <c r="A362" s="306" t="inlineStr">
        <is>
          <t>P1</t>
        </is>
      </c>
      <c r="B362" s="307" t="n">
        <v>127</v>
      </c>
      <c r="C362" s="269" t="inlineStr">
        <is>
          <t>05 - Caractéristiques Cessions temporaires de titres</t>
        </is>
      </c>
      <c r="D362" s="310" t="inlineStr">
        <is>
          <t>05 - Temporary Assignment characteristics of securities</t>
        </is>
      </c>
      <c r="E362" s="307" t="inlineStr">
        <is>
          <t>P1 7.3</t>
        </is>
      </c>
      <c r="F362" s="1253" t="inlineStr">
        <is>
          <t>Montant Mark-to-Market (MtM) de la jambe emprunteuse du repo</t>
        </is>
      </c>
      <c r="G362" s="309" t="inlineStr">
        <is>
          <t>Amount of Mark-to-Market (MtM) of the borrowing leg from repo</t>
        </is>
      </c>
      <c r="H362" s="1493">
        <f>"RPAD( "&amp;SUBSTITUTE(SUBSTITUTE(E362," ","_"),".","_")&amp;","&amp;W362&amp;",' '); -- "&amp;E362</f>
        <v/>
      </c>
      <c r="I362" s="1253" t="inlineStr">
        <is>
          <t>Montant Mark-to-Market (MtM) de la jambe emprunteuse du repo</t>
        </is>
      </c>
      <c r="J362" s="309" t="inlineStr">
        <is>
          <t>Mark-to-Market amount of the borrowing leg from repo</t>
        </is>
      </c>
      <c r="K362" s="370" t="inlineStr">
        <is>
          <t>ND</t>
        </is>
      </c>
      <c r="L362" s="371" t="inlineStr">
        <is>
          <t>ND</t>
        </is>
      </c>
      <c r="M362" s="1420" t="inlineStr">
        <is>
          <t>mtMtMJamEmpr</t>
        </is>
      </c>
      <c r="N362" s="257" t="inlineStr">
        <is>
          <t>Obligatoire sous conditions</t>
        </is>
      </c>
      <c r="O362" s="236" t="inlineStr">
        <is>
          <t>Mandatory under conditions</t>
        </is>
      </c>
      <c r="P362" s="269" t="inlineStr">
        <is>
          <t>NA</t>
        </is>
      </c>
      <c r="Q362" s="269" t="inlineStr">
        <is>
          <t>NA</t>
        </is>
      </c>
      <c r="R362" s="693" t="inlineStr">
        <is>
          <t xml:space="preserve">En cas de prêt sec de titres, le montant doit être égal à zéro </t>
        </is>
      </c>
      <c r="S362" s="489" t="inlineStr">
        <is>
          <t>In the case of dry securities lending, the amount must be zero</t>
        </is>
      </c>
      <c r="T362" s="313" t="inlineStr">
        <is>
          <t>NUM</t>
        </is>
      </c>
      <c r="U362" s="237" t="inlineStr">
        <is>
          <t>19 dont signe et 2 décimales</t>
        </is>
      </c>
      <c r="V362" s="238" t="inlineStr">
        <is>
          <t>19 including sign and 2 decimals</t>
        </is>
      </c>
      <c r="W362" s="257" t="n">
        <v>19</v>
      </c>
      <c r="X362" s="945" t="inlineStr">
        <is>
          <t>NA</t>
        </is>
      </c>
      <c r="Y362" s="237" t="n">
        <v>40</v>
      </c>
      <c r="Z362" s="237" t="inlineStr">
        <is>
          <t>NA</t>
        </is>
      </c>
      <c r="AA362" s="270" t="inlineStr">
        <is>
          <t>45.00</t>
        </is>
      </c>
      <c r="AB362" s="932" t="inlineStr">
        <is>
          <t>AER, ALMM, ANACREDIT, CALCULS PRUDENTIELS, DEI, GRR, LIQUIDITE, MREL, PALMA, RISQUES SYSTEMIQUES</t>
        </is>
      </c>
      <c r="AC362" s="231" t="inlineStr">
        <is>
          <t>ND</t>
        </is>
      </c>
      <c r="AD362" s="257" t="inlineStr">
        <is>
          <t>N</t>
        </is>
      </c>
      <c r="AE362" s="1034" t="inlineStr">
        <is>
          <t>VAR105 et 302</t>
        </is>
      </c>
      <c r="AF362" s="257" t="inlineStr">
        <is>
          <t>NA</t>
        </is>
      </c>
      <c r="AG362" s="258" t="inlineStr">
        <is>
          <t>NA</t>
        </is>
      </c>
      <c r="AH362" s="89" t="n"/>
      <c r="AI362" s="472" t="inlineStr">
        <is>
          <t>La donnée est obligatoire si le type de risque [P1 2.0] = 'VAR105','VAR302'</t>
        </is>
      </c>
      <c r="AJ362" s="317" t="inlineStr">
        <is>
          <t>The data is mandatory if Risk type [P1 2.0] = 'VAR105','VAR302'</t>
        </is>
      </c>
      <c r="AK362" s="257" t="n">
        <v>7</v>
      </c>
      <c r="AL362" s="366" t="inlineStr">
        <is>
          <t>TPS0786</t>
        </is>
      </c>
      <c r="AM362" s="318" t="n"/>
      <c r="AN362" s="317" t="n"/>
      <c r="AO362" s="257" t="n"/>
      <c r="AP362" s="258" t="n"/>
      <c r="AQ362" s="318" t="n"/>
      <c r="AR362" s="317" t="n"/>
      <c r="AS362" s="257" t="n"/>
      <c r="AT362" s="258" t="n"/>
      <c r="AU362" s="318" t="n"/>
      <c r="AV362" s="317" t="n"/>
      <c r="AW362" s="257" t="n"/>
      <c r="AX362" s="258" t="n"/>
      <c r="AY362" s="318" t="n"/>
      <c r="AZ362" s="317" t="n"/>
      <c r="BA362" s="257" t="n"/>
      <c r="BB362" s="258" t="n"/>
      <c r="BC362" s="316" t="n"/>
      <c r="BD362" s="317" t="n"/>
      <c r="BE362" s="257" t="n"/>
      <c r="BF362" s="258" t="n"/>
      <c r="BG362" s="89" t="n"/>
      <c r="BH3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62">
        <f>_xlfn.LET(r,ROW(),oc,INDEX($A:$A,r),cv,TRIM(INDEX($Y:$Y,r)&amp;""),IF(oc&lt;&gt;"P1","",IF(cv="45","V45 - novo, nao alimentado pelo spool atual","V44 - alimentado pelo spool atual")))</f>
        <v/>
      </c>
    </row>
    <row r="363" ht="54" customFormat="1" customHeight="1" s="91">
      <c r="A363" s="306" t="inlineStr">
        <is>
          <t>P1</t>
        </is>
      </c>
      <c r="B363" s="307" t="n">
        <v>128</v>
      </c>
      <c r="C363" s="269" t="inlineStr">
        <is>
          <t>05 - Caractéristiques Cessions temporaires de titres</t>
        </is>
      </c>
      <c r="D363" s="310" t="inlineStr">
        <is>
          <t>05 - Temporary Assignment characteristics of securities</t>
        </is>
      </c>
      <c r="E363" s="307" t="inlineStr">
        <is>
          <t>P1 12.5</t>
        </is>
      </c>
      <c r="F363" s="1253" t="inlineStr">
        <is>
          <t>Devise du montant Mark-to-Market (MtM) de la jambe emprunteuse du repo</t>
        </is>
      </c>
      <c r="G363" s="309" t="inlineStr">
        <is>
          <t>Currency of the amount of Mark-to-Market (MtM) of the borrowing leg from repo</t>
        </is>
      </c>
      <c r="H363" s="1493">
        <f>"RPAD( "&amp;SUBSTITUTE(SUBSTITUTE(E363," ","_"),".","_")&amp;","&amp;W363&amp;",' '); -- "&amp;E363</f>
        <v/>
      </c>
      <c r="I363" s="1248" t="inlineStr">
        <is>
          <t>Devise du montant Mark-to-Market (MtM) de la jambe emprunteuse du repo</t>
        </is>
      </c>
      <c r="J363" s="309" t="inlineStr">
        <is>
          <t>Currency of the amount of Mark-to-Market (MtM) of the borrowing leg from repo</t>
        </is>
      </c>
      <c r="K363" s="370" t="inlineStr">
        <is>
          <t>ND</t>
        </is>
      </c>
      <c r="L363" s="371" t="inlineStr">
        <is>
          <t>ND</t>
        </is>
      </c>
      <c r="M363" s="1420" t="inlineStr">
        <is>
          <t>cdDevMtMtMJamEmpr</t>
        </is>
      </c>
      <c r="N363" s="257" t="inlineStr">
        <is>
          <t>Obligatoire sous conditions</t>
        </is>
      </c>
      <c r="O363" s="236" t="inlineStr">
        <is>
          <t>Mandatory under conditions</t>
        </is>
      </c>
      <c r="P363" s="269" t="inlineStr">
        <is>
          <t>LC.0005</t>
        </is>
      </c>
      <c r="Q363" s="269" t="inlineStr">
        <is>
          <t>TA NM253</t>
        </is>
      </c>
      <c r="R363" s="241" t="inlineStr">
        <is>
          <t>NA</t>
        </is>
      </c>
      <c r="S363" s="233" t="inlineStr">
        <is>
          <t>NA</t>
        </is>
      </c>
      <c r="T363" s="313" t="inlineStr">
        <is>
          <t xml:space="preserve">ALPHA </t>
        </is>
      </c>
      <c r="U363" s="237" t="inlineStr">
        <is>
          <t>NA</t>
        </is>
      </c>
      <c r="V363" s="238" t="inlineStr">
        <is>
          <t>NA</t>
        </is>
      </c>
      <c r="W363" s="257" t="n">
        <v>3</v>
      </c>
      <c r="X363" s="945" t="inlineStr">
        <is>
          <t>NA</t>
        </is>
      </c>
      <c r="Y363" s="237" t="n">
        <v>40</v>
      </c>
      <c r="Z363" s="237" t="inlineStr">
        <is>
          <t>NA</t>
        </is>
      </c>
      <c r="AA363" s="270" t="inlineStr">
        <is>
          <t>45.00</t>
        </is>
      </c>
      <c r="AB363" s="932" t="inlineStr">
        <is>
          <t>AER, ALMM, ANACREDIT, CALCULS PRUDENTIELS, DEI, GRR, LIQUIDITE, MREL, PALMA, RISQUES SYSTEMIQUES</t>
        </is>
      </c>
      <c r="AC363" s="231" t="inlineStr">
        <is>
          <t>ND</t>
        </is>
      </c>
      <c r="AD363" s="257" t="inlineStr">
        <is>
          <t>N</t>
        </is>
      </c>
      <c r="AE363" s="1034" t="inlineStr">
        <is>
          <t>VAR105 et 302</t>
        </is>
      </c>
      <c r="AF363" s="257" t="inlineStr">
        <is>
          <t>NA</t>
        </is>
      </c>
      <c r="AG363" s="258" t="inlineStr">
        <is>
          <t>NA</t>
        </is>
      </c>
      <c r="AH363" s="89" t="n"/>
      <c r="AI363" s="500" t="inlineStr">
        <is>
          <t>La donnée est obligatoire, si Montant Mark-to-Market de la jambe emprunteuse [P1 7.3] est renseigné</t>
        </is>
      </c>
      <c r="AJ363" s="317" t="inlineStr">
        <is>
          <t>The data is mandatory, if Mark-to-Market amount of the borrowing leg [P1 7.3] is filled</t>
        </is>
      </c>
      <c r="AK363" s="257" t="n">
        <v>7</v>
      </c>
      <c r="AL363" s="258" t="inlineStr">
        <is>
          <t>TPG0002</t>
        </is>
      </c>
      <c r="AM363" s="318" t="inlineStr">
        <is>
          <t>Si elle est renseignée, la valeur doit être connue du Langage Commun associé</t>
        </is>
      </c>
      <c r="AN363" s="317" t="inlineStr">
        <is>
          <t>If specified, the value must be known to the associated Common Language</t>
        </is>
      </c>
      <c r="AO363" s="257" t="n">
        <v>7</v>
      </c>
      <c r="AP363" s="212" t="inlineStr">
        <is>
          <t>TIG0001</t>
        </is>
      </c>
      <c r="AQ363" s="318" t="n"/>
      <c r="AR363" s="317" t="n"/>
      <c r="AS363" s="257" t="n"/>
      <c r="AT363" s="258" t="n"/>
      <c r="AU363" s="318" t="n"/>
      <c r="AV363" s="317" t="n"/>
      <c r="AW363" s="257" t="n"/>
      <c r="AX363" s="258" t="n"/>
      <c r="AY363" s="318" t="n"/>
      <c r="AZ363" s="317" t="n"/>
      <c r="BA363" s="257" t="n"/>
      <c r="BB363" s="258" t="n"/>
      <c r="BC363" s="316" t="n"/>
      <c r="BD363" s="317" t="n"/>
      <c r="BE363" s="257" t="n"/>
      <c r="BF363" s="258" t="n"/>
      <c r="BG363" s="89" t="n"/>
      <c r="BH3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63">
        <f>_xlfn.LET(r,ROW(),oc,INDEX($A:$A,r),cv,TRIM(INDEX($Y:$Y,r)&amp;""),IF(oc&lt;&gt;"P1","",IF(cv="45","V45 - novo, nao alimentado pelo spool atual","V44 - alimentado pelo spool atual")))</f>
        <v/>
      </c>
    </row>
    <row r="364" ht="54" customFormat="1" customHeight="1" s="57">
      <c r="A364" s="325" t="inlineStr">
        <is>
          <t>P1</t>
        </is>
      </c>
      <c r="B364" s="326" t="n">
        <v>129</v>
      </c>
      <c r="C364" s="284" t="inlineStr">
        <is>
          <t xml:space="preserve">19 - Données comptables </t>
        </is>
      </c>
      <c r="D364" s="284" t="inlineStr">
        <is>
          <t>19 - Accounting data</t>
        </is>
      </c>
      <c r="E364" s="326" t="inlineStr">
        <is>
          <t>P1 7.15</t>
        </is>
      </c>
      <c r="F364" s="327" t="inlineStr">
        <is>
          <t>Zone libre (Ex PCCO du MtM de la jambe emprunteuse)</t>
        </is>
      </c>
      <c r="G364" s="327" t="inlineStr">
        <is>
          <t>Free zone (Ex PCCO of MtM of the borrowing leg)</t>
        </is>
      </c>
      <c r="H364" s="1493">
        <f>"RPAD( "&amp;SUBSTITUTE(SUBSTITUTE(E364," ","_"),".","_")&amp;","&amp;W364&amp;",' '); -- "&amp;E364</f>
        <v/>
      </c>
      <c r="I364" s="329" t="inlineStr">
        <is>
          <t>Zone libre</t>
        </is>
      </c>
      <c r="J364" s="329" t="inlineStr">
        <is>
          <t>Free zone</t>
        </is>
      </c>
      <c r="K364" s="328" t="inlineStr">
        <is>
          <t>NA</t>
        </is>
      </c>
      <c r="L364" s="328" t="inlineStr">
        <is>
          <t>NA</t>
        </is>
      </c>
      <c r="M364" s="1421" t="inlineStr">
        <is>
          <t>ZoneLibre715</t>
        </is>
      </c>
      <c r="N364" s="284" t="inlineStr">
        <is>
          <t>NA</t>
        </is>
      </c>
      <c r="O364" s="244" t="inlineStr">
        <is>
          <t>NA</t>
        </is>
      </c>
      <c r="P364" s="284" t="inlineStr">
        <is>
          <t>NA</t>
        </is>
      </c>
      <c r="Q364" s="284" t="inlineStr">
        <is>
          <t>NA</t>
        </is>
      </c>
      <c r="R364" s="412" t="inlineStr">
        <is>
          <t>Laisser à vide</t>
        </is>
      </c>
      <c r="S364" s="245" t="inlineStr">
        <is>
          <t>Leave empty</t>
        </is>
      </c>
      <c r="T364" s="333" t="inlineStr">
        <is>
          <t>ALPHA</t>
        </is>
      </c>
      <c r="U364" s="256" t="inlineStr">
        <is>
          <t>NA</t>
        </is>
      </c>
      <c r="V364" s="256" t="inlineStr">
        <is>
          <t>NA</t>
        </is>
      </c>
      <c r="W364" s="328" t="n">
        <v>12</v>
      </c>
      <c r="X364" s="244" t="inlineStr">
        <is>
          <t>NA</t>
        </is>
      </c>
      <c r="Y364" s="248" t="inlineStr">
        <is>
          <t>NA</t>
        </is>
      </c>
      <c r="Z364" s="248" t="inlineStr">
        <is>
          <t>NA</t>
        </is>
      </c>
      <c r="AA364" s="248" t="inlineStr">
        <is>
          <t>NA</t>
        </is>
      </c>
      <c r="AB364" s="284" t="inlineStr">
        <is>
          <t>NA</t>
        </is>
      </c>
      <c r="AC364" s="244" t="inlineStr">
        <is>
          <t>NA</t>
        </is>
      </c>
      <c r="AD364" s="284" t="inlineStr">
        <is>
          <t>N</t>
        </is>
      </c>
      <c r="AE364" s="284" t="inlineStr">
        <is>
          <t>NA</t>
        </is>
      </c>
      <c r="AF364" s="284" t="inlineStr">
        <is>
          <t>NA</t>
        </is>
      </c>
      <c r="AG364" s="285" t="inlineStr">
        <is>
          <t>NA</t>
        </is>
      </c>
      <c r="AH364" s="89" t="n"/>
      <c r="AI364" s="330" t="n"/>
      <c r="AJ364" s="331" t="n"/>
      <c r="AK364" s="284" t="n"/>
      <c r="AL364" s="285" t="n"/>
      <c r="AM364" s="331" t="n"/>
      <c r="AN364" s="331" t="n"/>
      <c r="AO364" s="284" t="n"/>
      <c r="AP364" s="285" t="n"/>
      <c r="AQ364" s="331" t="n"/>
      <c r="AR364" s="331" t="n"/>
      <c r="AS364" s="284" t="n"/>
      <c r="AT364" s="285" t="n"/>
      <c r="AU364" s="331" t="n"/>
      <c r="AV364" s="331" t="n"/>
      <c r="AW364" s="284" t="n"/>
      <c r="AX364" s="285" t="n"/>
      <c r="AY364" s="331" t="n"/>
      <c r="AZ364" s="331" t="n"/>
      <c r="BA364" s="284" t="n"/>
      <c r="BB364" s="285" t="n"/>
      <c r="BC364" s="330" t="n"/>
      <c r="BD364" s="331" t="n"/>
      <c r="BE364" s="284" t="n"/>
      <c r="BF364" s="285" t="n"/>
      <c r="BG364" s="89" t="n"/>
      <c r="BH3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64">
        <f>_xlfn.LET(r,ROW(),oc,INDEX($A:$A,r),cv,TRIM(INDEX($Y:$Y,r)&amp;""),IF(oc&lt;&gt;"P1","",IF(cv="45","V45 - novo, nao alimentado pelo spool atual","V44 - alimentado pelo spool atual")))</f>
        <v/>
      </c>
    </row>
    <row r="365" ht="54" customFormat="1" customHeight="1" s="91">
      <c r="A365" s="306" t="inlineStr">
        <is>
          <t>P1</t>
        </is>
      </c>
      <c r="B365" s="307" t="n">
        <v>130</v>
      </c>
      <c r="C365" s="269" t="inlineStr">
        <is>
          <t>14 - Caractéristiques Sous-jacent</t>
        </is>
      </c>
      <c r="D365" s="310" t="inlineStr">
        <is>
          <t>14 - Underlying characteristics</t>
        </is>
      </c>
      <c r="E365" s="307" t="inlineStr">
        <is>
          <t>P1 7.16</t>
        </is>
      </c>
      <c r="F365" s="1032" t="inlineStr">
        <is>
          <t xml:space="preserve">Jambe emprunteuse du repo : nature du sous-jacent </t>
        </is>
      </c>
      <c r="G365" s="309" t="inlineStr">
        <is>
          <t xml:space="preserve">Borrowing leg from repo: Nature of underlying </t>
        </is>
      </c>
      <c r="H365" s="1493">
        <f>"RPAD( "&amp;SUBSTITUTE(SUBSTITUTE(E365," ","_"),".","_")&amp;","&amp;W365&amp;",' '); -- "&amp;E365</f>
        <v/>
      </c>
      <c r="I365" s="1033" t="inlineStr">
        <is>
          <t>Ce champ permet d'identifier la nature du sous-jacent de la jambe emprunteuse du repo et de déterminer la décote relative à l'exposition</t>
        </is>
      </c>
      <c r="J365" s="309" t="inlineStr">
        <is>
          <t>This field identifies the type of underlying security of the Borrowing leg from repo and determines the discount relating to the exposure</t>
        </is>
      </c>
      <c r="K365" s="370" t="inlineStr">
        <is>
          <t>ND</t>
        </is>
      </c>
      <c r="L365" s="371" t="inlineStr">
        <is>
          <t>ND</t>
        </is>
      </c>
      <c r="M365" s="1420" t="inlineStr">
        <is>
          <t>cdNatSsJacJamEmpr</t>
        </is>
      </c>
      <c r="N365" s="257" t="inlineStr">
        <is>
          <t>Obligatoire sous conditions</t>
        </is>
      </c>
      <c r="O365" s="236" t="inlineStr">
        <is>
          <t>Mandatory under conditions</t>
        </is>
      </c>
      <c r="P365" s="269" t="inlineStr">
        <is>
          <t>LC.0046</t>
        </is>
      </c>
      <c r="Q365" s="269" t="inlineStr">
        <is>
          <t>TA KVNSJACE</t>
        </is>
      </c>
      <c r="R365" s="504" t="inlineStr">
        <is>
          <t>En cas de prêt sec de titres, renseigner la valeur ‘98' comme valeur par défaut</t>
        </is>
      </c>
      <c r="S365" s="233" t="inlineStr">
        <is>
          <t>In the case of dry securities lending, enter ‘98' as the default</t>
        </is>
      </c>
      <c r="T365" s="313" t="inlineStr">
        <is>
          <t>ALPHA</t>
        </is>
      </c>
      <c r="U365" s="237" t="inlineStr">
        <is>
          <t>NA</t>
        </is>
      </c>
      <c r="V365" s="238" t="inlineStr">
        <is>
          <t>NA</t>
        </is>
      </c>
      <c r="W365" s="257" t="n">
        <v>2</v>
      </c>
      <c r="X365" s="945" t="inlineStr">
        <is>
          <t>NA</t>
        </is>
      </c>
      <c r="Y365" s="237" t="n">
        <v>40</v>
      </c>
      <c r="Z365" s="237" t="inlineStr">
        <is>
          <t>NA</t>
        </is>
      </c>
      <c r="AA365" s="270" t="inlineStr">
        <is>
          <t>45.00</t>
        </is>
      </c>
      <c r="AB365" s="932" t="inlineStr">
        <is>
          <t>AER, ALMM, ANACREDIT, CALCULS PRUDENTIELS, DEI, GRR, LIQUIDITE, MREL, PALMA, RISQUES SYSTEMIQUES</t>
        </is>
      </c>
      <c r="AC365" s="231" t="inlineStr">
        <is>
          <t>ND</t>
        </is>
      </c>
      <c r="AD365" s="257" t="inlineStr">
        <is>
          <t>N</t>
        </is>
      </c>
      <c r="AE365" s="1034" t="inlineStr">
        <is>
          <t>VAR105 et 302</t>
        </is>
      </c>
      <c r="AF365" s="257" t="inlineStr">
        <is>
          <t>NA</t>
        </is>
      </c>
      <c r="AG365" s="258" t="inlineStr">
        <is>
          <t>NA</t>
        </is>
      </c>
      <c r="AH365" s="89" t="n"/>
      <c r="AI365" s="316" t="inlineStr">
        <is>
          <t>La donnée est obligatoire si le type de risque [P1 2.0] = 'VAR105','VAR302'</t>
        </is>
      </c>
      <c r="AJ365" s="317" t="inlineStr">
        <is>
          <t>The data is mandatory if Risk type [P1 2.0] = 'VAR105','VAR302'</t>
        </is>
      </c>
      <c r="AK365" s="257" t="n">
        <v>7</v>
      </c>
      <c r="AL365" s="366" t="inlineStr">
        <is>
          <t>TPS0786</t>
        </is>
      </c>
      <c r="AM365" s="318" t="inlineStr">
        <is>
          <t>Si elle est renseignée, la valeur doit être connue du Langage Commun associé</t>
        </is>
      </c>
      <c r="AN365" s="317" t="inlineStr">
        <is>
          <t>If specified, the value must be known to the associated Common Language</t>
        </is>
      </c>
      <c r="AO365" s="257" t="n">
        <v>7</v>
      </c>
      <c r="AP365" s="212" t="inlineStr">
        <is>
          <t>TIG0001</t>
        </is>
      </c>
      <c r="AQ365" s="318" t="n"/>
      <c r="AR365" s="317" t="n"/>
      <c r="AS365" s="257" t="n"/>
      <c r="AT365" s="258" t="n"/>
      <c r="AU365" s="318" t="n"/>
      <c r="AV365" s="317" t="n"/>
      <c r="AW365" s="257" t="n"/>
      <c r="AX365" s="258" t="n"/>
      <c r="AY365" s="318" t="n"/>
      <c r="AZ365" s="317" t="n"/>
      <c r="BA365" s="257" t="n"/>
      <c r="BB365" s="258" t="n"/>
      <c r="BC365" s="316" t="n"/>
      <c r="BD365" s="317" t="n"/>
      <c r="BE365" s="257" t="n"/>
      <c r="BF365" s="258" t="n"/>
      <c r="BG365" s="89" t="n"/>
      <c r="BH3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65">
        <f>_xlfn.LET(r,ROW(),oc,INDEX($A:$A,r),cv,TRIM(INDEX($Y:$Y,r)&amp;""),IF(oc&lt;&gt;"P1","",IF(cv="45","V45 - novo, nao alimentado pelo spool atual","V44 - alimentado pelo spool atual")))</f>
        <v/>
      </c>
    </row>
    <row r="366" ht="54" customFormat="1" customHeight="1" s="91">
      <c r="A366" s="306" t="inlineStr">
        <is>
          <t>P1</t>
        </is>
      </c>
      <c r="B366" s="307" t="n">
        <v>131</v>
      </c>
      <c r="C366" s="269" t="inlineStr">
        <is>
          <t>05 - Caractéristiques Cessions temporaires de titres</t>
        </is>
      </c>
      <c r="D366" s="310" t="inlineStr">
        <is>
          <t>05 - Temporary Assignment characteristics of securities</t>
        </is>
      </c>
      <c r="E366" s="307" t="inlineStr">
        <is>
          <t>P1 7.17</t>
        </is>
      </c>
      <c r="F366" s="1044" t="inlineStr">
        <is>
          <t>Jambe emprunteuse du repo : localisation bourse de Cotation</t>
        </is>
      </c>
      <c r="G366" s="968" t="inlineStr">
        <is>
          <t>Borrowing leg from repo : location listing exchange</t>
        </is>
      </c>
      <c r="H366" s="1493">
        <f>"RPAD( "&amp;SUBSTITUTE(SUBSTITUTE(E366," ","_"),".","_")&amp;","&amp;W366&amp;",' '); -- "&amp;E366</f>
        <v/>
      </c>
      <c r="I366" s="1033" t="inlineStr">
        <is>
          <t>Code du pays de la place boursière sur laquelle sont côtés les titres de la jambe emprunteuse du repo</t>
        </is>
      </c>
      <c r="J366" s="309" t="inlineStr">
        <is>
          <t>Country code of the stock exchange on which the securities are listed from borrowing leg from repo</t>
        </is>
      </c>
      <c r="K366" s="370" t="inlineStr">
        <is>
          <t>ND</t>
        </is>
      </c>
      <c r="L366" s="371" t="inlineStr">
        <is>
          <t>ND</t>
        </is>
      </c>
      <c r="M366" s="1420" t="inlineStr">
        <is>
          <t>cdBourseCotaJamEmpr</t>
        </is>
      </c>
      <c r="N366" s="257" t="inlineStr">
        <is>
          <t>Obligatoire sous conditions</t>
        </is>
      </c>
      <c r="O366" s="236" t="inlineStr">
        <is>
          <t>Mandatory under conditions</t>
        </is>
      </c>
      <c r="P366" s="269" t="inlineStr">
        <is>
          <t>LC.0063</t>
        </is>
      </c>
      <c r="Q366" s="269" t="inlineStr">
        <is>
          <t>TA KVMARCHE</t>
        </is>
      </c>
      <c r="R366" s="241" t="inlineStr">
        <is>
          <t>NA</t>
        </is>
      </c>
      <c r="S366" s="233" t="inlineStr">
        <is>
          <t>NA</t>
        </is>
      </c>
      <c r="T366" s="313" t="inlineStr">
        <is>
          <t>ALPHA</t>
        </is>
      </c>
      <c r="U366" s="237" t="inlineStr">
        <is>
          <t>NA</t>
        </is>
      </c>
      <c r="V366" s="238" t="inlineStr">
        <is>
          <t>NA</t>
        </is>
      </c>
      <c r="W366" s="257" t="n">
        <v>2</v>
      </c>
      <c r="X366" s="945" t="inlineStr">
        <is>
          <t>NA</t>
        </is>
      </c>
      <c r="Y366" s="237" t="n">
        <v>40</v>
      </c>
      <c r="Z366" s="237" t="inlineStr">
        <is>
          <t>NA</t>
        </is>
      </c>
      <c r="AA366" s="270" t="inlineStr">
        <is>
          <t>45.00</t>
        </is>
      </c>
      <c r="AB366" s="994" t="inlineStr">
        <is>
          <t>CALCULS PRUDENTIELS, GRR</t>
        </is>
      </c>
      <c r="AC366" s="231" t="inlineStr">
        <is>
          <t>ND</t>
        </is>
      </c>
      <c r="AD366" s="257" t="inlineStr">
        <is>
          <t>N</t>
        </is>
      </c>
      <c r="AE366" s="1034" t="inlineStr">
        <is>
          <t>VAR105 et 302</t>
        </is>
      </c>
      <c r="AF366" s="257" t="inlineStr">
        <is>
          <t>NA</t>
        </is>
      </c>
      <c r="AG366" s="258" t="inlineStr">
        <is>
          <t>NA</t>
        </is>
      </c>
      <c r="AH366" s="89" t="n"/>
      <c r="AI366" s="501" t="inlineStr">
        <is>
          <t>La donnée est obligatoire si le type de risque [P1 2.0] est égal à 'VAR105', 'VAR302' et la nature du sous-jacent de la jambe emprunteuse [P1 7.16] est égale à (01, 06, 07, 08, 09, 11)</t>
        </is>
      </c>
      <c r="AJ366" s="317" t="inlineStr">
        <is>
          <t>The data is mandatory if Risk type [P1 2.0] is equal to 'VAR105', 'VAR302' and the Nature of underlying of the borrowing leg [P1 7.16] is equal to (01, 06, 07, 08, 09, 11)</t>
        </is>
      </c>
      <c r="AK366" s="257" t="n">
        <v>6</v>
      </c>
      <c r="AL366" s="366" t="inlineStr">
        <is>
          <t>TPS0790</t>
        </is>
      </c>
      <c r="AM366" s="318" t="inlineStr">
        <is>
          <t>Si elle est renseignée, la valeur doit être connue du Langage Commun associé</t>
        </is>
      </c>
      <c r="AN366" s="317" t="inlineStr">
        <is>
          <t>If specified, the value must be known to the associated Common Language</t>
        </is>
      </c>
      <c r="AO366" s="257" t="n">
        <v>7</v>
      </c>
      <c r="AP366" s="212" t="inlineStr">
        <is>
          <t>TIG0001</t>
        </is>
      </c>
      <c r="AQ366" s="318" t="n"/>
      <c r="AR366" s="317" t="n"/>
      <c r="AS366" s="257" t="n"/>
      <c r="AT366" s="258" t="n"/>
      <c r="AU366" s="318" t="n"/>
      <c r="AV366" s="317" t="n"/>
      <c r="AW366" s="257" t="n"/>
      <c r="AX366" s="258" t="n"/>
      <c r="AY366" s="318" t="n"/>
      <c r="AZ366" s="317" t="n"/>
      <c r="BA366" s="257" t="n"/>
      <c r="BB366" s="258" t="n"/>
      <c r="BC366" s="316" t="n"/>
      <c r="BD366" s="317" t="n"/>
      <c r="BE366" s="257" t="n"/>
      <c r="BF366" s="258" t="n"/>
      <c r="BG366" s="89" t="n"/>
      <c r="BH3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66">
        <f>_xlfn.LET(r,ROW(),oc,INDEX($A:$A,r),cv,TRIM(INDEX($Y:$Y,r)&amp;""),IF(oc&lt;&gt;"P1","",IF(cv="45","V45 - novo, nao alimentado pelo spool atual","V44 - alimentado pelo spool atual")))</f>
        <v/>
      </c>
    </row>
    <row r="367" ht="54" customFormat="1" customHeight="1" s="91">
      <c r="A367" s="306" t="inlineStr">
        <is>
          <t>P1</t>
        </is>
      </c>
      <c r="B367" s="307" t="n">
        <v>132</v>
      </c>
      <c r="C367" s="269" t="inlineStr">
        <is>
          <t>17 - Caractéristiques Titres</t>
        </is>
      </c>
      <c r="D367" s="310" t="inlineStr">
        <is>
          <t>17 - Securities characteristics</t>
        </is>
      </c>
      <c r="E367" s="307" t="inlineStr">
        <is>
          <t>P1 7.18</t>
        </is>
      </c>
      <c r="F367" s="1032" t="inlineStr">
        <is>
          <t>Jambe emprunteuse du repo : indice dont les titres font partie</t>
        </is>
      </c>
      <c r="G367" s="309" t="inlineStr">
        <is>
          <t>Borrowing leg from repo: index to which the securities belong</t>
        </is>
      </c>
      <c r="H367" s="1493">
        <f>"RPAD( "&amp;SUBSTITUTE(SUBSTITUTE(E367," ","_"),".","_")&amp;","&amp;W367&amp;",' '); -- "&amp;E367</f>
        <v/>
      </c>
      <c r="I367" s="1033" t="inlineStr">
        <is>
          <t>Code de l'indice de la jambe emprunteuse du repo</t>
        </is>
      </c>
      <c r="J367" s="309" t="inlineStr">
        <is>
          <t>Index code from borrowing leg from repo</t>
        </is>
      </c>
      <c r="K367" s="370" t="inlineStr">
        <is>
          <t>ND</t>
        </is>
      </c>
      <c r="L367" s="371" t="inlineStr">
        <is>
          <t>ND</t>
        </is>
      </c>
      <c r="M367" s="1420" t="inlineStr">
        <is>
          <t>cdIndTitreJamEmpr</t>
        </is>
      </c>
      <c r="N367" s="257" t="inlineStr">
        <is>
          <t>Obligatoire sous conditions</t>
        </is>
      </c>
      <c r="O367" s="236" t="inlineStr">
        <is>
          <t>Mandatory under conditions</t>
        </is>
      </c>
      <c r="P367" s="269" t="inlineStr">
        <is>
          <t>LC.0055</t>
        </is>
      </c>
      <c r="Q367" s="269" t="inlineStr">
        <is>
          <t>TA KVINDICE</t>
        </is>
      </c>
      <c r="R367" s="241" t="inlineStr">
        <is>
          <t>NA</t>
        </is>
      </c>
      <c r="S367" s="233" t="inlineStr">
        <is>
          <t>NA</t>
        </is>
      </c>
      <c r="T367" s="313" t="inlineStr">
        <is>
          <t>ALPHA</t>
        </is>
      </c>
      <c r="U367" s="237" t="inlineStr">
        <is>
          <t>NA</t>
        </is>
      </c>
      <c r="V367" s="238" t="inlineStr">
        <is>
          <t>NA</t>
        </is>
      </c>
      <c r="W367" s="257" t="n">
        <v>2</v>
      </c>
      <c r="X367" s="945" t="inlineStr">
        <is>
          <t>NA</t>
        </is>
      </c>
      <c r="Y367" s="237" t="n">
        <v>40</v>
      </c>
      <c r="Z367" s="237" t="inlineStr">
        <is>
          <t>NA</t>
        </is>
      </c>
      <c r="AA367" s="978" t="inlineStr">
        <is>
          <t>NA</t>
        </is>
      </c>
      <c r="AB367" s="994" t="inlineStr">
        <is>
          <t>CALCULS PRUDENTIELS, CONGLOMERATS, GRR</t>
        </is>
      </c>
      <c r="AC367" s="231" t="inlineStr">
        <is>
          <t>ND</t>
        </is>
      </c>
      <c r="AD367" s="257" t="inlineStr">
        <is>
          <t>N</t>
        </is>
      </c>
      <c r="AE367" s="1034" t="inlineStr">
        <is>
          <t>VAR302</t>
        </is>
      </c>
      <c r="AF367" s="257" t="inlineStr">
        <is>
          <t>NA</t>
        </is>
      </c>
      <c r="AG367" s="258" t="inlineStr">
        <is>
          <t>NA</t>
        </is>
      </c>
      <c r="AH367" s="89" t="n"/>
      <c r="AI367" s="501" t="inlineStr">
        <is>
          <t>La donnée est obligatoire si le type de risque [P1 2.0] est égal à 'VAR302' et la nature du sous-jacent de la jambe emprunteuse [P1 7.16] est égale à '01'</t>
        </is>
      </c>
      <c r="AJ367" s="317" t="inlineStr">
        <is>
          <t>The data is mandatory if Risk type [P1 2.0] is equal to 'VAR302' and the Nature of underlying of the borrowing leg [P1 7.16] is equal to '01'</t>
        </is>
      </c>
      <c r="AK367" s="257" t="n">
        <v>6</v>
      </c>
      <c r="AL367" s="366" t="inlineStr">
        <is>
          <t>TPS0791</t>
        </is>
      </c>
      <c r="AM367" s="318" t="inlineStr">
        <is>
          <t>Si elle est renseignée, la valeur doit être connue du Langage Commun associé</t>
        </is>
      </c>
      <c r="AN367" s="317" t="inlineStr">
        <is>
          <t>If specified, the value must be known to the associated Common Language</t>
        </is>
      </c>
      <c r="AO367" s="257" t="n">
        <v>7</v>
      </c>
      <c r="AP367" s="212" t="inlineStr">
        <is>
          <t>TIG0001</t>
        </is>
      </c>
      <c r="AQ367" s="318" t="n"/>
      <c r="AR367" s="317" t="n"/>
      <c r="AS367" s="257" t="n"/>
      <c r="AT367" s="258" t="n"/>
      <c r="AU367" s="318" t="n"/>
      <c r="AV367" s="317" t="n"/>
      <c r="AW367" s="257" t="n"/>
      <c r="AX367" s="258" t="n"/>
      <c r="AY367" s="318" t="n"/>
      <c r="AZ367" s="317" t="n"/>
      <c r="BA367" s="257" t="n"/>
      <c r="BB367" s="258" t="n"/>
      <c r="BC367" s="316" t="n"/>
      <c r="BD367" s="317" t="n"/>
      <c r="BE367" s="257" t="n"/>
      <c r="BF367" s="258" t="n"/>
      <c r="BG367" s="89" t="n"/>
      <c r="BH3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67">
        <f>_xlfn.LET(r,ROW(),oc,INDEX($A:$A,r),cv,TRIM(INDEX($Y:$Y,r)&amp;""),IF(oc&lt;&gt;"P1","",IF(cv="45","V45 - novo, nao alimentado pelo spool atual","V44 - alimentado pelo spool atual")))</f>
        <v/>
      </c>
    </row>
    <row r="368" ht="54" customFormat="1" customHeight="1" s="91">
      <c r="A368" s="306" t="inlineStr">
        <is>
          <t>P1</t>
        </is>
      </c>
      <c r="B368" s="307" t="n">
        <v>133</v>
      </c>
      <c r="C368" s="269" t="inlineStr">
        <is>
          <t>17 - Caractéristiques Titres</t>
        </is>
      </c>
      <c r="D368" s="310" t="inlineStr">
        <is>
          <t>17 - Securities characteristics</t>
        </is>
      </c>
      <c r="E368" s="307" t="inlineStr">
        <is>
          <t>P1 7.19</t>
        </is>
      </c>
      <c r="F368" s="1032" t="inlineStr">
        <is>
          <t xml:space="preserve">Jambe emprunteuse du repo : référence des titres </t>
        </is>
      </c>
      <c r="G368" s="309" t="inlineStr">
        <is>
          <t xml:space="preserve">Borrowing leg from repo: details of Securities </t>
        </is>
      </c>
      <c r="H368" s="1493">
        <f>"RPAD( "&amp;SUBSTITUTE(SUBSTITUTE(E368," ","_"),".","_")&amp;","&amp;W368&amp;",' '); -- "&amp;E368</f>
        <v/>
      </c>
      <c r="I368" s="1033" t="inlineStr">
        <is>
          <t>Code ISIN des titres de la jambe emprunteuse du repo</t>
        </is>
      </c>
      <c r="J368" s="309" t="inlineStr">
        <is>
          <t>Borrowing leg from repo ISIN code</t>
        </is>
      </c>
      <c r="K368" s="370" t="inlineStr">
        <is>
          <t>ND</t>
        </is>
      </c>
      <c r="L368" s="371" t="inlineStr">
        <is>
          <t>ND</t>
        </is>
      </c>
      <c r="M368" s="1420" t="inlineStr">
        <is>
          <t>cdRefTitreJamEmpr</t>
        </is>
      </c>
      <c r="N368" s="257" t="inlineStr">
        <is>
          <t>Obligatoire sous conditions</t>
        </is>
      </c>
      <c r="O368" s="310" t="inlineStr">
        <is>
          <t>Mandatory under conditions</t>
        </is>
      </c>
      <c r="P368" s="269" t="inlineStr">
        <is>
          <t>NA</t>
        </is>
      </c>
      <c r="Q368" s="269" t="inlineStr">
        <is>
          <t>NA</t>
        </is>
      </c>
      <c r="R368" s="241" t="inlineStr">
        <is>
          <t>NA</t>
        </is>
      </c>
      <c r="S368" s="233" t="inlineStr">
        <is>
          <t>NA</t>
        </is>
      </c>
      <c r="T368" s="313" t="inlineStr">
        <is>
          <t>ALPHA</t>
        </is>
      </c>
      <c r="U368" s="237" t="inlineStr">
        <is>
          <t>NA</t>
        </is>
      </c>
      <c r="V368" s="238" t="inlineStr">
        <is>
          <t>NA</t>
        </is>
      </c>
      <c r="W368" s="257" t="n">
        <v>12</v>
      </c>
      <c r="X368" s="945" t="inlineStr">
        <is>
          <t>NA</t>
        </is>
      </c>
      <c r="Y368" s="237" t="n">
        <v>40</v>
      </c>
      <c r="Z368" s="237" t="inlineStr">
        <is>
          <t>NA</t>
        </is>
      </c>
      <c r="AA368" s="283" t="inlineStr">
        <is>
          <t>45.00</t>
        </is>
      </c>
      <c r="AB368" s="932" t="inlineStr">
        <is>
          <t>AER, ALMM, CALCULS PRUDENTIELS, GRR, LIQUIDITE, MREL, PALMA, RISQUES SYSTEMIQUES</t>
        </is>
      </c>
      <c r="AC368" s="231" t="inlineStr">
        <is>
          <t>ND</t>
        </is>
      </c>
      <c r="AD368" s="257" t="inlineStr">
        <is>
          <t>N</t>
        </is>
      </c>
      <c r="AE368" s="1436" t="inlineStr">
        <is>
          <t>VAR105 et 302</t>
        </is>
      </c>
      <c r="AF368" s="257" t="inlineStr">
        <is>
          <t>NA</t>
        </is>
      </c>
      <c r="AG368" s="258" t="inlineStr">
        <is>
          <t>NA</t>
        </is>
      </c>
      <c r="AH368" s="89" t="n"/>
      <c r="AI368" s="501" t="inlineStr">
        <is>
          <t>La donnée est obligatoire si le type de risque [P1 2.0] est égal à 'VAR105' et la nature du sous-jacent de la jambe emprunteuse [P1 7.16] est égale à (06, 07, 08, 09, 11)
---
La donnée est obligatoire si le type de risque [P1 2.0] est égal à 'VAR302' et la nature du sous-jacent de la jambe emprunteuse [P1 7.16] est égale à '01'</t>
        </is>
      </c>
      <c r="AJ368" s="317" t="inlineStr">
        <is>
          <t>The data is mandatory if Risk type [P1 2.0] is equal to 'VAR105' and the Nature of underlying of the borrowing leg [P1 7.16] is equal to (06, 07, 08, 09, 11)
---
The data is mandatory if Risk type [P1 2.0] is equal to 'VAR302' and the Nature of underlying of the borrowing leg [P1 7.16] is equal to '01'</t>
        </is>
      </c>
      <c r="AK368" s="958" t="n">
        <v>7</v>
      </c>
      <c r="AL368" s="378" t="inlineStr">
        <is>
          <t>TPS0792
TPS0791</t>
        </is>
      </c>
      <c r="AM368" s="318" t="n"/>
      <c r="AN368" s="317" t="n"/>
      <c r="AO368" s="257" t="n"/>
      <c r="AP368" s="258" t="n"/>
      <c r="AQ368" s="502" t="inlineStr">
        <is>
          <t>Si la donnée est renseignée, alors la donnée doit commencer par 2 caractères alphabétiques et avoir une longueur de 12 caractères avec un caractère numérique pour le dernier caractère ET la donnée doit être validée comme un code ISIN à l'aide de l'algorithme de Luhn</t>
        </is>
      </c>
      <c r="AR368" s="317" t="inlineStr">
        <is>
          <t>If filled, then the data must start with 2 alphabetic characters and have a length of 12 characters with a numeric character for the last character AND the data must be validated as an ISIN code using the Luhn algorithm</t>
        </is>
      </c>
      <c r="AS368" s="257" t="n">
        <v>6</v>
      </c>
      <c r="AT368" s="503" t="inlineStr">
        <is>
          <t>TVG0006</t>
        </is>
      </c>
      <c r="AU368" s="318" t="n"/>
      <c r="AV368" s="317" t="n"/>
      <c r="AW368" s="257" t="n"/>
      <c r="AX368" s="258" t="n"/>
      <c r="AY368" s="318" t="n"/>
      <c r="AZ368" s="317" t="n"/>
      <c r="BA368" s="257" t="n"/>
      <c r="BB368" s="258" t="n"/>
      <c r="BC368" s="316" t="n"/>
      <c r="BD368" s="317" t="n"/>
      <c r="BE368" s="257" t="n"/>
      <c r="BF368" s="258" t="n"/>
      <c r="BG368" s="89" t="n"/>
      <c r="BH3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68">
        <f>_xlfn.LET(r,ROW(),oc,INDEX($A:$A,r),cv,TRIM(INDEX($Y:$Y,r)&amp;""),IF(oc&lt;&gt;"P1","",IF(cv="45","V45 - novo, nao alimentado pelo spool atual","V44 - alimentado pelo spool atual")))</f>
        <v/>
      </c>
    </row>
    <row r="369" ht="54" customFormat="1" customHeight="1" s="91">
      <c r="A369" s="306" t="inlineStr">
        <is>
          <t>P1</t>
        </is>
      </c>
      <c r="B369" s="307" t="n">
        <v>134</v>
      </c>
      <c r="C369" s="269" t="inlineStr">
        <is>
          <t>17 - Caractéristiques Titres</t>
        </is>
      </c>
      <c r="D369" s="310" t="inlineStr">
        <is>
          <t>17 - Securities characteristics</t>
        </is>
      </c>
      <c r="E369" s="307" t="inlineStr">
        <is>
          <t>P1 7.20</t>
        </is>
      </c>
      <c r="F369" s="1032" t="inlineStr">
        <is>
          <t>Jambe emprunteuse du repo : Echelon de qualité de crédit des titres</t>
        </is>
      </c>
      <c r="G369" s="309" t="inlineStr">
        <is>
          <t>Borrowing leg from repo: Credit quality level of securities</t>
        </is>
      </c>
      <c r="H369" s="1493">
        <f>"RPAD( "&amp;SUBSTITUTE(SUBSTITUTE(E369," ","_"),".","_")&amp;","&amp;W369&amp;",' '); -- "&amp;E369</f>
        <v/>
      </c>
      <c r="I369" s="1033" t="inlineStr">
        <is>
          <t>Correspond à l'échelon de qualité de crédit des titres de la jambe emprunteuse du repo</t>
        </is>
      </c>
      <c r="J369" s="309" t="inlineStr">
        <is>
          <t>Securities' credit quality level from borrowing leg from repo</t>
        </is>
      </c>
      <c r="K369" s="370" t="inlineStr">
        <is>
          <t>ND</t>
        </is>
      </c>
      <c r="L369" s="371" t="inlineStr">
        <is>
          <t>ND</t>
        </is>
      </c>
      <c r="M369" s="1420" t="inlineStr">
        <is>
          <t>cdEchelQualTitreJamEmpr</t>
        </is>
      </c>
      <c r="N369" s="257" t="inlineStr">
        <is>
          <t>Obligatoire sous conditions</t>
        </is>
      </c>
      <c r="O369" s="236" t="inlineStr">
        <is>
          <t>Mandatory under conditions</t>
        </is>
      </c>
      <c r="P369" s="269" t="inlineStr">
        <is>
          <t>LC.0178</t>
        </is>
      </c>
      <c r="Q369" s="269" t="inlineStr">
        <is>
          <t>TA KVECHLON</t>
        </is>
      </c>
      <c r="R369" s="241" t="inlineStr">
        <is>
          <t>NA</t>
        </is>
      </c>
      <c r="S369" s="233" t="inlineStr">
        <is>
          <t>NA</t>
        </is>
      </c>
      <c r="T369" s="313" t="inlineStr">
        <is>
          <t>ALPHA</t>
        </is>
      </c>
      <c r="U369" s="237" t="inlineStr">
        <is>
          <t>NA</t>
        </is>
      </c>
      <c r="V369" s="238" t="inlineStr">
        <is>
          <t>NA</t>
        </is>
      </c>
      <c r="W369" s="257" t="n">
        <v>1</v>
      </c>
      <c r="X369" s="945" t="inlineStr">
        <is>
          <t>NA</t>
        </is>
      </c>
      <c r="Y369" s="237" t="n">
        <v>40</v>
      </c>
      <c r="Z369" s="237" t="inlineStr">
        <is>
          <t>NA</t>
        </is>
      </c>
      <c r="AA369" s="270" t="inlineStr">
        <is>
          <t>NA</t>
        </is>
      </c>
      <c r="AB369" s="994" t="inlineStr">
        <is>
          <t>CALCULS PRUDENTIELS, GRR</t>
        </is>
      </c>
      <c r="AC369" s="231" t="inlineStr">
        <is>
          <t>ND</t>
        </is>
      </c>
      <c r="AD369" s="257" t="inlineStr">
        <is>
          <t>N</t>
        </is>
      </c>
      <c r="AE369" s="1034" t="inlineStr">
        <is>
          <t>VAR105 et 302</t>
        </is>
      </c>
      <c r="AF369" s="257" t="inlineStr">
        <is>
          <t>NA</t>
        </is>
      </c>
      <c r="AG369" s="258" t="inlineStr">
        <is>
          <t>NA</t>
        </is>
      </c>
      <c r="AH369" s="89" t="n"/>
      <c r="AI369" s="501" t="inlineStr">
        <is>
          <t>La donnée est obligatoire si le type de risque [P1 2.0] est égal à 'VAR105' et la nature du sous-jacent de la jambe emprunteuse [P1 7.16] est égale à (06, 07, 08, 09, 11)
---
La donnée est obligatoire si le type de risque [P1 2.0] est égal à 'VAR302' et la nature du sous-jacent de la jambe emprunteuse [P1 7.16] est égale à '01'</t>
        </is>
      </c>
      <c r="AJ369" s="317" t="inlineStr">
        <is>
          <t>The data is mandatory if Risk type [P1 2.0] is equal to 'VAR105' and the Nature of underlying of the borrowing leg [P1 7.16] is equal to (06, 07, 08, 09, 11)
---
The data is mandatory if Risk type [P1 2.0] is equal to 'VAR302' and the Nature of underlying of the borrowing leg [P1 7.16] is equal to '01'</t>
        </is>
      </c>
      <c r="AK369" s="257" t="n">
        <v>6</v>
      </c>
      <c r="AL369" s="378" t="inlineStr">
        <is>
          <t>TPS0792
TPS0791</t>
        </is>
      </c>
      <c r="AM369" s="318" t="inlineStr">
        <is>
          <t>Si elle est renseignée, la valeur doit être connue du Langage Commun associé</t>
        </is>
      </c>
      <c r="AN369" s="317" t="inlineStr">
        <is>
          <t>If specified, the value must be known to the associated Common Language</t>
        </is>
      </c>
      <c r="AO369" s="257" t="n">
        <v>7</v>
      </c>
      <c r="AP369" s="212" t="inlineStr">
        <is>
          <t>TIG0001</t>
        </is>
      </c>
      <c r="AQ369" s="318" t="n"/>
      <c r="AR369" s="317" t="n"/>
      <c r="AS369" s="257" t="n"/>
      <c r="AT369" s="258" t="n"/>
      <c r="AU369" s="318" t="n"/>
      <c r="AV369" s="317" t="n"/>
      <c r="AW369" s="257" t="n"/>
      <c r="AX369" s="258" t="n"/>
      <c r="AY369" s="318" t="n"/>
      <c r="AZ369" s="317" t="n"/>
      <c r="BA369" s="257" t="n"/>
      <c r="BB369" s="258" t="n"/>
      <c r="BC369" s="316" t="n"/>
      <c r="BD369" s="317" t="n"/>
      <c r="BE369" s="257" t="n"/>
      <c r="BF369" s="258" t="n"/>
      <c r="BG369" s="89" t="n"/>
      <c r="BH3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69">
        <f>_xlfn.LET(r,ROW(),oc,INDEX($A:$A,r),cv,TRIM(INDEX($Y:$Y,r)&amp;""),IF(oc&lt;&gt;"P1","",IF(cv="45","V45 - novo, nao alimentado pelo spool atual","V44 - alimentado pelo spool atual")))</f>
        <v/>
      </c>
    </row>
    <row r="370" ht="54" customFormat="1" customHeight="1" s="91">
      <c r="A370" s="306" t="inlineStr">
        <is>
          <t>P1</t>
        </is>
      </c>
      <c r="B370" s="307" t="n">
        <v>135</v>
      </c>
      <c r="C370" s="269" t="inlineStr">
        <is>
          <t>14 - Caractéristiques Sous-jacent</t>
        </is>
      </c>
      <c r="D370" s="310" t="inlineStr">
        <is>
          <t>14 - Underlying characteristics</t>
        </is>
      </c>
      <c r="E370" s="307" t="inlineStr">
        <is>
          <t>P1 7.21</t>
        </is>
      </c>
      <c r="F370" s="1032" t="inlineStr">
        <is>
          <t>Jambe emprunteuse du repo : échéance du titre sous-jacent</t>
        </is>
      </c>
      <c r="G370" s="309" t="inlineStr">
        <is>
          <t>Borrowing leg from repo: maturity of underlying security</t>
        </is>
      </c>
      <c r="H370" s="1493">
        <f>"RPAD( "&amp;SUBSTITUTE(SUBSTITUTE(E370," ","_"),".","_")&amp;","&amp;W370&amp;",' '); -- "&amp;E370</f>
        <v/>
      </c>
      <c r="I370" s="1033" t="inlineStr">
        <is>
          <t>Date d'échéance du titre sous-jacent de la jambe emprunteuse du repo</t>
        </is>
      </c>
      <c r="J370" s="309" t="inlineStr">
        <is>
          <t>Underlying security's maturity date from borroing leg from repo</t>
        </is>
      </c>
      <c r="K370" s="370" t="inlineStr">
        <is>
          <t>ND</t>
        </is>
      </c>
      <c r="L370" s="371" t="inlineStr">
        <is>
          <t>ND</t>
        </is>
      </c>
      <c r="M370" s="1420" t="inlineStr">
        <is>
          <t>cdEcheaTitreJamEmpr</t>
        </is>
      </c>
      <c r="N370" s="257" t="inlineStr">
        <is>
          <t>Obligatoire sous conditions</t>
        </is>
      </c>
      <c r="O370" s="236" t="inlineStr">
        <is>
          <t>Mandatory under conditions</t>
        </is>
      </c>
      <c r="P370" s="269" t="inlineStr">
        <is>
          <t>NA</t>
        </is>
      </c>
      <c r="Q370" s="269" t="inlineStr">
        <is>
          <t>NA</t>
        </is>
      </c>
      <c r="R370" s="241" t="inlineStr">
        <is>
          <t>NA</t>
        </is>
      </c>
      <c r="S370" s="233" t="inlineStr">
        <is>
          <t>NA</t>
        </is>
      </c>
      <c r="T370" s="206" t="inlineStr">
        <is>
          <t>DATE</t>
        </is>
      </c>
      <c r="U370" s="237" t="inlineStr">
        <is>
          <t>AAAAMMJJ</t>
        </is>
      </c>
      <c r="V370" s="238" t="inlineStr">
        <is>
          <t>YYYYMMDD</t>
        </is>
      </c>
      <c r="W370" s="257" t="n">
        <v>8</v>
      </c>
      <c r="X370" s="945" t="inlineStr">
        <is>
          <t>NA</t>
        </is>
      </c>
      <c r="Y370" s="237" t="n">
        <v>40</v>
      </c>
      <c r="Z370" s="237" t="inlineStr">
        <is>
          <t>NA</t>
        </is>
      </c>
      <c r="AA370" s="270" t="inlineStr">
        <is>
          <t>NA</t>
        </is>
      </c>
      <c r="AB370" s="994" t="inlineStr">
        <is>
          <t>AER, CALCULS PRUDENTIELS, GRR</t>
        </is>
      </c>
      <c r="AC370" s="231" t="inlineStr">
        <is>
          <t>ND</t>
        </is>
      </c>
      <c r="AD370" s="257" t="inlineStr">
        <is>
          <t>N</t>
        </is>
      </c>
      <c r="AE370" s="1034" t="inlineStr">
        <is>
          <t>VAR105</t>
        </is>
      </c>
      <c r="AF370" s="257" t="inlineStr">
        <is>
          <t>NA</t>
        </is>
      </c>
      <c r="AG370" s="258" t="inlineStr">
        <is>
          <t>NA</t>
        </is>
      </c>
      <c r="AH370" s="89" t="n"/>
      <c r="AI370" s="501" t="inlineStr">
        <is>
          <t>La donnée est obligatoire si le type de risque [P1 2.0] est égal à 'VAR105' et la nature du sous-jacent de la jambe emprunteuse [P1 7.16] est égale à (06, 07, 08, 09, 11)</t>
        </is>
      </c>
      <c r="AJ370" s="317" t="inlineStr">
        <is>
          <t>The data is mandatory if Risk type [P1 2.0] is equal to 'VAR105' and the Nature of underlying of the borrowing leg [P1 7.16] is equal to (06, 07, 08, 09, 11)</t>
        </is>
      </c>
      <c r="AK370" s="257" t="n">
        <v>6</v>
      </c>
      <c r="AL370" s="366" t="inlineStr">
        <is>
          <t>TPS0792</t>
        </is>
      </c>
      <c r="AM370" s="318" t="n"/>
      <c r="AN370" s="317" t="n"/>
      <c r="AO370" s="257" t="n"/>
      <c r="AP370" s="258" t="n"/>
      <c r="AQ370" s="362" t="inlineStr">
        <is>
          <t>Si la donnée est renseignée et si l'année de la date est égale à '9999', alors la donnée doit être égale à '99990630'</t>
        </is>
      </c>
      <c r="AR370" s="317" t="inlineStr">
        <is>
          <t>If filled, and if the year of the date = '9999', then the data must be equal to '99990630'</t>
        </is>
      </c>
      <c r="AS370" s="257" t="n">
        <v>7</v>
      </c>
      <c r="AT370" s="359" t="inlineStr">
        <is>
          <t>TVG0008</t>
        </is>
      </c>
      <c r="AU370" s="318" t="n"/>
      <c r="AV370" s="317" t="n"/>
      <c r="AW370" s="257" t="n"/>
      <c r="AX370" s="258" t="n"/>
      <c r="AY370" s="318" t="n"/>
      <c r="AZ370" s="317" t="n"/>
      <c r="BA370" s="257" t="n"/>
      <c r="BB370" s="258" t="n"/>
      <c r="BC370" s="316" t="n"/>
      <c r="BD370" s="317" t="n"/>
      <c r="BE370" s="257" t="n"/>
      <c r="BF370" s="258" t="n"/>
      <c r="BG370" s="89" t="n"/>
      <c r="BH3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70">
        <f>_xlfn.LET(r,ROW(),oc,INDEX($A:$A,r),cv,TRIM(INDEX($Y:$Y,r)&amp;""),IF(oc&lt;&gt;"P1","",IF(cv="45","V45 - novo, nao alimentado pelo spool atual","V44 - alimentado pelo spool atual")))</f>
        <v/>
      </c>
    </row>
    <row r="371" ht="54" customFormat="1" customHeight="1" s="91">
      <c r="A371" s="306" t="inlineStr">
        <is>
          <t>P1</t>
        </is>
      </c>
      <c r="B371" s="307" t="n">
        <v>136</v>
      </c>
      <c r="C371" s="269" t="inlineStr">
        <is>
          <t>17 - Caractéristiques Titres</t>
        </is>
      </c>
      <c r="D371" s="310" t="inlineStr">
        <is>
          <t>17 - Securities characteristics</t>
        </is>
      </c>
      <c r="E371" s="307" t="inlineStr">
        <is>
          <t>P1 7.22</t>
        </is>
      </c>
      <c r="F371" s="1032" t="inlineStr">
        <is>
          <t>Jambe emprunteuse du repo : identifiant local de l'émetteur des titres</t>
        </is>
      </c>
      <c r="G371" s="309" t="inlineStr">
        <is>
          <t>Borrowing leg from repo: local ID of issuer of securities</t>
        </is>
      </c>
      <c r="H371" s="1493">
        <f>"RPAD( "&amp;SUBSTITUTE(SUBSTITUTE(E371," ","_"),".","_")&amp;","&amp;W371&amp;",' '); -- "&amp;E371</f>
        <v/>
      </c>
      <c r="I371" s="1033" t="inlineStr">
        <is>
          <t>Identifiant de l'émetteur des titres dans le système local utilisé pour générer le flux de la jambe emprunteuse du repo</t>
        </is>
      </c>
      <c r="J371" s="309" t="inlineStr">
        <is>
          <t>Identifier of the securities' issuer in the local system used to generate the flow from borrowing leg from repo</t>
        </is>
      </c>
      <c r="K371" s="370" t="inlineStr">
        <is>
          <t>ND</t>
        </is>
      </c>
      <c r="L371" s="371" t="inlineStr">
        <is>
          <t>ND</t>
        </is>
      </c>
      <c r="M371" s="1420" t="inlineStr">
        <is>
          <t>idLocalEmetTitreJamEmpr</t>
        </is>
      </c>
      <c r="N371" s="257" t="inlineStr">
        <is>
          <t>Obligatoire sous conditions</t>
        </is>
      </c>
      <c r="O371" s="236" t="inlineStr">
        <is>
          <t>Mandatory under conditions</t>
        </is>
      </c>
      <c r="P371" s="269" t="inlineStr">
        <is>
          <t>NA</t>
        </is>
      </c>
      <c r="Q371" s="269" t="inlineStr">
        <is>
          <t>NA</t>
        </is>
      </c>
      <c r="R371" s="241" t="inlineStr">
        <is>
          <t>NA</t>
        </is>
      </c>
      <c r="S371" s="233" t="inlineStr">
        <is>
          <t>NA</t>
        </is>
      </c>
      <c r="T371" s="313" t="inlineStr">
        <is>
          <t>ALPHA</t>
        </is>
      </c>
      <c r="U371" s="237" t="inlineStr">
        <is>
          <t>NA</t>
        </is>
      </c>
      <c r="V371" s="238" t="inlineStr">
        <is>
          <t>NA</t>
        </is>
      </c>
      <c r="W371" s="257" t="n">
        <v>20</v>
      </c>
      <c r="X371" s="945" t="inlineStr">
        <is>
          <t>NA</t>
        </is>
      </c>
      <c r="Y371" s="237" t="n">
        <v>40</v>
      </c>
      <c r="Z371" s="237" t="inlineStr">
        <is>
          <t>NA</t>
        </is>
      </c>
      <c r="AA371" s="270" t="inlineStr">
        <is>
          <t>NA</t>
        </is>
      </c>
      <c r="AB371" s="994" t="inlineStr">
        <is>
          <t>AER, CONGLOMERATS, GRR</t>
        </is>
      </c>
      <c r="AC371" s="231" t="inlineStr">
        <is>
          <t>ND</t>
        </is>
      </c>
      <c r="AD371" s="257" t="inlineStr">
        <is>
          <t>N</t>
        </is>
      </c>
      <c r="AE371" s="1034" t="inlineStr">
        <is>
          <t>VAR105 et 302</t>
        </is>
      </c>
      <c r="AF371" s="257" t="inlineStr">
        <is>
          <t>NA</t>
        </is>
      </c>
      <c r="AG371" s="258" t="inlineStr">
        <is>
          <t>NA</t>
        </is>
      </c>
      <c r="AH371" s="89" t="n"/>
      <c r="AI371" s="501" t="inlineStr">
        <is>
          <t>La donnée est obligatoire si le type de risque [P1 2.0] est égal à 'VAR105', 'VAR302' et la nature du sous-jacent de la jambe emprunteuse [P1 7.16] est égale à (01, 06, 07, 08, 09, 11)</t>
        </is>
      </c>
      <c r="AJ371" s="317" t="inlineStr">
        <is>
          <t>The data is mandatory if Risk type [P1 2.0] is equal to 'VAR105', 'VAR302' and the Nature of underlying of the borrowing leg [P1 7.16] is equal to (01, 06, 07, 08, 09, 11)</t>
        </is>
      </c>
      <c r="AK371" s="257" t="n">
        <v>6</v>
      </c>
      <c r="AL371" s="447" t="inlineStr">
        <is>
          <t>TPS0790</t>
        </is>
      </c>
      <c r="AM371" s="318" t="n"/>
      <c r="AN371" s="317" t="n"/>
      <c r="AO371" s="257" t="n"/>
      <c r="AP371" s="258" t="n"/>
      <c r="AQ371" s="318" t="n"/>
      <c r="AR371" s="317" t="n"/>
      <c r="AS371" s="257" t="n"/>
      <c r="AT371" s="258" t="n"/>
      <c r="AU371" s="318" t="n"/>
      <c r="AV371" s="317" t="n"/>
      <c r="AW371" s="257" t="n"/>
      <c r="AX371" s="258" t="n"/>
      <c r="AY371" s="337" t="inlineStr">
        <is>
          <t>Le tiers doit exister (présence du tiers dans TIGRE)</t>
        </is>
      </c>
      <c r="AZ371" s="317" t="inlineStr">
        <is>
          <t>The third-party must exist (presence of the third-party in TIGRE)</t>
        </is>
      </c>
      <c r="BA371" s="257" t="n">
        <v>7</v>
      </c>
      <c r="BB371" s="338" t="inlineStr">
        <is>
          <t>TIG0002</t>
        </is>
      </c>
      <c r="BC371" s="316" t="n"/>
      <c r="BD371" s="317" t="n"/>
      <c r="BE371" s="257" t="n"/>
      <c r="BF371" s="258" t="n"/>
      <c r="BG371" s="89" t="n"/>
      <c r="BH3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71">
        <f>_xlfn.LET(r,ROW(),oc,INDEX($A:$A,r),cv,TRIM(INDEX($Y:$Y,r)&amp;""),IF(oc&lt;&gt;"P1","",IF(cv="45","V45 - novo, nao alimentado pelo spool atual","V44 - alimentado pelo spool atual")))</f>
        <v/>
      </c>
    </row>
    <row r="372" ht="54" customFormat="1" customHeight="1" s="91">
      <c r="A372" s="306" t="inlineStr">
        <is>
          <t>P1</t>
        </is>
      </c>
      <c r="B372" s="307" t="n">
        <v>137</v>
      </c>
      <c r="C372" s="269" t="inlineStr">
        <is>
          <t>17 - Caractéristiques Titres</t>
        </is>
      </c>
      <c r="D372" s="310" t="inlineStr">
        <is>
          <t>17 - Securities characteristics</t>
        </is>
      </c>
      <c r="E372" s="307" t="inlineStr">
        <is>
          <t>P1 7.23</t>
        </is>
      </c>
      <c r="F372" s="1032" t="inlineStr">
        <is>
          <t>Jambe emprunteuse du repo : identifiant central de l'émetteur des titres</t>
        </is>
      </c>
      <c r="G372" s="309" t="inlineStr">
        <is>
          <t>Borrowing leg from repo: central ID of issuer of securities</t>
        </is>
      </c>
      <c r="H372" s="1493">
        <f>"RPAD( "&amp;SUBSTITUTE(SUBSTITUTE(E372," ","_"),".","_")&amp;","&amp;W372&amp;",' '); -- "&amp;E372</f>
        <v/>
      </c>
      <c r="I372" s="1033" t="inlineStr">
        <is>
          <t xml:space="preserve">Identifiant de l'émetteur des titres dans le système central DRG de la jambe emprunteuse du repo </t>
        </is>
      </c>
      <c r="J372" s="309" t="inlineStr">
        <is>
          <t>Identifier of the securities' issuer in the central DRG system from borrowing leg from repo</t>
        </is>
      </c>
      <c r="K372" s="370" t="inlineStr">
        <is>
          <t>ND</t>
        </is>
      </c>
      <c r="L372" s="371" t="inlineStr">
        <is>
          <t>ND</t>
        </is>
      </c>
      <c r="M372" s="1420" t="inlineStr">
        <is>
          <t>idCentralEmetTitreJamEmpr</t>
        </is>
      </c>
      <c r="N372" s="257" t="inlineStr">
        <is>
          <t>Facultatif</t>
        </is>
      </c>
      <c r="O372" s="236" t="inlineStr">
        <is>
          <t>Optional</t>
        </is>
      </c>
      <c r="P372" s="269" t="inlineStr">
        <is>
          <t>NA</t>
        </is>
      </c>
      <c r="Q372" s="269" t="inlineStr">
        <is>
          <t>NA</t>
        </is>
      </c>
      <c r="R372" s="241" t="inlineStr">
        <is>
          <t>Obligatoire uniquement si Nature du sous-jacent (P1 7.16) de la jambe emprunteuse est un titre</t>
        </is>
      </c>
      <c r="S372" s="233" t="inlineStr">
        <is>
          <t>Mandatory only if Nature of the underlying (P1 7.16) of the borrower leg is a security</t>
        </is>
      </c>
      <c r="T372" s="313" t="inlineStr">
        <is>
          <t>ALPHA</t>
        </is>
      </c>
      <c r="U372" s="237" t="inlineStr">
        <is>
          <t>NA</t>
        </is>
      </c>
      <c r="V372" s="238" t="inlineStr">
        <is>
          <t>NA</t>
        </is>
      </c>
      <c r="W372" s="257" t="n">
        <v>10</v>
      </c>
      <c r="X372" s="945" t="inlineStr">
        <is>
          <t>NA</t>
        </is>
      </c>
      <c r="Y372" s="237" t="n">
        <v>40</v>
      </c>
      <c r="Z372" s="237" t="inlineStr">
        <is>
          <t>NA</t>
        </is>
      </c>
      <c r="AA372" s="270" t="inlineStr">
        <is>
          <t>45.00</t>
        </is>
      </c>
      <c r="AB372" s="994" t="inlineStr">
        <is>
          <t>AER, ASTRE, CALCULS PRUDENTIELS, CONGLOMERATS, GRR</t>
        </is>
      </c>
      <c r="AC372" s="231" t="inlineStr">
        <is>
          <t>ND</t>
        </is>
      </c>
      <c r="AD372" s="257" t="inlineStr">
        <is>
          <t>N</t>
        </is>
      </c>
      <c r="AE372" s="1034" t="inlineStr">
        <is>
          <t>VAR105 et 302</t>
        </is>
      </c>
      <c r="AF372" s="257" t="inlineStr">
        <is>
          <t>NA</t>
        </is>
      </c>
      <c r="AG372" s="258" t="inlineStr">
        <is>
          <t>NA</t>
        </is>
      </c>
      <c r="AH372" s="89" t="n"/>
      <c r="AI372" s="316" t="n"/>
      <c r="AJ372" s="317" t="n"/>
      <c r="AK372" s="257" t="n"/>
      <c r="AL372" s="258" t="n"/>
      <c r="AM372" s="318" t="n"/>
      <c r="AN372" s="317" t="n"/>
      <c r="AO372" s="257" t="n"/>
      <c r="AP372" s="258" t="n"/>
      <c r="AQ372" s="318" t="n"/>
      <c r="AR372" s="317" t="n"/>
      <c r="AS372" s="257" t="n"/>
      <c r="AT372" s="258" t="n"/>
      <c r="AU372" s="318" t="n"/>
      <c r="AV372" s="317" t="n"/>
      <c r="AW372" s="257" t="n"/>
      <c r="AX372" s="258" t="n"/>
      <c r="AY372" s="1180" t="inlineStr">
        <is>
          <t>S'il est renseigné, l'identifiant doit correspondre à un enregistrement dans l'objet associé, indépendamment de l'entité
---
La donnée doit être présente dans TIGRE
---
Le couple identifiant local / central (P1 7.22 et P1 7.23) doit exister dans TIGRE</t>
        </is>
      </c>
      <c r="AZ372" s="931" t="inlineStr">
        <is>
          <t>If it is filled in, the identifier must correspond to a record in the associated object, regardless of the entity
---
Data must be present in TIGRE
---
The local/central identifier pair (P1 7.22 and P1 7.23) must exist in TIGRE</t>
        </is>
      </c>
      <c r="BA372" s="1181" t="inlineStr">
        <is>
          <t>7
6
6</t>
        </is>
      </c>
      <c r="BB372" s="1238" t="inlineStr">
        <is>
          <t>TI0003
TIG0002
TIG0004</t>
        </is>
      </c>
      <c r="BC372" s="316" t="n"/>
      <c r="BD372" s="317" t="n"/>
      <c r="BE372" s="257" t="n"/>
      <c r="BF372" s="258" t="n"/>
      <c r="BG372" s="89" t="n"/>
      <c r="BH3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72">
        <f>_xlfn.LET(r,ROW(),oc,INDEX($A:$A,r),cv,TRIM(INDEX($Y:$Y,r)&amp;""),IF(oc&lt;&gt;"P1","",IF(cv="45","V45 - novo, nao alimentado pelo spool atual","V44 - alimentado pelo spool atual")))</f>
        <v/>
      </c>
    </row>
    <row r="373" ht="54" customFormat="1" customHeight="1" s="90">
      <c r="A373" s="306" t="inlineStr">
        <is>
          <t>P1</t>
        </is>
      </c>
      <c r="B373" s="307" t="n">
        <v>138</v>
      </c>
      <c r="C373" s="269" t="inlineStr">
        <is>
          <t>05 - Caractéristiques Cessions temporaires de titres</t>
        </is>
      </c>
      <c r="D373" s="310" t="inlineStr">
        <is>
          <t>05 - Temporary Assignment characteristics of securities</t>
        </is>
      </c>
      <c r="E373" s="307" t="inlineStr">
        <is>
          <t>P1 7.24</t>
        </is>
      </c>
      <c r="F373" s="308" t="inlineStr">
        <is>
          <t>Indicateur de période de liquidation 20 jours</t>
        </is>
      </c>
      <c r="G373" s="309" t="inlineStr">
        <is>
          <t xml:space="preserve">Indicator of settlement period 20 days </t>
        </is>
      </c>
      <c r="H373" s="1493">
        <f>"RPAD( "&amp;SUBSTITUTE(SUBSTITUTE(E373," ","_"),".","_")&amp;","&amp;W373&amp;",' '); -- "&amp;E373</f>
        <v/>
      </c>
      <c r="I373" s="241" t="inlineStr">
        <is>
          <t>La période de liquidation d'un actif est fixée forfaitairement à 20 jours lorsque l'actif est réputé illiquide. Cette période de liquidation est prise en compte dans le calcul de la décote forfaitaire sur cet actif</t>
        </is>
      </c>
      <c r="J373" s="309" t="inlineStr">
        <is>
          <t>The liquidation period of an asset shall be fixed at a flat rate of 20 days where the asset is deemed to be illiquid. This liquidation period shall be taken into account in the calculation of the lump - sum haircut on that asset</t>
        </is>
      </c>
      <c r="K373" s="370" t="inlineStr">
        <is>
          <t>ND</t>
        </is>
      </c>
      <c r="L373" s="371" t="inlineStr">
        <is>
          <t>ND</t>
        </is>
      </c>
      <c r="M373" s="1420" t="inlineStr">
        <is>
          <t>prdLiq20J</t>
        </is>
      </c>
      <c r="N373" s="257" t="inlineStr">
        <is>
          <t>Obligatoire sous conditions</t>
        </is>
      </c>
      <c r="O373" s="236" t="inlineStr">
        <is>
          <t>Mandatory under conditions</t>
        </is>
      </c>
      <c r="P373" s="269" t="inlineStr">
        <is>
          <t>LC.0476</t>
        </is>
      </c>
      <c r="Q373" s="269" t="inlineStr">
        <is>
          <t>TA Z8IPL20J</t>
        </is>
      </c>
      <c r="R373" s="241" t="inlineStr">
        <is>
          <t>Obligatoire pour les marges initiales versées auprès d'une CCP ou d'un dépositaire indépendant</t>
        </is>
      </c>
      <c r="S373" s="233" t="inlineStr">
        <is>
          <t>Mandatory for initial margins paid to a CCP or an independent depository</t>
        </is>
      </c>
      <c r="T373" s="313" t="inlineStr">
        <is>
          <t>ALPHA</t>
        </is>
      </c>
      <c r="U373" s="237" t="inlineStr">
        <is>
          <t>NA</t>
        </is>
      </c>
      <c r="V373" s="238" t="inlineStr">
        <is>
          <t>NA</t>
        </is>
      </c>
      <c r="W373" s="257" t="n">
        <v>1</v>
      </c>
      <c r="X373" s="945" t="inlineStr">
        <is>
          <t>NA</t>
        </is>
      </c>
      <c r="Y373" s="237" t="n">
        <v>40</v>
      </c>
      <c r="Z373" s="237" t="inlineStr">
        <is>
          <t>NA</t>
        </is>
      </c>
      <c r="AA373" s="270" t="inlineStr">
        <is>
          <t>NA</t>
        </is>
      </c>
      <c r="AB373" s="994" t="inlineStr">
        <is>
          <t>CALCULS PRUDENTIELS, GRR, SA-CCR</t>
        </is>
      </c>
      <c r="AC373" s="231" t="inlineStr">
        <is>
          <t>ND</t>
        </is>
      </c>
      <c r="AD373" s="257" t="inlineStr">
        <is>
          <t>N</t>
        </is>
      </c>
      <c r="AE373" s="257" t="inlineStr">
        <is>
          <t>TRE203, 207
TRE206
VAR105 et 302</t>
        </is>
      </c>
      <c r="AF373" s="257" t="inlineStr">
        <is>
          <t>NA</t>
        </is>
      </c>
      <c r="AG373" s="258" t="inlineStr">
        <is>
          <t>NA</t>
        </is>
      </c>
      <c r="AH373" s="89" t="n"/>
      <c r="AI373" s="316" t="inlineStr">
        <is>
          <t>La donnée est obligatoire si le type de risque [P1 2.0] = 'VAR105', 'VAR302', 'TRE203', 'TRE206' ou 'TRE207'</t>
        </is>
      </c>
      <c r="AJ373" s="317" t="inlineStr">
        <is>
          <t>The data is mandatory if Risk type [P1 2.0] = 'VAR105', 'VAR302', 'TRE203', 'TRE206' or 'TRE207'</t>
        </is>
      </c>
      <c r="AK373" s="257" t="n">
        <v>6</v>
      </c>
      <c r="AL373" s="420" t="inlineStr">
        <is>
          <t>TPS0785</t>
        </is>
      </c>
      <c r="AM373" s="318" t="inlineStr">
        <is>
          <t>Si elle est renseignée, la valeur doit être connue du Langage Commun associé</t>
        </is>
      </c>
      <c r="AN373" s="317" t="inlineStr">
        <is>
          <t>If specified, the value must be known to the associated Common Language</t>
        </is>
      </c>
      <c r="AO373" s="257" t="n">
        <v>7</v>
      </c>
      <c r="AP373" s="212" t="inlineStr">
        <is>
          <t>TIG0001</t>
        </is>
      </c>
      <c r="AQ373" s="421" t="n"/>
      <c r="AR373" s="422" t="n"/>
      <c r="AS373" s="348" t="n"/>
      <c r="AT373" s="423" t="n"/>
      <c r="AU373" s="318" t="n"/>
      <c r="AV373" s="317" t="n"/>
      <c r="AW373" s="257" t="n"/>
      <c r="AX373" s="258" t="n"/>
      <c r="AY373" s="318" t="n"/>
      <c r="AZ373" s="317" t="n"/>
      <c r="BA373" s="257" t="n"/>
      <c r="BB373" s="258" t="n"/>
      <c r="BC373" s="316" t="n"/>
      <c r="BD373" s="317" t="n"/>
      <c r="BE373" s="257" t="n"/>
      <c r="BF373" s="258" t="n"/>
      <c r="BG373" s="89" t="n"/>
      <c r="BH3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73">
        <f>_xlfn.LET(r,ROW(),oc,INDEX($A:$A,r),cv,TRIM(INDEX($Y:$Y,r)&amp;""),IF(oc&lt;&gt;"P1","",IF(cv="45","V45 - novo, nao alimentado pelo spool atual","V44 - alimentado pelo spool atual")))</f>
        <v/>
      </c>
    </row>
    <row r="374" ht="54" customFormat="1" customHeight="1" s="90">
      <c r="A374" s="306" t="inlineStr">
        <is>
          <t>P1</t>
        </is>
      </c>
      <c r="B374" s="307" t="n">
        <v>139</v>
      </c>
      <c r="C374" s="269" t="inlineStr">
        <is>
          <t>05 - Caractéristiques Cessions temporaires de titres</t>
        </is>
      </c>
      <c r="D374" s="310" t="inlineStr">
        <is>
          <t>05 - Temporary Assignment characteristics of securities</t>
        </is>
      </c>
      <c r="E374" s="307" t="inlineStr">
        <is>
          <t>P1 7.25</t>
        </is>
      </c>
      <c r="F374" s="308" t="inlineStr">
        <is>
          <t>Indicateur de période de liquidation à doubler</t>
        </is>
      </c>
      <c r="G374" s="309" t="inlineStr">
        <is>
          <t>Indicator of settlement period to be doubled</t>
        </is>
      </c>
      <c r="H374" s="1493">
        <f>"RPAD( "&amp;SUBSTITUTE(SUBSTITUTE(E374," ","_"),".","_")&amp;","&amp;W374&amp;",' '); -- "&amp;E374</f>
        <v/>
      </c>
      <c r="I374" s="241" t="inlineStr">
        <is>
          <t>Au sein d'un ensemble de compensation sur des produits de Marché (dérivés ou Repos) où des appels de marge sont échangés, la période de liquidation de l'actif représentatif de la marge échangée doit être doublée par rapport à sa valeur de référence lorsqu'au moins deux litiges ont été observés durant les deux trimestres précédents. Cette période de liquidation est prise en compte dans le calcul de la décote forfaitaire sur cet actif</t>
        </is>
      </c>
      <c r="J374" s="309" t="inlineStr">
        <is>
          <t>Within a compensation set for marketable products (derivatives or repo) where margin calls are exchanged, the liquidation period of the asset representing the exchanged margin must be doubled compared to its reference value where at least two disputes have been observed in the two preceding quarters. This liquidation period shall be taken into account in the calculation of the lump - sum haircut on that asset</t>
        </is>
      </c>
      <c r="K374" s="370" t="inlineStr">
        <is>
          <t>ND</t>
        </is>
      </c>
      <c r="L374" s="371" t="inlineStr">
        <is>
          <t>ND</t>
        </is>
      </c>
      <c r="M374" s="1420" t="inlineStr">
        <is>
          <t>prdLiqX2</t>
        </is>
      </c>
      <c r="N374" s="257" t="inlineStr">
        <is>
          <t>Obligatoire sous conditions</t>
        </is>
      </c>
      <c r="O374" s="236" t="inlineStr">
        <is>
          <t>Mandatory under conditions</t>
        </is>
      </c>
      <c r="P374" s="505" t="inlineStr">
        <is>
          <t>LC.0477</t>
        </is>
      </c>
      <c r="Q374" s="505" t="inlineStr">
        <is>
          <t>TA Z8IPLDOU</t>
        </is>
      </c>
      <c r="R374" s="241" t="inlineStr">
        <is>
          <t>Obligatoire pour les marges initiales versées auprès d'une CCP ou d'un dépositaire indépendant</t>
        </is>
      </c>
      <c r="S374" s="233" t="inlineStr">
        <is>
          <t>Mandatory for initial margins paid to a CCP or an independent depository</t>
        </is>
      </c>
      <c r="T374" s="313" t="inlineStr">
        <is>
          <t>ALPHA</t>
        </is>
      </c>
      <c r="U374" s="237" t="inlineStr">
        <is>
          <t>NA</t>
        </is>
      </c>
      <c r="V374" s="238" t="inlineStr">
        <is>
          <t>NA</t>
        </is>
      </c>
      <c r="W374" s="257" t="n">
        <v>1</v>
      </c>
      <c r="X374" s="945" t="inlineStr">
        <is>
          <t>NA</t>
        </is>
      </c>
      <c r="Y374" s="237" t="n">
        <v>40</v>
      </c>
      <c r="Z374" s="237" t="inlineStr">
        <is>
          <t>NA</t>
        </is>
      </c>
      <c r="AA374" s="270" t="inlineStr">
        <is>
          <t>NA</t>
        </is>
      </c>
      <c r="AB374" s="994" t="inlineStr">
        <is>
          <t>CALCULS PRUDENTIELS, GRR, SA-CCR</t>
        </is>
      </c>
      <c r="AC374" s="231" t="inlineStr">
        <is>
          <t>ND</t>
        </is>
      </c>
      <c r="AD374" s="257" t="inlineStr">
        <is>
          <t>N</t>
        </is>
      </c>
      <c r="AE374" s="257" t="inlineStr">
        <is>
          <t>TRE203, 207
TRE206
VAR105 et 302</t>
        </is>
      </c>
      <c r="AF374" s="257" t="inlineStr">
        <is>
          <t>NA</t>
        </is>
      </c>
      <c r="AG374" s="258" t="inlineStr">
        <is>
          <t>NA</t>
        </is>
      </c>
      <c r="AH374" s="89" t="n"/>
      <c r="AI374" s="316" t="inlineStr">
        <is>
          <t>La donnée est obligatoire si le type de risque [P1 2.0] = 'VAR105', 'VAR302', 'TRE203', 'TRE206' ou 'TRE207'</t>
        </is>
      </c>
      <c r="AJ374" s="317" t="inlineStr">
        <is>
          <t>The data is mandatory if Risk type [P1 2.0] = 'VAR105', 'VAR302', 'TRE203', 'TRE206' or 'TRE207'</t>
        </is>
      </c>
      <c r="AK374" s="257" t="n">
        <v>6</v>
      </c>
      <c r="AL374" s="420" t="inlineStr">
        <is>
          <t>TPS0785</t>
        </is>
      </c>
      <c r="AM374" s="318" t="inlineStr">
        <is>
          <t>Si elle est renseignée, la valeur doit être connue du Langage Commun associé</t>
        </is>
      </c>
      <c r="AN374" s="317" t="inlineStr">
        <is>
          <t>If specified, the value must be known to the associated Common Language</t>
        </is>
      </c>
      <c r="AO374" s="257" t="n">
        <v>7</v>
      </c>
      <c r="AP374" s="212" t="inlineStr">
        <is>
          <t>TIG0001</t>
        </is>
      </c>
      <c r="AQ374" s="421" t="n"/>
      <c r="AR374" s="422" t="n"/>
      <c r="AS374" s="348" t="n"/>
      <c r="AT374" s="423" t="n"/>
      <c r="AU374" s="318" t="n"/>
      <c r="AV374" s="317" t="n"/>
      <c r="AW374" s="257" t="n"/>
      <c r="AX374" s="258" t="n"/>
      <c r="AY374" s="318" t="n"/>
      <c r="AZ374" s="317" t="n"/>
      <c r="BA374" s="257" t="n"/>
      <c r="BB374" s="258" t="n"/>
      <c r="BC374" s="316" t="n"/>
      <c r="BD374" s="317" t="n"/>
      <c r="BE374" s="257" t="n"/>
      <c r="BF374" s="258" t="n"/>
      <c r="BG374" s="89" t="n"/>
      <c r="BH3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74">
        <f>_xlfn.LET(r,ROW(),oc,INDEX($A:$A,r),cv,TRIM(INDEX($Y:$Y,r)&amp;""),IF(oc&lt;&gt;"P1","",IF(cv="45","V45 - novo, nao alimentado pelo spool atual","V44 - alimentado pelo spool atual")))</f>
        <v/>
      </c>
    </row>
    <row r="375" ht="54" customFormat="1" customHeight="1" s="91">
      <c r="A375" s="306" t="inlineStr">
        <is>
          <t>P1</t>
        </is>
      </c>
      <c r="B375" s="307" t="n">
        <v>140</v>
      </c>
      <c r="C375" s="269" t="inlineStr">
        <is>
          <t>18 - Caractéristiques Titrisation</t>
        </is>
      </c>
      <c r="D375" s="310" t="inlineStr">
        <is>
          <t>18 - Securitization characteristics</t>
        </is>
      </c>
      <c r="E375" s="307" t="inlineStr">
        <is>
          <t>P1 16.3</t>
        </is>
      </c>
      <c r="F375" s="308" t="inlineStr">
        <is>
          <t>Séniorité de la tranche dans le véhicule</t>
        </is>
      </c>
      <c r="G375" s="309" t="inlineStr">
        <is>
          <t>Seniority of tranche in vehicle</t>
        </is>
      </c>
      <c r="H375" s="1493">
        <f>"RPAD( "&amp;SUBSTITUTE(SUBSTITUTE(E375," ","_"),".","_")&amp;","&amp;W375&amp;",' '); -- "&amp;E375</f>
        <v/>
      </c>
      <c r="I375" s="241" t="inlineStr">
        <is>
          <t>Séniorité de la tranche sous-jacente à l'opération</t>
        </is>
      </c>
      <c r="J375" s="309" t="inlineStr">
        <is>
          <t>Seniority of the tranche underlying the transaction</t>
        </is>
      </c>
      <c r="K375" s="370" t="inlineStr">
        <is>
          <t>ND</t>
        </is>
      </c>
      <c r="L375" s="371" t="inlineStr">
        <is>
          <t>ND</t>
        </is>
      </c>
      <c r="M375" s="1420" t="inlineStr">
        <is>
          <t>SenTranVeh</t>
        </is>
      </c>
      <c r="N375" s="269" t="inlineStr">
        <is>
          <t>Obligatoire sous conditions</t>
        </is>
      </c>
      <c r="O375" s="310" t="inlineStr">
        <is>
          <t>Mandatory under conditions</t>
        </is>
      </c>
      <c r="P375" s="269" t="inlineStr">
        <is>
          <t>LC.0026</t>
        </is>
      </c>
      <c r="Q375" s="269" t="inlineStr">
        <is>
          <t>TA KVSENIOR</t>
        </is>
      </c>
      <c r="R375" s="241" t="inlineStr">
        <is>
          <t>NA</t>
        </is>
      </c>
      <c r="S375" s="233" t="inlineStr">
        <is>
          <t>NA</t>
        </is>
      </c>
      <c r="T375" s="313" t="inlineStr">
        <is>
          <t>ALPHA</t>
        </is>
      </c>
      <c r="U375" s="237" t="inlineStr">
        <is>
          <t>NA</t>
        </is>
      </c>
      <c r="V375" s="238" t="inlineStr">
        <is>
          <t>NA</t>
        </is>
      </c>
      <c r="W375" s="257" t="n">
        <v>3</v>
      </c>
      <c r="X375" s="945" t="inlineStr">
        <is>
          <t>NA</t>
        </is>
      </c>
      <c r="Y375" s="237" t="n">
        <v>40</v>
      </c>
      <c r="Z375" s="237" t="inlineStr">
        <is>
          <t>NA</t>
        </is>
      </c>
      <c r="AA375" s="270" t="inlineStr">
        <is>
          <t>NA</t>
        </is>
      </c>
      <c r="AB375" s="994" t="inlineStr">
        <is>
          <t>AER, ANACREDIT, CALCULS PRUDENTIELS, DEI, LOAN TAPE, SHS</t>
        </is>
      </c>
      <c r="AC375" s="231" t="inlineStr">
        <is>
          <t>ND</t>
        </is>
      </c>
      <c r="AD375" s="257" t="inlineStr">
        <is>
          <t>N</t>
        </is>
      </c>
      <c r="AE375" s="257" t="inlineStr">
        <is>
          <t xml:space="preserve">ISS200 et 300
TRE2 à 4XX hors 203,205,206,207
SIG
</t>
        </is>
      </c>
      <c r="AF375" s="257" t="inlineStr">
        <is>
          <t>NA</t>
        </is>
      </c>
      <c r="AG375" s="258" t="inlineStr">
        <is>
          <t>NA</t>
        </is>
      </c>
      <c r="AH375" s="89" t="n"/>
      <c r="AI375" s="353" t="inlineStr">
        <is>
          <t>La donnée est obligatoire si (le type de risque [P1 2.0] est égal à 'TRE2xx' à 'TRE4xx', 'ISS200', 'ISS300', 'SIGxxx' hors ('TRE203', 'TRE205', 'TRE206', 'TRE207')) ET si (le Portefeuille Bâle Opération [P1 2.18] est égal à '070')</t>
        </is>
      </c>
      <c r="AJ375" s="317" t="inlineStr">
        <is>
          <t>The data is mandatory if (Risk type [P1 2.0] is equal to 'TRE2xx' to 'TRE4xx', 'ISS200', 'ISS300', 'SIGxxx' except ('TRE203', 'TRE205', 'TRE206', 'TRE207')) AND if (the Basel Transaction Portfolio [P1 2.18] is equal to '070')</t>
        </is>
      </c>
      <c r="AK375" s="269" t="n">
        <v>6</v>
      </c>
      <c r="AL375" s="366" t="inlineStr">
        <is>
          <t>TPS0739</t>
        </is>
      </c>
      <c r="AM375" s="452" t="inlineStr">
        <is>
          <t>Si elle est renseignée, la valeur doit être connue du Langage Commun associé</t>
        </is>
      </c>
      <c r="AN375" s="377" t="inlineStr">
        <is>
          <t>If specified, the value must be known to the associated Common Language</t>
        </is>
      </c>
      <c r="AO375" s="257" t="n">
        <v>7</v>
      </c>
      <c r="AP375" s="212" t="inlineStr">
        <is>
          <t>TIG0001</t>
        </is>
      </c>
      <c r="AQ375" s="318" t="n"/>
      <c r="AR375" s="317" t="n"/>
      <c r="AS375" s="257" t="n"/>
      <c r="AT375" s="258" t="n"/>
      <c r="AU375" s="318" t="n"/>
      <c r="AV375" s="317" t="n"/>
      <c r="AW375" s="257" t="n"/>
      <c r="AX375" s="258" t="n"/>
      <c r="AY375" s="318" t="n"/>
      <c r="AZ375" s="317" t="n"/>
      <c r="BA375" s="257" t="n"/>
      <c r="BB375" s="258" t="n"/>
      <c r="BC375" s="316" t="n"/>
      <c r="BD375" s="317" t="n"/>
      <c r="BE375" s="257" t="n"/>
      <c r="BF375" s="258" t="n"/>
      <c r="BG375" s="89" t="n"/>
      <c r="BH3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75">
        <f>_xlfn.LET(r,ROW(),oc,INDEX($A:$A,r),cv,TRIM(INDEX($Y:$Y,r)&amp;""),IF(oc&lt;&gt;"P1","",IF(cv="45","V45 - novo, nao alimentado pelo spool atual","V44 - alimentado pelo spool atual")))</f>
        <v/>
      </c>
    </row>
    <row r="376" ht="54" customFormat="1" customHeight="1" s="57">
      <c r="A376" s="325" t="inlineStr">
        <is>
          <t>P1</t>
        </is>
      </c>
      <c r="B376" s="326" t="n">
        <v>141</v>
      </c>
      <c r="C376" s="284" t="inlineStr">
        <is>
          <t>18 - Caractéristiques Titrisation</t>
        </is>
      </c>
      <c r="D376" s="284" t="inlineStr">
        <is>
          <t>18 - Securitization characteristics</t>
        </is>
      </c>
      <c r="E376" s="326" t="inlineStr">
        <is>
          <t>P1 11.33</t>
        </is>
      </c>
      <c r="F376" s="327" t="inlineStr">
        <is>
          <t>Rating de la tranche</t>
        </is>
      </c>
      <c r="G376" s="327" t="inlineStr">
        <is>
          <t>Tranche rating</t>
        </is>
      </c>
      <c r="H376" s="1493">
        <f>"RPAD( "&amp;SUBSTITUTE(SUBSTITUTE(E376," ","_"),".","_")&amp;","&amp;W376&amp;",' '); -- "&amp;E376</f>
        <v/>
      </c>
      <c r="I376" s="245" t="inlineStr">
        <is>
          <t>Rating de la tranche dans l'échelle de la source du rating</t>
        </is>
      </c>
      <c r="J376" s="327" t="inlineStr">
        <is>
          <t>Rating of the tranche in the rating source</t>
        </is>
      </c>
      <c r="K376" s="284" t="inlineStr">
        <is>
          <t>NA</t>
        </is>
      </c>
      <c r="L376" s="284" t="inlineStr">
        <is>
          <t>NA</t>
        </is>
      </c>
      <c r="M376" s="1421" t="inlineStr">
        <is>
          <t>cdRatTra</t>
        </is>
      </c>
      <c r="N376" s="284" t="inlineStr">
        <is>
          <t>NA</t>
        </is>
      </c>
      <c r="O376" s="284" t="inlineStr">
        <is>
          <t>NA</t>
        </is>
      </c>
      <c r="P376" s="284" t="inlineStr">
        <is>
          <t>LC.0355</t>
        </is>
      </c>
      <c r="Q376" s="284" t="inlineStr">
        <is>
          <t>RB HHRATING</t>
        </is>
      </c>
      <c r="R376" s="245" t="inlineStr">
        <is>
          <t>NA</t>
        </is>
      </c>
      <c r="S376" s="245" t="inlineStr">
        <is>
          <t>NA</t>
        </is>
      </c>
      <c r="T376" s="326" t="inlineStr">
        <is>
          <t>ALPHA</t>
        </is>
      </c>
      <c r="U376" s="248" t="inlineStr">
        <is>
          <t>NA</t>
        </is>
      </c>
      <c r="V376" s="248" t="inlineStr">
        <is>
          <t>NA</t>
        </is>
      </c>
      <c r="W376" s="284" t="n">
        <v>5</v>
      </c>
      <c r="X376" s="244" t="inlineStr">
        <is>
          <t>NA</t>
        </is>
      </c>
      <c r="Y376" s="248" t="n">
        <v>40</v>
      </c>
      <c r="Z376" s="248" t="n">
        <v>43</v>
      </c>
      <c r="AA376" s="248" t="inlineStr">
        <is>
          <t>NA</t>
        </is>
      </c>
      <c r="AB376" s="284" t="inlineStr">
        <is>
          <t>ANACREDIT, COREP - RS STD, COREP TITRISATION</t>
        </is>
      </c>
      <c r="AC376" s="244" t="inlineStr">
        <is>
          <t>NA</t>
        </is>
      </c>
      <c r="AD376" s="284" t="inlineStr">
        <is>
          <t>N</t>
        </is>
      </c>
      <c r="AE376" s="284" t="inlineStr">
        <is>
          <t xml:space="preserve">ISS200 et 300
TRE2 à 4XX hors 203,205,206,207
SIG
</t>
        </is>
      </c>
      <c r="AF376" s="284" t="inlineStr">
        <is>
          <t>NA</t>
        </is>
      </c>
      <c r="AG376" s="285" t="inlineStr">
        <is>
          <t>NA</t>
        </is>
      </c>
      <c r="AH376" s="89" t="n"/>
      <c r="AI376" s="506" t="n"/>
      <c r="AJ376" s="507" t="n"/>
      <c r="AK376" s="508" t="n"/>
      <c r="AL376" s="509" t="n"/>
      <c r="AM376" s="510" t="n"/>
      <c r="AN376" s="510" t="n"/>
      <c r="AO376" s="508" t="n"/>
      <c r="AP376" s="509" t="n"/>
      <c r="AQ376" s="331" t="n"/>
      <c r="AR376" s="331" t="n"/>
      <c r="AS376" s="284" t="n"/>
      <c r="AT376" s="285" t="n"/>
      <c r="AU376" s="331" t="n"/>
      <c r="AV376" s="331" t="n"/>
      <c r="AW376" s="284" t="n"/>
      <c r="AX376" s="285" t="n"/>
      <c r="AY376" s="331" t="n"/>
      <c r="AZ376" s="331" t="n"/>
      <c r="BA376" s="284" t="n"/>
      <c r="BB376" s="285" t="n"/>
      <c r="BC376" s="330" t="n"/>
      <c r="BD376" s="331" t="n"/>
      <c r="BE376" s="284" t="n"/>
      <c r="BF376" s="285" t="n"/>
      <c r="BG376" s="89" t="n"/>
      <c r="BH3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76">
        <f>_xlfn.LET(r,ROW(),oc,INDEX($A:$A,r),cv,TRIM(INDEX($Y:$Y,r)&amp;""),IF(oc&lt;&gt;"P1","",IF(cv="45","V45 - novo, nao alimentado pelo spool atual","V44 - alimentado pelo spool atual")))</f>
        <v/>
      </c>
    </row>
    <row r="377" ht="54" customFormat="1" customHeight="1" s="57">
      <c r="A377" s="325" t="inlineStr">
        <is>
          <t>P1</t>
        </is>
      </c>
      <c r="B377" s="326" t="n">
        <v>142</v>
      </c>
      <c r="C377" s="284" t="inlineStr">
        <is>
          <t>NA</t>
        </is>
      </c>
      <c r="D377" s="284" t="inlineStr">
        <is>
          <t>NA</t>
        </is>
      </c>
      <c r="E377" s="326" t="inlineStr">
        <is>
          <t>P1 11.12</t>
        </is>
      </c>
      <c r="F377" s="327" t="inlineStr">
        <is>
          <t>Source du rating de la tranche</t>
        </is>
      </c>
      <c r="G377" s="327" t="inlineStr">
        <is>
          <t>Source of tranche rating</t>
        </is>
      </c>
      <c r="H377" s="1493">
        <f>"RPAD( "&amp;SUBSTITUTE(SUBSTITUTE(E377," ","_"),".","_")&amp;","&amp;W377&amp;",' '); -- "&amp;E377</f>
        <v/>
      </c>
      <c r="I377" s="245" t="inlineStr">
        <is>
          <t>Source du rating de la tranche</t>
        </is>
      </c>
      <c r="J377" s="327" t="inlineStr">
        <is>
          <t>Source of tranche rating</t>
        </is>
      </c>
      <c r="K377" s="388" t="inlineStr">
        <is>
          <t>NA</t>
        </is>
      </c>
      <c r="L377" s="388" t="inlineStr">
        <is>
          <t>NA</t>
        </is>
      </c>
      <c r="M377" s="1421" t="inlineStr">
        <is>
          <t>cdSrcRatTra</t>
        </is>
      </c>
      <c r="N377" s="284" t="inlineStr">
        <is>
          <t>NA</t>
        </is>
      </c>
      <c r="O377" s="244" t="inlineStr">
        <is>
          <t>NA</t>
        </is>
      </c>
      <c r="P377" s="284" t="inlineStr">
        <is>
          <t>NA</t>
        </is>
      </c>
      <c r="Q377" s="284" t="inlineStr">
        <is>
          <t>NA</t>
        </is>
      </c>
      <c r="R377" s="245" t="inlineStr">
        <is>
          <t>Concerne les encours déclarés en portefeuille Bâle Opération (P1 2.18) = '070' (Titrisation)
Les valeurs possibles sont : 
sources externes : 
01 : FITCH, 
02 : MOODYS
03 : S&amp;P, 
source interne dite : 
04 : IAA</t>
        </is>
      </c>
      <c r="S377" s="245" t="inlineStr">
        <is>
          <t>Concerns outstandings reported in the basel transaction portfolio (P2 2.18) = '070' (securitization)
The possible values are: 
External sources: 
01: FITCH, 
02: MOODY'S
03: S&amp;P, 
So-called internal source: 
04: IAA</t>
        </is>
      </c>
      <c r="T377" s="326" t="inlineStr">
        <is>
          <t>ALPHA</t>
        </is>
      </c>
      <c r="U377" s="248" t="inlineStr">
        <is>
          <t>NA</t>
        </is>
      </c>
      <c r="V377" s="248" t="inlineStr">
        <is>
          <t>NA</t>
        </is>
      </c>
      <c r="W377" s="284" t="n">
        <v>2</v>
      </c>
      <c r="X377" s="244" t="inlineStr">
        <is>
          <t>NA</t>
        </is>
      </c>
      <c r="Y377" s="248" t="n">
        <v>40</v>
      </c>
      <c r="Z377" s="248" t="n">
        <v>43</v>
      </c>
      <c r="AA377" s="248" t="inlineStr">
        <is>
          <t>NA</t>
        </is>
      </c>
      <c r="AB377" s="284" t="inlineStr">
        <is>
          <t>ANACREDIT, COREP - RS STD, COREP TITRISATION</t>
        </is>
      </c>
      <c r="AC377" s="244" t="inlineStr">
        <is>
          <t>NA</t>
        </is>
      </c>
      <c r="AD377" s="284" t="inlineStr">
        <is>
          <t>N</t>
        </is>
      </c>
      <c r="AE377" s="284" t="inlineStr">
        <is>
          <t xml:space="preserve">ISS200 et 300
TRE2 à 4XX hors 203,205,206,207
SIG
</t>
        </is>
      </c>
      <c r="AF377" s="284" t="inlineStr">
        <is>
          <t>NA</t>
        </is>
      </c>
      <c r="AG377" s="285" t="inlineStr">
        <is>
          <t>NA</t>
        </is>
      </c>
      <c r="AH377" s="89" t="n"/>
      <c r="AI377" s="330" t="n"/>
      <c r="AJ377" s="331" t="n"/>
      <c r="AK377" s="284" t="n"/>
      <c r="AL377" s="285" t="n"/>
      <c r="AM377" s="331" t="n"/>
      <c r="AN377" s="331" t="n"/>
      <c r="AO377" s="284" t="n"/>
      <c r="AP377" s="285" t="n"/>
      <c r="AQ377" s="507" t="n"/>
      <c r="AR377" s="507" t="n"/>
      <c r="AS377" s="508" t="n"/>
      <c r="AT377" s="509" t="n"/>
      <c r="AU377" s="331" t="n"/>
      <c r="AV377" s="331" t="n"/>
      <c r="AW377" s="284" t="n"/>
      <c r="AX377" s="285" t="n"/>
      <c r="AY377" s="331" t="n"/>
      <c r="AZ377" s="331" t="n"/>
      <c r="BA377" s="284" t="n"/>
      <c r="BB377" s="285" t="n"/>
      <c r="BC377" s="330" t="n"/>
      <c r="BD377" s="331" t="n"/>
      <c r="BE377" s="284" t="n"/>
      <c r="BF377" s="285" t="n"/>
      <c r="BG377" s="89" t="n"/>
      <c r="BH3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77">
        <f>_xlfn.LET(r,ROW(),oc,INDEX($A:$A,r),cv,TRIM(INDEX($Y:$Y,r)&amp;""),IF(oc&lt;&gt;"P1","",IF(cv="45","V45 - novo, nao alimentado pelo spool atual","V44 - alimentado pelo spool atual")))</f>
        <v/>
      </c>
    </row>
    <row r="378" ht="54" customFormat="1" customHeight="1" s="91">
      <c r="A378" s="306" t="inlineStr">
        <is>
          <t>P1</t>
        </is>
      </c>
      <c r="B378" s="307" t="n">
        <v>143</v>
      </c>
      <c r="C378" s="269" t="inlineStr">
        <is>
          <t>18 - Caractéristiques Titrisation</t>
        </is>
      </c>
      <c r="D378" s="310" t="inlineStr">
        <is>
          <t>18 - Securitization characteristics</t>
        </is>
      </c>
      <c r="E378" s="307" t="inlineStr">
        <is>
          <t>P1 16.9</t>
        </is>
      </c>
      <c r="F378" s="308" t="inlineStr">
        <is>
          <t>Indicateur 'Granularité des parts'</t>
        </is>
      </c>
      <c r="G378" s="363" t="inlineStr">
        <is>
          <t>Granularity of units' Indicator</t>
        </is>
      </c>
      <c r="H378" s="1493">
        <f>"RPAD( "&amp;SUBSTITUTE(SUBSTITUTE(E378," ","_"),".","_")&amp;","&amp;W378&amp;",' '); -- "&amp;E378</f>
        <v/>
      </c>
      <c r="I378" s="241" t="inlineStr">
        <is>
          <t>Indicateur permettant d'apprécier la granularité des actifs sous- jacents titrisés</t>
        </is>
      </c>
      <c r="J378" s="309" t="inlineStr">
        <is>
          <t>Indicator making it possible to assess the granularity of the securitised underlying assets</t>
        </is>
      </c>
      <c r="K378" s="370" t="inlineStr">
        <is>
          <t>ND</t>
        </is>
      </c>
      <c r="L378" s="371" t="inlineStr">
        <is>
          <t>ND</t>
        </is>
      </c>
      <c r="M378" s="1420" t="inlineStr">
        <is>
          <t>cdGranularitePart</t>
        </is>
      </c>
      <c r="N378" s="257" t="inlineStr">
        <is>
          <t>Facultatif</t>
        </is>
      </c>
      <c r="O378" s="236" t="inlineStr">
        <is>
          <t>Optional</t>
        </is>
      </c>
      <c r="P378" s="269" t="inlineStr">
        <is>
          <t>NA</t>
        </is>
      </c>
      <c r="Q378" s="269" t="inlineStr">
        <is>
          <t>NA</t>
        </is>
      </c>
      <c r="R378" s="241" t="inlineStr">
        <is>
          <t>Concerne les encours déclarés en portefeuille Bâle Opération (P1 2.18) = '070' (Titrisation)
Il s'agit de la granularité au sens Bâlois</t>
        </is>
      </c>
      <c r="S378" s="233" t="inlineStr">
        <is>
          <t>Covers the reported in the Basel Portfolio Operation (P1 2.18) = '070' (Securitization)
It's about granularity in the Basel sense</t>
        </is>
      </c>
      <c r="T378" s="313" t="inlineStr">
        <is>
          <t>ALPHA</t>
        </is>
      </c>
      <c r="U378" s="237" t="inlineStr">
        <is>
          <t>NA</t>
        </is>
      </c>
      <c r="V378" s="238" t="inlineStr">
        <is>
          <t>NA</t>
        </is>
      </c>
      <c r="W378" s="257" t="n">
        <v>1</v>
      </c>
      <c r="X378" s="945" t="inlineStr">
        <is>
          <t>NA</t>
        </is>
      </c>
      <c r="Y378" s="237" t="n">
        <v>40</v>
      </c>
      <c r="Z378" s="237" t="inlineStr">
        <is>
          <t>NA</t>
        </is>
      </c>
      <c r="AA378" s="237" t="inlineStr">
        <is>
          <t>NA</t>
        </is>
      </c>
      <c r="AB378" s="269" t="inlineStr">
        <is>
          <t>ANACREDIT</t>
        </is>
      </c>
      <c r="AC378" s="231" t="inlineStr">
        <is>
          <t>ND</t>
        </is>
      </c>
      <c r="AD378" s="257" t="inlineStr">
        <is>
          <t>N</t>
        </is>
      </c>
      <c r="AE378" s="257" t="inlineStr">
        <is>
          <t xml:space="preserve">ISS200 et 300
TRE2 à 4XX hors 203,205,206,207
SIG
</t>
        </is>
      </c>
      <c r="AF378" s="257" t="inlineStr">
        <is>
          <t>NA</t>
        </is>
      </c>
      <c r="AG378" s="258" t="inlineStr">
        <is>
          <t>NA</t>
        </is>
      </c>
      <c r="AH378" s="89" t="n"/>
      <c r="AI378" s="316" t="n"/>
      <c r="AJ378" s="317" t="n"/>
      <c r="AK378" s="257" t="n"/>
      <c r="AL378" s="258" t="n"/>
      <c r="AM378" s="318" t="n"/>
      <c r="AN378" s="317" t="n"/>
      <c r="AO378" s="257" t="n"/>
      <c r="AP378" s="258" t="n"/>
      <c r="AQ378" s="318" t="n"/>
      <c r="AR378" s="317" t="n"/>
      <c r="AS378" s="257" t="n"/>
      <c r="AT378" s="258" t="n"/>
      <c r="AU378" s="318" t="n"/>
      <c r="AV378" s="317" t="n"/>
      <c r="AW378" s="257" t="n"/>
      <c r="AX378" s="258" t="n"/>
      <c r="AY378" s="318" t="n"/>
      <c r="AZ378" s="317" t="n"/>
      <c r="BA378" s="257" t="n"/>
      <c r="BB378" s="258" t="n"/>
      <c r="BC378" s="316" t="n"/>
      <c r="BD378" s="317" t="n"/>
      <c r="BE378" s="257" t="n"/>
      <c r="BF378" s="258" t="n"/>
      <c r="BG378" s="89" t="n"/>
      <c r="BH3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78">
        <f>_xlfn.LET(r,ROW(),oc,INDEX($A:$A,r),cv,TRIM(INDEX($Y:$Y,r)&amp;""),IF(oc&lt;&gt;"P1","",IF(cv="45","V45 - novo, nao alimentado pelo spool atual","V44 - alimentado pelo spool atual")))</f>
        <v/>
      </c>
    </row>
    <row r="379" ht="54" customFormat="1" customHeight="1" s="91">
      <c r="A379" s="306" t="inlineStr">
        <is>
          <t>P1</t>
        </is>
      </c>
      <c r="B379" s="307" t="n">
        <v>144</v>
      </c>
      <c r="C379" s="269" t="inlineStr">
        <is>
          <t>18 - Caractéristiques Titrisation</t>
        </is>
      </c>
      <c r="D379" s="310" t="inlineStr">
        <is>
          <t>18 - Securitization characteristics</t>
        </is>
      </c>
      <c r="E379" s="307" t="inlineStr">
        <is>
          <t>P1 16.12</t>
        </is>
      </c>
      <c r="F379" s="308" t="inlineStr">
        <is>
          <t>Code position de la banque dans le programme</t>
        </is>
      </c>
      <c r="G379" s="309" t="inlineStr">
        <is>
          <t>Position code of bank in program</t>
        </is>
      </c>
      <c r="H379" s="1493">
        <f>"RPAD( "&amp;SUBSTITUTE(SUBSTITUTE(E379," ","_"),".","_")&amp;","&amp;W379&amp;",' '); -- "&amp;E379</f>
        <v/>
      </c>
      <c r="I379" s="241" t="inlineStr">
        <is>
          <t xml:space="preserve">Correspond à la position ou statut de la banque dans le programme de titrisation </t>
        </is>
      </c>
      <c r="J379" s="309" t="inlineStr">
        <is>
          <t>Represents the position or status of the bank in the securitisation program</t>
        </is>
      </c>
      <c r="K379" s="370" t="inlineStr">
        <is>
          <t>ND</t>
        </is>
      </c>
      <c r="L379" s="371" t="inlineStr">
        <is>
          <t>ND</t>
        </is>
      </c>
      <c r="M379" s="1420" t="inlineStr">
        <is>
          <t>cdPosBankProg</t>
        </is>
      </c>
      <c r="N379" s="269" t="inlineStr">
        <is>
          <t>Obligatoire sous conditions</t>
        </is>
      </c>
      <c r="O379" s="310" t="inlineStr">
        <is>
          <t>Mandatory under conditions</t>
        </is>
      </c>
      <c r="P379" s="269" t="inlineStr">
        <is>
          <t>LC.0113</t>
        </is>
      </c>
      <c r="Q379" s="269" t="inlineStr">
        <is>
          <t>TA KVPTITRI</t>
        </is>
      </c>
      <c r="R379" s="241" t="inlineStr">
        <is>
          <t>NA</t>
        </is>
      </c>
      <c r="S379" s="233" t="inlineStr">
        <is>
          <t>NA</t>
        </is>
      </c>
      <c r="T379" s="313" t="inlineStr">
        <is>
          <t>ALPHA</t>
        </is>
      </c>
      <c r="U379" s="237" t="inlineStr">
        <is>
          <t>NA</t>
        </is>
      </c>
      <c r="V379" s="238" t="inlineStr">
        <is>
          <t>NA</t>
        </is>
      </c>
      <c r="W379" s="257" t="n">
        <v>1</v>
      </c>
      <c r="X379" s="945" t="inlineStr">
        <is>
          <t>NA</t>
        </is>
      </c>
      <c r="Y379" s="237" t="n">
        <v>40</v>
      </c>
      <c r="Z379" s="237" t="inlineStr">
        <is>
          <t>NA</t>
        </is>
      </c>
      <c r="AA379" s="270" t="inlineStr">
        <is>
          <t>NA</t>
        </is>
      </c>
      <c r="AB379" s="994" t="inlineStr">
        <is>
          <t>ANACREDIT, CALCULS PRUDENTIELS</t>
        </is>
      </c>
      <c r="AC379" s="231" t="inlineStr">
        <is>
          <t>ND</t>
        </is>
      </c>
      <c r="AD379" s="257" t="inlineStr">
        <is>
          <t>N</t>
        </is>
      </c>
      <c r="AE379" s="257" t="inlineStr">
        <is>
          <t xml:space="preserve">ISS200 et 300
TRE2 à 4XX hors 203,205,206,207
SIG
</t>
        </is>
      </c>
      <c r="AF379" s="257" t="inlineStr">
        <is>
          <t>NA</t>
        </is>
      </c>
      <c r="AG379" s="258" t="inlineStr">
        <is>
          <t>NA</t>
        </is>
      </c>
      <c r="AH379" s="89" t="n"/>
      <c r="AI379" s="353" t="inlineStr">
        <is>
          <t>La donnée est obligatoire si (le type de risque [P1 2.0] est égal à 'TRE2xx' à 'TRE4xx', 'ISS200', 'ISS300', 'SIGxxx' hors ('TRE203', 'TRE205', 'TRE206', 'TRE207')) ET si (le Portefeuille Bâle Opération [P1 2.18] est égal à '070')</t>
        </is>
      </c>
      <c r="AJ379" s="317" t="inlineStr">
        <is>
          <t>The data is mandatory if (Risk type [P1 2.0] is equal to 'TRE2xx' to 'TRE4xx', 'ISS200', 'ISS300', 'SIGxxx' except ('TRE203', 'TRE205', 'TRE206', 'TRE207')) AND if (the Basel Transaction Portfolio [P1 2.18] is equal to '070')</t>
        </is>
      </c>
      <c r="AK379" s="269" t="n">
        <v>6</v>
      </c>
      <c r="AL379" s="366" t="inlineStr">
        <is>
          <t>TPS0739</t>
        </is>
      </c>
      <c r="AM379" s="452" t="inlineStr">
        <is>
          <t>Si elle est renseignée, la valeur doit être connue du Langage Commun associé</t>
        </is>
      </c>
      <c r="AN379" s="377" t="inlineStr">
        <is>
          <t>If specified, the value must be known to the associated Common Language</t>
        </is>
      </c>
      <c r="AO379" s="257" t="n">
        <v>7</v>
      </c>
      <c r="AP379" s="212" t="inlineStr">
        <is>
          <t>TIG0001</t>
        </is>
      </c>
      <c r="AQ379" s="318" t="n"/>
      <c r="AR379" s="317" t="n"/>
      <c r="AS379" s="257" t="n"/>
      <c r="AT379" s="258" t="n"/>
      <c r="AU379" s="318" t="n"/>
      <c r="AV379" s="317" t="n"/>
      <c r="AW379" s="257" t="n"/>
      <c r="AX379" s="258" t="n"/>
      <c r="AY379" s="318" t="n"/>
      <c r="AZ379" s="317" t="n"/>
      <c r="BA379" s="257" t="n"/>
      <c r="BB379" s="258" t="n"/>
      <c r="BC379" s="316" t="n"/>
      <c r="BD379" s="317" t="n"/>
      <c r="BE379" s="257" t="n"/>
      <c r="BF379" s="258" t="n"/>
      <c r="BG379" s="89" t="n"/>
      <c r="BH3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79">
        <f>_xlfn.LET(r,ROW(),oc,INDEX($A:$A,r),cv,TRIM(INDEX($Y:$Y,r)&amp;""),IF(oc&lt;&gt;"P1","",IF(cv="45","V45 - novo, nao alimentado pelo spool atual","V44 - alimentado pelo spool atual")))</f>
        <v/>
      </c>
    </row>
    <row r="380" ht="54" customFormat="1" customHeight="1" s="91">
      <c r="A380" s="306" t="inlineStr">
        <is>
          <t>P1</t>
        </is>
      </c>
      <c r="B380" s="307" t="n">
        <v>145</v>
      </c>
      <c r="C380" s="269" t="inlineStr">
        <is>
          <t>18 - Caractéristiques Titrisation</t>
        </is>
      </c>
      <c r="D380" s="310" t="inlineStr">
        <is>
          <t>18 - Securitization characteristics</t>
        </is>
      </c>
      <c r="E380" s="307" t="inlineStr">
        <is>
          <t>P1 16.13</t>
        </is>
      </c>
      <c r="F380" s="308" t="inlineStr">
        <is>
          <t>Indicateur Clause de remboursement anticipé</t>
        </is>
      </c>
      <c r="G380" s="363" t="inlineStr">
        <is>
          <t>Early redemption clause' Indicator</t>
        </is>
      </c>
      <c r="H380" s="1493">
        <f>"RPAD( "&amp;SUBSTITUTE(SUBSTITUTE(E380," ","_"),".","_")&amp;","&amp;W380&amp;",' '); -- "&amp;E380</f>
        <v/>
      </c>
      <c r="I380" s="241" t="inlineStr">
        <is>
          <t>Dans le cadre d'un programme de Titrisation, cette clause indique si l'émetteur du programme a l'option de racheter les parts émises auprès des investisseurs, avant le remboursement des expositions titrisées sous-jacentes</t>
        </is>
      </c>
      <c r="J380" s="309" t="inlineStr">
        <is>
          <t>In the context of a Securitization program, this clause indicates whether the program issuer has the option to repurchase the issued shares from investors, prior to the repayment of the underlying securitised exposures</t>
        </is>
      </c>
      <c r="K380" s="370" t="inlineStr">
        <is>
          <t>ND</t>
        </is>
      </c>
      <c r="L380" s="371" t="inlineStr">
        <is>
          <t>ND</t>
        </is>
      </c>
      <c r="M380" s="1420" t="inlineStr">
        <is>
          <t>indClauseRembAnti</t>
        </is>
      </c>
      <c r="N380" s="257" t="inlineStr">
        <is>
          <t>Obligatoire sous conditions</t>
        </is>
      </c>
      <c r="O380" s="236" t="inlineStr">
        <is>
          <t>Mandatory under conditions</t>
        </is>
      </c>
      <c r="P380" s="269" t="inlineStr">
        <is>
          <t>LC.0478</t>
        </is>
      </c>
      <c r="Q380" s="269" t="inlineStr">
        <is>
          <t>TA Z8ICLRAN</t>
        </is>
      </c>
      <c r="R380" s="241" t="inlineStr">
        <is>
          <t>Concerne les encours déclarés en portefeuille Bâle Opération (P1 2.18) = '070' (Titrisation)</t>
        </is>
      </c>
      <c r="S380" s="233" t="inlineStr">
        <is>
          <t>Covers the reported in the Basel Portfolio Operation (P1 2.18) = '070' (Securitization)</t>
        </is>
      </c>
      <c r="T380" s="313" t="inlineStr">
        <is>
          <t>ALPHA</t>
        </is>
      </c>
      <c r="U380" s="237" t="inlineStr">
        <is>
          <t>NA</t>
        </is>
      </c>
      <c r="V380" s="238" t="inlineStr">
        <is>
          <t>NA</t>
        </is>
      </c>
      <c r="W380" s="257" t="n">
        <v>1</v>
      </c>
      <c r="X380" s="945" t="inlineStr">
        <is>
          <t>NA</t>
        </is>
      </c>
      <c r="Y380" s="237" t="n">
        <v>40</v>
      </c>
      <c r="Z380" s="237" t="inlineStr">
        <is>
          <t>NA</t>
        </is>
      </c>
      <c r="AA380" s="270" t="inlineStr">
        <is>
          <t>NA</t>
        </is>
      </c>
      <c r="AB380" s="994" t="inlineStr">
        <is>
          <t>CALCULS PRUDENTIELS, DEI</t>
        </is>
      </c>
      <c r="AC380" s="231" t="inlineStr">
        <is>
          <t>ND</t>
        </is>
      </c>
      <c r="AD380" s="257" t="inlineStr">
        <is>
          <t>N</t>
        </is>
      </c>
      <c r="AE380" s="257" t="inlineStr">
        <is>
          <t xml:space="preserve">ISS200 et 300
TRE2 à 4XX hors 203,205,206,207
SIG
</t>
        </is>
      </c>
      <c r="AF380" s="257" t="inlineStr">
        <is>
          <t>NA</t>
        </is>
      </c>
      <c r="AG380" s="258" t="inlineStr">
        <is>
          <t>NA</t>
        </is>
      </c>
      <c r="AH380" s="89" t="n"/>
      <c r="AI380" s="461" t="inlineStr">
        <is>
          <t>La donnée est obligatoire si le Portefeuille Bâle Opération [P1 2.18] = ‘070'</t>
        </is>
      </c>
      <c r="AJ380" s="317" t="inlineStr">
        <is>
          <t>The data is mandatory if Basel Transaction Portfolio [P1 2.18] = ‘070'</t>
        </is>
      </c>
      <c r="AK380" s="257" t="n">
        <v>6</v>
      </c>
      <c r="AL380" s="335" t="inlineStr">
        <is>
          <t>TPS0793</t>
        </is>
      </c>
      <c r="AM380" s="318" t="inlineStr">
        <is>
          <t>Si elle est renseignée, la valeur doit être connue du Langage Commun associé</t>
        </is>
      </c>
      <c r="AN380" s="317" t="inlineStr">
        <is>
          <t>If specified, the value must be known to the associated Common Language</t>
        </is>
      </c>
      <c r="AO380" s="257" t="n">
        <v>7</v>
      </c>
      <c r="AP380" s="212" t="inlineStr">
        <is>
          <t>TIG0001</t>
        </is>
      </c>
      <c r="AQ380" s="421" t="n"/>
      <c r="AR380" s="422" t="n"/>
      <c r="AS380" s="348" t="n"/>
      <c r="AT380" s="509" t="n"/>
      <c r="AU380" s="318" t="n"/>
      <c r="AV380" s="317" t="n"/>
      <c r="AW380" s="257" t="n"/>
      <c r="AX380" s="258" t="n"/>
      <c r="AY380" s="318" t="n"/>
      <c r="AZ380" s="317" t="n"/>
      <c r="BA380" s="257" t="n"/>
      <c r="BB380" s="258" t="n"/>
      <c r="BC380" s="316" t="n"/>
      <c r="BD380" s="317" t="n"/>
      <c r="BE380" s="257" t="n"/>
      <c r="BF380" s="258" t="n"/>
      <c r="BG380" s="89" t="n"/>
      <c r="BH3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80">
        <f>_xlfn.LET(r,ROW(),oc,INDEX($A:$A,r),cv,TRIM(INDEX($Y:$Y,r)&amp;""),IF(oc&lt;&gt;"P1","",IF(cv="45","V45 - novo, nao alimentado pelo spool atual","V44 - alimentado pelo spool atual")))</f>
        <v/>
      </c>
    </row>
    <row r="381" ht="54" customFormat="1" customHeight="1" s="57">
      <c r="A381" s="325" t="inlineStr">
        <is>
          <t>P1</t>
        </is>
      </c>
      <c r="B381" s="326" t="n">
        <v>146</v>
      </c>
      <c r="C381" s="284" t="inlineStr">
        <is>
          <t>18 - Caractéristiques Titrisation</t>
        </is>
      </c>
      <c r="D381" s="284" t="inlineStr">
        <is>
          <t>18 - Securitization characteristics</t>
        </is>
      </c>
      <c r="E381" s="326" t="inlineStr">
        <is>
          <t>P1 16.15</t>
        </is>
      </c>
      <c r="F381" s="327" t="inlineStr">
        <is>
          <t>Méthode de pondération titrisation</t>
        </is>
      </c>
      <c r="G381" s="327" t="inlineStr">
        <is>
          <t>Securitisation weighting method</t>
        </is>
      </c>
      <c r="H381" s="1493">
        <f>"RPAD( "&amp;SUBSTITUTE(SUBSTITUTE(E381," ","_"),".","_")&amp;","&amp;W381&amp;",' '); -- "&amp;E381</f>
        <v/>
      </c>
      <c r="I381" s="245" t="inlineStr">
        <is>
          <t>Ce champ permet d'identifier la méthode de pondération utilisée</t>
        </is>
      </c>
      <c r="J381" s="327" t="inlineStr">
        <is>
          <t>This field makes it possible to identify the weighting method used</t>
        </is>
      </c>
      <c r="K381" s="388" t="inlineStr">
        <is>
          <t>NA</t>
        </is>
      </c>
      <c r="L381" s="388" t="inlineStr">
        <is>
          <t>NA</t>
        </is>
      </c>
      <c r="M381" s="1421" t="inlineStr">
        <is>
          <t>cdMethPondTitri</t>
        </is>
      </c>
      <c r="N381" s="284" t="inlineStr">
        <is>
          <t>NA</t>
        </is>
      </c>
      <c r="O381" s="284" t="inlineStr">
        <is>
          <t>NA</t>
        </is>
      </c>
      <c r="P381" s="284" t="inlineStr">
        <is>
          <t>LC.0144</t>
        </is>
      </c>
      <c r="Q381" s="284" t="inlineStr">
        <is>
          <t>TA KVMTITRI</t>
        </is>
      </c>
      <c r="R381" s="245" t="inlineStr">
        <is>
          <t>NA</t>
        </is>
      </c>
      <c r="S381" s="245" t="inlineStr">
        <is>
          <t>NA</t>
        </is>
      </c>
      <c r="T381" s="326" t="inlineStr">
        <is>
          <t>ALPHA</t>
        </is>
      </c>
      <c r="U381" s="248" t="inlineStr">
        <is>
          <t>NA</t>
        </is>
      </c>
      <c r="V381" s="248" t="inlineStr">
        <is>
          <t>NA</t>
        </is>
      </c>
      <c r="W381" s="284" t="n">
        <v>7</v>
      </c>
      <c r="X381" s="244" t="inlineStr">
        <is>
          <t>NA</t>
        </is>
      </c>
      <c r="Y381" s="248" t="n">
        <v>40</v>
      </c>
      <c r="Z381" s="248" t="n">
        <v>43</v>
      </c>
      <c r="AA381" s="248" t="inlineStr">
        <is>
          <t>NA</t>
        </is>
      </c>
      <c r="AB381" s="284" t="inlineStr">
        <is>
          <t>ANACREDIT, COREP - RS STD, COREP TITRISATION</t>
        </is>
      </c>
      <c r="AC381" s="244" t="inlineStr">
        <is>
          <t>NA</t>
        </is>
      </c>
      <c r="AD381" s="284" t="inlineStr">
        <is>
          <t>N</t>
        </is>
      </c>
      <c r="AE381" s="284" t="inlineStr">
        <is>
          <t xml:space="preserve">ISS200 et 300
TRE2 à 4XX hors 203,205,206,207
SIG
</t>
        </is>
      </c>
      <c r="AF381" s="284" t="inlineStr">
        <is>
          <t>NA</t>
        </is>
      </c>
      <c r="AG381" s="285" t="inlineStr">
        <is>
          <t>NA</t>
        </is>
      </c>
      <c r="AH381" s="89" t="n"/>
      <c r="AI381" s="506" t="n"/>
      <c r="AJ381" s="507" t="n"/>
      <c r="AK381" s="508" t="n"/>
      <c r="AL381" s="509" t="n"/>
      <c r="AM381" s="510" t="n"/>
      <c r="AN381" s="510" t="n"/>
      <c r="AO381" s="508" t="n"/>
      <c r="AP381" s="509" t="n"/>
      <c r="AQ381" s="331" t="n"/>
      <c r="AR381" s="331" t="n"/>
      <c r="AS381" s="284" t="n"/>
      <c r="AT381" s="285" t="n"/>
      <c r="AU381" s="331" t="n"/>
      <c r="AV381" s="331" t="n"/>
      <c r="AW381" s="284" t="n"/>
      <c r="AX381" s="285" t="n"/>
      <c r="AY381" s="331" t="n"/>
      <c r="AZ381" s="331" t="n"/>
      <c r="BA381" s="284" t="n"/>
      <c r="BB381" s="285" t="n"/>
      <c r="BC381" s="330" t="n"/>
      <c r="BD381" s="331" t="n"/>
      <c r="BE381" s="284" t="n"/>
      <c r="BF381" s="285" t="n"/>
      <c r="BG381" s="89" t="n"/>
      <c r="BH3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81">
        <f>_xlfn.LET(r,ROW(),oc,INDEX($A:$A,r),cv,TRIM(INDEX($Y:$Y,r)&amp;""),IF(oc&lt;&gt;"P1","",IF(cv="45","V45 - novo, nao alimentado pelo spool atual","V44 - alimentado pelo spool atual")))</f>
        <v/>
      </c>
    </row>
    <row r="382" ht="54" customFormat="1" customHeight="1" s="91">
      <c r="A382" s="306" t="inlineStr">
        <is>
          <t>P1</t>
        </is>
      </c>
      <c r="B382" s="307" t="n">
        <v>147</v>
      </c>
      <c r="C382" s="269" t="inlineStr">
        <is>
          <t>18 - Caractéristiques Titrisation</t>
        </is>
      </c>
      <c r="D382" s="310" t="inlineStr">
        <is>
          <t>18 - Securitization characteristics</t>
        </is>
      </c>
      <c r="E382" s="307" t="inlineStr">
        <is>
          <t>P1 16.16</t>
        </is>
      </c>
      <c r="F382" s="308" t="inlineStr">
        <is>
          <t>Nature de la titrisation</t>
        </is>
      </c>
      <c r="G382" s="309" t="inlineStr">
        <is>
          <t>Nature of securitisation</t>
        </is>
      </c>
      <c r="H382" s="1493">
        <f>"RPAD( "&amp;SUBSTITUTE(SUBSTITUTE(E382," ","_"),".","_")&amp;","&amp;W382&amp;",' '); -- "&amp;E382</f>
        <v/>
      </c>
      <c r="I382" s="241" t="inlineStr">
        <is>
          <t>Ce champ permet d'identifier la nature de la titrisation</t>
        </is>
      </c>
      <c r="J382" s="309" t="inlineStr">
        <is>
          <t>This field makes it possible to identify the nature of the securitisation</t>
        </is>
      </c>
      <c r="K382" s="370" t="inlineStr">
        <is>
          <t>ND</t>
        </is>
      </c>
      <c r="L382" s="371" t="inlineStr">
        <is>
          <t>ND</t>
        </is>
      </c>
      <c r="M382" s="1420" t="inlineStr">
        <is>
          <t>cdNatTitri</t>
        </is>
      </c>
      <c r="N382" s="269" t="inlineStr">
        <is>
          <t>Obligatoire sous conditions</t>
        </is>
      </c>
      <c r="O382" s="310" t="inlineStr">
        <is>
          <t>Mandatory under conditions</t>
        </is>
      </c>
      <c r="P382" s="269" t="inlineStr">
        <is>
          <t>LC.0162</t>
        </is>
      </c>
      <c r="Q382" s="269" t="inlineStr">
        <is>
          <t>TA KVNTITRI</t>
        </is>
      </c>
      <c r="R382" s="232" t="inlineStr">
        <is>
          <t>Ce champ s'applique sur les investissements de titrisation et doit également être renseigné sur les encours des créances titrisées</t>
        </is>
      </c>
      <c r="S382" s="233" t="inlineStr">
        <is>
          <t>This field applies to securitization investments and must also be filled in on the outstandings of securitised debts</t>
        </is>
      </c>
      <c r="T382" s="313" t="inlineStr">
        <is>
          <t>ALPHA</t>
        </is>
      </c>
      <c r="U382" s="237" t="inlineStr">
        <is>
          <t>NA</t>
        </is>
      </c>
      <c r="V382" s="238" t="inlineStr">
        <is>
          <t>NA</t>
        </is>
      </c>
      <c r="W382" s="257" t="n">
        <v>1</v>
      </c>
      <c r="X382" s="945" t="inlineStr">
        <is>
          <t>NA</t>
        </is>
      </c>
      <c r="Y382" s="237" t="n">
        <v>40</v>
      </c>
      <c r="Z382" s="237" t="inlineStr">
        <is>
          <t>NA</t>
        </is>
      </c>
      <c r="AA382" s="270" t="inlineStr">
        <is>
          <t>NA</t>
        </is>
      </c>
      <c r="AB382" s="994" t="inlineStr">
        <is>
          <t>ANACREDIT, CALCULS PRUDENTIELS</t>
        </is>
      </c>
      <c r="AC382" s="231" t="inlineStr">
        <is>
          <t>ND</t>
        </is>
      </c>
      <c r="AD382" s="257" t="inlineStr">
        <is>
          <t>N</t>
        </is>
      </c>
      <c r="AE382" s="257" t="inlineStr">
        <is>
          <t xml:space="preserve">ISS200 et 300
TRE2 à 4XX hors 203,205,206,207
SIG
</t>
        </is>
      </c>
      <c r="AF382" s="257" t="inlineStr">
        <is>
          <t>NA</t>
        </is>
      </c>
      <c r="AG382" s="258" t="inlineStr">
        <is>
          <t>NA</t>
        </is>
      </c>
      <c r="AH382" s="89" t="n"/>
      <c r="AI382" s="353" t="inlineStr">
        <is>
          <t>La donnée est obligatoire, si le type de risque [P1 2.0] est égal à 'TRE2xx' à 'TRE4xx', 'ISS200', 'ISS300', 'SIGxxx' hors ('TRE203', 'TRE205', 'TRE206', 'TRE207') ET si le Portefeuille Bâle Opération [P1 2.18] est égal à '070' OU si l'indicateur créance titrisée [P1 4.29] est égal à 'Y'</t>
        </is>
      </c>
      <c r="AJ382" s="317" t="inlineStr">
        <is>
          <t xml:space="preserve">The data is mandatory, if risk type [P1 2.0] is equal to 'TRE2xx' to 'TRE4xx', 'ISS200', 'ISS300', 'SIGxxx' except ('TRE203', 'TRE205', 'TRE206', 'TRE207') AND whether the Basel Transaction Portfolio [P1 2.18] is equal to '070' OR whether the securitised debt indicator [P1 4.29] is equal to 'Y'
</t>
        </is>
      </c>
      <c r="AK382" s="269" t="n">
        <v>6</v>
      </c>
      <c r="AL382" s="366" t="inlineStr">
        <is>
          <t>TPS0795</t>
        </is>
      </c>
      <c r="AM382" s="452" t="inlineStr">
        <is>
          <t>Si elle est renseignée, la valeur doit être connue du Langage Commun associé</t>
        </is>
      </c>
      <c r="AN382" s="377" t="inlineStr">
        <is>
          <t>If specified, the value must be known to the associated Common Language</t>
        </is>
      </c>
      <c r="AO382" s="257" t="n">
        <v>7</v>
      </c>
      <c r="AP382" s="212" t="inlineStr">
        <is>
          <t>TIG0001</t>
        </is>
      </c>
      <c r="AQ382" s="318" t="n"/>
      <c r="AR382" s="317" t="n"/>
      <c r="AS382" s="257" t="n"/>
      <c r="AT382" s="258" t="n"/>
      <c r="AU382" s="318" t="n"/>
      <c r="AV382" s="317" t="n"/>
      <c r="AW382" s="257" t="n"/>
      <c r="AX382" s="258" t="n"/>
      <c r="AY382" s="318" t="n"/>
      <c r="AZ382" s="317" t="n"/>
      <c r="BA382" s="257" t="n"/>
      <c r="BB382" s="258" t="n"/>
      <c r="BC382" s="316" t="n"/>
      <c r="BD382" s="317" t="n"/>
      <c r="BE382" s="257" t="n"/>
      <c r="BF382" s="258" t="n"/>
      <c r="BG382" s="89" t="n"/>
      <c r="BH3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82">
        <f>_xlfn.LET(r,ROW(),oc,INDEX($A:$A,r),cv,TRIM(INDEX($Y:$Y,r)&amp;""),IF(oc&lt;&gt;"P1","",IF(cv="45","V45 - novo, nao alimentado pelo spool atual","V44 - alimentado pelo spool atual")))</f>
        <v/>
      </c>
    </row>
    <row r="383" ht="54" customFormat="1" customHeight="1" s="91">
      <c r="A383" s="306" t="inlineStr">
        <is>
          <t>P1</t>
        </is>
      </c>
      <c r="B383" s="307" t="n">
        <v>148</v>
      </c>
      <c r="C383" s="269" t="inlineStr">
        <is>
          <t>18 - Caractéristiques Titrisation</t>
        </is>
      </c>
      <c r="D383" s="310" t="inlineStr">
        <is>
          <t>18 - Securitization characteristics</t>
        </is>
      </c>
      <c r="E383" s="307" t="inlineStr">
        <is>
          <t>P1 16.17</t>
        </is>
      </c>
      <c r="F383" s="511" t="inlineStr">
        <is>
          <t>Re-titrisation</t>
        </is>
      </c>
      <c r="G383" s="309" t="inlineStr">
        <is>
          <t>Re-securitisation</t>
        </is>
      </c>
      <c r="H383" s="1493">
        <f>"RPAD( "&amp;SUBSTITUTE(SUBSTITUTE(E383," ","_"),".","_")&amp;","&amp;W383&amp;",' '); -- "&amp;E383</f>
        <v/>
      </c>
      <c r="I383" s="241" t="inlineStr">
        <is>
          <t>Ce champ permet d'indiquer si la titrisation fait l'objet d'une re-titrisation</t>
        </is>
      </c>
      <c r="J383" s="309" t="inlineStr">
        <is>
          <t>This field makes it possible to specify whether the securitisation has been re-securitised</t>
        </is>
      </c>
      <c r="K383" s="370" t="inlineStr">
        <is>
          <t>ND</t>
        </is>
      </c>
      <c r="L383" s="371" t="inlineStr">
        <is>
          <t>ND</t>
        </is>
      </c>
      <c r="M383" s="1420" t="inlineStr">
        <is>
          <t>indReTitri</t>
        </is>
      </c>
      <c r="N383" s="269" t="inlineStr">
        <is>
          <t>Obligatoire sous conditions</t>
        </is>
      </c>
      <c r="O383" s="310" t="inlineStr">
        <is>
          <t>Mandatory under conditions</t>
        </is>
      </c>
      <c r="P383" s="269" t="inlineStr">
        <is>
          <t>LC.0173</t>
        </is>
      </c>
      <c r="Q383" s="269" t="inlineStr">
        <is>
          <t>TA KVIRTITR</t>
        </is>
      </c>
      <c r="R383" s="241" t="inlineStr">
        <is>
          <t>NA</t>
        </is>
      </c>
      <c r="S383" s="233" t="inlineStr">
        <is>
          <t>NA</t>
        </is>
      </c>
      <c r="T383" s="313" t="inlineStr">
        <is>
          <t>ALPHA</t>
        </is>
      </c>
      <c r="U383" s="237" t="inlineStr">
        <is>
          <t>NA</t>
        </is>
      </c>
      <c r="V383" s="238" t="inlineStr">
        <is>
          <t>NA</t>
        </is>
      </c>
      <c r="W383" s="257" t="n">
        <v>1</v>
      </c>
      <c r="X383" s="945" t="inlineStr">
        <is>
          <t>NA</t>
        </is>
      </c>
      <c r="Y383" s="237" t="n">
        <v>40</v>
      </c>
      <c r="Z383" s="237" t="inlineStr">
        <is>
          <t>NA</t>
        </is>
      </c>
      <c r="AA383" s="270" t="inlineStr">
        <is>
          <t>NA</t>
        </is>
      </c>
      <c r="AB383" s="994" t="inlineStr">
        <is>
          <t>ANACREDIT, CALCULS PRUDENTIELS</t>
        </is>
      </c>
      <c r="AC383" s="231" t="inlineStr">
        <is>
          <t>ND</t>
        </is>
      </c>
      <c r="AD383" s="257" t="inlineStr">
        <is>
          <t>N</t>
        </is>
      </c>
      <c r="AE383" s="257" t="inlineStr">
        <is>
          <t xml:space="preserve">ISS200 et 300
TRE2 à 4XX hors 203,205,206,207
SIG
</t>
        </is>
      </c>
      <c r="AF383" s="257" t="inlineStr">
        <is>
          <t>NA</t>
        </is>
      </c>
      <c r="AG383" s="258" t="inlineStr">
        <is>
          <t>NA</t>
        </is>
      </c>
      <c r="AH383" s="89" t="n"/>
      <c r="AI383" s="353" t="inlineStr">
        <is>
          <t>La donnée est obligatoire si (le type de risque [P1 2.0] est égal à 'TRE2xx' à 'TRE4xx', 'ISS200', 'ISS300', 'SIGxxx' hors ('TRE203', 'TRE205', 'TRE206', 'TRE207')) ET si (le Portefeuille Bâle Opération [P1 2.18] est égal à '070')</t>
        </is>
      </c>
      <c r="AJ383" s="317" t="inlineStr">
        <is>
          <t>The data is mandatory if (Risk type [P1 2.0] is equal to 'TRE2xx' to 'TRE4xx', 'ISS200', 'ISS300', 'SIGxxx' except ('TRE203', 'TRE205', 'TRE206', 'TRE207')) AND if (the Basel Transaction Portfolio [P1 2.18] is equal to '070')</t>
        </is>
      </c>
      <c r="AK383" s="269" t="n">
        <v>6</v>
      </c>
      <c r="AL383" s="366" t="inlineStr">
        <is>
          <t>TPS0739</t>
        </is>
      </c>
      <c r="AM383" s="452" t="inlineStr">
        <is>
          <t>Si elle est renseignée, la valeur doit être connue du Langage Commun associé</t>
        </is>
      </c>
      <c r="AN383" s="377" t="inlineStr">
        <is>
          <t>If specified, the value must be known to the associated Common Language</t>
        </is>
      </c>
      <c r="AO383" s="257" t="n">
        <v>7</v>
      </c>
      <c r="AP383" s="212" t="inlineStr">
        <is>
          <t>TIG0001</t>
        </is>
      </c>
      <c r="AQ383" s="318" t="n"/>
      <c r="AR383" s="317" t="n"/>
      <c r="AS383" s="257" t="n"/>
      <c r="AT383" s="258" t="n"/>
      <c r="AU383" s="318" t="n"/>
      <c r="AV383" s="317" t="n"/>
      <c r="AW383" s="257" t="n"/>
      <c r="AX383" s="258" t="n"/>
      <c r="AY383" s="318" t="n"/>
      <c r="AZ383" s="317" t="n"/>
      <c r="BA383" s="257" t="n"/>
      <c r="BB383" s="258" t="n"/>
      <c r="BC383" s="278" t="n"/>
      <c r="BD383" s="160" t="n"/>
      <c r="BE383" s="257" t="n"/>
      <c r="BF383" s="258" t="n"/>
      <c r="BG383" s="89" t="n"/>
      <c r="BH3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83">
        <f>_xlfn.LET(r,ROW(),oc,INDEX($A:$A,r),cv,TRIM(INDEX($Y:$Y,r)&amp;""),IF(oc&lt;&gt;"P1","",IF(cv="45","V45 - novo, nao alimentado pelo spool atual","V44 - alimentado pelo spool atual")))</f>
        <v/>
      </c>
    </row>
    <row r="384" ht="54" customFormat="1" customHeight="1" s="91">
      <c r="A384" s="306" t="inlineStr">
        <is>
          <t>P1</t>
        </is>
      </c>
      <c r="B384" s="307" t="n">
        <v>149</v>
      </c>
      <c r="C384" s="269" t="inlineStr">
        <is>
          <t>18 - Caractéristiques Titrisation</t>
        </is>
      </c>
      <c r="D384" s="310" t="inlineStr">
        <is>
          <t>18 - Securitization characteristics</t>
        </is>
      </c>
      <c r="E384" s="307" t="inlineStr">
        <is>
          <t>P1 16.18</t>
        </is>
      </c>
      <c r="F384" s="308" t="inlineStr">
        <is>
          <t>Type de titrisation</t>
        </is>
      </c>
      <c r="G384" s="309" t="inlineStr">
        <is>
          <t>Type of securitisation</t>
        </is>
      </c>
      <c r="H384" s="1493">
        <f>"RPAD( "&amp;SUBSTITUTE(SUBSTITUTE(E384," ","_"),".","_")&amp;","&amp;W384&amp;",' '); -- "&amp;E384</f>
        <v/>
      </c>
      <c r="I384" s="241" t="inlineStr">
        <is>
          <t>Type de titrisation</t>
        </is>
      </c>
      <c r="J384" s="309" t="inlineStr">
        <is>
          <t>Type of securitisation</t>
        </is>
      </c>
      <c r="K384" s="370" t="inlineStr">
        <is>
          <t>ND</t>
        </is>
      </c>
      <c r="L384" s="371" t="inlineStr">
        <is>
          <t>ND</t>
        </is>
      </c>
      <c r="M384" s="1420" t="inlineStr">
        <is>
          <t>cdTypTitri</t>
        </is>
      </c>
      <c r="N384" s="257" t="inlineStr">
        <is>
          <t>Facultatif</t>
        </is>
      </c>
      <c r="O384" s="236" t="inlineStr">
        <is>
          <t>Optional</t>
        </is>
      </c>
      <c r="P384" s="269" t="inlineStr">
        <is>
          <t>LC.0165</t>
        </is>
      </c>
      <c r="Q384" s="269" t="inlineStr">
        <is>
          <t>TA KVTTITRI</t>
        </is>
      </c>
      <c r="R384" s="241" t="inlineStr">
        <is>
          <t>NA</t>
        </is>
      </c>
      <c r="S384" s="233" t="inlineStr">
        <is>
          <t>NA</t>
        </is>
      </c>
      <c r="T384" s="313" t="inlineStr">
        <is>
          <t>ALPHA</t>
        </is>
      </c>
      <c r="U384" s="237" t="inlineStr">
        <is>
          <t>NA</t>
        </is>
      </c>
      <c r="V384" s="238" t="inlineStr">
        <is>
          <t>NA</t>
        </is>
      </c>
      <c r="W384" s="257" t="n">
        <v>1</v>
      </c>
      <c r="X384" s="945" t="inlineStr">
        <is>
          <t>NA</t>
        </is>
      </c>
      <c r="Y384" s="237" t="n">
        <v>40</v>
      </c>
      <c r="Z384" s="237" t="inlineStr">
        <is>
          <t>NA</t>
        </is>
      </c>
      <c r="AA384" s="978" t="inlineStr">
        <is>
          <t>NA</t>
        </is>
      </c>
      <c r="AB384" s="994" t="inlineStr">
        <is>
          <t>ANACREDIT, OMP</t>
        </is>
      </c>
      <c r="AC384" s="231" t="inlineStr">
        <is>
          <t>ND</t>
        </is>
      </c>
      <c r="AD384" s="257" t="inlineStr">
        <is>
          <t>N</t>
        </is>
      </c>
      <c r="AE384" s="257" t="inlineStr">
        <is>
          <t xml:space="preserve">ISS200 et 300
TRE2 à 4XX hors 203,205,206,207
SIG
</t>
        </is>
      </c>
      <c r="AF384" s="257" t="inlineStr">
        <is>
          <t>NA</t>
        </is>
      </c>
      <c r="AG384" s="258" t="inlineStr">
        <is>
          <t>NA</t>
        </is>
      </c>
      <c r="AH384" s="89" t="n"/>
      <c r="AI384" s="316" t="n"/>
      <c r="AJ384" s="317" t="n"/>
      <c r="AK384" s="257" t="n"/>
      <c r="AL384" s="258" t="n"/>
      <c r="AM384" s="452" t="inlineStr">
        <is>
          <t>Si elle est renseignée, la valeur doit être connue du Langage Commun associé</t>
        </is>
      </c>
      <c r="AN384" s="377" t="inlineStr">
        <is>
          <t>If specified, the value must be known to the associated Common Language</t>
        </is>
      </c>
      <c r="AO384" s="257" t="n">
        <v>7</v>
      </c>
      <c r="AP384" s="212" t="inlineStr">
        <is>
          <t>TIG0001</t>
        </is>
      </c>
      <c r="AQ384" s="318" t="n"/>
      <c r="AR384" s="317" t="n"/>
      <c r="AS384" s="257" t="n"/>
      <c r="AT384" s="258" t="n"/>
      <c r="AU384" s="318" t="n"/>
      <c r="AV384" s="317" t="n"/>
      <c r="AW384" s="257" t="n"/>
      <c r="AX384" s="258" t="n"/>
      <c r="AY384" s="318" t="n"/>
      <c r="AZ384" s="317" t="n"/>
      <c r="BA384" s="257" t="n"/>
      <c r="BB384" s="258" t="n"/>
      <c r="BC384" s="316" t="n"/>
      <c r="BD384" s="317" t="n"/>
      <c r="BE384" s="257" t="n"/>
      <c r="BF384" s="258" t="n"/>
      <c r="BG384" s="89" t="n"/>
      <c r="BH3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84">
        <f>_xlfn.LET(r,ROW(),oc,INDEX($A:$A,r),cv,TRIM(INDEX($Y:$Y,r)&amp;""),IF(oc&lt;&gt;"P1","",IF(cv="45","V45 - novo, nao alimentado pelo spool atual","V44 - alimentado pelo spool atual")))</f>
        <v/>
      </c>
    </row>
    <row r="385" ht="54" customFormat="1" customHeight="1" s="57">
      <c r="A385" s="325" t="inlineStr">
        <is>
          <t>P1</t>
        </is>
      </c>
      <c r="B385" s="326" t="n">
        <v>150</v>
      </c>
      <c r="C385" s="284" t="inlineStr">
        <is>
          <t>18 - Caractéristiques Titrisation</t>
        </is>
      </c>
      <c r="D385" s="284" t="inlineStr">
        <is>
          <t>18 - Securitization characteristics</t>
        </is>
      </c>
      <c r="E385" s="326" t="inlineStr">
        <is>
          <t>P1 16.19</t>
        </is>
      </c>
      <c r="F385" s="327" t="inlineStr">
        <is>
          <t>Pondération à l'origine</t>
        </is>
      </c>
      <c r="G385" s="327" t="inlineStr">
        <is>
          <t>Initial weighting</t>
        </is>
      </c>
      <c r="H385" s="1493">
        <f>"RPAD( "&amp;SUBSTITUTE(SUBSTITUTE(E385," ","_"),".","_")&amp;","&amp;W385&amp;",' '); -- "&amp;E385</f>
        <v/>
      </c>
      <c r="I385" s="245" t="inlineStr">
        <is>
          <t>Pondération à l'origine
Exprimé en %</t>
        </is>
      </c>
      <c r="J385" s="327" t="inlineStr">
        <is>
          <t>Initial weighting
Expressed as %</t>
        </is>
      </c>
      <c r="K385" s="284" t="inlineStr">
        <is>
          <t>NA</t>
        </is>
      </c>
      <c r="L385" s="284" t="inlineStr">
        <is>
          <t>NA</t>
        </is>
      </c>
      <c r="M385" s="1421" t="inlineStr">
        <is>
          <t>txPondeOrig</t>
        </is>
      </c>
      <c r="N385" s="284" t="inlineStr">
        <is>
          <t>NA</t>
        </is>
      </c>
      <c r="O385" s="284" t="inlineStr">
        <is>
          <t>NA</t>
        </is>
      </c>
      <c r="P385" s="284" t="inlineStr">
        <is>
          <t>NA</t>
        </is>
      </c>
      <c r="Q385" s="284" t="inlineStr">
        <is>
          <t>NA</t>
        </is>
      </c>
      <c r="R385" s="245" t="inlineStr">
        <is>
          <t>NA</t>
        </is>
      </c>
      <c r="S385" s="245" t="inlineStr">
        <is>
          <t>NA</t>
        </is>
      </c>
      <c r="T385" s="326" t="inlineStr">
        <is>
          <t>NUM</t>
        </is>
      </c>
      <c r="U385" s="248" t="inlineStr">
        <is>
          <t>10 dont signe et 5 décimales</t>
        </is>
      </c>
      <c r="V385" s="248" t="inlineStr">
        <is>
          <t>10 including sign and 5 decimals</t>
        </is>
      </c>
      <c r="W385" s="284" t="n">
        <v>10</v>
      </c>
      <c r="X385" s="244" t="inlineStr">
        <is>
          <t>NA</t>
        </is>
      </c>
      <c r="Y385" s="248" t="n">
        <v>40</v>
      </c>
      <c r="Z385" s="248" t="n">
        <v>43</v>
      </c>
      <c r="AA385" s="248" t="inlineStr">
        <is>
          <t>NA</t>
        </is>
      </c>
      <c r="AB385" s="284" t="inlineStr">
        <is>
          <t>ANACREDIT, COREP - RS STD</t>
        </is>
      </c>
      <c r="AC385" s="244" t="inlineStr">
        <is>
          <t>NA</t>
        </is>
      </c>
      <c r="AD385" s="284" t="inlineStr">
        <is>
          <t>N</t>
        </is>
      </c>
      <c r="AE385" s="284" t="inlineStr">
        <is>
          <t>ISS200 et 300
TRE2 à 4XX hors 203,205,206,207
SIG</t>
        </is>
      </c>
      <c r="AF385" s="284" t="inlineStr">
        <is>
          <t>NA</t>
        </is>
      </c>
      <c r="AG385" s="285" t="inlineStr">
        <is>
          <t>NA</t>
        </is>
      </c>
      <c r="AH385" s="89" t="n"/>
      <c r="AI385" s="506" t="n"/>
      <c r="AJ385" s="507" t="n"/>
      <c r="AK385" s="508" t="n"/>
      <c r="AL385" s="509" t="n"/>
      <c r="AM385" s="331" t="n"/>
      <c r="AN385" s="331" t="n"/>
      <c r="AO385" s="284" t="n"/>
      <c r="AP385" s="285" t="n"/>
      <c r="AQ385" s="507" t="n"/>
      <c r="AR385" s="507" t="n"/>
      <c r="AS385" s="508" t="n"/>
      <c r="AT385" s="509" t="n"/>
      <c r="AU385" s="331" t="n"/>
      <c r="AV385" s="331" t="n"/>
      <c r="AW385" s="284" t="n"/>
      <c r="AX385" s="285" t="n"/>
      <c r="AY385" s="331" t="n"/>
      <c r="AZ385" s="331" t="n"/>
      <c r="BA385" s="284" t="n"/>
      <c r="BB385" s="285" t="n"/>
      <c r="BC385" s="330" t="n"/>
      <c r="BD385" s="331" t="n"/>
      <c r="BE385" s="284" t="n"/>
      <c r="BF385" s="285" t="n"/>
      <c r="BG385" s="89" t="n"/>
      <c r="BH3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85">
        <f>_xlfn.LET(r,ROW(),oc,INDEX($A:$A,r),cv,TRIM(INDEX($Y:$Y,r)&amp;""),IF(oc&lt;&gt;"P1","",IF(cv="45","V45 - novo, nao alimentado pelo spool atual","V44 - alimentado pelo spool atual")))</f>
        <v/>
      </c>
    </row>
    <row r="386" ht="54" customFormat="1" customHeight="1" s="91">
      <c r="A386" s="306" t="inlineStr">
        <is>
          <t>P1</t>
        </is>
      </c>
      <c r="B386" s="307" t="n">
        <v>151</v>
      </c>
      <c r="C386" s="269" t="inlineStr">
        <is>
          <t>18 - Caractéristiques Titrisation</t>
        </is>
      </c>
      <c r="D386" s="310" t="inlineStr">
        <is>
          <t>18 - Securitization characteristics</t>
        </is>
      </c>
      <c r="E386" s="307" t="inlineStr">
        <is>
          <t>P1 16.20</t>
        </is>
      </c>
      <c r="F386" s="308" t="inlineStr">
        <is>
          <t xml:space="preserve">Indicateur titrisation STS </t>
        </is>
      </c>
      <c r="G386" s="309" t="inlineStr">
        <is>
          <t>STS securitization indicator</t>
        </is>
      </c>
      <c r="H386" s="1493">
        <f>"RPAD( "&amp;SUBSTITUTE(SUBSTITUTE(E386," ","_"),".","_")&amp;","&amp;W386&amp;",' '); -- "&amp;E386</f>
        <v/>
      </c>
      <c r="I386" s="241" t="inlineStr">
        <is>
          <t>Indique le caractère simple, transparente et standardisée (STS) d'une opération de titrisation</t>
        </is>
      </c>
      <c r="J386" s="309" t="inlineStr">
        <is>
          <t>Specifies the simple, transparent and standardized (STS) character of a securitization transaction</t>
        </is>
      </c>
      <c r="K386" s="370" t="inlineStr">
        <is>
          <t>ND</t>
        </is>
      </c>
      <c r="L386" s="371" t="inlineStr">
        <is>
          <t>ND</t>
        </is>
      </c>
      <c r="M386" s="1420" t="inlineStr">
        <is>
          <t>IndTitrSTS</t>
        </is>
      </c>
      <c r="N386" s="269" t="inlineStr">
        <is>
          <t>Obligatoire sous conditions</t>
        </is>
      </c>
      <c r="O386" s="310" t="inlineStr">
        <is>
          <t>Mandatory under conditions</t>
        </is>
      </c>
      <c r="P386" s="269" t="inlineStr">
        <is>
          <t>LC.0360</t>
        </is>
      </c>
      <c r="Q386" s="269" t="inlineStr">
        <is>
          <t>RB HHTITSTS</t>
        </is>
      </c>
      <c r="R386" s="241" t="inlineStr">
        <is>
          <t>NA</t>
        </is>
      </c>
      <c r="S386" s="233" t="inlineStr">
        <is>
          <t>NA</t>
        </is>
      </c>
      <c r="T386" s="313" t="inlineStr">
        <is>
          <t>ALPHA</t>
        </is>
      </c>
      <c r="U386" s="237" t="inlineStr">
        <is>
          <t>NA</t>
        </is>
      </c>
      <c r="V386" s="238" t="inlineStr">
        <is>
          <t>NA</t>
        </is>
      </c>
      <c r="W386" s="257" t="n">
        <v>1</v>
      </c>
      <c r="X386" s="945" t="inlineStr">
        <is>
          <t>NA</t>
        </is>
      </c>
      <c r="Y386" s="237" t="n">
        <v>43</v>
      </c>
      <c r="Z386" s="237" t="inlineStr">
        <is>
          <t>NA</t>
        </is>
      </c>
      <c r="AA386" s="270" t="inlineStr">
        <is>
          <t>NA</t>
        </is>
      </c>
      <c r="AB386" s="1286" t="inlineStr">
        <is>
          <t>CALCULS PRUDENTIELS</t>
        </is>
      </c>
      <c r="AC386" s="231" t="inlineStr">
        <is>
          <t>ND</t>
        </is>
      </c>
      <c r="AD386" s="257" t="inlineStr">
        <is>
          <t>N</t>
        </is>
      </c>
      <c r="AE386" s="257" t="inlineStr">
        <is>
          <t xml:space="preserve">ISS200 et 300
TRE2 à 4XX hors 203,205,206,207
SIG
</t>
        </is>
      </c>
      <c r="AF386" s="257" t="inlineStr">
        <is>
          <t>NA</t>
        </is>
      </c>
      <c r="AG386" s="258" t="inlineStr">
        <is>
          <t>NA</t>
        </is>
      </c>
      <c r="AH386" s="89" t="n"/>
      <c r="AI386" s="353" t="inlineStr">
        <is>
          <t>La donnée est obligatoire si (le type de risque [P1 2.0] est égal à 'TRE2xx' à 'TRE4xx', 'ISS200', 'ISS300', 'SIGxxx' hors ('TRE203', 'TRE205', 'TRE206', 'TRE207')) ET si (le Portefeuille Bâle Opération [P1 2.18] est égal à '070')</t>
        </is>
      </c>
      <c r="AJ386" s="317" t="inlineStr">
        <is>
          <t>The data is mandatory if (Risk type [P1 2.0] is equal to 'TRE2xx' to 'TRE4xx', 'ISS200', 'ISS300', 'SIGxxx' except ('TRE203', 'TRE205', 'TRE206', 'TRE207')) AND if (the Basel Transaction Portfolio [P1 2.18] is equal to '070')</t>
        </is>
      </c>
      <c r="AK386" s="269" t="n">
        <v>6</v>
      </c>
      <c r="AL386" s="366" t="inlineStr">
        <is>
          <t>TPS0739</t>
        </is>
      </c>
      <c r="AM386" s="452" t="inlineStr">
        <is>
          <t>Si elle est renseignée, la valeur doit être connue du Langage Commun associé</t>
        </is>
      </c>
      <c r="AN386" s="377" t="inlineStr">
        <is>
          <t>If specified, the value must be known to the associated Common Language</t>
        </is>
      </c>
      <c r="AO386" s="257" t="n">
        <v>7</v>
      </c>
      <c r="AP386" s="212" t="inlineStr">
        <is>
          <t>TIG0001</t>
        </is>
      </c>
      <c r="AQ386" s="318" t="n"/>
      <c r="AR386" s="317" t="n"/>
      <c r="AS386" s="257" t="n"/>
      <c r="AT386" s="258" t="n"/>
      <c r="AU386" s="318" t="n"/>
      <c r="AV386" s="317" t="n"/>
      <c r="AW386" s="257" t="n"/>
      <c r="AX386" s="258" t="n"/>
      <c r="AY386" s="318" t="n"/>
      <c r="AZ386" s="317" t="n"/>
      <c r="BA386" s="257" t="n"/>
      <c r="BB386" s="258" t="n"/>
      <c r="BC386" s="316" t="n"/>
      <c r="BD386" s="317" t="n"/>
      <c r="BE386" s="257" t="n"/>
      <c r="BF386" s="258" t="n"/>
      <c r="BG386" s="89" t="n"/>
      <c r="BH3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86">
        <f>_xlfn.LET(r,ROW(),oc,INDEX($A:$A,r),cv,TRIM(INDEX($Y:$Y,r)&amp;""),IF(oc&lt;&gt;"P1","",IF(cv="45","V45 - novo, nao alimentado pelo spool atual","V44 - alimentado pelo spool atual")))</f>
        <v/>
      </c>
    </row>
    <row r="387" ht="54" customFormat="1" customHeight="1" s="91">
      <c r="A387" s="306" t="inlineStr">
        <is>
          <t>P1</t>
        </is>
      </c>
      <c r="B387" s="307" t="n">
        <v>152</v>
      </c>
      <c r="C387" s="269" t="inlineStr">
        <is>
          <t>18 - Caractéristiques Titrisation</t>
        </is>
      </c>
      <c r="D387" s="310" t="inlineStr">
        <is>
          <t>18 - Securitization characteristics</t>
        </is>
      </c>
      <c r="E387" s="307" t="inlineStr">
        <is>
          <t>P1 16.21</t>
        </is>
      </c>
      <c r="F387" s="308" t="inlineStr">
        <is>
          <t>Eligibilité au traitement différentiel</t>
        </is>
      </c>
      <c r="G387" s="309" t="inlineStr">
        <is>
          <t>Eligibility for differential treatment</t>
        </is>
      </c>
      <c r="H387" s="1493">
        <f>"RPAD( "&amp;SUBSTITUTE(SUBSTITUTE(E387," ","_"),".","_")&amp;","&amp;W387&amp;",' '); -- "&amp;E387</f>
        <v/>
      </c>
      <c r="I387" s="241" t="inlineStr">
        <is>
          <t>Indicateur d'éligibilité au traitement différentiel en terme d'exigence de Fonds Propres</t>
        </is>
      </c>
      <c r="J387" s="309" t="inlineStr">
        <is>
          <t>Indicator of eligibility for differential treatment in terms of capital requirements</t>
        </is>
      </c>
      <c r="K387" s="370" t="inlineStr">
        <is>
          <t>ND</t>
        </is>
      </c>
      <c r="L387" s="371" t="inlineStr">
        <is>
          <t>ND</t>
        </is>
      </c>
      <c r="M387" s="1420" t="inlineStr">
        <is>
          <t>IndEliTrtDiff</t>
        </is>
      </c>
      <c r="N387" s="269" t="inlineStr">
        <is>
          <t>Obligatoire sous conditions</t>
        </is>
      </c>
      <c r="O387" s="310" t="inlineStr">
        <is>
          <t>Mandatory under conditions</t>
        </is>
      </c>
      <c r="P387" s="269" t="inlineStr">
        <is>
          <t>LC.0361</t>
        </is>
      </c>
      <c r="Q387" s="269" t="inlineStr">
        <is>
          <t>RB HHTITTD</t>
        </is>
      </c>
      <c r="R387" s="241" t="inlineStr">
        <is>
          <t>NA</t>
        </is>
      </c>
      <c r="S387" s="233" t="inlineStr">
        <is>
          <t>NA</t>
        </is>
      </c>
      <c r="T387" s="313" t="inlineStr">
        <is>
          <t>ALPHA</t>
        </is>
      </c>
      <c r="U387" s="237" t="inlineStr">
        <is>
          <t>NA</t>
        </is>
      </c>
      <c r="V387" s="238" t="inlineStr">
        <is>
          <t>NA</t>
        </is>
      </c>
      <c r="W387" s="257" t="n">
        <v>1</v>
      </c>
      <c r="X387" s="945" t="inlineStr">
        <is>
          <t>NA</t>
        </is>
      </c>
      <c r="Y387" s="237" t="n">
        <v>43</v>
      </c>
      <c r="Z387" s="237" t="inlineStr">
        <is>
          <t>NA</t>
        </is>
      </c>
      <c r="AA387" s="270" t="inlineStr">
        <is>
          <t>NA</t>
        </is>
      </c>
      <c r="AB387" s="1286" t="inlineStr">
        <is>
          <t>CALCULS PRUDENTIELS</t>
        </is>
      </c>
      <c r="AC387" s="231" t="inlineStr">
        <is>
          <t>ND</t>
        </is>
      </c>
      <c r="AD387" s="257" t="inlineStr">
        <is>
          <t>N</t>
        </is>
      </c>
      <c r="AE387" s="956" t="inlineStr">
        <is>
          <t xml:space="preserve">ISS200 et 300
TRE2 à 4XX hors 203,205,206,207
SIG
</t>
        </is>
      </c>
      <c r="AF387" s="257" t="inlineStr">
        <is>
          <t>NA</t>
        </is>
      </c>
      <c r="AG387" s="258" t="inlineStr">
        <is>
          <t>NA</t>
        </is>
      </c>
      <c r="AH387" s="89" t="n"/>
      <c r="AI387" s="353" t="inlineStr">
        <is>
          <t>La donnée est obligatoire si (le type de risque [P1 2.0] est égal à 'TRE2xx' à 'TRE4xx', 'ISS200', 'ISS300', 'SIGxxx' hors ('TRE203', 'TRE205', 'TRE206', 'TRE207')) ET si (le Portefeuille Bâle Opération [P1 2.18] est égal à '070')</t>
        </is>
      </c>
      <c r="AJ387" s="317" t="inlineStr">
        <is>
          <t>The data is mandatory if (Risk type [P1 2.0] is equal to 'TRE2xx' to 'TRE4xx', 'ISS200', 'ISS300', 'SIGxxx' except ('TRE203', 'TRE205', 'TRE206', 'TRE207')) AND if (the Basel Transaction Portfolio [P1 2.18] is equal to '070')</t>
        </is>
      </c>
      <c r="AK387" s="269" t="n">
        <v>6</v>
      </c>
      <c r="AL387" s="366" t="inlineStr">
        <is>
          <t>TPS0739</t>
        </is>
      </c>
      <c r="AM387" s="318" t="inlineStr">
        <is>
          <t>Si elle est renseignée, la valeur doit être connue du Langage Commun associé</t>
        </is>
      </c>
      <c r="AN387" s="317" t="inlineStr">
        <is>
          <t>If specified, the value must be known to the associated Common Language</t>
        </is>
      </c>
      <c r="AO387" s="257" t="n">
        <v>7</v>
      </c>
      <c r="AP387" s="212" t="inlineStr">
        <is>
          <t>TIG0001</t>
        </is>
      </c>
      <c r="AQ387" s="318" t="n"/>
      <c r="AR387" s="317" t="n"/>
      <c r="AS387" s="257" t="n"/>
      <c r="AT387" s="258" t="n"/>
      <c r="AU387" s="318" t="n"/>
      <c r="AV387" s="317" t="n"/>
      <c r="AW387" s="257" t="n"/>
      <c r="AX387" s="258" t="n"/>
      <c r="AY387" s="318" t="n"/>
      <c r="AZ387" s="317" t="n"/>
      <c r="BA387" s="257" t="n"/>
      <c r="BB387" s="258" t="n"/>
      <c r="BC387" s="316" t="n"/>
      <c r="BD387" s="317" t="n"/>
      <c r="BE387" s="257" t="n"/>
      <c r="BF387" s="258" t="n"/>
      <c r="BG387" s="89" t="n"/>
      <c r="BH3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87">
        <f>_xlfn.LET(r,ROW(),oc,INDEX($A:$A,r),cv,TRIM(INDEX($Y:$Y,r)&amp;""),IF(oc&lt;&gt;"P1","",IF(cv="45","V45 - novo, nao alimentado pelo spool atual","V44 - alimentado pelo spool atual")))</f>
        <v/>
      </c>
    </row>
    <row r="388" ht="54" customFormat="1" customHeight="1" s="91">
      <c r="A388" s="306" t="inlineStr">
        <is>
          <t>P1</t>
        </is>
      </c>
      <c r="B388" s="307" t="n">
        <v>153</v>
      </c>
      <c r="C388" s="269" t="inlineStr">
        <is>
          <t>18 - Caractéristiques Titrisation</t>
        </is>
      </c>
      <c r="D388" s="310" t="inlineStr">
        <is>
          <t>18 - Securitization characteristics</t>
        </is>
      </c>
      <c r="E388" s="307" t="inlineStr">
        <is>
          <t>P1 16.22</t>
        </is>
      </c>
      <c r="F388" s="308" t="inlineStr">
        <is>
          <t xml:space="preserve">Position sénior en titrisation des PME </t>
        </is>
      </c>
      <c r="G388" s="309" t="inlineStr">
        <is>
          <t>Senior position in SME securitization</t>
        </is>
      </c>
      <c r="H388" s="1493">
        <f>"RPAD( "&amp;SUBSTITUTE(SUBSTITUTE(E388," ","_"),".","_")&amp;","&amp;W388&amp;",' '); -- "&amp;E388</f>
        <v/>
      </c>
      <c r="I388" s="241" t="inlineStr">
        <is>
          <t>Position de rang supérieur dans les titrisations de prêts aux PME</t>
        </is>
      </c>
      <c r="J388" s="309" t="inlineStr">
        <is>
          <t>Indicates a senior position in securitizations of loans to SMEs</t>
        </is>
      </c>
      <c r="K388" s="370" t="inlineStr">
        <is>
          <t>ND</t>
        </is>
      </c>
      <c r="L388" s="371" t="inlineStr">
        <is>
          <t>ND</t>
        </is>
      </c>
      <c r="M388" s="1420" t="inlineStr">
        <is>
          <t>IndPosTitr</t>
        </is>
      </c>
      <c r="N388" s="269" t="inlineStr">
        <is>
          <t>Obligatoire sous conditions</t>
        </is>
      </c>
      <c r="O388" s="310" t="inlineStr">
        <is>
          <t>Mandatory under conditions</t>
        </is>
      </c>
      <c r="P388" s="269" t="inlineStr">
        <is>
          <t>LC.0362</t>
        </is>
      </c>
      <c r="Q388" s="269" t="inlineStr">
        <is>
          <t>RB HHTITPME</t>
        </is>
      </c>
      <c r="R388" s="241" t="inlineStr">
        <is>
          <t>NA</t>
        </is>
      </c>
      <c r="S388" s="233" t="inlineStr">
        <is>
          <t>NA</t>
        </is>
      </c>
      <c r="T388" s="313" t="inlineStr">
        <is>
          <t>ALPHA</t>
        </is>
      </c>
      <c r="U388" s="237" t="inlineStr">
        <is>
          <t>NA</t>
        </is>
      </c>
      <c r="V388" s="238" t="inlineStr">
        <is>
          <t>NA</t>
        </is>
      </c>
      <c r="W388" s="257" t="n">
        <v>1</v>
      </c>
      <c r="X388" s="945" t="inlineStr">
        <is>
          <t>NA</t>
        </is>
      </c>
      <c r="Y388" s="237" t="n">
        <v>43</v>
      </c>
      <c r="Z388" s="237" t="inlineStr">
        <is>
          <t>NA</t>
        </is>
      </c>
      <c r="AA388" s="270" t="inlineStr">
        <is>
          <t>NA</t>
        </is>
      </c>
      <c r="AB388" s="1286" t="inlineStr">
        <is>
          <t>CALCULS PRUDENTIELS</t>
        </is>
      </c>
      <c r="AC388" s="231" t="inlineStr">
        <is>
          <t>ND</t>
        </is>
      </c>
      <c r="AD388" s="257" t="inlineStr">
        <is>
          <t>N</t>
        </is>
      </c>
      <c r="AE388" s="257" t="inlineStr">
        <is>
          <t xml:space="preserve">ISS200 et 300
TRE2 à 4XX hors 203,205,206,207
SIG
</t>
        </is>
      </c>
      <c r="AF388" s="257" t="inlineStr">
        <is>
          <t>NA</t>
        </is>
      </c>
      <c r="AG388" s="258" t="inlineStr">
        <is>
          <t>NA</t>
        </is>
      </c>
      <c r="AH388" s="89" t="n"/>
      <c r="AI388" s="353" t="inlineStr">
        <is>
          <t>La donnée est obligatoire si (le type de risque [P1 2.0] est égal à 'TRE2xx' à 'TRE4xx', 'ISS200', 'ISS300', 'SIGxxx' hors ('TRE203', 'TRE205', 'TRE206', 'TRE207')) ET si (le Portefeuille Bâle Opération [P1 2.18] est égal à '070')</t>
        </is>
      </c>
      <c r="AJ388" s="317" t="inlineStr">
        <is>
          <t>The data is mandatory if (Risk type [P1 2.0] is equal to 'TRE2xx' to 'TRE4xx', 'ISS200', 'ISS300', 'SIGxxx' except ('TRE203', 'TRE205', 'TRE206', 'TRE207')) AND if (the Basel Transaction Portfolio [P1 2.18] is equal to '070')</t>
        </is>
      </c>
      <c r="AK388" s="269" t="n">
        <v>6</v>
      </c>
      <c r="AL388" s="366" t="inlineStr">
        <is>
          <t>TPS0739</t>
        </is>
      </c>
      <c r="AM388" s="318" t="inlineStr">
        <is>
          <t>Si elle est renseignée, la valeur doit être connue du Langage Commun associé</t>
        </is>
      </c>
      <c r="AN388" s="317" t="inlineStr">
        <is>
          <t>If specified, the value must be known to the associated Common Language</t>
        </is>
      </c>
      <c r="AO388" s="257" t="n">
        <v>7</v>
      </c>
      <c r="AP388" s="212" t="inlineStr">
        <is>
          <t>TIG0001</t>
        </is>
      </c>
      <c r="AQ388" s="318" t="n"/>
      <c r="AR388" s="317" t="n"/>
      <c r="AS388" s="257" t="n"/>
      <c r="AT388" s="258" t="n"/>
      <c r="AU388" s="318" t="n"/>
      <c r="AV388" s="317" t="n"/>
      <c r="AW388" s="257" t="n"/>
      <c r="AX388" s="258" t="n"/>
      <c r="AY388" s="318" t="n"/>
      <c r="AZ388" s="317" t="n"/>
      <c r="BA388" s="257" t="n"/>
      <c r="BB388" s="258" t="n"/>
      <c r="BC388" s="316" t="n"/>
      <c r="BD388" s="317" t="n"/>
      <c r="BE388" s="257" t="n"/>
      <c r="BF388" s="258" t="n"/>
      <c r="BG388" s="89" t="n"/>
      <c r="BH3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88">
        <f>_xlfn.LET(r,ROW(),oc,INDEX($A:$A,r),cv,TRIM(INDEX($Y:$Y,r)&amp;""),IF(oc&lt;&gt;"P1","",IF(cv="45","V45 - novo, nao alimentado pelo spool atual","V44 - alimentado pelo spool atual")))</f>
        <v/>
      </c>
    </row>
    <row r="389" ht="54" customFormat="1" customHeight="1" s="91">
      <c r="A389" s="306" t="inlineStr">
        <is>
          <t>P1</t>
        </is>
      </c>
      <c r="B389" s="307" t="n">
        <v>154</v>
      </c>
      <c r="C389" s="269" t="inlineStr">
        <is>
          <t>18 - Caractéristiques Titrisation</t>
        </is>
      </c>
      <c r="D389" s="310" t="inlineStr">
        <is>
          <t>18 - Securitization characteristics</t>
        </is>
      </c>
      <c r="E389" s="307" t="inlineStr">
        <is>
          <t>P1 16.23</t>
        </is>
      </c>
      <c r="F389" s="308" t="inlineStr">
        <is>
          <t>Motif titrisation ERBA</t>
        </is>
      </c>
      <c r="G389" s="309" t="inlineStr">
        <is>
          <t>Reason for ERBA securitization</t>
        </is>
      </c>
      <c r="H389" s="1493">
        <f>"RPAD( "&amp;SUBSTITUTE(SUBSTITUTE(E389," ","_"),".","_")&amp;","&amp;W389&amp;",' '); -- "&amp;E389</f>
        <v/>
      </c>
      <c r="I389" s="241" t="inlineStr">
        <is>
          <t>Permet de justifier l'utilisation de la méthode de titrisation ERBA</t>
        </is>
      </c>
      <c r="J389" s="309" t="inlineStr">
        <is>
          <t>Allows to justify the use of the ERBA securitization method</t>
        </is>
      </c>
      <c r="K389" s="370" t="inlineStr">
        <is>
          <t>ND</t>
        </is>
      </c>
      <c r="L389" s="371" t="inlineStr">
        <is>
          <t>ND</t>
        </is>
      </c>
      <c r="M389" s="1420" t="inlineStr">
        <is>
          <t>cdTitrERBA</t>
        </is>
      </c>
      <c r="N389" s="269" t="inlineStr">
        <is>
          <t>Obligatoire sous conditions</t>
        </is>
      </c>
      <c r="O389" s="310" t="inlineStr">
        <is>
          <t>Mandatory under conditions</t>
        </is>
      </c>
      <c r="P389" s="269" t="inlineStr">
        <is>
          <t>LC.0363</t>
        </is>
      </c>
      <c r="Q389" s="269" t="inlineStr">
        <is>
          <t>TA Z8MTERBA</t>
        </is>
      </c>
      <c r="R389" s="241" t="inlineStr">
        <is>
          <t>NA</t>
        </is>
      </c>
      <c r="S389" s="233" t="inlineStr">
        <is>
          <t>NA</t>
        </is>
      </c>
      <c r="T389" s="313" t="inlineStr">
        <is>
          <t>ALPHA</t>
        </is>
      </c>
      <c r="U389" s="237" t="inlineStr">
        <is>
          <t>NA</t>
        </is>
      </c>
      <c r="V389" s="238" t="inlineStr">
        <is>
          <t>NA</t>
        </is>
      </c>
      <c r="W389" s="257" t="n">
        <v>2</v>
      </c>
      <c r="X389" s="945" t="inlineStr">
        <is>
          <t>NA</t>
        </is>
      </c>
      <c r="Y389" s="237" t="n">
        <v>43</v>
      </c>
      <c r="Z389" s="237" t="inlineStr">
        <is>
          <t>NA</t>
        </is>
      </c>
      <c r="AA389" s="270" t="inlineStr">
        <is>
          <t>NA</t>
        </is>
      </c>
      <c r="AB389" s="1286" t="inlineStr">
        <is>
          <t>CALCULS PRUDENTIELS</t>
        </is>
      </c>
      <c r="AC389" s="231" t="inlineStr">
        <is>
          <t>ND</t>
        </is>
      </c>
      <c r="AD389" s="257" t="inlineStr">
        <is>
          <t>N</t>
        </is>
      </c>
      <c r="AE389" s="257" t="inlineStr">
        <is>
          <t xml:space="preserve">ISS200 et 300
TRE2 à 4XX hors 203,205,206,207
SIG
</t>
        </is>
      </c>
      <c r="AF389" s="257" t="inlineStr">
        <is>
          <t>NA</t>
        </is>
      </c>
      <c r="AG389" s="258" t="inlineStr">
        <is>
          <t>NA</t>
        </is>
      </c>
      <c r="AH389" s="89" t="n"/>
      <c r="AI389" s="353" t="inlineStr">
        <is>
          <t>La donnée est obligatoire si le type de risque [P1 2.0] est égal à 'TRE2xx' à 'TRE4xx', 'ISS200', 'ISS300', 'SIGxx' hors ('TRE203', 'TRE205', 'TRE206', 'TRE207') et si le Portefeuille Bâle Opération [P1 2.18] est égal à '070' et si la méthode de titrisation [P1 16.24] est égale à 'ERBA'</t>
        </is>
      </c>
      <c r="AJ389" s="317" t="inlineStr">
        <is>
          <t>The data is mandatory if Risk type [P1 2.0] is equal to 'TRE2xx' to 'TRE4xx', 'ISS200', 'ISS300', 'SIGxx' except ('TRE203', 'TRE205', 'TRE206', 'TRE207') and the Basel Transaction Portfolio [P1 2.18] is equal to '070' and if the securitization method [P1 16.24] is equal to 'ERBA'</t>
        </is>
      </c>
      <c r="AK389" s="257" t="n">
        <v>6</v>
      </c>
      <c r="AL389" s="366" t="inlineStr">
        <is>
          <t>TPS0796</t>
        </is>
      </c>
      <c r="AM389" s="318" t="inlineStr">
        <is>
          <t>Si elle est renseignée, la valeur doit être connue du Langage Commun associé</t>
        </is>
      </c>
      <c r="AN389" s="317" t="inlineStr">
        <is>
          <t>If specified, the value must be known to the associated Common Language</t>
        </is>
      </c>
      <c r="AO389" s="257" t="n">
        <v>7</v>
      </c>
      <c r="AP389" s="212" t="inlineStr">
        <is>
          <t>TIG0001</t>
        </is>
      </c>
      <c r="AQ389" s="318" t="n"/>
      <c r="AR389" s="317" t="n"/>
      <c r="AS389" s="257" t="n"/>
      <c r="AT389" s="258" t="n"/>
      <c r="AU389" s="318" t="n"/>
      <c r="AV389" s="317" t="n"/>
      <c r="AW389" s="257" t="n"/>
      <c r="AX389" s="258" t="n"/>
      <c r="AY389" s="318" t="n"/>
      <c r="AZ389" s="317" t="n"/>
      <c r="BA389" s="257" t="n"/>
      <c r="BB389" s="258" t="n"/>
      <c r="BC389" s="316" t="n"/>
      <c r="BD389" s="317" t="n"/>
      <c r="BE389" s="257" t="n"/>
      <c r="BF389" s="258" t="n"/>
      <c r="BG389" s="89" t="n"/>
      <c r="BH3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89">
        <f>_xlfn.LET(r,ROW(),oc,INDEX($A:$A,r),cv,TRIM(INDEX($Y:$Y,r)&amp;""),IF(oc&lt;&gt;"P1","",IF(cv="45","V45 - novo, nao alimentado pelo spool atual","V44 - alimentado pelo spool atual")))</f>
        <v/>
      </c>
    </row>
    <row r="390" ht="54" customFormat="1" customHeight="1" s="57">
      <c r="A390" s="325" t="inlineStr">
        <is>
          <t>P1</t>
        </is>
      </c>
      <c r="B390" s="326" t="n">
        <v>155</v>
      </c>
      <c r="C390" s="284" t="inlineStr">
        <is>
          <t>NA</t>
        </is>
      </c>
      <c r="D390" s="284" t="inlineStr">
        <is>
          <t>NA</t>
        </is>
      </c>
      <c r="E390" s="326" t="inlineStr">
        <is>
          <t>P1 16.99</t>
        </is>
      </c>
      <c r="F390" s="327" t="inlineStr">
        <is>
          <t>Filler</t>
        </is>
      </c>
      <c r="G390" s="245" t="inlineStr">
        <is>
          <t>Filler</t>
        </is>
      </c>
      <c r="H390" s="1493">
        <f>"RPAD( "&amp;SUBSTITUTE(SUBSTITUTE(E390," ","_"),".","_")&amp;","&amp;W390&amp;",' '); -- "&amp;E390</f>
        <v/>
      </c>
      <c r="I390" s="247" t="inlineStr">
        <is>
          <t>Zone libre</t>
        </is>
      </c>
      <c r="J390" s="245" t="inlineStr">
        <is>
          <t>Free zone</t>
        </is>
      </c>
      <c r="K390" s="284" t="inlineStr">
        <is>
          <t>NA</t>
        </is>
      </c>
      <c r="L390" s="284" t="inlineStr">
        <is>
          <t>NA</t>
        </is>
      </c>
      <c r="M390" s="1421" t="inlineStr">
        <is>
          <t>ZoneLibre16</t>
        </is>
      </c>
      <c r="N390" s="284" t="inlineStr">
        <is>
          <t>NA</t>
        </is>
      </c>
      <c r="O390" s="284" t="inlineStr">
        <is>
          <t>NA</t>
        </is>
      </c>
      <c r="P390" s="284" t="inlineStr">
        <is>
          <t>NA</t>
        </is>
      </c>
      <c r="Q390" s="284" t="inlineStr">
        <is>
          <t>NA</t>
        </is>
      </c>
      <c r="R390" s="247" t="inlineStr">
        <is>
          <t>Laisser à vide</t>
        </is>
      </c>
      <c r="S390" s="247" t="inlineStr">
        <is>
          <t>Leave empty</t>
        </is>
      </c>
      <c r="T390" s="326" t="inlineStr">
        <is>
          <t>ALPHA</t>
        </is>
      </c>
      <c r="U390" s="248" t="inlineStr">
        <is>
          <t>NA</t>
        </is>
      </c>
      <c r="V390" s="248" t="inlineStr">
        <is>
          <t>NA</t>
        </is>
      </c>
      <c r="W390" s="284" t="n">
        <v>3</v>
      </c>
      <c r="X390" s="244" t="inlineStr">
        <is>
          <t>NA</t>
        </is>
      </c>
      <c r="Y390" s="248" t="inlineStr">
        <is>
          <t>NA</t>
        </is>
      </c>
      <c r="Z390" s="248" t="inlineStr">
        <is>
          <t>NA</t>
        </is>
      </c>
      <c r="AA390" s="249" t="inlineStr">
        <is>
          <t>NA</t>
        </is>
      </c>
      <c r="AB390" s="284" t="inlineStr">
        <is>
          <t>NA</t>
        </is>
      </c>
      <c r="AC390" s="244" t="inlineStr">
        <is>
          <t>NA</t>
        </is>
      </c>
      <c r="AD390" s="284" t="inlineStr">
        <is>
          <t>N</t>
        </is>
      </c>
      <c r="AE390" s="284" t="inlineStr">
        <is>
          <t>NA</t>
        </is>
      </c>
      <c r="AF390" s="284" t="inlineStr">
        <is>
          <t>NA</t>
        </is>
      </c>
      <c r="AG390" s="285" t="inlineStr">
        <is>
          <t>NA</t>
        </is>
      </c>
      <c r="AH390" s="89" t="n"/>
      <c r="AI390" s="330" t="n"/>
      <c r="AJ390" s="331" t="n"/>
      <c r="AK390" s="284" t="n"/>
      <c r="AL390" s="285" t="n"/>
      <c r="AM390" s="331" t="n"/>
      <c r="AN390" s="331" t="n"/>
      <c r="AO390" s="284" t="n"/>
      <c r="AP390" s="285" t="n"/>
      <c r="AQ390" s="331" t="n"/>
      <c r="AR390" s="331" t="n"/>
      <c r="AS390" s="284" t="n"/>
      <c r="AT390" s="285" t="n"/>
      <c r="AU390" s="331" t="n"/>
      <c r="AV390" s="331" t="n"/>
      <c r="AW390" s="284" t="n"/>
      <c r="AX390" s="285" t="n"/>
      <c r="AY390" s="331" t="n"/>
      <c r="AZ390" s="331" t="n"/>
      <c r="BA390" s="284" t="n"/>
      <c r="BB390" s="285" t="n"/>
      <c r="BC390" s="330" t="n"/>
      <c r="BD390" s="331" t="n"/>
      <c r="BE390" s="284" t="n"/>
      <c r="BF390" s="285" t="n"/>
      <c r="BG390" s="89" t="n"/>
      <c r="BH3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90">
        <f>_xlfn.LET(r,ROW(),oc,INDEX($A:$A,r),cv,TRIM(INDEX($Y:$Y,r)&amp;""),IF(oc&lt;&gt;"P1","",IF(cv="45","V45 - novo, nao alimentado pelo spool atual","V44 - alimentado pelo spool atual")))</f>
        <v/>
      </c>
    </row>
    <row r="391" ht="54" customFormat="1" customHeight="1" s="91">
      <c r="A391" s="306" t="inlineStr">
        <is>
          <t>P1</t>
        </is>
      </c>
      <c r="B391" s="307" t="n">
        <v>156</v>
      </c>
      <c r="C391" s="269" t="inlineStr">
        <is>
          <t>14 - Caractéristiques Sous-jacent</t>
        </is>
      </c>
      <c r="D391" s="310" t="inlineStr">
        <is>
          <t>14 - Underlying characteristics</t>
        </is>
      </c>
      <c r="E391" s="307" t="inlineStr">
        <is>
          <t>P1 4.31</t>
        </is>
      </c>
      <c r="F391" s="448" t="inlineStr">
        <is>
          <t>Indicateur Produit à sous-jacent</t>
        </is>
      </c>
      <c r="G391" s="309" t="inlineStr">
        <is>
          <t>Product with underlying indicator</t>
        </is>
      </c>
      <c r="H391" s="1493">
        <f>"RPAD( "&amp;SUBSTITUTE(SUBSTITUTE(E391," ","_"),".","_")&amp;","&amp;W391&amp;",' '); -- "&amp;E391</f>
        <v/>
      </c>
      <c r="I391" s="308" t="inlineStr">
        <is>
          <t>Dans le cadre de la déclaration des Grands Risques uniquement, lorsqu'une exposition de type financement, titres ou garantie émise porte sur plusieurs sous-jacents alors elle doit être décomposée par transparence afin de répartir cette exposition sur les différents bénéficiaires à la déclaration Grands Risques</t>
        </is>
      </c>
      <c r="J391" s="309" t="inlineStr">
        <is>
          <t>For the reporting of large Risks only, where an exposure of the type finance, securities or guarantee issued relates to more than one underlying, then it must be broken down by transparency in order to spread that exposure across the different beneficiaries to the reporting of large Risks</t>
        </is>
      </c>
      <c r="K391" s="269" t="inlineStr">
        <is>
          <t>ND</t>
        </is>
      </c>
      <c r="L391" s="310" t="inlineStr">
        <is>
          <t>ND</t>
        </is>
      </c>
      <c r="M391" s="1420" t="inlineStr">
        <is>
          <t>indPdtSsJacent</t>
        </is>
      </c>
      <c r="N391" s="257" t="inlineStr">
        <is>
          <t>Obligatoire sous conditions</t>
        </is>
      </c>
      <c r="O391" s="236" t="inlineStr">
        <is>
          <t>Mandatory under conditions</t>
        </is>
      </c>
      <c r="P391" s="269" t="inlineStr">
        <is>
          <t>LC.0479</t>
        </is>
      </c>
      <c r="Q391" s="269" t="inlineStr">
        <is>
          <t>TA Z8IPROSJ</t>
        </is>
      </c>
      <c r="R391" s="241" t="inlineStr">
        <is>
          <t>Pour le périmètre de risque EQU101, pourrait concerner ici les expositions de type Private Equity
Pour le périmètre de risques ISS200 et 300, concerne en particulier les expositions de titrisation et les expositions sous forme d'investissement dans les parts d'OPCVM 
Pour le périmètre de risque TRE2 à 4XX hors 203,205-207, concerne essentiellement les expositions de titrisation 
Pour le périmètre de risque SIG, concerne essentiellement les expositions de titrisation ou les garanties données aux OPC</t>
        </is>
      </c>
      <c r="S391" s="233" t="inlineStr">
        <is>
          <t>For the EQU101 risk scope, could concern private equity exposures here
For the scope of risks ISS200 and 300, this applies in particular to securitization exposures and exposures in the form of investment in UCITS units 
For the risk scope TRE2 to 4XX excluding 203,205-207, primarily concerns securitization exposures 
For the GIS risk scope, it mainly concerns securitization exposures or guarantees given to CIUs</t>
        </is>
      </c>
      <c r="T391" s="313" t="inlineStr">
        <is>
          <t>ALPHA</t>
        </is>
      </c>
      <c r="U391" s="237" t="inlineStr">
        <is>
          <t>NA</t>
        </is>
      </c>
      <c r="V391" s="238" t="inlineStr">
        <is>
          <t>NA</t>
        </is>
      </c>
      <c r="W391" s="257" t="n">
        <v>1</v>
      </c>
      <c r="X391" s="945" t="inlineStr">
        <is>
          <t>NA</t>
        </is>
      </c>
      <c r="Y391" s="237" t="n">
        <v>40</v>
      </c>
      <c r="Z391" s="237" t="inlineStr">
        <is>
          <t>NA</t>
        </is>
      </c>
      <c r="AA391" s="237" t="inlineStr">
        <is>
          <t>NA</t>
        </is>
      </c>
      <c r="AB391" s="269" t="inlineStr">
        <is>
          <t>GRR</t>
        </is>
      </c>
      <c r="AC391" s="231" t="inlineStr">
        <is>
          <t>ND</t>
        </is>
      </c>
      <c r="AD391" s="257" t="inlineStr">
        <is>
          <t>N</t>
        </is>
      </c>
      <c r="AE391" s="257" t="inlineStr">
        <is>
          <t xml:space="preserve">EQU101
ISS200 et 300
TRE2 à 4XX hors 203,205,206,207
SIG
</t>
        </is>
      </c>
      <c r="AF391" s="257" t="inlineStr">
        <is>
          <t>NA</t>
        </is>
      </c>
      <c r="AG391" s="258" t="inlineStr">
        <is>
          <t>NA</t>
        </is>
      </c>
      <c r="AH391" s="89" t="n"/>
      <c r="AI391" s="446" t="inlineStr">
        <is>
          <t>La donnée est obligatoire, si type de risque [P1 2.0] = 'EQU101, ISS200, ISS300, TRE2xx à TRE4xx (sauf TRE203, TRE205, TRE206, TRE207), SIG*'</t>
        </is>
      </c>
      <c r="AJ391" s="317" t="inlineStr">
        <is>
          <t>The data is mandatory, if Risk type [P1 2.0] = 'EQU101, ISS200, ISS300, TRE2xx to TRE4xx (except TRE203, TRE205, TRE206, TRE207), SIG*'</t>
        </is>
      </c>
      <c r="AK391" s="257" t="n">
        <v>7</v>
      </c>
      <c r="AL391" s="345" t="inlineStr">
        <is>
          <t>TPS0797</t>
        </is>
      </c>
      <c r="AM391" s="318" t="inlineStr">
        <is>
          <t>Si elle est renseignée, la valeur doit être connue du Langage Commun associé</t>
        </is>
      </c>
      <c r="AN391" s="317" t="inlineStr">
        <is>
          <t>If specified, the value must be known to the associated Common Language</t>
        </is>
      </c>
      <c r="AO391" s="257" t="n">
        <v>7</v>
      </c>
      <c r="AP391" s="212" t="inlineStr">
        <is>
          <t>TIG0001</t>
        </is>
      </c>
      <c r="AQ391" s="346" t="n"/>
      <c r="AR391" s="347" t="n"/>
      <c r="AS391" s="348" t="n"/>
      <c r="AT391" s="509" t="n"/>
      <c r="AU391" s="318" t="n"/>
      <c r="AV391" s="317" t="n"/>
      <c r="AW391" s="257" t="n"/>
      <c r="AX391" s="258" t="n"/>
      <c r="AY391" s="318" t="n"/>
      <c r="AZ391" s="317" t="n"/>
      <c r="BA391" s="257" t="n"/>
      <c r="BB391" s="258" t="n"/>
      <c r="BC391" s="316" t="n"/>
      <c r="BD391" s="317" t="n"/>
      <c r="BE391" s="257" t="n"/>
      <c r="BF391" s="258" t="n"/>
      <c r="BG391" s="89" t="n"/>
      <c r="BH3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91">
        <f>_xlfn.LET(r,ROW(),oc,INDEX($A:$A,r),cv,TRIM(INDEX($Y:$Y,r)&amp;""),IF(oc&lt;&gt;"P1","",IF(cv="45","V45 - novo, nao alimentado pelo spool atual","V44 - alimentado pelo spool atual")))</f>
        <v/>
      </c>
    </row>
    <row r="392" ht="54" customFormat="1" customHeight="1" s="57">
      <c r="A392" s="325" t="inlineStr">
        <is>
          <t>P1</t>
        </is>
      </c>
      <c r="B392" s="326" t="n">
        <v>157</v>
      </c>
      <c r="C392" s="284" t="inlineStr">
        <is>
          <t>NA</t>
        </is>
      </c>
      <c r="D392" s="284" t="inlineStr">
        <is>
          <t>NA</t>
        </is>
      </c>
      <c r="E392" s="326" t="inlineStr">
        <is>
          <t>P1 4.32</t>
        </is>
      </c>
      <c r="F392" s="327" t="inlineStr">
        <is>
          <t>Indicateur de granularité</t>
        </is>
      </c>
      <c r="G392" s="327" t="inlineStr">
        <is>
          <t>Granularity indicator</t>
        </is>
      </c>
      <c r="H392" s="1493">
        <f>"RPAD( "&amp;SUBSTITUTE(SUBSTITUTE(E392," ","_"),".","_")&amp;","&amp;W392&amp;",' '); -- "&amp;E392</f>
        <v/>
      </c>
      <c r="I392" s="245" t="inlineStr">
        <is>
          <t>Indicateur de granularité</t>
        </is>
      </c>
      <c r="J392" s="245" t="inlineStr">
        <is>
          <t>Granularity indicator</t>
        </is>
      </c>
      <c r="K392" s="284" t="inlineStr">
        <is>
          <t>NA</t>
        </is>
      </c>
      <c r="L392" s="284" t="inlineStr">
        <is>
          <t>NA</t>
        </is>
      </c>
      <c r="M392" s="1421" t="inlineStr">
        <is>
          <t>indGranularite</t>
        </is>
      </c>
      <c r="N392" s="284" t="inlineStr">
        <is>
          <t>NA</t>
        </is>
      </c>
      <c r="O392" s="284" t="inlineStr">
        <is>
          <t>NA</t>
        </is>
      </c>
      <c r="P392" s="284" t="inlineStr">
        <is>
          <t>LC.0157</t>
        </is>
      </c>
      <c r="Q392" s="284" t="inlineStr">
        <is>
          <t>TA KVIGRANU</t>
        </is>
      </c>
      <c r="R392" s="247" t="inlineStr">
        <is>
          <t>Laisser à vide</t>
        </is>
      </c>
      <c r="S392" s="247" t="inlineStr">
        <is>
          <t>Leave empty</t>
        </is>
      </c>
      <c r="T392" s="326" t="inlineStr">
        <is>
          <t>ALPHA</t>
        </is>
      </c>
      <c r="U392" s="248" t="inlineStr">
        <is>
          <t>NA</t>
        </is>
      </c>
      <c r="V392" s="248" t="inlineStr">
        <is>
          <t>NA</t>
        </is>
      </c>
      <c r="W392" s="284" t="n">
        <v>1</v>
      </c>
      <c r="X392" s="244" t="inlineStr">
        <is>
          <t>NA</t>
        </is>
      </c>
      <c r="Y392" s="248" t="n">
        <v>40</v>
      </c>
      <c r="Z392" s="248" t="n">
        <v>42</v>
      </c>
      <c r="AA392" s="248" t="inlineStr">
        <is>
          <t>NA</t>
        </is>
      </c>
      <c r="AB392" s="284" t="inlineStr">
        <is>
          <t>NA</t>
        </is>
      </c>
      <c r="AC392" s="244" t="inlineStr">
        <is>
          <t>NA</t>
        </is>
      </c>
      <c r="AD392" s="284" t="inlineStr">
        <is>
          <t>N</t>
        </is>
      </c>
      <c r="AE392" s="284" t="inlineStr">
        <is>
          <t>NA</t>
        </is>
      </c>
      <c r="AF392" s="284" t="inlineStr">
        <is>
          <t>NA</t>
        </is>
      </c>
      <c r="AG392" s="285" t="inlineStr">
        <is>
          <t>NA</t>
        </is>
      </c>
      <c r="AH392" s="89" t="n"/>
      <c r="AI392" s="330" t="n"/>
      <c r="AJ392" s="331" t="n"/>
      <c r="AK392" s="284" t="n"/>
      <c r="AL392" s="285" t="n"/>
      <c r="AM392" s="331" t="n"/>
      <c r="AN392" s="331" t="n"/>
      <c r="AO392" s="284" t="n"/>
      <c r="AP392" s="285" t="n"/>
      <c r="AQ392" s="331" t="n"/>
      <c r="AR392" s="331" t="n"/>
      <c r="AS392" s="284" t="n"/>
      <c r="AT392" s="285" t="n"/>
      <c r="AU392" s="331" t="n"/>
      <c r="AV392" s="331" t="n"/>
      <c r="AW392" s="284" t="n"/>
      <c r="AX392" s="285" t="n"/>
      <c r="AY392" s="331" t="n"/>
      <c r="AZ392" s="331" t="n"/>
      <c r="BA392" s="284" t="n"/>
      <c r="BB392" s="285" t="n"/>
      <c r="BC392" s="330" t="n"/>
      <c r="BD392" s="331" t="n"/>
      <c r="BE392" s="284" t="n"/>
      <c r="BF392" s="285" t="n"/>
      <c r="BG392" s="89" t="n"/>
      <c r="BH3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92">
        <f>_xlfn.LET(r,ROW(),oc,INDEX($A:$A,r),cv,TRIM(INDEX($Y:$Y,r)&amp;""),IF(oc&lt;&gt;"P1","",IF(cv="45","V45 - novo, nao alimentado pelo spool atual","V44 - alimentado pelo spool atual")))</f>
        <v/>
      </c>
    </row>
    <row r="393" ht="54" customFormat="1" customHeight="1" s="91">
      <c r="A393" s="325" t="inlineStr">
        <is>
          <t>P1</t>
        </is>
      </c>
      <c r="B393" s="326" t="n">
        <v>158</v>
      </c>
      <c r="C393" s="284" t="inlineStr">
        <is>
          <t>03 - Caractéristiques Générales</t>
        </is>
      </c>
      <c r="D393" s="284" t="inlineStr">
        <is>
          <t>03 - General characteristics</t>
        </is>
      </c>
      <c r="E393" s="326" t="inlineStr">
        <is>
          <t>P1 4.33</t>
        </is>
      </c>
      <c r="F393" s="327" t="inlineStr">
        <is>
          <t>Date d'acquisition de la dernière part</t>
        </is>
      </c>
      <c r="G393" s="327" t="inlineStr">
        <is>
          <t>Date of acquisition of final unit</t>
        </is>
      </c>
      <c r="H393" s="1493">
        <f>"RPAD( "&amp;SUBSTITUTE(SUBSTITUTE(E393," ","_"),".","_")&amp;","&amp;W393&amp;",' '); -- "&amp;E393</f>
        <v/>
      </c>
      <c r="I393" s="245" t="inlineStr">
        <is>
          <t>Permet d'identifier les engagements (OPC) bénéficiant de la clause de Grandfathering</t>
        </is>
      </c>
      <c r="J393" s="245" t="inlineStr">
        <is>
          <t>Makes it possible to identify the commitments (CIS) benefiting from a Grandfather clause</t>
        </is>
      </c>
      <c r="K393" s="284" t="inlineStr">
        <is>
          <t>NA</t>
        </is>
      </c>
      <c r="L393" s="284" t="inlineStr">
        <is>
          <t>NA</t>
        </is>
      </c>
      <c r="M393" s="1421" t="inlineStr">
        <is>
          <t>dtAqcuiLastPart</t>
        </is>
      </c>
      <c r="N393" s="284" t="inlineStr">
        <is>
          <t>NA</t>
        </is>
      </c>
      <c r="O393" s="284" t="inlineStr">
        <is>
          <t>NA</t>
        </is>
      </c>
      <c r="P393" s="284" t="inlineStr">
        <is>
          <t>NA</t>
        </is>
      </c>
      <c r="Q393" s="284" t="inlineStr">
        <is>
          <t>NA</t>
        </is>
      </c>
      <c r="R393" s="245" t="inlineStr">
        <is>
          <t>NA</t>
        </is>
      </c>
      <c r="S393" s="245" t="inlineStr">
        <is>
          <t>NA</t>
        </is>
      </c>
      <c r="T393" s="246" t="inlineStr">
        <is>
          <t>DATE</t>
        </is>
      </c>
      <c r="U393" s="248" t="inlineStr">
        <is>
          <t>AAAAMMJJ</t>
        </is>
      </c>
      <c r="V393" s="248" t="inlineStr">
        <is>
          <t>YYYYMMDD</t>
        </is>
      </c>
      <c r="W393" s="284" t="n">
        <v>8</v>
      </c>
      <c r="X393" s="244" t="inlineStr">
        <is>
          <t>NA</t>
        </is>
      </c>
      <c r="Y393" s="248" t="n">
        <v>40</v>
      </c>
      <c r="Z393" s="248" t="n">
        <v>42</v>
      </c>
      <c r="AA393" s="248" t="inlineStr">
        <is>
          <t>NA</t>
        </is>
      </c>
      <c r="AB393" s="284" t="inlineStr">
        <is>
          <t>GRR</t>
        </is>
      </c>
      <c r="AC393" s="244" t="inlineStr">
        <is>
          <t>NA</t>
        </is>
      </c>
      <c r="AD393" s="284" t="inlineStr">
        <is>
          <t>N</t>
        </is>
      </c>
      <c r="AE393" s="284" t="inlineStr">
        <is>
          <t>NA</t>
        </is>
      </c>
      <c r="AF393" s="284" t="inlineStr">
        <is>
          <t>NA</t>
        </is>
      </c>
      <c r="AG393" s="285" t="inlineStr">
        <is>
          <t>NA</t>
        </is>
      </c>
      <c r="AH393" s="1362" t="n"/>
      <c r="AI393" s="330" t="n"/>
      <c r="AJ393" s="331" t="n"/>
      <c r="AK393" s="284" t="n"/>
      <c r="AL393" s="285" t="n"/>
      <c r="AM393" s="331" t="n"/>
      <c r="AN393" s="331" t="n"/>
      <c r="AO393" s="284" t="n"/>
      <c r="AP393" s="285" t="n"/>
      <c r="AQ393" s="331" t="n"/>
      <c r="AR393" s="331" t="n"/>
      <c r="AS393" s="284" t="n"/>
      <c r="AT393" s="285" t="n"/>
      <c r="AU393" s="331" t="n"/>
      <c r="AV393" s="331" t="n"/>
      <c r="AW393" s="284" t="n"/>
      <c r="AX393" s="285" t="n"/>
      <c r="AY393" s="331" t="n"/>
      <c r="AZ393" s="331" t="n"/>
      <c r="BA393" s="284" t="n"/>
      <c r="BB393" s="285" t="n"/>
      <c r="BC393" s="330" t="n"/>
      <c r="BD393" s="331" t="n"/>
      <c r="BE393" s="284" t="n"/>
      <c r="BF393" s="285" t="n"/>
      <c r="BG393" s="89" t="n"/>
      <c r="BH3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93">
        <f>_xlfn.LET(r,ROW(),oc,INDEX($A:$A,r),cv,TRIM(INDEX($Y:$Y,r)&amp;""),IF(oc&lt;&gt;"P1","",IF(cv="45","V45 - novo, nao alimentado pelo spool atual","V44 - alimentado pelo spool atual")))</f>
        <v/>
      </c>
    </row>
    <row r="394" ht="54" customFormat="1" customHeight="1" s="91">
      <c r="A394" s="306" t="inlineStr">
        <is>
          <t>P1</t>
        </is>
      </c>
      <c r="B394" s="307" t="n">
        <v>159</v>
      </c>
      <c r="C394" s="269" t="inlineStr">
        <is>
          <t>03 - Caractéristiques Générales</t>
        </is>
      </c>
      <c r="D394" s="310" t="inlineStr">
        <is>
          <t>03 - General characteristics</t>
        </is>
      </c>
      <c r="E394" s="307" t="inlineStr">
        <is>
          <t>P1 11.13</t>
        </is>
      </c>
      <c r="F394" s="308" t="inlineStr">
        <is>
          <t>Point d'attachement</t>
        </is>
      </c>
      <c r="G394" s="309" t="inlineStr">
        <is>
          <t>Attachment point</t>
        </is>
      </c>
      <c r="H394" s="1493">
        <f>"RPAD( "&amp;SUBSTITUTE(SUBSTITUTE(E394," ","_"),".","_")&amp;","&amp;W394&amp;",' '); -- "&amp;E394</f>
        <v/>
      </c>
      <c r="I394" s="308" t="inlineStr">
        <is>
          <t>Point d'attachement
Exprimée en pourcentage</t>
        </is>
      </c>
      <c r="J394" s="309" t="inlineStr">
        <is>
          <t>Attachment point
Expressed in percentage</t>
        </is>
      </c>
      <c r="K394" s="269" t="inlineStr">
        <is>
          <t>ND</t>
        </is>
      </c>
      <c r="L394" s="310" t="inlineStr">
        <is>
          <t>ND</t>
        </is>
      </c>
      <c r="M394" s="1420" t="inlineStr">
        <is>
          <t>valPointAttach</t>
        </is>
      </c>
      <c r="N394" s="257" t="inlineStr">
        <is>
          <t>Obligatoire sous conditions</t>
        </is>
      </c>
      <c r="O394" s="236" t="inlineStr">
        <is>
          <t>Mandatory under conditions</t>
        </is>
      </c>
      <c r="P394" s="269" t="inlineStr">
        <is>
          <t>NA</t>
        </is>
      </c>
      <c r="Q394" s="269" t="inlineStr">
        <is>
          <t>NA</t>
        </is>
      </c>
      <c r="R394" s="386" t="inlineStr">
        <is>
          <t>Il s'agit du point d'attachement de la tranche du portefeuille sous-jacent sur laquelle porte le dérivé
Il identifie de manière quantitative le niveau de séniorité sur lequel porte le dérivé de crédit (i.e. : la tranche de titrisation). 
Il s'exprime en % du Nominal du portefeuille sous-jacent au dérivé (Nominal du véhicule de titrisation).
Pour le type de risques VAR (hors Repos), à renseigner pour les tranches de CDO. 
Exprimée en %</t>
        </is>
      </c>
      <c r="S394" s="233" t="inlineStr">
        <is>
          <t>This is the attachment point of the tranche of the underlying portfolio to which the derivative relates
It quantitatively identifies the level of seniority on which the credit derivative relates (i.e. : the securitization tranche)
It is expressed as % of the Nominal value of the portfolio underlying the derivative (Nominal value of the securitization vehicle)
For the VAR risk type (excluding Rest), to be filled in for CDO tranches
Expressed as %</t>
        </is>
      </c>
      <c r="T394" s="313" t="inlineStr">
        <is>
          <t>NUM</t>
        </is>
      </c>
      <c r="U394" s="237" t="inlineStr">
        <is>
          <t>10 dont signe et 5 décimales</t>
        </is>
      </c>
      <c r="V394" s="238" t="inlineStr">
        <is>
          <t>10 including sign and 5 decimals</t>
        </is>
      </c>
      <c r="W394" s="257" t="n">
        <v>10</v>
      </c>
      <c r="X394" s="945" t="inlineStr">
        <is>
          <t>NA</t>
        </is>
      </c>
      <c r="Y394" s="237" t="n">
        <v>40</v>
      </c>
      <c r="Z394" s="237" t="inlineStr">
        <is>
          <t>NA</t>
        </is>
      </c>
      <c r="AA394" s="270" t="inlineStr">
        <is>
          <t>NA</t>
        </is>
      </c>
      <c r="AB394" s="994" t="inlineStr">
        <is>
          <t>CALCULS PRUDENTIELS, GRR, SA-CCR</t>
        </is>
      </c>
      <c r="AC394" s="231" t="inlineStr">
        <is>
          <t>ND</t>
        </is>
      </c>
      <c r="AD394" s="257" t="inlineStr">
        <is>
          <t>N</t>
        </is>
      </c>
      <c r="AE394" s="257" t="inlineStr">
        <is>
          <t xml:space="preserve">ISS200 et 300
TRE2 à 4XX hors 203,205,206,207
SIG
VAR (hors Repos)
</t>
        </is>
      </c>
      <c r="AF394" s="257" t="inlineStr">
        <is>
          <t>NA</t>
        </is>
      </c>
      <c r="AG394" s="258" t="inlineStr">
        <is>
          <t>NA</t>
        </is>
      </c>
      <c r="AH394" s="89" t="n"/>
      <c r="AI394" s="435" t="inlineStr">
        <is>
          <t>La donnée est obligatoire, si (le type de risque [P1 2.0] = 'ISS200', 'ISS300', 'SIGxx', 'TRE2xx', 'TRE3xx', 'TRE4xx', 'VARxx' (hors VAR105,302) ET si Portefeuille Bâle Opération [P1 2.18] ='070') OU (si le type de risque [P1 2.0] ='VARxx' (hors VAR105,302) ET si Type de dérivé de crédit [P1 11.1] = ‘CTO')</t>
        </is>
      </c>
      <c r="AJ394" s="317" t="inlineStr">
        <is>
          <t>The data is mandatory, if (Risk type [P1 2.0] = 'ISS200', 'ISS300', 'SIGxx', 'TRE2xx', 'TRE3xx', 'TRE4xx', 'VARxx' (excpet VAR105,302) AND if Basel Transaction Portfolio [P1 2.18] ='070') OR (if Risk type [P1 2.0] =‘VAR*'(except VAR105,302) AND if Type of derivative credit [P1 11.1] = ‘CTO')</t>
        </is>
      </c>
      <c r="AK394" s="257" t="n">
        <v>5</v>
      </c>
      <c r="AL394" s="366" t="inlineStr">
        <is>
          <t>TPS0798</t>
        </is>
      </c>
      <c r="AM394" s="318" t="n"/>
      <c r="AN394" s="317" t="n"/>
      <c r="AO394" s="257" t="n"/>
      <c r="AP394" s="258" t="n"/>
      <c r="AQ394" s="318" t="inlineStr">
        <is>
          <t>Si renseignée, la donnée doit être positive (supérieure ou égale à 0)</t>
        </is>
      </c>
      <c r="AR394" s="317" t="inlineStr">
        <is>
          <t xml:space="preserve">If filled, data must be positive (greater or equal to 0) </t>
        </is>
      </c>
      <c r="AS394" s="257" t="n">
        <v>7</v>
      </c>
      <c r="AT394" s="345" t="inlineStr">
        <is>
          <t>TVG0001</t>
        </is>
      </c>
      <c r="AU394" s="318" t="n"/>
      <c r="AV394" s="317" t="n"/>
      <c r="AW394" s="257" t="n"/>
      <c r="AX394" s="258" t="n"/>
      <c r="AY394" s="318" t="n"/>
      <c r="AZ394" s="317" t="n"/>
      <c r="BA394" s="257" t="n"/>
      <c r="BB394" s="258" t="n"/>
      <c r="BC394" s="316" t="n"/>
      <c r="BD394" s="317" t="n"/>
      <c r="BE394" s="257" t="n"/>
      <c r="BF394" s="258" t="n"/>
      <c r="BG394" s="89" t="n"/>
      <c r="BH3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94">
        <f>_xlfn.LET(r,ROW(),oc,INDEX($A:$A,r),cv,TRIM(INDEX($Y:$Y,r)&amp;""),IF(oc&lt;&gt;"P1","",IF(cv="45","V45 - novo, nao alimentado pelo spool atual","V44 - alimentado pelo spool atual")))</f>
        <v/>
      </c>
    </row>
    <row r="395" ht="54" customFormat="1" customHeight="1" s="91">
      <c r="A395" s="306" t="inlineStr">
        <is>
          <t>P1</t>
        </is>
      </c>
      <c r="B395" s="307" t="n">
        <v>160</v>
      </c>
      <c r="C395" s="269" t="inlineStr">
        <is>
          <t>03 - Caractéristiques Générales</t>
        </is>
      </c>
      <c r="D395" s="310" t="inlineStr">
        <is>
          <t>03 - General characteristics</t>
        </is>
      </c>
      <c r="E395" s="307" t="inlineStr">
        <is>
          <t>P1 11.14</t>
        </is>
      </c>
      <c r="F395" s="308" t="inlineStr">
        <is>
          <t>Point de détachement</t>
        </is>
      </c>
      <c r="G395" s="309" t="inlineStr">
        <is>
          <t>Detachment point</t>
        </is>
      </c>
      <c r="H395" s="1493">
        <f>"RPAD( "&amp;SUBSTITUTE(SUBSTITUTE(E395," ","_"),".","_")&amp;","&amp;W395&amp;",' '); -- "&amp;E395</f>
        <v/>
      </c>
      <c r="I395" s="308" t="inlineStr">
        <is>
          <t>Point de détachement
Exprimé en pourcentage</t>
        </is>
      </c>
      <c r="J395" s="309" t="inlineStr">
        <is>
          <t>Detachment point
Expressed in percentage</t>
        </is>
      </c>
      <c r="K395" s="269" t="inlineStr">
        <is>
          <t>ND</t>
        </is>
      </c>
      <c r="L395" s="310" t="inlineStr">
        <is>
          <t>ND</t>
        </is>
      </c>
      <c r="M395" s="1420" t="inlineStr">
        <is>
          <t>valPointDetache</t>
        </is>
      </c>
      <c r="N395" s="257" t="inlineStr">
        <is>
          <t>Obligatoire sous conditions</t>
        </is>
      </c>
      <c r="O395" s="236" t="inlineStr">
        <is>
          <t>Mandatory under conditions</t>
        </is>
      </c>
      <c r="P395" s="269" t="inlineStr">
        <is>
          <t>NA</t>
        </is>
      </c>
      <c r="Q395" s="269" t="inlineStr">
        <is>
          <t>NA</t>
        </is>
      </c>
      <c r="R395" s="241" t="inlineStr">
        <is>
          <t>Exprimée en %
Pour ce qui est du type de risques VAR (hors Repos), à renseigner pour les tranches de CDO</t>
        </is>
      </c>
      <c r="S395" s="233" t="inlineStr">
        <is>
          <t>Expressed as %
For the type of VAR risks (excl. Rest), to be filled in for CDO tranches</t>
        </is>
      </c>
      <c r="T395" s="313" t="inlineStr">
        <is>
          <t>NUM</t>
        </is>
      </c>
      <c r="U395" s="237" t="inlineStr">
        <is>
          <t>10 dont signe et 5 décimales</t>
        </is>
      </c>
      <c r="V395" s="238" t="inlineStr">
        <is>
          <t>10 including sign and 5 decimals</t>
        </is>
      </c>
      <c r="W395" s="257" t="n">
        <v>10</v>
      </c>
      <c r="X395" s="945" t="inlineStr">
        <is>
          <t>NA</t>
        </is>
      </c>
      <c r="Y395" s="237" t="n">
        <v>40</v>
      </c>
      <c r="Z395" s="237" t="inlineStr">
        <is>
          <t>NA</t>
        </is>
      </c>
      <c r="AA395" s="270" t="inlineStr">
        <is>
          <t>NA</t>
        </is>
      </c>
      <c r="AB395" s="994" t="inlineStr">
        <is>
          <t>CALCULS PRUDENTIELS, GRR</t>
        </is>
      </c>
      <c r="AC395" s="231" t="inlineStr">
        <is>
          <t>ND</t>
        </is>
      </c>
      <c r="AD395" s="257" t="inlineStr">
        <is>
          <t>N</t>
        </is>
      </c>
      <c r="AE395" s="257" t="inlineStr">
        <is>
          <t xml:space="preserve">ISS200 et 300
TRE2 à 4XX hors 203,205,206,207
SIG
VAR (hors Repos)
</t>
        </is>
      </c>
      <c r="AF395" s="257" t="inlineStr">
        <is>
          <t>NA</t>
        </is>
      </c>
      <c r="AG395" s="258" t="inlineStr">
        <is>
          <t>NA</t>
        </is>
      </c>
      <c r="AH395" s="89" t="n"/>
      <c r="AI395" s="316" t="inlineStr">
        <is>
          <t>La donnée est obligatoire, si (le type de risque [P1 2.0] = 'ISS200', 'ISS300', 'SIGxx', 'TRE2xx', 'TRE3xx', 'TRE4xx', 'VARxx' (hors VAR105,302) ET si Portefeuille Bâle Opération [P1 2.18] ='070') OU (si le type de risque [P1 2.0] ='VARxx' (hors VAR105,302) ET si Type de dérivé de crédit [P1 11.1] = ‘CTO')</t>
        </is>
      </c>
      <c r="AJ395" s="317" t="inlineStr">
        <is>
          <t>The data is mandatory, if (Risk type [P1 2.0] = 'ISS200', 'ISS300', 'SIGxx', 'TRE2xx', 'TRE3xx', 'TRE4xx', 'VARxx' (excpet VAR105,302) AND if Basel Transaction Portfolio [P1 2.18] ='070') OR (if Risk type [P1 2.0] =‘VAR*'(except VAR105,302) AND if Type of derivative credit [P1 11.1] = ‘CTO')</t>
        </is>
      </c>
      <c r="AK395" s="257" t="n">
        <v>5</v>
      </c>
      <c r="AL395" s="366" t="inlineStr">
        <is>
          <t>TPS0798</t>
        </is>
      </c>
      <c r="AM395" s="318" t="n"/>
      <c r="AN395" s="317" t="n"/>
      <c r="AO395" s="257" t="n"/>
      <c r="AP395" s="258" t="n"/>
      <c r="AQ395" s="318" t="inlineStr">
        <is>
          <t>Si renseignée, la donnée doit être positive (supérieure ou égale à 0)</t>
        </is>
      </c>
      <c r="AR395" s="317" t="inlineStr">
        <is>
          <t xml:space="preserve">If filled, data must be positive (greater or equal to 0) </t>
        </is>
      </c>
      <c r="AS395" s="257" t="n">
        <v>7</v>
      </c>
      <c r="AT395" s="345" t="inlineStr">
        <is>
          <t>TVG0001</t>
        </is>
      </c>
      <c r="AU395" s="318" t="n"/>
      <c r="AV395" s="317" t="n"/>
      <c r="AW395" s="257" t="n"/>
      <c r="AX395" s="258" t="n"/>
      <c r="AY395" s="318" t="n"/>
      <c r="AZ395" s="317" t="n"/>
      <c r="BA395" s="257" t="n"/>
      <c r="BB395" s="258" t="n"/>
      <c r="BC395" s="316" t="n"/>
      <c r="BD395" s="317" t="n"/>
      <c r="BE395" s="257" t="n"/>
      <c r="BF395" s="258" t="n"/>
      <c r="BG395" s="89" t="n"/>
      <c r="BH3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95">
        <f>_xlfn.LET(r,ROW(),oc,INDEX($A:$A,r),cv,TRIM(INDEX($Y:$Y,r)&amp;""),IF(oc&lt;&gt;"P1","",IF(cv="45","V45 - novo, nao alimentado pelo spool atual","V44 - alimentado pelo spool atual")))</f>
        <v/>
      </c>
    </row>
    <row r="396" ht="54" customFormat="1" customHeight="1" s="91">
      <c r="A396" s="306" t="inlineStr">
        <is>
          <t>P1</t>
        </is>
      </c>
      <c r="B396" s="307" t="n">
        <v>161</v>
      </c>
      <c r="C396" s="269" t="inlineStr">
        <is>
          <t>03 - Caractéristiques Générales</t>
        </is>
      </c>
      <c r="D396" s="310" t="inlineStr">
        <is>
          <t>03 - General characteristics</t>
        </is>
      </c>
      <c r="E396" s="307" t="inlineStr">
        <is>
          <t>P1 4.24</t>
        </is>
      </c>
      <c r="F396" s="308" t="inlineStr">
        <is>
          <t>Date de signature du contrat</t>
        </is>
      </c>
      <c r="G396" s="309" t="inlineStr">
        <is>
          <t>Date of signature of contract</t>
        </is>
      </c>
      <c r="H396" s="1493">
        <f>"RPAD( "&amp;SUBSTITUTE(SUBSTITUTE(E396," ","_"),".","_")&amp;","&amp;W396&amp;",' '); -- "&amp;E396</f>
        <v/>
      </c>
      <c r="I396" s="241" t="inlineStr">
        <is>
          <t>Date de signature du contrat</t>
        </is>
      </c>
      <c r="J396" s="233" t="inlineStr">
        <is>
          <t>Date of signature of contract</t>
        </is>
      </c>
      <c r="K396" s="269" t="inlineStr">
        <is>
          <t>ND</t>
        </is>
      </c>
      <c r="L396" s="310" t="inlineStr">
        <is>
          <t>ND</t>
        </is>
      </c>
      <c r="M396" s="1420" t="inlineStr">
        <is>
          <t>dtSigCtrt</t>
        </is>
      </c>
      <c r="N396" s="231" t="inlineStr">
        <is>
          <t>Obligatoire sous conditions</t>
        </is>
      </c>
      <c r="O396" s="236" t="inlineStr">
        <is>
          <t>Mandatory under conditions</t>
        </is>
      </c>
      <c r="P396" s="269" t="inlineStr">
        <is>
          <t>NA</t>
        </is>
      </c>
      <c r="Q396" s="269" t="inlineStr">
        <is>
          <t>NA</t>
        </is>
      </c>
      <c r="R396" s="241" t="inlineStr">
        <is>
          <t>S'agissant des parts de titrisations, il s'agit de la date d'acquisition des parts (naissance de l'exposition) indépendamment des rechargements et restructurations.
Pour les lignes de crédit et de liquidité accordées aux conduits, il s'agit de la date d'acquisition de l'actif par le conduit (et non l'accord de crédit de la banque). 
Permet d'appliquer ou non la clause de Grand Fathering ( CdC page ...)</t>
        </is>
      </c>
      <c r="S396" s="233" t="inlineStr">
        <is>
          <t>As regards securitization shares, this refers to the date of acquisition of the shares (birth of the exposure) independently of recharges and restructuring.
For the credit and liquidity lines granted to ducts, this is the date on which the conduit acquires the asset (not the bank's credit agreement). 
Whether or not to apply the Grand Fathering clause ( CdC page ...)</t>
        </is>
      </c>
      <c r="T396" s="206" t="inlineStr">
        <is>
          <t>DATE</t>
        </is>
      </c>
      <c r="U396" s="237" t="inlineStr">
        <is>
          <t>AAAAMMJJ</t>
        </is>
      </c>
      <c r="V396" s="238" t="inlineStr">
        <is>
          <t>YYYYMMDD</t>
        </is>
      </c>
      <c r="W396" s="257" t="n">
        <v>8</v>
      </c>
      <c r="X396" s="945" t="inlineStr">
        <is>
          <t>NA</t>
        </is>
      </c>
      <c r="Y396" s="237" t="n">
        <v>40</v>
      </c>
      <c r="Z396" s="237" t="inlineStr">
        <is>
          <t>NA</t>
        </is>
      </c>
      <c r="AA396" s="270" t="inlineStr">
        <is>
          <t>NA</t>
        </is>
      </c>
      <c r="AB396" s="994" t="inlineStr">
        <is>
          <t>GRR, PALMA</t>
        </is>
      </c>
      <c r="AC396" s="231" t="inlineStr">
        <is>
          <t>ND</t>
        </is>
      </c>
      <c r="AD396" s="257" t="inlineStr">
        <is>
          <t>N</t>
        </is>
      </c>
      <c r="AE396" s="512" t="inlineStr">
        <is>
          <t>TRE100
ISS200 et 300
TRE2 à 4XX hors 203,205,206,207
TRE5XX
SIG
VAR105 et 302</t>
        </is>
      </c>
      <c r="AF396" s="257" t="inlineStr">
        <is>
          <t>NA</t>
        </is>
      </c>
      <c r="AG396" s="258" t="inlineStr">
        <is>
          <t>NA</t>
        </is>
      </c>
      <c r="AH396" s="89" t="n"/>
      <c r="AI396" s="513" t="inlineStr">
        <is>
          <t>La donnée est obligatoire si (le type de risque [P1 2.0] est égal à 'TRE2xx' à 'TRE4xx', 'ISS200', 'ISS300', 'SIGxxx' hors ('TRE203', 'TRE205', 'TRE206', 'TRE207')) ET si (le Portefeuille Bâle Opération [P1 2.18] est égal à '070')</t>
        </is>
      </c>
      <c r="AJ396" s="317" t="inlineStr">
        <is>
          <t>The data is mandatory if (Risk type [P1 2.0] is equal to 'TRE2xx' to 'TRE4xx', 'ISS200', 'ISS300', 'SIGxxx' except ('TRE203', 'TRE205', 'TRE206', 'TRE207')) AND if (the Basel Transaction Portfolio [P1 2.18] is equal to '070')</t>
        </is>
      </c>
      <c r="AK396" s="257" t="n">
        <v>6</v>
      </c>
      <c r="AL396" s="366" t="inlineStr">
        <is>
          <t>TPS0739</t>
        </is>
      </c>
      <c r="AM396" s="318" t="n"/>
      <c r="AN396" s="317" t="n"/>
      <c r="AO396" s="257" t="n"/>
      <c r="AP396" s="258" t="n"/>
      <c r="AQ396" s="318" t="inlineStr">
        <is>
          <t>Si renseignée, la donnée doit être supérieure ou égale à '19000101'</t>
        </is>
      </c>
      <c r="AR396" s="317" t="inlineStr">
        <is>
          <t>If filled, data must be greater or equal to '19000101'</t>
        </is>
      </c>
      <c r="AS396" s="257" t="n">
        <v>7</v>
      </c>
      <c r="AT396" s="258" t="inlineStr">
        <is>
          <t>TVG0005</t>
        </is>
      </c>
      <c r="AU396" s="322" t="inlineStr">
        <is>
          <t>La donnée doit être inférieure ou égale à la date d'arrêté</t>
        </is>
      </c>
      <c r="AV396" s="317" t="inlineStr">
        <is>
          <t>Data must be lower or equal than closing date</t>
        </is>
      </c>
      <c r="AW396" s="257" t="n">
        <v>7</v>
      </c>
      <c r="AX396" s="345" t="inlineStr">
        <is>
          <t>TCG0004</t>
        </is>
      </c>
      <c r="AY396" s="318" t="n"/>
      <c r="AZ396" s="317" t="n"/>
      <c r="BA396" s="257" t="n"/>
      <c r="BB396" s="258" t="n"/>
      <c r="BC396" s="316" t="n"/>
      <c r="BD396" s="317" t="n"/>
      <c r="BE396" s="257" t="n"/>
      <c r="BF396" s="258" t="n"/>
      <c r="BG396" s="89" t="n"/>
      <c r="BH3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96">
        <f>_xlfn.LET(r,ROW(),oc,INDEX($A:$A,r),cv,TRIM(INDEX($Y:$Y,r)&amp;""),IF(oc&lt;&gt;"P1","",IF(cv="45","V45 - novo, nao alimentado pelo spool atual","V44 - alimentado pelo spool atual")))</f>
        <v/>
      </c>
    </row>
    <row r="397" ht="54" customFormat="1" customHeight="1" s="91">
      <c r="A397" s="306" t="inlineStr">
        <is>
          <t>P1</t>
        </is>
      </c>
      <c r="B397" s="307" t="n">
        <v>162</v>
      </c>
      <c r="C397" s="269" t="inlineStr">
        <is>
          <t>03 - Caractéristiques Générales</t>
        </is>
      </c>
      <c r="D397" s="310" t="inlineStr">
        <is>
          <t>03 - General characteristics</t>
        </is>
      </c>
      <c r="E397" s="307" t="inlineStr">
        <is>
          <t>P1 4.36</t>
        </is>
      </c>
      <c r="F397" s="514" t="inlineStr">
        <is>
          <t>Indicateur de transparence de la structure</t>
        </is>
      </c>
      <c r="G397" s="309" t="inlineStr">
        <is>
          <t>Indicator of the structure transparency</t>
        </is>
      </c>
      <c r="H397" s="1493">
        <f>"RPAD( "&amp;SUBSTITUTE(SUBSTITUTE(E397," ","_"),".","_")&amp;","&amp;W397&amp;",' '); -- "&amp;E397</f>
        <v/>
      </c>
      <c r="I397" s="232" t="inlineStr">
        <is>
          <t>Indicateur de transparence de la structure</t>
        </is>
      </c>
      <c r="J397" s="233" t="inlineStr">
        <is>
          <t>Indicator of the structure transparency</t>
        </is>
      </c>
      <c r="K397" s="269" t="inlineStr">
        <is>
          <t>ND</t>
        </is>
      </c>
      <c r="L397" s="310" t="inlineStr">
        <is>
          <t>ND</t>
        </is>
      </c>
      <c r="M397" s="1420" t="inlineStr">
        <is>
          <t>indTranspStruct</t>
        </is>
      </c>
      <c r="N397" s="257" t="inlineStr">
        <is>
          <t>Obligatoire sous conditions</t>
        </is>
      </c>
      <c r="O397" s="236" t="inlineStr">
        <is>
          <t>Mandatory under conditions</t>
        </is>
      </c>
      <c r="P397" s="269" t="inlineStr">
        <is>
          <t>LC.0183</t>
        </is>
      </c>
      <c r="Q397" s="269" t="inlineStr">
        <is>
          <t>TA KVITS</t>
        </is>
      </c>
      <c r="R397" s="241" t="inlineStr">
        <is>
          <t>Obligatoire si structure à sous-jacent
NB : Donnée facultative pour le type de risque TRE2 à 4XX hors 203,205-207</t>
        </is>
      </c>
      <c r="S397" s="233" t="inlineStr">
        <is>
          <t>Mandatory if structure to underlying
N.B. Optional data for risk type TRE2 to 4XX excluding 203,205-207</t>
        </is>
      </c>
      <c r="T397" s="313" t="inlineStr">
        <is>
          <t>ALPHA</t>
        </is>
      </c>
      <c r="U397" s="237" t="inlineStr">
        <is>
          <t>NA</t>
        </is>
      </c>
      <c r="V397" s="238" t="inlineStr">
        <is>
          <t>NA</t>
        </is>
      </c>
      <c r="W397" s="257" t="n">
        <v>1</v>
      </c>
      <c r="X397" s="945" t="inlineStr">
        <is>
          <t>NA</t>
        </is>
      </c>
      <c r="Y397" s="237" t="n">
        <v>40</v>
      </c>
      <c r="Z397" s="237" t="inlineStr">
        <is>
          <t>NA</t>
        </is>
      </c>
      <c r="AA397" s="237" t="inlineStr">
        <is>
          <t>NA</t>
        </is>
      </c>
      <c r="AB397" s="269" t="inlineStr">
        <is>
          <t>GRR</t>
        </is>
      </c>
      <c r="AC397" s="231" t="inlineStr">
        <is>
          <t>ND</t>
        </is>
      </c>
      <c r="AD397" s="257" t="inlineStr">
        <is>
          <t>N</t>
        </is>
      </c>
      <c r="AE397" s="515" t="inlineStr">
        <is>
          <t xml:space="preserve">EQU101
ISS200 et 300
TRE2 à 4XX hors 203,205,206,207
SIG
</t>
        </is>
      </c>
      <c r="AF397" s="257" t="inlineStr">
        <is>
          <t>NA</t>
        </is>
      </c>
      <c r="AG397" s="258" t="inlineStr">
        <is>
          <t>NA</t>
        </is>
      </c>
      <c r="AH397" s="89" t="n"/>
      <c r="AI397" s="446" t="inlineStr">
        <is>
          <t>La donnée est obligatoire, si type de risque [P1 2.0] = 'EQU101, ISS200, ISS300, TRE2xx à TRE4xx (sauf TRE203,205,206,207), SIG*' ET si Indicateur Produit à sous-jacent [P1 4.31] = ‘Y'</t>
        </is>
      </c>
      <c r="AJ397" s="317" t="inlineStr">
        <is>
          <t>The data is mandatory, if Risk type [P1 2.0] = 'EQU101, ISS200, ISS300, TRE2xx to TRE4xx (except TRE203,205,206,207), SIG*' AND if Product with underlying indicator [P1 4.31] = ‘Y'</t>
        </is>
      </c>
      <c r="AK397" s="257" t="n">
        <v>6</v>
      </c>
      <c r="AL397" s="345" t="inlineStr">
        <is>
          <t>TPS0799</t>
        </is>
      </c>
      <c r="AM397" s="318" t="inlineStr">
        <is>
          <t>Si elle est renseignée, la valeur doit être connue du Langage Commun associé</t>
        </is>
      </c>
      <c r="AN397" s="317" t="inlineStr">
        <is>
          <t>If specified, the value must be known to the associated Common Language</t>
        </is>
      </c>
      <c r="AO397" s="257" t="n">
        <v>7</v>
      </c>
      <c r="AP397" s="212" t="inlineStr">
        <is>
          <t>TIG0001</t>
        </is>
      </c>
      <c r="AQ397" s="318" t="n"/>
      <c r="AR397" s="317" t="n"/>
      <c r="AS397" s="257" t="n"/>
      <c r="AT397" s="258" t="n"/>
      <c r="AU397" s="318" t="n"/>
      <c r="AV397" s="317" t="n"/>
      <c r="AW397" s="257" t="n"/>
      <c r="AX397" s="258" t="n"/>
      <c r="AY397" s="318" t="n"/>
      <c r="AZ397" s="317" t="n"/>
      <c r="BA397" s="257" t="n"/>
      <c r="BB397" s="258" t="n"/>
      <c r="BC397" s="316" t="n"/>
      <c r="BD397" s="317" t="n"/>
      <c r="BE397" s="257" t="n"/>
      <c r="BF397" s="258" t="n"/>
      <c r="BG397" s="89" t="n"/>
      <c r="BH3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97">
        <f>_xlfn.LET(r,ROW(),oc,INDEX($A:$A,r),cv,TRIM(INDEX($Y:$Y,r)&amp;""),IF(oc&lt;&gt;"P1","",IF(cv="45","V45 - novo, nao alimentado pelo spool atual","V44 - alimentado pelo spool atual")))</f>
        <v/>
      </c>
    </row>
    <row r="398" ht="54" customFormat="1" customHeight="1" s="91">
      <c r="A398" s="306" t="inlineStr">
        <is>
          <t>P1</t>
        </is>
      </c>
      <c r="B398" s="307" t="n">
        <v>163</v>
      </c>
      <c r="C398" s="269" t="inlineStr">
        <is>
          <t>03 - Caractéristiques Générales</t>
        </is>
      </c>
      <c r="D398" s="310" t="inlineStr">
        <is>
          <t>03 - General characteristics</t>
        </is>
      </c>
      <c r="E398" s="372" t="inlineStr">
        <is>
          <t>P1 4.49</t>
        </is>
      </c>
      <c r="F398" s="308" t="inlineStr">
        <is>
          <t>Indicateur d'engagement de valeur minimale sur OPC</t>
        </is>
      </c>
      <c r="G398" s="309" t="inlineStr">
        <is>
          <t>Minimum value commitment on CIU indicator</t>
        </is>
      </c>
      <c r="H398" s="1493">
        <f>"RPAD( "&amp;SUBSTITUTE(SUBSTITUTE(E398," ","_"),".","_")&amp;","&amp;W398&amp;",' '); -- "&amp;E398</f>
        <v/>
      </c>
      <c r="I398" s="242" t="inlineStr">
        <is>
          <t>Réglementation CRR2 et OPC garantis en capital
Cet indicateur permet de dire si la garantie donnée est un engagement de valeur minimale pour un investissement dans des parts d'OPC selon les critères de l'art. 132 quater §3</t>
        </is>
      </c>
      <c r="J398" s="363" t="inlineStr">
        <is>
          <t>CRR2 and CIU regulations guaranteed in capital
This indicator allows to say whether the guarantee given is a minimum value commitment for an investment in CIU units according to the criteria of art. 132 quater §3</t>
        </is>
      </c>
      <c r="K398" s="516" t="inlineStr">
        <is>
          <t>ND</t>
        </is>
      </c>
      <c r="L398" s="517" t="inlineStr">
        <is>
          <t>ND</t>
        </is>
      </c>
      <c r="M398" s="1420" t="inlineStr">
        <is>
          <t>IndEngValMinOPC</t>
        </is>
      </c>
      <c r="N398" s="257" t="inlineStr">
        <is>
          <t>Obligatoire sous conditions</t>
        </is>
      </c>
      <c r="O398" s="310" t="inlineStr">
        <is>
          <t>Mandatory under conditions</t>
        </is>
      </c>
      <c r="P398" s="269" t="inlineStr">
        <is>
          <t>LC.0339</t>
        </is>
      </c>
      <c r="Q398" s="269" t="inlineStr">
        <is>
          <t>TA Z8IEVOPC</t>
        </is>
      </c>
      <c r="R398" s="241" t="inlineStr">
        <is>
          <t>NA</t>
        </is>
      </c>
      <c r="S398" s="233" t="inlineStr">
        <is>
          <t>NA</t>
        </is>
      </c>
      <c r="T398" s="313" t="inlineStr">
        <is>
          <t>ALPHA</t>
        </is>
      </c>
      <c r="U398" s="237" t="inlineStr">
        <is>
          <t>NA</t>
        </is>
      </c>
      <c r="V398" s="238" t="inlineStr">
        <is>
          <t>NA</t>
        </is>
      </c>
      <c r="W398" s="257" t="n">
        <v>1</v>
      </c>
      <c r="X398" s="945" t="inlineStr">
        <is>
          <t>NA</t>
        </is>
      </c>
      <c r="Y398" s="237" t="n">
        <v>43</v>
      </c>
      <c r="Z398" s="237" t="inlineStr">
        <is>
          <t>NA</t>
        </is>
      </c>
      <c r="AA398" s="270" t="inlineStr">
        <is>
          <t>NA</t>
        </is>
      </c>
      <c r="AB398" s="994" t="inlineStr">
        <is>
          <t>CALCULS PRUDENTIELS, GRR</t>
        </is>
      </c>
      <c r="AC398" s="231" t="inlineStr">
        <is>
          <t>ND</t>
        </is>
      </c>
      <c r="AD398" s="257" t="inlineStr">
        <is>
          <t>N</t>
        </is>
      </c>
      <c r="AE398" s="257" t="inlineStr">
        <is>
          <t xml:space="preserve">SIG
</t>
        </is>
      </c>
      <c r="AF398" s="257" t="inlineStr">
        <is>
          <t>NA</t>
        </is>
      </c>
      <c r="AG398" s="258" t="inlineStr">
        <is>
          <t>NA</t>
        </is>
      </c>
      <c r="AH398" s="89" t="n"/>
      <c r="AI398" s="353" t="inlineStr">
        <is>
          <t>La donnée est obligatoire si le type de risque [P1 2.0] = 'SIG203', 'SIG206', 'SIG207'</t>
        </is>
      </c>
      <c r="AJ398" s="317" t="inlineStr">
        <is>
          <t>The data is mandatory if risk type [P1 2.0] = 'SIG203', 'SIG206', 'SIG207'</t>
        </is>
      </c>
      <c r="AK398" s="257" t="n">
        <v>6</v>
      </c>
      <c r="AL398" s="335" t="inlineStr">
        <is>
          <t>TPS0800</t>
        </is>
      </c>
      <c r="AM398" s="452" t="inlineStr">
        <is>
          <t>Si elle est renseignée, la valeur doit être connue du Langage Commun associé</t>
        </is>
      </c>
      <c r="AN398" s="377" t="inlineStr">
        <is>
          <t>If specified, the value must be known to the associated Common Language</t>
        </is>
      </c>
      <c r="AO398" s="257" t="n">
        <v>7</v>
      </c>
      <c r="AP398" s="212" t="inlineStr">
        <is>
          <t>TIG0001</t>
        </is>
      </c>
      <c r="AQ398" s="318" t="n"/>
      <c r="AR398" s="317" t="n"/>
      <c r="AS398" s="257" t="n"/>
      <c r="AT398" s="258" t="n"/>
      <c r="AU398" s="318" t="n"/>
      <c r="AV398" s="317" t="n"/>
      <c r="AW398" s="257" t="n"/>
      <c r="AX398" s="258" t="n"/>
      <c r="AY398" s="318" t="n"/>
      <c r="AZ398" s="317" t="n"/>
      <c r="BA398" s="257" t="n"/>
      <c r="BB398" s="258" t="n"/>
      <c r="BC398" s="316" t="n"/>
      <c r="BD398" s="317" t="n"/>
      <c r="BE398" s="257" t="n"/>
      <c r="BF398" s="258" t="n"/>
      <c r="BG398" s="89" t="n"/>
      <c r="BH3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98">
        <f>_xlfn.LET(r,ROW(),oc,INDEX($A:$A,r),cv,TRIM(INDEX($Y:$Y,r)&amp;""),IF(oc&lt;&gt;"P1","",IF(cv="45","V45 - novo, nao alimentado pelo spool atual","V44 - alimentado pelo spool atual")))</f>
        <v/>
      </c>
    </row>
    <row r="399" ht="54" customFormat="1" customHeight="1" s="57">
      <c r="A399" s="325" t="inlineStr">
        <is>
          <t>P1</t>
        </is>
      </c>
      <c r="B399" s="326" t="n">
        <v>164</v>
      </c>
      <c r="C399" s="284" t="inlineStr">
        <is>
          <t>NA</t>
        </is>
      </c>
      <c r="D399" s="284" t="inlineStr">
        <is>
          <t>NA</t>
        </is>
      </c>
      <c r="E399" s="326" t="inlineStr">
        <is>
          <t>P1 4.99</t>
        </is>
      </c>
      <c r="F399" s="327" t="inlineStr">
        <is>
          <t>Filler</t>
        </is>
      </c>
      <c r="G399" s="327" t="inlineStr">
        <is>
          <t>Filler</t>
        </is>
      </c>
      <c r="H399" s="1493">
        <f>"RPAD( "&amp;SUBSTITUTE(SUBSTITUTE(E399," ","_"),".","_")&amp;","&amp;W399&amp;",' '); -- "&amp;E399</f>
        <v/>
      </c>
      <c r="I399" s="247" t="inlineStr">
        <is>
          <t>Zone libre</t>
        </is>
      </c>
      <c r="J399" s="245" t="inlineStr">
        <is>
          <t>Free zone</t>
        </is>
      </c>
      <c r="K399" s="284" t="inlineStr">
        <is>
          <t>NA</t>
        </is>
      </c>
      <c r="L399" s="284" t="inlineStr">
        <is>
          <t>NA</t>
        </is>
      </c>
      <c r="M399" s="1421" t="inlineStr">
        <is>
          <t>ZoneLibre4</t>
        </is>
      </c>
      <c r="N399" s="284" t="inlineStr">
        <is>
          <t>NA</t>
        </is>
      </c>
      <c r="O399" s="284" t="inlineStr">
        <is>
          <t>NA</t>
        </is>
      </c>
      <c r="P399" s="284" t="inlineStr">
        <is>
          <t>NA</t>
        </is>
      </c>
      <c r="Q399" s="284" t="inlineStr">
        <is>
          <t>NA</t>
        </is>
      </c>
      <c r="R399" s="247" t="inlineStr">
        <is>
          <t>Laisser à vide</t>
        </is>
      </c>
      <c r="S399" s="247" t="inlineStr">
        <is>
          <t>Leave empty</t>
        </is>
      </c>
      <c r="T399" s="326" t="inlineStr">
        <is>
          <t>ALPHA</t>
        </is>
      </c>
      <c r="U399" s="248" t="inlineStr">
        <is>
          <t>NA</t>
        </is>
      </c>
      <c r="V399" s="248" t="inlineStr">
        <is>
          <t>NA</t>
        </is>
      </c>
      <c r="W399" s="284" t="n">
        <v>4</v>
      </c>
      <c r="X399" s="244" t="inlineStr">
        <is>
          <t>NA</t>
        </is>
      </c>
      <c r="Y399" s="248" t="inlineStr">
        <is>
          <t>NA</t>
        </is>
      </c>
      <c r="Z399" s="248" t="inlineStr">
        <is>
          <t>NA</t>
        </is>
      </c>
      <c r="AA399" s="249" t="inlineStr">
        <is>
          <t>NA</t>
        </is>
      </c>
      <c r="AB399" s="284" t="inlineStr">
        <is>
          <t>NA</t>
        </is>
      </c>
      <c r="AC399" s="244" t="inlineStr">
        <is>
          <t>NA</t>
        </is>
      </c>
      <c r="AD399" s="284" t="inlineStr">
        <is>
          <t>N</t>
        </is>
      </c>
      <c r="AE399" s="284" t="inlineStr">
        <is>
          <t>NA</t>
        </is>
      </c>
      <c r="AF399" s="284" t="inlineStr">
        <is>
          <t>NA</t>
        </is>
      </c>
      <c r="AG399" s="285" t="inlineStr">
        <is>
          <t>NA</t>
        </is>
      </c>
      <c r="AH399" s="89" t="n"/>
      <c r="AI399" s="330" t="n"/>
      <c r="AJ399" s="331" t="n"/>
      <c r="AK399" s="284" t="n"/>
      <c r="AL399" s="285" t="n"/>
      <c r="AM399" s="331" t="n"/>
      <c r="AN399" s="331" t="n"/>
      <c r="AO399" s="284" t="n"/>
      <c r="AP399" s="285" t="n"/>
      <c r="AQ399" s="331" t="n"/>
      <c r="AR399" s="331" t="n"/>
      <c r="AS399" s="284" t="n"/>
      <c r="AT399" s="285" t="n"/>
      <c r="AU399" s="331" t="n"/>
      <c r="AV399" s="331" t="n"/>
      <c r="AW399" s="284" t="n"/>
      <c r="AX399" s="285" t="n"/>
      <c r="AY399" s="331" t="n"/>
      <c r="AZ399" s="331" t="n"/>
      <c r="BA399" s="284" t="n"/>
      <c r="BB399" s="285" t="n"/>
      <c r="BC399" s="330" t="n"/>
      <c r="BD399" s="331" t="n"/>
      <c r="BE399" s="284" t="n"/>
      <c r="BF399" s="285" t="n"/>
      <c r="BG399" s="89" t="n"/>
      <c r="BH3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399">
        <f>_xlfn.LET(r,ROW(),oc,INDEX($A:$A,r),cv,TRIM(INDEX($Y:$Y,r)&amp;""),IF(oc&lt;&gt;"P1","",IF(cv="45","V45 - novo, nao alimentado pelo spool atual","V44 - alimentado pelo spool atual")))</f>
        <v/>
      </c>
    </row>
    <row r="400" ht="54" customFormat="1" customHeight="1" s="91">
      <c r="A400" s="306" t="inlineStr">
        <is>
          <t>P1</t>
        </is>
      </c>
      <c r="B400" s="307" t="n">
        <v>165</v>
      </c>
      <c r="C400" s="269" t="inlineStr">
        <is>
          <t>03 - Caractéristiques Générales</t>
        </is>
      </c>
      <c r="D400" s="310" t="inlineStr">
        <is>
          <t>03 - General characteristics</t>
        </is>
      </c>
      <c r="E400" s="518" t="inlineStr">
        <is>
          <t>P1 4.45</t>
        </is>
      </c>
      <c r="F400" s="308" t="inlineStr">
        <is>
          <t>NATure d'Opération des intérêts dus / coupons non échus</t>
        </is>
      </c>
      <c r="G400" s="309" t="inlineStr">
        <is>
          <t>NATure of Operation of interest due / accrued coupons</t>
        </is>
      </c>
      <c r="H400" s="1493">
        <f>"RPAD( "&amp;SUBSTITUTE(SUBSTITUTE(E400," ","_"),".","_")&amp;","&amp;W400&amp;",' '); -- "&amp;E400</f>
        <v/>
      </c>
      <c r="I400" s="241" t="inlineStr">
        <is>
          <t>Correspond à la classification des intérêts selon la nomenclature Groupe CA "NATO" commune aux Risques et à la Comptabilité</t>
        </is>
      </c>
      <c r="J400" s="309" t="inlineStr">
        <is>
          <t>Corresponds to the classification of interests according to the nomenclature of Group CA "NATO" common to Risks and Accounting</t>
        </is>
      </c>
      <c r="K400" s="370" t="inlineStr">
        <is>
          <t>ND</t>
        </is>
      </c>
      <c r="L400" s="371" t="inlineStr">
        <is>
          <t>ND</t>
        </is>
      </c>
      <c r="M400" s="1420" t="inlineStr">
        <is>
          <t>cdNatOpInteretDu</t>
        </is>
      </c>
      <c r="N400" s="257" t="inlineStr">
        <is>
          <t>Facultatif</t>
        </is>
      </c>
      <c r="O400" s="236" t="inlineStr">
        <is>
          <t>Optional</t>
        </is>
      </c>
      <c r="P400" s="269" t="inlineStr">
        <is>
          <t>LC.0064</t>
        </is>
      </c>
      <c r="Q400" s="269" t="inlineStr">
        <is>
          <t xml:space="preserve">TA H8NATOPE
</t>
        </is>
      </c>
      <c r="R400" s="241" t="inlineStr">
        <is>
          <t>Il s'agit ici de la NATure d'Opération telle que déterminée et employée par l'entité dans son rapprochement comptabilité risques</t>
        </is>
      </c>
      <c r="S400" s="233" t="inlineStr">
        <is>
          <t>This is the NATure of Operation as determined and used by the entity in its accounting reconciliation Risks</t>
        </is>
      </c>
      <c r="T400" s="313" t="inlineStr">
        <is>
          <t>ALPHA</t>
        </is>
      </c>
      <c r="U400" s="237" t="inlineStr">
        <is>
          <t>NA</t>
        </is>
      </c>
      <c r="V400" s="238" t="inlineStr">
        <is>
          <t>NA</t>
        </is>
      </c>
      <c r="W400" s="397" t="n">
        <v>12</v>
      </c>
      <c r="X400" s="945" t="inlineStr">
        <is>
          <t>NA</t>
        </is>
      </c>
      <c r="Y400" s="237" t="n">
        <v>41</v>
      </c>
      <c r="Z400" s="237" t="inlineStr">
        <is>
          <t>NA</t>
        </is>
      </c>
      <c r="AA400" s="270" t="inlineStr">
        <is>
          <t>NA</t>
        </is>
      </c>
      <c r="AB400" s="994" t="inlineStr">
        <is>
          <t>USAGE ZP</t>
        </is>
      </c>
      <c r="AC400" s="231" t="inlineStr">
        <is>
          <t>ND</t>
        </is>
      </c>
      <c r="AD400" s="257" t="inlineStr">
        <is>
          <t>N</t>
        </is>
      </c>
      <c r="AE400" s="257" t="inlineStr">
        <is>
          <t xml:space="preserve">EQU101
ISS200 et 300
TRE2 à 4XX hors 203,205,206,207
TRE5XX
SIG
</t>
        </is>
      </c>
      <c r="AF400" s="257" t="inlineStr">
        <is>
          <t>NA</t>
        </is>
      </c>
      <c r="AG400" s="258" t="inlineStr">
        <is>
          <t>NA</t>
        </is>
      </c>
      <c r="AH400" s="89" t="n"/>
      <c r="AI400" s="316" t="n"/>
      <c r="AJ400" s="317" t="n"/>
      <c r="AK400" s="257" t="n"/>
      <c r="AL400" s="258" t="n"/>
      <c r="AM400" s="318" t="inlineStr">
        <is>
          <t>Si elle est renseignée, la valeur doit être connue du Langage Commun associé</t>
        </is>
      </c>
      <c r="AN400" s="317" t="inlineStr">
        <is>
          <t>If specified, the value must be known to the associated Common Language</t>
        </is>
      </c>
      <c r="AO400" s="257" t="n">
        <v>7</v>
      </c>
      <c r="AP400" s="212" t="inlineStr">
        <is>
          <t>TIG0001</t>
        </is>
      </c>
      <c r="AQ400" s="318" t="n"/>
      <c r="AR400" s="317" t="n"/>
      <c r="AS400" s="257" t="n"/>
      <c r="AT400" s="258" t="n"/>
      <c r="AU400" s="318" t="n"/>
      <c r="AV400" s="317" t="n"/>
      <c r="AW400" s="257" t="n"/>
      <c r="AX400" s="258" t="n"/>
      <c r="AY400" s="318" t="n"/>
      <c r="AZ400" s="317" t="n"/>
      <c r="BA400" s="257" t="n"/>
      <c r="BB400" s="258" t="n"/>
      <c r="BC400" s="316" t="n"/>
      <c r="BD400" s="317" t="n"/>
      <c r="BE400" s="257" t="n"/>
      <c r="BF400" s="258" t="n"/>
      <c r="BG400" s="89" t="n"/>
      <c r="BH4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00">
        <f>_xlfn.LET(r,ROW(),oc,INDEX($A:$A,r),cv,TRIM(INDEX($Y:$Y,r)&amp;""),IF(oc&lt;&gt;"P1","",IF(cv="45","V45 - novo, nao alimentado pelo spool atual","V44 - alimentado pelo spool atual")))</f>
        <v/>
      </c>
    </row>
    <row r="401" ht="54" customFormat="1" customHeight="1" s="57">
      <c r="A401" s="325" t="inlineStr">
        <is>
          <t>P1</t>
        </is>
      </c>
      <c r="B401" s="326" t="n">
        <v>166</v>
      </c>
      <c r="C401" s="284" t="inlineStr">
        <is>
          <t xml:space="preserve">19 - Données comptables </t>
        </is>
      </c>
      <c r="D401" s="284" t="inlineStr">
        <is>
          <t>19 - Accounting data</t>
        </is>
      </c>
      <c r="E401" s="326" t="inlineStr">
        <is>
          <t>P1 4.46</t>
        </is>
      </c>
      <c r="F401" s="327" t="inlineStr">
        <is>
          <t>Zone libre (Ex PCCO – Montant des coupons non échus)</t>
        </is>
      </c>
      <c r="G401" s="327" t="inlineStr">
        <is>
          <t>Free zone (Ex PCCO – Amount of accrued coupons)</t>
        </is>
      </c>
      <c r="H401" s="1493">
        <f>"RPAD( "&amp;SUBSTITUTE(SUBSTITUTE(E401," ","_"),".","_")&amp;","&amp;W401&amp;",' '); -- "&amp;E401</f>
        <v/>
      </c>
      <c r="I401" s="329" t="inlineStr">
        <is>
          <t>Zone libre</t>
        </is>
      </c>
      <c r="J401" s="329" t="inlineStr">
        <is>
          <t>Free zone</t>
        </is>
      </c>
      <c r="K401" s="328" t="inlineStr">
        <is>
          <t>NA</t>
        </is>
      </c>
      <c r="L401" s="328" t="inlineStr">
        <is>
          <t>NA</t>
        </is>
      </c>
      <c r="M401" s="1421" t="inlineStr">
        <is>
          <t>ZoneLibre446</t>
        </is>
      </c>
      <c r="N401" s="284" t="inlineStr">
        <is>
          <t>NA</t>
        </is>
      </c>
      <c r="O401" s="244" t="inlineStr">
        <is>
          <t>NA</t>
        </is>
      </c>
      <c r="P401" s="284" t="inlineStr">
        <is>
          <t>NA</t>
        </is>
      </c>
      <c r="Q401" s="284" t="inlineStr">
        <is>
          <t>NA</t>
        </is>
      </c>
      <c r="R401" s="412" t="inlineStr">
        <is>
          <t>Laisser à vide</t>
        </is>
      </c>
      <c r="S401" s="245" t="inlineStr">
        <is>
          <t>Leave empty</t>
        </is>
      </c>
      <c r="T401" s="333" t="inlineStr">
        <is>
          <t>ALPHA</t>
        </is>
      </c>
      <c r="U401" s="256" t="inlineStr">
        <is>
          <t>NA</t>
        </is>
      </c>
      <c r="V401" s="256" t="inlineStr">
        <is>
          <t>NA</t>
        </is>
      </c>
      <c r="W401" s="328" t="n">
        <v>12</v>
      </c>
      <c r="X401" s="244" t="inlineStr">
        <is>
          <t>NA</t>
        </is>
      </c>
      <c r="Y401" s="248" t="inlineStr">
        <is>
          <t>NA</t>
        </is>
      </c>
      <c r="Z401" s="248" t="inlineStr">
        <is>
          <t>NA</t>
        </is>
      </c>
      <c r="AA401" s="248" t="inlineStr">
        <is>
          <t>NA</t>
        </is>
      </c>
      <c r="AB401" s="284" t="inlineStr">
        <is>
          <t>NA</t>
        </is>
      </c>
      <c r="AC401" s="244" t="inlineStr">
        <is>
          <t>NA</t>
        </is>
      </c>
      <c r="AD401" s="284" t="inlineStr">
        <is>
          <t>N</t>
        </is>
      </c>
      <c r="AE401" s="284" t="inlineStr">
        <is>
          <t>NA</t>
        </is>
      </c>
      <c r="AF401" s="284" t="inlineStr">
        <is>
          <t>NA</t>
        </is>
      </c>
      <c r="AG401" s="285" t="inlineStr">
        <is>
          <t>NA</t>
        </is>
      </c>
      <c r="AH401" s="89" t="n"/>
      <c r="AI401" s="330" t="n"/>
      <c r="AJ401" s="331" t="n"/>
      <c r="AK401" s="284" t="n"/>
      <c r="AL401" s="285" t="n"/>
      <c r="AM401" s="331" t="n"/>
      <c r="AN401" s="331" t="n"/>
      <c r="AO401" s="284" t="n"/>
      <c r="AP401" s="285" t="n"/>
      <c r="AQ401" s="331" t="n"/>
      <c r="AR401" s="331" t="n"/>
      <c r="AS401" s="284" t="n"/>
      <c r="AT401" s="285" t="n"/>
      <c r="AU401" s="331" t="n"/>
      <c r="AV401" s="331" t="n"/>
      <c r="AW401" s="284" t="n"/>
      <c r="AX401" s="285" t="n"/>
      <c r="AY401" s="331" t="n"/>
      <c r="AZ401" s="331" t="n"/>
      <c r="BA401" s="284" t="n"/>
      <c r="BB401" s="285" t="n"/>
      <c r="BC401" s="330" t="n"/>
      <c r="BD401" s="331" t="n"/>
      <c r="BE401" s="284" t="n"/>
      <c r="BF401" s="285" t="n"/>
      <c r="BG401" s="89" t="n"/>
      <c r="BH4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01">
        <f>_xlfn.LET(r,ROW(),oc,INDEX($A:$A,r),cv,TRIM(INDEX($Y:$Y,r)&amp;""),IF(oc&lt;&gt;"P1","",IF(cv="45","V45 - novo, nao alimentado pelo spool atual","V44 - alimentado pelo spool atual")))</f>
        <v/>
      </c>
    </row>
    <row r="402" ht="54" customFormat="1" customHeight="1" s="91">
      <c r="A402" s="306" t="inlineStr">
        <is>
          <t>P1</t>
        </is>
      </c>
      <c r="B402" s="307" t="n">
        <v>167</v>
      </c>
      <c r="C402" s="269" t="inlineStr">
        <is>
          <t>03 - Caractéristiques Générales</t>
        </is>
      </c>
      <c r="D402" s="310" t="inlineStr">
        <is>
          <t>03 - General characteristics</t>
        </is>
      </c>
      <c r="E402" s="307" t="inlineStr">
        <is>
          <t>P1 3.20</t>
        </is>
      </c>
      <c r="F402" s="308" t="inlineStr">
        <is>
          <t>Maturité résiduelle</t>
        </is>
      </c>
      <c r="G402" s="309" t="inlineStr">
        <is>
          <t>Remaining maturity</t>
        </is>
      </c>
      <c r="H402" s="1493">
        <f>"RPAD( "&amp;SUBSTITUTE(SUBSTITUTE(E402," ","_"),".","_")&amp;","&amp;W402&amp;",' '); -- "&amp;E402</f>
        <v/>
      </c>
      <c r="I402" s="308" t="inlineStr">
        <is>
          <t>Maturité résiduelle</t>
        </is>
      </c>
      <c r="J402" s="309" t="inlineStr">
        <is>
          <t>Remaining maturity</t>
        </is>
      </c>
      <c r="K402" s="370" t="inlineStr">
        <is>
          <t>ND</t>
        </is>
      </c>
      <c r="L402" s="371" t="inlineStr">
        <is>
          <t>ND</t>
        </is>
      </c>
      <c r="M402" s="1420" t="inlineStr">
        <is>
          <t>cdMatRes</t>
        </is>
      </c>
      <c r="N402" s="257" t="inlineStr">
        <is>
          <t>Facultatif</t>
        </is>
      </c>
      <c r="O402" s="236" t="inlineStr">
        <is>
          <t>Optional</t>
        </is>
      </c>
      <c r="P402" s="269" t="inlineStr">
        <is>
          <t>NA</t>
        </is>
      </c>
      <c r="Q402" s="269" t="inlineStr">
        <is>
          <t>NA</t>
        </is>
      </c>
      <c r="R402" s="241" t="inlineStr">
        <is>
          <t>Valeur par défaut' = ‘05' &amp; '0000' si la date de fin de l'engagement est inconnue (=‘99990630') pour les types de risques (EQUE101, EQU201, TRE205,206,207, TRE206, TRE5XX, SIG, VAR (hors Repos), VAR105 et 302, INT)
Valeur par défaut' = ‘02' &amp; '5000' si la date de fin de l'engagement est inconnue (=‘99990630') pour les types de risques (ISS100, ISS200 et 300)
Valeur par défaut' = ‘00' &amp; '0055' si la date de fin de l'engagement est inconnue (=‘99990630') pour les types de risques (TRE100 et TRE2 à 4XX)
Donnée exprimée en années. Calcul à faire par l'entité en divisant le nombre de jours restants entre la date de fin de l'engagement et la date d'arrêté et en divisant par 365,25</t>
        </is>
      </c>
      <c r="S402" s="233" t="inlineStr">
        <is>
          <t>Default value" = ‘05' &amp; ‘0000' if the end date of the funds in use is unknown (=‘99990630') for risk types (EQUE101, EQU201, TRE205,206,207, TRE07 206, TRE5XX, SIG, VAR (excl. Rest), VAR105 and 302, INT)
Default value" = ‘02' &amp; ‘5000' if the end date of the funds in use is unknown (=‘99990630') for risk types (ISS100, ISS200 and 300)
Default value" = ‘00' &amp; ‘0055' if the end date of the funds in use is unknown (=‘99990630') for risk types (TRE100 and TRE2 to 4XX)
Data expressed in years. Calculation to be made by the entity by dividing the number of days remaining between the funds in use completion date and the cut-off date and dividing by 365.25</t>
        </is>
      </c>
      <c r="T402" s="313" t="inlineStr">
        <is>
          <t>NUM</t>
        </is>
      </c>
      <c r="U402" s="237" t="inlineStr">
        <is>
          <t>6 dont 4 décimales</t>
        </is>
      </c>
      <c r="V402" s="238" t="inlineStr">
        <is>
          <t>6 including 4 decimals</t>
        </is>
      </c>
      <c r="W402" s="397" t="n">
        <v>6</v>
      </c>
      <c r="X402" s="945" t="inlineStr">
        <is>
          <t>NA</t>
        </is>
      </c>
      <c r="Y402" s="237" t="n">
        <v>40</v>
      </c>
      <c r="Z402" s="237" t="inlineStr">
        <is>
          <t>NA</t>
        </is>
      </c>
      <c r="AA402" s="978" t="inlineStr">
        <is>
          <t>NA</t>
        </is>
      </c>
      <c r="AB402" s="994" t="inlineStr">
        <is>
          <t>ASTRE, CALCULS PRUDENTIELS, CORFOU, DEI, GRR</t>
        </is>
      </c>
      <c r="AC402" s="231" t="inlineStr">
        <is>
          <t>ND</t>
        </is>
      </c>
      <c r="AD402" s="257" t="inlineStr">
        <is>
          <t>N</t>
        </is>
      </c>
      <c r="AE402" s="971" t="inlineStr">
        <is>
          <t>EQU101
EQU201
ISS100
ISS200 et 300
TRE100
TRE2 à 4XX hors 203,205,206,207
TRE203, 205, 207
TRE206
TRE5XX
SIG
VAR*
INT</t>
        </is>
      </c>
      <c r="AF402" s="257" t="inlineStr">
        <is>
          <t>NA</t>
        </is>
      </c>
      <c r="AG402" s="258" t="inlineStr">
        <is>
          <t>NA</t>
        </is>
      </c>
      <c r="AH402" s="89" t="n"/>
      <c r="AI402" s="316" t="n"/>
      <c r="AJ402" s="317" t="n"/>
      <c r="AK402" s="257" t="n"/>
      <c r="AL402" s="258" t="n"/>
      <c r="AM402" s="318" t="n"/>
      <c r="AN402" s="317" t="n"/>
      <c r="AO402" s="257" t="n"/>
      <c r="AP402" s="258" t="n"/>
      <c r="AQ402" s="318" t="n"/>
      <c r="AR402" s="317" t="n"/>
      <c r="AS402" s="257" t="n"/>
      <c r="AT402" s="258" t="n"/>
      <c r="AU402" s="318" t="n"/>
      <c r="AV402" s="317" t="n"/>
      <c r="AW402" s="257" t="n"/>
      <c r="AX402" s="258" t="n"/>
      <c r="AY402" s="318" t="n"/>
      <c r="AZ402" s="317" t="n"/>
      <c r="BA402" s="257" t="n"/>
      <c r="BB402" s="258" t="n"/>
      <c r="BC402" s="316" t="n"/>
      <c r="BD402" s="317" t="n"/>
      <c r="BE402" s="257" t="n"/>
      <c r="BF402" s="258" t="n"/>
      <c r="BG402" s="89" t="n"/>
      <c r="BH4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02">
        <f>_xlfn.LET(r,ROW(),oc,INDEX($A:$A,r),cv,TRIM(INDEX($Y:$Y,r)&amp;""),IF(oc&lt;&gt;"P1","",IF(cv="45","V45 - novo, nao alimentado pelo spool atual","V44 - alimentado pelo spool atual")))</f>
        <v/>
      </c>
    </row>
    <row r="403" ht="54" customFormat="1" customHeight="1" s="91">
      <c r="A403" s="306" t="inlineStr">
        <is>
          <t>P1</t>
        </is>
      </c>
      <c r="B403" s="307" t="n">
        <v>168</v>
      </c>
      <c r="C403" s="269" t="inlineStr">
        <is>
          <t>03 - Caractéristiques Générales</t>
        </is>
      </c>
      <c r="D403" s="310" t="inlineStr">
        <is>
          <t>03 - General characteristics</t>
        </is>
      </c>
      <c r="E403" s="307" t="inlineStr">
        <is>
          <t>P1 4.8</t>
        </is>
      </c>
      <c r="F403" s="448" t="inlineStr">
        <is>
          <t>Indicateur bilan hors bilan</t>
        </is>
      </c>
      <c r="G403" s="309" t="inlineStr">
        <is>
          <t>On Off balance-sheet flag</t>
        </is>
      </c>
      <c r="H403" s="1493">
        <f>"RPAD( "&amp;SUBSTITUTE(SUBSTITUTE(E403," ","_"),".","_")&amp;","&amp;W403&amp;",' '); -- "&amp;E403</f>
        <v/>
      </c>
      <c r="I403" s="241" t="inlineStr">
        <is>
          <t>Indicateur bilan (B) hors bilan (H)</t>
        </is>
      </c>
      <c r="J403" s="309" t="inlineStr">
        <is>
          <t>On Off balance-sheet flag</t>
        </is>
      </c>
      <c r="K403" s="370" t="inlineStr">
        <is>
          <t>ND</t>
        </is>
      </c>
      <c r="L403" s="371" t="inlineStr">
        <is>
          <t>ND</t>
        </is>
      </c>
      <c r="M403" s="1420" t="inlineStr">
        <is>
          <t>indBHB</t>
        </is>
      </c>
      <c r="N403" s="257" t="inlineStr">
        <is>
          <t>Obligatoire</t>
        </is>
      </c>
      <c r="O403" s="236" t="inlineStr">
        <is>
          <t>Mandatory</t>
        </is>
      </c>
      <c r="P403" s="269" t="inlineStr">
        <is>
          <t>LC.0117</t>
        </is>
      </c>
      <c r="Q403" s="269" t="inlineStr">
        <is>
          <t>TA KVIBHB</t>
        </is>
      </c>
      <c r="R403" s="241" t="inlineStr">
        <is>
          <t>NA</t>
        </is>
      </c>
      <c r="S403" s="233" t="inlineStr">
        <is>
          <t>NA</t>
        </is>
      </c>
      <c r="T403" s="313" t="inlineStr">
        <is>
          <t>ALPHA</t>
        </is>
      </c>
      <c r="U403" s="237" t="inlineStr">
        <is>
          <t>NA</t>
        </is>
      </c>
      <c r="V403" s="238" t="inlineStr">
        <is>
          <t>NA</t>
        </is>
      </c>
      <c r="W403" s="397" t="n">
        <v>1</v>
      </c>
      <c r="X403" s="945" t="inlineStr">
        <is>
          <t>NA</t>
        </is>
      </c>
      <c r="Y403" s="237" t="n">
        <v>40</v>
      </c>
      <c r="Z403" s="237" t="inlineStr">
        <is>
          <t>NA</t>
        </is>
      </c>
      <c r="AA403" s="978" t="inlineStr">
        <is>
          <t>NA</t>
        </is>
      </c>
      <c r="AB403" s="994" t="inlineStr">
        <is>
          <t>ANACREDIT, ASTRE, CALCULS PRUDENTIELS, CONGLOMERATS, DEI, GRR, LOAN TAPE</t>
        </is>
      </c>
      <c r="AC403" s="231" t="inlineStr">
        <is>
          <t>ND</t>
        </is>
      </c>
      <c r="AD403" s="257" t="inlineStr">
        <is>
          <t>N</t>
        </is>
      </c>
      <c r="AE403" s="971" t="inlineStr">
        <is>
          <t>EQU101
EQU201
ISS100
ISS200 et 300
TRE100
TRE2 à 4XX hors 203,205,206,207
TRE203, 205, 207
TRE206
TRE5XX
SIG
VAR*
INT</t>
        </is>
      </c>
      <c r="AF403" s="257" t="inlineStr">
        <is>
          <t>NA</t>
        </is>
      </c>
      <c r="AG403" s="258" t="inlineStr">
        <is>
          <t>NA</t>
        </is>
      </c>
      <c r="AH403" s="89" t="n"/>
      <c r="AI403" s="316" t="inlineStr">
        <is>
          <t>La donnée est obligatoire</t>
        </is>
      </c>
      <c r="AJ403" s="317" t="inlineStr">
        <is>
          <t>The data is mandatory</t>
        </is>
      </c>
      <c r="AK403" s="257" t="n">
        <v>7</v>
      </c>
      <c r="AL403" s="335" t="inlineStr">
        <is>
          <t>TPG0001</t>
        </is>
      </c>
      <c r="AM403" s="318" t="inlineStr">
        <is>
          <t>Si elle est renseignée, la valeur doit être connue du Langage Commun associé</t>
        </is>
      </c>
      <c r="AN403" s="317" t="inlineStr">
        <is>
          <t>If specified, the value must be known to the associated Common Language</t>
        </is>
      </c>
      <c r="AO403" s="257" t="n">
        <v>7</v>
      </c>
      <c r="AP403" s="212" t="inlineStr">
        <is>
          <t>TIG0001</t>
        </is>
      </c>
      <c r="AQ403" s="421" t="n"/>
      <c r="AR403" s="422" t="n"/>
      <c r="AS403" s="348" t="n"/>
      <c r="AT403" s="423" t="n"/>
      <c r="AU403" s="318" t="n"/>
      <c r="AV403" s="317" t="n"/>
      <c r="AW403" s="257" t="n"/>
      <c r="AX403" s="258" t="n"/>
      <c r="AY403" s="318" t="n"/>
      <c r="AZ403" s="317" t="n"/>
      <c r="BA403" s="257" t="n"/>
      <c r="BB403" s="258" t="n"/>
      <c r="BC403" s="316" t="n"/>
      <c r="BD403" s="317" t="n"/>
      <c r="BE403" s="257" t="n"/>
      <c r="BF403" s="258" t="n"/>
      <c r="BG403" s="89" t="n"/>
      <c r="BH4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03">
        <f>_xlfn.LET(r,ROW(),oc,INDEX($A:$A,r),cv,TRIM(INDEX($Y:$Y,r)&amp;""),IF(oc&lt;&gt;"P1","",IF(cv="45","V45 - novo, nao alimentado pelo spool atual","V44 - alimentado pelo spool atual")))</f>
        <v/>
      </c>
    </row>
    <row r="404" ht="54" customFormat="1" customHeight="1" s="91">
      <c r="A404" s="306" t="inlineStr">
        <is>
          <t>P1</t>
        </is>
      </c>
      <c r="B404" s="307" t="n">
        <v>169</v>
      </c>
      <c r="C404" s="269" t="inlineStr">
        <is>
          <t>03 - Caractéristiques Générales</t>
        </is>
      </c>
      <c r="D404" s="310" t="inlineStr">
        <is>
          <t>03 - General characteristics</t>
        </is>
      </c>
      <c r="E404" s="307" t="inlineStr">
        <is>
          <t>P1 12.16</t>
        </is>
      </c>
      <c r="F404" s="308" t="inlineStr">
        <is>
          <t xml:space="preserve">Code séniorité </t>
        </is>
      </c>
      <c r="G404" s="309" t="inlineStr">
        <is>
          <t>Seniority code</t>
        </is>
      </c>
      <c r="H404" s="1493">
        <f>"RPAD( "&amp;SUBSTITUTE(SUBSTITUTE(E404," ","_"),".","_")&amp;","&amp;W404&amp;",' '); -- "&amp;E404</f>
        <v/>
      </c>
      <c r="I404" s="278" t="inlineStr">
        <is>
          <t>Le code séniorité de la dette indique le niveau de recours de la Banque sur le créancier</t>
        </is>
      </c>
      <c r="J404" s="160" t="inlineStr">
        <is>
          <t>The debt seniority code indicates the Bank's level of recourse to the creditor</t>
        </is>
      </c>
      <c r="K404" s="370" t="inlineStr">
        <is>
          <t>ND</t>
        </is>
      </c>
      <c r="L404" s="371" t="inlineStr">
        <is>
          <t>ND</t>
        </is>
      </c>
      <c r="M404" s="1420" t="inlineStr">
        <is>
          <t>NivSeniorite</t>
        </is>
      </c>
      <c r="N404" s="257" t="inlineStr">
        <is>
          <t>Obligatoire sous conditions</t>
        </is>
      </c>
      <c r="O404" s="310" t="inlineStr">
        <is>
          <t>Mandatory under conditions</t>
        </is>
      </c>
      <c r="P404" s="269" t="inlineStr">
        <is>
          <t>LC.0026</t>
        </is>
      </c>
      <c r="Q404" s="269" t="inlineStr">
        <is>
          <t>TA KVSENIOR</t>
        </is>
      </c>
      <c r="R404" s="241" t="inlineStr">
        <is>
          <t>NA</t>
        </is>
      </c>
      <c r="S404" s="233" t="inlineStr">
        <is>
          <t>NA</t>
        </is>
      </c>
      <c r="T404" s="313" t="inlineStr">
        <is>
          <t>ALPHA</t>
        </is>
      </c>
      <c r="U404" s="237" t="inlineStr">
        <is>
          <t>NA</t>
        </is>
      </c>
      <c r="V404" s="238" t="inlineStr">
        <is>
          <t>NA</t>
        </is>
      </c>
      <c r="W404" s="397" t="n">
        <v>3</v>
      </c>
      <c r="X404" s="945" t="inlineStr">
        <is>
          <t>NA</t>
        </is>
      </c>
      <c r="Y404" s="237" t="n">
        <v>40</v>
      </c>
      <c r="Z404" s="237" t="inlineStr">
        <is>
          <t>NA</t>
        </is>
      </c>
      <c r="AA404" s="270" t="inlineStr">
        <is>
          <t>NA</t>
        </is>
      </c>
      <c r="AB404" s="994" t="inlineStr">
        <is>
          <t>ANACREDIT, CALCULS PRUDENTIELS, DEI, MREL, SRB VALUATION</t>
        </is>
      </c>
      <c r="AC404" s="231" t="inlineStr">
        <is>
          <t>ND</t>
        </is>
      </c>
      <c r="AD404" s="257" t="inlineStr">
        <is>
          <t>N</t>
        </is>
      </c>
      <c r="AE404" s="257" t="inlineStr">
        <is>
          <t xml:space="preserve">ISS100
ISS200 et 300
TRE2 à 4XX hors 203,205,206,207
</t>
        </is>
      </c>
      <c r="AF404" s="257" t="inlineStr">
        <is>
          <t>NA</t>
        </is>
      </c>
      <c r="AG404" s="258" t="inlineStr">
        <is>
          <t>NA</t>
        </is>
      </c>
      <c r="AH404" s="89" t="n"/>
      <c r="AI404" s="353" t="inlineStr">
        <is>
          <t>La donnée est obligatoire si le type de risque [P1 2.0] = 'ISS100', 'ISS200', 'ISS300'</t>
        </is>
      </c>
      <c r="AJ404" s="317" t="inlineStr">
        <is>
          <t>The data is mandatory if risk type [P1 2.0] = 'ISS100', 'ISS200', 'ISS300'</t>
        </is>
      </c>
      <c r="AK404" s="269" t="n">
        <v>6</v>
      </c>
      <c r="AL404" s="345" t="inlineStr">
        <is>
          <t>TPS0801</t>
        </is>
      </c>
      <c r="AM404" s="452" t="inlineStr">
        <is>
          <t>Si elle est renseignée, la valeur doit être connue du Langage Commun associé</t>
        </is>
      </c>
      <c r="AN404" s="377" t="inlineStr">
        <is>
          <t>If specified, the value must be known to the associated Common Language</t>
        </is>
      </c>
      <c r="AO404" s="257" t="n">
        <v>7</v>
      </c>
      <c r="AP404" s="212" t="inlineStr">
        <is>
          <t>TIG0001</t>
        </is>
      </c>
      <c r="AQ404" s="318" t="n"/>
      <c r="AR404" s="317" t="n"/>
      <c r="AS404" s="257" t="n"/>
      <c r="AT404" s="258" t="n"/>
      <c r="AU404" s="318" t="n"/>
      <c r="AV404" s="317" t="n"/>
      <c r="AW404" s="257" t="n"/>
      <c r="AX404" s="258" t="n"/>
      <c r="AY404" s="318" t="n"/>
      <c r="AZ404" s="317" t="n"/>
      <c r="BA404" s="257" t="n"/>
      <c r="BB404" s="258" t="n"/>
      <c r="BC404" s="316" t="n"/>
      <c r="BD404" s="317" t="n"/>
      <c r="BE404" s="257" t="n"/>
      <c r="BF404" s="258" t="n"/>
      <c r="BG404" s="89" t="n"/>
      <c r="BH4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04">
        <f>_xlfn.LET(r,ROW(),oc,INDEX($A:$A,r),cv,TRIM(INDEX($Y:$Y,r)&amp;""),IF(oc&lt;&gt;"P1","",IF(cv="45","V45 - novo, nao alimentado pelo spool atual","V44 - alimentado pelo spool atual")))</f>
        <v/>
      </c>
    </row>
    <row r="405" ht="54" customFormat="1" customHeight="1" s="91">
      <c r="A405" s="306" t="inlineStr">
        <is>
          <t>P1</t>
        </is>
      </c>
      <c r="B405" s="307" t="n">
        <v>170</v>
      </c>
      <c r="C405" s="269" t="inlineStr">
        <is>
          <t>03 - Caractéristiques Générales</t>
        </is>
      </c>
      <c r="D405" s="310" t="inlineStr">
        <is>
          <t>03 - General characteristics</t>
        </is>
      </c>
      <c r="E405" s="307" t="inlineStr">
        <is>
          <t>P1 3.75</t>
        </is>
      </c>
      <c r="F405" s="1266" t="inlineStr">
        <is>
          <t>Instrument financier</t>
        </is>
      </c>
      <c r="G405" s="309" t="inlineStr">
        <is>
          <t>Financial instrument</t>
        </is>
      </c>
      <c r="H405" s="1493">
        <f>"RPAD( "&amp;SUBSTITUTE(SUBSTITUTE(E405," ","_"),".","_")&amp;","&amp;W405&amp;",' '); -- "&amp;E405</f>
        <v/>
      </c>
      <c r="I405" s="241" t="inlineStr">
        <is>
          <t>Identification du type d'instrument</t>
        </is>
      </c>
      <c r="J405" s="309" t="inlineStr">
        <is>
          <t>Instrument type identification</t>
        </is>
      </c>
      <c r="K405" s="370" t="inlineStr">
        <is>
          <t>ND</t>
        </is>
      </c>
      <c r="L405" s="371" t="inlineStr">
        <is>
          <t>ND</t>
        </is>
      </c>
      <c r="M405" s="1420" t="inlineStr">
        <is>
          <t>cdInsFin</t>
        </is>
      </c>
      <c r="N405" s="257" t="inlineStr">
        <is>
          <t>Obligatoire sous conditions</t>
        </is>
      </c>
      <c r="O405" s="310" t="inlineStr">
        <is>
          <t>Mandatory under conditions</t>
        </is>
      </c>
      <c r="P405" s="269" t="inlineStr">
        <is>
          <t>LC.0177</t>
        </is>
      </c>
      <c r="Q405" s="269" t="inlineStr">
        <is>
          <t>TA KVINSFIN</t>
        </is>
      </c>
      <c r="R405" s="241" t="inlineStr">
        <is>
          <t>NA</t>
        </is>
      </c>
      <c r="S405" s="233" t="inlineStr">
        <is>
          <t>NA</t>
        </is>
      </c>
      <c r="T405" s="313" t="inlineStr">
        <is>
          <t>ALPHA</t>
        </is>
      </c>
      <c r="U405" s="237" t="inlineStr">
        <is>
          <t>NA</t>
        </is>
      </c>
      <c r="V405" s="238" t="inlineStr">
        <is>
          <t>NA</t>
        </is>
      </c>
      <c r="W405" s="397" t="n">
        <v>2</v>
      </c>
      <c r="X405" s="945" t="inlineStr">
        <is>
          <t>NA</t>
        </is>
      </c>
      <c r="Y405" s="237" t="inlineStr">
        <is>
          <t>40</t>
        </is>
      </c>
      <c r="Z405" s="237" t="inlineStr">
        <is>
          <t>NA</t>
        </is>
      </c>
      <c r="AA405" s="978" t="inlineStr">
        <is>
          <t>45.00</t>
        </is>
      </c>
      <c r="AB405" s="932" t="inlineStr">
        <is>
          <t>ASTRE, CALCULS PRUDENTIELS, CONGLOMERATS, CORFOU, LIQUIDITE, MREL, PVA, RISQUES SYSTEMIQUES, SA-CCR, SHS, SRB VALUATION, YOSHIKUNI</t>
        </is>
      </c>
      <c r="AC405" s="231" t="inlineStr">
        <is>
          <t>ND</t>
        </is>
      </c>
      <c r="AD405" s="257" t="inlineStr">
        <is>
          <t>N</t>
        </is>
      </c>
      <c r="AE405" s="971" t="inlineStr">
        <is>
          <t>EQU101
EQU201
ISS100
ISS200 et 300
VAR*
INT</t>
        </is>
      </c>
      <c r="AF405" s="257" t="inlineStr">
        <is>
          <t>NA</t>
        </is>
      </c>
      <c r="AG405" s="258" t="inlineStr">
        <is>
          <t>NA</t>
        </is>
      </c>
      <c r="AH405" s="89" t="n"/>
      <c r="AI405" s="316" t="inlineStr">
        <is>
          <t>La donnée est obligatoire si le type de risque [P1 2.0] = 'VARxx', 'EQU101', 'ISS100', 'ISS200', 'ISS300', INT</t>
        </is>
      </c>
      <c r="AJ405" s="317" t="inlineStr">
        <is>
          <t>The data is mandatory if Risk type [P1 2.0] = 'VARxx', 'EQU101', 'ISS100', 'ISS200', 'ISS300', INT</t>
        </is>
      </c>
      <c r="AK405" s="257" t="n">
        <v>6</v>
      </c>
      <c r="AL405" s="335" t="inlineStr">
        <is>
          <t>TPS0802</t>
        </is>
      </c>
      <c r="AM405" s="452" t="inlineStr">
        <is>
          <t>Si elle est renseignée, la valeur doit être connue du Langage Commun associé</t>
        </is>
      </c>
      <c r="AN405" s="377" t="inlineStr">
        <is>
          <t>If specified, the value must be known to the associated Common Language</t>
        </is>
      </c>
      <c r="AO405" s="257" t="n">
        <v>7</v>
      </c>
      <c r="AP405" s="212" t="inlineStr">
        <is>
          <t>TIG0001</t>
        </is>
      </c>
      <c r="AQ405" s="318" t="n"/>
      <c r="AR405" s="317" t="n"/>
      <c r="AS405" s="257" t="n"/>
      <c r="AT405" s="258" t="n"/>
      <c r="AU405" s="318" t="n"/>
      <c r="AV405" s="317" t="n"/>
      <c r="AW405" s="257" t="n"/>
      <c r="AX405" s="258" t="n"/>
      <c r="AY405" s="318" t="n"/>
      <c r="AZ405" s="317" t="n"/>
      <c r="BA405" s="257" t="n"/>
      <c r="BB405" s="258" t="n"/>
      <c r="BC405" s="278" t="inlineStr">
        <is>
          <t>Si la combinaison de donnée n'est pas trouvée dans la matrice des règles de gestion C30, le contrôle doit se lever</t>
        </is>
      </c>
      <c r="BD405" s="160" t="inlineStr">
        <is>
          <t>If the data combinaison is not found in the C30 business rules matrix, the control must trigger</t>
        </is>
      </c>
      <c r="BE405" s="257" t="n">
        <v>6</v>
      </c>
      <c r="BF405" s="521" t="inlineStr">
        <is>
          <t>TC0C30</t>
        </is>
      </c>
      <c r="BG405" s="89" t="n"/>
      <c r="BH4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05">
        <f>_xlfn.LET(r,ROW(),oc,INDEX($A:$A,r),cv,TRIM(INDEX($Y:$Y,r)&amp;""),IF(oc&lt;&gt;"P1","",IF(cv="45","V45 - novo, nao alimentado pelo spool atual","V44 - alimentado pelo spool atual")))</f>
        <v/>
      </c>
    </row>
    <row r="406" ht="54" customFormat="1" customHeight="1" s="91">
      <c r="A406" s="306" t="inlineStr">
        <is>
          <t>P1</t>
        </is>
      </c>
      <c r="B406" s="307" t="n">
        <v>171</v>
      </c>
      <c r="C406" s="269" t="inlineStr">
        <is>
          <t>03 - Caractéristiques Générales</t>
        </is>
      </c>
      <c r="D406" s="310" t="inlineStr">
        <is>
          <t>03 - General characteristics</t>
        </is>
      </c>
      <c r="E406" s="307" t="inlineStr">
        <is>
          <t>P1 4.42</t>
        </is>
      </c>
      <c r="F406" s="375" t="inlineStr">
        <is>
          <t>Type de produit bancaire</t>
        </is>
      </c>
      <c r="G406" s="309" t="inlineStr">
        <is>
          <t>Banking Product type</t>
        </is>
      </c>
      <c r="H406" s="1493">
        <f>"RPAD( "&amp;SUBSTITUTE(SUBSTITUTE(E406," ","_"),".","_")&amp;","&amp;W406&amp;",' '); -- "&amp;E406</f>
        <v/>
      </c>
      <c r="I406" s="314" t="inlineStr">
        <is>
          <t>Classification des produits bancaires et financiers</t>
        </is>
      </c>
      <c r="J406" s="233" t="inlineStr">
        <is>
          <t>Banking and financial products classification</t>
        </is>
      </c>
      <c r="K406" s="269" t="inlineStr">
        <is>
          <t>ND</t>
        </is>
      </c>
      <c r="L406" s="310" t="inlineStr">
        <is>
          <t>ND</t>
        </is>
      </c>
      <c r="M406" s="1420" t="inlineStr">
        <is>
          <t>cdTypProd</t>
        </is>
      </c>
      <c r="N406" s="257" t="inlineStr">
        <is>
          <t>Obligatoire</t>
        </is>
      </c>
      <c r="O406" s="236" t="inlineStr">
        <is>
          <t>Mandatory</t>
        </is>
      </c>
      <c r="P406" s="269" t="inlineStr">
        <is>
          <t>LC.0303</t>
        </is>
      </c>
      <c r="Q406" s="269" t="inlineStr">
        <is>
          <t xml:space="preserve">TA Z8PRODUI </t>
        </is>
      </c>
      <c r="R406" s="232" t="inlineStr">
        <is>
          <t>NA</t>
        </is>
      </c>
      <c r="S406" s="312" t="inlineStr">
        <is>
          <t>NA</t>
        </is>
      </c>
      <c r="T406" s="313" t="inlineStr">
        <is>
          <t>ALPHA</t>
        </is>
      </c>
      <c r="U406" s="237" t="inlineStr">
        <is>
          <t>NA</t>
        </is>
      </c>
      <c r="V406" s="238" t="inlineStr">
        <is>
          <t>NA</t>
        </is>
      </c>
      <c r="W406" s="397" t="n">
        <v>6</v>
      </c>
      <c r="X406" s="945" t="inlineStr">
        <is>
          <t>NA</t>
        </is>
      </c>
      <c r="Y406" s="237" t="n">
        <v>41</v>
      </c>
      <c r="Z406" s="237" t="inlineStr">
        <is>
          <t>NA</t>
        </is>
      </c>
      <c r="AA406" s="1021" t="inlineStr">
        <is>
          <t>45.00</t>
        </is>
      </c>
      <c r="AB406" s="932" t="inlineStr">
        <is>
          <t>AER, ALMM, ANACREDIT, ASTRE, CONGLOMERATS, LIQUIDITE, LOAN TAPE, MREL, NPE, PALMA, RISQUES SYSTEMIQUES</t>
        </is>
      </c>
      <c r="AC406" s="231" t="inlineStr">
        <is>
          <t>ND</t>
        </is>
      </c>
      <c r="AD406" s="257" t="inlineStr">
        <is>
          <t>N</t>
        </is>
      </c>
      <c r="AE406" s="971" t="inlineStr">
        <is>
          <t>EQU101
EQU201
ISS100
ISS200 et 300
TRE100
TRE2 à 4XX hors 203,205,206,207
TRE203, 205, 207
TRE206
TRE5XX
SIG
VAR*
INT</t>
        </is>
      </c>
      <c r="AF406" s="257" t="inlineStr">
        <is>
          <t>NA</t>
        </is>
      </c>
      <c r="AG406" s="258" t="inlineStr">
        <is>
          <t>NA</t>
        </is>
      </c>
      <c r="AH406" s="89" t="n"/>
      <c r="AI406" s="353" t="inlineStr">
        <is>
          <t>La donnée est obligatoire</t>
        </is>
      </c>
      <c r="AJ406" s="317" t="inlineStr">
        <is>
          <t>The data is mandatory</t>
        </is>
      </c>
      <c r="AK406" s="269" t="n">
        <v>7</v>
      </c>
      <c r="AL406" s="335" t="inlineStr">
        <is>
          <t>TPG0001</t>
        </is>
      </c>
      <c r="AM406" s="376" t="inlineStr">
        <is>
          <t>Si elle est renseignée, la valeur doit être connue du Langage Commun associé</t>
        </is>
      </c>
      <c r="AN406" s="377" t="inlineStr">
        <is>
          <t>If specified, the value must be known to the associated Common Language</t>
        </is>
      </c>
      <c r="AO406" s="269" t="n">
        <v>7</v>
      </c>
      <c r="AP406" s="212" t="inlineStr">
        <is>
          <t>TIG0001</t>
        </is>
      </c>
      <c r="AQ406" s="318" t="n"/>
      <c r="AR406" s="317" t="n"/>
      <c r="AS406" s="257" t="n"/>
      <c r="AT406" s="258" t="n"/>
      <c r="AU406" s="354" t="inlineStr">
        <is>
          <t>Le type de produit bancaire doit être cohérent avec le type d'enregistrement (la colonne Z8OMZPFR lié au type de produit de la table Z8COPROM doit correspondre à l'objet métier concerné)</t>
        </is>
      </c>
      <c r="AV406" s="317" t="inlineStr">
        <is>
          <t>The type of banking product must be consistent with the type of record (the Z8OMZPFR column linked to the product type of the Z8COPROM table must correspond to the business object concerned)</t>
        </is>
      </c>
      <c r="AW406" s="269" t="n">
        <v>7</v>
      </c>
      <c r="AX406" s="355" t="inlineStr">
        <is>
          <t>TCG0001</t>
        </is>
      </c>
      <c r="AY406" s="318" t="n"/>
      <c r="AZ406" s="317" t="n"/>
      <c r="BA406" s="257" t="n"/>
      <c r="BB406" s="258" t="n"/>
      <c r="BC406" s="278" t="inlineStr">
        <is>
          <t>Si la combinaison de donnée n'est pas trouvée dans la matrice des règles de gestion C31, le contrôle doit se lever</t>
        </is>
      </c>
      <c r="BD406" s="160" t="inlineStr">
        <is>
          <t>If the data combinaison is not found in the C31 business rules matrix, the control must trigger</t>
        </is>
      </c>
      <c r="BE406" s="257" t="n">
        <v>6</v>
      </c>
      <c r="BF406" s="393" t="inlineStr">
        <is>
          <t>TC0C31</t>
        </is>
      </c>
      <c r="BG406" s="89" t="n"/>
      <c r="BH4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06">
        <f>_xlfn.LET(r,ROW(),oc,INDEX($A:$A,r),cv,TRIM(INDEX($Y:$Y,r)&amp;""),IF(oc&lt;&gt;"P1","",IF(cv="45","V45 - novo, nao alimentado pelo spool atual","V44 - alimentado pelo spool atual")))</f>
        <v/>
      </c>
    </row>
    <row r="407" ht="54" customFormat="1" customHeight="1" s="91">
      <c r="A407" s="306" t="inlineStr">
        <is>
          <t>P1</t>
        </is>
      </c>
      <c r="B407" s="307" t="n">
        <v>172</v>
      </c>
      <c r="C407" s="269" t="inlineStr">
        <is>
          <t>03 - Caractéristiques Générales</t>
        </is>
      </c>
      <c r="D407" s="310" t="inlineStr">
        <is>
          <t>03 - General characteristics</t>
        </is>
      </c>
      <c r="E407" s="307" t="inlineStr">
        <is>
          <t>P1 3.3</t>
        </is>
      </c>
      <c r="F407" s="427" t="inlineStr">
        <is>
          <t>Date de valeur de prise d'effet du contrat</t>
        </is>
      </c>
      <c r="G407" s="309" t="inlineStr">
        <is>
          <t>Contract Effective Value Date</t>
        </is>
      </c>
      <c r="H407" s="1493">
        <f>"RPAD( "&amp;SUBSTITUTE(SUBSTITUTE(E407," ","_"),".","_")&amp;","&amp;W407&amp;",' '); -- "&amp;E407</f>
        <v/>
      </c>
      <c r="I407" s="241" t="inlineStr">
        <is>
          <t>Date de valeur de prise d'effet du contrat d'engagement</t>
        </is>
      </c>
      <c r="J407" s="309" t="inlineStr">
        <is>
          <t>The effective date of the funds in use contract</t>
        </is>
      </c>
      <c r="K407" s="370" t="inlineStr">
        <is>
          <t>ND</t>
        </is>
      </c>
      <c r="L407" s="371" t="inlineStr">
        <is>
          <t>ND</t>
        </is>
      </c>
      <c r="M407" s="1420" t="inlineStr">
        <is>
          <t>dtValeur</t>
        </is>
      </c>
      <c r="N407" s="257" t="inlineStr">
        <is>
          <t>Obligatoire</t>
        </is>
      </c>
      <c r="O407" s="236" t="inlineStr">
        <is>
          <t>Mandatory</t>
        </is>
      </c>
      <c r="P407" s="269" t="inlineStr">
        <is>
          <t>NA</t>
        </is>
      </c>
      <c r="Q407" s="269" t="inlineStr">
        <is>
          <t>NA</t>
        </is>
      </c>
      <c r="R407" s="522" t="inlineStr">
        <is>
          <t>Correspond à la date d'entrée ou sortie effective du cash associé</t>
        </is>
      </c>
      <c r="S407" s="233" t="inlineStr">
        <is>
          <t>Corresponds to the effective date of cash in or cash out</t>
        </is>
      </c>
      <c r="T407" s="206" t="inlineStr">
        <is>
          <t>DATE</t>
        </is>
      </c>
      <c r="U407" s="237" t="inlineStr">
        <is>
          <t>AAAAMMJJ</t>
        </is>
      </c>
      <c r="V407" s="238" t="inlineStr">
        <is>
          <t>YYYYMMDD</t>
        </is>
      </c>
      <c r="W407" s="257" t="n">
        <v>8</v>
      </c>
      <c r="X407" s="945" t="inlineStr">
        <is>
          <t>NA</t>
        </is>
      </c>
      <c r="Y407" s="237" t="n">
        <v>41</v>
      </c>
      <c r="Z407" s="237" t="inlineStr">
        <is>
          <t>NA</t>
        </is>
      </c>
      <c r="AA407" s="283" t="inlineStr">
        <is>
          <t>45.00</t>
        </is>
      </c>
      <c r="AB407" s="932" t="inlineStr">
        <is>
          <t>AER, ALMM, CALCULS PRUDENTIELS, CORFOU, LIQUIDITE, MREL, PALMA, SA-CCR, SRB VALUATION</t>
        </is>
      </c>
      <c r="AC407" s="231" t="inlineStr">
        <is>
          <t>ND</t>
        </is>
      </c>
      <c r="AD407" s="257" t="inlineStr">
        <is>
          <t>N</t>
        </is>
      </c>
      <c r="AE407" s="971" t="inlineStr">
        <is>
          <t>EQU101
EQU201
ISS100
ISS200 et 300
TRE100
TRE2 à 4XX hors 203,205,206,207
TRE203, 205, 207
TRE206
TRE5XX
SIG
VAR*
INT</t>
        </is>
      </c>
      <c r="AF407" s="257" t="inlineStr">
        <is>
          <t>NA</t>
        </is>
      </c>
      <c r="AG407" s="258" t="inlineStr">
        <is>
          <t>NA</t>
        </is>
      </c>
      <c r="AH407" s="89" t="n"/>
      <c r="AI407" s="353" t="inlineStr">
        <is>
          <t>La donnée est obligatoire</t>
        </is>
      </c>
      <c r="AJ407" s="317" t="inlineStr">
        <is>
          <t>The data is mandatory</t>
        </is>
      </c>
      <c r="AK407" s="269" t="n">
        <v>6</v>
      </c>
      <c r="AL407" s="335" t="inlineStr">
        <is>
          <t>TPG0001</t>
        </is>
      </c>
      <c r="AM407" s="318" t="n"/>
      <c r="AN407" s="317" t="n"/>
      <c r="AO407" s="257" t="n"/>
      <c r="AP407" s="258" t="n"/>
      <c r="AQ407" s="1028" t="inlineStr">
        <is>
          <t>Si renseignée, la donnée doit être supérieure ou égale à '19000101'</t>
        </is>
      </c>
      <c r="AR407" s="931" t="inlineStr">
        <is>
          <t>If filled, data must be greater or equal to '19000101'</t>
        </is>
      </c>
      <c r="AS407" s="958" t="n">
        <v>7</v>
      </c>
      <c r="AT407" s="1052" t="inlineStr">
        <is>
          <t>TVG0005</t>
        </is>
      </c>
      <c r="AU407" s="318" t="inlineStr">
        <is>
          <t>Si renseignée, la Date de valeur de prise d'effet du contrat [P1 3.3] doit être &gt;= à la 'Date de début de l'engagement' [P1 3.2]</t>
        </is>
      </c>
      <c r="AV407" s="317" t="inlineStr">
        <is>
          <t>If filled, Contract Effective Value Date [P1 3.3] must be &gt;= to Start date of commitment [P1 3.2]</t>
        </is>
      </c>
      <c r="AW407" s="257" t="n">
        <v>6</v>
      </c>
      <c r="AX407" s="345" t="inlineStr">
        <is>
          <t>TCS0710</t>
        </is>
      </c>
      <c r="AY407" s="318" t="n"/>
      <c r="AZ407" s="317" t="n"/>
      <c r="BA407" s="257" t="n"/>
      <c r="BB407" s="258" t="n"/>
      <c r="BC407" s="316" t="n"/>
      <c r="BD407" s="317" t="n"/>
      <c r="BE407" s="257" t="n"/>
      <c r="BF407" s="258" t="n"/>
      <c r="BG407" s="89" t="n"/>
      <c r="BH4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07">
        <f>_xlfn.LET(r,ROW(),oc,INDEX($A:$A,r),cv,TRIM(INDEX($Y:$Y,r)&amp;""),IF(oc&lt;&gt;"P1","",IF(cv="45","V45 - novo, nao alimentado pelo spool atual","V44 - alimentado pelo spool atual")))</f>
        <v/>
      </c>
    </row>
    <row r="408" ht="54" customFormat="1" customHeight="1" s="91">
      <c r="A408" s="306" t="inlineStr">
        <is>
          <t>P1</t>
        </is>
      </c>
      <c r="B408" s="307" t="n">
        <v>173</v>
      </c>
      <c r="C408" s="269" t="inlineStr">
        <is>
          <t>25 - Notation du tiers</t>
        </is>
      </c>
      <c r="D408" s="310" t="inlineStr">
        <is>
          <t>25 - Third party rating</t>
        </is>
      </c>
      <c r="E408" s="307" t="inlineStr">
        <is>
          <t>P1 4.43</t>
        </is>
      </c>
      <c r="F408" s="308" t="inlineStr">
        <is>
          <t>Segment de notation du groupe de risque</t>
        </is>
      </c>
      <c r="G408" s="309" t="inlineStr">
        <is>
          <t>Rating segment of the risk group</t>
        </is>
      </c>
      <c r="H408" s="1493">
        <f>"RPAD( "&amp;SUBSTITUTE(SUBSTITUTE(E408," ","_"),".","_")&amp;","&amp;W408&amp;",' '); -- "&amp;E408</f>
        <v/>
      </c>
      <c r="I408" s="241" t="inlineStr">
        <is>
          <t>Segment de notation du groupe de risque - donnée réservée aux Caisses régionales</t>
        </is>
      </c>
      <c r="J408" s="309" t="inlineStr">
        <is>
          <t>Risk group's rating segment – data reserved for Regional Banks</t>
        </is>
      </c>
      <c r="K408" s="370" t="inlineStr">
        <is>
          <t>ND</t>
        </is>
      </c>
      <c r="L408" s="371" t="inlineStr">
        <is>
          <t>ND</t>
        </is>
      </c>
      <c r="M408" s="1420" t="inlineStr">
        <is>
          <t>SegNotGrpRisq</t>
        </is>
      </c>
      <c r="N408" s="257" t="inlineStr">
        <is>
          <t>Facultatif</t>
        </is>
      </c>
      <c r="O408" s="236" t="inlineStr">
        <is>
          <t>Optional</t>
        </is>
      </c>
      <c r="P408" s="269" t="inlineStr">
        <is>
          <t>LC.0093</t>
        </is>
      </c>
      <c r="Q408" s="269" t="inlineStr">
        <is>
          <t>RB NM694</t>
        </is>
      </c>
      <c r="R408" s="241" t="inlineStr">
        <is>
          <t>Donnée réservée aux Caisses régionales. A laisser à vide si pas concerné</t>
        </is>
      </c>
      <c r="S408" s="233" t="inlineStr">
        <is>
          <t>Data reserved for Crédit agricole regional bank. To be left empty if not concerned</t>
        </is>
      </c>
      <c r="T408" s="313" t="inlineStr">
        <is>
          <t>ALPHA</t>
        </is>
      </c>
      <c r="U408" s="237" t="inlineStr">
        <is>
          <t>NA</t>
        </is>
      </c>
      <c r="V408" s="238" t="inlineStr">
        <is>
          <t>NA</t>
        </is>
      </c>
      <c r="W408" s="257" t="n">
        <v>2</v>
      </c>
      <c r="X408" s="945" t="inlineStr">
        <is>
          <t>NA</t>
        </is>
      </c>
      <c r="Y408" s="237" t="n">
        <v>41</v>
      </c>
      <c r="Z408" s="237" t="inlineStr">
        <is>
          <t>NA</t>
        </is>
      </c>
      <c r="AA408" s="237" t="inlineStr">
        <is>
          <t>NA</t>
        </is>
      </c>
      <c r="AB408" s="269" t="inlineStr">
        <is>
          <t>OMP</t>
        </is>
      </c>
      <c r="AC408" s="231" t="inlineStr">
        <is>
          <t>ND</t>
        </is>
      </c>
      <c r="AD408" s="257" t="inlineStr">
        <is>
          <t>N</t>
        </is>
      </c>
      <c r="AE408" s="971" t="inlineStr">
        <is>
          <t>EQU101
EQU201
ISS100
ISS200 et 300
TRE100
TRE2 à 4XX hors 203,205,206,207
TRE203, 205, 207
TRE206
TRE5XX
SIG
VAR*
INT</t>
        </is>
      </c>
      <c r="AF408" s="257" t="inlineStr">
        <is>
          <t>NA</t>
        </is>
      </c>
      <c r="AG408" s="258" t="inlineStr">
        <is>
          <t>NA</t>
        </is>
      </c>
      <c r="AH408" s="89" t="n"/>
      <c r="AI408" s="316" t="n"/>
      <c r="AJ408" s="317" t="n"/>
      <c r="AK408" s="257" t="n"/>
      <c r="AL408" s="258" t="n"/>
      <c r="AM408" s="318" t="inlineStr">
        <is>
          <t>Si elle est renseignée, la valeur doit être connue du Langage Commun associé</t>
        </is>
      </c>
      <c r="AN408" s="317" t="inlineStr">
        <is>
          <t>If specified, the value must be known to the associated Common Language</t>
        </is>
      </c>
      <c r="AO408" s="257" t="n">
        <v>7</v>
      </c>
      <c r="AP408" s="212" t="inlineStr">
        <is>
          <t>TIG0001</t>
        </is>
      </c>
      <c r="AQ408" s="318" t="n"/>
      <c r="AR408" s="317" t="n"/>
      <c r="AS408" s="257" t="n"/>
      <c r="AT408" s="258" t="n"/>
      <c r="AU408" s="318" t="n"/>
      <c r="AV408" s="317" t="n"/>
      <c r="AW408" s="257" t="n"/>
      <c r="AX408" s="258" t="n"/>
      <c r="AY408" s="318" t="n"/>
      <c r="AZ408" s="317" t="n"/>
      <c r="BA408" s="257" t="n"/>
      <c r="BB408" s="258" t="n"/>
      <c r="BC408" s="316" t="n"/>
      <c r="BD408" s="317" t="n"/>
      <c r="BE408" s="257" t="n"/>
      <c r="BF408" s="258" t="n"/>
      <c r="BG408" s="89" t="n"/>
      <c r="BH4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08">
        <f>_xlfn.LET(r,ROW(),oc,INDEX($A:$A,r),cv,TRIM(INDEX($Y:$Y,r)&amp;""),IF(oc&lt;&gt;"P1","",IF(cv="45","V45 - novo, nao alimentado pelo spool atual","V44 - alimentado pelo spool atual")))</f>
        <v/>
      </c>
    </row>
    <row r="409" ht="54" customFormat="1" customHeight="1" s="91">
      <c r="A409" s="306" t="inlineStr">
        <is>
          <t>P1</t>
        </is>
      </c>
      <c r="B409" s="307" t="n">
        <v>174</v>
      </c>
      <c r="C409" s="269" t="inlineStr">
        <is>
          <t>03 - Caractéristiques Générales</t>
        </is>
      </c>
      <c r="D409" s="310" t="inlineStr">
        <is>
          <t>03 - General characteristics</t>
        </is>
      </c>
      <c r="E409" s="307" t="inlineStr">
        <is>
          <t>P1 4.44</t>
        </is>
      </c>
      <c r="F409" s="308" t="inlineStr">
        <is>
          <t>Ligne produit</t>
        </is>
      </c>
      <c r="G409" s="309" t="inlineStr">
        <is>
          <t>Product line</t>
        </is>
      </c>
      <c r="H409" s="1493">
        <f>"RPAD( "&amp;SUBSTITUTE(SUBSTITUTE(E409," ","_"),".","_")&amp;","&amp;W409&amp;",' '); -- "&amp;E409</f>
        <v/>
      </c>
      <c r="I409" s="997" t="inlineStr">
        <is>
          <t>Classification de l'opération selon la ligne Produit</t>
        </is>
      </c>
      <c r="J409" s="309" t="inlineStr">
        <is>
          <t>Classification of the transaction by product line</t>
        </is>
      </c>
      <c r="K409" s="370" t="inlineStr">
        <is>
          <t>ND</t>
        </is>
      </c>
      <c r="L409" s="371" t="inlineStr">
        <is>
          <t>ND</t>
        </is>
      </c>
      <c r="M409" s="1420" t="inlineStr">
        <is>
          <t>cdPrdtLigne</t>
        </is>
      </c>
      <c r="N409" s="958" t="inlineStr">
        <is>
          <t>Obligatoire (SC)</t>
        </is>
      </c>
      <c r="O409" s="1006" t="inlineStr">
        <is>
          <t>Mandatory (SC)</t>
        </is>
      </c>
      <c r="P409" s="269" t="inlineStr">
        <is>
          <t>NA</t>
        </is>
      </c>
      <c r="Q409" s="269" t="inlineStr">
        <is>
          <t>NA</t>
        </is>
      </c>
      <c r="R409" s="241" t="inlineStr">
        <is>
          <t>Donnée réservée à CACIB - A laisser à vide si pas concerné</t>
        </is>
      </c>
      <c r="S409" s="233" t="inlineStr">
        <is>
          <t>Data reserved for CACIB - To be left empty if not concerned</t>
        </is>
      </c>
      <c r="T409" s="313" t="inlineStr">
        <is>
          <t>ALPHA</t>
        </is>
      </c>
      <c r="U409" s="237" t="inlineStr">
        <is>
          <t>NA</t>
        </is>
      </c>
      <c r="V409" s="238" t="inlineStr">
        <is>
          <t>NA</t>
        </is>
      </c>
      <c r="W409" s="257" t="n">
        <v>5</v>
      </c>
      <c r="X409" s="945" t="inlineStr">
        <is>
          <t>NA</t>
        </is>
      </c>
      <c r="Y409" s="237" t="n">
        <v>41</v>
      </c>
      <c r="Z409" s="237" t="inlineStr">
        <is>
          <t>NA</t>
        </is>
      </c>
      <c r="AA409" s="270" t="inlineStr">
        <is>
          <t>45.00</t>
        </is>
      </c>
      <c r="AB409" s="994" t="inlineStr">
        <is>
          <t>ANACREDIT, CALCULS PRUDENTIELS</t>
        </is>
      </c>
      <c r="AC409" s="231" t="inlineStr">
        <is>
          <t>ND</t>
        </is>
      </c>
      <c r="AD409" s="257" t="inlineStr">
        <is>
          <t>N</t>
        </is>
      </c>
      <c r="AE409" s="971" t="inlineStr">
        <is>
          <t>EQU101
EQU201
ISS100
ISS200 et 300
TRE100
TRE2 à 4XX hors 203,205,206,207
TRE203, 205, 207
TRE206
TRE5XX
SIG
VAR*
INT</t>
        </is>
      </c>
      <c r="AF409" s="257" t="inlineStr">
        <is>
          <t>NA</t>
        </is>
      </c>
      <c r="AG409" s="258" t="inlineStr">
        <is>
          <t>NA</t>
        </is>
      </c>
      <c r="AH409" s="89" t="n"/>
      <c r="AI409" s="316" t="n"/>
      <c r="AJ409" s="317" t="n"/>
      <c r="AK409" s="257" t="n"/>
      <c r="AL409" s="258" t="n"/>
      <c r="AM409" s="318" t="n"/>
      <c r="AN409" s="317" t="n"/>
      <c r="AO409" s="257" t="n"/>
      <c r="AP409" s="258" t="n"/>
      <c r="AQ409" s="318" t="n"/>
      <c r="AR409" s="317" t="n"/>
      <c r="AS409" s="257" t="n"/>
      <c r="AT409" s="258" t="n"/>
      <c r="AU409" s="318" t="n"/>
      <c r="AV409" s="317" t="n"/>
      <c r="AW409" s="257" t="n"/>
      <c r="AX409" s="258" t="n"/>
      <c r="AY409" s="318" t="n"/>
      <c r="AZ409" s="317" t="n"/>
      <c r="BA409" s="257" t="n"/>
      <c r="BB409" s="258" t="n"/>
      <c r="BC409" s="316" t="n"/>
      <c r="BD409" s="317" t="n"/>
      <c r="BE409" s="257" t="n"/>
      <c r="BF409" s="258" t="n"/>
      <c r="BG409" s="89" t="n"/>
      <c r="BH4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09">
        <f>_xlfn.LET(r,ROW(),oc,INDEX($A:$A,r),cv,TRIM(INDEX($Y:$Y,r)&amp;""),IF(oc&lt;&gt;"P1","",IF(cv="45","V45 - novo, nao alimentado pelo spool atual","V44 - alimentado pelo spool atual")))</f>
        <v/>
      </c>
    </row>
    <row r="410" ht="54" customFormat="1" customHeight="1" s="91">
      <c r="A410" s="306" t="inlineStr">
        <is>
          <t>P1</t>
        </is>
      </c>
      <c r="B410" s="307" t="n">
        <v>175</v>
      </c>
      <c r="C410" s="269" t="inlineStr">
        <is>
          <t>03 - Caractéristiques Générales</t>
        </is>
      </c>
      <c r="D410" s="310" t="inlineStr">
        <is>
          <t>03 - General characteristics</t>
        </is>
      </c>
      <c r="E410" s="372" t="inlineStr">
        <is>
          <t>P1 4.47</t>
        </is>
      </c>
      <c r="F410" s="427" t="inlineStr">
        <is>
          <t>Date de mise à disposition des fonds</t>
        </is>
      </c>
      <c r="G410" s="309" t="inlineStr">
        <is>
          <t>Date of availability of funds</t>
        </is>
      </c>
      <c r="H410" s="1493">
        <f>"RPAD( "&amp;SUBSTITUTE(SUBSTITUTE(E410," ","_"),".","_")&amp;","&amp;W410&amp;",' '); -- "&amp;E410</f>
        <v/>
      </c>
      <c r="I410" s="241" t="inlineStr">
        <is>
          <t>Date de mise à disposition des fonds</t>
        </is>
      </c>
      <c r="J410" s="309" t="inlineStr">
        <is>
          <t>Date of availability of funds</t>
        </is>
      </c>
      <c r="K410" s="370" t="inlineStr">
        <is>
          <t>ND</t>
        </is>
      </c>
      <c r="L410" s="371" t="inlineStr">
        <is>
          <t>ND</t>
        </is>
      </c>
      <c r="M410" s="1420" t="inlineStr">
        <is>
          <t>dtMisDispFd</t>
        </is>
      </c>
      <c r="N410" s="449" t="inlineStr">
        <is>
          <t>Obligatoire sous conditions</t>
        </is>
      </c>
      <c r="O410" s="236" t="inlineStr">
        <is>
          <t>Mandatory under conditions</t>
        </is>
      </c>
      <c r="P410" s="269" t="inlineStr">
        <is>
          <t>NA</t>
        </is>
      </c>
      <c r="Q410" s="269" t="inlineStr">
        <is>
          <t>NA</t>
        </is>
      </c>
      <c r="R410" s="241" t="inlineStr">
        <is>
          <t>NA</t>
        </is>
      </c>
      <c r="S410" s="233" t="inlineStr">
        <is>
          <t>NA</t>
        </is>
      </c>
      <c r="T410" s="206" t="inlineStr">
        <is>
          <t>DATE</t>
        </is>
      </c>
      <c r="U410" s="237" t="inlineStr">
        <is>
          <t>AAAAMMJJ</t>
        </is>
      </c>
      <c r="V410" s="238" t="inlineStr">
        <is>
          <t>YYYYMMDD</t>
        </is>
      </c>
      <c r="W410" s="257" t="n">
        <v>8</v>
      </c>
      <c r="X410" s="945" t="inlineStr">
        <is>
          <t>NA</t>
        </is>
      </c>
      <c r="Y410" s="237" t="n">
        <v>42</v>
      </c>
      <c r="Z410" s="237" t="inlineStr">
        <is>
          <t>NA</t>
        </is>
      </c>
      <c r="AA410" s="270" t="inlineStr">
        <is>
          <t>45.00</t>
        </is>
      </c>
      <c r="AB410" s="269" t="inlineStr">
        <is>
          <t>ANACREDIT</t>
        </is>
      </c>
      <c r="AC410" s="231" t="inlineStr">
        <is>
          <t>ND</t>
        </is>
      </c>
      <c r="AD410" s="257" t="inlineStr">
        <is>
          <t>N</t>
        </is>
      </c>
      <c r="AE410" s="257" t="inlineStr">
        <is>
          <t xml:space="preserve">TRE2 à 4XX hors 203,205,206,207
TRE5XX
</t>
        </is>
      </c>
      <c r="AF410" s="257" t="inlineStr">
        <is>
          <t>NA</t>
        </is>
      </c>
      <c r="AG410" s="258" t="inlineStr">
        <is>
          <t>NA</t>
        </is>
      </c>
      <c r="AH410" s="89" t="n"/>
      <c r="AI410" s="316" t="inlineStr">
        <is>
          <t>La donnée est obligatoire si le type de risque [P1 2.0] = 'TRE2xx' à 'TRE5xx', hors (TRE201, TRE203, TRE205, TRE206, TRE207)</t>
        </is>
      </c>
      <c r="AJ410" s="317" t="inlineStr">
        <is>
          <t>The data is mandatory if Risk type [P1 2.0] = 'TRE2xx' to 'TRE5xx', out (TRE201, TRE203, TRE205, TRE206, TRE207)</t>
        </is>
      </c>
      <c r="AK410" s="257" t="n">
        <v>6</v>
      </c>
      <c r="AL410" s="366" t="inlineStr">
        <is>
          <t>TPS0803</t>
        </is>
      </c>
      <c r="AM410" s="318" t="n"/>
      <c r="AN410" s="317" t="n"/>
      <c r="AO410" s="257" t="n"/>
      <c r="AP410" s="258" t="n"/>
      <c r="AQ410" s="1028" t="inlineStr">
        <is>
          <t>Si renseignée, la donnée doit être supérieure ou égale à '19000101'</t>
        </is>
      </c>
      <c r="AR410" s="931" t="inlineStr">
        <is>
          <t>If filled, data must be greater or equal to '19000101'</t>
        </is>
      </c>
      <c r="AS410" s="958" t="n">
        <v>7</v>
      </c>
      <c r="AT410" s="1052" t="inlineStr">
        <is>
          <t>TVG0005</t>
        </is>
      </c>
      <c r="AU410" s="318" t="inlineStr">
        <is>
          <t>Si renseignée, Date de mise à disposition des fonds [P1 4.47] &gt;= à la date de début d'engagement [P1 3.2]
---
Si renseignée, Date de mise à disposition des fonds [P1 4.47] &lt;= à la date de fin d'engagement [P1 3.4]
---
Si renseignée et si la date de signature du contrat initial [P1 22.67] est renseignée alors Date de mise à disposition des fonds [P1 4.47] &gt;= à Date de signature du contrat initial [P1 22.67]</t>
        </is>
      </c>
      <c r="AV410" s="317" t="inlineStr">
        <is>
          <t>If filled, Date of availability of funds [P1 4.47] &gt;= to Start date of commitment [P1 3.2]
---
If filled, Date of availability of funds [P1 4.47] &lt;= to End date of commitment [P1 3.4]
---
If filled and the date of signing of the original contract [P1 22.67] is completed then Date of availability of funds [P1 4.47] &gt;= to Date of signature of the initial contract [P1 22.67]</t>
        </is>
      </c>
      <c r="AW410" s="257" t="n">
        <v>6</v>
      </c>
      <c r="AX410" s="418" t="inlineStr">
        <is>
          <t>TCS0711
TCS0712
TCS0713</t>
        </is>
      </c>
      <c r="AY410" s="318" t="n"/>
      <c r="AZ410" s="317" t="n"/>
      <c r="BA410" s="257" t="n"/>
      <c r="BB410" s="258" t="n"/>
      <c r="BC410" s="316" t="n"/>
      <c r="BD410" s="317" t="n"/>
      <c r="BE410" s="257" t="n"/>
      <c r="BF410" s="258" t="n"/>
      <c r="BG410" s="89" t="n"/>
      <c r="BH4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10">
        <f>_xlfn.LET(r,ROW(),oc,INDEX($A:$A,r),cv,TRIM(INDEX($Y:$Y,r)&amp;""),IF(oc&lt;&gt;"P1","",IF(cv="45","V45 - novo, nao alimentado pelo spool atual","V44 - alimentado pelo spool atual")))</f>
        <v/>
      </c>
    </row>
    <row r="411" ht="54" customFormat="1" customHeight="1" s="57">
      <c r="A411" s="325" t="inlineStr">
        <is>
          <t>P1</t>
        </is>
      </c>
      <c r="B411" s="326" t="n">
        <v>176</v>
      </c>
      <c r="C411" s="284" t="inlineStr">
        <is>
          <t>NA</t>
        </is>
      </c>
      <c r="D411" s="284" t="inlineStr">
        <is>
          <t>NA</t>
        </is>
      </c>
      <c r="E411" s="326" t="inlineStr">
        <is>
          <t>P1 5.99</t>
        </is>
      </c>
      <c r="F411" s="327" t="inlineStr">
        <is>
          <t>Filler</t>
        </is>
      </c>
      <c r="G411" s="327" t="inlineStr">
        <is>
          <t>Filler</t>
        </is>
      </c>
      <c r="H411" s="1493">
        <f>"RPAD( "&amp;SUBSTITUTE(SUBSTITUTE(E411," ","_"),".","_")&amp;","&amp;W411&amp;",' '); -- "&amp;E411</f>
        <v/>
      </c>
      <c r="I411" s="247" t="inlineStr">
        <is>
          <t>Zone libre</t>
        </is>
      </c>
      <c r="J411" s="327" t="inlineStr">
        <is>
          <t>Free zone</t>
        </is>
      </c>
      <c r="K411" s="388" t="inlineStr">
        <is>
          <t>NA</t>
        </is>
      </c>
      <c r="L411" s="388" t="inlineStr">
        <is>
          <t>NA</t>
        </is>
      </c>
      <c r="M411" s="1421" t="inlineStr">
        <is>
          <t>ZoneLibre5</t>
        </is>
      </c>
      <c r="N411" s="284" t="inlineStr">
        <is>
          <t>NA</t>
        </is>
      </c>
      <c r="O411" s="284" t="inlineStr">
        <is>
          <t>NA</t>
        </is>
      </c>
      <c r="P411" s="284" t="inlineStr">
        <is>
          <t>NA</t>
        </is>
      </c>
      <c r="Q411" s="284" t="inlineStr">
        <is>
          <t>NA</t>
        </is>
      </c>
      <c r="R411" s="247" t="inlineStr">
        <is>
          <t>Laisser à vide</t>
        </is>
      </c>
      <c r="S411" s="247" t="inlineStr">
        <is>
          <t>Leave empty</t>
        </is>
      </c>
      <c r="T411" s="326" t="inlineStr">
        <is>
          <t>ALPHA</t>
        </is>
      </c>
      <c r="U411" s="248" t="inlineStr">
        <is>
          <t>NA</t>
        </is>
      </c>
      <c r="V411" s="248" t="inlineStr">
        <is>
          <t>NA</t>
        </is>
      </c>
      <c r="W411" s="284" t="n">
        <v>1</v>
      </c>
      <c r="X411" s="244" t="inlineStr">
        <is>
          <t>NA</t>
        </is>
      </c>
      <c r="Y411" s="248" t="inlineStr">
        <is>
          <t>NA</t>
        </is>
      </c>
      <c r="Z411" s="248" t="inlineStr">
        <is>
          <t>NA</t>
        </is>
      </c>
      <c r="AA411" s="248" t="inlineStr">
        <is>
          <t>NA</t>
        </is>
      </c>
      <c r="AB411" s="284" t="inlineStr">
        <is>
          <t>NA</t>
        </is>
      </c>
      <c r="AC411" s="244" t="inlineStr">
        <is>
          <t>NA</t>
        </is>
      </c>
      <c r="AD411" s="284" t="inlineStr">
        <is>
          <t>N</t>
        </is>
      </c>
      <c r="AE411" s="284" t="inlineStr">
        <is>
          <t>NA</t>
        </is>
      </c>
      <c r="AF411" s="284" t="inlineStr">
        <is>
          <t>NA</t>
        </is>
      </c>
      <c r="AG411" s="285" t="inlineStr">
        <is>
          <t>NA</t>
        </is>
      </c>
      <c r="AH411" s="89" t="n"/>
      <c r="AI411" s="330" t="n"/>
      <c r="AJ411" s="331" t="n"/>
      <c r="AK411" s="284" t="n"/>
      <c r="AL411" s="285" t="n"/>
      <c r="AM411" s="331" t="n"/>
      <c r="AN411" s="331" t="n"/>
      <c r="AO411" s="284" t="n"/>
      <c r="AP411" s="285" t="n"/>
      <c r="AQ411" s="331" t="n"/>
      <c r="AR411" s="331" t="n"/>
      <c r="AS411" s="284" t="n"/>
      <c r="AT411" s="285" t="n"/>
      <c r="AU411" s="331" t="n"/>
      <c r="AV411" s="331" t="n"/>
      <c r="AW411" s="284" t="n"/>
      <c r="AX411" s="285" t="n"/>
      <c r="AY411" s="331" t="n"/>
      <c r="AZ411" s="331" t="n"/>
      <c r="BA411" s="284" t="n"/>
      <c r="BB411" s="285" t="n"/>
      <c r="BC411" s="330" t="n"/>
      <c r="BD411" s="331" t="n"/>
      <c r="BE411" s="284" t="n"/>
      <c r="BF411" s="285" t="n"/>
      <c r="BG411" s="89" t="n"/>
      <c r="BH4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11">
        <f>_xlfn.LET(r,ROW(),oc,INDEX($A:$A,r),cv,TRIM(INDEX($Y:$Y,r)&amp;""),IF(oc&lt;&gt;"P1","",IF(cv="45","V45 - novo, nao alimentado pelo spool atual","V44 - alimentado pelo spool atual")))</f>
        <v/>
      </c>
    </row>
    <row r="412" ht="54" customFormat="1" customHeight="1" s="91">
      <c r="A412" s="306" t="inlineStr">
        <is>
          <t>P1</t>
        </is>
      </c>
      <c r="B412" s="307" t="n">
        <v>177</v>
      </c>
      <c r="C412" s="269" t="inlineStr">
        <is>
          <t>17 - Caractéristiques Titres</t>
        </is>
      </c>
      <c r="D412" s="310" t="inlineStr">
        <is>
          <t>17 - Securities characteristics</t>
        </is>
      </c>
      <c r="E412" s="307" t="inlineStr">
        <is>
          <t>P1 3.62</t>
        </is>
      </c>
      <c r="F412" s="308" t="inlineStr">
        <is>
          <t>Identifiant local du tiers Garant des titres garantis (Cover-bonds, …)</t>
        </is>
      </c>
      <c r="G412" s="309" t="inlineStr">
        <is>
          <t xml:space="preserve">Local ID of the Counterparty guarantor of backed securities (cover bonds…) </t>
        </is>
      </c>
      <c r="H412" s="1493">
        <f>"RPAD( "&amp;SUBSTITUTE(SUBSTITUTE(E412," ","_"),".","_")&amp;","&amp;W412&amp;",' '); -- "&amp;E412</f>
        <v/>
      </c>
      <c r="I412" s="241" t="inlineStr">
        <is>
          <t xml:space="preserve">Identifiant local du tiers garant des titres garanties dans le système utilisé pour générer le flux.
Les cover-bonds sont par définition des titres garantis sans pour autant qu'il y ait une sûreté en propre contractualisée. Il est donc nécessaire de capter qui est le garant de ces titres </t>
        </is>
      </c>
      <c r="J412" s="233" t="inlineStr">
        <is>
          <t>Local ID of the Counterparty guarantor of backed securities in the system used to generate the flow.
Cover-bonds are backed securities, but there is not necessarily own contractualised mitigants. It is necessary to know who is the guarantor for these securities</t>
        </is>
      </c>
      <c r="K412" s="269" t="inlineStr">
        <is>
          <t>ND</t>
        </is>
      </c>
      <c r="L412" s="310" t="inlineStr">
        <is>
          <t>ND</t>
        </is>
      </c>
      <c r="M412" s="1420" t="inlineStr">
        <is>
          <t>idLocalTiersGarTitre</t>
        </is>
      </c>
      <c r="N412" s="257" t="inlineStr">
        <is>
          <t>Obligatoire sous conditions</t>
        </is>
      </c>
      <c r="O412" s="236" t="inlineStr">
        <is>
          <t>Mandatory under conditions</t>
        </is>
      </c>
      <c r="P412" s="269" t="inlineStr">
        <is>
          <t>NA</t>
        </is>
      </c>
      <c r="Q412" s="269" t="inlineStr">
        <is>
          <t>NA</t>
        </is>
      </c>
      <c r="R412" s="241" t="inlineStr">
        <is>
          <t>Obligatoire uniquement pour les obligations sécurisées (Cover bonds, ..)
Vérification présence d'un enregistrement de type C1 avec même identifiant dans le lot (Sauf entité émettrice d'un flux FTCA)</t>
        </is>
      </c>
      <c r="S412" s="233" t="inlineStr">
        <is>
          <t>Mandatory only for secure bonds (Cover bonds, etc.)
Check that there is a C1-type record with the same identifier in the batch (except entity issuing a FTCA flow)</t>
        </is>
      </c>
      <c r="T412" s="313" t="inlineStr">
        <is>
          <t>ALPHA</t>
        </is>
      </c>
      <c r="U412" s="237" t="inlineStr">
        <is>
          <t>NA</t>
        </is>
      </c>
      <c r="V412" s="238" t="inlineStr">
        <is>
          <t>NA</t>
        </is>
      </c>
      <c r="W412" s="397" t="n">
        <v>20</v>
      </c>
      <c r="X412" s="945" t="inlineStr">
        <is>
          <t>NA</t>
        </is>
      </c>
      <c r="Y412" s="237" t="n">
        <v>40</v>
      </c>
      <c r="Z412" s="237" t="inlineStr">
        <is>
          <t>NA</t>
        </is>
      </c>
      <c r="AA412" s="270" t="inlineStr">
        <is>
          <t>NA</t>
        </is>
      </c>
      <c r="AB412" s="1287" t="inlineStr">
        <is>
          <t>USAGE ZP</t>
        </is>
      </c>
      <c r="AC412" s="231" t="inlineStr">
        <is>
          <t>ND</t>
        </is>
      </c>
      <c r="AD412" s="257" t="inlineStr">
        <is>
          <t>N</t>
        </is>
      </c>
      <c r="AE412" s="496" t="inlineStr">
        <is>
          <t>ISS200 et 300</t>
        </is>
      </c>
      <c r="AF412" s="257" t="inlineStr">
        <is>
          <t>NA</t>
        </is>
      </c>
      <c r="AG412" s="258" t="inlineStr">
        <is>
          <t>NA</t>
        </is>
      </c>
      <c r="AH412" s="89" t="n"/>
      <c r="AI412" s="453" t="inlineStr">
        <is>
          <t>La donnée est obligatoire si le Portefeuille Bâle Opération [P1 2.18] = ‘077'</t>
        </is>
      </c>
      <c r="AJ412" s="317" t="inlineStr">
        <is>
          <t>The data is mandatory if Basel Transaction Portfolio [P1 2.18] = ‘077'</t>
        </is>
      </c>
      <c r="AK412" s="257" t="n">
        <v>6</v>
      </c>
      <c r="AL412" s="335" t="inlineStr">
        <is>
          <t>TPS0804</t>
        </is>
      </c>
      <c r="AM412" s="318" t="n"/>
      <c r="AN412" s="317" t="n"/>
      <c r="AO412" s="257" t="n"/>
      <c r="AP412" s="258" t="n"/>
      <c r="AQ412" s="318" t="n"/>
      <c r="AR412" s="317" t="n"/>
      <c r="AS412" s="257" t="n"/>
      <c r="AT412" s="258" t="n"/>
      <c r="AU412" s="318" t="n"/>
      <c r="AV412" s="317" t="n"/>
      <c r="AW412" s="257" t="n"/>
      <c r="AX412" s="258" t="n"/>
      <c r="AY412" s="337" t="inlineStr">
        <is>
          <t>Le tiers doit exister (présence du tiers dans TIGRE)</t>
        </is>
      </c>
      <c r="AZ412" s="317" t="inlineStr">
        <is>
          <t>The third-party must exist (presence of the third-party in TIGRE)</t>
        </is>
      </c>
      <c r="BA412" s="257" t="n">
        <v>7</v>
      </c>
      <c r="BB412" s="341" t="inlineStr">
        <is>
          <t>TIG0002</t>
        </is>
      </c>
      <c r="BC412" s="316" t="n"/>
      <c r="BD412" s="317" t="n"/>
      <c r="BE412" s="257" t="n"/>
      <c r="BF412" s="258" t="n"/>
      <c r="BG412" s="89" t="n"/>
      <c r="BH4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12">
        <f>_xlfn.LET(r,ROW(),oc,INDEX($A:$A,r),cv,TRIM(INDEX($Y:$Y,r)&amp;""),IF(oc&lt;&gt;"P1","",IF(cv="45","V45 - novo, nao alimentado pelo spool atual","V44 - alimentado pelo spool atual")))</f>
        <v/>
      </c>
    </row>
    <row r="413" ht="54" customFormat="1" customHeight="1" s="91">
      <c r="A413" s="306" t="inlineStr">
        <is>
          <t>P1</t>
        </is>
      </c>
      <c r="B413" s="307" t="n">
        <v>178</v>
      </c>
      <c r="C413" s="269" t="inlineStr">
        <is>
          <t>17 - Caractéristiques Titres</t>
        </is>
      </c>
      <c r="D413" s="310" t="inlineStr">
        <is>
          <t>17 - Securities characteristics</t>
        </is>
      </c>
      <c r="E413" s="307" t="inlineStr">
        <is>
          <t>P1 3.63</t>
        </is>
      </c>
      <c r="F413" s="308" t="inlineStr">
        <is>
          <t>Identifiant central du tiers Garant des titres garantis (Cover-bonds, …)</t>
        </is>
      </c>
      <c r="G413" s="309" t="inlineStr">
        <is>
          <t>Central ID of the Counterparty guarantor of backed securities (cover bonds…)</t>
        </is>
      </c>
      <c r="H413" s="1493">
        <f>"RPAD( "&amp;SUBSTITUTE(SUBSTITUTE(E413," ","_"),".","_")&amp;","&amp;W413&amp;",' '); -- "&amp;E413</f>
        <v/>
      </c>
      <c r="I413" s="241" t="inlineStr">
        <is>
          <t>Identifiant du tiers garant des titres garantis dans le système central DRG</t>
        </is>
      </c>
      <c r="J413" s="309" t="inlineStr">
        <is>
          <t>Central ID of the Counterparty guarantor of backed securities in the system used to generate the flow</t>
        </is>
      </c>
      <c r="K413" s="370" t="inlineStr">
        <is>
          <t>ND</t>
        </is>
      </c>
      <c r="L413" s="371" t="inlineStr">
        <is>
          <t>ND</t>
        </is>
      </c>
      <c r="M413" s="1420" t="inlineStr">
        <is>
          <t>idCentralTiersGarTitre</t>
        </is>
      </c>
      <c r="N413" s="257" t="inlineStr">
        <is>
          <t>Facultatif</t>
        </is>
      </c>
      <c r="O413" s="236" t="inlineStr">
        <is>
          <t>Optional</t>
        </is>
      </c>
      <c r="P413" s="269" t="inlineStr">
        <is>
          <t>NA</t>
        </is>
      </c>
      <c r="Q413" s="269" t="inlineStr">
        <is>
          <t>NA</t>
        </is>
      </c>
      <c r="R413" s="241" t="inlineStr">
        <is>
          <t>Identifiant central fourni par la DRG dans le fichier mensuel Référentiel ‘Tiers&amp;Groupes' (DTG) transmis aux entités émettrices du flux.
Le tiers en risque correspond à l'émetteur du titre.
Obligatoire pour une entité émettrice d'un flux FTCA</t>
        </is>
      </c>
      <c r="S413" s="233" t="inlineStr">
        <is>
          <t>Central identifier provided by the DRG in the monthly "Third Party&amp;Group" repository (DTG) file sent to the flow issuing .
The third party in risk corresponds to the issuer of the security.
Mandatory for an entity issuing a FTCA flow</t>
        </is>
      </c>
      <c r="T413" s="313" t="inlineStr">
        <is>
          <t>ALPHA</t>
        </is>
      </c>
      <c r="U413" s="237" t="inlineStr">
        <is>
          <t>NA</t>
        </is>
      </c>
      <c r="V413" s="238" t="inlineStr">
        <is>
          <t>NA</t>
        </is>
      </c>
      <c r="W413" s="397" t="n">
        <v>10</v>
      </c>
      <c r="X413" s="945" t="inlineStr">
        <is>
          <t>NA</t>
        </is>
      </c>
      <c r="Y413" s="237" t="n">
        <v>40</v>
      </c>
      <c r="Z413" s="237" t="inlineStr">
        <is>
          <t>NA</t>
        </is>
      </c>
      <c r="AA413" s="978" t="inlineStr">
        <is>
          <t>45.00</t>
        </is>
      </c>
      <c r="AB413" s="994" t="inlineStr">
        <is>
          <t>ASTRE, NPE, SRB VALUATION</t>
        </is>
      </c>
      <c r="AC413" s="231" t="inlineStr">
        <is>
          <t>ND</t>
        </is>
      </c>
      <c r="AD413" s="257" t="inlineStr">
        <is>
          <t>N</t>
        </is>
      </c>
      <c r="AE413" s="496" t="inlineStr">
        <is>
          <t>ISS200 et 300</t>
        </is>
      </c>
      <c r="AF413" s="257" t="inlineStr">
        <is>
          <t>NA</t>
        </is>
      </c>
      <c r="AG413" s="258" t="inlineStr">
        <is>
          <t>NA</t>
        </is>
      </c>
      <c r="AH413" s="89" t="n"/>
      <c r="AI413" s="316" t="n"/>
      <c r="AJ413" s="317" t="n"/>
      <c r="AK413" s="257" t="n"/>
      <c r="AL413" s="258" t="n"/>
      <c r="AM413" s="318" t="n"/>
      <c r="AN413" s="317" t="n"/>
      <c r="AO413" s="257" t="n"/>
      <c r="AP413" s="258" t="n"/>
      <c r="AQ413" s="318" t="n"/>
      <c r="AR413" s="317" t="n"/>
      <c r="AS413" s="257" t="n"/>
      <c r="AT413" s="258" t="n"/>
      <c r="AU413" s="318" t="n"/>
      <c r="AV413" s="317" t="n"/>
      <c r="AW413" s="257" t="n"/>
      <c r="AX413" s="258" t="n"/>
      <c r="AY413" s="1180" t="inlineStr">
        <is>
          <t>S'il est renseigné, l'identifiant doit correspondre à un enregistrement dans l'objet associé, indépendamment de l'entité
---
La donnée doit être présente dans TIGRE
---
Le couple identifiant local / central (P1 3.62 et P1 3.63) doit exister dans TIGRE</t>
        </is>
      </c>
      <c r="AZ413" s="931" t="inlineStr">
        <is>
          <t>If it is filled in, the identifier must correspond to a record in the associated object, regardless of the entity
---
Data must be present in TIGRE
---
The local/central identifier pair (P1 3.62 and P1 3.63) must exist in TIGRE</t>
        </is>
      </c>
      <c r="BA413" s="1181" t="inlineStr">
        <is>
          <t>7
6
6</t>
        </is>
      </c>
      <c r="BB413" s="1238" t="inlineStr">
        <is>
          <t>TI0003
TIG0002
TIG0004</t>
        </is>
      </c>
      <c r="BC413" s="316" t="n"/>
      <c r="BD413" s="317" t="n"/>
      <c r="BE413" s="257" t="n"/>
      <c r="BF413" s="258" t="n"/>
      <c r="BG413" s="89" t="n"/>
      <c r="BH4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13">
        <f>_xlfn.LET(r,ROW(),oc,INDEX($A:$A,r),cv,TRIM(INDEX($Y:$Y,r)&amp;""),IF(oc&lt;&gt;"P1","",IF(cv="45","V45 - novo, nao alimentado pelo spool atual","V44 - alimentado pelo spool atual")))</f>
        <v/>
      </c>
    </row>
    <row r="414" ht="54" customFormat="1" customHeight="1" s="57">
      <c r="A414" s="325" t="inlineStr">
        <is>
          <t>P1</t>
        </is>
      </c>
      <c r="B414" s="326" t="n">
        <v>179</v>
      </c>
      <c r="C414" s="284" t="inlineStr">
        <is>
          <t>17 - Caractéristiques Titres</t>
        </is>
      </c>
      <c r="D414" s="284" t="inlineStr">
        <is>
          <t>17 - Securities characteristics</t>
        </is>
      </c>
      <c r="E414" s="326" t="inlineStr">
        <is>
          <t>P1 3.64</t>
        </is>
      </c>
      <c r="F414" s="327" t="inlineStr">
        <is>
          <t>Zone libre (Ex Indicateur titre déprécié)</t>
        </is>
      </c>
      <c r="G414" s="327" t="inlineStr">
        <is>
          <t>Free zone (Ex Impaired security indicator)</t>
        </is>
      </c>
      <c r="H414" s="1493">
        <f>"RPAD( "&amp;SUBSTITUTE(SUBSTITUTE(E414," ","_"),".","_")&amp;","&amp;W414&amp;",' '); -- "&amp;E414</f>
        <v/>
      </c>
      <c r="I414" s="329" t="inlineStr">
        <is>
          <t>Zone libre</t>
        </is>
      </c>
      <c r="J414" s="329" t="inlineStr">
        <is>
          <t>Free zone</t>
        </is>
      </c>
      <c r="K414" s="328" t="inlineStr">
        <is>
          <t>NA</t>
        </is>
      </c>
      <c r="L414" s="328" t="inlineStr">
        <is>
          <t>NA</t>
        </is>
      </c>
      <c r="M414" s="1421" t="inlineStr">
        <is>
          <t>Zonelibre364</t>
        </is>
      </c>
      <c r="N414" s="284" t="inlineStr">
        <is>
          <t>NA</t>
        </is>
      </c>
      <c r="O414" s="244" t="inlineStr">
        <is>
          <t>NA</t>
        </is>
      </c>
      <c r="P414" s="284" t="inlineStr">
        <is>
          <t>NA</t>
        </is>
      </c>
      <c r="Q414" s="284" t="inlineStr">
        <is>
          <t>NA</t>
        </is>
      </c>
      <c r="R414" s="412" t="inlineStr">
        <is>
          <t>Laisser à vide</t>
        </is>
      </c>
      <c r="S414" s="245" t="inlineStr">
        <is>
          <t>Leave empty</t>
        </is>
      </c>
      <c r="T414" s="333" t="inlineStr">
        <is>
          <t>ALPHA</t>
        </is>
      </c>
      <c r="U414" s="256" t="inlineStr">
        <is>
          <t>NA</t>
        </is>
      </c>
      <c r="V414" s="256" t="inlineStr">
        <is>
          <t>NA</t>
        </is>
      </c>
      <c r="W414" s="328" t="n">
        <v>1</v>
      </c>
      <c r="X414" s="244" t="inlineStr">
        <is>
          <t>NA</t>
        </is>
      </c>
      <c r="Y414" s="248" t="inlineStr">
        <is>
          <t>NA</t>
        </is>
      </c>
      <c r="Z414" s="248" t="inlineStr">
        <is>
          <t>NA</t>
        </is>
      </c>
      <c r="AA414" s="248" t="inlineStr">
        <is>
          <t>NA</t>
        </is>
      </c>
      <c r="AB414" s="284" t="inlineStr">
        <is>
          <t>NA</t>
        </is>
      </c>
      <c r="AC414" s="244" t="inlineStr">
        <is>
          <t>NA</t>
        </is>
      </c>
      <c r="AD414" s="284" t="inlineStr">
        <is>
          <t>N</t>
        </is>
      </c>
      <c r="AE414" s="284" t="inlineStr">
        <is>
          <t>NA</t>
        </is>
      </c>
      <c r="AF414" s="284" t="inlineStr">
        <is>
          <t>NA</t>
        </is>
      </c>
      <c r="AG414" s="285" t="inlineStr">
        <is>
          <t>NA</t>
        </is>
      </c>
      <c r="AH414" s="89" t="n"/>
      <c r="AI414" s="330" t="n"/>
      <c r="AJ414" s="331" t="n"/>
      <c r="AK414" s="284" t="n"/>
      <c r="AL414" s="285" t="n"/>
      <c r="AM414" s="331" t="n"/>
      <c r="AN414" s="331" t="n"/>
      <c r="AO414" s="284" t="n"/>
      <c r="AP414" s="285" t="n"/>
      <c r="AQ414" s="331" t="n"/>
      <c r="AR414" s="331" t="n"/>
      <c r="AS414" s="284" t="n"/>
      <c r="AT414" s="285" t="n"/>
      <c r="AU414" s="331" t="n"/>
      <c r="AV414" s="331" t="n"/>
      <c r="AW414" s="284" t="n"/>
      <c r="AX414" s="285" t="n"/>
      <c r="AY414" s="331" t="n"/>
      <c r="AZ414" s="331" t="n"/>
      <c r="BA414" s="284" t="n"/>
      <c r="BB414" s="285" t="n"/>
      <c r="BC414" s="330" t="n"/>
      <c r="BD414" s="331" t="n"/>
      <c r="BE414" s="284" t="n"/>
      <c r="BF414" s="285" t="n"/>
      <c r="BG414" s="89" t="n"/>
      <c r="BH4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14">
        <f>_xlfn.LET(r,ROW(),oc,INDEX($A:$A,r),cv,TRIM(INDEX($Y:$Y,r)&amp;""),IF(oc&lt;&gt;"P1","",IF(cv="45","V45 - novo, nao alimentado pelo spool atual","V44 - alimentado pelo spool atual")))</f>
        <v/>
      </c>
    </row>
    <row r="415" ht="54" customFormat="1" customHeight="1" s="57">
      <c r="A415" s="325" t="inlineStr">
        <is>
          <t>P1</t>
        </is>
      </c>
      <c r="B415" s="326" t="n">
        <v>180</v>
      </c>
      <c r="C415" s="284" t="inlineStr">
        <is>
          <t>17 - Caractéristiques Titres</t>
        </is>
      </c>
      <c r="D415" s="284" t="inlineStr">
        <is>
          <t>17 - Securities characteristics</t>
        </is>
      </c>
      <c r="E415" s="326" t="inlineStr">
        <is>
          <t>P1 3.65</t>
        </is>
      </c>
      <c r="F415" s="327" t="inlineStr">
        <is>
          <t>Zone libre (Ex Montant d'ajustement de valeur)</t>
        </is>
      </c>
      <c r="G415" s="327" t="inlineStr">
        <is>
          <t>Free zone (Ex Value adjustment amount)</t>
        </is>
      </c>
      <c r="H415" s="1493">
        <f>"RPAD( "&amp;SUBSTITUTE(SUBSTITUTE(E415," ","_"),".","_")&amp;","&amp;W415&amp;",' '); -- "&amp;E415</f>
        <v/>
      </c>
      <c r="I415" s="329" t="inlineStr">
        <is>
          <t>Zone libre</t>
        </is>
      </c>
      <c r="J415" s="329" t="inlineStr">
        <is>
          <t>Free zone</t>
        </is>
      </c>
      <c r="K415" s="328" t="inlineStr">
        <is>
          <t>NA</t>
        </is>
      </c>
      <c r="L415" s="328" t="inlineStr">
        <is>
          <t>NA</t>
        </is>
      </c>
      <c r="M415" s="1421" t="inlineStr">
        <is>
          <t>Zonelibre365</t>
        </is>
      </c>
      <c r="N415" s="284" t="inlineStr">
        <is>
          <t>NA</t>
        </is>
      </c>
      <c r="O415" s="244" t="inlineStr">
        <is>
          <t>NA</t>
        </is>
      </c>
      <c r="P415" s="284" t="inlineStr">
        <is>
          <t>NA</t>
        </is>
      </c>
      <c r="Q415" s="284" t="inlineStr">
        <is>
          <t>NA</t>
        </is>
      </c>
      <c r="R415" s="412" t="inlineStr">
        <is>
          <t>Laisser à vide</t>
        </is>
      </c>
      <c r="S415" s="245" t="inlineStr">
        <is>
          <t>Leave empty</t>
        </is>
      </c>
      <c r="T415" s="333" t="inlineStr">
        <is>
          <t>ALPHA</t>
        </is>
      </c>
      <c r="U415" s="256" t="inlineStr">
        <is>
          <t>NA</t>
        </is>
      </c>
      <c r="V415" s="256" t="inlineStr">
        <is>
          <t>NA</t>
        </is>
      </c>
      <c r="W415" s="328" t="n">
        <v>19</v>
      </c>
      <c r="X415" s="244" t="inlineStr">
        <is>
          <t>NA</t>
        </is>
      </c>
      <c r="Y415" s="248" t="inlineStr">
        <is>
          <t>NA</t>
        </is>
      </c>
      <c r="Z415" s="248" t="inlineStr">
        <is>
          <t>NA</t>
        </is>
      </c>
      <c r="AA415" s="248" t="inlineStr">
        <is>
          <t>NA</t>
        </is>
      </c>
      <c r="AB415" s="284" t="inlineStr">
        <is>
          <t>NA</t>
        </is>
      </c>
      <c r="AC415" s="244" t="inlineStr">
        <is>
          <t>NA</t>
        </is>
      </c>
      <c r="AD415" s="284" t="inlineStr">
        <is>
          <t>N</t>
        </is>
      </c>
      <c r="AE415" s="284" t="inlineStr">
        <is>
          <t>NA</t>
        </is>
      </c>
      <c r="AF415" s="284" t="inlineStr">
        <is>
          <t>NA</t>
        </is>
      </c>
      <c r="AG415" s="285" t="inlineStr">
        <is>
          <t>NA</t>
        </is>
      </c>
      <c r="AH415" s="89" t="n"/>
      <c r="AI415" s="330" t="n"/>
      <c r="AJ415" s="331" t="n"/>
      <c r="AK415" s="284" t="n"/>
      <c r="AL415" s="285" t="n"/>
      <c r="AM415" s="331" t="n"/>
      <c r="AN415" s="331" t="n"/>
      <c r="AO415" s="284" t="n"/>
      <c r="AP415" s="285" t="n"/>
      <c r="AQ415" s="331" t="n"/>
      <c r="AR415" s="331" t="n"/>
      <c r="AS415" s="284" t="n"/>
      <c r="AT415" s="285" t="n"/>
      <c r="AU415" s="331" t="n"/>
      <c r="AV415" s="331" t="n"/>
      <c r="AW415" s="284" t="n"/>
      <c r="AX415" s="285" t="n"/>
      <c r="AY415" s="331" t="n"/>
      <c r="AZ415" s="331" t="n"/>
      <c r="BA415" s="284" t="n"/>
      <c r="BB415" s="285" t="n"/>
      <c r="BC415" s="330" t="n"/>
      <c r="BD415" s="331" t="n"/>
      <c r="BE415" s="284" t="n"/>
      <c r="BF415" s="285" t="n"/>
      <c r="BG415" s="89" t="n"/>
      <c r="BH4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15">
        <f>_xlfn.LET(r,ROW(),oc,INDEX($A:$A,r),cv,TRIM(INDEX($Y:$Y,r)&amp;""),IF(oc&lt;&gt;"P1","",IF(cv="45","V45 - novo, nao alimentado pelo spool atual","V44 - alimentado pelo spool atual")))</f>
        <v/>
      </c>
    </row>
    <row r="416" ht="54" customFormat="1" customHeight="1" s="57">
      <c r="A416" s="325" t="inlineStr">
        <is>
          <t>P1</t>
        </is>
      </c>
      <c r="B416" s="326" t="n">
        <v>181</v>
      </c>
      <c r="C416" s="284" t="inlineStr">
        <is>
          <t>17 - Caractéristiques Titres</t>
        </is>
      </c>
      <c r="D416" s="284" t="inlineStr">
        <is>
          <t>17 - Securities characteristics</t>
        </is>
      </c>
      <c r="E416" s="326" t="inlineStr">
        <is>
          <t>P1 3.66</t>
        </is>
      </c>
      <c r="F416" s="327" t="inlineStr">
        <is>
          <t>Zone libre (Ex Devise du montant d'ajustement de valeur)</t>
        </is>
      </c>
      <c r="G416" s="327" t="inlineStr">
        <is>
          <t>Free zone (Ex Currency of value adjustment amount)</t>
        </is>
      </c>
      <c r="H416" s="1493">
        <f>"RPAD( "&amp;SUBSTITUTE(SUBSTITUTE(E416," ","_"),".","_")&amp;","&amp;W416&amp;",' '); -- "&amp;E416</f>
        <v/>
      </c>
      <c r="I416" s="329" t="inlineStr">
        <is>
          <t>Zone libre</t>
        </is>
      </c>
      <c r="J416" s="329" t="inlineStr">
        <is>
          <t>Free zone</t>
        </is>
      </c>
      <c r="K416" s="328" t="inlineStr">
        <is>
          <t>NA</t>
        </is>
      </c>
      <c r="L416" s="328" t="inlineStr">
        <is>
          <t>NA</t>
        </is>
      </c>
      <c r="M416" s="1421" t="inlineStr">
        <is>
          <t>Zonelibre366</t>
        </is>
      </c>
      <c r="N416" s="284" t="inlineStr">
        <is>
          <t>NA</t>
        </is>
      </c>
      <c r="O416" s="244" t="inlineStr">
        <is>
          <t>NA</t>
        </is>
      </c>
      <c r="P416" s="284" t="inlineStr">
        <is>
          <t>LC.0005</t>
        </is>
      </c>
      <c r="Q416" s="284" t="inlineStr">
        <is>
          <t>TA NM253</t>
        </is>
      </c>
      <c r="R416" s="412" t="inlineStr">
        <is>
          <t>Laisser à vide</t>
        </is>
      </c>
      <c r="S416" s="245" t="inlineStr">
        <is>
          <t>Leave empty</t>
        </is>
      </c>
      <c r="T416" s="333" t="inlineStr">
        <is>
          <t>ALPHA</t>
        </is>
      </c>
      <c r="U416" s="256" t="inlineStr">
        <is>
          <t>NA</t>
        </is>
      </c>
      <c r="V416" s="256" t="inlineStr">
        <is>
          <t>NA</t>
        </is>
      </c>
      <c r="W416" s="328" t="n">
        <v>3</v>
      </c>
      <c r="X416" s="244" t="inlineStr">
        <is>
          <t>NA</t>
        </is>
      </c>
      <c r="Y416" s="248" t="inlineStr">
        <is>
          <t>NA</t>
        </is>
      </c>
      <c r="Z416" s="248" t="inlineStr">
        <is>
          <t>NA</t>
        </is>
      </c>
      <c r="AA416" s="248" t="inlineStr">
        <is>
          <t>NA</t>
        </is>
      </c>
      <c r="AB416" s="284" t="inlineStr">
        <is>
          <t>NA</t>
        </is>
      </c>
      <c r="AC416" s="244" t="inlineStr">
        <is>
          <t>NA</t>
        </is>
      </c>
      <c r="AD416" s="284" t="inlineStr">
        <is>
          <t>N</t>
        </is>
      </c>
      <c r="AE416" s="284" t="inlineStr">
        <is>
          <t>NA</t>
        </is>
      </c>
      <c r="AF416" s="284" t="inlineStr">
        <is>
          <t>NA</t>
        </is>
      </c>
      <c r="AG416" s="285" t="inlineStr">
        <is>
          <t>NA</t>
        </is>
      </c>
      <c r="AH416" s="89" t="n"/>
      <c r="AI416" s="330" t="n"/>
      <c r="AJ416" s="331" t="n"/>
      <c r="AK416" s="284" t="n"/>
      <c r="AL416" s="285" t="n"/>
      <c r="AM416" s="331" t="n"/>
      <c r="AN416" s="331" t="n"/>
      <c r="AO416" s="284" t="n"/>
      <c r="AP416" s="285" t="n"/>
      <c r="AQ416" s="331" t="n"/>
      <c r="AR416" s="331" t="n"/>
      <c r="AS416" s="284" t="n"/>
      <c r="AT416" s="285" t="n"/>
      <c r="AU416" s="523" t="n"/>
      <c r="AV416" s="245" t="n"/>
      <c r="AW416" s="284" t="n"/>
      <c r="AX416" s="285" t="n"/>
      <c r="AY416" s="331" t="n"/>
      <c r="AZ416" s="331" t="n"/>
      <c r="BA416" s="284" t="n"/>
      <c r="BB416" s="285" t="n"/>
      <c r="BC416" s="330" t="n"/>
      <c r="BD416" s="331" t="n"/>
      <c r="BE416" s="284" t="n"/>
      <c r="BF416" s="285" t="n"/>
      <c r="BG416" s="89" t="n"/>
      <c r="BH4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16">
        <f>_xlfn.LET(r,ROW(),oc,INDEX($A:$A,r),cv,TRIM(INDEX($Y:$Y,r)&amp;""),IF(oc&lt;&gt;"P1","",IF(cv="45","V45 - novo, nao alimentado pelo spool atual","V44 - alimentado pelo spool atual")))</f>
        <v/>
      </c>
    </row>
    <row r="417" ht="54" customFormat="1" customHeight="1" s="57">
      <c r="A417" s="325" t="inlineStr">
        <is>
          <t>P1</t>
        </is>
      </c>
      <c r="B417" s="326" t="n">
        <v>182</v>
      </c>
      <c r="C417" s="284" t="inlineStr">
        <is>
          <t>NA</t>
        </is>
      </c>
      <c r="D417" s="284" t="inlineStr">
        <is>
          <t>NA</t>
        </is>
      </c>
      <c r="E417" s="326" t="inlineStr">
        <is>
          <t>P1 6.99</t>
        </is>
      </c>
      <c r="F417" s="327" t="inlineStr">
        <is>
          <t>Filler</t>
        </is>
      </c>
      <c r="G417" s="327" t="inlineStr">
        <is>
          <t>Filler</t>
        </is>
      </c>
      <c r="H417" s="1493">
        <f>"RPAD( "&amp;SUBSTITUTE(SUBSTITUTE(E417," ","_"),".","_")&amp;","&amp;W417&amp;",' '); -- "&amp;E417</f>
        <v/>
      </c>
      <c r="I417" s="247" t="inlineStr">
        <is>
          <t>Zone libre</t>
        </is>
      </c>
      <c r="J417" s="327" t="inlineStr">
        <is>
          <t>Free zone</t>
        </is>
      </c>
      <c r="K417" s="388" t="inlineStr">
        <is>
          <t>NA</t>
        </is>
      </c>
      <c r="L417" s="388" t="inlineStr">
        <is>
          <t>NA</t>
        </is>
      </c>
      <c r="M417" s="1421" t="inlineStr">
        <is>
          <t>ZoneLibre6</t>
        </is>
      </c>
      <c r="N417" s="284" t="inlineStr">
        <is>
          <t>NA</t>
        </is>
      </c>
      <c r="O417" s="284" t="inlineStr">
        <is>
          <t>NA</t>
        </is>
      </c>
      <c r="P417" s="284" t="inlineStr">
        <is>
          <t>NA</t>
        </is>
      </c>
      <c r="Q417" s="284" t="inlineStr">
        <is>
          <t>NA</t>
        </is>
      </c>
      <c r="R417" s="247" t="inlineStr">
        <is>
          <t>Laisser à vide</t>
        </is>
      </c>
      <c r="S417" s="247" t="inlineStr">
        <is>
          <t>Leave empty</t>
        </is>
      </c>
      <c r="T417" s="326" t="inlineStr">
        <is>
          <t>ALPHA</t>
        </is>
      </c>
      <c r="U417" s="248" t="inlineStr">
        <is>
          <t>NA</t>
        </is>
      </c>
      <c r="V417" s="248" t="inlineStr">
        <is>
          <t>NA</t>
        </is>
      </c>
      <c r="W417" s="284" t="n">
        <v>7</v>
      </c>
      <c r="X417" s="244" t="inlineStr">
        <is>
          <t>NA</t>
        </is>
      </c>
      <c r="Y417" s="248" t="inlineStr">
        <is>
          <t>NA</t>
        </is>
      </c>
      <c r="Z417" s="248" t="inlineStr">
        <is>
          <t>NA</t>
        </is>
      </c>
      <c r="AA417" s="248" t="inlineStr">
        <is>
          <t>NA</t>
        </is>
      </c>
      <c r="AB417" s="284" t="inlineStr">
        <is>
          <t>NA</t>
        </is>
      </c>
      <c r="AC417" s="244" t="inlineStr">
        <is>
          <t>NA</t>
        </is>
      </c>
      <c r="AD417" s="284" t="inlineStr">
        <is>
          <t>N</t>
        </is>
      </c>
      <c r="AE417" s="284" t="inlineStr">
        <is>
          <t>NA</t>
        </is>
      </c>
      <c r="AF417" s="284" t="inlineStr">
        <is>
          <t>NA</t>
        </is>
      </c>
      <c r="AG417" s="285" t="inlineStr">
        <is>
          <t>NA</t>
        </is>
      </c>
      <c r="AH417" s="89" t="n"/>
      <c r="AI417" s="330" t="n"/>
      <c r="AJ417" s="331" t="n"/>
      <c r="AK417" s="284" t="n"/>
      <c r="AL417" s="285" t="n"/>
      <c r="AM417" s="331" t="n"/>
      <c r="AN417" s="331" t="n"/>
      <c r="AO417" s="284" t="n"/>
      <c r="AP417" s="285" t="n"/>
      <c r="AQ417" s="331" t="n"/>
      <c r="AR417" s="331" t="n"/>
      <c r="AS417" s="284" t="n"/>
      <c r="AT417" s="285" t="n"/>
      <c r="AU417" s="523" t="n"/>
      <c r="AV417" s="245" t="n"/>
      <c r="AW417" s="284" t="n"/>
      <c r="AX417" s="285" t="n"/>
      <c r="AY417" s="331" t="n"/>
      <c r="AZ417" s="331" t="n"/>
      <c r="BA417" s="284" t="n"/>
      <c r="BB417" s="285" t="n"/>
      <c r="BC417" s="330" t="n"/>
      <c r="BD417" s="331" t="n"/>
      <c r="BE417" s="284" t="n"/>
      <c r="BF417" s="285" t="n"/>
      <c r="BG417" s="89" t="n"/>
      <c r="BH4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17">
        <f>_xlfn.LET(r,ROW(),oc,INDEX($A:$A,r),cv,TRIM(INDEX($Y:$Y,r)&amp;""),IF(oc&lt;&gt;"P1","",IF(cv="45","V45 - novo, nao alimentado pelo spool atual","V44 - alimentado pelo spool atual")))</f>
        <v/>
      </c>
    </row>
    <row r="418" ht="54" customFormat="1" customHeight="1" s="91">
      <c r="A418" s="306" t="inlineStr">
        <is>
          <t>P1</t>
        </is>
      </c>
      <c r="B418" s="307" t="n">
        <v>183</v>
      </c>
      <c r="C418" s="269" t="inlineStr">
        <is>
          <t>04 - Caractéristiques Affacturage</t>
        </is>
      </c>
      <c r="D418" s="310" t="inlineStr">
        <is>
          <t>04 - Factoring characteristics</t>
        </is>
      </c>
      <c r="E418" s="307" t="inlineStr">
        <is>
          <t>P1 4.25</t>
        </is>
      </c>
      <c r="F418" s="448" t="inlineStr">
        <is>
          <t>Montant du Add-on affacturage</t>
        </is>
      </c>
      <c r="G418" s="309" t="inlineStr">
        <is>
          <t>Amount of the Add-on factoring</t>
        </is>
      </c>
      <c r="H418" s="1493">
        <f>"RPAD( "&amp;SUBSTITUTE(SUBSTITUTE(E418," ","_"),".","_")&amp;","&amp;W418&amp;",' '); -- "&amp;E418</f>
        <v/>
      </c>
      <c r="I418" s="308" t="inlineStr">
        <is>
          <t>Montant du Add-on affacturage</t>
        </is>
      </c>
      <c r="J418" s="309" t="inlineStr">
        <is>
          <t>Amount of the Add-on factoring</t>
        </is>
      </c>
      <c r="K418" s="370" t="inlineStr">
        <is>
          <t>ND</t>
        </is>
      </c>
      <c r="L418" s="371" t="inlineStr">
        <is>
          <t>ND</t>
        </is>
      </c>
      <c r="M418" s="1420" t="inlineStr">
        <is>
          <t>mtAddAff</t>
        </is>
      </c>
      <c r="N418" s="257" t="inlineStr">
        <is>
          <t>Obligatoire sous conditions</t>
        </is>
      </c>
      <c r="O418" s="236" t="inlineStr">
        <is>
          <t>Mandatory under conditions</t>
        </is>
      </c>
      <c r="P418" s="269" t="inlineStr">
        <is>
          <t>NA</t>
        </is>
      </c>
      <c r="Q418" s="269" t="inlineStr">
        <is>
          <t>NA</t>
        </is>
      </c>
      <c r="R418" s="241" t="inlineStr">
        <is>
          <t>Spécifique à l'affacturage
Correspond au montant du Add-on affacturage</t>
        </is>
      </c>
      <c r="S418" s="233" t="inlineStr">
        <is>
          <t>Specific to the factoring
Corresponds to the factoring Add-on amount</t>
        </is>
      </c>
      <c r="T418" s="313" t="inlineStr">
        <is>
          <t>NUM</t>
        </is>
      </c>
      <c r="U418" s="237" t="inlineStr">
        <is>
          <t>19 dont signe et 2 décimales</t>
        </is>
      </c>
      <c r="V418" s="238" t="inlineStr">
        <is>
          <t>19 including sign and 2 decimals</t>
        </is>
      </c>
      <c r="W418" s="397" t="n">
        <v>19</v>
      </c>
      <c r="X418" s="945" t="inlineStr">
        <is>
          <t>NA</t>
        </is>
      </c>
      <c r="Y418" s="237" t="n">
        <v>40</v>
      </c>
      <c r="Z418" s="237" t="inlineStr">
        <is>
          <t>NA</t>
        </is>
      </c>
      <c r="AA418" s="237" t="inlineStr">
        <is>
          <t>NA</t>
        </is>
      </c>
      <c r="AB418" s="269" t="inlineStr">
        <is>
          <t>ANACREDIT</t>
        </is>
      </c>
      <c r="AC418" s="231" t="inlineStr">
        <is>
          <t>ND</t>
        </is>
      </c>
      <c r="AD418" s="257" t="inlineStr">
        <is>
          <t>N</t>
        </is>
      </c>
      <c r="AE418" s="257" t="inlineStr">
        <is>
          <t xml:space="preserve">TRE2 à 4XX hors 203,205,206,207
</t>
        </is>
      </c>
      <c r="AF418" s="257" t="inlineStr">
        <is>
          <t>NA</t>
        </is>
      </c>
      <c r="AG418" s="258" t="inlineStr">
        <is>
          <t>NA</t>
        </is>
      </c>
      <c r="AH418" s="89" t="n"/>
      <c r="AI418" s="459" t="inlineStr">
        <is>
          <t>La donnée est obligatoire si le type de Risque [P1 2.0] est égal à ('TRE2xx' (hors 'TRE203', 'TRE205', 'TRE206', 'TRE207'), 'TRE3xx', 'TRE4xx') et si le Portefeuille Bâle Opération [P1 2.18] est égal à ‘090'</t>
        </is>
      </c>
      <c r="AJ418" s="317" t="inlineStr">
        <is>
          <t>The data is mandatory if Risk type [P1 2.0] is equal to ('TRE2xx' (except 'TRE203', 'TRE205', 'TRE206', 'TRE207'), 'TRE3xx', 'TRE4xx') and if Basel Transaction Portfolio [P1 2.18] is equal to ‘090'</t>
        </is>
      </c>
      <c r="AK418" s="257" t="n">
        <v>5</v>
      </c>
      <c r="AL418" s="366" t="inlineStr">
        <is>
          <t>TPS0757</t>
        </is>
      </c>
      <c r="AM418" s="318" t="n"/>
      <c r="AN418" s="317" t="n"/>
      <c r="AO418" s="257" t="n"/>
      <c r="AP418" s="258" t="n"/>
      <c r="AQ418" s="445" t="inlineStr">
        <is>
          <t>Si renseignée, la donnée doit être positive (supérieure ou égale à 0)</t>
        </is>
      </c>
      <c r="AR418" s="317" t="inlineStr">
        <is>
          <t xml:space="preserve">If filled, data must be positive (greater or equal to 0) </t>
        </is>
      </c>
      <c r="AS418" s="257" t="n">
        <v>7</v>
      </c>
      <c r="AT418" s="345" t="inlineStr">
        <is>
          <t>TVG0001</t>
        </is>
      </c>
      <c r="AU418" s="318" t="n"/>
      <c r="AV418" s="317" t="n"/>
      <c r="AW418" s="257" t="n"/>
      <c r="AX418" s="258" t="n"/>
      <c r="AY418" s="318" t="n"/>
      <c r="AZ418" s="317" t="n"/>
      <c r="BA418" s="257" t="n"/>
      <c r="BB418" s="258" t="n"/>
      <c r="BC418" s="316" t="n"/>
      <c r="BD418" s="317" t="n"/>
      <c r="BE418" s="257" t="n"/>
      <c r="BF418" s="258" t="n"/>
      <c r="BG418" s="89" t="n"/>
      <c r="BH4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18">
        <f>_xlfn.LET(r,ROW(),oc,INDEX($A:$A,r),cv,TRIM(INDEX($Y:$Y,r)&amp;""),IF(oc&lt;&gt;"P1","",IF(cv="45","V45 - novo, nao alimentado pelo spool atual","V44 - alimentado pelo spool atual")))</f>
        <v/>
      </c>
    </row>
    <row r="419" ht="54" customFormat="1" customHeight="1" s="91">
      <c r="A419" s="306" t="inlineStr">
        <is>
          <t>P1</t>
        </is>
      </c>
      <c r="B419" s="307" t="n">
        <v>184</v>
      </c>
      <c r="C419" s="269" t="inlineStr">
        <is>
          <t>04 - Caractéristiques Affacturage</t>
        </is>
      </c>
      <c r="D419" s="310" t="inlineStr">
        <is>
          <t>04 - Factoring characteristics</t>
        </is>
      </c>
      <c r="E419" s="307" t="inlineStr">
        <is>
          <t>P1 4.26</t>
        </is>
      </c>
      <c r="F419" s="308" t="inlineStr">
        <is>
          <t>Devise du montant du Add-on affacturage</t>
        </is>
      </c>
      <c r="G419" s="309" t="inlineStr">
        <is>
          <t>Currency of the Add-on factoring</t>
        </is>
      </c>
      <c r="H419" s="1493">
        <f>"RPAD( "&amp;SUBSTITUTE(SUBSTITUTE(E419," ","_"),".","_")&amp;","&amp;W419&amp;",' '); -- "&amp;E419</f>
        <v/>
      </c>
      <c r="I419" s="241" t="inlineStr">
        <is>
          <t xml:space="preserve">Devise du montant du Add-on affacturage </t>
        </is>
      </c>
      <c r="J419" s="309" t="inlineStr">
        <is>
          <t>Currency of the amount of the Add-on factoring</t>
        </is>
      </c>
      <c r="K419" s="370" t="inlineStr">
        <is>
          <t>ND</t>
        </is>
      </c>
      <c r="L419" s="371" t="inlineStr">
        <is>
          <t>ND</t>
        </is>
      </c>
      <c r="M419" s="1420" t="inlineStr">
        <is>
          <t>cdDevMtAddAff</t>
        </is>
      </c>
      <c r="N419" s="257" t="inlineStr">
        <is>
          <t>Obligatoire sous conditions</t>
        </is>
      </c>
      <c r="O419" s="236" t="inlineStr">
        <is>
          <t>Mandatory under conditions</t>
        </is>
      </c>
      <c r="P419" s="269" t="inlineStr">
        <is>
          <t>LC.0005</t>
        </is>
      </c>
      <c r="Q419" s="269" t="inlineStr">
        <is>
          <t>TA NM253</t>
        </is>
      </c>
      <c r="R419" s="241" t="inlineStr">
        <is>
          <t>NA</t>
        </is>
      </c>
      <c r="S419" s="233" t="inlineStr">
        <is>
          <t>NA</t>
        </is>
      </c>
      <c r="T419" s="313" t="inlineStr">
        <is>
          <t>ALPHA</t>
        </is>
      </c>
      <c r="U419" s="237" t="inlineStr">
        <is>
          <t>NA</t>
        </is>
      </c>
      <c r="V419" s="238" t="inlineStr">
        <is>
          <t>NA</t>
        </is>
      </c>
      <c r="W419" s="397" t="n">
        <v>3</v>
      </c>
      <c r="X419" s="945" t="inlineStr">
        <is>
          <t>NA</t>
        </is>
      </c>
      <c r="Y419" s="237" t="n">
        <v>40</v>
      </c>
      <c r="Z419" s="237" t="inlineStr">
        <is>
          <t>NA</t>
        </is>
      </c>
      <c r="AA419" s="270" t="inlineStr">
        <is>
          <t>NA</t>
        </is>
      </c>
      <c r="AB419" s="994" t="inlineStr">
        <is>
          <t>ANACREDIT, CALCULS PRUDENTIELS</t>
        </is>
      </c>
      <c r="AC419" s="231" t="inlineStr">
        <is>
          <t>ND</t>
        </is>
      </c>
      <c r="AD419" s="257" t="inlineStr">
        <is>
          <t>N</t>
        </is>
      </c>
      <c r="AE419" s="257" t="inlineStr">
        <is>
          <t xml:space="preserve">TRE2 à 4XX hors 203,205,206,207
</t>
        </is>
      </c>
      <c r="AF419" s="257" t="inlineStr">
        <is>
          <t>NA</t>
        </is>
      </c>
      <c r="AG419" s="258" t="inlineStr">
        <is>
          <t>NA</t>
        </is>
      </c>
      <c r="AH419" s="89" t="n"/>
      <c r="AI419" s="446" t="inlineStr">
        <is>
          <t xml:space="preserve">La donnée est obligatoire si Montant du Add-on affacturage [P1 4.25] est renseigné
</t>
        </is>
      </c>
      <c r="AJ419" s="317" t="inlineStr">
        <is>
          <t>The data is mandatory, if Amount of the Add-on factoring [P1 4.25] is filled</t>
        </is>
      </c>
      <c r="AK419" s="257" t="n">
        <v>7</v>
      </c>
      <c r="AL419" s="447" t="inlineStr">
        <is>
          <t>TPG0002</t>
        </is>
      </c>
      <c r="AM419" s="318" t="inlineStr">
        <is>
          <t>Si elle est renseignée, la valeur doit être connue du Langage Commun associé</t>
        </is>
      </c>
      <c r="AN419" s="317" t="inlineStr">
        <is>
          <t>If specified, the value must be known to the associated Common Language</t>
        </is>
      </c>
      <c r="AO419" s="257" t="n">
        <v>7</v>
      </c>
      <c r="AP419" s="212" t="inlineStr">
        <is>
          <t>TIG0001</t>
        </is>
      </c>
      <c r="AQ419" s="318" t="n"/>
      <c r="AR419" s="317" t="n"/>
      <c r="AS419" s="257" t="n"/>
      <c r="AT419" s="258" t="n"/>
      <c r="AU419" s="331" t="n"/>
      <c r="AV419" s="317" t="n"/>
      <c r="AW419" s="257" t="n"/>
      <c r="AX419" s="258" t="n"/>
      <c r="AY419" s="318" t="n"/>
      <c r="AZ419" s="317" t="n"/>
      <c r="BA419" s="257" t="n"/>
      <c r="BB419" s="258" t="n"/>
      <c r="BC419" s="316" t="n"/>
      <c r="BD419" s="317" t="n"/>
      <c r="BE419" s="257" t="n"/>
      <c r="BF419" s="258" t="n"/>
      <c r="BG419" s="89" t="n"/>
      <c r="BH4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19">
        <f>_xlfn.LET(r,ROW(),oc,INDEX($A:$A,r),cv,TRIM(INDEX($Y:$Y,r)&amp;""),IF(oc&lt;&gt;"P1","",IF(cv="45","V45 - novo, nao alimentado pelo spool atual","V44 - alimentado pelo spool atual")))</f>
        <v/>
      </c>
    </row>
    <row r="420" ht="54" customFormat="1" customHeight="1" s="91">
      <c r="A420" s="306" t="inlineStr">
        <is>
          <t>P1</t>
        </is>
      </c>
      <c r="B420" s="307" t="n">
        <v>185</v>
      </c>
      <c r="C420" s="269" t="inlineStr">
        <is>
          <t>04 - Caractéristiques Affacturage</t>
        </is>
      </c>
      <c r="D420" s="310" t="inlineStr">
        <is>
          <t>04 - Factoring characteristics</t>
        </is>
      </c>
      <c r="E420" s="307" t="inlineStr">
        <is>
          <t>P1 4.27</t>
        </is>
      </c>
      <c r="F420" s="448" t="inlineStr">
        <is>
          <t>Montant de la part de financement garanti par des créances acheteurs</t>
        </is>
      </c>
      <c r="G420" s="309" t="inlineStr">
        <is>
          <t>Amount of backed financing by buyer debts</t>
        </is>
      </c>
      <c r="H420" s="1493">
        <f>"RPAD( "&amp;SUBSTITUTE(SUBSTITUTE(E420," ","_"),".","_")&amp;","&amp;W420&amp;",' '); -- "&amp;E420</f>
        <v/>
      </c>
      <c r="I420" s="241" t="inlineStr">
        <is>
          <t>Montant de la part de financement garanti par des créances acheteurs</t>
        </is>
      </c>
      <c r="J420" s="309" t="inlineStr">
        <is>
          <t>Amount of financing backed by buyer debts</t>
        </is>
      </c>
      <c r="K420" s="370" t="inlineStr">
        <is>
          <t>ND</t>
        </is>
      </c>
      <c r="L420" s="371" t="inlineStr">
        <is>
          <t>ND</t>
        </is>
      </c>
      <c r="M420" s="1420" t="inlineStr">
        <is>
          <t>mtFinGar</t>
        </is>
      </c>
      <c r="N420" s="257" t="inlineStr">
        <is>
          <t>Obligatoire sous conditions</t>
        </is>
      </c>
      <c r="O420" s="236" t="inlineStr">
        <is>
          <t>Mandatory under conditions</t>
        </is>
      </c>
      <c r="P420" s="269" t="inlineStr">
        <is>
          <t>NA</t>
        </is>
      </c>
      <c r="Q420" s="269" t="inlineStr">
        <is>
          <t>NA</t>
        </is>
      </c>
      <c r="R420" s="241" t="inlineStr">
        <is>
          <t>Spécifique à l'affacturage
Correspond au montant du montant de la part de financement garanti par des créances acheteurs</t>
        </is>
      </c>
      <c r="S420" s="233" t="inlineStr">
        <is>
          <t>Specific to the factoring
Corresponds to the amount of the financing share guaranteed by debts debtors</t>
        </is>
      </c>
      <c r="T420" s="313" t="inlineStr">
        <is>
          <t>NUM</t>
        </is>
      </c>
      <c r="U420" s="237" t="inlineStr">
        <is>
          <t>19 dont signe et 2 décimales</t>
        </is>
      </c>
      <c r="V420" s="238" t="inlineStr">
        <is>
          <t>19 including sign and 2 decimals</t>
        </is>
      </c>
      <c r="W420" s="397" t="n">
        <v>19</v>
      </c>
      <c r="X420" s="945" t="inlineStr">
        <is>
          <t>NA</t>
        </is>
      </c>
      <c r="Y420" s="237" t="n">
        <v>40</v>
      </c>
      <c r="Z420" s="237" t="inlineStr">
        <is>
          <t>NA</t>
        </is>
      </c>
      <c r="AA420" s="237" t="inlineStr">
        <is>
          <t>NA</t>
        </is>
      </c>
      <c r="AB420" s="269" t="inlineStr">
        <is>
          <t>ANACREDIT</t>
        </is>
      </c>
      <c r="AC420" s="231" t="inlineStr">
        <is>
          <t>ND</t>
        </is>
      </c>
      <c r="AD420" s="257" t="inlineStr">
        <is>
          <t>N</t>
        </is>
      </c>
      <c r="AE420" s="257" t="inlineStr">
        <is>
          <t xml:space="preserve">TRE2 à 4XX hors 203,205,206,207
</t>
        </is>
      </c>
      <c r="AF420" s="257" t="inlineStr">
        <is>
          <t>NA</t>
        </is>
      </c>
      <c r="AG420" s="258" t="inlineStr">
        <is>
          <t>NA</t>
        </is>
      </c>
      <c r="AH420" s="89" t="n"/>
      <c r="AI420" s="459" t="inlineStr">
        <is>
          <t>La donnée est obligatoire si le type de Risque [P1 2.0] est égal à ('TRE2xx' (hors 'TRE203', 'TRE205', 'TRE206', 'TRE207'), 'TRE3xx', 'TRE4xx') et si le Portefeuille Bâle Opération [P1 2.18] est égal à ‘090'</t>
        </is>
      </c>
      <c r="AJ420" s="317" t="inlineStr">
        <is>
          <t>The data is mandatory if Risk type [P1 2.0] is equal to ('TRE2xx' (except 'TRE203', 'TRE205', 'TRE206', 'TRE207'), 'TRE3xx', 'TRE4xx') and if Basel Transaction Portfolio [P1 2.18] is equal to ‘090'</t>
        </is>
      </c>
      <c r="AK420" s="257" t="n">
        <v>5</v>
      </c>
      <c r="AL420" s="366" t="inlineStr">
        <is>
          <t>TPS0757</t>
        </is>
      </c>
      <c r="AM420" s="318" t="n"/>
      <c r="AN420" s="317" t="n"/>
      <c r="AO420" s="257" t="n"/>
      <c r="AP420" s="258" t="n"/>
      <c r="AQ420" s="445" t="inlineStr">
        <is>
          <t>Si renseignée, la donnée doit être positive (supérieure ou égale à 0)</t>
        </is>
      </c>
      <c r="AR420" s="317" t="inlineStr">
        <is>
          <t xml:space="preserve">If filled, data must be positive (greater or equal to 0) </t>
        </is>
      </c>
      <c r="AS420" s="257" t="n">
        <v>7</v>
      </c>
      <c r="AT420" s="345" t="inlineStr">
        <is>
          <t>TVG0001</t>
        </is>
      </c>
      <c r="AU420" s="318" t="n"/>
      <c r="AV420" s="317" t="n"/>
      <c r="AW420" s="257" t="n"/>
      <c r="AX420" s="258" t="n"/>
      <c r="AY420" s="318" t="n"/>
      <c r="AZ420" s="317" t="n"/>
      <c r="BA420" s="257" t="n"/>
      <c r="BB420" s="258" t="n"/>
      <c r="BC420" s="316" t="n"/>
      <c r="BD420" s="317" t="n"/>
      <c r="BE420" s="257" t="n"/>
      <c r="BF420" s="258" t="n"/>
      <c r="BG420" s="89" t="n"/>
      <c r="BH4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20">
        <f>_xlfn.LET(r,ROW(),oc,INDEX($A:$A,r),cv,TRIM(INDEX($Y:$Y,r)&amp;""),IF(oc&lt;&gt;"P1","",IF(cv="45","V45 - novo, nao alimentado pelo spool atual","V44 - alimentado pelo spool atual")))</f>
        <v/>
      </c>
    </row>
    <row r="421" ht="54" customFormat="1" customHeight="1" s="91">
      <c r="A421" s="306" t="inlineStr">
        <is>
          <t>P1</t>
        </is>
      </c>
      <c r="B421" s="307" t="n">
        <v>186</v>
      </c>
      <c r="C421" s="269" t="inlineStr">
        <is>
          <t>04 - Caractéristiques Affacturage</t>
        </is>
      </c>
      <c r="D421" s="310" t="inlineStr">
        <is>
          <t>04 - Factoring characteristics</t>
        </is>
      </c>
      <c r="E421" s="307" t="inlineStr">
        <is>
          <t>P1 4.28</t>
        </is>
      </c>
      <c r="F421" s="524" t="inlineStr">
        <is>
          <t>Devise du montant de la part de financement garanti par des créances acheteurs</t>
        </is>
      </c>
      <c r="G421" s="309" t="inlineStr">
        <is>
          <t>Currency of amount of backed financing by buyer debts</t>
        </is>
      </c>
      <c r="H421" s="1493">
        <f>"RPAD( "&amp;SUBSTITUTE(SUBSTITUTE(E421," ","_"),".","_")&amp;","&amp;W421&amp;",' '); -- "&amp;E421</f>
        <v/>
      </c>
      <c r="I421" s="525" t="inlineStr">
        <is>
          <t xml:space="preserve">Devise du montant de la part de financement garanti par des créances acheteurs </t>
        </is>
      </c>
      <c r="J421" s="309" t="inlineStr">
        <is>
          <t xml:space="preserve">Currency of amount of financing backed by buyer debts </t>
        </is>
      </c>
      <c r="K421" s="370" t="inlineStr">
        <is>
          <t>ND</t>
        </is>
      </c>
      <c r="L421" s="371" t="inlineStr">
        <is>
          <t>ND</t>
        </is>
      </c>
      <c r="M421" s="1420" t="inlineStr">
        <is>
          <t>cdDevMtFinGar</t>
        </is>
      </c>
      <c r="N421" s="257" t="inlineStr">
        <is>
          <t>Obligatoire sous conditions</t>
        </is>
      </c>
      <c r="O421" s="236" t="inlineStr">
        <is>
          <t>Mandatory under conditions</t>
        </is>
      </c>
      <c r="P421" s="269" t="inlineStr">
        <is>
          <t>LC.0005</t>
        </is>
      </c>
      <c r="Q421" s="269" t="inlineStr">
        <is>
          <t>TA NM253</t>
        </is>
      </c>
      <c r="R421" s="241" t="inlineStr">
        <is>
          <t>NA</t>
        </is>
      </c>
      <c r="S421" s="233" t="inlineStr">
        <is>
          <t>NA</t>
        </is>
      </c>
      <c r="T421" s="313" t="inlineStr">
        <is>
          <t>ALPHA</t>
        </is>
      </c>
      <c r="U421" s="237" t="inlineStr">
        <is>
          <t>NA</t>
        </is>
      </c>
      <c r="V421" s="238" t="inlineStr">
        <is>
          <t>NA</t>
        </is>
      </c>
      <c r="W421" s="397" t="n">
        <v>3</v>
      </c>
      <c r="X421" s="945" t="inlineStr">
        <is>
          <t>NA</t>
        </is>
      </c>
      <c r="Y421" s="237" t="n">
        <v>40</v>
      </c>
      <c r="Z421" s="237" t="inlineStr">
        <is>
          <t>NA</t>
        </is>
      </c>
      <c r="AA421" s="237" t="inlineStr">
        <is>
          <t>NA</t>
        </is>
      </c>
      <c r="AB421" s="269" t="inlineStr">
        <is>
          <t>ANACREDIT</t>
        </is>
      </c>
      <c r="AC421" s="231" t="inlineStr">
        <is>
          <t>ND</t>
        </is>
      </c>
      <c r="AD421" s="257" t="inlineStr">
        <is>
          <t>N</t>
        </is>
      </c>
      <c r="AE421" s="257" t="inlineStr">
        <is>
          <t xml:space="preserve">TRE2 à 4XX hors 203,205,206,207
</t>
        </is>
      </c>
      <c r="AF421" s="257" t="inlineStr">
        <is>
          <t>NA</t>
        </is>
      </c>
      <c r="AG421" s="258" t="inlineStr">
        <is>
          <t>NA</t>
        </is>
      </c>
      <c r="AH421" s="89" t="n"/>
      <c r="AI421" s="446" t="inlineStr">
        <is>
          <t xml:space="preserve">La donnée est obligatoire si Montant de la part de financement garanti par des créances acheteurs [P1 4.27] est renseigné
</t>
        </is>
      </c>
      <c r="AJ421" s="317" t="inlineStr">
        <is>
          <t>The data is mandatory, if Amount of backed financing by buyer debts [P1 4.27] is filled</t>
        </is>
      </c>
      <c r="AK421" s="257" t="n">
        <v>7</v>
      </c>
      <c r="AL421" s="447" t="inlineStr">
        <is>
          <t>TPG0002</t>
        </is>
      </c>
      <c r="AM421" s="318" t="inlineStr">
        <is>
          <t>Si elle est renseignée, la valeur doit être connue du Langage Commun associé</t>
        </is>
      </c>
      <c r="AN421" s="317" t="inlineStr">
        <is>
          <t>If specified, the value must be known to the associated Common Language</t>
        </is>
      </c>
      <c r="AO421" s="257" t="n">
        <v>7</v>
      </c>
      <c r="AP421" s="212" t="inlineStr">
        <is>
          <t>TIG0001</t>
        </is>
      </c>
      <c r="AQ421" s="318" t="n"/>
      <c r="AR421" s="317" t="n"/>
      <c r="AS421" s="257" t="n"/>
      <c r="AT421" s="258" t="n"/>
      <c r="AU421" s="318" t="n"/>
      <c r="AV421" s="317" t="n"/>
      <c r="AW421" s="257" t="n"/>
      <c r="AX421" s="258" t="n"/>
      <c r="AY421" s="526" t="n"/>
      <c r="AZ421" s="233" t="n"/>
      <c r="BA421" s="257" t="n"/>
      <c r="BB421" s="258" t="n"/>
      <c r="BC421" s="316" t="n"/>
      <c r="BD421" s="317" t="n"/>
      <c r="BE421" s="257" t="n"/>
      <c r="BF421" s="258" t="n"/>
      <c r="BG421" s="89" t="n"/>
      <c r="BH4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21">
        <f>_xlfn.LET(r,ROW(),oc,INDEX($A:$A,r),cv,TRIM(INDEX($Y:$Y,r)&amp;""),IF(oc&lt;&gt;"P1","",IF(cv="45","V45 - novo, nao alimentado pelo spool atual","V44 - alimentado pelo spool atual")))</f>
        <v/>
      </c>
    </row>
    <row r="422" ht="54" customFormat="1" customHeight="1" s="92">
      <c r="A422" s="306" t="inlineStr">
        <is>
          <t>P1</t>
        </is>
      </c>
      <c r="B422" s="307" t="n">
        <v>187</v>
      </c>
      <c r="C422" s="269" t="inlineStr">
        <is>
          <t>04 - Caractéristiques Affacturage</t>
        </is>
      </c>
      <c r="D422" s="310" t="inlineStr">
        <is>
          <t>04 - Factoring characteristics</t>
        </is>
      </c>
      <c r="E422" s="372" t="inlineStr">
        <is>
          <t>P1 4.30</t>
        </is>
      </c>
      <c r="F422" s="527" t="inlineStr">
        <is>
          <t>Expected Loss Best Estimate (en %)</t>
        </is>
      </c>
      <c r="G422" s="528" t="inlineStr">
        <is>
          <t>Expected Loss Best Estimate (in %)</t>
        </is>
      </c>
      <c r="H422" s="1493">
        <f>"RPAD( "&amp;SUBSTITUTE(SUBSTITUTE(E422," ","_"),".","_")&amp;","&amp;W422&amp;",' '); -- "&amp;E422</f>
        <v/>
      </c>
      <c r="I422" s="311" t="inlineStr">
        <is>
          <t>Exprimé en %</t>
        </is>
      </c>
      <c r="J422" s="309" t="inlineStr">
        <is>
          <t>Expressed as %</t>
        </is>
      </c>
      <c r="K422" s="370" t="inlineStr">
        <is>
          <t>ND</t>
        </is>
      </c>
      <c r="L422" s="371" t="inlineStr">
        <is>
          <t>ND</t>
        </is>
      </c>
      <c r="M422" s="1420" t="inlineStr">
        <is>
          <t>txExpectedLossBestEstim</t>
        </is>
      </c>
      <c r="N422" s="449" t="inlineStr">
        <is>
          <t>Facultatif</t>
        </is>
      </c>
      <c r="O422" s="236" t="inlineStr">
        <is>
          <t>Optional</t>
        </is>
      </c>
      <c r="P422" s="269" t="inlineStr">
        <is>
          <t>NA</t>
        </is>
      </c>
      <c r="Q422" s="269" t="inlineStr">
        <is>
          <t>NA</t>
        </is>
      </c>
      <c r="R422" s="241" t="inlineStr">
        <is>
          <t>Exprimée en %.
A renseigner uniquement pour l'affacturage en IRB A</t>
        </is>
      </c>
      <c r="S422" s="233" t="inlineStr">
        <is>
          <t>Expressed as %
To be completed only for factoring in IRB A</t>
        </is>
      </c>
      <c r="T422" s="529" t="inlineStr">
        <is>
          <t>NUM</t>
        </is>
      </c>
      <c r="U422" s="237" t="inlineStr">
        <is>
          <t>10 dont signe et 5 décimales</t>
        </is>
      </c>
      <c r="V422" s="238" t="inlineStr">
        <is>
          <t>10 including sign and 5 decimals</t>
        </is>
      </c>
      <c r="W422" s="315" t="n">
        <v>10</v>
      </c>
      <c r="X422" s="945" t="inlineStr">
        <is>
          <t>NA</t>
        </is>
      </c>
      <c r="Y422" s="237" t="n">
        <v>42</v>
      </c>
      <c r="Z422" s="237" t="inlineStr">
        <is>
          <t>NA</t>
        </is>
      </c>
      <c r="AA422" s="270" t="inlineStr">
        <is>
          <t>45.00</t>
        </is>
      </c>
      <c r="AB422" s="1286" t="inlineStr">
        <is>
          <t>CALCULS PRUDENTIELS</t>
        </is>
      </c>
      <c r="AC422" s="231" t="inlineStr">
        <is>
          <t>ND</t>
        </is>
      </c>
      <c r="AD422" s="257" t="inlineStr">
        <is>
          <t>N</t>
        </is>
      </c>
      <c r="AE422" s="257" t="inlineStr">
        <is>
          <t xml:space="preserve">TRE2 à 4XX hors 203,205,206,207
</t>
        </is>
      </c>
      <c r="AF422" s="257" t="inlineStr">
        <is>
          <t>NA</t>
        </is>
      </c>
      <c r="AG422" s="258" t="inlineStr">
        <is>
          <t>NA</t>
        </is>
      </c>
      <c r="AH422" s="89" t="n"/>
      <c r="AI422" s="316" t="n"/>
      <c r="AJ422" s="317" t="n"/>
      <c r="AK422" s="257" t="n"/>
      <c r="AL422" s="258" t="n"/>
      <c r="AM422" s="318" t="n"/>
      <c r="AN422" s="317" t="n"/>
      <c r="AO422" s="257" t="n"/>
      <c r="AP422" s="258" t="n"/>
      <c r="AQ422" s="1051" t="inlineStr">
        <is>
          <t>Si renseignée, la donnée doit être comprise entre '0' et '100'</t>
        </is>
      </c>
      <c r="AR422" s="931" t="inlineStr">
        <is>
          <t>If filled, the data must be between '0' and '100'</t>
        </is>
      </c>
      <c r="AS422" s="257" t="n">
        <v>7</v>
      </c>
      <c r="AT422" s="1046" t="inlineStr">
        <is>
          <t>TVG0004</t>
        </is>
      </c>
      <c r="AU422" s="318" t="n"/>
      <c r="AV422" s="317" t="n"/>
      <c r="AW422" s="257" t="n"/>
      <c r="AX422" s="258" t="n"/>
      <c r="AY422" s="318" t="n"/>
      <c r="AZ422" s="317" t="n"/>
      <c r="BA422" s="257" t="n"/>
      <c r="BB422" s="258" t="n"/>
      <c r="BC422" s="316" t="n"/>
      <c r="BD422" s="317" t="n"/>
      <c r="BE422" s="257" t="n"/>
      <c r="BF422" s="258" t="n"/>
      <c r="BG422" s="89" t="n"/>
      <c r="BH4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22">
        <f>_xlfn.LET(r,ROW(),oc,INDEX($A:$A,r),cv,TRIM(INDEX($Y:$Y,r)&amp;""),IF(oc&lt;&gt;"P1","",IF(cv="45","V45 - novo, nao alimentado pelo spool atual","V44 - alimentado pelo spool atual")))</f>
        <v/>
      </c>
    </row>
    <row r="423" ht="54" customFormat="1" customHeight="1" s="57">
      <c r="A423" s="325" t="inlineStr">
        <is>
          <t>P1</t>
        </is>
      </c>
      <c r="B423" s="326" t="n">
        <v>188</v>
      </c>
      <c r="C423" s="284" t="inlineStr">
        <is>
          <t>NA</t>
        </is>
      </c>
      <c r="D423" s="284" t="inlineStr">
        <is>
          <t>NA</t>
        </is>
      </c>
      <c r="E423" s="326" t="inlineStr">
        <is>
          <t>P1 7.99</t>
        </is>
      </c>
      <c r="F423" s="327" t="inlineStr">
        <is>
          <t>Filler</t>
        </is>
      </c>
      <c r="G423" s="245" t="inlineStr">
        <is>
          <t>Filler</t>
        </is>
      </c>
      <c r="H423" s="1493">
        <f>"RPAD( "&amp;SUBSTITUTE(SUBSTITUTE(E423," ","_"),".","_")&amp;","&amp;W423&amp;",' '); -- "&amp;E423</f>
        <v/>
      </c>
      <c r="I423" s="247" t="inlineStr">
        <is>
          <t>Zone libre</t>
        </is>
      </c>
      <c r="J423" s="245" t="inlineStr">
        <is>
          <t>Free zone</t>
        </is>
      </c>
      <c r="K423" s="284" t="inlineStr">
        <is>
          <t>NA</t>
        </is>
      </c>
      <c r="L423" s="284" t="inlineStr">
        <is>
          <t>NA</t>
        </is>
      </c>
      <c r="M423" s="1421" t="inlineStr">
        <is>
          <t>ZoneLibre7</t>
        </is>
      </c>
      <c r="N423" s="284" t="inlineStr">
        <is>
          <t>NA</t>
        </is>
      </c>
      <c r="O423" s="284" t="inlineStr">
        <is>
          <t>NA</t>
        </is>
      </c>
      <c r="P423" s="284" t="inlineStr">
        <is>
          <t>NA</t>
        </is>
      </c>
      <c r="Q423" s="284" t="inlineStr">
        <is>
          <t>NA</t>
        </is>
      </c>
      <c r="R423" s="247" t="inlineStr">
        <is>
          <t>Laisser à vide</t>
        </is>
      </c>
      <c r="S423" s="247" t="inlineStr">
        <is>
          <t>Leave empty</t>
        </is>
      </c>
      <c r="T423" s="326" t="inlineStr">
        <is>
          <t>ALPHA</t>
        </is>
      </c>
      <c r="U423" s="248" t="inlineStr">
        <is>
          <t>NA</t>
        </is>
      </c>
      <c r="V423" s="248" t="inlineStr">
        <is>
          <t>NA</t>
        </is>
      </c>
      <c r="W423" s="284" t="n">
        <v>20</v>
      </c>
      <c r="X423" s="244" t="inlineStr">
        <is>
          <t>NA</t>
        </is>
      </c>
      <c r="Y423" s="248" t="inlineStr">
        <is>
          <t>NA</t>
        </is>
      </c>
      <c r="Z423" s="248" t="inlineStr">
        <is>
          <t>NA</t>
        </is>
      </c>
      <c r="AA423" s="248" t="inlineStr">
        <is>
          <t>NA</t>
        </is>
      </c>
      <c r="AB423" s="284" t="inlineStr">
        <is>
          <t>NA</t>
        </is>
      </c>
      <c r="AC423" s="244" t="inlineStr">
        <is>
          <t>NA</t>
        </is>
      </c>
      <c r="AD423" s="284" t="inlineStr">
        <is>
          <t>N</t>
        </is>
      </c>
      <c r="AE423" s="284" t="inlineStr">
        <is>
          <t>NA</t>
        </is>
      </c>
      <c r="AF423" s="284" t="inlineStr">
        <is>
          <t>NA</t>
        </is>
      </c>
      <c r="AG423" s="285" t="inlineStr">
        <is>
          <t>NA</t>
        </is>
      </c>
      <c r="AH423" s="89" t="n"/>
      <c r="AI423" s="330" t="n"/>
      <c r="AJ423" s="331" t="n"/>
      <c r="AK423" s="284" t="n"/>
      <c r="AL423" s="285" t="n"/>
      <c r="AM423" s="331" t="n"/>
      <c r="AN423" s="331" t="n"/>
      <c r="AO423" s="284" t="n"/>
      <c r="AP423" s="285" t="n"/>
      <c r="AQ423" s="331" t="n"/>
      <c r="AR423" s="331" t="n"/>
      <c r="AS423" s="284" t="n"/>
      <c r="AT423" s="285" t="n"/>
      <c r="AU423" s="331" t="n"/>
      <c r="AV423" s="331" t="n"/>
      <c r="AW423" s="284" t="n"/>
      <c r="AX423" s="285" t="n"/>
      <c r="AY423" s="331" t="n"/>
      <c r="AZ423" s="331" t="n"/>
      <c r="BA423" s="284" t="n"/>
      <c r="BB423" s="285" t="n"/>
      <c r="BC423" s="330" t="n"/>
      <c r="BD423" s="331" t="n"/>
      <c r="BE423" s="284" t="n"/>
      <c r="BF423" s="285" t="n"/>
      <c r="BG423" s="89" t="n"/>
      <c r="BH4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23">
        <f>_xlfn.LET(r,ROW(),oc,INDEX($A:$A,r),cv,TRIM(INDEX($Y:$Y,r)&amp;""),IF(oc&lt;&gt;"P1","",IF(cv="45","V45 - novo, nao alimentado pelo spool atual","V44 - alimentado pelo spool atual")))</f>
        <v/>
      </c>
    </row>
    <row r="424" ht="54" customFormat="1" customHeight="1" s="91">
      <c r="A424" s="306" t="inlineStr">
        <is>
          <t>P1</t>
        </is>
      </c>
      <c r="B424" s="307" t="n">
        <v>189</v>
      </c>
      <c r="C424" s="269" t="inlineStr">
        <is>
          <t>18 - Caractéristiques Titrisation</t>
        </is>
      </c>
      <c r="D424" s="310" t="inlineStr">
        <is>
          <t>18 - Securitization characteristics</t>
        </is>
      </c>
      <c r="E424" s="307" t="inlineStr">
        <is>
          <t>P1 4.29</t>
        </is>
      </c>
      <c r="F424" s="531" t="inlineStr">
        <is>
          <t>Indicateur créance titrisée</t>
        </is>
      </c>
      <c r="G424" s="309" t="inlineStr">
        <is>
          <t>Securitised debt indicator</t>
        </is>
      </c>
      <c r="H424" s="1493">
        <f>"RPAD( "&amp;SUBSTITUTE(SUBSTITUTE(E424," ","_"),".","_")&amp;","&amp;W424&amp;",' '); -- "&amp;E424</f>
        <v/>
      </c>
      <c r="I424" s="232" t="inlineStr">
        <is>
          <t>Indicateur créance titrisée</t>
        </is>
      </c>
      <c r="J424" s="233" t="inlineStr">
        <is>
          <t>Securitised debt indicator</t>
        </is>
      </c>
      <c r="K424" s="269" t="inlineStr">
        <is>
          <t>ND</t>
        </is>
      </c>
      <c r="L424" s="310" t="inlineStr">
        <is>
          <t>ND</t>
        </is>
      </c>
      <c r="M424" s="1420" t="inlineStr">
        <is>
          <t>cdCreTit</t>
        </is>
      </c>
      <c r="N424" s="231" t="inlineStr">
        <is>
          <t>Obligatoire sous conditions</t>
        </is>
      </c>
      <c r="O424" s="236" t="inlineStr">
        <is>
          <t>Mandatory under conditions</t>
        </is>
      </c>
      <c r="P424" s="269" t="inlineStr">
        <is>
          <t>LC.0187</t>
        </is>
      </c>
      <c r="Q424" s="269" t="inlineStr">
        <is>
          <t>TA KVICTITR</t>
        </is>
      </c>
      <c r="R424" s="241" t="inlineStr">
        <is>
          <t>NA</t>
        </is>
      </c>
      <c r="S424" s="233" t="inlineStr">
        <is>
          <t>NA</t>
        </is>
      </c>
      <c r="T424" s="313" t="inlineStr">
        <is>
          <t>ALPHA</t>
        </is>
      </c>
      <c r="U424" s="237" t="inlineStr">
        <is>
          <t>NA</t>
        </is>
      </c>
      <c r="V424" s="238" t="inlineStr">
        <is>
          <t>NA</t>
        </is>
      </c>
      <c r="W424" s="397" t="n">
        <v>1</v>
      </c>
      <c r="X424" s="945" t="inlineStr">
        <is>
          <t>NA</t>
        </is>
      </c>
      <c r="Y424" s="237" t="n">
        <v>40</v>
      </c>
      <c r="Z424" s="237" t="inlineStr">
        <is>
          <t>NA</t>
        </is>
      </c>
      <c r="AA424" s="270" t="inlineStr">
        <is>
          <t>NA</t>
        </is>
      </c>
      <c r="AB424" s="994" t="inlineStr">
        <is>
          <t>ANACREDIT, CALCULS PRUDENTIELS</t>
        </is>
      </c>
      <c r="AC424" s="231" t="inlineStr">
        <is>
          <t>ND</t>
        </is>
      </c>
      <c r="AD424" s="257" t="inlineStr">
        <is>
          <t>N</t>
        </is>
      </c>
      <c r="AE424" s="532" t="inlineStr">
        <is>
          <t>TRE2 à 4XX hors 203,205,206,207
TRE5XX</t>
        </is>
      </c>
      <c r="AF424" s="257" t="inlineStr">
        <is>
          <t>NA</t>
        </is>
      </c>
      <c r="AG424" s="258" t="inlineStr">
        <is>
          <t>NA</t>
        </is>
      </c>
      <c r="AH424" s="89" t="n"/>
      <c r="AI424" s="446" t="inlineStr">
        <is>
          <t xml:space="preserve">La donnée est obligatoire si le type de risque [P1 2.0] = 'TRE2xx' à 'TRE4xx' hors (TRE203,TRE205, TRE206, TRE207) </t>
        </is>
      </c>
      <c r="AJ424" s="317" t="inlineStr">
        <is>
          <t xml:space="preserve">The data is mandatory if Risk type [P1 2.0] = 'TRE2xx' to 'TRE4xx' except (TRE203,TRE205,TRE206,TRE207) </t>
        </is>
      </c>
      <c r="AK424" s="257" t="n">
        <v>7</v>
      </c>
      <c r="AL424" s="420" t="inlineStr">
        <is>
          <t>TPS0805</t>
        </is>
      </c>
      <c r="AM424" s="318" t="inlineStr">
        <is>
          <t>Si elle est renseignée, la valeur doit être connue du Langage Commun associé</t>
        </is>
      </c>
      <c r="AN424" s="317" t="inlineStr">
        <is>
          <t>If specified, the value must be known to the associated Common Language</t>
        </is>
      </c>
      <c r="AO424" s="257" t="n">
        <v>7</v>
      </c>
      <c r="AP424" s="212" t="inlineStr">
        <is>
          <t>TIG0001</t>
        </is>
      </c>
      <c r="AQ424" s="533" t="inlineStr">
        <is>
          <t>Si renseigné ET si l'identifiant du Fonds Commun de Titrisation (SPV) [P1 4.40] est renseigné, alors 'Indicateur créance titrisée' [P1 4.29] = 'Y'</t>
        </is>
      </c>
      <c r="AR424" s="317" t="inlineStr">
        <is>
          <t>If filled and if Securitisation fund (SPV) Identifier [P1 4.40] is filled, then 'Securitised debt indicator' [P1 4.29] = 'Y'</t>
        </is>
      </c>
      <c r="AS424" s="534" t="n">
        <v>6</v>
      </c>
      <c r="AT424" s="535" t="inlineStr">
        <is>
          <t>TVS0726</t>
        </is>
      </c>
      <c r="AU424" s="318" t="n"/>
      <c r="AV424" s="317" t="n"/>
      <c r="AW424" s="257" t="n"/>
      <c r="AX424" s="258" t="n"/>
      <c r="AY424" s="318" t="n"/>
      <c r="AZ424" s="317" t="n"/>
      <c r="BA424" s="257" t="n"/>
      <c r="BB424" s="258" t="n"/>
      <c r="BC424" s="316" t="n"/>
      <c r="BD424" s="317" t="n"/>
      <c r="BE424" s="257" t="n"/>
      <c r="BF424" s="258" t="n"/>
      <c r="BG424" s="89" t="n"/>
      <c r="BH4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24">
        <f>_xlfn.LET(r,ROW(),oc,INDEX($A:$A,r),cv,TRIM(INDEX($Y:$Y,r)&amp;""),IF(oc&lt;&gt;"P1","",IF(cv="45","V45 - novo, nao alimentado pelo spool atual","V44 - alimentado pelo spool atual")))</f>
        <v/>
      </c>
    </row>
    <row r="425" ht="54" customFormat="1" customHeight="1" s="91">
      <c r="A425" s="306" t="inlineStr">
        <is>
          <t>P1</t>
        </is>
      </c>
      <c r="B425" s="307" t="n">
        <v>190</v>
      </c>
      <c r="C425" s="269" t="inlineStr">
        <is>
          <t>18 - Caractéristiques Titrisation</t>
        </is>
      </c>
      <c r="D425" s="310" t="inlineStr">
        <is>
          <t>18 - Securitization characteristics</t>
        </is>
      </c>
      <c r="E425" s="307" t="inlineStr">
        <is>
          <t>P1 4.40</t>
        </is>
      </c>
      <c r="F425" s="417" t="inlineStr">
        <is>
          <t>Identifiant du Fonds Commun de Titrisation (SPV)</t>
        </is>
      </c>
      <c r="G425" s="309" t="inlineStr">
        <is>
          <t>Securitisation fund (SPV) Identifier</t>
        </is>
      </c>
      <c r="H425" s="1493">
        <f>"RPAD( "&amp;SUBSTITUTE(SUBSTITUTE(E425," ","_"),".","_")&amp;","&amp;W425&amp;",' '); -- "&amp;E425</f>
        <v/>
      </c>
      <c r="I425" s="241" t="inlineStr">
        <is>
          <t>Identifiant du SPV dans le Référentiel Crédit Agricole SA FIN 
Donnée TRUE SALE réservée à LCL et aux Caisses Régionales</t>
        </is>
      </c>
      <c r="J425" s="233" t="inlineStr">
        <is>
          <t>SPV's identifier in Crédit Agricole SA FIN database
TRUE SALE data element reserved for LCL and Regional Banks</t>
        </is>
      </c>
      <c r="K425" s="269" t="inlineStr">
        <is>
          <t>ND</t>
        </is>
      </c>
      <c r="L425" s="310" t="inlineStr">
        <is>
          <t>ND</t>
        </is>
      </c>
      <c r="M425" s="1420" t="inlineStr">
        <is>
          <t>cdFCT</t>
        </is>
      </c>
      <c r="N425" s="449" t="inlineStr">
        <is>
          <t>Facultatif</t>
        </is>
      </c>
      <c r="O425" s="236" t="inlineStr">
        <is>
          <t>Optional</t>
        </is>
      </c>
      <c r="P425" s="269" t="inlineStr">
        <is>
          <t>NA</t>
        </is>
      </c>
      <c r="Q425" s="269" t="inlineStr">
        <is>
          <t>NA</t>
        </is>
      </c>
      <c r="R425" s="241" t="inlineStr">
        <is>
          <t>Donnée TRUE SALE réservée à LCL et aux Caisses Régionales</t>
        </is>
      </c>
      <c r="S425" s="233" t="inlineStr">
        <is>
          <t>TRUE SALE data reserved for LCL and Regional Banks</t>
        </is>
      </c>
      <c r="T425" s="313" t="inlineStr">
        <is>
          <t>ALPHA</t>
        </is>
      </c>
      <c r="U425" s="237" t="inlineStr">
        <is>
          <t>NA</t>
        </is>
      </c>
      <c r="V425" s="238" t="inlineStr">
        <is>
          <t>NA</t>
        </is>
      </c>
      <c r="W425" s="257" t="n">
        <v>3</v>
      </c>
      <c r="X425" s="945" t="inlineStr">
        <is>
          <t>NA</t>
        </is>
      </c>
      <c r="Y425" s="237" t="n">
        <v>40</v>
      </c>
      <c r="Z425" s="237" t="inlineStr">
        <is>
          <t>NA</t>
        </is>
      </c>
      <c r="AA425" s="237" t="inlineStr">
        <is>
          <t>NA</t>
        </is>
      </c>
      <c r="AB425" s="269" t="inlineStr">
        <is>
          <t>ANACREDIT, OMP</t>
        </is>
      </c>
      <c r="AC425" s="231" t="inlineStr">
        <is>
          <t>ND</t>
        </is>
      </c>
      <c r="AD425" s="257" t="inlineStr">
        <is>
          <t>N</t>
        </is>
      </c>
      <c r="AE425" s="257" t="inlineStr">
        <is>
          <t xml:space="preserve">TRE2 à 4XX hors 203,205,206,207
</t>
        </is>
      </c>
      <c r="AF425" s="257" t="inlineStr">
        <is>
          <t>NA</t>
        </is>
      </c>
      <c r="AG425" s="258" t="inlineStr">
        <is>
          <t>NA</t>
        </is>
      </c>
      <c r="AH425" s="89" t="n"/>
      <c r="AI425" s="316" t="n"/>
      <c r="AJ425" s="317" t="n"/>
      <c r="AK425" s="257" t="n"/>
      <c r="AL425" s="258" t="n"/>
      <c r="AM425" s="318" t="n"/>
      <c r="AN425" s="317" t="n"/>
      <c r="AO425" s="257" t="n"/>
      <c r="AP425" s="258" t="n"/>
      <c r="AQ425" s="318" t="n"/>
      <c r="AR425" s="317" t="n"/>
      <c r="AS425" s="257" t="n"/>
      <c r="AT425" s="258" t="n"/>
      <c r="AU425" s="318" t="n"/>
      <c r="AV425" s="317" t="n"/>
      <c r="AW425" s="257" t="n"/>
      <c r="AX425" s="258" t="n"/>
      <c r="AY425" s="318" t="n"/>
      <c r="AZ425" s="317" t="n"/>
      <c r="BA425" s="257" t="n"/>
      <c r="BB425" s="258" t="n"/>
      <c r="BC425" s="278" t="n"/>
      <c r="BD425" s="160" t="n"/>
      <c r="BE425" s="257" t="n"/>
      <c r="BF425" s="393" t="n"/>
      <c r="BG425" s="89" t="n"/>
      <c r="BH4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25">
        <f>_xlfn.LET(r,ROW(),oc,INDEX($A:$A,r),cv,TRIM(INDEX($Y:$Y,r)&amp;""),IF(oc&lt;&gt;"P1","",IF(cv="45","V45 - novo, nao alimentado pelo spool atual","V44 - alimentado pelo spool atual")))</f>
        <v/>
      </c>
    </row>
    <row r="426" ht="54" customFormat="1" customHeight="1" s="91">
      <c r="A426" s="306" t="inlineStr">
        <is>
          <t>P1</t>
        </is>
      </c>
      <c r="B426" s="307" t="n">
        <v>191</v>
      </c>
      <c r="C426" s="269" t="inlineStr">
        <is>
          <t>18 - Caractéristiques Titrisation</t>
        </is>
      </c>
      <c r="D426" s="310" t="inlineStr">
        <is>
          <t>18 - Securitization characteristics</t>
        </is>
      </c>
      <c r="E426" s="307" t="inlineStr">
        <is>
          <t>P1 4.41</t>
        </is>
      </c>
      <c r="F426" s="308" t="inlineStr">
        <is>
          <t>Mode de Titrisation</t>
        </is>
      </c>
      <c r="G426" s="309" t="inlineStr">
        <is>
          <t>Securitisation type</t>
        </is>
      </c>
      <c r="H426" s="1493">
        <f>"RPAD( "&amp;SUBSTITUTE(SUBSTITUTE(E426," ","_"),".","_")&amp;","&amp;W426&amp;",' '); -- "&amp;E426</f>
        <v/>
      </c>
      <c r="I426" s="241" t="inlineStr">
        <is>
          <t>Indicateur du mode de titrisation
Donnée TRUE SALE réservée à LCL et aux Caisses Régionales</t>
        </is>
      </c>
      <c r="J426" s="233" t="inlineStr">
        <is>
          <t>Indicator of the type of securitisation
TRUE SALE data element reserved for LCL and Regional Banks</t>
        </is>
      </c>
      <c r="K426" s="269" t="inlineStr">
        <is>
          <t>ND</t>
        </is>
      </c>
      <c r="L426" s="310" t="inlineStr">
        <is>
          <t>ND</t>
        </is>
      </c>
      <c r="M426" s="1420" t="inlineStr">
        <is>
          <t>cdModTit</t>
        </is>
      </c>
      <c r="N426" s="257" t="inlineStr">
        <is>
          <t>Obligatoire sous conditions</t>
        </is>
      </c>
      <c r="O426" s="236" t="inlineStr">
        <is>
          <t>Mandatory under conditions</t>
        </is>
      </c>
      <c r="P426" s="269" t="inlineStr">
        <is>
          <t>LC.0172</t>
        </is>
      </c>
      <c r="Q426" s="269" t="inlineStr">
        <is>
          <t>TA KVMDTITR</t>
        </is>
      </c>
      <c r="R426" s="241" t="inlineStr">
        <is>
          <t>Donnée TRUE SALE réservée à LCL et aux Caisses Régionales</t>
        </is>
      </c>
      <c r="S426" s="233" t="inlineStr">
        <is>
          <t>TRUE SALE data reserved for LCL and Regional Banks</t>
        </is>
      </c>
      <c r="T426" s="313" t="inlineStr">
        <is>
          <t>ALPHA</t>
        </is>
      </c>
      <c r="U426" s="237" t="inlineStr">
        <is>
          <t>NA</t>
        </is>
      </c>
      <c r="V426" s="238" t="inlineStr">
        <is>
          <t>NA</t>
        </is>
      </c>
      <c r="W426" s="257" t="n">
        <v>1</v>
      </c>
      <c r="X426" s="945" t="inlineStr">
        <is>
          <t>NA</t>
        </is>
      </c>
      <c r="Y426" s="237" t="n">
        <v>40</v>
      </c>
      <c r="Z426" s="237" t="inlineStr">
        <is>
          <t>NA</t>
        </is>
      </c>
      <c r="AA426" s="270" t="inlineStr">
        <is>
          <t>NA</t>
        </is>
      </c>
      <c r="AB426" s="994" t="inlineStr">
        <is>
          <t>OMP</t>
        </is>
      </c>
      <c r="AC426" s="231" t="inlineStr">
        <is>
          <t>ND</t>
        </is>
      </c>
      <c r="AD426" s="257" t="inlineStr">
        <is>
          <t>N</t>
        </is>
      </c>
      <c r="AE426" s="257" t="inlineStr">
        <is>
          <t xml:space="preserve">TRE2 à 4XX hors 203,205,206,207
</t>
        </is>
      </c>
      <c r="AF426" s="257" t="inlineStr">
        <is>
          <t>NA</t>
        </is>
      </c>
      <c r="AG426" s="258" t="inlineStr">
        <is>
          <t>NA</t>
        </is>
      </c>
      <c r="AH426" s="89" t="n"/>
      <c r="AI426" s="453" t="inlineStr">
        <is>
          <t>La donnée est obligatoire si Identifiant du Fonds Commun de Titrisation (SPV) [P1 4.40] est renseigné</t>
        </is>
      </c>
      <c r="AJ426" s="317" t="inlineStr">
        <is>
          <t>The data is mandatory if Securitisation fund (SPV) Identifier [P1 4.40] is filled in</t>
        </is>
      </c>
      <c r="AK426" s="257" t="n">
        <v>7</v>
      </c>
      <c r="AL426" s="366" t="inlineStr">
        <is>
          <t>TPS0806</t>
        </is>
      </c>
      <c r="AM426" s="318" t="inlineStr">
        <is>
          <t>Si elle est renseignée, la valeur doit être connue du Langage Commun associé</t>
        </is>
      </c>
      <c r="AN426" s="317" t="inlineStr">
        <is>
          <t>If specified, the value must be known to the associated Common Language</t>
        </is>
      </c>
      <c r="AO426" s="257" t="n">
        <v>7</v>
      </c>
      <c r="AP426" s="212" t="inlineStr">
        <is>
          <t>TIG0001</t>
        </is>
      </c>
      <c r="AQ426" s="318" t="n"/>
      <c r="AR426" s="317" t="n"/>
      <c r="AS426" s="257" t="n"/>
      <c r="AT426" s="258" t="n"/>
      <c r="AU426" s="318" t="n"/>
      <c r="AV426" s="317" t="n"/>
      <c r="AW426" s="257" t="n"/>
      <c r="AX426" s="258" t="n"/>
      <c r="AY426" s="318" t="n"/>
      <c r="AZ426" s="317" t="n"/>
      <c r="BA426" s="257" t="n"/>
      <c r="BB426" s="258" t="n"/>
      <c r="BC426" s="316" t="n"/>
      <c r="BD426" s="317" t="n"/>
      <c r="BE426" s="257" t="n"/>
      <c r="BF426" s="258" t="n"/>
      <c r="BG426" s="89" t="n"/>
      <c r="BH4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26">
        <f>_xlfn.LET(r,ROW(),oc,INDEX($A:$A,r),cv,TRIM(INDEX($Y:$Y,r)&amp;""),IF(oc&lt;&gt;"P1","",IF(cv="45","V45 - novo, nao alimentado pelo spool atual","V44 - alimentado pelo spool atual")))</f>
        <v/>
      </c>
    </row>
    <row r="427" ht="54" customFormat="1" customHeight="1" s="91">
      <c r="A427" s="306" t="inlineStr">
        <is>
          <t>P1</t>
        </is>
      </c>
      <c r="B427" s="307" t="n">
        <v>192</v>
      </c>
      <c r="C427" s="269" t="inlineStr">
        <is>
          <t>18 - Caractéristiques Titrisation</t>
        </is>
      </c>
      <c r="D427" s="310" t="inlineStr">
        <is>
          <t>18 - Securitization characteristics</t>
        </is>
      </c>
      <c r="E427" s="372" t="inlineStr">
        <is>
          <t>P1 4.48</t>
        </is>
      </c>
      <c r="F427" s="311" t="inlineStr">
        <is>
          <t>Indicateur créance titrisée SRT</t>
        </is>
      </c>
      <c r="G427" s="309" t="inlineStr">
        <is>
          <t>SRT securitized receivables indicator</t>
        </is>
      </c>
      <c r="H427" s="1493">
        <f>"RPAD( "&amp;SUBSTITUTE(SUBSTITUTE(E427," ","_"),".","_")&amp;","&amp;W427&amp;",' '); -- "&amp;E427</f>
        <v/>
      </c>
      <c r="I427" s="241" t="inlineStr">
        <is>
          <t>Indicateur créance titrisée avec transfert de risque Significatif (SRT)</t>
        </is>
      </c>
      <c r="J427" s="233" t="inlineStr">
        <is>
          <t>Identifies receivables belonging to an SRT securitization (significant risk transfer)</t>
        </is>
      </c>
      <c r="K427" s="269" t="inlineStr">
        <is>
          <t>ND</t>
        </is>
      </c>
      <c r="L427" s="310" t="inlineStr">
        <is>
          <t>ND</t>
        </is>
      </c>
      <c r="M427" s="1420" t="inlineStr">
        <is>
          <t>cdCreTitSTR</t>
        </is>
      </c>
      <c r="N427" s="257" t="inlineStr">
        <is>
          <t>Obligatoire sous conditions</t>
        </is>
      </c>
      <c r="O427" s="310" t="inlineStr">
        <is>
          <t>Mandatory under conditions</t>
        </is>
      </c>
      <c r="P427" s="269" t="inlineStr">
        <is>
          <t>LC.0328</t>
        </is>
      </c>
      <c r="Q427" s="269" t="inlineStr">
        <is>
          <t>TA Z8ICTSRT</t>
        </is>
      </c>
      <c r="R427" s="241" t="inlineStr">
        <is>
          <t>NA</t>
        </is>
      </c>
      <c r="S427" s="233" t="inlineStr">
        <is>
          <t>NA</t>
        </is>
      </c>
      <c r="T427" s="313" t="inlineStr">
        <is>
          <t>ALPHA</t>
        </is>
      </c>
      <c r="U427" s="237" t="inlineStr">
        <is>
          <t>NA</t>
        </is>
      </c>
      <c r="V427" s="238" t="inlineStr">
        <is>
          <t>NA</t>
        </is>
      </c>
      <c r="W427" s="397" t="n">
        <v>1</v>
      </c>
      <c r="X427" s="945" t="inlineStr">
        <is>
          <t>NA</t>
        </is>
      </c>
      <c r="Y427" s="237" t="n">
        <v>43</v>
      </c>
      <c r="Z427" s="237" t="inlineStr">
        <is>
          <t>NA</t>
        </is>
      </c>
      <c r="AA427" s="270" t="inlineStr">
        <is>
          <t>NA</t>
        </is>
      </c>
      <c r="AB427" s="994" t="inlineStr">
        <is>
          <t>AER, CALCULS PRUDENTIELS</t>
        </is>
      </c>
      <c r="AC427" s="231" t="inlineStr">
        <is>
          <t>ND</t>
        </is>
      </c>
      <c r="AD427" s="257" t="inlineStr">
        <is>
          <t>N</t>
        </is>
      </c>
      <c r="AE427" s="257" t="inlineStr">
        <is>
          <t>ISS100
ISS200 et 300
TRE2 à 4XX hors 203,205,206,207</t>
        </is>
      </c>
      <c r="AF427" s="257" t="inlineStr">
        <is>
          <t>NA</t>
        </is>
      </c>
      <c r="AG427" s="258" t="inlineStr">
        <is>
          <t>NA</t>
        </is>
      </c>
      <c r="AH427" s="89" t="n"/>
      <c r="AI427" s="353" t="inlineStr">
        <is>
          <t>La donnée est obligatoire si le type de risque [P1 2.0] = 'ISS100', 'ISS200', 'ISS300', 'TRE2xx' à 'TRE4xx' hors (TRE201,TRE203,TRE205, TRE206, TRE207) ET si l'indicateur créance titrisée [P1 4.29] = 'Y' ET si la nature du Sous-Jacent [P1 12.1] = '32' (Titre adossé à des actifs titrisés)</t>
        </is>
      </c>
      <c r="AJ427" s="317" t="inlineStr">
        <is>
          <t>The data is mandatory if Risk type [P1 2.0] = 'ISS100', 'ISS200', 'ISS300', 'TRE2xx' to 'TRE4xx' out (TRE201, TRE203, TRE205, TRE206, TRE207) AND if the securitised debt indicator [P1 4.29] = 'Y' AND the nature of underlying [P1 12.1] = '32' (Asset backed security)</t>
        </is>
      </c>
      <c r="AK427" s="257" t="n">
        <v>6</v>
      </c>
      <c r="AL427" s="345" t="inlineStr">
        <is>
          <t>TPS0807</t>
        </is>
      </c>
      <c r="AM427" s="452" t="inlineStr">
        <is>
          <t>Si elle est renseignée, la valeur doit être connue du Langage Commun associé</t>
        </is>
      </c>
      <c r="AN427" s="377" t="inlineStr">
        <is>
          <t>If specified, the value must be known to the associated Common Language</t>
        </is>
      </c>
      <c r="AO427" s="269" t="n">
        <v>7</v>
      </c>
      <c r="AP427" s="212" t="inlineStr">
        <is>
          <t>TIG0001</t>
        </is>
      </c>
      <c r="AQ427" s="318" t="n"/>
      <c r="AR427" s="317" t="n"/>
      <c r="AS427" s="257" t="n"/>
      <c r="AT427" s="258" t="n"/>
      <c r="AU427" s="318" t="n"/>
      <c r="AV427" s="317" t="n"/>
      <c r="AW427" s="257" t="n"/>
      <c r="AX427" s="258" t="n"/>
      <c r="AY427" s="318" t="n"/>
      <c r="AZ427" s="317" t="n"/>
      <c r="BA427" s="257" t="n"/>
      <c r="BB427" s="258" t="n"/>
      <c r="BC427" s="316" t="n"/>
      <c r="BD427" s="317" t="n"/>
      <c r="BE427" s="257" t="n"/>
      <c r="BF427" s="258" t="n"/>
      <c r="BG427" s="89" t="n"/>
      <c r="BH4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27">
        <f>_xlfn.LET(r,ROW(),oc,INDEX($A:$A,r),cv,TRIM(INDEX($Y:$Y,r)&amp;""),IF(oc&lt;&gt;"P1","",IF(cv="45","V45 - novo, nao alimentado pelo spool atual","V44 - alimentado pelo spool atual")))</f>
        <v/>
      </c>
    </row>
    <row r="428" ht="54" customFormat="1" customHeight="1" s="57">
      <c r="A428" s="325" t="inlineStr">
        <is>
          <t>P1</t>
        </is>
      </c>
      <c r="B428" s="326" t="n">
        <v>193</v>
      </c>
      <c r="C428" s="284" t="inlineStr">
        <is>
          <t>18 - Caractéristiques Titrisation</t>
        </is>
      </c>
      <c r="D428" s="284" t="inlineStr">
        <is>
          <t>18 - Securitization characteristics</t>
        </is>
      </c>
      <c r="E428" s="326" t="inlineStr">
        <is>
          <t>P1 4.98</t>
        </is>
      </c>
      <c r="F428" s="327" t="inlineStr">
        <is>
          <t>Zone réservée TRUE SALE</t>
        </is>
      </c>
      <c r="G428" s="327" t="inlineStr">
        <is>
          <t>Zone reserved for TRUE SALE</t>
        </is>
      </c>
      <c r="H428" s="1493">
        <f>"RPAD( "&amp;SUBSTITUTE(SUBSTITUTE(E428," ","_"),".","_")&amp;","&amp;W428&amp;",' '); -- "&amp;E428</f>
        <v/>
      </c>
      <c r="I428" s="245" t="inlineStr">
        <is>
          <t>Zone réservée TRUE SALE</t>
        </is>
      </c>
      <c r="J428" s="245" t="inlineStr">
        <is>
          <t>Zone reserved for TRUE SALE</t>
        </is>
      </c>
      <c r="K428" s="328" t="inlineStr">
        <is>
          <t>NA</t>
        </is>
      </c>
      <c r="L428" s="328" t="inlineStr">
        <is>
          <t>NA</t>
        </is>
      </c>
      <c r="M428" s="1421" t="inlineStr">
        <is>
          <t>ZoneResTruSal</t>
        </is>
      </c>
      <c r="N428" s="284" t="inlineStr">
        <is>
          <t>NA</t>
        </is>
      </c>
      <c r="O428" s="284" t="inlineStr">
        <is>
          <t>NA</t>
        </is>
      </c>
      <c r="P428" s="284" t="inlineStr">
        <is>
          <t>NA</t>
        </is>
      </c>
      <c r="Q428" s="284" t="inlineStr">
        <is>
          <t>NA</t>
        </is>
      </c>
      <c r="R428" s="245" t="inlineStr">
        <is>
          <t>NA</t>
        </is>
      </c>
      <c r="S428" s="245" t="inlineStr">
        <is>
          <t>NA</t>
        </is>
      </c>
      <c r="T428" s="326" t="inlineStr">
        <is>
          <t>ALPHA</t>
        </is>
      </c>
      <c r="U428" s="248" t="inlineStr">
        <is>
          <t>NA</t>
        </is>
      </c>
      <c r="V428" s="248" t="inlineStr">
        <is>
          <t>NA</t>
        </is>
      </c>
      <c r="W428" s="284" t="n">
        <v>45</v>
      </c>
      <c r="X428" s="244" t="inlineStr">
        <is>
          <t>NA</t>
        </is>
      </c>
      <c r="Y428" s="248" t="inlineStr">
        <is>
          <t>NA</t>
        </is>
      </c>
      <c r="Z428" s="248" t="inlineStr">
        <is>
          <t>NA</t>
        </is>
      </c>
      <c r="AA428" s="249" t="inlineStr">
        <is>
          <t>NA</t>
        </is>
      </c>
      <c r="AB428" s="284" t="inlineStr">
        <is>
          <t>NA</t>
        </is>
      </c>
      <c r="AC428" s="244" t="inlineStr">
        <is>
          <t>NA</t>
        </is>
      </c>
      <c r="AD428" s="284" t="inlineStr">
        <is>
          <t>N</t>
        </is>
      </c>
      <c r="AE428" s="284" t="inlineStr">
        <is>
          <t>NA</t>
        </is>
      </c>
      <c r="AF428" s="284" t="inlineStr">
        <is>
          <t>NA</t>
        </is>
      </c>
      <c r="AG428" s="285" t="inlineStr">
        <is>
          <t>NA</t>
        </is>
      </c>
      <c r="AH428" s="89" t="n"/>
      <c r="AI428" s="330" t="n"/>
      <c r="AJ428" s="331" t="n"/>
      <c r="AK428" s="284" t="n"/>
      <c r="AL428" s="285" t="n"/>
      <c r="AM428" s="331" t="n"/>
      <c r="AN428" s="331" t="n"/>
      <c r="AO428" s="284" t="n"/>
      <c r="AP428" s="285" t="n"/>
      <c r="AQ428" s="331" t="n"/>
      <c r="AR428" s="331" t="n"/>
      <c r="AS428" s="284" t="n"/>
      <c r="AT428" s="285" t="n"/>
      <c r="AU428" s="331" t="n"/>
      <c r="AV428" s="331" t="n"/>
      <c r="AW428" s="284" t="n"/>
      <c r="AX428" s="285" t="n"/>
      <c r="AY428" s="331" t="n"/>
      <c r="AZ428" s="331" t="n"/>
      <c r="BA428" s="284" t="n"/>
      <c r="BB428" s="285" t="n"/>
      <c r="BC428" s="330" t="n"/>
      <c r="BD428" s="331" t="n"/>
      <c r="BE428" s="284" t="n"/>
      <c r="BF428" s="285" t="n"/>
      <c r="BG428" s="89" t="n"/>
      <c r="BH4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28">
        <f>_xlfn.LET(r,ROW(),oc,INDEX($A:$A,r),cv,TRIM(INDEX($Y:$Y,r)&amp;""),IF(oc&lt;&gt;"P1","",IF(cv="45","V45 - novo, nao alimentado pelo spool atual","V44 - alimentado pelo spool atual")))</f>
        <v/>
      </c>
    </row>
    <row r="429" ht="54" customFormat="1" customHeight="1" s="57">
      <c r="A429" s="325" t="inlineStr">
        <is>
          <t>P1</t>
        </is>
      </c>
      <c r="B429" s="326" t="n">
        <v>194</v>
      </c>
      <c r="C429" s="284" t="inlineStr">
        <is>
          <t>NA</t>
        </is>
      </c>
      <c r="D429" s="284" t="inlineStr">
        <is>
          <t>NA</t>
        </is>
      </c>
      <c r="E429" s="326" t="inlineStr">
        <is>
          <t>P1 8.99</t>
        </is>
      </c>
      <c r="F429" s="327" t="inlineStr">
        <is>
          <t>Filler</t>
        </is>
      </c>
      <c r="G429" s="327" t="inlineStr">
        <is>
          <t>Filler</t>
        </is>
      </c>
      <c r="H429" s="1493">
        <f>"RPAD( "&amp;SUBSTITUTE(SUBSTITUTE(E429," ","_"),".","_")&amp;","&amp;W429&amp;",' '); -- "&amp;E429</f>
        <v/>
      </c>
      <c r="I429" s="247" t="inlineStr">
        <is>
          <t>Zone libre</t>
        </is>
      </c>
      <c r="J429" s="245" t="inlineStr">
        <is>
          <t>Free zone</t>
        </is>
      </c>
      <c r="K429" s="284" t="inlineStr">
        <is>
          <t>NA</t>
        </is>
      </c>
      <c r="L429" s="284" t="inlineStr">
        <is>
          <t>NA</t>
        </is>
      </c>
      <c r="M429" s="1421" t="inlineStr">
        <is>
          <t>ZoneLibre8</t>
        </is>
      </c>
      <c r="N429" s="284" t="inlineStr">
        <is>
          <t>NA</t>
        </is>
      </c>
      <c r="O429" s="284" t="inlineStr">
        <is>
          <t>NA</t>
        </is>
      </c>
      <c r="P429" s="284" t="inlineStr">
        <is>
          <t>NA</t>
        </is>
      </c>
      <c r="Q429" s="284" t="inlineStr">
        <is>
          <t>NA</t>
        </is>
      </c>
      <c r="R429" s="247" t="inlineStr">
        <is>
          <t>Laisser à vide</t>
        </is>
      </c>
      <c r="S429" s="247" t="inlineStr">
        <is>
          <t>Leave empty</t>
        </is>
      </c>
      <c r="T429" s="326" t="inlineStr">
        <is>
          <t>ALPHA</t>
        </is>
      </c>
      <c r="U429" s="248" t="inlineStr">
        <is>
          <t>NA</t>
        </is>
      </c>
      <c r="V429" s="248" t="inlineStr">
        <is>
          <t>NA</t>
        </is>
      </c>
      <c r="W429" s="284" t="n">
        <v>10</v>
      </c>
      <c r="X429" s="244" t="inlineStr">
        <is>
          <t>NA</t>
        </is>
      </c>
      <c r="Y429" s="248" t="inlineStr">
        <is>
          <t>NA</t>
        </is>
      </c>
      <c r="Z429" s="248" t="inlineStr">
        <is>
          <t>NA</t>
        </is>
      </c>
      <c r="AA429" s="248" t="inlineStr">
        <is>
          <t>NA</t>
        </is>
      </c>
      <c r="AB429" s="284" t="inlineStr">
        <is>
          <t>NA</t>
        </is>
      </c>
      <c r="AC429" s="244" t="inlineStr">
        <is>
          <t>NA</t>
        </is>
      </c>
      <c r="AD429" s="284" t="inlineStr">
        <is>
          <t>N</t>
        </is>
      </c>
      <c r="AE429" s="284" t="inlineStr">
        <is>
          <t>NA</t>
        </is>
      </c>
      <c r="AF429" s="284" t="inlineStr">
        <is>
          <t>NA</t>
        </is>
      </c>
      <c r="AG429" s="285" t="inlineStr">
        <is>
          <t>NA</t>
        </is>
      </c>
      <c r="AH429" s="89" t="n"/>
      <c r="AI429" s="330" t="n"/>
      <c r="AJ429" s="331" t="n"/>
      <c r="AK429" s="284" t="n"/>
      <c r="AL429" s="285" t="n"/>
      <c r="AM429" s="331" t="n"/>
      <c r="AN429" s="331" t="n"/>
      <c r="AO429" s="284" t="n"/>
      <c r="AP429" s="285" t="n"/>
      <c r="AQ429" s="331" t="n"/>
      <c r="AR429" s="331" t="n"/>
      <c r="AS429" s="284" t="n"/>
      <c r="AT429" s="285" t="n"/>
      <c r="AU429" s="331" t="n"/>
      <c r="AV429" s="331" t="n"/>
      <c r="AW429" s="284" t="n"/>
      <c r="AX429" s="285" t="n"/>
      <c r="AY429" s="331" t="n"/>
      <c r="AZ429" s="331" t="n"/>
      <c r="BA429" s="284" t="n"/>
      <c r="BB429" s="285" t="n"/>
      <c r="BC429" s="330" t="n"/>
      <c r="BD429" s="331" t="n"/>
      <c r="BE429" s="284" t="n"/>
      <c r="BF429" s="285" t="n"/>
      <c r="BG429" s="89" t="n"/>
      <c r="BH4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29">
        <f>_xlfn.LET(r,ROW(),oc,INDEX($A:$A,r),cv,TRIM(INDEX($Y:$Y,r)&amp;""),IF(oc&lt;&gt;"P1","",IF(cv="45","V45 - novo, nao alimentado pelo spool atual","V44 - alimentado pelo spool atual")))</f>
        <v/>
      </c>
    </row>
    <row r="430" ht="54" customFormat="1" customHeight="1" s="91">
      <c r="A430" s="306" t="inlineStr">
        <is>
          <t>P1</t>
        </is>
      </c>
      <c r="B430" s="307" t="n">
        <v>195</v>
      </c>
      <c r="C430" s="269" t="inlineStr">
        <is>
          <t>03 - Caractéristiques Générales</t>
        </is>
      </c>
      <c r="D430" s="310" t="inlineStr">
        <is>
          <t>03 - General characteristics</t>
        </is>
      </c>
      <c r="E430" s="307" t="inlineStr">
        <is>
          <t>P1 4.38</t>
        </is>
      </c>
      <c r="F430" s="308" t="inlineStr">
        <is>
          <t xml:space="preserve">Indicateur autonomie patrimoniale de l'actif en cas de défaut d'un membre compensateur </t>
        </is>
      </c>
      <c r="G430" s="309" t="inlineStr">
        <is>
          <t xml:space="preserve">Indicator of financial autonomy of the asset in case of default of a central counterparty (CCP) </t>
        </is>
      </c>
      <c r="H430" s="1493">
        <f>"RPAD( "&amp;SUBSTITUTE(SUBSTITUTE(E430," ","_"),".","_")&amp;","&amp;W430&amp;",' '); -- "&amp;E430</f>
        <v/>
      </c>
      <c r="I430" s="241" t="inlineStr">
        <is>
          <t>Indicateur d'autonomie patrimoniale de l'actif en cas de défaut d'un membre compensateur (CCP)</t>
        </is>
      </c>
      <c r="J430" s="233" t="inlineStr">
        <is>
          <t>Investment independence indicator of the asset in the event that a central counterparty (CCP) defaults</t>
        </is>
      </c>
      <c r="K430" s="269" t="inlineStr">
        <is>
          <t>ND</t>
        </is>
      </c>
      <c r="L430" s="310" t="inlineStr">
        <is>
          <t>ND</t>
        </is>
      </c>
      <c r="M430" s="1420" t="inlineStr">
        <is>
          <t>indAutonPatriActifCCP</t>
        </is>
      </c>
      <c r="N430" s="257" t="inlineStr">
        <is>
          <t>Obligatoire sous conditions</t>
        </is>
      </c>
      <c r="O430" s="236" t="inlineStr">
        <is>
          <t>Mandatory under conditions</t>
        </is>
      </c>
      <c r="P430" s="269" t="inlineStr">
        <is>
          <t>LC.0192</t>
        </is>
      </c>
      <c r="Q430" s="269" t="inlineStr">
        <is>
          <t>TA KVIAUTPA</t>
        </is>
      </c>
      <c r="R430" s="241" t="inlineStr">
        <is>
          <t>Permet d'indiquer qu'il existe juridiquement une distinction et une séparation au niveau de la contrepartie, entre les positions et les actifs déposés par la Banque et les positions et les actifs de la contrepartie et de ses autres clients
NB : Donnée facultative pour le type de risque TRE206</t>
        </is>
      </c>
      <c r="S430" s="233" t="inlineStr">
        <is>
          <t>Indicates that there is a legal distinction and separation at the counterparty level between the positions and deposited by the Bank and the positions and asset of the counterparty and its other customers
N.B. Optional data for risk type TRE206</t>
        </is>
      </c>
      <c r="T430" s="313" t="inlineStr">
        <is>
          <t>ALPHA</t>
        </is>
      </c>
      <c r="U430" s="237" t="inlineStr">
        <is>
          <t>NA</t>
        </is>
      </c>
      <c r="V430" s="238" t="inlineStr">
        <is>
          <t>NA</t>
        </is>
      </c>
      <c r="W430" s="257" t="n">
        <v>1</v>
      </c>
      <c r="X430" s="945" t="inlineStr">
        <is>
          <t>NA</t>
        </is>
      </c>
      <c r="Y430" s="237" t="n">
        <v>40</v>
      </c>
      <c r="Z430" s="237" t="inlineStr">
        <is>
          <t>NA</t>
        </is>
      </c>
      <c r="AA430" s="270" t="inlineStr">
        <is>
          <t>NA</t>
        </is>
      </c>
      <c r="AB430" s="1286" t="inlineStr">
        <is>
          <t>CALCULS PRUDENTIELS</t>
        </is>
      </c>
      <c r="AC430" s="231" t="inlineStr">
        <is>
          <t>ND</t>
        </is>
      </c>
      <c r="AD430" s="257" t="inlineStr">
        <is>
          <t>N</t>
        </is>
      </c>
      <c r="AE430" s="971" t="inlineStr">
        <is>
          <t>TRE203, 205
TRE206
VAR*</t>
        </is>
      </c>
      <c r="AF430" s="257" t="inlineStr">
        <is>
          <t>NA</t>
        </is>
      </c>
      <c r="AG430" s="258" t="inlineStr">
        <is>
          <t>NA</t>
        </is>
      </c>
      <c r="AH430" s="89" t="n"/>
      <c r="AI430" s="461" t="inlineStr">
        <is>
          <t>La donnée est obligatoire si Type de risque [P1 2.0] = ‘TRE203' ou ([P1 2.0] = ‘VAR*' et [P1 3.36] = ‘Y')</t>
        </is>
      </c>
      <c r="AJ430" s="317" t="inlineStr">
        <is>
          <t>The data is mandatory if Risk type [P1 2.0] = ‘TRE203' or ([P1 2.0] = ‘VAR*' and [P1 3.36] = ‘Y')</t>
        </is>
      </c>
      <c r="AK430" s="257" t="n">
        <v>6</v>
      </c>
      <c r="AL430" s="366" t="inlineStr">
        <is>
          <t>TPS0808</t>
        </is>
      </c>
      <c r="AM430" s="452" t="inlineStr">
        <is>
          <t>Si elle est renseignée, la valeur doit être connue du Langage Commun associé</t>
        </is>
      </c>
      <c r="AN430" s="377" t="inlineStr">
        <is>
          <t>If specified, the value must be known to the associated Common Language</t>
        </is>
      </c>
      <c r="AO430" s="269" t="n">
        <v>7</v>
      </c>
      <c r="AP430" s="212" t="inlineStr">
        <is>
          <t>TIG0001</t>
        </is>
      </c>
      <c r="AQ430" s="536" t="n"/>
      <c r="AR430" s="317" t="n"/>
      <c r="AS430" s="257" t="n"/>
      <c r="AT430" s="258" t="n"/>
      <c r="AU430" s="318" t="n"/>
      <c r="AV430" s="317" t="n"/>
      <c r="AW430" s="257" t="n"/>
      <c r="AX430" s="258" t="n"/>
      <c r="AY430" s="318" t="n"/>
      <c r="AZ430" s="317" t="n"/>
      <c r="BA430" s="257" t="n"/>
      <c r="BB430" s="258" t="n"/>
      <c r="BC430" s="316" t="n"/>
      <c r="BD430" s="317" t="n"/>
      <c r="BE430" s="257" t="n"/>
      <c r="BF430" s="258" t="n"/>
      <c r="BG430" s="89" t="n"/>
      <c r="BH4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30">
        <f>_xlfn.LET(r,ROW(),oc,INDEX($A:$A,r),cv,TRIM(INDEX($Y:$Y,r)&amp;""),IF(oc&lt;&gt;"P1","",IF(cv="45","V45 - novo, nao alimentado pelo spool atual","V44 - alimentado pelo spool atual")))</f>
        <v/>
      </c>
    </row>
    <row r="431" ht="54" customFormat="1" customHeight="1" s="91">
      <c r="A431" s="306" t="inlineStr">
        <is>
          <t>P1</t>
        </is>
      </c>
      <c r="B431" s="307" t="n">
        <v>196</v>
      </c>
      <c r="C431" s="269" t="inlineStr">
        <is>
          <t>03 - Caractéristiques Générales</t>
        </is>
      </c>
      <c r="D431" s="310" t="inlineStr">
        <is>
          <t>03 - General characteristics</t>
        </is>
      </c>
      <c r="E431" s="307" t="inlineStr">
        <is>
          <t>P1 4.39</t>
        </is>
      </c>
      <c r="F431" s="308" t="inlineStr">
        <is>
          <t>Indicateur portabilité de l'actif en cas de défaut d'un membre compensateur</t>
        </is>
      </c>
      <c r="G431" s="309" t="inlineStr">
        <is>
          <t xml:space="preserve">Indicator of portability of the asset in case of default of a central counterparty (CCP) </t>
        </is>
      </c>
      <c r="H431" s="1493">
        <f>"RPAD( "&amp;SUBSTITUTE(SUBSTITUTE(E431," ","_"),".","_")&amp;","&amp;W431&amp;",' '); -- "&amp;E431</f>
        <v/>
      </c>
      <c r="I431" s="241" t="inlineStr">
        <is>
          <t>Indicateur de portabilité de l'actif en cas de défaut d'un membre compensateur (CCP)</t>
        </is>
      </c>
      <c r="J431" s="233" t="inlineStr">
        <is>
          <t>Portability indicator of the asset in the event that a central counterparty (CCP) defaults</t>
        </is>
      </c>
      <c r="K431" s="269" t="inlineStr">
        <is>
          <t>ND</t>
        </is>
      </c>
      <c r="L431" s="310" t="inlineStr">
        <is>
          <t>ND</t>
        </is>
      </c>
      <c r="M431" s="1420" t="inlineStr">
        <is>
          <t>indPortaActifCCP</t>
        </is>
      </c>
      <c r="N431" s="257" t="inlineStr">
        <is>
          <t>Obligatoire sous conditions</t>
        </is>
      </c>
      <c r="O431" s="236" t="inlineStr">
        <is>
          <t>Mandatory under conditions</t>
        </is>
      </c>
      <c r="P431" s="269" t="inlineStr">
        <is>
          <t>LC.0191</t>
        </is>
      </c>
      <c r="Q431" s="269" t="inlineStr">
        <is>
          <t>TA KVIPORTA</t>
        </is>
      </c>
      <c r="R431" s="241" t="inlineStr">
        <is>
          <t>Permet d'indiquer que les dispositions législatives, réglementaires et administratives et les dispositions contractuelles qui sont applicables à l'établissement ou à la CCP ou qui sont contraignants pour ceux- ci, facilitent le transfert des positions de la Banque sur ces contrats et opérations, ainsi que des sûretés correspondantes, vers un autre membre compensateur, avant la fin de la période de marge en risque concernée en cas de défaut ou d'insolvabilité du membre compensateur initial
NB : Donnée facultative pour le type de risque TRE206</t>
        </is>
      </c>
      <c r="S431" s="233" t="inlineStr">
        <is>
          <t>Allows to indicate that the laws, regulations and administrative provisions and contractual provisions which are applicable to the institution or CCP or which are binding on them facilitate the transfer of the Bank's positions on these contracts and transactions, as well as corresponding security interests, to another clearing member, before the end of the relevant risk margin period in case of default or insolvency of the original clearing member
N.B. Optional data for risk type TRE206</t>
        </is>
      </c>
      <c r="T431" s="313" t="inlineStr">
        <is>
          <t>ALPHA</t>
        </is>
      </c>
      <c r="U431" s="237" t="inlineStr">
        <is>
          <t>NA</t>
        </is>
      </c>
      <c r="V431" s="238" t="inlineStr">
        <is>
          <t>NA</t>
        </is>
      </c>
      <c r="W431" s="257" t="n">
        <v>1</v>
      </c>
      <c r="X431" s="945" t="inlineStr">
        <is>
          <t>NA</t>
        </is>
      </c>
      <c r="Y431" s="237" t="n">
        <v>40</v>
      </c>
      <c r="Z431" s="237" t="inlineStr">
        <is>
          <t>NA</t>
        </is>
      </c>
      <c r="AA431" s="270" t="inlineStr">
        <is>
          <t>NA</t>
        </is>
      </c>
      <c r="AB431" s="1286" t="inlineStr">
        <is>
          <t>CALCULS PRUDENTIELS</t>
        </is>
      </c>
      <c r="AC431" s="231" t="inlineStr">
        <is>
          <t>ND</t>
        </is>
      </c>
      <c r="AD431" s="257" t="inlineStr">
        <is>
          <t>N</t>
        </is>
      </c>
      <c r="AE431" s="971" t="inlineStr">
        <is>
          <t>TRE203, 205
TRE206
VAR*</t>
        </is>
      </c>
      <c r="AF431" s="257" t="inlineStr">
        <is>
          <t>NA</t>
        </is>
      </c>
      <c r="AG431" s="258" t="inlineStr">
        <is>
          <t>NA</t>
        </is>
      </c>
      <c r="AH431" s="89" t="n"/>
      <c r="AI431" s="461" t="inlineStr">
        <is>
          <t>La donnée est obligatoire si Type de risque [P1 2.0] = ‘TRE203' ou ([P1 2.0] = ‘VAR*' et [P1 3.36] = ‘Y')</t>
        </is>
      </c>
      <c r="AJ431" s="317" t="inlineStr">
        <is>
          <t>The data is mandatory if Risk type [P1 2.0] = ‘TRE203' or ([P1 2.0] = ‘VAR*' and [P1 3.36] = ‘Y')</t>
        </is>
      </c>
      <c r="AK431" s="257" t="n">
        <v>6</v>
      </c>
      <c r="AL431" s="366" t="inlineStr">
        <is>
          <t>TPS0808</t>
        </is>
      </c>
      <c r="AM431" s="452" t="inlineStr">
        <is>
          <t>Si elle est renseignée, la valeur doit être connue du Langage Commun associé</t>
        </is>
      </c>
      <c r="AN431" s="377" t="inlineStr">
        <is>
          <t>If specified, the value must be known to the associated Common Language</t>
        </is>
      </c>
      <c r="AO431" s="269" t="n">
        <v>7</v>
      </c>
      <c r="AP431" s="212" t="inlineStr">
        <is>
          <t>TIG0001</t>
        </is>
      </c>
      <c r="AQ431" s="536" t="n"/>
      <c r="AR431" s="317" t="n"/>
      <c r="AS431" s="257" t="n"/>
      <c r="AT431" s="258" t="n"/>
      <c r="AU431" s="318" t="n"/>
      <c r="AV431" s="317" t="n"/>
      <c r="AW431" s="257" t="n"/>
      <c r="AX431" s="258" t="n"/>
      <c r="AY431" s="318" t="n"/>
      <c r="AZ431" s="317" t="n"/>
      <c r="BA431" s="257" t="n"/>
      <c r="BB431" s="258" t="n"/>
      <c r="BC431" s="316" t="n"/>
      <c r="BD431" s="317" t="n"/>
      <c r="BE431" s="257" t="n"/>
      <c r="BF431" s="258" t="n"/>
      <c r="BG431" s="89" t="n"/>
      <c r="BH4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31">
        <f>_xlfn.LET(r,ROW(),oc,INDEX($A:$A,r),cv,TRIM(INDEX($Y:$Y,r)&amp;""),IF(oc&lt;&gt;"P1","",IF(cv="45","V45 - novo, nao alimentado pelo spool atual","V44 - alimentado pelo spool atual")))</f>
        <v/>
      </c>
    </row>
    <row r="432" ht="54" customFormat="1" customHeight="1" s="91">
      <c r="A432" s="306" t="inlineStr">
        <is>
          <t>P1</t>
        </is>
      </c>
      <c r="B432" s="307" t="n">
        <v>197</v>
      </c>
      <c r="C432" s="269" t="inlineStr">
        <is>
          <t>03 - Caractéristiques Générales</t>
        </is>
      </c>
      <c r="D432" s="310" t="inlineStr">
        <is>
          <t>03 - General characteristics</t>
        </is>
      </c>
      <c r="E432" s="307" t="inlineStr">
        <is>
          <t>P1 4.37</t>
        </is>
      </c>
      <c r="F432" s="308" t="inlineStr">
        <is>
          <t>Indicateur de ségrégation</t>
        </is>
      </c>
      <c r="G432" s="309" t="inlineStr">
        <is>
          <t>Segregation indicator</t>
        </is>
      </c>
      <c r="H432" s="1493">
        <f>"RPAD( "&amp;SUBSTITUTE(SUBSTITUTE(E432," ","_"),".","_")&amp;","&amp;W432&amp;",' '); -- "&amp;E432</f>
        <v/>
      </c>
      <c r="I432" s="241" t="inlineStr">
        <is>
          <t xml:space="preserve">Indicateur de ségrégation </t>
        </is>
      </c>
      <c r="J432" s="233" t="inlineStr">
        <is>
          <t xml:space="preserve">Segregation indicator </t>
        </is>
      </c>
      <c r="K432" s="269" t="inlineStr">
        <is>
          <t>ND</t>
        </is>
      </c>
      <c r="L432" s="310" t="inlineStr">
        <is>
          <t>ND</t>
        </is>
      </c>
      <c r="M432" s="1420" t="inlineStr">
        <is>
          <t>indSegre</t>
        </is>
      </c>
      <c r="N432" s="257" t="inlineStr">
        <is>
          <t>Obligatoire sous conditions</t>
        </is>
      </c>
      <c r="O432" s="236" t="inlineStr">
        <is>
          <t>Mandatory under conditions</t>
        </is>
      </c>
      <c r="P432" s="269" t="inlineStr">
        <is>
          <t>LC.0194</t>
        </is>
      </c>
      <c r="Q432" s="269" t="inlineStr">
        <is>
          <t>TA KVISEGRE</t>
        </is>
      </c>
      <c r="R432" s="241" t="inlineStr">
        <is>
          <t>Permet de préciser si l'actif représentatif de l'encours est géré de manière séparée et ségréguée des actifs du membre compensateur et de ceux des autres clients du membre compensateur, à la fois au niveau de la contrepartie centrale et du membre compensateur.
NB : Donnée facultative pour le type de risque TRE206</t>
        </is>
      </c>
      <c r="S432" s="233" t="inlineStr">
        <is>
          <t>This specifies whether the representative asset of the outstanding is managed separately and segregated from the assets of the clearing member and those of the other customers of the clearing member, both at the central counterparty and the clearing member level.
N.B. Optional data for risk type TRE206</t>
        </is>
      </c>
      <c r="T432" s="313" t="inlineStr">
        <is>
          <t>ALPHA</t>
        </is>
      </c>
      <c r="U432" s="237" t="inlineStr">
        <is>
          <t>NA</t>
        </is>
      </c>
      <c r="V432" s="238" t="inlineStr">
        <is>
          <t>NA</t>
        </is>
      </c>
      <c r="W432" s="397" t="n">
        <v>1</v>
      </c>
      <c r="X432" s="945" t="inlineStr">
        <is>
          <t>NA</t>
        </is>
      </c>
      <c r="Y432" s="237" t="n">
        <v>40</v>
      </c>
      <c r="Z432" s="237" t="inlineStr">
        <is>
          <t>NA</t>
        </is>
      </c>
      <c r="AA432" s="270" t="inlineStr">
        <is>
          <t>NA</t>
        </is>
      </c>
      <c r="AB432" s="994" t="inlineStr">
        <is>
          <t>CALCULS PRUDENTIELS, SA-CCR</t>
        </is>
      </c>
      <c r="AC432" s="231" t="inlineStr">
        <is>
          <t>ND</t>
        </is>
      </c>
      <c r="AD432" s="257" t="inlineStr">
        <is>
          <t>N</t>
        </is>
      </c>
      <c r="AE432" s="971" t="inlineStr">
        <is>
          <t>TRE203, 205
TRE206
VAR*</t>
        </is>
      </c>
      <c r="AF432" s="257" t="inlineStr">
        <is>
          <t>NA</t>
        </is>
      </c>
      <c r="AG432" s="258" t="inlineStr">
        <is>
          <t>NA</t>
        </is>
      </c>
      <c r="AH432" s="89" t="n"/>
      <c r="AI432" s="461" t="inlineStr">
        <is>
          <t>La donnée est obligatoire si Type de risque [P1 2.0] = ‘TRE203' ou ([P1 2.0] = ‘VAR*' et [P1 3.36] = ‘Y')</t>
        </is>
      </c>
      <c r="AJ432" s="317" t="inlineStr">
        <is>
          <t>The data is mandatory if Risk type [P1 2.0] = ‘TRE203' or ([P1 2.0] = ‘VAR*' and [P1 3.36] = ‘Y')</t>
        </is>
      </c>
      <c r="AK432" s="257" t="n">
        <v>6</v>
      </c>
      <c r="AL432" s="366" t="inlineStr">
        <is>
          <t>TPS0808</t>
        </is>
      </c>
      <c r="AM432" s="452" t="inlineStr">
        <is>
          <t>Si elle est renseignée, la valeur doit être connue du Langage Commun associé</t>
        </is>
      </c>
      <c r="AN432" s="377" t="inlineStr">
        <is>
          <t>If specified, the value must be known to the associated Common Language</t>
        </is>
      </c>
      <c r="AO432" s="269" t="n">
        <v>7</v>
      </c>
      <c r="AP432" s="212" t="inlineStr">
        <is>
          <t>TIG0001</t>
        </is>
      </c>
      <c r="AQ432" s="318" t="n"/>
      <c r="AR432" s="317" t="n"/>
      <c r="AS432" s="257" t="n"/>
      <c r="AT432" s="258" t="n"/>
      <c r="AU432" s="318" t="n"/>
      <c r="AV432" s="317" t="n"/>
      <c r="AW432" s="257" t="n"/>
      <c r="AX432" s="258" t="n"/>
      <c r="AY432" s="318" t="n"/>
      <c r="AZ432" s="317" t="n"/>
      <c r="BA432" s="257" t="n"/>
      <c r="BB432" s="258" t="n"/>
      <c r="BC432" s="316" t="n"/>
      <c r="BD432" s="317" t="n"/>
      <c r="BE432" s="257" t="n"/>
      <c r="BF432" s="258" t="n"/>
      <c r="BG432" s="89" t="n"/>
      <c r="BH4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32">
        <f>_xlfn.LET(r,ROW(),oc,INDEX($A:$A,r),cv,TRIM(INDEX($Y:$Y,r)&amp;""),IF(oc&lt;&gt;"P1","",IF(cv="45","V45 - novo, nao alimentado pelo spool atual","V44 - alimentado pelo spool atual")))</f>
        <v/>
      </c>
    </row>
    <row r="433" ht="54" customFormat="1" customHeight="1" s="91">
      <c r="A433" s="306" t="inlineStr">
        <is>
          <t>P1</t>
        </is>
      </c>
      <c r="B433" s="307" t="n">
        <v>198</v>
      </c>
      <c r="C433" s="269" t="inlineStr">
        <is>
          <t>03 - Caractéristiques Générales</t>
        </is>
      </c>
      <c r="D433" s="310" t="inlineStr">
        <is>
          <t>03 - General characteristics</t>
        </is>
      </c>
      <c r="E433" s="307" t="inlineStr">
        <is>
          <t>P1 4.35</t>
        </is>
      </c>
      <c r="F433" s="308" t="inlineStr">
        <is>
          <t>Indicateur opinion juridique</t>
        </is>
      </c>
      <c r="G433" s="309" t="inlineStr">
        <is>
          <t>Legal opinion indicator</t>
        </is>
      </c>
      <c r="H433" s="1493">
        <f>"RPAD( "&amp;SUBSTITUTE(SUBSTITUTE(E433," ","_"),".","_")&amp;","&amp;W433&amp;",' '); -- "&amp;E433</f>
        <v/>
      </c>
      <c r="I433" s="241" t="inlineStr">
        <is>
          <t>Indicateur de l'opinion juridique</t>
        </is>
      </c>
      <c r="J433" s="233" t="inlineStr">
        <is>
          <t>Legal opinion indicator</t>
        </is>
      </c>
      <c r="K433" s="269" t="inlineStr">
        <is>
          <t>ND</t>
        </is>
      </c>
      <c r="L433" s="310" t="inlineStr">
        <is>
          <t>ND</t>
        </is>
      </c>
      <c r="M433" s="1420" t="inlineStr">
        <is>
          <t>indOpinJuri</t>
        </is>
      </c>
      <c r="N433" s="257" t="inlineStr">
        <is>
          <t>Obligatoire sous conditions</t>
        </is>
      </c>
      <c r="O433" s="236" t="inlineStr">
        <is>
          <t>Mandatory under conditions</t>
        </is>
      </c>
      <c r="P433" s="269" t="inlineStr">
        <is>
          <t>LC.0193</t>
        </is>
      </c>
      <c r="Q433" s="269" t="inlineStr">
        <is>
          <t>TA KVIOPIJ</t>
        </is>
      </c>
      <c r="R433" s="241" t="inlineStr">
        <is>
          <t>Permet d'indiquer que la Banque dispose d'un avis juridique indépendant, écrit et dûment motivé concluant que, en cas de litige, les juridictions et autorités administratives concernées estimeraient que la Banque ne subirait aucune perte en raison de l'insolvabilité de son membre compensateur ou d'un quelconque des clients de son membre compensateur .
NB : Donnée facultative pour le type de risque TRE206</t>
        </is>
      </c>
      <c r="S433" s="233" t="inlineStr">
        <is>
          <t>Allows to indicate that the Bank has an independent, written and duly substantiated legal opinion concluding that, in the event of a dispute, the courts and administrative authorities concerned would consider that the Bank would not suffer any loss due to the insolvency of its clearing member or any of its clearing member's customers.
N.B. Optional data for risk type TRE206</t>
        </is>
      </c>
      <c r="T433" s="313" t="inlineStr">
        <is>
          <t>ALPHA</t>
        </is>
      </c>
      <c r="U433" s="237" t="inlineStr">
        <is>
          <t>NA</t>
        </is>
      </c>
      <c r="V433" s="238" t="inlineStr">
        <is>
          <t>NA</t>
        </is>
      </c>
      <c r="W433" s="397" t="n">
        <v>1</v>
      </c>
      <c r="X433" s="945" t="inlineStr">
        <is>
          <t>NA</t>
        </is>
      </c>
      <c r="Y433" s="237" t="n">
        <v>40</v>
      </c>
      <c r="Z433" s="237" t="inlineStr">
        <is>
          <t>NA</t>
        </is>
      </c>
      <c r="AA433" s="270" t="inlineStr">
        <is>
          <t>NA</t>
        </is>
      </c>
      <c r="AB433" s="1286" t="inlineStr">
        <is>
          <t>CALCULS PRUDENTIELS</t>
        </is>
      </c>
      <c r="AC433" s="231" t="inlineStr">
        <is>
          <t>ND</t>
        </is>
      </c>
      <c r="AD433" s="257" t="inlineStr">
        <is>
          <t>N</t>
        </is>
      </c>
      <c r="AE433" s="971" t="inlineStr">
        <is>
          <t>TRE203, 205
TRE206
VAR*</t>
        </is>
      </c>
      <c r="AF433" s="257" t="inlineStr">
        <is>
          <t>NA</t>
        </is>
      </c>
      <c r="AG433" s="258" t="inlineStr">
        <is>
          <t>NA</t>
        </is>
      </c>
      <c r="AH433" s="89" t="n"/>
      <c r="AI433" s="461" t="inlineStr">
        <is>
          <t>La donnée est obligatoire si Type de risque [P1 2.0] = ‘TRE203' ou ([P1 2.0] = ‘VAR*' et [P1 3.36] = ‘Y')</t>
        </is>
      </c>
      <c r="AJ433" s="317" t="inlineStr">
        <is>
          <t>The data is mandatory if Risk type [P1 2.0] = ‘TRE203' or ([P1 2.0] = ‘VAR*' and [P1 3.36] = ‘Y')</t>
        </is>
      </c>
      <c r="AK433" s="257" t="n">
        <v>6</v>
      </c>
      <c r="AL433" s="366" t="inlineStr">
        <is>
          <t>TPS0808</t>
        </is>
      </c>
      <c r="AM433" s="452" t="inlineStr">
        <is>
          <t>Si elle est renseignée, la valeur doit être connue du Langage Commun associé</t>
        </is>
      </c>
      <c r="AN433" s="377" t="inlineStr">
        <is>
          <t>If specified, the value must be known to the associated Common Language</t>
        </is>
      </c>
      <c r="AO433" s="269" t="n">
        <v>7</v>
      </c>
      <c r="AP433" s="212" t="inlineStr">
        <is>
          <t>TIG0001</t>
        </is>
      </c>
      <c r="AQ433" s="318" t="n"/>
      <c r="AR433" s="317" t="n"/>
      <c r="AS433" s="257" t="n"/>
      <c r="AT433" s="258" t="n"/>
      <c r="AU433" s="318" t="n"/>
      <c r="AV433" s="317" t="n"/>
      <c r="AW433" s="257" t="n"/>
      <c r="AX433" s="258" t="n"/>
      <c r="AY433" s="318" t="n"/>
      <c r="AZ433" s="317" t="n"/>
      <c r="BA433" s="257" t="n"/>
      <c r="BB433" s="258" t="n"/>
      <c r="BC433" s="316" t="n"/>
      <c r="BD433" s="317" t="n"/>
      <c r="BE433" s="257" t="n"/>
      <c r="BF433" s="258" t="n"/>
      <c r="BG433" s="89" t="n"/>
      <c r="BH4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33">
        <f>_xlfn.LET(r,ROW(),oc,INDEX($A:$A,r),cv,TRIM(INDEX($Y:$Y,r)&amp;""),IF(oc&lt;&gt;"P1","",IF(cv="45","V45 - novo, nao alimentado pelo spool atual","V44 - alimentado pelo spool atual")))</f>
        <v/>
      </c>
    </row>
    <row r="434" ht="54" customFormat="1" customHeight="1" s="91">
      <c r="A434" s="306" t="inlineStr">
        <is>
          <t>P1</t>
        </is>
      </c>
      <c r="B434" s="307" t="n">
        <v>199</v>
      </c>
      <c r="C434" s="269" t="inlineStr">
        <is>
          <t>03 - Caractéristiques Générales</t>
        </is>
      </c>
      <c r="D434" s="310" t="inlineStr">
        <is>
          <t>03 - General characteristics</t>
        </is>
      </c>
      <c r="E434" s="307" t="inlineStr">
        <is>
          <t>P1 3.36</t>
        </is>
      </c>
      <c r="F434" s="308" t="inlineStr">
        <is>
          <t>Indicateur compensation centrale</t>
        </is>
      </c>
      <c r="G434" s="309" t="inlineStr">
        <is>
          <t>Central clearing indicator</t>
        </is>
      </c>
      <c r="H434" s="1493">
        <f>"RPAD( "&amp;SUBSTITUTE(SUBSTITUTE(E434," ","_"),".","_")&amp;","&amp;W434&amp;",' '); -- "&amp;E434</f>
        <v/>
      </c>
      <c r="I434" s="241" t="inlineStr">
        <is>
          <t xml:space="preserve">Indique si la compensation centralisée de l'opération est de manière directe (face à une CCP) ou de manière indirecte (face à un courtier compensateur, lui-même membre d'une CCP). </t>
        </is>
      </c>
      <c r="J434" s="233" t="inlineStr">
        <is>
          <t>Indicates whether the transaction's central clearing is directly dealing (with a CCP), or indirectly dealing (with a clearing broker, which is itself member of a CCP).</t>
        </is>
      </c>
      <c r="K434" s="269" t="inlineStr">
        <is>
          <t>ND</t>
        </is>
      </c>
      <c r="L434" s="310" t="inlineStr">
        <is>
          <t>ND</t>
        </is>
      </c>
      <c r="M434" s="1420" t="inlineStr">
        <is>
          <t>indCompensCentral</t>
        </is>
      </c>
      <c r="N434" s="257" t="inlineStr">
        <is>
          <t>Obligatoire sous conditions</t>
        </is>
      </c>
      <c r="O434" s="236" t="inlineStr">
        <is>
          <t>Mandatory under conditions</t>
        </is>
      </c>
      <c r="P434" s="269" t="inlineStr">
        <is>
          <t>LC.0182</t>
        </is>
      </c>
      <c r="Q434" s="269" t="inlineStr">
        <is>
          <t>TA KVICC</t>
        </is>
      </c>
      <c r="R434" s="241" t="inlineStr">
        <is>
          <t>NB : Donnée facultative pour le type de risque TRE206</t>
        </is>
      </c>
      <c r="S434" s="233" t="inlineStr">
        <is>
          <t>N.B. Optional data for risk type TRE206</t>
        </is>
      </c>
      <c r="T434" s="313" t="inlineStr">
        <is>
          <t>ALPHA</t>
        </is>
      </c>
      <c r="U434" s="237" t="inlineStr">
        <is>
          <t>NA</t>
        </is>
      </c>
      <c r="V434" s="238" t="inlineStr">
        <is>
          <t>NA</t>
        </is>
      </c>
      <c r="W434" s="397" t="n">
        <v>1</v>
      </c>
      <c r="X434" s="945" t="inlineStr">
        <is>
          <t>NA</t>
        </is>
      </c>
      <c r="Y434" s="237" t="n">
        <v>40</v>
      </c>
      <c r="Z434" s="237" t="inlineStr">
        <is>
          <t>NA</t>
        </is>
      </c>
      <c r="AA434" s="978" t="inlineStr">
        <is>
          <t>NA</t>
        </is>
      </c>
      <c r="AB434" s="994" t="inlineStr">
        <is>
          <t>CALCULS PRUDENTIELS, CORFOU, RISQUES SYSTEMIQUES, SA-CCR</t>
        </is>
      </c>
      <c r="AC434" s="231" t="inlineStr">
        <is>
          <t>ND</t>
        </is>
      </c>
      <c r="AD434" s="257" t="inlineStr">
        <is>
          <t>N</t>
        </is>
      </c>
      <c r="AE434" s="971" t="inlineStr">
        <is>
          <t>TRE203, 205, 207
TRE206
VAR*
INT</t>
        </is>
      </c>
      <c r="AF434" s="257" t="inlineStr">
        <is>
          <t>NA</t>
        </is>
      </c>
      <c r="AG434" s="258" t="inlineStr">
        <is>
          <t>NA</t>
        </is>
      </c>
      <c r="AH434" s="89" t="n"/>
      <c r="AI434" s="323" t="inlineStr">
        <is>
          <t>La donnée est obligatoire, si Type de risque [P1 2.0] = ‘VAR*'</t>
        </is>
      </c>
      <c r="AJ434" s="317" t="inlineStr">
        <is>
          <t>The data is mandatory, if Risk type [P1 2.0] = ‘VAR*'</t>
        </is>
      </c>
      <c r="AK434" s="257" t="n">
        <v>6</v>
      </c>
      <c r="AL434" s="366" t="inlineStr">
        <is>
          <t>TPS0809</t>
        </is>
      </c>
      <c r="AM434" s="318" t="inlineStr">
        <is>
          <t>Si elle est renseignée, la valeur doit être connue du Langage Commun associé</t>
        </is>
      </c>
      <c r="AN434" s="317" t="inlineStr">
        <is>
          <t>If specified, the value must be known to the associated Common Language</t>
        </is>
      </c>
      <c r="AO434" s="257" t="n">
        <v>7</v>
      </c>
      <c r="AP434" s="212" t="inlineStr">
        <is>
          <t>TIG0001</t>
        </is>
      </c>
      <c r="AQ434" s="318" t="n"/>
      <c r="AR434" s="317" t="n"/>
      <c r="AS434" s="257" t="n"/>
      <c r="AT434" s="258" t="n"/>
      <c r="AU434" s="318" t="n"/>
      <c r="AV434" s="317" t="n"/>
      <c r="AW434" s="257" t="n"/>
      <c r="AX434" s="258" t="n"/>
      <c r="AY434" s="318" t="n"/>
      <c r="AZ434" s="317" t="n"/>
      <c r="BA434" s="257" t="n"/>
      <c r="BB434" s="258" t="n"/>
      <c r="BC434" s="316" t="n"/>
      <c r="BD434" s="317" t="n"/>
      <c r="BE434" s="257" t="n"/>
      <c r="BF434" s="258" t="n"/>
      <c r="BG434" s="89" t="n"/>
      <c r="BH4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34">
        <f>_xlfn.LET(r,ROW(),oc,INDEX($A:$A,r),cv,TRIM(INDEX($Y:$Y,r)&amp;""),IF(oc&lt;&gt;"P1","",IF(cv="45","V45 - novo, nao alimentado pelo spool atual","V44 - alimentado pelo spool atual")))</f>
        <v/>
      </c>
    </row>
    <row r="435" ht="54" customFormat="1" customHeight="1" s="57">
      <c r="A435" s="325" t="inlineStr">
        <is>
          <t>P1</t>
        </is>
      </c>
      <c r="B435" s="326" t="n">
        <v>200</v>
      </c>
      <c r="C435" s="284" t="inlineStr">
        <is>
          <t>NA</t>
        </is>
      </c>
      <c r="D435" s="284" t="inlineStr">
        <is>
          <t>NA</t>
        </is>
      </c>
      <c r="E435" s="326" t="inlineStr">
        <is>
          <t>P1 9.99</t>
        </is>
      </c>
      <c r="F435" s="327" t="inlineStr">
        <is>
          <t>Filler</t>
        </is>
      </c>
      <c r="G435" s="327" t="inlineStr">
        <is>
          <t>Filler</t>
        </is>
      </c>
      <c r="H435" s="1493">
        <f>"RPAD( "&amp;SUBSTITUTE(SUBSTITUTE(E435," ","_"),".","_")&amp;","&amp;W435&amp;",' '); -- "&amp;E435</f>
        <v/>
      </c>
      <c r="I435" s="247" t="inlineStr">
        <is>
          <t>Zone libre</t>
        </is>
      </c>
      <c r="J435" s="245" t="inlineStr">
        <is>
          <t>Free zone</t>
        </is>
      </c>
      <c r="K435" s="284" t="inlineStr">
        <is>
          <t>NA</t>
        </is>
      </c>
      <c r="L435" s="284" t="inlineStr">
        <is>
          <t>NA</t>
        </is>
      </c>
      <c r="M435" s="1421" t="inlineStr">
        <is>
          <t>ZoneLibre9</t>
        </is>
      </c>
      <c r="N435" s="284" t="inlineStr">
        <is>
          <t>NA</t>
        </is>
      </c>
      <c r="O435" s="284" t="inlineStr">
        <is>
          <t>NA</t>
        </is>
      </c>
      <c r="P435" s="284" t="inlineStr">
        <is>
          <t>NA</t>
        </is>
      </c>
      <c r="Q435" s="284" t="inlineStr">
        <is>
          <t>NA</t>
        </is>
      </c>
      <c r="R435" s="247" t="inlineStr">
        <is>
          <t>Laisser à vide</t>
        </is>
      </c>
      <c r="S435" s="247" t="inlineStr">
        <is>
          <t>Leave empty</t>
        </is>
      </c>
      <c r="T435" s="326" t="inlineStr">
        <is>
          <t>ALPHA</t>
        </is>
      </c>
      <c r="U435" s="248" t="inlineStr">
        <is>
          <t>NA</t>
        </is>
      </c>
      <c r="V435" s="248" t="inlineStr">
        <is>
          <t>NA</t>
        </is>
      </c>
      <c r="W435" s="284" t="n">
        <v>30</v>
      </c>
      <c r="X435" s="244" t="inlineStr">
        <is>
          <t>NA</t>
        </is>
      </c>
      <c r="Y435" s="248" t="inlineStr">
        <is>
          <t>NA</t>
        </is>
      </c>
      <c r="Z435" s="248" t="inlineStr">
        <is>
          <t>NA</t>
        </is>
      </c>
      <c r="AA435" s="248" t="inlineStr">
        <is>
          <t>NA</t>
        </is>
      </c>
      <c r="AB435" s="284" t="inlineStr">
        <is>
          <t>NA</t>
        </is>
      </c>
      <c r="AC435" s="244" t="inlineStr">
        <is>
          <t>NA</t>
        </is>
      </c>
      <c r="AD435" s="284" t="inlineStr">
        <is>
          <t>N</t>
        </is>
      </c>
      <c r="AE435" s="284" t="inlineStr">
        <is>
          <t>NA</t>
        </is>
      </c>
      <c r="AF435" s="284" t="inlineStr">
        <is>
          <t>NA</t>
        </is>
      </c>
      <c r="AG435" s="285" t="inlineStr">
        <is>
          <t>NA</t>
        </is>
      </c>
      <c r="AH435" s="89" t="n"/>
      <c r="AI435" s="330" t="n"/>
      <c r="AJ435" s="331" t="n"/>
      <c r="AK435" s="284" t="n"/>
      <c r="AL435" s="285" t="n"/>
      <c r="AM435" s="331" t="n"/>
      <c r="AN435" s="331" t="n"/>
      <c r="AO435" s="284" t="n"/>
      <c r="AP435" s="285" t="n"/>
      <c r="AQ435" s="331" t="n"/>
      <c r="AR435" s="331" t="n"/>
      <c r="AS435" s="284" t="n"/>
      <c r="AT435" s="285" t="n"/>
      <c r="AU435" s="331" t="n"/>
      <c r="AV435" s="331" t="n"/>
      <c r="AW435" s="284" t="n"/>
      <c r="AX435" s="285" t="n"/>
      <c r="AY435" s="331" t="n"/>
      <c r="AZ435" s="331" t="n"/>
      <c r="BA435" s="284" t="n"/>
      <c r="BB435" s="285" t="n"/>
      <c r="BC435" s="330" t="n"/>
      <c r="BD435" s="331" t="n"/>
      <c r="BE435" s="284" t="n"/>
      <c r="BF435" s="285" t="n"/>
      <c r="BG435" s="89" t="n"/>
      <c r="BH4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35">
        <f>_xlfn.LET(r,ROW(),oc,INDEX($A:$A,r),cv,TRIM(INDEX($Y:$Y,r)&amp;""),IF(oc&lt;&gt;"P1","",IF(cv="45","V45 - novo, nao alimentado pelo spool atual","V44 - alimentado pelo spool atual")))</f>
        <v/>
      </c>
    </row>
    <row r="436" ht="54" customFormat="1" customHeight="1" s="91">
      <c r="A436" s="306" t="inlineStr">
        <is>
          <t>P1</t>
        </is>
      </c>
      <c r="B436" s="307" t="n">
        <v>201</v>
      </c>
      <c r="C436" s="269" t="inlineStr">
        <is>
          <t>14 - Caractéristiques Sous-jacent</t>
        </is>
      </c>
      <c r="D436" s="310" t="inlineStr">
        <is>
          <t>14 - Underlying characteristics</t>
        </is>
      </c>
      <c r="E436" s="307" t="inlineStr">
        <is>
          <t>P1 12.3</t>
        </is>
      </c>
      <c r="F436" s="1272" t="inlineStr">
        <is>
          <t>Référence du titre sous-jacent</t>
        </is>
      </c>
      <c r="G436" s="309" t="inlineStr">
        <is>
          <t>Underlying asset's reference</t>
        </is>
      </c>
      <c r="H436" s="1493">
        <f>"RPAD( "&amp;SUBSTITUTE(SUBSTITUTE(E436," ","_"),".","_")&amp;","&amp;W436&amp;",' '); -- "&amp;E436</f>
        <v/>
      </c>
      <c r="I436" s="308" t="inlineStr">
        <is>
          <t>En fonction du type, code ISIN, code CUSIP, code interne Crédit Agricole SA</t>
        </is>
      </c>
      <c r="J436" s="309" t="inlineStr">
        <is>
          <t>Depending on type, ISIN code, CUSIP code, and Crédit Agricole SA internal code</t>
        </is>
      </c>
      <c r="K436" s="370" t="inlineStr">
        <is>
          <t>ND</t>
        </is>
      </c>
      <c r="L436" s="371" t="inlineStr">
        <is>
          <t>ND</t>
        </is>
      </c>
      <c r="M436" s="1420" t="inlineStr">
        <is>
          <t>cdTitreSJ</t>
        </is>
      </c>
      <c r="N436" s="257" t="inlineStr">
        <is>
          <t>Obligatoire sous conditions</t>
        </is>
      </c>
      <c r="O436" s="310" t="inlineStr">
        <is>
          <t>Mandatory under conditions</t>
        </is>
      </c>
      <c r="P436" s="269" t="inlineStr">
        <is>
          <t>NA</t>
        </is>
      </c>
      <c r="Q436" s="269" t="inlineStr">
        <is>
          <t>NA</t>
        </is>
      </c>
      <c r="R436" s="1277" t="inlineStr">
        <is>
          <t>Nécessaire pour les EQU traités en IRB forfaitaire</t>
        </is>
      </c>
      <c r="S436" s="1009" t="inlineStr">
        <is>
          <t>Necessary for EQUs treated in flat IRB</t>
        </is>
      </c>
      <c r="T436" s="313" t="inlineStr">
        <is>
          <t>ALPHA</t>
        </is>
      </c>
      <c r="U436" s="237" t="inlineStr">
        <is>
          <t>NA</t>
        </is>
      </c>
      <c r="V436" s="238" t="inlineStr">
        <is>
          <t>NA</t>
        </is>
      </c>
      <c r="W436" s="397" t="n">
        <v>12</v>
      </c>
      <c r="X436" s="945" t="inlineStr">
        <is>
          <t>NA</t>
        </is>
      </c>
      <c r="Y436" s="237" t="n">
        <v>40</v>
      </c>
      <c r="Z436" s="237" t="inlineStr">
        <is>
          <t>NA</t>
        </is>
      </c>
      <c r="AA436" s="270" t="inlineStr">
        <is>
          <t>45.00</t>
        </is>
      </c>
      <c r="AB436" s="932" t="inlineStr">
        <is>
          <t>AER, ALMM, CALCULS PRUDENTIELS, CONGLOMERATS, CORFOU, DEI, ESG PILIER 3, LIQUIDITE, MREL, PALMA, PVA, RISQUES SYSTEMIQUES, SA-CCR, SHS, SRB VALUATION</t>
        </is>
      </c>
      <c r="AC436" s="231" t="inlineStr">
        <is>
          <t>ND</t>
        </is>
      </c>
      <c r="AD436" s="257" t="inlineStr">
        <is>
          <t>N</t>
        </is>
      </c>
      <c r="AE436" s="269" t="inlineStr">
        <is>
          <t>EQU101
ISS100,ISS200,ISS300
TRE2 à 4XX 
VAR (hors/except VAR105/302)
INT</t>
        </is>
      </c>
      <c r="AF436" s="257" t="inlineStr">
        <is>
          <t>NA</t>
        </is>
      </c>
      <c r="AG436" s="258" t="inlineStr">
        <is>
          <t>NA</t>
        </is>
      </c>
      <c r="AH436" s="89" t="n"/>
      <c r="AI436" s="1049" t="inlineStr">
        <is>
          <t>La donnée est obligatoire si le type de risque [P1 2.0] = 'EQU101', et si Nature du Sous-Jacent [P1 12.1] = '01'
---
La donnée est obligatoire si le type de risque [P1 2.0] = (ISS100, ISS200 ou ISS300) et si Nature du Sous-Jacent [P1 12.1] = (06, 07, 08, 09, 10, 11, 12, 15, 16, 30, 32)
---
La donnée est obligatoire si le type de risque [P1 2.0] = (VAR* hors VAR105/302, INT*) et si Nature du Sous-Jacent [P1 12.1] = (01, 04, 05, 12, 20, 22, 30, 31, 32, 34)
---
La donnée est obligatoire si le type de risque [P1 2.0] = (TRE203, TRE205, TRE206, TRE207) ET si la Nature du Sous-Jacent [P1 12.1] = (06, 07, 08, 09, 10, 11)</t>
        </is>
      </c>
      <c r="AJ436" s="931" t="inlineStr">
        <is>
          <t>The data is mandatory if Risk type [P1 2.0] = 'EQU101' and if the Nature of underlying [P1 12.1] = '01'
---
The data is mandatory if Risk type [P1 2.0] = (ISS100, ISS200 or ISS300) and if the Nature of underlying [P1 12.1] = (06, 07, 08, 09, 10, 11, 12, 15, 16, 30, 32)
---
The data is mandatory if Risk type [P1 2.0] = (VAR* except VAR105/302, INT*) and if the Nature of underlying [P1 12.1] = (01, 04, 05, 12, 20, 22, 30, 31, 32, 34)
---
The data is mandatory if Risk type [P1 2.0] = (TRE203, TRE205, TRE206, TRE207) AND if Nature of underlying [P1 12.1] = (06, 07, 08, 09, 10, 11)</t>
        </is>
      </c>
      <c r="AK436" s="932" t="n">
        <v>6</v>
      </c>
      <c r="AL436" s="1273" t="inlineStr">
        <is>
          <t>TPS0810
TPS0811
TPS0812
TPSxxx</t>
        </is>
      </c>
      <c r="AM436" s="318" t="n"/>
      <c r="AN436" s="317" t="n"/>
      <c r="AO436" s="257" t="n"/>
      <c r="AP436" s="258" t="n"/>
      <c r="AQ436" s="502" t="inlineStr">
        <is>
          <t>Si la donnée est renseignée, et si le Type d'identification des valeurs mobilières [P1 24.8] ='1', alors la donnée doit commencer par 2 caractères alphabétiques et avoir une longueur de 12 caractères avec un caractère numérique pour le dernier caractère ET la donnée doit être validée comme un code ISIN à l'aide de l'algorithme de Luhn</t>
        </is>
      </c>
      <c r="AR436" s="317" t="inlineStr">
        <is>
          <t>If filled in, and if Type of identification of marketable securities [P1 24.8]= '1', then the data must start with 2 alphabetic characters and have a length of 12 characters with a numeric character for the last character AND the data must be validated as an ISIN code using the Luhn algorithm</t>
        </is>
      </c>
      <c r="AS436" s="257" t="n">
        <v>6</v>
      </c>
      <c r="AT436" s="929" t="inlineStr">
        <is>
          <t>TVG0006</t>
        </is>
      </c>
      <c r="AU436" s="318" t="n"/>
      <c r="AV436" s="317" t="n"/>
      <c r="AW436" s="257" t="n"/>
      <c r="AX436" s="258" t="n"/>
      <c r="AY436" s="318" t="n"/>
      <c r="AZ436" s="317" t="n"/>
      <c r="BA436" s="257" t="n"/>
      <c r="BB436" s="258" t="n"/>
      <c r="BC436" s="316" t="n"/>
      <c r="BD436" s="317" t="n"/>
      <c r="BE436" s="257" t="n"/>
      <c r="BF436" s="258" t="n"/>
      <c r="BG436" s="89" t="n"/>
      <c r="BH4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36">
        <f>_xlfn.LET(r,ROW(),oc,INDEX($A:$A,r),cv,TRIM(INDEX($Y:$Y,r)&amp;""),IF(oc&lt;&gt;"P1","",IF(cv="45","V45 - novo, nao alimentado pelo spool atual","V44 - alimentado pelo spool atual")))</f>
        <v/>
      </c>
    </row>
    <row r="437" ht="54" customFormat="1" customHeight="1" s="91">
      <c r="A437" s="306" t="inlineStr">
        <is>
          <t>P1</t>
        </is>
      </c>
      <c r="B437" s="307" t="n">
        <v>202</v>
      </c>
      <c r="C437" s="269" t="inlineStr">
        <is>
          <t>14 - Caractéristiques Sous-jacent</t>
        </is>
      </c>
      <c r="D437" s="310" t="inlineStr">
        <is>
          <t>14 - Underlying characteristics</t>
        </is>
      </c>
      <c r="E437" s="307" t="inlineStr">
        <is>
          <t>P1 12.19</t>
        </is>
      </c>
      <c r="F437" s="308" t="inlineStr">
        <is>
          <t>Echelon de qualité de crédit du titre sous-jacent</t>
        </is>
      </c>
      <c r="G437" s="309" t="inlineStr">
        <is>
          <t>Underlying security credit quality level</t>
        </is>
      </c>
      <c r="H437" s="1493">
        <f>"RPAD( "&amp;SUBSTITUTE(SUBSTITUTE(E437," ","_"),".","_")&amp;","&amp;W437&amp;",' '); -- "&amp;E437</f>
        <v/>
      </c>
      <c r="I437" s="241" t="inlineStr">
        <is>
          <t xml:space="preserve">Correspond à l'échelon de qualité de crédit des titres </t>
        </is>
      </c>
      <c r="J437" s="309" t="inlineStr">
        <is>
          <t>Securities' credit quality level</t>
        </is>
      </c>
      <c r="K437" s="370" t="inlineStr">
        <is>
          <t>ND</t>
        </is>
      </c>
      <c r="L437" s="371" t="inlineStr">
        <is>
          <t>ND</t>
        </is>
      </c>
      <c r="M437" s="1420" t="inlineStr">
        <is>
          <t>cdEchelQaulTitreSsJac</t>
        </is>
      </c>
      <c r="N437" s="257" t="inlineStr">
        <is>
          <t>Obligatoire sous conditions</t>
        </is>
      </c>
      <c r="O437" s="236" t="inlineStr">
        <is>
          <t>Mandatory under conditions</t>
        </is>
      </c>
      <c r="P437" s="269" t="inlineStr">
        <is>
          <t>LC.0178</t>
        </is>
      </c>
      <c r="Q437" s="269" t="inlineStr">
        <is>
          <t>TA KVECHLON</t>
        </is>
      </c>
      <c r="R437" s="1276" t="inlineStr">
        <is>
          <t>Donnée facultative pour les types de risques ISS100, ISS200 et ISS300</t>
        </is>
      </c>
      <c r="S437" s="233" t="inlineStr">
        <is>
          <t>Optional data for risk types ISS100, ISS200 and ISS300</t>
        </is>
      </c>
      <c r="T437" s="313" t="inlineStr">
        <is>
          <t>ALPHA</t>
        </is>
      </c>
      <c r="U437" s="237" t="inlineStr">
        <is>
          <t>NA</t>
        </is>
      </c>
      <c r="V437" s="238" t="inlineStr">
        <is>
          <t>NA</t>
        </is>
      </c>
      <c r="W437" s="397" t="n">
        <v>1</v>
      </c>
      <c r="X437" s="945" t="inlineStr">
        <is>
          <t>NA</t>
        </is>
      </c>
      <c r="Y437" s="237" t="n">
        <v>40</v>
      </c>
      <c r="Z437" s="237" t="inlineStr">
        <is>
          <t>NA</t>
        </is>
      </c>
      <c r="AA437" s="270" t="inlineStr">
        <is>
          <t>45.00</t>
        </is>
      </c>
      <c r="AB437" s="994" t="inlineStr">
        <is>
          <t>CALCULS PRUDENTIELS, DEI</t>
        </is>
      </c>
      <c r="AC437" s="231" t="inlineStr">
        <is>
          <t>ND</t>
        </is>
      </c>
      <c r="AD437" s="257" t="inlineStr">
        <is>
          <t>N</t>
        </is>
      </c>
      <c r="AE437" s="1275" t="inlineStr">
        <is>
          <t xml:space="preserve">EQU101
ISS100, ISS200, ISS300
TRE203, 205, 206, 207
VAR*
</t>
        </is>
      </c>
      <c r="AF437" s="257" t="inlineStr">
        <is>
          <t>NA</t>
        </is>
      </c>
      <c r="AG437" s="258" t="inlineStr">
        <is>
          <t>NA</t>
        </is>
      </c>
      <c r="AH437" s="89" t="n"/>
      <c r="AI437" s="1274" t="inlineStr">
        <is>
          <t>La donnée est obligatoire si le type de risque [P1 2.0] = ‘TRE203, TRE205, TRE206, TRE207, VAR*' ET si la Référence du titre sous-jacent [P1 12.3] est renseignée</t>
        </is>
      </c>
      <c r="AJ437" s="931" t="inlineStr">
        <is>
          <t>The data is mandatory if Risk type [P1 2.0] = 'TRE203, TRE205, TRE206, TRE207,VAR*' AND if Underlying asset's reference [P1 12.3] is filled in</t>
        </is>
      </c>
      <c r="AK437" s="958" t="n">
        <v>6</v>
      </c>
      <c r="AL437" s="1273" t="inlineStr">
        <is>
          <t>TPSxxx (ex TPS0813/TPS0814)</t>
        </is>
      </c>
      <c r="AM437" s="318" t="inlineStr">
        <is>
          <t>Si elle est renseignée, la valeur doit être connue du Langage Commun associé</t>
        </is>
      </c>
      <c r="AN437" s="317" t="inlineStr">
        <is>
          <t>If specified, the value must be known to the associated Common Language</t>
        </is>
      </c>
      <c r="AO437" s="257" t="n">
        <v>7</v>
      </c>
      <c r="AP437" s="212" t="inlineStr">
        <is>
          <t>TIG0001</t>
        </is>
      </c>
      <c r="AQ437" s="318" t="n"/>
      <c r="AR437" s="317" t="n"/>
      <c r="AS437" s="257" t="n"/>
      <c r="AT437" s="258" t="n"/>
      <c r="AU437" s="318" t="n"/>
      <c r="AV437" s="317" t="n"/>
      <c r="AW437" s="257" t="n"/>
      <c r="AX437" s="258" t="n"/>
      <c r="AY437" s="318" t="n"/>
      <c r="AZ437" s="317" t="n"/>
      <c r="BA437" s="257" t="n"/>
      <c r="BB437" s="258" t="n"/>
      <c r="BC437" s="316" t="n"/>
      <c r="BD437" s="317" t="n"/>
      <c r="BE437" s="257" t="n"/>
      <c r="BF437" s="258" t="n"/>
      <c r="BG437" s="89" t="n"/>
      <c r="BH4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37">
        <f>_xlfn.LET(r,ROW(),oc,INDEX($A:$A,r),cv,TRIM(INDEX($Y:$Y,r)&amp;""),IF(oc&lt;&gt;"P1","",IF(cv="45","V45 - novo, nao alimentado pelo spool atual","V44 - alimentado pelo spool atual")))</f>
        <v/>
      </c>
    </row>
    <row r="438" ht="54" customFormat="1" customHeight="1" s="91">
      <c r="A438" s="306" t="inlineStr">
        <is>
          <t>P1</t>
        </is>
      </c>
      <c r="B438" s="307" t="n">
        <v>203</v>
      </c>
      <c r="C438" s="269" t="inlineStr">
        <is>
          <t>14 - Caractéristiques Sous-jacent</t>
        </is>
      </c>
      <c r="D438" s="310" t="inlineStr">
        <is>
          <t>14 - Underlying characteristics</t>
        </is>
      </c>
      <c r="E438" s="307" t="inlineStr">
        <is>
          <t>P1 12.6</t>
        </is>
      </c>
      <c r="F438" s="308" t="inlineStr">
        <is>
          <t>Date d'échéance du titre sous-jacent</t>
        </is>
      </c>
      <c r="G438" s="309" t="inlineStr">
        <is>
          <t>Security credit quality step due date</t>
        </is>
      </c>
      <c r="H438" s="1493">
        <f>"RPAD( "&amp;SUBSTITUTE(SUBSTITUTE(E438," ","_"),".","_")&amp;","&amp;W438&amp;",' '); -- "&amp;E438</f>
        <v/>
      </c>
      <c r="I438" s="241" t="inlineStr">
        <is>
          <t xml:space="preserve">Date d'échéance de l'émission du titre sous-jacent </t>
        </is>
      </c>
      <c r="J438" s="309" t="inlineStr">
        <is>
          <t xml:space="preserve">Underlying security's maturity date </t>
        </is>
      </c>
      <c r="K438" s="370" t="inlineStr">
        <is>
          <t>ND</t>
        </is>
      </c>
      <c r="L438" s="371" t="inlineStr">
        <is>
          <t>ND</t>
        </is>
      </c>
      <c r="M438" s="1420" t="inlineStr">
        <is>
          <t>cdEcheaTitreSsJac</t>
        </is>
      </c>
      <c r="N438" s="257" t="inlineStr">
        <is>
          <t>Obligatoire sous conditions</t>
        </is>
      </c>
      <c r="O438" s="236" t="inlineStr">
        <is>
          <t>Mandatory under conditions</t>
        </is>
      </c>
      <c r="P438" s="269" t="inlineStr">
        <is>
          <t>NA</t>
        </is>
      </c>
      <c r="Q438" s="269" t="inlineStr">
        <is>
          <t>NA</t>
        </is>
      </c>
      <c r="R438" s="241" t="inlineStr">
        <is>
          <t>NA</t>
        </is>
      </c>
      <c r="S438" s="233" t="inlineStr">
        <is>
          <t>NA</t>
        </is>
      </c>
      <c r="T438" s="206" t="inlineStr">
        <is>
          <t>DATE</t>
        </is>
      </c>
      <c r="U438" s="237" t="inlineStr">
        <is>
          <t>AAAAMMJJ</t>
        </is>
      </c>
      <c r="V438" s="238" t="inlineStr">
        <is>
          <t>YYYYMMDD</t>
        </is>
      </c>
      <c r="W438" s="397" t="n">
        <v>8</v>
      </c>
      <c r="X438" s="945" t="inlineStr">
        <is>
          <t>NA</t>
        </is>
      </c>
      <c r="Y438" s="237" t="n">
        <v>40</v>
      </c>
      <c r="Z438" s="237" t="inlineStr">
        <is>
          <t>NA</t>
        </is>
      </c>
      <c r="AA438" s="270" t="inlineStr">
        <is>
          <t>45.00</t>
        </is>
      </c>
      <c r="AB438" s="994" t="inlineStr">
        <is>
          <t>AER, CALCULS PRUDENTIELS, DEI, SA-CCR</t>
        </is>
      </c>
      <c r="AC438" s="231" t="inlineStr">
        <is>
          <t>ND</t>
        </is>
      </c>
      <c r="AD438" s="257" t="inlineStr">
        <is>
          <t>N</t>
        </is>
      </c>
      <c r="AE438" s="1275" t="inlineStr">
        <is>
          <t>TRE203, 205, 206, 207
VAR (hors/except VAR105/302)
INT</t>
        </is>
      </c>
      <c r="AF438" s="257" t="inlineStr">
        <is>
          <t>NA</t>
        </is>
      </c>
      <c r="AG438" s="258" t="inlineStr">
        <is>
          <t>NA</t>
        </is>
      </c>
      <c r="AH438" s="89" t="n"/>
      <c r="AI438" s="1274" t="inlineStr">
        <is>
          <t>La donnée est obligatoire si le type de risque [P1 2.0] = ‘TRE203, TRE205, TRE206, TRE207, VAR* (hors VAR105 et VAR302), INT*' ET si la Référence du titre sous-jacent [P1 12.3] est renseignée</t>
        </is>
      </c>
      <c r="AJ438" s="931" t="inlineStr">
        <is>
          <t>The data is mandatory if Risk type [P1 2.0] = 'TRE203, TRE205, TRE206, TRE207,VAR* (except VAR105 and VAR302), INT' AND if Underlying asset's reference [P1 12.3] is filled in</t>
        </is>
      </c>
      <c r="AK438" s="958" t="n">
        <v>6</v>
      </c>
      <c r="AL438" s="1273" t="inlineStr">
        <is>
          <t>TPSxxx (ex TPS0814/TPS0949)</t>
        </is>
      </c>
      <c r="AM438" s="318" t="n"/>
      <c r="AN438" s="317" t="n"/>
      <c r="AO438" s="257" t="n"/>
      <c r="AP438" s="258" t="n"/>
      <c r="AQ438" s="318" t="n"/>
      <c r="AR438" s="317" t="n"/>
      <c r="AS438" s="257" t="n"/>
      <c r="AT438" s="258" t="n"/>
      <c r="AU438" s="318" t="n"/>
      <c r="AV438" s="317" t="n"/>
      <c r="AW438" s="257" t="n"/>
      <c r="AX438" s="258" t="n"/>
      <c r="AY438" s="318" t="n"/>
      <c r="AZ438" s="317" t="n"/>
      <c r="BA438" s="257" t="n"/>
      <c r="BB438" s="258" t="n"/>
      <c r="BC438" s="316" t="n"/>
      <c r="BD438" s="317" t="n"/>
      <c r="BE438" s="257" t="n"/>
      <c r="BF438" s="258" t="n"/>
      <c r="BG438" s="89" t="n"/>
      <c r="BH4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38">
        <f>_xlfn.LET(r,ROW(),oc,INDEX($A:$A,r),cv,TRIM(INDEX($Y:$Y,r)&amp;""),IF(oc&lt;&gt;"P1","",IF(cv="45","V45 - novo, nao alimentado pelo spool atual","V44 - alimentado pelo spool atual")))</f>
        <v/>
      </c>
    </row>
    <row r="439" ht="54" customFormat="1" customHeight="1" s="91">
      <c r="A439" s="306" t="inlineStr">
        <is>
          <t>P1</t>
        </is>
      </c>
      <c r="B439" s="307" t="n">
        <v>204</v>
      </c>
      <c r="C439" s="269" t="inlineStr">
        <is>
          <t>14 - Caractéristiques Sous-jacent</t>
        </is>
      </c>
      <c r="D439" s="310" t="inlineStr">
        <is>
          <t>14 - Underlying characteristics</t>
        </is>
      </c>
      <c r="E439" s="307" t="inlineStr">
        <is>
          <t>P1 15.1</t>
        </is>
      </c>
      <c r="F439" s="308" t="inlineStr">
        <is>
          <t>Indice boursier auquel appartient le titre sous-jacent</t>
        </is>
      </c>
      <c r="G439" s="309" t="inlineStr">
        <is>
          <t xml:space="preserve">Stock index belonging to the underlying security </t>
        </is>
      </c>
      <c r="H439" s="1493">
        <f>"RPAD( "&amp;SUBSTITUTE(SUBSTITUTE(E439," ","_"),".","_")&amp;","&amp;W439&amp;",' '); -- "&amp;E439</f>
        <v/>
      </c>
      <c r="I439" s="241" t="inlineStr">
        <is>
          <t xml:space="preserve">Code de l'indice </t>
        </is>
      </c>
      <c r="J439" s="309" t="inlineStr">
        <is>
          <t>Index's code</t>
        </is>
      </c>
      <c r="K439" s="370" t="inlineStr">
        <is>
          <t>ND</t>
        </is>
      </c>
      <c r="L439" s="371" t="inlineStr">
        <is>
          <t>ND</t>
        </is>
      </c>
      <c r="M439" s="1420" t="inlineStr">
        <is>
          <t>indBoursTitreSsJac</t>
        </is>
      </c>
      <c r="N439" s="257" t="inlineStr">
        <is>
          <t>Obligatoire sous conditions</t>
        </is>
      </c>
      <c r="O439" s="236" t="inlineStr">
        <is>
          <t>Mandatory under conditions</t>
        </is>
      </c>
      <c r="P439" s="269" t="inlineStr">
        <is>
          <t>LC.0055</t>
        </is>
      </c>
      <c r="Q439" s="269" t="inlineStr">
        <is>
          <t>TA KVINDICE</t>
        </is>
      </c>
      <c r="R439" s="241" t="inlineStr">
        <is>
          <t>NA</t>
        </is>
      </c>
      <c r="S439" s="233" t="inlineStr">
        <is>
          <t>NA</t>
        </is>
      </c>
      <c r="T439" s="313" t="inlineStr">
        <is>
          <t>ALPHA</t>
        </is>
      </c>
      <c r="U439" s="237" t="inlineStr">
        <is>
          <t>NA</t>
        </is>
      </c>
      <c r="V439" s="238" t="inlineStr">
        <is>
          <t>NA</t>
        </is>
      </c>
      <c r="W439" s="397" t="n">
        <v>2</v>
      </c>
      <c r="X439" s="945" t="inlineStr">
        <is>
          <t>NA</t>
        </is>
      </c>
      <c r="Y439" s="237" t="n">
        <v>40</v>
      </c>
      <c r="Z439" s="237" t="inlineStr">
        <is>
          <t>NA</t>
        </is>
      </c>
      <c r="AA439" s="270" t="inlineStr">
        <is>
          <t>45.00</t>
        </is>
      </c>
      <c r="AB439" s="994" t="inlineStr">
        <is>
          <t>CALCULS PRUDENTIELS, DEI, SA-CCR</t>
        </is>
      </c>
      <c r="AC439" s="231" t="inlineStr">
        <is>
          <t>ND</t>
        </is>
      </c>
      <c r="AD439" s="257" t="inlineStr">
        <is>
          <t>N</t>
        </is>
      </c>
      <c r="AE439" s="257" t="inlineStr">
        <is>
          <t>EQU101
VAR (hors/except VAR105/302)
INT</t>
        </is>
      </c>
      <c r="AF439" s="257" t="inlineStr">
        <is>
          <t>NA</t>
        </is>
      </c>
      <c r="AG439" s="258" t="inlineStr">
        <is>
          <t>NA</t>
        </is>
      </c>
      <c r="AH439" s="89" t="n"/>
      <c r="AI439" s="1274" t="inlineStr">
        <is>
          <t>La donnée est obligatoire, si le Type de Risque [P1 2.0] = 'VAR* (hors VAR105 et VAR302), INT*' ET si la Référence du titre sous-jacent [P1 12.3] est renseignée</t>
        </is>
      </c>
      <c r="AJ439" s="931" t="inlineStr">
        <is>
          <t>The data is mandatory, if Risk type [P1 2.0] = 'VAR* (except VAR105 and VAR302), INT*' AND if Underlying asset's reference [P1 12.3] is filled in</t>
        </is>
      </c>
      <c r="AK439" s="958" t="n">
        <v>6</v>
      </c>
      <c r="AL439" s="1273" t="inlineStr">
        <is>
          <t>TPSxxx (ex TPS0815)</t>
        </is>
      </c>
      <c r="AM439" s="318" t="inlineStr">
        <is>
          <t>Si elle est renseignée, la valeur doit être connue du Langage Commun associé</t>
        </is>
      </c>
      <c r="AN439" s="317" t="inlineStr">
        <is>
          <t>If specified, the value must be known to the associated Common Language</t>
        </is>
      </c>
      <c r="AO439" s="257" t="n">
        <v>7</v>
      </c>
      <c r="AP439" s="212" t="inlineStr">
        <is>
          <t>TIG0001</t>
        </is>
      </c>
      <c r="AQ439" s="318" t="n"/>
      <c r="AR439" s="317" t="n"/>
      <c r="AS439" s="257" t="n"/>
      <c r="AT439" s="258" t="n"/>
      <c r="AU439" s="318" t="n"/>
      <c r="AV439" s="317" t="n"/>
      <c r="AW439" s="257" t="n"/>
      <c r="AX439" s="258" t="n"/>
      <c r="AY439" s="318" t="n"/>
      <c r="AZ439" s="317" t="n"/>
      <c r="BA439" s="257" t="n"/>
      <c r="BB439" s="258" t="n"/>
      <c r="BC439" s="316" t="n"/>
      <c r="BD439" s="317" t="n"/>
      <c r="BE439" s="257" t="n"/>
      <c r="BF439" s="258" t="n"/>
      <c r="BG439" s="89" t="n"/>
      <c r="BH4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39">
        <f>_xlfn.LET(r,ROW(),oc,INDEX($A:$A,r),cv,TRIM(INDEX($Y:$Y,r)&amp;""),IF(oc&lt;&gt;"P1","",IF(cv="45","V45 - novo, nao alimentado pelo spool atual","V44 - alimentado pelo spool atual")))</f>
        <v/>
      </c>
    </row>
    <row r="440" ht="54" customFormat="1" customHeight="1" s="91">
      <c r="A440" s="306" t="inlineStr">
        <is>
          <t>P1</t>
        </is>
      </c>
      <c r="B440" s="307" t="n">
        <v>205</v>
      </c>
      <c r="C440" s="269" t="inlineStr">
        <is>
          <t>14 - Caractéristiques Sous-jacent</t>
        </is>
      </c>
      <c r="D440" s="310" t="inlineStr">
        <is>
          <t>14 - Underlying characteristics</t>
        </is>
      </c>
      <c r="E440" s="307" t="inlineStr">
        <is>
          <t>P1 15.2</t>
        </is>
      </c>
      <c r="F440" s="1044" t="inlineStr">
        <is>
          <t>Localisation bourse de cotation du titre sous-jacent</t>
        </is>
      </c>
      <c r="G440" s="968" t="inlineStr">
        <is>
          <t>Location stock exchange listing of the underlying security</t>
        </is>
      </c>
      <c r="H440" s="1493">
        <f>"RPAD( "&amp;SUBSTITUTE(SUBSTITUTE(E440," ","_"),".","_")&amp;","&amp;W440&amp;",' '); -- "&amp;E440</f>
        <v/>
      </c>
      <c r="I440" s="241" t="inlineStr">
        <is>
          <t>Code du pays de la place boursière sur laquelle sont côtés les titres</t>
        </is>
      </c>
      <c r="J440" s="309" t="inlineStr">
        <is>
          <t>Country code of the stock exchange on which the securities are listed</t>
        </is>
      </c>
      <c r="K440" s="370" t="inlineStr">
        <is>
          <t>ND</t>
        </is>
      </c>
      <c r="L440" s="371" t="inlineStr">
        <is>
          <t>ND</t>
        </is>
      </c>
      <c r="M440" s="1420" t="inlineStr">
        <is>
          <t>cdBourseCotaTitreSsJac</t>
        </is>
      </c>
      <c r="N440" s="257" t="inlineStr">
        <is>
          <t>Obligatoire sous conditions</t>
        </is>
      </c>
      <c r="O440" s="236" t="inlineStr">
        <is>
          <t>Mandatory under conditions</t>
        </is>
      </c>
      <c r="P440" s="269" t="inlineStr">
        <is>
          <t>LC.0063</t>
        </is>
      </c>
      <c r="Q440" s="269" t="inlineStr">
        <is>
          <t>TA KVMARCHE</t>
        </is>
      </c>
      <c r="R440" s="1276" t="inlineStr">
        <is>
          <t>Donnée facultative pour les types de risques ISS100, ISS200 et ISS300</t>
        </is>
      </c>
      <c r="S440" s="233" t="inlineStr">
        <is>
          <t>Optional data for risk types ISS100, ISS200 and ISS300</t>
        </is>
      </c>
      <c r="T440" s="313" t="inlineStr">
        <is>
          <t>ALPHA</t>
        </is>
      </c>
      <c r="U440" s="237" t="inlineStr">
        <is>
          <t>NA</t>
        </is>
      </c>
      <c r="V440" s="238" t="inlineStr">
        <is>
          <t>NA</t>
        </is>
      </c>
      <c r="W440" s="397" t="n">
        <v>2</v>
      </c>
      <c r="X440" s="945" t="inlineStr">
        <is>
          <t>NA</t>
        </is>
      </c>
      <c r="Y440" s="237" t="n">
        <v>40</v>
      </c>
      <c r="Z440" s="237" t="inlineStr">
        <is>
          <t>NA</t>
        </is>
      </c>
      <c r="AA440" s="270" t="inlineStr">
        <is>
          <t>45.00</t>
        </is>
      </c>
      <c r="AB440" s="994" t="inlineStr">
        <is>
          <t>CALCULS PRUDENTIELS, DEI, SA-CCR</t>
        </is>
      </c>
      <c r="AC440" s="231" t="inlineStr">
        <is>
          <t>ND</t>
        </is>
      </c>
      <c r="AD440" s="257" t="inlineStr">
        <is>
          <t>N</t>
        </is>
      </c>
      <c r="AE440" s="1275" t="inlineStr">
        <is>
          <t>EQU101
ISS100,ISS200,ISS300
TRE203, 205, 206, 207
VAR (hors/except VAR105/302)
INT</t>
        </is>
      </c>
      <c r="AF440" s="257" t="inlineStr">
        <is>
          <t>NA</t>
        </is>
      </c>
      <c r="AG440" s="258" t="inlineStr">
        <is>
          <t>NA</t>
        </is>
      </c>
      <c r="AH440" s="89" t="n"/>
      <c r="AI440" s="1274" t="inlineStr">
        <is>
          <t>La donnée est obligatoire si le type de risque [P1 2.0] = ‘TRE203, TRE205, TRE206, TRE207, VAR* (hors VAR105 et VAR302), INT*' ET si la Référence du titre sous-jacent [P1 12.3] est renseignée</t>
        </is>
      </c>
      <c r="AJ440" s="931" t="inlineStr">
        <is>
          <t>The data is mandatory if Risk type [P1 2.0] = 'TRE203, TRE205, TRE206, TRE207,VAR* (except VAR105 and VAR302), INT' AND if Underlying asset's reference [P1 12.3] is filled in</t>
        </is>
      </c>
      <c r="AK440" s="958" t="n">
        <v>6</v>
      </c>
      <c r="AL440" s="1273" t="inlineStr">
        <is>
          <t>TPSxxx (ex TPS0816/TPS0817)</t>
        </is>
      </c>
      <c r="AM440" s="318" t="inlineStr">
        <is>
          <t>Si elle est renseignée, la valeur doit être connue du Langage Commun associé</t>
        </is>
      </c>
      <c r="AN440" s="317" t="inlineStr">
        <is>
          <t>If specified, the value must be known to the associated Common Language</t>
        </is>
      </c>
      <c r="AO440" s="257" t="n">
        <v>7</v>
      </c>
      <c r="AP440" s="212" t="inlineStr">
        <is>
          <t>TIG0001</t>
        </is>
      </c>
      <c r="AQ440" s="318" t="n"/>
      <c r="AR440" s="317" t="n"/>
      <c r="AS440" s="257" t="n"/>
      <c r="AT440" s="258" t="n"/>
      <c r="AU440" s="318" t="n"/>
      <c r="AV440" s="317" t="n"/>
      <c r="AW440" s="257" t="n"/>
      <c r="AX440" s="258" t="n"/>
      <c r="AY440" s="318" t="n"/>
      <c r="AZ440" s="317" t="n"/>
      <c r="BA440" s="257" t="n"/>
      <c r="BB440" s="258" t="n"/>
      <c r="BC440" s="316" t="n"/>
      <c r="BD440" s="317" t="n"/>
      <c r="BE440" s="257" t="n"/>
      <c r="BF440" s="258" t="n"/>
      <c r="BG440" s="89" t="n"/>
      <c r="BH4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40">
        <f>_xlfn.LET(r,ROW(),oc,INDEX($A:$A,r),cv,TRIM(INDEX($Y:$Y,r)&amp;""),IF(oc&lt;&gt;"P1","",IF(cv="45","V45 - novo, nao alimentado pelo spool atual","V44 - alimentado pelo spool atual")))</f>
        <v/>
      </c>
    </row>
    <row r="441" ht="54" customFormat="1" customHeight="1" s="91">
      <c r="A441" s="306" t="inlineStr">
        <is>
          <t>P1</t>
        </is>
      </c>
      <c r="B441" s="307" t="n">
        <v>206</v>
      </c>
      <c r="C441" s="269" t="inlineStr">
        <is>
          <t>14 - Caractéristiques Sous-jacent</t>
        </is>
      </c>
      <c r="D441" s="310" t="inlineStr">
        <is>
          <t>14 - Underlying characteristics</t>
        </is>
      </c>
      <c r="E441" s="307" t="inlineStr">
        <is>
          <t>P1 12.17</t>
        </is>
      </c>
      <c r="F441" s="537" t="inlineStr">
        <is>
          <t>Identifiant local du tiers émetteur du titre sous-jacent</t>
        </is>
      </c>
      <c r="G441" s="309" t="inlineStr">
        <is>
          <t xml:space="preserve">Local ID of the issuing counterparty of the underlying security </t>
        </is>
      </c>
      <c r="H441" s="1493">
        <f>"RPAD( "&amp;SUBSTITUTE(SUBSTITUTE(E441," ","_"),".","_")&amp;","&amp;W441&amp;",' '); -- "&amp;E441</f>
        <v/>
      </c>
      <c r="I441" s="241" t="inlineStr">
        <is>
          <t>Identifiant local du tiers émetteur du titre sous-jacent dans le système utilisé pour générer le flux</t>
        </is>
      </c>
      <c r="J441" s="309" t="inlineStr">
        <is>
          <t>Local identifier of the third party that issues the underlying security in the local system used to generate the flow</t>
        </is>
      </c>
      <c r="K441" s="370" t="inlineStr">
        <is>
          <t>ND</t>
        </is>
      </c>
      <c r="L441" s="371" t="inlineStr">
        <is>
          <t>ND</t>
        </is>
      </c>
      <c r="M441" s="1420" t="inlineStr">
        <is>
          <t>idLocalEmetTitreSsJac</t>
        </is>
      </c>
      <c r="N441" s="257" t="inlineStr">
        <is>
          <t>Obligatoire sous conditions</t>
        </is>
      </c>
      <c r="O441" s="236" t="inlineStr">
        <is>
          <t>Mandatory under conditions</t>
        </is>
      </c>
      <c r="P441" s="269" t="inlineStr">
        <is>
          <t>NA</t>
        </is>
      </c>
      <c r="Q441" s="269" t="inlineStr">
        <is>
          <t>NA</t>
        </is>
      </c>
      <c r="R441" s="538" t="inlineStr">
        <is>
          <t>Vérification présence d'un enregistrement de type C1 avec même identifiant dans le lot (Sauf entité émettrice d'un flux FTCA)
Le tiers en risque correspond à l'émetteur du titre. 
Identifiant pour les tiers 'ESJ' = Emetteur de titre - Sous-jacent</t>
        </is>
      </c>
      <c r="S441" s="233" t="inlineStr">
        <is>
          <t xml:space="preserve">Check that there is a C1-type record with the same identifier in the batch (except entity issuing a FTCA flow)
The third party in risk corresponds to the issuer of the security
ID for 'ESJ' counterparty = issuing counterparty
</t>
        </is>
      </c>
      <c r="T441" s="313" t="inlineStr">
        <is>
          <t>ALPHA</t>
        </is>
      </c>
      <c r="U441" s="237" t="inlineStr">
        <is>
          <t>NA</t>
        </is>
      </c>
      <c r="V441" s="238" t="inlineStr">
        <is>
          <t>NA</t>
        </is>
      </c>
      <c r="W441" s="397" t="n">
        <v>20</v>
      </c>
      <c r="X441" s="945" t="inlineStr">
        <is>
          <t>NA</t>
        </is>
      </c>
      <c r="Y441" s="237" t="n">
        <v>40</v>
      </c>
      <c r="Z441" s="237" t="inlineStr">
        <is>
          <t>NA</t>
        </is>
      </c>
      <c r="AA441" s="270" t="inlineStr">
        <is>
          <t>NA</t>
        </is>
      </c>
      <c r="AB441" s="994" t="inlineStr">
        <is>
          <t>AER, CONGLOMERATS, DEI, YOSHIKUNI</t>
        </is>
      </c>
      <c r="AC441" s="231" t="inlineStr">
        <is>
          <t>ND</t>
        </is>
      </c>
      <c r="AD441" s="257" t="inlineStr">
        <is>
          <t>N</t>
        </is>
      </c>
      <c r="AE441" s="257" t="inlineStr">
        <is>
          <t>TRE203, 205, 207
TRE206
VAR (hors Repos)
INT</t>
        </is>
      </c>
      <c r="AF441" s="257" t="inlineStr">
        <is>
          <t>NA</t>
        </is>
      </c>
      <c r="AG441" s="258" t="inlineStr">
        <is>
          <t>NA</t>
        </is>
      </c>
      <c r="AH441" s="89" t="n"/>
      <c r="AI441" s="316" t="inlineStr">
        <is>
          <t>La donnée est obligatoire si le type de risque [P1 2.0] = (TRE203, TRE205, TRE206, TRE207) ET si la Nature du Sous-Jacent [P1 12.1] = (06, 07, 08, 09, 10, 11)
---
La donnée est obligatoire si le type de risque [P1 2.0] = (VAR* hors VAR105/302, INT*) et si la nature du sous-jacent [P1 12.1] = (01, 04, 05, 06, 07, 08, 09, 10, 11, 32)</t>
        </is>
      </c>
      <c r="AJ441" s="317" t="inlineStr">
        <is>
          <t>The data is mandatory if Risk type [P1 2.0] = (TRE203, TRE205, TRE206, TRE207) AND if Nature of underlying [P1 12.1] = (06, 07, 08, 09, 10, 11)
---
The data is mandatory if Risk type [P1 2.0] = (VAR* except VAR105/302, INT*) and if Nature of underlying [P1 12.1] = (01, 04, 05, 06, 07, 08, 09, 10, 11, 32)</t>
        </is>
      </c>
      <c r="AK441" s="257" t="n">
        <v>6</v>
      </c>
      <c r="AL441" s="378" t="inlineStr">
        <is>
          <t>TPS0814
TPS0838</t>
        </is>
      </c>
      <c r="AM441" s="318" t="n"/>
      <c r="AN441" s="317" t="n"/>
      <c r="AO441" s="257" t="n"/>
      <c r="AP441" s="258" t="n"/>
      <c r="AQ441" s="318" t="n"/>
      <c r="AR441" s="317" t="n"/>
      <c r="AS441" s="257" t="n"/>
      <c r="AT441" s="258" t="n"/>
      <c r="AU441" s="318" t="n"/>
      <c r="AV441" s="317" t="n"/>
      <c r="AW441" s="257" t="n"/>
      <c r="AX441" s="258" t="n"/>
      <c r="AY441" s="337" t="inlineStr">
        <is>
          <t>Le tiers doit exister (présence du tiers dans TIGRE)</t>
        </is>
      </c>
      <c r="AZ441" s="317" t="inlineStr">
        <is>
          <t>The third-party must exist (presence of the third-party in TIGRE)</t>
        </is>
      </c>
      <c r="BA441" s="257" t="n">
        <v>6</v>
      </c>
      <c r="BB441" s="338" t="inlineStr">
        <is>
          <t>TIG0002</t>
        </is>
      </c>
      <c r="BC441" s="316" t="n"/>
      <c r="BD441" s="317" t="n"/>
      <c r="BE441" s="257" t="n"/>
      <c r="BF441" s="258" t="n"/>
      <c r="BG441" s="89" t="n"/>
      <c r="BH4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41">
        <f>_xlfn.LET(r,ROW(),oc,INDEX($A:$A,r),cv,TRIM(INDEX($Y:$Y,r)&amp;""),IF(oc&lt;&gt;"P1","",IF(cv="45","V45 - novo, nao alimentado pelo spool atual","V44 - alimentado pelo spool atual")))</f>
        <v/>
      </c>
    </row>
    <row r="442" ht="54" customFormat="1" customHeight="1" s="91">
      <c r="A442" s="306" t="inlineStr">
        <is>
          <t>P1</t>
        </is>
      </c>
      <c r="B442" s="307" t="n">
        <v>207</v>
      </c>
      <c r="C442" s="269" t="inlineStr">
        <is>
          <t>14 - Caractéristiques Sous-jacent</t>
        </is>
      </c>
      <c r="D442" s="310" t="inlineStr">
        <is>
          <t>14 - Underlying characteristics</t>
        </is>
      </c>
      <c r="E442" s="307" t="inlineStr">
        <is>
          <t>P1 12.18</t>
        </is>
      </c>
      <c r="F442" s="308" t="inlineStr">
        <is>
          <t>Identifiant central du tiers émetteur du titre sous-jacent</t>
        </is>
      </c>
      <c r="G442" s="309" t="inlineStr">
        <is>
          <t>Central ID of the issuing counterparty of the underlying security</t>
        </is>
      </c>
      <c r="H442" s="1493">
        <f>"RPAD( "&amp;SUBSTITUTE(SUBSTITUTE(E442," ","_"),".","_")&amp;","&amp;W442&amp;",' '); -- "&amp;E442</f>
        <v/>
      </c>
      <c r="I442" s="241" t="inlineStr">
        <is>
          <t>Identifiant du tiers émetteur du titre sous-jacent dans le système central DRG</t>
        </is>
      </c>
      <c r="J442" s="309" t="inlineStr">
        <is>
          <t>Identifier of the third party that issues the underlying security in the central DRG system</t>
        </is>
      </c>
      <c r="K442" s="370" t="inlineStr">
        <is>
          <t>ND</t>
        </is>
      </c>
      <c r="L442" s="371" t="inlineStr">
        <is>
          <t>ND</t>
        </is>
      </c>
      <c r="M442" s="1420" t="inlineStr">
        <is>
          <t>idCentralEmetTitreSsJac</t>
        </is>
      </c>
      <c r="N442" s="257" t="inlineStr">
        <is>
          <t>Facultatif</t>
        </is>
      </c>
      <c r="O442" s="236" t="inlineStr">
        <is>
          <t>Optional</t>
        </is>
      </c>
      <c r="P442" s="269" t="inlineStr">
        <is>
          <t>NA</t>
        </is>
      </c>
      <c r="Q442" s="269" t="inlineStr">
        <is>
          <t>NA</t>
        </is>
      </c>
      <c r="R442" s="241" t="inlineStr">
        <is>
          <t>Identifiant central fourni par la DRG dans le fichier mensuel Référentiel ‘Tiers&amp;Groupes' (DTG) transmis aux entités émettrices du flux.
Le tiers en risque correspond à l'émetteur du titre.
Obligatoire pour une entité émettrice d'un flux FTCA</t>
        </is>
      </c>
      <c r="S442" s="233" t="inlineStr">
        <is>
          <t>Central identifier provided by the DRG in the monthly "Third Party&amp;Group" repository (DTG) file sent to the flow issuing .
The third party in risk corresponds to the issuer of the security.
Mandatory for an entity issuing a FTCA flow</t>
        </is>
      </c>
      <c r="T442" s="313" t="inlineStr">
        <is>
          <t>ALPHA</t>
        </is>
      </c>
      <c r="U442" s="237" t="inlineStr">
        <is>
          <t>NA</t>
        </is>
      </c>
      <c r="V442" s="238" t="inlineStr">
        <is>
          <t>NA</t>
        </is>
      </c>
      <c r="W442" s="397" t="n">
        <v>10</v>
      </c>
      <c r="X442" s="945" t="inlineStr">
        <is>
          <t>NA</t>
        </is>
      </c>
      <c r="Y442" s="237" t="n">
        <v>40</v>
      </c>
      <c r="Z442" s="237" t="inlineStr">
        <is>
          <t>NA</t>
        </is>
      </c>
      <c r="AA442" s="270" t="inlineStr">
        <is>
          <t>45.00</t>
        </is>
      </c>
      <c r="AB442" s="994" t="inlineStr">
        <is>
          <t>AER, ASTRE, CALCULS PRUDENTIELS, CONGLOMERATS, DEI, YOSHIKUNI</t>
        </is>
      </c>
      <c r="AC442" s="231" t="inlineStr">
        <is>
          <t>ND</t>
        </is>
      </c>
      <c r="AD442" s="257" t="inlineStr">
        <is>
          <t>N</t>
        </is>
      </c>
      <c r="AE442" s="257" t="inlineStr">
        <is>
          <t>TRE203, 205, 207
TRE206
VAR (hors Repos)
INT</t>
        </is>
      </c>
      <c r="AF442" s="257" t="inlineStr">
        <is>
          <t>NA</t>
        </is>
      </c>
      <c r="AG442" s="258" t="inlineStr">
        <is>
          <t>NA</t>
        </is>
      </c>
      <c r="AH442" s="89" t="n"/>
      <c r="AI442" s="316" t="n"/>
      <c r="AJ442" s="317" t="n"/>
      <c r="AK442" s="257" t="n"/>
      <c r="AL442" s="258" t="n"/>
      <c r="AM442" s="318" t="n"/>
      <c r="AN442" s="317" t="n"/>
      <c r="AO442" s="257" t="n"/>
      <c r="AP442" s="258" t="n"/>
      <c r="AQ442" s="318" t="n"/>
      <c r="AR442" s="317" t="n"/>
      <c r="AS442" s="257" t="n"/>
      <c r="AT442" s="258" t="n"/>
      <c r="AU442" s="318" t="n"/>
      <c r="AV442" s="317" t="n"/>
      <c r="AW442" s="257" t="n"/>
      <c r="AX442" s="258" t="n"/>
      <c r="AY442" s="1180" t="inlineStr">
        <is>
          <t>S'il est renseigné, l'identifiant doit correspondre à un enregistrement dans l'objet associé, indépendamment de l'entité
---
La donnée doit être présente dans TIGRE
---
Le couple identifiant local / central (P1 12.17 et P1 12.18) doit exister dans TIGRE</t>
        </is>
      </c>
      <c r="AZ442" s="931" t="inlineStr">
        <is>
          <t>If it is filled in, the identifier must correspond to a record in the associated object, regardless of the entity
---
Data must be present in TIGRE
---
The local/central identifier pair (P1 12.17 and P1 12.18) must exist in TIGRE</t>
        </is>
      </c>
      <c r="BA442" s="1181" t="inlineStr">
        <is>
          <t>7
6
6</t>
        </is>
      </c>
      <c r="BB442" s="1182" t="inlineStr">
        <is>
          <t>TI0003
TIG0002
TIG0004</t>
        </is>
      </c>
      <c r="BC442" s="316" t="n"/>
      <c r="BD442" s="317" t="n"/>
      <c r="BE442" s="257" t="n"/>
      <c r="BF442" s="258" t="n"/>
      <c r="BG442" s="89" t="n"/>
      <c r="BH4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42">
        <f>_xlfn.LET(r,ROW(),oc,INDEX($A:$A,r),cv,TRIM(INDEX($Y:$Y,r)&amp;""),IF(oc&lt;&gt;"P1","",IF(cv="45","V45 - novo, nao alimentado pelo spool atual","V44 - alimentado pelo spool atual")))</f>
        <v/>
      </c>
    </row>
    <row r="443" ht="54" customFormat="1" customHeight="1" s="57">
      <c r="A443" s="325" t="inlineStr">
        <is>
          <t>P1</t>
        </is>
      </c>
      <c r="B443" s="326" t="n">
        <v>208</v>
      </c>
      <c r="C443" s="284" t="inlineStr">
        <is>
          <t>NA</t>
        </is>
      </c>
      <c r="D443" s="284" t="inlineStr">
        <is>
          <t>NA</t>
        </is>
      </c>
      <c r="E443" s="326" t="inlineStr">
        <is>
          <t>P1 10.99</t>
        </is>
      </c>
      <c r="F443" s="327" t="inlineStr">
        <is>
          <t>Filler</t>
        </is>
      </c>
      <c r="G443" s="327" t="inlineStr">
        <is>
          <t>Filler</t>
        </is>
      </c>
      <c r="H443" s="1493">
        <f>"RPAD( "&amp;SUBSTITUTE(SUBSTITUTE(E443," ","_"),".","_")&amp;","&amp;W443&amp;",' '); -- "&amp;E443</f>
        <v/>
      </c>
      <c r="I443" s="247" t="inlineStr">
        <is>
          <t>Zone libre</t>
        </is>
      </c>
      <c r="J443" s="327" t="inlineStr">
        <is>
          <t>Free zone</t>
        </is>
      </c>
      <c r="K443" s="388" t="inlineStr">
        <is>
          <t>NA</t>
        </is>
      </c>
      <c r="L443" s="388" t="inlineStr">
        <is>
          <t>NA</t>
        </is>
      </c>
      <c r="M443" s="1421" t="inlineStr">
        <is>
          <t>ZoneLibre10</t>
        </is>
      </c>
      <c r="N443" s="284" t="inlineStr">
        <is>
          <t>NA</t>
        </is>
      </c>
      <c r="O443" s="284" t="inlineStr">
        <is>
          <t>NA</t>
        </is>
      </c>
      <c r="P443" s="284" t="inlineStr">
        <is>
          <t>NA</t>
        </is>
      </c>
      <c r="Q443" s="284" t="inlineStr">
        <is>
          <t>NA</t>
        </is>
      </c>
      <c r="R443" s="247" t="inlineStr">
        <is>
          <t>Laisser à vide</t>
        </is>
      </c>
      <c r="S443" s="247" t="inlineStr">
        <is>
          <t>Leave empty</t>
        </is>
      </c>
      <c r="T443" s="326" t="inlineStr">
        <is>
          <t>ALPHA</t>
        </is>
      </c>
      <c r="U443" s="248" t="inlineStr">
        <is>
          <t>NA</t>
        </is>
      </c>
      <c r="V443" s="248" t="inlineStr">
        <is>
          <t>NA</t>
        </is>
      </c>
      <c r="W443" s="284" t="n">
        <v>24</v>
      </c>
      <c r="X443" s="244" t="inlineStr">
        <is>
          <t>NA</t>
        </is>
      </c>
      <c r="Y443" s="248" t="inlineStr">
        <is>
          <t>NA</t>
        </is>
      </c>
      <c r="Z443" s="248" t="inlineStr">
        <is>
          <t>NA</t>
        </is>
      </c>
      <c r="AA443" s="248" t="inlineStr">
        <is>
          <t>NA</t>
        </is>
      </c>
      <c r="AB443" s="284" t="inlineStr">
        <is>
          <t>NA</t>
        </is>
      </c>
      <c r="AC443" s="244" t="inlineStr">
        <is>
          <t>NA</t>
        </is>
      </c>
      <c r="AD443" s="284" t="inlineStr">
        <is>
          <t>N</t>
        </is>
      </c>
      <c r="AE443" s="284" t="inlineStr">
        <is>
          <t>NA</t>
        </is>
      </c>
      <c r="AF443" s="284" t="inlineStr">
        <is>
          <t>NA</t>
        </is>
      </c>
      <c r="AG443" s="285" t="inlineStr">
        <is>
          <t>NA</t>
        </is>
      </c>
      <c r="AH443" s="89" t="n"/>
      <c r="AI443" s="330" t="n"/>
      <c r="AJ443" s="331" t="n"/>
      <c r="AK443" s="284" t="n"/>
      <c r="AL443" s="285" t="n"/>
      <c r="AM443" s="331" t="n"/>
      <c r="AN443" s="331" t="n"/>
      <c r="AO443" s="284" t="n"/>
      <c r="AP443" s="285" t="n"/>
      <c r="AQ443" s="331" t="n"/>
      <c r="AR443" s="331" t="n"/>
      <c r="AS443" s="284" t="n"/>
      <c r="AT443" s="285" t="n"/>
      <c r="AU443" s="331" t="n"/>
      <c r="AV443" s="331" t="n"/>
      <c r="AW443" s="284" t="n"/>
      <c r="AX443" s="285" t="n"/>
      <c r="AY443" s="331" t="n"/>
      <c r="AZ443" s="331" t="n"/>
      <c r="BA443" s="284" t="n"/>
      <c r="BB443" s="285" t="n"/>
      <c r="BC443" s="330" t="n"/>
      <c r="BD443" s="331" t="n"/>
      <c r="BE443" s="284" t="n"/>
      <c r="BF443" s="285" t="n"/>
      <c r="BG443" s="89" t="n"/>
      <c r="BH4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43">
        <f>_xlfn.LET(r,ROW(),oc,INDEX($A:$A,r),cv,TRIM(INDEX($Y:$Y,r)&amp;""),IF(oc&lt;&gt;"P1","",IF(cv="45","V45 - novo, nao alimentado pelo spool atual","V44 - alimentado pelo spool atual")))</f>
        <v/>
      </c>
    </row>
    <row r="444" ht="54" customFormat="1" customHeight="1" s="91">
      <c r="A444" s="306" t="inlineStr">
        <is>
          <t>P1</t>
        </is>
      </c>
      <c r="B444" s="307" t="n">
        <v>209</v>
      </c>
      <c r="C444" s="269" t="inlineStr">
        <is>
          <t>09 - Caractéristiques Dérivés</t>
        </is>
      </c>
      <c r="D444" s="310" t="inlineStr">
        <is>
          <t>09 - Derivative characteristics</t>
        </is>
      </c>
      <c r="E444" s="307" t="inlineStr">
        <is>
          <t>P1 3.89</t>
        </is>
      </c>
      <c r="F444" s="308" t="inlineStr">
        <is>
          <t>Méthode réglementaire de calcul de l'exposition</t>
        </is>
      </c>
      <c r="G444" s="309" t="inlineStr">
        <is>
          <t>Regulatory method for calculating the exposure</t>
        </is>
      </c>
      <c r="H444" s="1493">
        <f>"RPAD( "&amp;SUBSTITUTE(SUBSTITUTE(E444," ","_"),".","_")&amp;","&amp;W444&amp;",' '); -- "&amp;E444</f>
        <v/>
      </c>
      <c r="I444" s="241" t="inlineStr">
        <is>
          <t>Méthode réglementaire du calcul de l'exposition</t>
        </is>
      </c>
      <c r="J444" s="309" t="inlineStr">
        <is>
          <t xml:space="preserve">Regulatory method for calculating the exposure </t>
        </is>
      </c>
      <c r="K444" s="370" t="inlineStr">
        <is>
          <t>ND</t>
        </is>
      </c>
      <c r="L444" s="371" t="inlineStr">
        <is>
          <t>ND</t>
        </is>
      </c>
      <c r="M444" s="1420" t="inlineStr">
        <is>
          <t>cdCalcExpo</t>
        </is>
      </c>
      <c r="N444" s="449" t="inlineStr">
        <is>
          <t>Obligatoire sous conditions</t>
        </is>
      </c>
      <c r="O444" s="236" t="inlineStr">
        <is>
          <t>Mandatory under conditions</t>
        </is>
      </c>
      <c r="P444" s="269" t="inlineStr">
        <is>
          <t>LC.0236</t>
        </is>
      </c>
      <c r="Q444" s="269" t="inlineStr">
        <is>
          <t>TA KVMRCE</t>
        </is>
      </c>
      <c r="R444" s="241" t="inlineStr">
        <is>
          <t>NA</t>
        </is>
      </c>
      <c r="S444" s="233" t="inlineStr">
        <is>
          <t>NA</t>
        </is>
      </c>
      <c r="T444" s="313" t="inlineStr">
        <is>
          <t>ALPHA</t>
        </is>
      </c>
      <c r="U444" s="237" t="inlineStr">
        <is>
          <t>NA</t>
        </is>
      </c>
      <c r="V444" s="238" t="inlineStr">
        <is>
          <t>NA</t>
        </is>
      </c>
      <c r="W444" s="257" t="n">
        <v>3</v>
      </c>
      <c r="X444" s="945" t="inlineStr">
        <is>
          <t>NA</t>
        </is>
      </c>
      <c r="Y444" s="237" t="n">
        <v>41</v>
      </c>
      <c r="Z444" s="237" t="inlineStr">
        <is>
          <t>NA</t>
        </is>
      </c>
      <c r="AA444" s="270" t="inlineStr">
        <is>
          <t>NA</t>
        </is>
      </c>
      <c r="AB444" s="1286" t="inlineStr">
        <is>
          <t>CALCULS PRUDENTIELS</t>
        </is>
      </c>
      <c r="AC444" s="231" t="inlineStr">
        <is>
          <t>ND</t>
        </is>
      </c>
      <c r="AD444" s="257" t="inlineStr">
        <is>
          <t>N</t>
        </is>
      </c>
      <c r="AE444" s="971" t="inlineStr">
        <is>
          <t>VAR*</t>
        </is>
      </c>
      <c r="AF444" s="257" t="inlineStr">
        <is>
          <t>NA</t>
        </is>
      </c>
      <c r="AG444" s="258" t="inlineStr">
        <is>
          <t>NA</t>
        </is>
      </c>
      <c r="AH444" s="89" t="n"/>
      <c r="AI444" s="353" t="inlineStr">
        <is>
          <t>La donnée est obligatoire, si Type de risque [P1 2.0] = ‘VAR*'</t>
        </is>
      </c>
      <c r="AJ444" s="317" t="inlineStr">
        <is>
          <t>The data is mandatory, if Risk type [P1 2.0] = ‘VAR*'</t>
        </is>
      </c>
      <c r="AK444" s="257" t="n">
        <v>6</v>
      </c>
      <c r="AL444" s="366" t="inlineStr">
        <is>
          <t>TPS0809</t>
        </is>
      </c>
      <c r="AM444" s="318" t="inlineStr">
        <is>
          <t>Si elle est renseignée, la valeur doit être connue du Langage Commun associé</t>
        </is>
      </c>
      <c r="AN444" s="317" t="inlineStr">
        <is>
          <t>If specified, the value must be known to the associated Common Language</t>
        </is>
      </c>
      <c r="AO444" s="257" t="n">
        <v>7</v>
      </c>
      <c r="AP444" s="212" t="inlineStr">
        <is>
          <t>TIG0001</t>
        </is>
      </c>
      <c r="AQ444" s="318" t="n"/>
      <c r="AR444" s="317" t="n"/>
      <c r="AS444" s="257" t="n"/>
      <c r="AT444" s="258" t="n"/>
      <c r="AU444" s="318" t="n"/>
      <c r="AV444" s="317" t="n"/>
      <c r="AW444" s="257" t="n"/>
      <c r="AX444" s="258" t="n"/>
      <c r="AY444" s="318" t="n"/>
      <c r="AZ444" s="317" t="n"/>
      <c r="BA444" s="257" t="n"/>
      <c r="BB444" s="258" t="n"/>
      <c r="BC444" s="316" t="n"/>
      <c r="BD444" s="317" t="n"/>
      <c r="BE444" s="257" t="n"/>
      <c r="BF444" s="258" t="n"/>
      <c r="BG444" s="89" t="n"/>
      <c r="BH4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44">
        <f>_xlfn.LET(r,ROW(),oc,INDEX($A:$A,r),cv,TRIM(INDEX($Y:$Y,r)&amp;""),IF(oc&lt;&gt;"P1","",IF(cv="45","V45 - novo, nao alimentado pelo spool atual","V44 - alimentado pelo spool atual")))</f>
        <v/>
      </c>
    </row>
    <row r="445" ht="54" customFormat="1" customHeight="1" s="91">
      <c r="A445" s="306" t="inlineStr">
        <is>
          <t>P1</t>
        </is>
      </c>
      <c r="B445" s="307" t="n">
        <v>210</v>
      </c>
      <c r="C445" s="269" t="inlineStr">
        <is>
          <t>09 - Caractéristiques Dérivés</t>
        </is>
      </c>
      <c r="D445" s="310" t="inlineStr">
        <is>
          <t>09 - Derivative characteristics</t>
        </is>
      </c>
      <c r="E445" s="307" t="inlineStr">
        <is>
          <t>P1 3.90</t>
        </is>
      </c>
      <c r="F445" s="308" t="inlineStr">
        <is>
          <t>Méthode de calcul CVA</t>
        </is>
      </c>
      <c r="G445" s="309" t="inlineStr">
        <is>
          <t>CVA (credit valuation adjustment) calculation method</t>
        </is>
      </c>
      <c r="H445" s="1493">
        <f>"RPAD( "&amp;SUBSTITUTE(SUBSTITUTE(E445," ","_"),".","_")&amp;","&amp;W445&amp;",' '); -- "&amp;E445</f>
        <v/>
      </c>
      <c r="I445" s="241" t="inlineStr">
        <is>
          <t>Méthode de calcul CVA</t>
        </is>
      </c>
      <c r="J445" s="309" t="inlineStr">
        <is>
          <t>CVA calculation method</t>
        </is>
      </c>
      <c r="K445" s="370" t="inlineStr">
        <is>
          <t>ND</t>
        </is>
      </c>
      <c r="L445" s="371" t="inlineStr">
        <is>
          <t>ND</t>
        </is>
      </c>
      <c r="M445" s="1420" t="inlineStr">
        <is>
          <t>cdCalCVA</t>
        </is>
      </c>
      <c r="N445" s="449" t="inlineStr">
        <is>
          <t>Obligatoire sous conditions</t>
        </is>
      </c>
      <c r="O445" s="236" t="inlineStr">
        <is>
          <t>Mandatory under conditions</t>
        </is>
      </c>
      <c r="P445" s="269" t="inlineStr">
        <is>
          <t>LC.0238</t>
        </is>
      </c>
      <c r="Q445" s="269" t="inlineStr">
        <is>
          <t>TA KVMETCVA</t>
        </is>
      </c>
      <c r="R445" s="241" t="inlineStr">
        <is>
          <t>NA</t>
        </is>
      </c>
      <c r="S445" s="233" t="inlineStr">
        <is>
          <t>NA</t>
        </is>
      </c>
      <c r="T445" s="313" t="inlineStr">
        <is>
          <t>ALPHA</t>
        </is>
      </c>
      <c r="U445" s="237" t="inlineStr">
        <is>
          <t>NA</t>
        </is>
      </c>
      <c r="V445" s="238" t="inlineStr">
        <is>
          <t>NA</t>
        </is>
      </c>
      <c r="W445" s="257" t="n">
        <v>3</v>
      </c>
      <c r="X445" s="945" t="inlineStr">
        <is>
          <t>NA</t>
        </is>
      </c>
      <c r="Y445" s="237" t="n">
        <v>41</v>
      </c>
      <c r="Z445" s="237" t="inlineStr">
        <is>
          <t>NA</t>
        </is>
      </c>
      <c r="AA445" s="270" t="inlineStr">
        <is>
          <t>NA</t>
        </is>
      </c>
      <c r="AB445" s="1286" t="inlineStr">
        <is>
          <t>CALCULS PRUDENTIELS</t>
        </is>
      </c>
      <c r="AC445" s="231" t="inlineStr">
        <is>
          <t>ND</t>
        </is>
      </c>
      <c r="AD445" s="257" t="inlineStr">
        <is>
          <t>N</t>
        </is>
      </c>
      <c r="AE445" s="971" t="inlineStr">
        <is>
          <t xml:space="preserve">VAR*
</t>
        </is>
      </c>
      <c r="AF445" s="257" t="inlineStr">
        <is>
          <t>NA</t>
        </is>
      </c>
      <c r="AG445" s="258" t="inlineStr">
        <is>
          <t>NA</t>
        </is>
      </c>
      <c r="AH445" s="89" t="n"/>
      <c r="AI445" s="353" t="inlineStr">
        <is>
          <t>La donnée est obligatoire, si Type de risque [P1 2.0] = ‘VAR*'</t>
        </is>
      </c>
      <c r="AJ445" s="317" t="inlineStr">
        <is>
          <t>The data is mandatory, if Risk type [P1 2.0] = ‘VAR*'</t>
        </is>
      </c>
      <c r="AK445" s="257" t="n">
        <v>6</v>
      </c>
      <c r="AL445" s="366" t="inlineStr">
        <is>
          <t>TPS0809</t>
        </is>
      </c>
      <c r="AM445" s="318" t="inlineStr">
        <is>
          <t>Si elle est renseignée, la valeur doit être connue du Langage Commun associé</t>
        </is>
      </c>
      <c r="AN445" s="317" t="inlineStr">
        <is>
          <t>If specified, the value must be known to the associated Common Language</t>
        </is>
      </c>
      <c r="AO445" s="257" t="n">
        <v>7</v>
      </c>
      <c r="AP445" s="212" t="inlineStr">
        <is>
          <t>TIG0001</t>
        </is>
      </c>
      <c r="AQ445" s="318" t="n"/>
      <c r="AR445" s="317" t="n"/>
      <c r="AS445" s="257" t="n"/>
      <c r="AT445" s="258" t="n"/>
      <c r="AU445" s="318" t="n"/>
      <c r="AV445" s="317" t="n"/>
      <c r="AW445" s="257" t="n"/>
      <c r="AX445" s="258" t="n"/>
      <c r="AY445" s="318" t="n"/>
      <c r="AZ445" s="317" t="n"/>
      <c r="BA445" s="257" t="n"/>
      <c r="BB445" s="258" t="n"/>
      <c r="BC445" s="316" t="n"/>
      <c r="BD445" s="317" t="n"/>
      <c r="BE445" s="257" t="n"/>
      <c r="BF445" s="258" t="n"/>
      <c r="BG445" s="89" t="n"/>
      <c r="BH4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45">
        <f>_xlfn.LET(r,ROW(),oc,INDEX($A:$A,r),cv,TRIM(INDEX($Y:$Y,r)&amp;""),IF(oc&lt;&gt;"P1","",IF(cv="45","V45 - novo, nao alimentado pelo spool atual","V44 - alimentado pelo spool atual")))</f>
        <v/>
      </c>
    </row>
    <row r="446" ht="54" customFormat="1" customHeight="1" s="91">
      <c r="A446" s="306" t="inlineStr">
        <is>
          <t>P1</t>
        </is>
      </c>
      <c r="B446" s="307" t="n">
        <v>211</v>
      </c>
      <c r="C446" s="269" t="inlineStr">
        <is>
          <t>09 - Caractéristiques Dérivés</t>
        </is>
      </c>
      <c r="D446" s="310" t="inlineStr">
        <is>
          <t>09 - Derivative characteristics</t>
        </is>
      </c>
      <c r="E446" s="307" t="inlineStr">
        <is>
          <t>P1 3.86</t>
        </is>
      </c>
      <c r="F446" s="448" t="inlineStr">
        <is>
          <t>Montant Credit Valuation Adjustment (CVA) comptable</t>
        </is>
      </c>
      <c r="G446" s="309" t="inlineStr">
        <is>
          <t>Accounting Credit Valuation Adjustment (CVA) amount</t>
        </is>
      </c>
      <c r="H446" s="1493">
        <f>"RPAD( "&amp;SUBSTITUTE(SUBSTITUTE(E446," ","_"),".","_")&amp;","&amp;W446&amp;",' '); -- "&amp;E446</f>
        <v/>
      </c>
      <c r="I446" s="241" t="inlineStr">
        <is>
          <t>Permet de renseigner la CVA comptable</t>
        </is>
      </c>
      <c r="J446" s="309" t="inlineStr">
        <is>
          <t>Enables the accounting CVA to be completed</t>
        </is>
      </c>
      <c r="K446" s="370" t="inlineStr">
        <is>
          <t>ND</t>
        </is>
      </c>
      <c r="L446" s="371" t="inlineStr">
        <is>
          <t>ND</t>
        </is>
      </c>
      <c r="M446" s="1420" t="inlineStr">
        <is>
          <t>mtCVA</t>
        </is>
      </c>
      <c r="N446" s="449" t="inlineStr">
        <is>
          <t>Obligatoire sous conditions</t>
        </is>
      </c>
      <c r="O446" s="236" t="inlineStr">
        <is>
          <t>Mandatory under conditions</t>
        </is>
      </c>
      <c r="P446" s="269" t="inlineStr">
        <is>
          <t>NA</t>
        </is>
      </c>
      <c r="Q446" s="269" t="inlineStr">
        <is>
          <t>NA</t>
        </is>
      </c>
      <c r="R446" s="241" t="inlineStr">
        <is>
          <t>Permet de renseigner la CVA comptable</t>
        </is>
      </c>
      <c r="S446" s="233" t="inlineStr">
        <is>
          <t>Enables the accounting CVA to be completed</t>
        </is>
      </c>
      <c r="T446" s="313" t="inlineStr">
        <is>
          <t>NUM</t>
        </is>
      </c>
      <c r="U446" s="237" t="inlineStr">
        <is>
          <t>19 dont signe et 2 décimales</t>
        </is>
      </c>
      <c r="V446" s="238" t="inlineStr">
        <is>
          <t>19 including sign and 2 decimals</t>
        </is>
      </c>
      <c r="W446" s="397" t="n">
        <v>19</v>
      </c>
      <c r="X446" s="945" t="inlineStr">
        <is>
          <t>NA</t>
        </is>
      </c>
      <c r="Y446" s="237" t="n">
        <v>40</v>
      </c>
      <c r="Z446" s="237" t="inlineStr">
        <is>
          <t>NA</t>
        </is>
      </c>
      <c r="AA446" s="270" t="inlineStr">
        <is>
          <t>NA</t>
        </is>
      </c>
      <c r="AB446" s="994" t="inlineStr">
        <is>
          <t>CALCULS PRUDENTIELS, DEI, GRR</t>
        </is>
      </c>
      <c r="AC446" s="231" t="inlineStr">
        <is>
          <t>ND</t>
        </is>
      </c>
      <c r="AD446" s="257" t="inlineStr">
        <is>
          <t>N</t>
        </is>
      </c>
      <c r="AE446" s="971" t="inlineStr">
        <is>
          <t>VAR*</t>
        </is>
      </c>
      <c r="AF446" s="257" t="inlineStr">
        <is>
          <t>NA</t>
        </is>
      </c>
      <c r="AG446" s="258" t="inlineStr">
        <is>
          <t>NA</t>
        </is>
      </c>
      <c r="AH446" s="89" t="n"/>
      <c r="AI446" s="316" t="inlineStr">
        <is>
          <t>La donnée est obligatoire, si Type de risque [P1 2.0] = ‘VAR*'</t>
        </is>
      </c>
      <c r="AJ446" s="317" t="inlineStr">
        <is>
          <t>The data is mandatory, if Risk type [P1 2.0] = ‘VAR*'</t>
        </is>
      </c>
      <c r="AK446" s="257" t="n">
        <v>7</v>
      </c>
      <c r="AL446" s="366" t="inlineStr">
        <is>
          <t>TPS0809</t>
        </is>
      </c>
      <c r="AM446" s="318" t="n"/>
      <c r="AN446" s="317" t="n"/>
      <c r="AO446" s="257" t="n"/>
      <c r="AP446" s="258" t="n"/>
      <c r="AQ446" s="322" t="inlineStr">
        <is>
          <t>Si renseignée, la donnée doit être positive (supérieure ou égale à 0)</t>
        </is>
      </c>
      <c r="AR446" s="317" t="inlineStr">
        <is>
          <t xml:space="preserve">If filled, data must be positive (greater or equal to 0) </t>
        </is>
      </c>
      <c r="AS446" s="257" t="n">
        <v>7</v>
      </c>
      <c r="AT446" s="345" t="inlineStr">
        <is>
          <t>TVG0001</t>
        </is>
      </c>
      <c r="AU446" s="318" t="n"/>
      <c r="AV446" s="317" t="n"/>
      <c r="AW446" s="257" t="n"/>
      <c r="AX446" s="258" t="n"/>
      <c r="AY446" s="318" t="n"/>
      <c r="AZ446" s="317" t="n"/>
      <c r="BA446" s="257" t="n"/>
      <c r="BB446" s="258" t="n"/>
      <c r="BC446" s="316" t="n"/>
      <c r="BD446" s="317" t="n"/>
      <c r="BE446" s="257" t="n"/>
      <c r="BF446" s="258" t="n"/>
      <c r="BG446" s="89" t="n"/>
      <c r="BH4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46">
        <f>_xlfn.LET(r,ROW(),oc,INDEX($A:$A,r),cv,TRIM(INDEX($Y:$Y,r)&amp;""),IF(oc&lt;&gt;"P1","",IF(cv="45","V45 - novo, nao alimentado pelo spool atual","V44 - alimentado pelo spool atual")))</f>
        <v/>
      </c>
    </row>
    <row r="447" ht="54" customFormat="1" customHeight="1" s="91">
      <c r="A447" s="306" t="inlineStr">
        <is>
          <t>P1</t>
        </is>
      </c>
      <c r="B447" s="307" t="n">
        <v>212</v>
      </c>
      <c r="C447" s="269" t="inlineStr">
        <is>
          <t>09 - Caractéristiques Dérivés</t>
        </is>
      </c>
      <c r="D447" s="310" t="inlineStr">
        <is>
          <t>09 - Derivative characteristics</t>
        </is>
      </c>
      <c r="E447" s="307" t="inlineStr">
        <is>
          <t>P1 3.87</t>
        </is>
      </c>
      <c r="F447" s="308" t="inlineStr">
        <is>
          <t>Devise de Credit Valuation Adjustment (CVA) comptable</t>
        </is>
      </c>
      <c r="G447" s="309" t="inlineStr">
        <is>
          <t>Currency of the accounting Credit Valuation Adjustment (CVA) amount</t>
        </is>
      </c>
      <c r="H447" s="1493">
        <f>"RPAD( "&amp;SUBSTITUTE(SUBSTITUTE(E447," ","_"),".","_")&amp;","&amp;W447&amp;",' '); -- "&amp;E447</f>
        <v/>
      </c>
      <c r="I447" s="241" t="inlineStr">
        <is>
          <t>Devise de la Credit Valuation Adjustment (CVA) comptable</t>
        </is>
      </c>
      <c r="J447" s="309" t="inlineStr">
        <is>
          <t xml:space="preserve">Currency of the accounting Credit Valuation Adjustment (CVA) amount </t>
        </is>
      </c>
      <c r="K447" s="370" t="inlineStr">
        <is>
          <t>ND</t>
        </is>
      </c>
      <c r="L447" s="371" t="inlineStr">
        <is>
          <t>ND</t>
        </is>
      </c>
      <c r="M447" s="1420" t="inlineStr">
        <is>
          <t>cdDevMtCVA</t>
        </is>
      </c>
      <c r="N447" s="257" t="inlineStr">
        <is>
          <t>Obligatoire sous conditions</t>
        </is>
      </c>
      <c r="O447" s="236" t="inlineStr">
        <is>
          <t>Mandatory under conditions</t>
        </is>
      </c>
      <c r="P447" s="269" t="inlineStr">
        <is>
          <t>LC.0005</t>
        </is>
      </c>
      <c r="Q447" s="269" t="inlineStr">
        <is>
          <t>TA NM253</t>
        </is>
      </c>
      <c r="R447" s="241" t="inlineStr">
        <is>
          <t>NA</t>
        </is>
      </c>
      <c r="S447" s="233" t="inlineStr">
        <is>
          <t>NA</t>
        </is>
      </c>
      <c r="T447" s="313" t="inlineStr">
        <is>
          <t>ALPHA</t>
        </is>
      </c>
      <c r="U447" s="237" t="inlineStr">
        <is>
          <t>NA</t>
        </is>
      </c>
      <c r="V447" s="238" t="inlineStr">
        <is>
          <t>NA</t>
        </is>
      </c>
      <c r="W447" s="397" t="n">
        <v>3</v>
      </c>
      <c r="X447" s="945" t="inlineStr">
        <is>
          <t>NA</t>
        </is>
      </c>
      <c r="Y447" s="237" t="n">
        <v>40</v>
      </c>
      <c r="Z447" s="237" t="inlineStr">
        <is>
          <t>NA</t>
        </is>
      </c>
      <c r="AA447" s="270" t="inlineStr">
        <is>
          <t>NA</t>
        </is>
      </c>
      <c r="AB447" s="994" t="inlineStr">
        <is>
          <t>CALCULS PRUDENTIELS, DEI, GRR</t>
        </is>
      </c>
      <c r="AC447" s="231" t="inlineStr">
        <is>
          <t>ND</t>
        </is>
      </c>
      <c r="AD447" s="257" t="inlineStr">
        <is>
          <t>N</t>
        </is>
      </c>
      <c r="AE447" s="971" t="inlineStr">
        <is>
          <t>VAR*</t>
        </is>
      </c>
      <c r="AF447" s="257" t="inlineStr">
        <is>
          <t>NA</t>
        </is>
      </c>
      <c r="AG447" s="258" t="inlineStr">
        <is>
          <t>NA</t>
        </is>
      </c>
      <c r="AH447" s="89" t="n"/>
      <c r="AI447" s="446" t="inlineStr">
        <is>
          <t>La donnée est obligatoire, si Montant Credit Valuation Adjustment (CVA) comptable [P1 3.86] est renseigné</t>
        </is>
      </c>
      <c r="AJ447" s="317" t="inlineStr">
        <is>
          <t>The data is mandatory, if Accounting Credit Valuation Adjustment (CVA) amount [P1 3.86] is filled</t>
        </is>
      </c>
      <c r="AK447" s="257" t="n">
        <v>7</v>
      </c>
      <c r="AL447" s="447" t="inlineStr">
        <is>
          <t>TPG0002</t>
        </is>
      </c>
      <c r="AM447" s="318" t="inlineStr">
        <is>
          <t>Si elle est renseignée, la valeur doit être connue du Langage Commun associé</t>
        </is>
      </c>
      <c r="AN447" s="317" t="inlineStr">
        <is>
          <t>If specified, the value must be known to the associated Common Language</t>
        </is>
      </c>
      <c r="AO447" s="257" t="n">
        <v>7</v>
      </c>
      <c r="AP447" s="212" t="inlineStr">
        <is>
          <t>TIG0001</t>
        </is>
      </c>
      <c r="AQ447" s="318" t="n"/>
      <c r="AR447" s="317" t="n"/>
      <c r="AS447" s="257" t="n"/>
      <c r="AT447" s="258" t="n"/>
      <c r="AU447" s="318" t="n"/>
      <c r="AV447" s="317" t="n"/>
      <c r="AW447" s="257" t="n"/>
      <c r="AX447" s="258" t="n"/>
      <c r="AY447" s="318" t="n"/>
      <c r="AZ447" s="317" t="n"/>
      <c r="BA447" s="257" t="n"/>
      <c r="BB447" s="258" t="n"/>
      <c r="BC447" s="316" t="n"/>
      <c r="BD447" s="317" t="n"/>
      <c r="BE447" s="257" t="n"/>
      <c r="BF447" s="258" t="n"/>
      <c r="BG447" s="89" t="n"/>
      <c r="BH4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47">
        <f>_xlfn.LET(r,ROW(),oc,INDEX($A:$A,r),cv,TRIM(INDEX($Y:$Y,r)&amp;""),IF(oc&lt;&gt;"P1","",IF(cv="45","V45 - novo, nao alimentado pelo spool atual","V44 - alimentado pelo spool atual")))</f>
        <v/>
      </c>
    </row>
    <row r="448" ht="54" customFormat="1" customHeight="1" s="91">
      <c r="A448" s="306" t="inlineStr">
        <is>
          <t>P1</t>
        </is>
      </c>
      <c r="B448" s="307" t="n">
        <v>213</v>
      </c>
      <c r="C448" s="269" t="inlineStr">
        <is>
          <t>09 - Caractéristiques Dérivés</t>
        </is>
      </c>
      <c r="D448" s="310" t="inlineStr">
        <is>
          <t>09 - Derivative characteristics</t>
        </is>
      </c>
      <c r="E448" s="307" t="inlineStr">
        <is>
          <t>P1 3.88</t>
        </is>
      </c>
      <c r="F448" s="308" t="inlineStr">
        <is>
          <t>Indicateur de risque spécifique de corrélation défavorable</t>
        </is>
      </c>
      <c r="G448" s="309" t="inlineStr">
        <is>
          <t xml:space="preserve">Indicator of specific negative correlation risk </t>
        </is>
      </c>
      <c r="H448" s="1493">
        <f>"RPAD( "&amp;SUBSTITUTE(SUBSTITUTE(E448," ","_"),".","_")&amp;","&amp;W448&amp;",' '); -- "&amp;E448</f>
        <v/>
      </c>
      <c r="I448" s="241" t="inlineStr">
        <is>
          <t>Ce risque apparaît lorsque la valeur de l'exposition envers un tiers évolue dans le même sens (corrélée) que la dégradation de la qualité de crédit de ce tiers (donc si le MTM augmente lorsque la PD du tiers augmente)</t>
        </is>
      </c>
      <c r="J448" s="309" t="inlineStr">
        <is>
          <t>This risk occurs when the value of the exposure to a third party changes in the same (correlated) direction as the degradation of the quality of credit of that third party (i.e. if the MTM increases as the PD of the third party increases)</t>
        </is>
      </c>
      <c r="K448" s="370" t="inlineStr">
        <is>
          <t>ND</t>
        </is>
      </c>
      <c r="L448" s="371" t="inlineStr">
        <is>
          <t>ND</t>
        </is>
      </c>
      <c r="M448" s="1420" t="inlineStr">
        <is>
          <t>indRisqSpeCorrDef</t>
        </is>
      </c>
      <c r="N448" s="257" t="inlineStr">
        <is>
          <t>Obligatoire sous conditions</t>
        </is>
      </c>
      <c r="O448" s="236" t="inlineStr">
        <is>
          <t>Mandatory under conditions</t>
        </is>
      </c>
      <c r="P448" s="269" t="inlineStr">
        <is>
          <t>LC.0480</t>
        </is>
      </c>
      <c r="Q448" s="269" t="inlineStr">
        <is>
          <t>TA Z8IRSPCD</t>
        </is>
      </c>
      <c r="R448" s="241" t="inlineStr">
        <is>
          <t>NA</t>
        </is>
      </c>
      <c r="S448" s="233" t="inlineStr">
        <is>
          <t>NA</t>
        </is>
      </c>
      <c r="T448" s="313" t="inlineStr">
        <is>
          <t>ALPHA</t>
        </is>
      </c>
      <c r="U448" s="237" t="inlineStr">
        <is>
          <t>NA</t>
        </is>
      </c>
      <c r="V448" s="238" t="inlineStr">
        <is>
          <t>NA</t>
        </is>
      </c>
      <c r="W448" s="397" t="n">
        <v>1</v>
      </c>
      <c r="X448" s="945" t="inlineStr">
        <is>
          <t>NA</t>
        </is>
      </c>
      <c r="Y448" s="237" t="n">
        <v>40</v>
      </c>
      <c r="Z448" s="237" t="inlineStr">
        <is>
          <t>NA</t>
        </is>
      </c>
      <c r="AA448" s="270" t="inlineStr">
        <is>
          <t>NA</t>
        </is>
      </c>
      <c r="AB448" s="1286" t="inlineStr">
        <is>
          <t>CALCULS PRUDENTIELS</t>
        </is>
      </c>
      <c r="AC448" s="231" t="inlineStr">
        <is>
          <t>ND</t>
        </is>
      </c>
      <c r="AD448" s="257" t="inlineStr">
        <is>
          <t>N</t>
        </is>
      </c>
      <c r="AE448" s="971" t="inlineStr">
        <is>
          <t>VAR*</t>
        </is>
      </c>
      <c r="AF448" s="257" t="inlineStr">
        <is>
          <t>NA</t>
        </is>
      </c>
      <c r="AG448" s="258" t="inlineStr">
        <is>
          <t>NA</t>
        </is>
      </c>
      <c r="AH448" s="89" t="n"/>
      <c r="AI448" s="316" t="inlineStr">
        <is>
          <t>La donnée est obligatoire, si Type de risque [P1 2.0] = ‘VAR*'</t>
        </is>
      </c>
      <c r="AJ448" s="317" t="inlineStr">
        <is>
          <t>The data is mandatory, if Risk type [P1 2.0] = ‘VAR*'</t>
        </is>
      </c>
      <c r="AK448" s="257" t="n">
        <v>6</v>
      </c>
      <c r="AL448" s="366" t="inlineStr">
        <is>
          <t>TPS0809</t>
        </is>
      </c>
      <c r="AM448" s="318" t="inlineStr">
        <is>
          <t>Si elle est renseignée, la valeur doit être connue du Langage Commun associé</t>
        </is>
      </c>
      <c r="AN448" s="317" t="inlineStr">
        <is>
          <t>If specified, the value must be known to the associated Common Language</t>
        </is>
      </c>
      <c r="AO448" s="257" t="n">
        <v>7</v>
      </c>
      <c r="AP448" s="212" t="inlineStr">
        <is>
          <t>TIG0001</t>
        </is>
      </c>
      <c r="AQ448" s="421" t="n"/>
      <c r="AR448" s="347" t="n"/>
      <c r="AS448" s="348" t="n"/>
      <c r="AT448" s="423" t="n"/>
      <c r="AU448" s="318" t="n"/>
      <c r="AV448" s="317" t="n"/>
      <c r="AW448" s="257" t="n"/>
      <c r="AX448" s="258" t="n"/>
      <c r="AY448" s="318" t="n"/>
      <c r="AZ448" s="317" t="n"/>
      <c r="BA448" s="257" t="n"/>
      <c r="BB448" s="258" t="n"/>
      <c r="BC448" s="316" t="n"/>
      <c r="BD448" s="317" t="n"/>
      <c r="BE448" s="257" t="n"/>
      <c r="BF448" s="258" t="n"/>
      <c r="BG448" s="89" t="n"/>
      <c r="BH4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48">
        <f>_xlfn.LET(r,ROW(),oc,INDEX($A:$A,r),cv,TRIM(INDEX($Y:$Y,r)&amp;""),IF(oc&lt;&gt;"P1","",IF(cv="45","V45 - novo, nao alimentado pelo spool atual","V44 - alimentado pelo spool atual")))</f>
        <v/>
      </c>
    </row>
    <row r="449" ht="54" customFormat="1" customHeight="1" s="91">
      <c r="A449" s="306" t="inlineStr">
        <is>
          <t>P1</t>
        </is>
      </c>
      <c r="B449" s="307" t="n">
        <v>214</v>
      </c>
      <c r="C449" s="269" t="inlineStr">
        <is>
          <t>09 - Caractéristiques Dérivés</t>
        </is>
      </c>
      <c r="D449" s="310" t="inlineStr">
        <is>
          <t>09 - Derivative characteristics</t>
        </is>
      </c>
      <c r="E449" s="307" t="inlineStr">
        <is>
          <t>P1 11.15</t>
        </is>
      </c>
      <c r="F449" s="540" t="inlineStr">
        <is>
          <t>Identifiant local de la chambre de compensation</t>
        </is>
      </c>
      <c r="G449" s="309" t="inlineStr">
        <is>
          <t>Clearing house's local identifier</t>
        </is>
      </c>
      <c r="H449" s="1493">
        <f>"RPAD( "&amp;SUBSTITUTE(SUBSTITUTE(E449," ","_"),".","_")&amp;","&amp;W449&amp;",' '); -- "&amp;E449</f>
        <v/>
      </c>
      <c r="I449" s="241" t="inlineStr">
        <is>
          <t>Identifiant local de la CCP dans le système utilisé pour générer le flux</t>
        </is>
      </c>
      <c r="J449" s="309" t="inlineStr">
        <is>
          <t>Local identifier of the CCP in the system used to generate the flow</t>
        </is>
      </c>
      <c r="K449" s="370" t="inlineStr">
        <is>
          <t>ND</t>
        </is>
      </c>
      <c r="L449" s="371" t="inlineStr">
        <is>
          <t>ND</t>
        </is>
      </c>
      <c r="M449" s="1420" t="inlineStr">
        <is>
          <t>idLocalChambreCompens</t>
        </is>
      </c>
      <c r="N449" s="257" t="inlineStr">
        <is>
          <t>Facultatif</t>
        </is>
      </c>
      <c r="O449" s="236" t="inlineStr">
        <is>
          <t>Optional</t>
        </is>
      </c>
      <c r="P449" s="269" t="inlineStr">
        <is>
          <t>NA</t>
        </is>
      </c>
      <c r="Q449" s="269" t="inlineStr">
        <is>
          <t>NA</t>
        </is>
      </c>
      <c r="R449" s="541" t="inlineStr">
        <is>
          <t>Vérification présence d'un enregistrement de type C1 avec même identifiant dans le lot (Sauf entité émettrice d'un flux FTCA)
Pour le type de risques VAR (hors Repos), permet, pour une entité n'utilisant pas de modèle interne, agissant en tant qu'établissement membre compensateur, l'application d'un facteur multiplicatif de réduction de l'EAD (facteur scalaire) pour les opérations compensées envers les clients. Seul CACEIS est concerné par la compensation centralisée de transaction pour le compte de client</t>
        </is>
      </c>
      <c r="S449" s="233" t="inlineStr">
        <is>
          <t>Check that there is a C1-type record with the same identifier in the batch (except entity issuing a FTCA flow)
For the VAR risk type (excl. Rest), allows, for an entity not using an internal model, acting as a clearing member institution, the application of a multiplier EAD reduction factor (scalar factor) for offset transactions to customers. Only CACEIS is affected by the centralized transaction compensation for the customer account</t>
        </is>
      </c>
      <c r="T449" s="313" t="inlineStr">
        <is>
          <t>ALPHA</t>
        </is>
      </c>
      <c r="U449" s="237" t="inlineStr">
        <is>
          <t>NA</t>
        </is>
      </c>
      <c r="V449" s="238" t="inlineStr">
        <is>
          <t>NA</t>
        </is>
      </c>
      <c r="W449" s="397" t="n">
        <v>20</v>
      </c>
      <c r="X449" s="945" t="inlineStr">
        <is>
          <t>NA</t>
        </is>
      </c>
      <c r="Y449" s="237" t="n">
        <v>41</v>
      </c>
      <c r="Z449" s="237" t="inlineStr">
        <is>
          <t>NA</t>
        </is>
      </c>
      <c r="AA449" s="270" t="inlineStr">
        <is>
          <t>NA</t>
        </is>
      </c>
      <c r="AB449" s="1287" t="inlineStr">
        <is>
          <t>USAGE ZP</t>
        </is>
      </c>
      <c r="AC449" s="231" t="inlineStr">
        <is>
          <t>ND</t>
        </is>
      </c>
      <c r="AD449" s="257" t="inlineStr">
        <is>
          <t>N</t>
        </is>
      </c>
      <c r="AE449" s="257" t="inlineStr">
        <is>
          <t>TRE203, 205
TRE206
VAR (hors Repos)</t>
        </is>
      </c>
      <c r="AF449" s="257" t="inlineStr">
        <is>
          <t>NA</t>
        </is>
      </c>
      <c r="AG449" s="258" t="inlineStr">
        <is>
          <t>NA</t>
        </is>
      </c>
      <c r="AH449" s="89" t="n"/>
      <c r="AI449" s="316" t="n"/>
      <c r="AJ449" s="317" t="n"/>
      <c r="AK449" s="257" t="n"/>
      <c r="AL449" s="258" t="n"/>
      <c r="AM449" s="318" t="n"/>
      <c r="AN449" s="317" t="n"/>
      <c r="AO449" s="257" t="n"/>
      <c r="AP449" s="258" t="n"/>
      <c r="AQ449" s="318" t="n"/>
      <c r="AR449" s="317" t="n"/>
      <c r="AS449" s="257" t="n"/>
      <c r="AT449" s="258" t="n"/>
      <c r="AU449" s="318" t="n"/>
      <c r="AV449" s="317" t="n"/>
      <c r="AW449" s="257" t="n"/>
      <c r="AX449" s="258" t="n"/>
      <c r="AY449" s="337" t="inlineStr">
        <is>
          <t>Le tiers doit exister (présence du tiers dans TIGRE)</t>
        </is>
      </c>
      <c r="AZ449" s="317" t="inlineStr">
        <is>
          <t>The third-party must exist (presence of the third-party in TIGRE)</t>
        </is>
      </c>
      <c r="BA449" s="257" t="n">
        <v>7</v>
      </c>
      <c r="BB449" s="338" t="inlineStr">
        <is>
          <t>TIG0002</t>
        </is>
      </c>
      <c r="BC449" s="316" t="n"/>
      <c r="BD449" s="317" t="n"/>
      <c r="BE449" s="257" t="n"/>
      <c r="BF449" s="258" t="n"/>
      <c r="BG449" s="89" t="n"/>
      <c r="BH4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49">
        <f>_xlfn.LET(r,ROW(),oc,INDEX($A:$A,r),cv,TRIM(INDEX($Y:$Y,r)&amp;""),IF(oc&lt;&gt;"P1","",IF(cv="45","V45 - novo, nao alimentado pelo spool atual","V44 - alimentado pelo spool atual")))</f>
        <v/>
      </c>
    </row>
    <row r="450" ht="54" customFormat="1" customHeight="1" s="91">
      <c r="A450" s="306" t="inlineStr">
        <is>
          <t>P1</t>
        </is>
      </c>
      <c r="B450" s="307" t="n">
        <v>215</v>
      </c>
      <c r="C450" s="269" t="inlineStr">
        <is>
          <t>09 - Caractéristiques Dérivés</t>
        </is>
      </c>
      <c r="D450" s="310" t="inlineStr">
        <is>
          <t>09 - Derivative characteristics</t>
        </is>
      </c>
      <c r="E450" s="307" t="inlineStr">
        <is>
          <t>P1 11.16</t>
        </is>
      </c>
      <c r="F450" s="308" t="inlineStr">
        <is>
          <t>Identifiant central de la chambre de compensation</t>
        </is>
      </c>
      <c r="G450" s="309" t="inlineStr">
        <is>
          <t>Clearing house's central identifier</t>
        </is>
      </c>
      <c r="H450" s="1493">
        <f>"RPAD( "&amp;SUBSTITUTE(SUBSTITUTE(E450," ","_"),".","_")&amp;","&amp;W450&amp;",' '); -- "&amp;E450</f>
        <v/>
      </c>
      <c r="I450" s="241" t="inlineStr">
        <is>
          <t>Identifiant de la CCP dans le système central DRG</t>
        </is>
      </c>
      <c r="J450" s="233" t="inlineStr">
        <is>
          <t>Identifier of the CCP in the central DRG system</t>
        </is>
      </c>
      <c r="K450" s="269" t="inlineStr">
        <is>
          <t>ND</t>
        </is>
      </c>
      <c r="L450" s="310" t="inlineStr">
        <is>
          <t>ND</t>
        </is>
      </c>
      <c r="M450" s="1420" t="inlineStr">
        <is>
          <t>idCentralChambreCompens</t>
        </is>
      </c>
      <c r="N450" s="257" t="inlineStr">
        <is>
          <t>Facultatif</t>
        </is>
      </c>
      <c r="O450" s="236" t="inlineStr">
        <is>
          <t>Optional</t>
        </is>
      </c>
      <c r="P450" s="269" t="inlineStr">
        <is>
          <t>NA</t>
        </is>
      </c>
      <c r="Q450" s="269" t="inlineStr">
        <is>
          <t>NA</t>
        </is>
      </c>
      <c r="R450" s="241" t="inlineStr">
        <is>
          <t>Identifiant central fourni par la DRG dans le fichier mensuel Référentiel ‘Tiers&amp;Groupes' (DTG) transmis aux entités émettrices du flux.
Obligatoire pour une entité émettrice d'un flux FTCA</t>
        </is>
      </c>
      <c r="S450" s="233" t="inlineStr">
        <is>
          <t>Central identifier provided by the DRG in the monthly "Third Party&amp;Group" repository (DTG) file sent to the flow issuing .
Mandatory for an entity issuing a FTCA flow</t>
        </is>
      </c>
      <c r="T450" s="313" t="inlineStr">
        <is>
          <t>ALPHA</t>
        </is>
      </c>
      <c r="U450" s="237" t="inlineStr">
        <is>
          <t>NA</t>
        </is>
      </c>
      <c r="V450" s="238" t="inlineStr">
        <is>
          <t>NA</t>
        </is>
      </c>
      <c r="W450" s="397" t="n">
        <v>10</v>
      </c>
      <c r="X450" s="945" t="inlineStr">
        <is>
          <t>NA</t>
        </is>
      </c>
      <c r="Y450" s="237" t="n">
        <v>41</v>
      </c>
      <c r="Z450" s="237" t="inlineStr">
        <is>
          <t>NA</t>
        </is>
      </c>
      <c r="AA450" s="270" t="inlineStr">
        <is>
          <t>45.00</t>
        </is>
      </c>
      <c r="AB450" s="994" t="inlineStr">
        <is>
          <t>ASTRE, CALCULS PRUDENTIELS</t>
        </is>
      </c>
      <c r="AC450" s="231" t="inlineStr">
        <is>
          <t>ND</t>
        </is>
      </c>
      <c r="AD450" s="257" t="inlineStr">
        <is>
          <t>N</t>
        </is>
      </c>
      <c r="AE450" s="257" t="inlineStr">
        <is>
          <t>TRE203
TRE206
VAR (hors Repos)</t>
        </is>
      </c>
      <c r="AF450" s="257" t="inlineStr">
        <is>
          <t>NA</t>
        </is>
      </c>
      <c r="AG450" s="258" t="inlineStr">
        <is>
          <t>NA</t>
        </is>
      </c>
      <c r="AH450" s="89" t="n"/>
      <c r="AI450" s="316" t="n"/>
      <c r="AJ450" s="310" t="n"/>
      <c r="AK450" s="257" t="n"/>
      <c r="AL450" s="258" t="n"/>
      <c r="AM450" s="317" t="n"/>
      <c r="AO450" s="257" t="n"/>
      <c r="AP450" s="258" t="n"/>
      <c r="AQ450" s="318" t="n"/>
      <c r="AR450" s="317" t="n"/>
      <c r="AS450" s="257" t="n"/>
      <c r="AT450" s="258" t="n"/>
      <c r="AU450" s="318" t="n"/>
      <c r="AV450" s="317" t="n"/>
      <c r="AW450" s="257" t="n"/>
      <c r="AX450" s="258" t="n"/>
      <c r="AY450" s="1180" t="inlineStr">
        <is>
          <t>S'il est renseigné, l'identifiant doit correspondre à un enregistrement dans l'objet associé, indépendamment de l'entité
---
La donnée doit être présente dans TIGRE
---
Le couple identifiant local / central (P1 11.15 et P1 11.16) doit exister dans TIGRE</t>
        </is>
      </c>
      <c r="AZ450" s="931" t="inlineStr">
        <is>
          <t>If it is filled in, the identifier must correspond to a record in the associated object, regardless of the entity
---
Data must be present in TIGRE
---
The local/central identifier pair (P1 11.15 and P1 11.16) must exist in TIGRE</t>
        </is>
      </c>
      <c r="BA450" s="1181" t="inlineStr">
        <is>
          <t>7
6
6</t>
        </is>
      </c>
      <c r="BB450" s="1182" t="inlineStr">
        <is>
          <t>TI0003
TIG0002
TIG0004</t>
        </is>
      </c>
      <c r="BC450" s="316" t="n"/>
      <c r="BD450" s="317" t="n"/>
      <c r="BE450" s="257" t="n"/>
      <c r="BF450" s="258" t="n"/>
      <c r="BG450" s="89" t="n"/>
      <c r="BH4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50">
        <f>_xlfn.LET(r,ROW(),oc,INDEX($A:$A,r),cv,TRIM(INDEX($Y:$Y,r)&amp;""),IF(oc&lt;&gt;"P1","",IF(cv="45","V45 - novo, nao alimentado pelo spool atual","V44 - alimentado pelo spool atual")))</f>
        <v/>
      </c>
    </row>
    <row r="451" ht="54" customFormat="1" customHeight="1" s="91">
      <c r="A451" s="306" t="inlineStr">
        <is>
          <t>P1</t>
        </is>
      </c>
      <c r="B451" s="307" t="n">
        <v>216</v>
      </c>
      <c r="C451" s="269" t="inlineStr">
        <is>
          <t>09 - Caractéristiques Dérivés</t>
        </is>
      </c>
      <c r="D451" s="310" t="inlineStr">
        <is>
          <t>09 - Derivative characteristics</t>
        </is>
      </c>
      <c r="E451" s="307" t="inlineStr">
        <is>
          <t>P1 11.1</t>
        </is>
      </c>
      <c r="F451" s="484" t="inlineStr">
        <is>
          <t>Type de dérivé de crédit</t>
        </is>
      </c>
      <c r="G451" s="309" t="inlineStr">
        <is>
          <t>Type of derivative credit</t>
        </is>
      </c>
      <c r="H451" s="1493">
        <f>"RPAD( "&amp;SUBSTITUTE(SUBSTITUTE(E451," ","_"),".","_")&amp;","&amp;W451&amp;",' '); -- "&amp;E451</f>
        <v/>
      </c>
      <c r="I451" s="241" t="inlineStr">
        <is>
          <t>Type de dérivé de crédit</t>
        </is>
      </c>
      <c r="J451" s="309" t="inlineStr">
        <is>
          <t>Type of credit derivative</t>
        </is>
      </c>
      <c r="K451" s="370" t="inlineStr">
        <is>
          <t>ND</t>
        </is>
      </c>
      <c r="L451" s="371" t="inlineStr">
        <is>
          <t>ND</t>
        </is>
      </c>
      <c r="M451" s="1420" t="inlineStr">
        <is>
          <t>cdTypDerivCredit</t>
        </is>
      </c>
      <c r="N451" s="257" t="inlineStr">
        <is>
          <t>Obligatoire sous conditions</t>
        </is>
      </c>
      <c r="O451" s="236" t="inlineStr">
        <is>
          <t>Mandatory under conditions</t>
        </is>
      </c>
      <c r="P451" s="269" t="inlineStr">
        <is>
          <t>LC.0045</t>
        </is>
      </c>
      <c r="Q451" s="269" t="inlineStr">
        <is>
          <t>TA KVTDERIV</t>
        </is>
      </c>
      <c r="R451" s="241" t="inlineStr">
        <is>
          <t>NB : Donnée facultative pour le type de risque ISS100</t>
        </is>
      </c>
      <c r="S451" s="233" t="inlineStr">
        <is>
          <t>N.B. Optional data for risk type ISS100</t>
        </is>
      </c>
      <c r="T451" s="313" t="inlineStr">
        <is>
          <t>ALPHA</t>
        </is>
      </c>
      <c r="U451" s="237" t="inlineStr">
        <is>
          <t>NA</t>
        </is>
      </c>
      <c r="V451" s="238" t="inlineStr">
        <is>
          <t>NA</t>
        </is>
      </c>
      <c r="W451" s="397" t="n">
        <v>3</v>
      </c>
      <c r="X451" s="945" t="inlineStr">
        <is>
          <t>NA</t>
        </is>
      </c>
      <c r="Y451" s="237" t="n">
        <v>40</v>
      </c>
      <c r="Z451" s="237" t="inlineStr">
        <is>
          <t>NA</t>
        </is>
      </c>
      <c r="AA451" s="978" t="inlineStr">
        <is>
          <t>NA</t>
        </is>
      </c>
      <c r="AB451" s="994" t="inlineStr">
        <is>
          <t>CALCULS PRUDENTIELS, SA-CCR, YOSHIKUNI</t>
        </is>
      </c>
      <c r="AC451" s="231" t="inlineStr">
        <is>
          <t>ND</t>
        </is>
      </c>
      <c r="AD451" s="257" t="inlineStr">
        <is>
          <t>N</t>
        </is>
      </c>
      <c r="AE451" s="539" t="inlineStr">
        <is>
          <t>ISS100
VAR (hors Repos)</t>
        </is>
      </c>
      <c r="AF451" s="257" t="inlineStr">
        <is>
          <t>NA</t>
        </is>
      </c>
      <c r="AG451" s="258" t="inlineStr">
        <is>
          <t>NA</t>
        </is>
      </c>
      <c r="AH451" s="89" t="n"/>
      <c r="AI451" s="461" t="inlineStr">
        <is>
          <t xml:space="preserve">La donnée est obligatoire si Type de risque [P1 2.0] = ‘VAR200'
</t>
        </is>
      </c>
      <c r="AJ451" s="317" t="inlineStr">
        <is>
          <t xml:space="preserve">The data is mandatory if Risk type [P1 2.0] = ‘VAR200'
</t>
        </is>
      </c>
      <c r="AK451" s="257" t="n">
        <v>7</v>
      </c>
      <c r="AL451" s="366" t="inlineStr">
        <is>
          <t>TPS0780</t>
        </is>
      </c>
      <c r="AM451" s="318" t="inlineStr">
        <is>
          <t>Si elle est renseignée, la valeur doit être connue du Langage Commun associé</t>
        </is>
      </c>
      <c r="AN451" s="317" t="inlineStr">
        <is>
          <t>If specified, the value must be known to the associated Common Language</t>
        </is>
      </c>
      <c r="AO451" s="257" t="n">
        <v>7</v>
      </c>
      <c r="AP451" s="212" t="inlineStr">
        <is>
          <t>TIG0001</t>
        </is>
      </c>
      <c r="AQ451" s="318" t="n"/>
      <c r="AR451" s="317" t="n"/>
      <c r="AS451" s="257" t="n"/>
      <c r="AT451" s="258" t="n"/>
      <c r="AU451" s="318" t="n"/>
      <c r="AV451" s="317" t="n"/>
      <c r="AW451" s="257" t="n"/>
      <c r="AX451" s="258" t="n"/>
      <c r="AY451" s="318" t="n"/>
      <c r="AZ451" s="317" t="n"/>
      <c r="BA451" s="257" t="n"/>
      <c r="BB451" s="258" t="n"/>
      <c r="BC451" s="316" t="n"/>
      <c r="BD451" s="317" t="n"/>
      <c r="BE451" s="257" t="n"/>
      <c r="BF451" s="258" t="n"/>
      <c r="BG451" s="89" t="n"/>
      <c r="BH4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51">
        <f>_xlfn.LET(r,ROW(),oc,INDEX($A:$A,r),cv,TRIM(INDEX($Y:$Y,r)&amp;""),IF(oc&lt;&gt;"P1","",IF(cv="45","V45 - novo, nao alimentado pelo spool atual","V44 - alimentado pelo spool atual")))</f>
        <v/>
      </c>
    </row>
    <row r="452" ht="54" customFormat="1" customHeight="1" s="91">
      <c r="A452" s="306" t="inlineStr">
        <is>
          <t>P1</t>
        </is>
      </c>
      <c r="B452" s="307" t="n">
        <v>217</v>
      </c>
      <c r="C452" s="269" t="inlineStr">
        <is>
          <t>09 - Caractéristiques Dérivés</t>
        </is>
      </c>
      <c r="D452" s="310" t="inlineStr">
        <is>
          <t>09 - Derivative characteristics</t>
        </is>
      </c>
      <c r="E452" s="307" t="inlineStr">
        <is>
          <t>P1 3.76</t>
        </is>
      </c>
      <c r="F452" s="308" t="inlineStr">
        <is>
          <t xml:space="preserve">Indicateur de dénouement du CDS </t>
        </is>
      </c>
      <c r="G452" s="309" t="inlineStr">
        <is>
          <t>Indicator of CDS settlement</t>
        </is>
      </c>
      <c r="H452" s="1493">
        <f>"RPAD( "&amp;SUBSTITUTE(SUBSTITUTE(E452," ","_"),".","_")&amp;","&amp;W452&amp;",' '); -- "&amp;E452</f>
        <v/>
      </c>
      <c r="I452" s="241" t="inlineStr">
        <is>
          <t xml:space="preserve">Indicateur de dénouement du CDS lorsque l'acheteur de protection devient insolvable </t>
        </is>
      </c>
      <c r="J452" s="309" t="inlineStr">
        <is>
          <t xml:space="preserve">Indicator of the unwinding of the CDS when the protection buyer becomes insolvent </t>
        </is>
      </c>
      <c r="K452" s="370" t="inlineStr">
        <is>
          <t>ND</t>
        </is>
      </c>
      <c r="L452" s="371" t="inlineStr">
        <is>
          <t>ND</t>
        </is>
      </c>
      <c r="M452" s="1420" t="inlineStr">
        <is>
          <t>indDenouCDS</t>
        </is>
      </c>
      <c r="N452" s="257" t="inlineStr">
        <is>
          <t>Obligatoire sous conditions</t>
        </is>
      </c>
      <c r="O452" s="236" t="inlineStr">
        <is>
          <t>Mandatory under conditions</t>
        </is>
      </c>
      <c r="P452" s="269" t="inlineStr">
        <is>
          <t>LC.0196</t>
        </is>
      </c>
      <c r="Q452" s="269" t="inlineStr">
        <is>
          <t>TA KVIDCDS</t>
        </is>
      </c>
      <c r="R452" s="241" t="inlineStr">
        <is>
          <t>NB : Donnée facultative pour le type de risque ISS100</t>
        </is>
      </c>
      <c r="S452" s="233" t="inlineStr">
        <is>
          <t>N.B. Optional data for risk type ISS100</t>
        </is>
      </c>
      <c r="T452" s="313" t="inlineStr">
        <is>
          <t>ALPHA</t>
        </is>
      </c>
      <c r="U452" s="237" t="inlineStr">
        <is>
          <t>NA</t>
        </is>
      </c>
      <c r="V452" s="238" t="inlineStr">
        <is>
          <t>NA</t>
        </is>
      </c>
      <c r="W452" s="397" t="n">
        <v>1</v>
      </c>
      <c r="X452" s="945" t="inlineStr">
        <is>
          <t>NA</t>
        </is>
      </c>
      <c r="Y452" s="237" t="n">
        <v>40</v>
      </c>
      <c r="Z452" s="237" t="inlineStr">
        <is>
          <t>NA</t>
        </is>
      </c>
      <c r="AA452" s="270" t="inlineStr">
        <is>
          <t>NA</t>
        </is>
      </c>
      <c r="AB452" s="1286" t="inlineStr">
        <is>
          <t>CALCULS PRUDENTIELS</t>
        </is>
      </c>
      <c r="AC452" s="231" t="inlineStr">
        <is>
          <t>ND</t>
        </is>
      </c>
      <c r="AD452" s="257" t="inlineStr">
        <is>
          <t>N</t>
        </is>
      </c>
      <c r="AE452" s="539" t="inlineStr">
        <is>
          <t>ISS100
VAR (hors Repos)</t>
        </is>
      </c>
      <c r="AF452" s="257" t="inlineStr">
        <is>
          <t>NA</t>
        </is>
      </c>
      <c r="AG452" s="258" t="inlineStr">
        <is>
          <t>NA</t>
        </is>
      </c>
      <c r="AH452" s="89" t="n"/>
      <c r="AI452" s="461" t="inlineStr">
        <is>
          <t xml:space="preserve">La donnée est obligatoire si Type de risque [P1 2.0] = ‘VAR200'
</t>
        </is>
      </c>
      <c r="AJ452" s="317" t="inlineStr">
        <is>
          <t xml:space="preserve">The data is mandatory if Risk type [P1 2.0] = ‘VAR200'
</t>
        </is>
      </c>
      <c r="AK452" s="257" t="n">
        <v>6</v>
      </c>
      <c r="AL452" s="366" t="inlineStr">
        <is>
          <t>TPS0780</t>
        </is>
      </c>
      <c r="AM452" s="318" t="inlineStr">
        <is>
          <t>Si elle est renseignée, la valeur doit être connue du Langage Commun associé</t>
        </is>
      </c>
      <c r="AN452" s="317" t="inlineStr">
        <is>
          <t>If specified, the value must be known to the associated Common Language</t>
        </is>
      </c>
      <c r="AO452" s="257" t="n">
        <v>7</v>
      </c>
      <c r="AP452" s="212" t="inlineStr">
        <is>
          <t>TIG0001</t>
        </is>
      </c>
      <c r="AQ452" s="421" t="n"/>
      <c r="AR452" s="422" t="n"/>
      <c r="AS452" s="348" t="n"/>
      <c r="AT452" s="423" t="n"/>
      <c r="AU452" s="318" t="n"/>
      <c r="AV452" s="317" t="n"/>
      <c r="AW452" s="257" t="n"/>
      <c r="AX452" s="258" t="n"/>
      <c r="AY452" s="318" t="n"/>
      <c r="AZ452" s="317" t="n"/>
      <c r="BA452" s="257" t="n"/>
      <c r="BB452" s="258" t="n"/>
      <c r="BC452" s="316" t="n"/>
      <c r="BD452" s="317" t="n"/>
      <c r="BE452" s="257" t="n"/>
      <c r="BF452" s="258" t="n"/>
      <c r="BG452" s="89" t="n"/>
      <c r="BH4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52">
        <f>_xlfn.LET(r,ROW(),oc,INDEX($A:$A,r),cv,TRIM(INDEX($Y:$Y,r)&amp;""),IF(oc&lt;&gt;"P1","",IF(cv="45","V45 - novo, nao alimentado pelo spool atual","V44 - alimentado pelo spool atual")))</f>
        <v/>
      </c>
    </row>
    <row r="453" ht="54" customFormat="1" customHeight="1" s="91">
      <c r="A453" s="306" t="inlineStr">
        <is>
          <t>P1</t>
        </is>
      </c>
      <c r="B453" s="307" t="n">
        <v>218</v>
      </c>
      <c r="C453" s="269" t="inlineStr">
        <is>
          <t>09 - Caractéristiques Dérivés</t>
        </is>
      </c>
      <c r="D453" s="310" t="inlineStr">
        <is>
          <t>09 - Derivative characteristics</t>
        </is>
      </c>
      <c r="E453" s="307" t="inlineStr">
        <is>
          <t>P1 3.77</t>
        </is>
      </c>
      <c r="F453" s="308" t="inlineStr">
        <is>
          <t>Eligibilité du dérivé de crédit à la couverture du risque CVA</t>
        </is>
      </c>
      <c r="G453" s="309" t="inlineStr">
        <is>
          <t>Eligibility of credit derivative to the coverage CVA risk</t>
        </is>
      </c>
      <c r="H453" s="1493">
        <f>"RPAD( "&amp;SUBSTITUTE(SUBSTITUTE(E453," ","_"),".","_")&amp;","&amp;W453&amp;",' '); -- "&amp;E453</f>
        <v/>
      </c>
      <c r="I453" s="241" t="inlineStr">
        <is>
          <t>Indicateur de l'éligibilité du Dérivé de crédit à la couverture du risque CVA</t>
        </is>
      </c>
      <c r="J453" s="309" t="inlineStr">
        <is>
          <t>Indicator of the eligibility of the credit derivative for hedging CVA risk</t>
        </is>
      </c>
      <c r="K453" s="370" t="inlineStr">
        <is>
          <t>ND</t>
        </is>
      </c>
      <c r="L453" s="371" t="inlineStr">
        <is>
          <t>ND</t>
        </is>
      </c>
      <c r="M453" s="1420" t="inlineStr">
        <is>
          <t>cdEligDerivCreditCouvCVA</t>
        </is>
      </c>
      <c r="N453" s="257" t="inlineStr">
        <is>
          <t>Obligatoire sous conditions</t>
        </is>
      </c>
      <c r="O453" s="236" t="inlineStr">
        <is>
          <t>Mandatory under conditions</t>
        </is>
      </c>
      <c r="P453" s="269" t="inlineStr">
        <is>
          <t>LC.0195</t>
        </is>
      </c>
      <c r="Q453" s="269" t="inlineStr">
        <is>
          <t>TA KVELICVA</t>
        </is>
      </c>
      <c r="R453" s="241" t="inlineStr">
        <is>
          <t>NA</t>
        </is>
      </c>
      <c r="S453" s="233" t="inlineStr">
        <is>
          <t>NA</t>
        </is>
      </c>
      <c r="T453" s="313" t="inlineStr">
        <is>
          <t>ALPHA</t>
        </is>
      </c>
      <c r="U453" s="237" t="inlineStr">
        <is>
          <t>NA</t>
        </is>
      </c>
      <c r="V453" s="238" t="inlineStr">
        <is>
          <t>NA</t>
        </is>
      </c>
      <c r="W453" s="397" t="n">
        <v>1</v>
      </c>
      <c r="X453" s="945" t="inlineStr">
        <is>
          <t>NA</t>
        </is>
      </c>
      <c r="Y453" s="237" t="n">
        <v>40</v>
      </c>
      <c r="Z453" s="237" t="inlineStr">
        <is>
          <t>NA</t>
        </is>
      </c>
      <c r="AA453" s="270" t="inlineStr">
        <is>
          <t>NA</t>
        </is>
      </c>
      <c r="AB453" s="1286" t="inlineStr">
        <is>
          <t>CALCULS PRUDENTIELS</t>
        </is>
      </c>
      <c r="AC453" s="231" t="inlineStr">
        <is>
          <t>ND</t>
        </is>
      </c>
      <c r="AD453" s="257" t="inlineStr">
        <is>
          <t>N</t>
        </is>
      </c>
      <c r="AE453" s="496" t="inlineStr">
        <is>
          <t xml:space="preserve">VAR (hors Repos VAR105, VAR302)
</t>
        </is>
      </c>
      <c r="AF453" s="257" t="inlineStr">
        <is>
          <t>NA</t>
        </is>
      </c>
      <c r="AG453" s="258" t="inlineStr">
        <is>
          <t>NA</t>
        </is>
      </c>
      <c r="AH453" s="89" t="n"/>
      <c r="AI453" s="461" t="inlineStr">
        <is>
          <t xml:space="preserve">La donnée est obligatoire si Type de risque [P1 2.0] = ‘VAR200'
</t>
        </is>
      </c>
      <c r="AJ453" s="317" t="inlineStr">
        <is>
          <t xml:space="preserve">The data is mandatory if Risk type [P1 2.0] = ‘VAR200'
</t>
        </is>
      </c>
      <c r="AK453" s="257" t="n">
        <v>6</v>
      </c>
      <c r="AL453" s="366" t="inlineStr">
        <is>
          <t>TPS0780</t>
        </is>
      </c>
      <c r="AM453" s="318" t="inlineStr">
        <is>
          <t>Si elle est renseignée, la valeur doit être connue du Langage Commun associé</t>
        </is>
      </c>
      <c r="AN453" s="317" t="inlineStr">
        <is>
          <t>If specified, the value must be known to the associated Common Language</t>
        </is>
      </c>
      <c r="AO453" s="257" t="n">
        <v>7</v>
      </c>
      <c r="AP453" s="212" t="inlineStr">
        <is>
          <t>TIG0001</t>
        </is>
      </c>
      <c r="AQ453" s="421" t="n"/>
      <c r="AR453" s="422" t="n"/>
      <c r="AS453" s="348" t="n"/>
      <c r="AT453" s="423" t="n"/>
      <c r="AU453" s="318" t="n"/>
      <c r="AV453" s="317" t="n"/>
      <c r="AW453" s="257" t="n"/>
      <c r="AX453" s="258" t="n"/>
      <c r="AY453" s="318" t="n"/>
      <c r="AZ453" s="317" t="n"/>
      <c r="BA453" s="257" t="n"/>
      <c r="BB453" s="258" t="n"/>
      <c r="BC453" s="316" t="n"/>
      <c r="BD453" s="317" t="n"/>
      <c r="BE453" s="257" t="n"/>
      <c r="BF453" s="258" t="n"/>
      <c r="BG453" s="89" t="n"/>
      <c r="BH4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53">
        <f>_xlfn.LET(r,ROW(),oc,INDEX($A:$A,r),cv,TRIM(INDEX($Y:$Y,r)&amp;""),IF(oc&lt;&gt;"P1","",IF(cv="45","V45 - novo, nao alimentado pelo spool atual","V44 - alimentado pelo spool atual")))</f>
        <v/>
      </c>
    </row>
    <row r="454" ht="54" customFormat="1" customHeight="1" s="91">
      <c r="A454" s="306" t="inlineStr">
        <is>
          <t>P1</t>
        </is>
      </c>
      <c r="B454" s="307" t="n">
        <v>219</v>
      </c>
      <c r="C454" s="269" t="inlineStr">
        <is>
          <t>09 - Caractéristiques Dérivés</t>
        </is>
      </c>
      <c r="D454" s="310" t="inlineStr">
        <is>
          <t>09 - Derivative characteristics</t>
        </is>
      </c>
      <c r="E454" s="307" t="inlineStr">
        <is>
          <t>P1 11.4</t>
        </is>
      </c>
      <c r="F454" s="537" t="inlineStr">
        <is>
          <t>Identifiant local du tiers couvert par le Dérivé de crédit</t>
        </is>
      </c>
      <c r="G454" s="309" t="inlineStr">
        <is>
          <t>Local ID of the counterparty covered by the credit derivative</t>
        </is>
      </c>
      <c r="H454" s="1493">
        <f>"RPAD( "&amp;SUBSTITUTE(SUBSTITUTE(E454," ","_"),".","_")&amp;","&amp;W454&amp;",' '); -- "&amp;E454</f>
        <v/>
      </c>
      <c r="I454" s="241" t="inlineStr">
        <is>
          <t>Identifiant local du tiers couvert par le dérivé de crédit dans le système utilisé pour générer le flux</t>
        </is>
      </c>
      <c r="J454" s="309" t="inlineStr">
        <is>
          <t>Local identifier of the third party covered by the credit derivative in the local system used to generate the flow</t>
        </is>
      </c>
      <c r="K454" s="370" t="inlineStr">
        <is>
          <t>ND</t>
        </is>
      </c>
      <c r="L454" s="371" t="inlineStr">
        <is>
          <t>ND</t>
        </is>
      </c>
      <c r="M454" s="1420" t="inlineStr">
        <is>
          <t>idLocalTiersCouvDericCredit</t>
        </is>
      </c>
      <c r="N454" s="257" t="inlineStr">
        <is>
          <t>Facultatif</t>
        </is>
      </c>
      <c r="O454" s="236" t="inlineStr">
        <is>
          <t>Optional</t>
        </is>
      </c>
      <c r="P454" s="269" t="inlineStr">
        <is>
          <t>NA</t>
        </is>
      </c>
      <c r="Q454" s="269" t="inlineStr">
        <is>
          <t>NA</t>
        </is>
      </c>
      <c r="R454" s="538" t="inlineStr">
        <is>
          <t>Vérification présence d'un enregistrement de type C1 avec même identifiant dans le lot (Sauf entité émettrice d'un flux FTCA)
Le tiers en risque correspond à l'émetteur du titre
Identifiant pour les tiers 'CVT' = Tiers couvert</t>
        </is>
      </c>
      <c r="S454" s="233" t="inlineStr">
        <is>
          <t xml:space="preserve">Check that there is a C1-type record with the same identifier in the batch (except entity issuing a FTCA flow)
The third party in risk corresponds to the issuer of the security
ID for 'CVT' counterparty = covered counterparty
</t>
        </is>
      </c>
      <c r="T454" s="313" t="inlineStr">
        <is>
          <t>ALPHA</t>
        </is>
      </c>
      <c r="U454" s="237" t="inlineStr">
        <is>
          <t>NA</t>
        </is>
      </c>
      <c r="V454" s="238" t="inlineStr">
        <is>
          <t>NA</t>
        </is>
      </c>
      <c r="W454" s="397" t="n">
        <v>20</v>
      </c>
      <c r="X454" s="945" t="inlineStr">
        <is>
          <t>NA</t>
        </is>
      </c>
      <c r="Y454" s="237" t="n">
        <v>40</v>
      </c>
      <c r="Z454" s="237" t="inlineStr">
        <is>
          <t>NA</t>
        </is>
      </c>
      <c r="AA454" s="270" t="inlineStr">
        <is>
          <t>NA</t>
        </is>
      </c>
      <c r="AB454" s="994" t="inlineStr">
        <is>
          <t>SA-CCR, YOSHIKUNI</t>
        </is>
      </c>
      <c r="AC454" s="231" t="inlineStr">
        <is>
          <t>ND</t>
        </is>
      </c>
      <c r="AD454" s="257" t="inlineStr">
        <is>
          <t>N</t>
        </is>
      </c>
      <c r="AE454" s="496" t="inlineStr">
        <is>
          <t xml:space="preserve">VAR (hors Repos VAR105, VAR302)
</t>
        </is>
      </c>
      <c r="AF454" s="257" t="inlineStr">
        <is>
          <t>NA</t>
        </is>
      </c>
      <c r="AG454" s="258" t="inlineStr">
        <is>
          <t>NA</t>
        </is>
      </c>
      <c r="AH454" s="89" t="n"/>
      <c r="AI454" s="316" t="n"/>
      <c r="AJ454" s="317" t="n"/>
      <c r="AK454" s="257" t="n"/>
      <c r="AL454" s="258" t="n"/>
      <c r="AM454" s="318" t="n"/>
      <c r="AN454" s="317" t="n"/>
      <c r="AO454" s="257" t="n"/>
      <c r="AP454" s="258" t="n"/>
      <c r="AQ454" s="318" t="n"/>
      <c r="AR454" s="317" t="n"/>
      <c r="AS454" s="257" t="n"/>
      <c r="AT454" s="258" t="n"/>
      <c r="AU454" s="318" t="n"/>
      <c r="AV454" s="317" t="n"/>
      <c r="AW454" s="257" t="n"/>
      <c r="AX454" s="258" t="n"/>
      <c r="AY454" s="337" t="inlineStr">
        <is>
          <t>Le tiers doit exister (présence du tiers dans TIGRE)</t>
        </is>
      </c>
      <c r="AZ454" s="317" t="inlineStr">
        <is>
          <t>The third-party must exist (presence of the third-party in TIGRE)</t>
        </is>
      </c>
      <c r="BA454" s="257" t="n">
        <v>6</v>
      </c>
      <c r="BB454" s="338" t="inlineStr">
        <is>
          <t>TIG0002</t>
        </is>
      </c>
      <c r="BC454" s="316" t="n"/>
      <c r="BD454" s="317" t="n"/>
      <c r="BE454" s="257" t="n"/>
      <c r="BF454" s="258" t="n"/>
      <c r="BG454" s="89" t="n"/>
      <c r="BH4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54">
        <f>_xlfn.LET(r,ROW(),oc,INDEX($A:$A,r),cv,TRIM(INDEX($Y:$Y,r)&amp;""),IF(oc&lt;&gt;"P1","",IF(cv="45","V45 - novo, nao alimentado pelo spool atual","V44 - alimentado pelo spool atual")))</f>
        <v/>
      </c>
    </row>
    <row r="455" ht="54" customFormat="1" customHeight="1" s="91">
      <c r="A455" s="306" t="inlineStr">
        <is>
          <t>P1</t>
        </is>
      </c>
      <c r="B455" s="307" t="n">
        <v>220</v>
      </c>
      <c r="C455" s="269" t="inlineStr">
        <is>
          <t>09 - Caractéristiques Dérivés</t>
        </is>
      </c>
      <c r="D455" s="310" t="inlineStr">
        <is>
          <t>09 - Derivative characteristics</t>
        </is>
      </c>
      <c r="E455" s="307" t="inlineStr">
        <is>
          <t>P1 11.5</t>
        </is>
      </c>
      <c r="F455" s="308" t="inlineStr">
        <is>
          <t>Identifiant central du tiers couvert par le Dérivé de crédit</t>
        </is>
      </c>
      <c r="G455" s="309" t="inlineStr">
        <is>
          <t>Central ID of the counterparty covered by the credit derivative</t>
        </is>
      </c>
      <c r="H455" s="1493">
        <f>"RPAD( "&amp;SUBSTITUTE(SUBSTITUTE(E455," ","_"),".","_")&amp;","&amp;W455&amp;",' '); -- "&amp;E455</f>
        <v/>
      </c>
      <c r="I455" s="241" t="inlineStr">
        <is>
          <t>Identifiant du tiers couvert par le dérivé de crédit dans le système central DRG</t>
        </is>
      </c>
      <c r="J455" s="233" t="inlineStr">
        <is>
          <t>Local identifier of the third party covered by the credit derivative in the central DRG system</t>
        </is>
      </c>
      <c r="K455" s="269" t="inlineStr">
        <is>
          <t>ND</t>
        </is>
      </c>
      <c r="L455" s="310" t="inlineStr">
        <is>
          <t>ND</t>
        </is>
      </c>
      <c r="M455" s="1420" t="inlineStr">
        <is>
          <t>idCentralTiersCouvDericCredit</t>
        </is>
      </c>
      <c r="N455" s="257" t="inlineStr">
        <is>
          <t>Facultatif</t>
        </is>
      </c>
      <c r="O455" s="236" t="inlineStr">
        <is>
          <t>Optional</t>
        </is>
      </c>
      <c r="P455" s="269" t="inlineStr">
        <is>
          <t>NA</t>
        </is>
      </c>
      <c r="Q455" s="269" t="inlineStr">
        <is>
          <t>NA</t>
        </is>
      </c>
      <c r="R455" s="241" t="inlineStr">
        <is>
          <t>Identifiant central fourni par la DRG dans le fichier mensuel Référentiel ‘Tiers&amp;Groupes' (DTG) transmis aux entités émettrices du flux.
Le tiers en risque correspond à l'émetteur du titre.
Obligatoire pour une entité émettrice d'un flux FTCA</t>
        </is>
      </c>
      <c r="S455" s="233" t="inlineStr">
        <is>
          <t>Central identifier provided by the DRG in the monthly "Third Party&amp;Group" repository (DTG) file sent to the flow issuing .
The third party in risk corresponds to the issuer of the security.
Mandatory for an entity issuing a FTCA flow</t>
        </is>
      </c>
      <c r="T455" s="313" t="inlineStr">
        <is>
          <t>ALPHA</t>
        </is>
      </c>
      <c r="U455" s="237" t="inlineStr">
        <is>
          <t>NA</t>
        </is>
      </c>
      <c r="V455" s="238" t="inlineStr">
        <is>
          <t>NA</t>
        </is>
      </c>
      <c r="W455" s="397" t="n">
        <v>10</v>
      </c>
      <c r="X455" s="945" t="inlineStr">
        <is>
          <t>NA</t>
        </is>
      </c>
      <c r="Y455" s="237" t="n">
        <v>40</v>
      </c>
      <c r="Z455" s="237" t="inlineStr">
        <is>
          <t>NA</t>
        </is>
      </c>
      <c r="AA455" s="978" t="inlineStr">
        <is>
          <t>45.00</t>
        </is>
      </c>
      <c r="AB455" s="994" t="inlineStr">
        <is>
          <t>ASTRE, CALCULS PRUDENTIELS, CONGLOMERATS, SA-CCR, YOSHIKUNI</t>
        </is>
      </c>
      <c r="AC455" s="231" t="inlineStr">
        <is>
          <t>ND</t>
        </is>
      </c>
      <c r="AD455" s="257" t="inlineStr">
        <is>
          <t>N</t>
        </is>
      </c>
      <c r="AE455" s="496" t="inlineStr">
        <is>
          <t xml:space="preserve">VAR (hors Repos VAR105, VAR302)
</t>
        </is>
      </c>
      <c r="AF455" s="257" t="inlineStr">
        <is>
          <t>NA</t>
        </is>
      </c>
      <c r="AG455" s="258" t="inlineStr">
        <is>
          <t>NA</t>
        </is>
      </c>
      <c r="AH455" s="89" t="n"/>
      <c r="AI455" s="316" t="n"/>
      <c r="AJ455" s="317" t="n"/>
      <c r="AK455" s="257" t="n"/>
      <c r="AL455" s="258" t="n"/>
      <c r="AM455" s="318" t="n"/>
      <c r="AN455" s="317" t="n"/>
      <c r="AO455" s="257" t="n"/>
      <c r="AP455" s="258" t="n"/>
      <c r="AQ455" s="318" t="n"/>
      <c r="AR455" s="317" t="n"/>
      <c r="AS455" s="257" t="n"/>
      <c r="AT455" s="258" t="n"/>
      <c r="AU455" s="318" t="n"/>
      <c r="AV455" s="317" t="n"/>
      <c r="AW455" s="257" t="n"/>
      <c r="AX455" s="258" t="n"/>
      <c r="AY455" s="1240" t="inlineStr">
        <is>
          <t>S'il est renseigné, l'identifiant doit correspondre à un enregistrement dans l'objet associé, indépendamment de l'entité
---
La donnée doit être présente dans TIGRE
---
Le couple identifiant local / central (P1 11.4 et P1 11.5) doit exister dans TIGRE</t>
        </is>
      </c>
      <c r="AZ455" s="931" t="inlineStr">
        <is>
          <t>If it is filled in, the identifier must correspond to a record in the associated object, regardless of the entity
---
Data must be present in TIGRE
---
The local/central identifier pair (P1 11.4 and P1 11.5) must exist in TIGRE</t>
        </is>
      </c>
      <c r="BA455" s="1181" t="inlineStr">
        <is>
          <t>7
6
6</t>
        </is>
      </c>
      <c r="BB455" s="1182" t="inlineStr">
        <is>
          <t>TI0003
TIG0002
TIG0004</t>
        </is>
      </c>
      <c r="BC455" s="316" t="n"/>
      <c r="BD455" s="317" t="n"/>
      <c r="BE455" s="257" t="n"/>
      <c r="BF455" s="258" t="n"/>
      <c r="BG455" s="89" t="n"/>
      <c r="BH4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55">
        <f>_xlfn.LET(r,ROW(),oc,INDEX($A:$A,r),cv,TRIM(INDEX($Y:$Y,r)&amp;""),IF(oc&lt;&gt;"P1","",IF(cv="45","V45 - novo, nao alimentado pelo spool atual","V44 - alimentado pelo spool atual")))</f>
        <v/>
      </c>
    </row>
    <row r="456" ht="54" customFormat="1" customHeight="1" s="91">
      <c r="A456" s="306" t="inlineStr">
        <is>
          <t>P1</t>
        </is>
      </c>
      <c r="B456" s="307" t="n">
        <v>221</v>
      </c>
      <c r="C456" s="269" t="inlineStr">
        <is>
          <t>09 - Caractéristiques Dérivés</t>
        </is>
      </c>
      <c r="D456" s="310" t="inlineStr">
        <is>
          <t>09 - Derivative characteristics</t>
        </is>
      </c>
      <c r="E456" s="307" t="inlineStr">
        <is>
          <t>P1 11.2</t>
        </is>
      </c>
      <c r="F456" s="308" t="inlineStr">
        <is>
          <t xml:space="preserve">Spread de marché du dérivé </t>
        </is>
      </c>
      <c r="G456" s="309" t="inlineStr">
        <is>
          <t xml:space="preserve">Derivative market spread </t>
        </is>
      </c>
      <c r="H456" s="1493">
        <f>"RPAD( "&amp;SUBSTITUTE(SUBSTITUTE(E456," ","_"),".","_")&amp;","&amp;W456&amp;",' '); -- "&amp;E456</f>
        <v/>
      </c>
      <c r="I456" s="241" t="inlineStr">
        <is>
          <t>Correspond au spread de marché du dérivé</t>
        </is>
      </c>
      <c r="J456" s="233" t="inlineStr">
        <is>
          <t>Corresponds to the derivative's market spread</t>
        </is>
      </c>
      <c r="K456" s="269" t="inlineStr">
        <is>
          <t>ND</t>
        </is>
      </c>
      <c r="L456" s="310" t="inlineStr">
        <is>
          <t>ND</t>
        </is>
      </c>
      <c r="M456" s="1420" t="inlineStr">
        <is>
          <t>mtSpreadDeriv</t>
        </is>
      </c>
      <c r="N456" s="257" t="inlineStr">
        <is>
          <t>Obligatoire sous conditions</t>
        </is>
      </c>
      <c r="O456" s="236" t="inlineStr">
        <is>
          <t>Mandatory under conditions</t>
        </is>
      </c>
      <c r="P456" s="269" t="inlineStr">
        <is>
          <t>NA</t>
        </is>
      </c>
      <c r="Q456" s="269" t="inlineStr">
        <is>
          <t>NA</t>
        </is>
      </c>
      <c r="R456" s="241" t="inlineStr">
        <is>
          <t>NA</t>
        </is>
      </c>
      <c r="S456" s="233" t="inlineStr">
        <is>
          <t>NA</t>
        </is>
      </c>
      <c r="T456" s="313" t="inlineStr">
        <is>
          <t>NUM</t>
        </is>
      </c>
      <c r="U456" s="237" t="inlineStr">
        <is>
          <t>10 dont signe et 5 décimales</t>
        </is>
      </c>
      <c r="V456" s="238" t="inlineStr">
        <is>
          <t>10 including sign and 5 decimals</t>
        </is>
      </c>
      <c r="W456" s="397" t="n">
        <v>10</v>
      </c>
      <c r="X456" s="945" t="inlineStr">
        <is>
          <t>NA</t>
        </is>
      </c>
      <c r="Y456" s="237" t="n">
        <v>40</v>
      </c>
      <c r="Z456" s="237" t="inlineStr">
        <is>
          <t>NA</t>
        </is>
      </c>
      <c r="AA456" s="270" t="inlineStr">
        <is>
          <t>NA</t>
        </is>
      </c>
      <c r="AB456" s="1287" t="inlineStr">
        <is>
          <t>USAGE ZP</t>
        </is>
      </c>
      <c r="AC456" s="231" t="inlineStr">
        <is>
          <t>ND</t>
        </is>
      </c>
      <c r="AD456" s="257" t="inlineStr">
        <is>
          <t>N</t>
        </is>
      </c>
      <c r="AE456" s="496" t="inlineStr">
        <is>
          <t xml:space="preserve">VAR (hors Repos VAR105, VAR302)
</t>
        </is>
      </c>
      <c r="AF456" s="257" t="inlineStr">
        <is>
          <t>NA</t>
        </is>
      </c>
      <c r="AG456" s="258" t="inlineStr">
        <is>
          <t>NA</t>
        </is>
      </c>
      <c r="AH456" s="89" t="n"/>
      <c r="AI456" s="461" t="inlineStr">
        <is>
          <t xml:space="preserve">La donnée est obligatoire si Type de risque [P1 2.0] = ‘VAR200'
</t>
        </is>
      </c>
      <c r="AJ456" s="317" t="inlineStr">
        <is>
          <t xml:space="preserve">The data is mandatory if Risk type [P1 2.0] = ‘VAR200'
</t>
        </is>
      </c>
      <c r="AK456" s="257" t="n">
        <v>6</v>
      </c>
      <c r="AL456" s="366" t="inlineStr">
        <is>
          <t>TPS0780</t>
        </is>
      </c>
      <c r="AM456" s="318" t="n"/>
      <c r="AN456" s="317" t="n"/>
      <c r="AO456" s="257" t="n"/>
      <c r="AP456" s="258" t="n"/>
      <c r="AQ456" s="318" t="n"/>
      <c r="AR456" s="317" t="n"/>
      <c r="AS456" s="257" t="n"/>
      <c r="AT456" s="258" t="n"/>
      <c r="AU456" s="318" t="n"/>
      <c r="AV456" s="317" t="n"/>
      <c r="AW456" s="257" t="n"/>
      <c r="AX456" s="258" t="n"/>
      <c r="AY456" s="318" t="n"/>
      <c r="AZ456" s="317" t="n"/>
      <c r="BA456" s="257" t="n"/>
      <c r="BB456" s="258" t="n"/>
      <c r="BC456" s="316" t="n"/>
      <c r="BD456" s="317" t="n"/>
      <c r="BE456" s="257" t="n"/>
      <c r="BF456" s="258" t="n"/>
      <c r="BG456" s="89" t="n"/>
      <c r="BH4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56">
        <f>_xlfn.LET(r,ROW(),oc,INDEX($A:$A,r),cv,TRIM(INDEX($Y:$Y,r)&amp;""),IF(oc&lt;&gt;"P1","",IF(cv="45","V45 - novo, nao alimentado pelo spool atual","V44 - alimentado pelo spool atual")))</f>
        <v/>
      </c>
    </row>
    <row r="457" ht="54" customFormat="1" customHeight="1" s="91">
      <c r="A457" s="306" t="inlineStr">
        <is>
          <t>P1</t>
        </is>
      </c>
      <c r="B457" s="307" t="n">
        <v>222</v>
      </c>
      <c r="C457" s="269" t="inlineStr">
        <is>
          <t>09 - Caractéristiques Dérivés</t>
        </is>
      </c>
      <c r="D457" s="310" t="inlineStr">
        <is>
          <t>09 - Derivative characteristics</t>
        </is>
      </c>
      <c r="E457" s="307" t="inlineStr">
        <is>
          <t>P1 3.10</t>
        </is>
      </c>
      <c r="F457" s="1033" t="inlineStr">
        <is>
          <t>Montant notionnel de la jambe achetée des dérivés</t>
        </is>
      </c>
      <c r="G457" s="309" t="inlineStr">
        <is>
          <t>Notional amount of leg purchased from derivatives</t>
        </is>
      </c>
      <c r="H457" s="1493">
        <f>"RPAD( "&amp;SUBSTITUTE(SUBSTITUTE(E457," ","_"),".","_")&amp;","&amp;W457&amp;",' '); -- "&amp;E457</f>
        <v/>
      </c>
      <c r="I457" s="1033" t="inlineStr">
        <is>
          <t>Montant notionnel de la jambe achetée des dérivés</t>
        </is>
      </c>
      <c r="J457" s="309" t="inlineStr">
        <is>
          <t>Notional amount of leg purchased from derivatives</t>
        </is>
      </c>
      <c r="K457" s="370" t="inlineStr">
        <is>
          <t>ND</t>
        </is>
      </c>
      <c r="L457" s="371" t="inlineStr">
        <is>
          <t>ND</t>
        </is>
      </c>
      <c r="M457" s="1420" t="inlineStr">
        <is>
          <t>mtNotionJbAch</t>
        </is>
      </c>
      <c r="N457" s="257" t="inlineStr">
        <is>
          <t>Obligatoire sous conditions</t>
        </is>
      </c>
      <c r="O457" s="236" t="inlineStr">
        <is>
          <t>Mandatory under conditions</t>
        </is>
      </c>
      <c r="P457" s="269" t="inlineStr">
        <is>
          <t>NA</t>
        </is>
      </c>
      <c r="Q457" s="269" t="inlineStr">
        <is>
          <t>NA</t>
        </is>
      </c>
      <c r="R457" s="241" t="inlineStr">
        <is>
          <t>NA</t>
        </is>
      </c>
      <c r="S457" s="233" t="inlineStr">
        <is>
          <t>NA</t>
        </is>
      </c>
      <c r="T457" s="313" t="inlineStr">
        <is>
          <t>NUM</t>
        </is>
      </c>
      <c r="U457" s="237" t="inlineStr">
        <is>
          <t>19 dont signe et 2 décimales</t>
        </is>
      </c>
      <c r="V457" s="238" t="inlineStr">
        <is>
          <t>19 including sign and 2 decimals</t>
        </is>
      </c>
      <c r="W457" s="397" t="n">
        <v>19</v>
      </c>
      <c r="X457" s="945" t="inlineStr">
        <is>
          <t>NA</t>
        </is>
      </c>
      <c r="Y457" s="237" t="n">
        <v>40</v>
      </c>
      <c r="Z457" s="237" t="inlineStr">
        <is>
          <t>NA</t>
        </is>
      </c>
      <c r="AA457" s="978" t="inlineStr">
        <is>
          <t>45.00</t>
        </is>
      </c>
      <c r="AB457" s="932" t="inlineStr">
        <is>
          <t>CALCULS PRUDENTIELS, CORFOU, LIQUIDITE, PALMA, SA-CCR</t>
        </is>
      </c>
      <c r="AC457" s="231" t="inlineStr">
        <is>
          <t>ND</t>
        </is>
      </c>
      <c r="AD457" s="257" t="inlineStr">
        <is>
          <t>N</t>
        </is>
      </c>
      <c r="AE457" s="496" t="inlineStr">
        <is>
          <t xml:space="preserve">VAR (hors Repos VAR105, VAR302)
</t>
        </is>
      </c>
      <c r="AF457" s="257" t="inlineStr">
        <is>
          <t>NA</t>
        </is>
      </c>
      <c r="AG457" s="258" t="inlineStr">
        <is>
          <t>NA</t>
        </is>
      </c>
      <c r="AH457" s="89" t="n"/>
      <c r="AI457" s="461" t="inlineStr">
        <is>
          <t>La donnée est obligatoire si Type de risque [P1 2.0] = ‘VAR101, VAR102, VAR103, VAR104, VAR4xx, VAR5xx'</t>
        </is>
      </c>
      <c r="AJ457" s="317" t="inlineStr">
        <is>
          <t>The data is mandatory if Risk type [P1 2.0] = ‘VAR101, VAR102, VAR103, VAR104, VAR4xx, VAR5xx'</t>
        </is>
      </c>
      <c r="AK457" s="257" t="n">
        <v>6</v>
      </c>
      <c r="AL457" s="366" t="inlineStr">
        <is>
          <t>TPS0818</t>
        </is>
      </c>
      <c r="AM457" s="318" t="n"/>
      <c r="AN457" s="317" t="n"/>
      <c r="AO457" s="257" t="n"/>
      <c r="AP457" s="258" t="n"/>
      <c r="AQ457" s="322" t="inlineStr">
        <is>
          <t>Si renseignée, la donnée doit être positive (supérieure ou égale à 0)</t>
        </is>
      </c>
      <c r="AR457" s="317" t="inlineStr">
        <is>
          <t xml:space="preserve">If filled, data must be positive (greater or equal to 0) </t>
        </is>
      </c>
      <c r="AS457" s="257" t="n">
        <v>7</v>
      </c>
      <c r="AT457" s="345" t="inlineStr">
        <is>
          <t>TVG0001</t>
        </is>
      </c>
      <c r="AU457" s="318" t="n"/>
      <c r="AV457" s="317" t="n"/>
      <c r="AW457" s="257" t="n"/>
      <c r="AX457" s="258" t="n"/>
      <c r="AY457" s="318" t="n"/>
      <c r="AZ457" s="317" t="n"/>
      <c r="BA457" s="257" t="n"/>
      <c r="BB457" s="258" t="n"/>
      <c r="BC457" s="316" t="n"/>
      <c r="BD457" s="317" t="n"/>
      <c r="BE457" s="257" t="n"/>
      <c r="BF457" s="258" t="n"/>
      <c r="BG457" s="89" t="n"/>
      <c r="BH4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57">
        <f>_xlfn.LET(r,ROW(),oc,INDEX($A:$A,r),cv,TRIM(INDEX($Y:$Y,r)&amp;""),IF(oc&lt;&gt;"P1","",IF(cv="45","V45 - novo, nao alimentado pelo spool atual","V44 - alimentado pelo spool atual")))</f>
        <v/>
      </c>
    </row>
    <row r="458" ht="54" customFormat="1" customHeight="1" s="91">
      <c r="A458" s="306" t="inlineStr">
        <is>
          <t>P1</t>
        </is>
      </c>
      <c r="B458" s="307" t="n">
        <v>223</v>
      </c>
      <c r="C458" s="269" t="inlineStr">
        <is>
          <t>09 - Caractéristiques Dérivés</t>
        </is>
      </c>
      <c r="D458" s="310" t="inlineStr">
        <is>
          <t>09 - Derivative characteristics</t>
        </is>
      </c>
      <c r="E458" s="307" t="inlineStr">
        <is>
          <t>P1 3.11</t>
        </is>
      </c>
      <c r="F458" s="1033" t="inlineStr">
        <is>
          <t>Devise du montant du notionnel de la jambe payée des dérivés</t>
        </is>
      </c>
      <c r="G458" s="309" t="inlineStr">
        <is>
          <t>Currency of the notional amount of the purchased leg from derivatives</t>
        </is>
      </c>
      <c r="H458" s="1493">
        <f>"RPAD( "&amp;SUBSTITUTE(SUBSTITUTE(E458," ","_"),".","_")&amp;","&amp;W458&amp;",' '); -- "&amp;E458</f>
        <v/>
      </c>
      <c r="I458" s="1033" t="inlineStr">
        <is>
          <t>Devise du montant du notionnel de la jambe payée des dérivés</t>
        </is>
      </c>
      <c r="J458" s="309" t="inlineStr">
        <is>
          <t>Currency of the notional amount of the purchased leg from derivatives</t>
        </is>
      </c>
      <c r="K458" s="370" t="inlineStr">
        <is>
          <t>ND</t>
        </is>
      </c>
      <c r="L458" s="371" t="inlineStr">
        <is>
          <t>ND</t>
        </is>
      </c>
      <c r="M458" s="1420" t="inlineStr">
        <is>
          <t>cdDevMtNotionJbAch</t>
        </is>
      </c>
      <c r="N458" s="257" t="inlineStr">
        <is>
          <t>Obligatoire sous conditions</t>
        </is>
      </c>
      <c r="O458" s="310" t="inlineStr">
        <is>
          <t>Mandatory under conditions</t>
        </is>
      </c>
      <c r="P458" s="269" t="inlineStr">
        <is>
          <t>LC.0005</t>
        </is>
      </c>
      <c r="Q458" s="269" t="inlineStr">
        <is>
          <t>TA NM253</t>
        </is>
      </c>
      <c r="R458" s="241" t="inlineStr">
        <is>
          <t>NA</t>
        </is>
      </c>
      <c r="S458" s="233" t="inlineStr">
        <is>
          <t>NA</t>
        </is>
      </c>
      <c r="T458" s="313" t="inlineStr">
        <is>
          <t>ALPHA</t>
        </is>
      </c>
      <c r="U458" s="237" t="inlineStr">
        <is>
          <t>NA</t>
        </is>
      </c>
      <c r="V458" s="238" t="inlineStr">
        <is>
          <t>NA</t>
        </is>
      </c>
      <c r="W458" s="397" t="n">
        <v>3</v>
      </c>
      <c r="X458" s="945" t="inlineStr">
        <is>
          <t>NA</t>
        </is>
      </c>
      <c r="Y458" s="237" t="n">
        <v>40</v>
      </c>
      <c r="Z458" s="237" t="inlineStr">
        <is>
          <t>NA</t>
        </is>
      </c>
      <c r="AA458" s="978" t="inlineStr">
        <is>
          <t>45.00</t>
        </is>
      </c>
      <c r="AB458" s="932" t="inlineStr">
        <is>
          <t>CONGLOMERATS, CORFOU, LIQUIDITE, PALMA, SA-CCR</t>
        </is>
      </c>
      <c r="AC458" s="231" t="inlineStr">
        <is>
          <t>ND</t>
        </is>
      </c>
      <c r="AD458" s="257" t="inlineStr">
        <is>
          <t>N</t>
        </is>
      </c>
      <c r="AE458" s="496" t="inlineStr">
        <is>
          <t xml:space="preserve">VAR (hors Repos VAR105, VAR302)
</t>
        </is>
      </c>
      <c r="AF458" s="257" t="inlineStr">
        <is>
          <t>NA</t>
        </is>
      </c>
      <c r="AG458" s="258" t="inlineStr">
        <is>
          <t>NA</t>
        </is>
      </c>
      <c r="AH458" s="89" t="n"/>
      <c r="AI458" s="542" t="inlineStr">
        <is>
          <t xml:space="preserve">La donnée est obligatoire, si Montant notionnel de la jambe achetée [P1 3.10] est renseigné </t>
        </is>
      </c>
      <c r="AJ458" s="317" t="inlineStr">
        <is>
          <t>The data is mandatory, if Notional amount of the purchased leg [P1 3.10] is filled</t>
        </is>
      </c>
      <c r="AK458" s="257" t="n">
        <v>7</v>
      </c>
      <c r="AL458" s="447" t="inlineStr">
        <is>
          <t>TPG0002</t>
        </is>
      </c>
      <c r="AM458" s="452" t="inlineStr">
        <is>
          <t>Si elle est renseignée, la valeur doit être connue du Langage Commun associé</t>
        </is>
      </c>
      <c r="AN458" s="377" t="inlineStr">
        <is>
          <t>If specified, the value must be known to the associated Common Language</t>
        </is>
      </c>
      <c r="AO458" s="257" t="n">
        <v>7</v>
      </c>
      <c r="AP458" s="212" t="inlineStr">
        <is>
          <t>TIG0001</t>
        </is>
      </c>
      <c r="AQ458" s="543" t="n"/>
      <c r="AR458" s="317" t="n"/>
      <c r="AS458" s="257" t="n"/>
      <c r="AT458" s="258" t="n"/>
      <c r="AU458" s="343" t="inlineStr">
        <is>
          <t>Si renseignée ET si l'instrument financier [P1 3.75] ='03,'04', alors la donnée [P1 3.11] doit être différente de la donnée Devise du montant du notionnel de la jambe vendue [P1 3.13]</t>
        </is>
      </c>
      <c r="AV458" s="317" t="inlineStr">
        <is>
          <t>IF filled in AND if Financial instrument [P1 3.75] ='03', '04', then the data [P1 3.11] must be different of the Currency of the notional amount of the sold leg [P1 3.13]</t>
        </is>
      </c>
      <c r="AW458" s="344" t="n">
        <v>6</v>
      </c>
      <c r="AX458" s="544" t="inlineStr">
        <is>
          <t>TCS0714</t>
        </is>
      </c>
      <c r="AY458" s="318" t="n"/>
      <c r="AZ458" s="317" t="n"/>
      <c r="BA458" s="257" t="n"/>
      <c r="BB458" s="258" t="n"/>
      <c r="BC458" s="316" t="n"/>
      <c r="BD458" s="317" t="n"/>
      <c r="BE458" s="257" t="n"/>
      <c r="BF458" s="258" t="n"/>
      <c r="BG458" s="89" t="n"/>
      <c r="BH4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58">
        <f>_xlfn.LET(r,ROW(),oc,INDEX($A:$A,r),cv,TRIM(INDEX($Y:$Y,r)&amp;""),IF(oc&lt;&gt;"P1","",IF(cv="45","V45 - novo, nao alimentado pelo spool atual","V44 - alimentado pelo spool atual")))</f>
        <v/>
      </c>
    </row>
    <row r="459" ht="54" customFormat="1" customHeight="1" s="91">
      <c r="A459" s="306" t="inlineStr">
        <is>
          <t>P1</t>
        </is>
      </c>
      <c r="B459" s="307" t="n">
        <v>224</v>
      </c>
      <c r="C459" s="269" t="inlineStr">
        <is>
          <t>09 - Caractéristiques Dérivés</t>
        </is>
      </c>
      <c r="D459" s="310" t="inlineStr">
        <is>
          <t>09 - Derivative characteristics</t>
        </is>
      </c>
      <c r="E459" s="307" t="inlineStr">
        <is>
          <t>P1 3.12</t>
        </is>
      </c>
      <c r="F459" s="1032" t="inlineStr">
        <is>
          <t>Montant du notionnel de la jambe vendue des dérivés</t>
        </is>
      </c>
      <c r="G459" s="309" t="inlineStr">
        <is>
          <t>Notional amount of leg sold of derivatives</t>
        </is>
      </c>
      <c r="H459" s="1493">
        <f>"RPAD( "&amp;SUBSTITUTE(SUBSTITUTE(E459," ","_"),".","_")&amp;","&amp;W459&amp;",' '); -- "&amp;E459</f>
        <v/>
      </c>
      <c r="I459" s="1032" t="inlineStr">
        <is>
          <t>Montant du notionnel de la jambe vendue des dérivés</t>
        </is>
      </c>
      <c r="J459" s="309" t="inlineStr">
        <is>
          <t>Notional amount of leg sold of derivatives</t>
        </is>
      </c>
      <c r="K459" s="370" t="inlineStr">
        <is>
          <t>ND</t>
        </is>
      </c>
      <c r="L459" s="371" t="inlineStr">
        <is>
          <t>ND</t>
        </is>
      </c>
      <c r="M459" s="1420" t="inlineStr">
        <is>
          <t>mtNotionJbVen</t>
        </is>
      </c>
      <c r="N459" s="257" t="inlineStr">
        <is>
          <t>Obligatoire sous conditions</t>
        </is>
      </c>
      <c r="O459" s="236" t="inlineStr">
        <is>
          <t>Mandatory under conditions</t>
        </is>
      </c>
      <c r="P459" s="269" t="inlineStr">
        <is>
          <t>NA</t>
        </is>
      </c>
      <c r="Q459" s="269" t="inlineStr">
        <is>
          <t>NA</t>
        </is>
      </c>
      <c r="R459" s="241" t="inlineStr">
        <is>
          <t>NA</t>
        </is>
      </c>
      <c r="S459" s="233" t="inlineStr">
        <is>
          <t>NA</t>
        </is>
      </c>
      <c r="T459" s="313" t="inlineStr">
        <is>
          <t>NUM</t>
        </is>
      </c>
      <c r="U459" s="237" t="inlineStr">
        <is>
          <t>19 dont signe et 2 décimales</t>
        </is>
      </c>
      <c r="V459" s="238" t="inlineStr">
        <is>
          <t>19 including sign and 2 decimals</t>
        </is>
      </c>
      <c r="W459" s="397" t="n">
        <v>19</v>
      </c>
      <c r="X459" s="945" t="inlineStr">
        <is>
          <t>NA</t>
        </is>
      </c>
      <c r="Y459" s="237" t="n">
        <v>40</v>
      </c>
      <c r="Z459" s="237" t="inlineStr">
        <is>
          <t>NA</t>
        </is>
      </c>
      <c r="AA459" s="978" t="inlineStr">
        <is>
          <t>45.00</t>
        </is>
      </c>
      <c r="AB459" s="932" t="inlineStr">
        <is>
          <t>CALCULS PRUDENTIELS, CORFOU, LIQUIDITE, PALMA, SA-CCR</t>
        </is>
      </c>
      <c r="AC459" s="231" t="inlineStr">
        <is>
          <t>ND</t>
        </is>
      </c>
      <c r="AD459" s="257" t="inlineStr">
        <is>
          <t>N</t>
        </is>
      </c>
      <c r="AE459" s="496" t="inlineStr">
        <is>
          <t xml:space="preserve">VAR (hors Repos VAR105, VAR302)
</t>
        </is>
      </c>
      <c r="AF459" s="257" t="inlineStr">
        <is>
          <t>NA</t>
        </is>
      </c>
      <c r="AG459" s="258" t="inlineStr">
        <is>
          <t>NA</t>
        </is>
      </c>
      <c r="AH459" s="89" t="n"/>
      <c r="AI459" s="461" t="inlineStr">
        <is>
          <t>La donnée est obligatoire si Type de risque [P1 2.0] = ‘VAR101, VAR102, VAR103, VAR104, VAR4xx, VAR5xx'</t>
        </is>
      </c>
      <c r="AJ459" s="317" t="inlineStr">
        <is>
          <t>The data is mandatory if Risk type [P1 2.0] = ‘VAR101, VAR102, VAR103, VAR104, VAR4xx, VAR5xx'</t>
        </is>
      </c>
      <c r="AK459" s="257" t="n">
        <v>6</v>
      </c>
      <c r="AL459" s="366" t="inlineStr">
        <is>
          <t>TPS0818</t>
        </is>
      </c>
      <c r="AM459" s="318" t="n"/>
      <c r="AN459" s="317" t="n"/>
      <c r="AO459" s="257" t="n"/>
      <c r="AP459" s="258" t="n"/>
      <c r="AQ459" s="322" t="inlineStr">
        <is>
          <t>Si renseignée, la donnée doit être positive (supérieure ou égale à 0)</t>
        </is>
      </c>
      <c r="AR459" s="317" t="inlineStr">
        <is>
          <t xml:space="preserve">If filled, data must be positive (greater or equal to 0) </t>
        </is>
      </c>
      <c r="AS459" s="257" t="n">
        <v>7</v>
      </c>
      <c r="AT459" s="345" t="inlineStr">
        <is>
          <t>TVG0001</t>
        </is>
      </c>
      <c r="AU459" s="318" t="n"/>
      <c r="AV459" s="317" t="n"/>
      <c r="AW459" s="257" t="n"/>
      <c r="AX459" s="258" t="n"/>
      <c r="AY459" s="318" t="n"/>
      <c r="AZ459" s="317" t="n"/>
      <c r="BA459" s="257" t="n"/>
      <c r="BB459" s="258" t="n"/>
      <c r="BC459" s="316" t="n"/>
      <c r="BD459" s="317" t="n"/>
      <c r="BE459" s="257" t="n"/>
      <c r="BF459" s="258" t="n"/>
      <c r="BG459" s="89" t="n"/>
      <c r="BH4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59">
        <f>_xlfn.LET(r,ROW(),oc,INDEX($A:$A,r),cv,TRIM(INDEX($Y:$Y,r)&amp;""),IF(oc&lt;&gt;"P1","",IF(cv="45","V45 - novo, nao alimentado pelo spool atual","V44 - alimentado pelo spool atual")))</f>
        <v/>
      </c>
    </row>
    <row r="460" ht="54" customFormat="1" customHeight="1" s="91">
      <c r="A460" s="306" t="inlineStr">
        <is>
          <t>P1</t>
        </is>
      </c>
      <c r="B460" s="307" t="n">
        <v>225</v>
      </c>
      <c r="C460" s="269" t="inlineStr">
        <is>
          <t>09 - Caractéristiques Dérivés</t>
        </is>
      </c>
      <c r="D460" s="310" t="inlineStr">
        <is>
          <t>09 - Derivative characteristics</t>
        </is>
      </c>
      <c r="E460" s="307" t="inlineStr">
        <is>
          <t>P1 3.13</t>
        </is>
      </c>
      <c r="F460" s="1032" t="inlineStr">
        <is>
          <t>Devise du montant du notionnel de la jambe vendue des dérivés</t>
        </is>
      </c>
      <c r="G460" s="309" t="inlineStr">
        <is>
          <t>Currency of the notional amount of leg sold of derivatives</t>
        </is>
      </c>
      <c r="H460" s="1493">
        <f>"RPAD( "&amp;SUBSTITUTE(SUBSTITUTE(E460," ","_"),".","_")&amp;","&amp;W460&amp;",' '); -- "&amp;E460</f>
        <v/>
      </c>
      <c r="I460" s="1032" t="inlineStr">
        <is>
          <t>Devise du montant du notionnel de la jambe vendue des dérivés</t>
        </is>
      </c>
      <c r="J460" s="309" t="inlineStr">
        <is>
          <t>Currency of the notional amount of leg sold of derivatives</t>
        </is>
      </c>
      <c r="K460" s="370" t="inlineStr">
        <is>
          <t>ND</t>
        </is>
      </c>
      <c r="L460" s="371" t="inlineStr">
        <is>
          <t>ND</t>
        </is>
      </c>
      <c r="M460" s="1420" t="inlineStr">
        <is>
          <t>cdDevMtNotionJbVen</t>
        </is>
      </c>
      <c r="N460" s="257" t="inlineStr">
        <is>
          <t>Obligatoire sous conditions</t>
        </is>
      </c>
      <c r="O460" s="236" t="inlineStr">
        <is>
          <t>Mandatory under conditions</t>
        </is>
      </c>
      <c r="P460" s="269" t="inlineStr">
        <is>
          <t>LC.0005</t>
        </is>
      </c>
      <c r="Q460" s="269" t="inlineStr">
        <is>
          <t>TA NM253</t>
        </is>
      </c>
      <c r="R460" s="241" t="inlineStr">
        <is>
          <t>NA</t>
        </is>
      </c>
      <c r="S460" s="233" t="inlineStr">
        <is>
          <t>NA</t>
        </is>
      </c>
      <c r="T460" s="313" t="inlineStr">
        <is>
          <t>ALPHA</t>
        </is>
      </c>
      <c r="U460" s="237" t="inlineStr">
        <is>
          <t>NA</t>
        </is>
      </c>
      <c r="V460" s="238" t="inlineStr">
        <is>
          <t>NA</t>
        </is>
      </c>
      <c r="W460" s="397" t="n">
        <v>3</v>
      </c>
      <c r="X460" s="945" t="inlineStr">
        <is>
          <t>NA</t>
        </is>
      </c>
      <c r="Y460" s="237" t="n">
        <v>40</v>
      </c>
      <c r="Z460" s="237" t="inlineStr">
        <is>
          <t>NA</t>
        </is>
      </c>
      <c r="AA460" s="978" t="inlineStr">
        <is>
          <t>45.00</t>
        </is>
      </c>
      <c r="AB460" s="932" t="inlineStr">
        <is>
          <t>CONGLOMERATS, CORFOU, LIQUIDITE, PALMA, SA-CCR</t>
        </is>
      </c>
      <c r="AC460" s="231" t="inlineStr">
        <is>
          <t>ND</t>
        </is>
      </c>
      <c r="AD460" s="257" t="inlineStr">
        <is>
          <t>N</t>
        </is>
      </c>
      <c r="AE460" s="496" t="inlineStr">
        <is>
          <t xml:space="preserve">VAR (hors Repos VAR105, VAR302)
</t>
        </is>
      </c>
      <c r="AF460" s="257" t="inlineStr">
        <is>
          <t>NA</t>
        </is>
      </c>
      <c r="AG460" s="258" t="inlineStr">
        <is>
          <t>NA</t>
        </is>
      </c>
      <c r="AH460" s="89" t="n"/>
      <c r="AI460" s="446" t="inlineStr">
        <is>
          <t xml:space="preserve">La donnée est obligatoire, si Montant du notionnel de la jambe vendue [P1 3.12] est renseigné
</t>
        </is>
      </c>
      <c r="AJ460" s="317" t="inlineStr">
        <is>
          <t>The data is mandatory, if Notional amount of the sold leg [P1 3.12] is filled</t>
        </is>
      </c>
      <c r="AK460" s="257" t="n">
        <v>7</v>
      </c>
      <c r="AL460" s="447" t="inlineStr">
        <is>
          <t>TPG0002</t>
        </is>
      </c>
      <c r="AM460" s="318" t="inlineStr">
        <is>
          <t>Si elle est renseignée, la valeur doit être connue du Langage Commun associé</t>
        </is>
      </c>
      <c r="AN460" s="317" t="inlineStr">
        <is>
          <t>If specified, the value must be known to the associated Common Language</t>
        </is>
      </c>
      <c r="AO460" s="257" t="n">
        <v>7</v>
      </c>
      <c r="AP460" s="212" t="inlineStr">
        <is>
          <t>TIG0001</t>
        </is>
      </c>
      <c r="AQ460" s="318" t="n"/>
      <c r="AR460" s="317" t="n"/>
      <c r="AS460" s="257" t="n"/>
      <c r="AT460" s="258" t="n"/>
      <c r="AU460" s="318" t="n"/>
      <c r="AV460" s="317" t="n"/>
      <c r="AW460" s="257" t="n"/>
      <c r="AX460" s="258" t="n"/>
      <c r="AY460" s="318" t="n"/>
      <c r="AZ460" s="317" t="n"/>
      <c r="BA460" s="257" t="n"/>
      <c r="BB460" s="258" t="n"/>
      <c r="BC460" s="316" t="n"/>
      <c r="BD460" s="317" t="n"/>
      <c r="BE460" s="257" t="n"/>
      <c r="BF460" s="258" t="n"/>
      <c r="BG460" s="89" t="n"/>
      <c r="BH4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60">
        <f>_xlfn.LET(r,ROW(),oc,INDEX($A:$A,r),cv,TRIM(INDEX($Y:$Y,r)&amp;""),IF(oc&lt;&gt;"P1","",IF(cv="45","V45 - novo, nao alimentado pelo spool atual","V44 - alimentado pelo spool atual")))</f>
        <v/>
      </c>
    </row>
    <row r="461" ht="54" customFormat="1" customHeight="1" s="91">
      <c r="A461" s="306" t="inlineStr">
        <is>
          <t>P1</t>
        </is>
      </c>
      <c r="B461" s="307" t="n">
        <v>226</v>
      </c>
      <c r="C461" s="269" t="inlineStr">
        <is>
          <t>09 - Caractéristiques Dérivés</t>
        </is>
      </c>
      <c r="D461" s="310" t="inlineStr">
        <is>
          <t>09 - Derivative characteristics</t>
        </is>
      </c>
      <c r="E461" s="307" t="inlineStr">
        <is>
          <t>P1 10.20</t>
        </is>
      </c>
      <c r="F461" s="545" t="inlineStr">
        <is>
          <t xml:space="preserve">Type de swap </t>
        </is>
      </c>
      <c r="G461" s="309" t="inlineStr">
        <is>
          <t xml:space="preserve">Type of swap </t>
        </is>
      </c>
      <c r="H461" s="1493">
        <f>"RPAD( "&amp;SUBSTITUTE(SUBSTITUTE(E461," ","_"),".","_")&amp;","&amp;W461&amp;",' '); -- "&amp;E461</f>
        <v/>
      </c>
      <c r="I461" s="241" t="inlineStr">
        <is>
          <t>Type de swap</t>
        </is>
      </c>
      <c r="J461" s="309" t="inlineStr">
        <is>
          <t>Type of swap</t>
        </is>
      </c>
      <c r="K461" s="370" t="inlineStr">
        <is>
          <t>ND</t>
        </is>
      </c>
      <c r="L461" s="371" t="inlineStr">
        <is>
          <t>ND</t>
        </is>
      </c>
      <c r="M461" s="1420" t="inlineStr">
        <is>
          <t>cdTypSwap</t>
        </is>
      </c>
      <c r="N461" s="257" t="inlineStr">
        <is>
          <t>Obligatoire sous conditions</t>
        </is>
      </c>
      <c r="O461" s="310" t="inlineStr">
        <is>
          <t>Mandatory under conditions</t>
        </is>
      </c>
      <c r="P461" s="269" t="inlineStr">
        <is>
          <t>LC.0070</t>
        </is>
      </c>
      <c r="Q461" s="269" t="inlineStr">
        <is>
          <t>TA KVTSWAP</t>
        </is>
      </c>
      <c r="R461" s="241" t="inlineStr">
        <is>
          <t>NA</t>
        </is>
      </c>
      <c r="S461" s="233" t="inlineStr">
        <is>
          <t>NA</t>
        </is>
      </c>
      <c r="T461" s="313" t="inlineStr">
        <is>
          <t>ALPHA</t>
        </is>
      </c>
      <c r="U461" s="237" t="inlineStr">
        <is>
          <t>NA</t>
        </is>
      </c>
      <c r="V461" s="238" t="inlineStr">
        <is>
          <t>NA</t>
        </is>
      </c>
      <c r="W461" s="397" t="n">
        <v>2</v>
      </c>
      <c r="X461" s="945" t="inlineStr">
        <is>
          <t>NA</t>
        </is>
      </c>
      <c r="Y461" s="237" t="n">
        <v>40</v>
      </c>
      <c r="Z461" s="237" t="inlineStr">
        <is>
          <t>NA</t>
        </is>
      </c>
      <c r="AA461" s="978" t="inlineStr">
        <is>
          <t>NA</t>
        </is>
      </c>
      <c r="AB461" s="994" t="inlineStr">
        <is>
          <t>CALCULS PRUDENTIELS, CONGLOMERATS, PALMA, SA-CCR</t>
        </is>
      </c>
      <c r="AC461" s="231" t="inlineStr">
        <is>
          <t>ND</t>
        </is>
      </c>
      <c r="AD461" s="257" t="inlineStr">
        <is>
          <t>N</t>
        </is>
      </c>
      <c r="AE461" s="496" t="inlineStr">
        <is>
          <t xml:space="preserve">VAR (hors Repos VAR105, VAR302)
</t>
        </is>
      </c>
      <c r="AF461" s="257" t="inlineStr">
        <is>
          <t>NA</t>
        </is>
      </c>
      <c r="AG461" s="258" t="inlineStr">
        <is>
          <t>NA</t>
        </is>
      </c>
      <c r="AH461" s="89" t="n"/>
      <c r="AI461" s="353" t="inlineStr">
        <is>
          <t>La donnée est obligatoire si le type de risque [P1 2.0] = 'VARxxx' hors (VAR105 et VAR302) et si la donnée si instrument financier [P1 3.75] est égale à '54 – Swaps sur actions' ou '22 – Swaps de taux'</t>
        </is>
      </c>
      <c r="AJ461" s="317" t="inlineStr">
        <is>
          <t>The data is mandatory if risk type [P1 2.0] = 'VARxxx' out (VAR105 and VAR302) and if data if financial instrument [P1 3.75] is equal to '54 - Equity swaps' or '22 - Interest rate swaps'</t>
        </is>
      </c>
      <c r="AK461" s="269" t="n">
        <v>6</v>
      </c>
      <c r="AL461" s="345" t="inlineStr">
        <is>
          <t>TPS0819</t>
        </is>
      </c>
      <c r="AM461" s="452" t="inlineStr">
        <is>
          <t>Si elle est renseignée, la valeur doit être connue du Langage Commun associé</t>
        </is>
      </c>
      <c r="AN461" s="377" t="inlineStr">
        <is>
          <t>If specified, the value must be known to the associated Common Language</t>
        </is>
      </c>
      <c r="AO461" s="257" t="n">
        <v>7</v>
      </c>
      <c r="AP461" s="212" t="inlineStr">
        <is>
          <t>TIG0001</t>
        </is>
      </c>
      <c r="AQ461" s="546" t="inlineStr">
        <is>
          <t>Si elle est renseignée, la donnée doit prendre la valeur 'BS' si l'instrument financier [P1 3.75] est un swap de taux (valeur '22') ET si le type de taux payé [P1 8.1] est variable ou révisable (valeurs 'V' ou 'R') ET si le type de taux reçu [P1 8.11] est variable ou révisable (valeurs 'V' ou 'R') ET si la devise du notionnel de la jambe achetée [P1 3.11] a la même valeur que la devise du notionnel de la jambe vendue [P1 3.13]</t>
        </is>
      </c>
      <c r="AR461" s="317" t="inlineStr">
        <is>
          <t>If populated, the data shall be set to 'BS' if the financial instrument [P1 3.75] is a rate swap (value '22') AND if the type of rate paid [P1 8.1] is variable or revisable (values 'V' or 'R') AND if the type of rate received [P1 8.11] is variable or revisable (values 'V' or 'R') AND if the notional currency of the purchased leg [P1 3.11] has the same value as the notional currency of the sold leg [P1 3.13]</t>
        </is>
      </c>
      <c r="AS461" s="547" t="n">
        <v>6</v>
      </c>
      <c r="AT461" s="548" t="inlineStr">
        <is>
          <t>TVS0767</t>
        </is>
      </c>
      <c r="AU461" s="318" t="inlineStr">
        <is>
          <t>Si le type IF (colonne KVTYPIF de la table KVINSFIN) pour la donnée Instrument financier [P1 3.75] est égal à '04' alors vérifier la cohérence entre la donnée Type de swap [P1 10.20] et Instrument financer [P1 3.75] dans la table KVCOTSIF</t>
        </is>
      </c>
      <c r="AV461" s="317" t="inlineStr">
        <is>
          <t>If the IF type (column KVTYPIF of the KVINSFIN table) for the data item Financial instrument [P1 3.75] is equal to '04' then check the consistency between the data item Swap type [P1 10.20] and Financial instrument [P1 3.75] in the KVCOTSIF table</t>
        </is>
      </c>
      <c r="AW461" s="257" t="n">
        <v>6</v>
      </c>
      <c r="AX461" s="345" t="inlineStr">
        <is>
          <t>TCS0715</t>
        </is>
      </c>
      <c r="AY461" s="318" t="n"/>
      <c r="AZ461" s="317" t="n"/>
      <c r="BA461" s="257" t="n"/>
      <c r="BB461" s="258" t="n"/>
      <c r="BC461" s="316" t="n"/>
      <c r="BD461" s="317" t="n"/>
      <c r="BE461" s="257" t="n"/>
      <c r="BF461" s="258" t="n"/>
      <c r="BG461" s="89" t="n"/>
      <c r="BH4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61">
        <f>_xlfn.LET(r,ROW(),oc,INDEX($A:$A,r),cv,TRIM(INDEX($Y:$Y,r)&amp;""),IF(oc&lt;&gt;"P1","",IF(cv="45","V45 - novo, nao alimentado pelo spool atual","V44 - alimentado pelo spool atual")))</f>
        <v/>
      </c>
    </row>
    <row r="462" ht="54" customFormat="1" customHeight="1" s="91">
      <c r="A462" s="306" t="inlineStr">
        <is>
          <t>P1</t>
        </is>
      </c>
      <c r="B462" s="307" t="n">
        <v>227</v>
      </c>
      <c r="C462" s="269" t="inlineStr">
        <is>
          <t>09 - Caractéristiques Dérivés</t>
        </is>
      </c>
      <c r="D462" s="310" t="inlineStr">
        <is>
          <t>09 - Derivative characteristics</t>
        </is>
      </c>
      <c r="E462" s="307" t="inlineStr">
        <is>
          <t>P1 10.1</t>
        </is>
      </c>
      <c r="F462" s="308" t="inlineStr">
        <is>
          <t xml:space="preserve">Nature de l'Option </t>
        </is>
      </c>
      <c r="G462" s="309" t="inlineStr">
        <is>
          <t xml:space="preserve">Nature of the option </t>
        </is>
      </c>
      <c r="H462" s="1493">
        <f>"RPAD( "&amp;SUBSTITUTE(SUBSTITUTE(E462," ","_"),".","_")&amp;","&amp;W462&amp;",' '); -- "&amp;E462</f>
        <v/>
      </c>
      <c r="I462" s="241" t="inlineStr">
        <is>
          <t>Nature de l'option</t>
        </is>
      </c>
      <c r="J462" s="309" t="inlineStr">
        <is>
          <t>Type of option</t>
        </is>
      </c>
      <c r="K462" s="370" t="inlineStr">
        <is>
          <t>ND</t>
        </is>
      </c>
      <c r="L462" s="371" t="inlineStr">
        <is>
          <t>ND</t>
        </is>
      </c>
      <c r="M462" s="1420" t="inlineStr">
        <is>
          <t>cdNatOpt</t>
        </is>
      </c>
      <c r="N462" s="257" t="inlineStr">
        <is>
          <t>Obligatoire sous conditions</t>
        </is>
      </c>
      <c r="O462" s="236" t="inlineStr">
        <is>
          <t>Mandatory under conditions</t>
        </is>
      </c>
      <c r="P462" s="269" t="inlineStr">
        <is>
          <t>LC.0038</t>
        </is>
      </c>
      <c r="Q462" s="269" t="inlineStr">
        <is>
          <t>TA KVNOPTIO</t>
        </is>
      </c>
      <c r="R462" s="241" t="inlineStr">
        <is>
          <t>NA</t>
        </is>
      </c>
      <c r="S462" s="233" t="inlineStr">
        <is>
          <t>NA</t>
        </is>
      </c>
      <c r="T462" s="313" t="inlineStr">
        <is>
          <t>ALPHA</t>
        </is>
      </c>
      <c r="U462" s="237" t="inlineStr">
        <is>
          <t>NA</t>
        </is>
      </c>
      <c r="V462" s="238" t="inlineStr">
        <is>
          <t>NA</t>
        </is>
      </c>
      <c r="W462" s="397" t="n">
        <v>3</v>
      </c>
      <c r="X462" s="945" t="inlineStr">
        <is>
          <t>NA</t>
        </is>
      </c>
      <c r="Y462" s="237" t="n">
        <v>40</v>
      </c>
      <c r="Z462" s="237" t="inlineStr">
        <is>
          <t>NA</t>
        </is>
      </c>
      <c r="AA462" s="270" t="inlineStr">
        <is>
          <t>NA</t>
        </is>
      </c>
      <c r="AB462" s="994" t="inlineStr">
        <is>
          <t>CALCULS PRUDENTIELS, CORFOU, PALMA</t>
        </is>
      </c>
      <c r="AC462" s="231" t="inlineStr">
        <is>
          <t>ND</t>
        </is>
      </c>
      <c r="AD462" s="257" t="inlineStr">
        <is>
          <t>N</t>
        </is>
      </c>
      <c r="AE462" s="1401" t="inlineStr">
        <is>
          <t>VAR (hors Repos VAR105, VAR302)</t>
        </is>
      </c>
      <c r="AF462" s="257" t="inlineStr">
        <is>
          <t>NA</t>
        </is>
      </c>
      <c r="AG462" s="258" t="inlineStr">
        <is>
          <t>NA</t>
        </is>
      </c>
      <c r="AH462" s="89" t="n"/>
      <c r="AI462" s="549" t="inlineStr">
        <is>
          <t xml:space="preserve">La donnée est obligatoire, si le type de risque [P1 2.0] = 'VARxxx' hors ('VAR105, VAR302') ET pour les types d'instruments financiers [P1 3.75] regroupés sous le code ‘03’ (option) [code du type d’instrument financier indiqué en colonne Type IF de la table KVINSFIN]
</t>
        </is>
      </c>
      <c r="AJ462" s="317" t="inlineStr">
        <is>
          <t>The data is mandatory, if Risk type [P1 2.0] = 'VARxxx' except ('VAR105, VAR302') AND for Financial instrument types [P1 3.75] under code ‘03’ (option) [code of Financial instrument type in column 'FI Type' of the start KVINSFIN table]</t>
        </is>
      </c>
      <c r="AK462" s="257" t="n">
        <v>5</v>
      </c>
      <c r="AL462" s="420" t="inlineStr">
        <is>
          <t>TPS0820</t>
        </is>
      </c>
      <c r="AM462" s="318" t="inlineStr">
        <is>
          <t>Si elle est renseignée, la valeur doit être connue du Langage Commun associé</t>
        </is>
      </c>
      <c r="AN462" s="317" t="inlineStr">
        <is>
          <t>If specified, the value must be known to the associated Common Language</t>
        </is>
      </c>
      <c r="AO462" s="257" t="n">
        <v>7</v>
      </c>
      <c r="AP462" s="212" t="inlineStr">
        <is>
          <t>TIG0001</t>
        </is>
      </c>
      <c r="AQ462" s="318" t="n"/>
      <c r="AR462" s="317" t="n"/>
      <c r="AS462" s="257" t="n"/>
      <c r="AT462" s="258" t="n"/>
      <c r="AU462" s="318" t="n"/>
      <c r="AV462" s="317" t="n"/>
      <c r="AW462" s="257" t="n"/>
      <c r="AX462" s="258" t="n"/>
      <c r="AY462" s="318" t="n"/>
      <c r="AZ462" s="317" t="n"/>
      <c r="BA462" s="257" t="n"/>
      <c r="BB462" s="258" t="n"/>
      <c r="BC462" s="316" t="n"/>
      <c r="BD462" s="317" t="n"/>
      <c r="BE462" s="257" t="n"/>
      <c r="BF462" s="258" t="n"/>
      <c r="BG462" s="89" t="n"/>
      <c r="BH4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62">
        <f>_xlfn.LET(r,ROW(),oc,INDEX($A:$A,r),cv,TRIM(INDEX($Y:$Y,r)&amp;""),IF(oc&lt;&gt;"P1","",IF(cv="45","V45 - novo, nao alimentado pelo spool atual","V44 - alimentado pelo spool atual")))</f>
        <v/>
      </c>
    </row>
    <row r="463" ht="54" customFormat="1" customHeight="1" s="91">
      <c r="A463" s="306" t="inlineStr">
        <is>
          <t>P1</t>
        </is>
      </c>
      <c r="B463" s="307" t="n">
        <v>228</v>
      </c>
      <c r="C463" s="269" t="inlineStr">
        <is>
          <t>09 - Caractéristiques Dérivés</t>
        </is>
      </c>
      <c r="D463" s="310" t="inlineStr">
        <is>
          <t>09 - Derivative characteristics</t>
        </is>
      </c>
      <c r="E463" s="307" t="inlineStr">
        <is>
          <t>P1 10.2</t>
        </is>
      </c>
      <c r="F463" s="550" t="inlineStr">
        <is>
          <t>Indicateur Call Put</t>
        </is>
      </c>
      <c r="G463" s="309" t="inlineStr">
        <is>
          <t>Indicator Call Put</t>
        </is>
      </c>
      <c r="H463" s="1493">
        <f>"RPAD( "&amp;SUBSTITUTE(SUBSTITUTE(E463," ","_"),".","_")&amp;","&amp;W463&amp;",' '); -- "&amp;E463</f>
        <v/>
      </c>
      <c r="I463" s="241" t="inlineStr">
        <is>
          <t>Indicateur permettant de préciser si l'option est de nature Call ou Put</t>
        </is>
      </c>
      <c r="J463" s="309" t="inlineStr">
        <is>
          <t>Indicator identifying whether the option is Call or Put</t>
        </is>
      </c>
      <c r="K463" s="370" t="inlineStr">
        <is>
          <t>ND</t>
        </is>
      </c>
      <c r="L463" s="371" t="inlineStr">
        <is>
          <t>ND</t>
        </is>
      </c>
      <c r="M463" s="1420" t="inlineStr">
        <is>
          <t>cdCallPut</t>
        </is>
      </c>
      <c r="N463" s="257" t="inlineStr">
        <is>
          <t>Obligatoire sous conditions</t>
        </is>
      </c>
      <c r="O463" s="236" t="inlineStr">
        <is>
          <t>Mandatory under conditions</t>
        </is>
      </c>
      <c r="P463" s="269" t="inlineStr">
        <is>
          <t>LC.0039</t>
        </is>
      </c>
      <c r="Q463" s="269" t="inlineStr">
        <is>
          <t>TA KVCLLPUT</t>
        </is>
      </c>
      <c r="R463" s="241" t="inlineStr">
        <is>
          <t>NA</t>
        </is>
      </c>
      <c r="S463" s="233" t="inlineStr">
        <is>
          <t>NA</t>
        </is>
      </c>
      <c r="T463" s="313" t="inlineStr">
        <is>
          <t>ALPHA</t>
        </is>
      </c>
      <c r="U463" s="237" t="inlineStr">
        <is>
          <t>NA</t>
        </is>
      </c>
      <c r="V463" s="238" t="inlineStr">
        <is>
          <t>NA</t>
        </is>
      </c>
      <c r="W463" s="397" t="n">
        <v>1</v>
      </c>
      <c r="X463" s="945" t="inlineStr">
        <is>
          <t>NA</t>
        </is>
      </c>
      <c r="Y463" s="237" t="n">
        <v>40</v>
      </c>
      <c r="Z463" s="237" t="inlineStr">
        <is>
          <t>NA</t>
        </is>
      </c>
      <c r="AA463" s="270" t="inlineStr">
        <is>
          <t>NA</t>
        </is>
      </c>
      <c r="AB463" s="994" t="inlineStr">
        <is>
          <t>CALCULS PRUDENTIELS, CORFOU, PALMA, SA-CCR</t>
        </is>
      </c>
      <c r="AC463" s="231" t="inlineStr">
        <is>
          <t>ND</t>
        </is>
      </c>
      <c r="AD463" s="257" t="inlineStr">
        <is>
          <t>N</t>
        </is>
      </c>
      <c r="AE463" s="496" t="inlineStr">
        <is>
          <t xml:space="preserve">VAR (hors Repos VAR105, VAR302)
</t>
        </is>
      </c>
      <c r="AF463" s="257" t="inlineStr">
        <is>
          <t>NA</t>
        </is>
      </c>
      <c r="AG463" s="258" t="inlineStr">
        <is>
          <t>NA</t>
        </is>
      </c>
      <c r="AH463" s="89" t="n"/>
      <c r="AI463" s="316" t="inlineStr">
        <is>
          <t xml:space="preserve">La donnée est obligatoire, si le type de risque [P1 2.0] = 'VARxxx' hors ('VAR105, VAR302') ET pour les types d'instruments financiers [P1 3.75] regroupés sous le code ‘03’ (option) [code du type d’instrument financier indiqué en colonne Type IF de la table KVINSFIN]
</t>
        </is>
      </c>
      <c r="AJ463" s="317" t="inlineStr">
        <is>
          <t>The data is mandatory, if Risk type [P1 2.0] = 'VARxxx' except ('VAR105, VAR302') AND for Financial instrument types [P1 3.75] under code ‘03’ (option) [code of Financial instrument type in column 'FI Type' of the start KVINSFIN table]</t>
        </is>
      </c>
      <c r="AK463" s="257" t="n">
        <v>6</v>
      </c>
      <c r="AL463" s="420" t="inlineStr">
        <is>
          <t>TPS0820</t>
        </is>
      </c>
      <c r="AM463" s="318" t="inlineStr">
        <is>
          <t>Si elle est renseignée, la valeur doit être connue du Langage Commun associé</t>
        </is>
      </c>
      <c r="AN463" s="317" t="inlineStr">
        <is>
          <t>If specified, the value must be known to the associated Common Language</t>
        </is>
      </c>
      <c r="AO463" s="257" t="n">
        <v>7</v>
      </c>
      <c r="AP463" s="212" t="inlineStr">
        <is>
          <t>TIG0001</t>
        </is>
      </c>
      <c r="AQ463" s="318" t="n"/>
      <c r="AR463" s="317" t="n"/>
      <c r="AS463" s="257" t="n"/>
      <c r="AT463" s="258" t="n"/>
      <c r="AU463" s="318" t="n"/>
      <c r="AV463" s="317" t="n"/>
      <c r="AW463" s="257" t="n"/>
      <c r="AX463" s="258" t="n"/>
      <c r="AY463" s="318" t="n"/>
      <c r="AZ463" s="317" t="n"/>
      <c r="BA463" s="257" t="n"/>
      <c r="BB463" s="258" t="n"/>
      <c r="BC463" s="316" t="n"/>
      <c r="BD463" s="317" t="n"/>
      <c r="BE463" s="257" t="n"/>
      <c r="BF463" s="258" t="n"/>
      <c r="BG463" s="89" t="n"/>
      <c r="BH4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63">
        <f>_xlfn.LET(r,ROW(),oc,INDEX($A:$A,r),cv,TRIM(INDEX($Y:$Y,r)&amp;""),IF(oc&lt;&gt;"P1","",IF(cv="45","V45 - novo, nao alimentado pelo spool atual","V44 - alimentado pelo spool atual")))</f>
        <v/>
      </c>
    </row>
    <row r="464" ht="54" customFormat="1" customHeight="1" s="91">
      <c r="A464" s="306" t="inlineStr">
        <is>
          <t>P1</t>
        </is>
      </c>
      <c r="B464" s="307" t="n">
        <v>229</v>
      </c>
      <c r="C464" s="269" t="inlineStr">
        <is>
          <t>22 - Caractéristiques de taux</t>
        </is>
      </c>
      <c r="D464" s="310" t="inlineStr">
        <is>
          <t>22 - Rate characteristics</t>
        </is>
      </c>
      <c r="E464" s="307" t="inlineStr">
        <is>
          <t>P1 8.1</t>
        </is>
      </c>
      <c r="F464" s="1172" t="inlineStr">
        <is>
          <t>Type du taux payé du dérivé</t>
        </is>
      </c>
      <c r="G464" s="968" t="inlineStr">
        <is>
          <t>Type of paid rate from derivative</t>
        </is>
      </c>
      <c r="H464" s="1493">
        <f>"RPAD( "&amp;SUBSTITUTE(SUBSTITUTE(E464," ","_"),".","_")&amp;","&amp;W464&amp;",' '); -- "&amp;E464</f>
        <v/>
      </c>
      <c r="I464" s="1172" t="inlineStr">
        <is>
          <t>Type du taux payé du dérivé</t>
        </is>
      </c>
      <c r="J464" s="968" t="inlineStr">
        <is>
          <t>Type of paid rate from derivative</t>
        </is>
      </c>
      <c r="K464" s="370" t="inlineStr">
        <is>
          <t>ND</t>
        </is>
      </c>
      <c r="L464" s="371" t="inlineStr">
        <is>
          <t>ND</t>
        </is>
      </c>
      <c r="M464" s="1420" t="inlineStr">
        <is>
          <t>cdTypTxPaye</t>
        </is>
      </c>
      <c r="N464" s="257" t="inlineStr">
        <is>
          <t>Obligatoire sous conditions</t>
        </is>
      </c>
      <c r="O464" s="236" t="inlineStr">
        <is>
          <t>Mandatory under conditions</t>
        </is>
      </c>
      <c r="P464" s="269" t="inlineStr">
        <is>
          <t>LC.0035</t>
        </is>
      </c>
      <c r="Q464" s="269" t="inlineStr">
        <is>
          <t>TA KVTTAUX</t>
        </is>
      </c>
      <c r="R464" s="241" t="inlineStr">
        <is>
          <t>NA</t>
        </is>
      </c>
      <c r="S464" s="233" t="inlineStr">
        <is>
          <t>NA</t>
        </is>
      </c>
      <c r="T464" s="313" t="inlineStr">
        <is>
          <t>ALPHA</t>
        </is>
      </c>
      <c r="U464" s="237" t="inlineStr">
        <is>
          <t>NA</t>
        </is>
      </c>
      <c r="V464" s="238" t="inlineStr">
        <is>
          <t>NA</t>
        </is>
      </c>
      <c r="W464" s="397" t="n">
        <v>1</v>
      </c>
      <c r="X464" s="945" t="inlineStr">
        <is>
          <t>NA</t>
        </is>
      </c>
      <c r="Y464" s="237" t="n">
        <v>40</v>
      </c>
      <c r="Z464" s="237" t="inlineStr">
        <is>
          <t>NA</t>
        </is>
      </c>
      <c r="AA464" s="270" t="inlineStr">
        <is>
          <t>45.00</t>
        </is>
      </c>
      <c r="AB464" s="932" t="inlineStr">
        <is>
          <t>CALCULS PRUDENTIELS, CORFOU, LIQUIDITE, PALMA, PVA, SA-CCR, SRB VALUATION</t>
        </is>
      </c>
      <c r="AC464" s="231" t="inlineStr">
        <is>
          <t>ND</t>
        </is>
      </c>
      <c r="AD464" s="257" t="inlineStr">
        <is>
          <t>N</t>
        </is>
      </c>
      <c r="AE464" s="1174" t="inlineStr">
        <is>
          <t>VAR (hors Repos VAR105, VAR302)</t>
        </is>
      </c>
      <c r="AF464" s="257" t="inlineStr">
        <is>
          <t>NA</t>
        </is>
      </c>
      <c r="AG464" s="258" t="inlineStr">
        <is>
          <t>NA</t>
        </is>
      </c>
      <c r="AH464" s="89" t="n"/>
      <c r="AI464" s="552" t="inlineStr">
        <is>
          <t>La donnée est obligatoire si le type de risque [P1 2.0] = 'VARxxx' hors ('VAR105', 'VAR302') et si catégorie IF trouvée pour [P1 3.75] = ‘02' (Code catégorie =KVCATIF, 4ème colonne de la table start KVINSFIN) ET si Type du taux reçu [P1 8.11] n'est pas renseigné</t>
        </is>
      </c>
      <c r="AJ464" s="317" t="inlineStr">
        <is>
          <t>The data is mandatory if Risk type [P1 2.0] = 'VARxxx' except ('VAR105', 'VAR302') and if category IF found for [P1 3.75] = ‘02' (Category code =KVCATIF, 4th column of start KVINSFIN table) AND if the data is mandatory if Type of received rate [P1 8.11] is not filled in</t>
        </is>
      </c>
      <c r="AK464" s="257" t="n">
        <v>6</v>
      </c>
      <c r="AL464" s="345" t="inlineStr">
        <is>
          <t>TPS0821</t>
        </is>
      </c>
      <c r="AM464" s="318" t="inlineStr">
        <is>
          <t>Si elle est renseignée, la valeur doit être connue du Langage Commun associé</t>
        </is>
      </c>
      <c r="AN464" s="317" t="inlineStr">
        <is>
          <t>If specified, the value must be known to the associated Common Language</t>
        </is>
      </c>
      <c r="AO464" s="257" t="n">
        <v>7</v>
      </c>
      <c r="AP464" s="212" t="inlineStr">
        <is>
          <t>TIG0001</t>
        </is>
      </c>
      <c r="AQ464" s="318" t="n"/>
      <c r="AR464" s="317" t="n"/>
      <c r="AS464" s="257" t="n"/>
      <c r="AT464" s="258" t="n"/>
      <c r="AU464" s="318" t="n"/>
      <c r="AV464" s="317" t="n"/>
      <c r="AW464" s="257" t="n"/>
      <c r="AX464" s="258" t="n"/>
      <c r="AY464" s="318" t="n"/>
      <c r="AZ464" s="317" t="n"/>
      <c r="BA464" s="257" t="n"/>
      <c r="BB464" s="258" t="n"/>
      <c r="BC464" s="316" t="n"/>
      <c r="BD464" s="317" t="n"/>
      <c r="BE464" s="257" t="n"/>
      <c r="BF464" s="258" t="n"/>
      <c r="BG464" s="89" t="n"/>
      <c r="BH4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64">
        <f>_xlfn.LET(r,ROW(),oc,INDEX($A:$A,r),cv,TRIM(INDEX($Y:$Y,r)&amp;""),IF(oc&lt;&gt;"P1","",IF(cv="45","V45 - novo, nao alimentado pelo spool atual","V44 - alimentado pelo spool atual")))</f>
        <v/>
      </c>
    </row>
    <row r="465" ht="54" customFormat="1" customHeight="1" s="91">
      <c r="A465" s="306" t="inlineStr">
        <is>
          <t>P1</t>
        </is>
      </c>
      <c r="B465" s="307" t="n">
        <v>230</v>
      </c>
      <c r="C465" s="269" t="inlineStr">
        <is>
          <t>22 - Caractéristiques de taux</t>
        </is>
      </c>
      <c r="D465" s="310" t="inlineStr">
        <is>
          <t>22 - Rate characteristics</t>
        </is>
      </c>
      <c r="E465" s="307" t="inlineStr">
        <is>
          <t>P1 8.2</t>
        </is>
      </c>
      <c r="F465" s="1026" t="inlineStr">
        <is>
          <t>Indice de référence du taux payé</t>
        </is>
      </c>
      <c r="G465" s="968" t="inlineStr">
        <is>
          <t>Reference index paid rate</t>
        </is>
      </c>
      <c r="H465" s="1493">
        <f>"RPAD( "&amp;SUBSTITUTE(SUBSTITUTE(E465," ","_"),".","_")&amp;","&amp;W465&amp;",' '); -- "&amp;E465</f>
        <v/>
      </c>
      <c r="I465" s="1026" t="inlineStr">
        <is>
          <t>Indice de référence payé pour les taux variables et révisables</t>
        </is>
      </c>
      <c r="J465" s="968" t="inlineStr">
        <is>
          <t>Reference index paid for variable and reviewable rates</t>
        </is>
      </c>
      <c r="K465" s="370" t="inlineStr">
        <is>
          <t>ND</t>
        </is>
      </c>
      <c r="L465" s="371" t="inlineStr">
        <is>
          <t>ND</t>
        </is>
      </c>
      <c r="M465" s="1420" t="inlineStr">
        <is>
          <t>cdRefTxPaye</t>
        </is>
      </c>
      <c r="N465" s="257" t="inlineStr">
        <is>
          <t>Obligatoire sous conditions</t>
        </is>
      </c>
      <c r="O465" s="310" t="inlineStr">
        <is>
          <t>Mandatory under conditions</t>
        </is>
      </c>
      <c r="P465" s="269" t="inlineStr">
        <is>
          <t>LC.0229</t>
        </is>
      </c>
      <c r="Q465" s="269" t="inlineStr">
        <is>
          <t>TA XPINDEX</t>
        </is>
      </c>
      <c r="R465" s="1027" t="inlineStr">
        <is>
          <t>NA</t>
        </is>
      </c>
      <c r="S465" s="1009" t="inlineStr">
        <is>
          <t>NA</t>
        </is>
      </c>
      <c r="T465" s="313" t="inlineStr">
        <is>
          <t>ALPHA</t>
        </is>
      </c>
      <c r="U465" s="237" t="inlineStr">
        <is>
          <t>NA</t>
        </is>
      </c>
      <c r="V465" s="238" t="inlineStr">
        <is>
          <t>NA</t>
        </is>
      </c>
      <c r="W465" s="397" t="n">
        <v>14</v>
      </c>
      <c r="X465" s="945" t="inlineStr">
        <is>
          <t>NA</t>
        </is>
      </c>
      <c r="Y465" s="237" t="n">
        <v>40</v>
      </c>
      <c r="Z465" s="237" t="inlineStr">
        <is>
          <t>NA</t>
        </is>
      </c>
      <c r="AA465" s="978" t="inlineStr">
        <is>
          <t>45.00</t>
        </is>
      </c>
      <c r="AB465" s="932" t="inlineStr">
        <is>
          <t>CALCULS PRUDENTIELS, CONGLOMERATS, CORFOU, LIQUIDITE, PALMA, PVA, SA-CCR</t>
        </is>
      </c>
      <c r="AC465" s="231" t="inlineStr">
        <is>
          <t>ND</t>
        </is>
      </c>
      <c r="AD465" s="257" t="inlineStr">
        <is>
          <t>N</t>
        </is>
      </c>
      <c r="AE465" s="1174" t="inlineStr">
        <is>
          <t>VAR (hors Repos VAR105, VAR302)</t>
        </is>
      </c>
      <c r="AF465" s="257" t="inlineStr">
        <is>
          <t>NA</t>
        </is>
      </c>
      <c r="AG465" s="258" t="inlineStr">
        <is>
          <t>NA</t>
        </is>
      </c>
      <c r="AH465" s="89" t="n"/>
      <c r="AI465" s="553" t="inlineStr">
        <is>
          <t>La donnée est obligatoire si le type de risque [P1 2.0] = 'VARxxx' hors ('VAR105', 'VAR302') ET [si le code catégorie (colonne KVCATIF de la table KVINSFIN) pour la donnée Instrument financier [P1 3.75] est égal à '02' ET si Instrument financier [P1 3.75] différent de '23'] OU [(si l'instrument financier [P1 3.75] ='23' ET Sens de la transaction [P1 3.7] = '0' ET Indicateur Call Put [P1 10.2] = 'P' (PUT)) OU (si l'instrument financier [P1 3.75] ='23' ET Sens de la transaction [P1 3.7] = '1' ET Indicateur Call Put [P1 10.2] = 'C' (CALL)]</t>
        </is>
      </c>
      <c r="AJ465" s="317" t="inlineStr">
        <is>
          <t>The data is mandatory if Risk type [P1 2.0] = 'VARxxx' out ('VAR105', 'VAR302') AND [if the category code (column KVCATIF of the KVINSFIN table) for the data Financial instrument [P1 3.75] is equal to '02' AND if Financial instrument [P1 3.75] is different of '23'] OR [(if Financial instrument [P1 3.75] ='23' AND if Direction of transaction [P1 3.7] = '0' AND Indicator Call Put [P1 10.2] = 'P' (PUT)) OR (if Financial instrument [P1 3.75] ='23' AND if Direction of transaction [P1 3.7] = '1' AND Indicator Call Put [P1 10.2] = 'C' (CALL)]</t>
        </is>
      </c>
      <c r="AK465" s="269" t="n">
        <v>6</v>
      </c>
      <c r="AL465" s="345" t="inlineStr">
        <is>
          <t>TPS0822</t>
        </is>
      </c>
      <c r="AM465" s="1028" t="inlineStr">
        <is>
          <t>Si elle est renseignée, la valeur doit être connue du Langage Commun associé</t>
        </is>
      </c>
      <c r="AN465" s="931" t="inlineStr">
        <is>
          <t>If specified, the value must be known to the associated Common Language</t>
        </is>
      </c>
      <c r="AO465" s="958" t="n">
        <v>7</v>
      </c>
      <c r="AP465" s="1003" t="inlineStr">
        <is>
          <t>TIG0001</t>
        </is>
      </c>
      <c r="AQ465" s="1029" t="inlineStr">
        <is>
          <t>La valeur 'FIXE' n'est pas autorisée</t>
        </is>
      </c>
      <c r="AR465" s="931" t="inlineStr">
        <is>
          <t>The value 'FIXE' is not allowed</t>
        </is>
      </c>
      <c r="AS465" s="1030" t="n">
        <v>7</v>
      </c>
      <c r="AT465" s="1031" t="inlineStr">
        <is>
          <t>TVS0770</t>
        </is>
      </c>
      <c r="AU465" s="318" t="n"/>
      <c r="AV465" s="317" t="n"/>
      <c r="AW465" s="257" t="n"/>
      <c r="AX465" s="258" t="n"/>
      <c r="AY465" s="318" t="n"/>
      <c r="AZ465" s="317" t="n"/>
      <c r="BA465" s="257" t="n"/>
      <c r="BB465" s="258" t="n"/>
      <c r="BC465" s="316" t="n"/>
      <c r="BD465" s="317" t="n"/>
      <c r="BE465" s="257" t="n"/>
      <c r="BF465" s="258" t="n"/>
      <c r="BG465" s="89" t="n"/>
      <c r="BH4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65">
        <f>_xlfn.LET(r,ROW(),oc,INDEX($A:$A,r),cv,TRIM(INDEX($Y:$Y,r)&amp;""),IF(oc&lt;&gt;"P1","",IF(cv="45","V45 - novo, nao alimentado pelo spool atual","V44 - alimentado pelo spool atual")))</f>
        <v/>
      </c>
    </row>
    <row r="466" ht="54" customFormat="1" customHeight="1" s="91">
      <c r="A466" s="306" t="inlineStr">
        <is>
          <t>P1</t>
        </is>
      </c>
      <c r="B466" s="307" t="n">
        <v>231</v>
      </c>
      <c r="C466" s="269" t="inlineStr">
        <is>
          <t>22 - Caractéristiques de taux</t>
        </is>
      </c>
      <c r="D466" s="310" t="inlineStr">
        <is>
          <t>22 - Rate characteristics</t>
        </is>
      </c>
      <c r="E466" s="307" t="inlineStr">
        <is>
          <t>P1 8.11</t>
        </is>
      </c>
      <c r="F466" s="1172" t="inlineStr">
        <is>
          <t>Type du taux reçu du dérivé</t>
        </is>
      </c>
      <c r="G466" s="968" t="inlineStr">
        <is>
          <t>Type of received rate from derivative</t>
        </is>
      </c>
      <c r="H466" s="1493">
        <f>"RPAD( "&amp;SUBSTITUTE(SUBSTITUTE(E466," ","_"),".","_")&amp;","&amp;W466&amp;",' '); -- "&amp;E466</f>
        <v/>
      </c>
      <c r="I466" s="1172" t="inlineStr">
        <is>
          <t>Type du taux reçu du dérivé</t>
        </is>
      </c>
      <c r="J466" s="968" t="inlineStr">
        <is>
          <t>Type of received rate from derivative</t>
        </is>
      </c>
      <c r="K466" s="370" t="inlineStr">
        <is>
          <t>ND</t>
        </is>
      </c>
      <c r="L466" s="371" t="inlineStr">
        <is>
          <t>ND</t>
        </is>
      </c>
      <c r="M466" s="1420" t="inlineStr">
        <is>
          <t>cdTypTxRecu</t>
        </is>
      </c>
      <c r="N466" s="257" t="inlineStr">
        <is>
          <t>Obligatoire sous conditions</t>
        </is>
      </c>
      <c r="O466" s="236" t="inlineStr">
        <is>
          <t>Mandatory under conditions</t>
        </is>
      </c>
      <c r="P466" s="269" t="inlineStr">
        <is>
          <t>LC.0035</t>
        </is>
      </c>
      <c r="Q466" s="269" t="inlineStr">
        <is>
          <t>TA KVTTAUX</t>
        </is>
      </c>
      <c r="R466" s="241" t="inlineStr">
        <is>
          <t>NA</t>
        </is>
      </c>
      <c r="S466" s="233" t="inlineStr">
        <is>
          <t>NA</t>
        </is>
      </c>
      <c r="T466" s="313" t="inlineStr">
        <is>
          <t>ALPHA</t>
        </is>
      </c>
      <c r="U466" s="237" t="inlineStr">
        <is>
          <t>NA</t>
        </is>
      </c>
      <c r="V466" s="238" t="inlineStr">
        <is>
          <t>NA</t>
        </is>
      </c>
      <c r="W466" s="397" t="n">
        <v>1</v>
      </c>
      <c r="X466" s="945" t="inlineStr">
        <is>
          <t>NA</t>
        </is>
      </c>
      <c r="Y466" s="237" t="n">
        <v>40</v>
      </c>
      <c r="Z466" s="237" t="inlineStr">
        <is>
          <t>NA</t>
        </is>
      </c>
      <c r="AA466" s="270" t="inlineStr">
        <is>
          <t>45.00</t>
        </is>
      </c>
      <c r="AB466" s="932" t="inlineStr">
        <is>
          <t>CALCULS PRUDENTIELS, CORFOU, LIQUIDITE, PALMA, PVA, SA-CCR, SRB VALUATION</t>
        </is>
      </c>
      <c r="AC466" s="231" t="inlineStr">
        <is>
          <t>ND</t>
        </is>
      </c>
      <c r="AD466" s="257" t="inlineStr">
        <is>
          <t>N</t>
        </is>
      </c>
      <c r="AE466" s="1174" t="inlineStr">
        <is>
          <t>VAR (hors Repos VAR105, VAR302)</t>
        </is>
      </c>
      <c r="AF466" s="257" t="inlineStr">
        <is>
          <t>NA</t>
        </is>
      </c>
      <c r="AG466" s="258" t="inlineStr">
        <is>
          <t>NA</t>
        </is>
      </c>
      <c r="AH466" s="89" t="n"/>
      <c r="AI466" s="555" t="inlineStr">
        <is>
          <t>La donnée est obligatoire si le type de risque [P1 2.0] = 'VARxxx' hors ('VAR105', 'VAR302') et si catégorie IF trouvée pour [P1 3.75] = ‘02' (Code catégorie =KVCATIF, 4ème colonne de la table start KVINSFIN)</t>
        </is>
      </c>
      <c r="AJ466" s="317" t="inlineStr">
        <is>
          <t>The data is mandatory if Risk type [P1 2.0] = 'VARxxx' except ('VAR105', 'VAR302') and if category IF found for [P1 3.75] = ‘02' (Category code =KVCATIF, 4th column of start KVINSFIN table)</t>
        </is>
      </c>
      <c r="AK466" s="257" t="n">
        <v>6</v>
      </c>
      <c r="AL466" s="345" t="inlineStr">
        <is>
          <t>TPS0823</t>
        </is>
      </c>
      <c r="AM466" s="318" t="inlineStr">
        <is>
          <t>Si elle est renseignée, la valeur doit être connue du Langage Commun associé</t>
        </is>
      </c>
      <c r="AN466" s="317" t="inlineStr">
        <is>
          <t>If specified, the value must be known to the associated Common Language</t>
        </is>
      </c>
      <c r="AO466" s="257" t="n">
        <v>7</v>
      </c>
      <c r="AP466" s="212" t="inlineStr">
        <is>
          <t>TIG0001</t>
        </is>
      </c>
      <c r="AQ466" s="318" t="n"/>
      <c r="AR466" s="317" t="n"/>
      <c r="AS466" s="257" t="n"/>
      <c r="AT466" s="258" t="n"/>
      <c r="AU466" s="318" t="n"/>
      <c r="AV466" s="317" t="n"/>
      <c r="AW466" s="257" t="n"/>
      <c r="AX466" s="258" t="n"/>
      <c r="AY466" s="318" t="n"/>
      <c r="AZ466" s="317" t="n"/>
      <c r="BA466" s="257" t="n"/>
      <c r="BB466" s="258" t="n"/>
      <c r="BC466" s="316" t="n"/>
      <c r="BD466" s="317" t="n"/>
      <c r="BE466" s="257" t="n"/>
      <c r="BF466" s="258" t="n"/>
      <c r="BG466" s="89" t="n"/>
      <c r="BH4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66">
        <f>_xlfn.LET(r,ROW(),oc,INDEX($A:$A,r),cv,TRIM(INDEX($Y:$Y,r)&amp;""),IF(oc&lt;&gt;"P1","",IF(cv="45","V45 - novo, nao alimentado pelo spool atual","V44 - alimentado pelo spool atual")))</f>
        <v/>
      </c>
    </row>
    <row r="467" ht="54" customFormat="1" customHeight="1" s="91">
      <c r="A467" s="306" t="inlineStr">
        <is>
          <t>P1</t>
        </is>
      </c>
      <c r="B467" s="307" t="n">
        <v>232</v>
      </c>
      <c r="C467" s="269" t="inlineStr">
        <is>
          <t>22 - Caractéristiques de taux</t>
        </is>
      </c>
      <c r="D467" s="310" t="inlineStr">
        <is>
          <t>22 - Rate characteristics</t>
        </is>
      </c>
      <c r="E467" s="307" t="inlineStr">
        <is>
          <t>P1 8.12</t>
        </is>
      </c>
      <c r="F467" s="1026" t="inlineStr">
        <is>
          <t>Indice de référence du taux reçu</t>
        </is>
      </c>
      <c r="G467" s="968" t="inlineStr">
        <is>
          <t>Reference index received rate</t>
        </is>
      </c>
      <c r="H467" s="1493">
        <f>"RPAD( "&amp;SUBSTITUTE(SUBSTITUTE(E467," ","_"),".","_")&amp;","&amp;W467&amp;",' '); -- "&amp;E467</f>
        <v/>
      </c>
      <c r="I467" s="1026" t="inlineStr">
        <is>
          <t>Indice de référence reçu pour les taux variables et révisables</t>
        </is>
      </c>
      <c r="J467" s="968" t="inlineStr">
        <is>
          <t>Reference index received for variable and reviewable rates</t>
        </is>
      </c>
      <c r="K467" s="370" t="inlineStr">
        <is>
          <t>ND</t>
        </is>
      </c>
      <c r="L467" s="371" t="inlineStr">
        <is>
          <t>ND</t>
        </is>
      </c>
      <c r="M467" s="1420" t="inlineStr">
        <is>
          <t>cdRefTxRecu</t>
        </is>
      </c>
      <c r="N467" s="257" t="inlineStr">
        <is>
          <t>Obligatoire sous conditions</t>
        </is>
      </c>
      <c r="O467" s="310" t="inlineStr">
        <is>
          <t>Mandatory under conditions</t>
        </is>
      </c>
      <c r="P467" s="269" t="inlineStr">
        <is>
          <t>LC.0229</t>
        </is>
      </c>
      <c r="Q467" s="269" t="inlineStr">
        <is>
          <t>TA XPINDEX</t>
        </is>
      </c>
      <c r="R467" s="1027" t="inlineStr">
        <is>
          <t>NA</t>
        </is>
      </c>
      <c r="S467" s="1009" t="inlineStr">
        <is>
          <t>NA</t>
        </is>
      </c>
      <c r="T467" s="313" t="inlineStr">
        <is>
          <t>ALPHA</t>
        </is>
      </c>
      <c r="U467" s="237" t="inlineStr">
        <is>
          <t>NA</t>
        </is>
      </c>
      <c r="V467" s="238" t="inlineStr">
        <is>
          <t>NA</t>
        </is>
      </c>
      <c r="W467" s="397" t="n">
        <v>14</v>
      </c>
      <c r="X467" s="945" t="inlineStr">
        <is>
          <t>NA</t>
        </is>
      </c>
      <c r="Y467" s="237" t="n">
        <v>40</v>
      </c>
      <c r="Z467" s="237" t="inlineStr">
        <is>
          <t>NA</t>
        </is>
      </c>
      <c r="AA467" s="978" t="inlineStr">
        <is>
          <t>45.00</t>
        </is>
      </c>
      <c r="AB467" s="932" t="inlineStr">
        <is>
          <t>CALCULS PRUDENTIELS, CONGLOMERATS, CORFOU, LIQUIDITE, PALMA, PVA, SA-CCR</t>
        </is>
      </c>
      <c r="AC467" s="231" t="inlineStr">
        <is>
          <t>ND</t>
        </is>
      </c>
      <c r="AD467" s="257" t="inlineStr">
        <is>
          <t>N</t>
        </is>
      </c>
      <c r="AE467" s="496" t="inlineStr">
        <is>
          <t xml:space="preserve">VAR (hors Repos VAR105, VAR302)
</t>
        </is>
      </c>
      <c r="AF467" s="257" t="inlineStr">
        <is>
          <t>NA</t>
        </is>
      </c>
      <c r="AG467" s="258" t="inlineStr">
        <is>
          <t>NA</t>
        </is>
      </c>
      <c r="AH467" s="89" t="n"/>
      <c r="AI467" s="553" t="inlineStr">
        <is>
          <t>La donnée est obligatoire si le type de risque [P1 2.0] = 'VARxxx' hors ('VAR105', 'VAR302') ET [si le code catégorie (colonne KVCATIF de la table KVINSFIN) pour la donnée Instrument financier [P1 3.75] est égal à '02' ET si Instrument financier [P1 3.75] différent de '23'] OU [(si l'instrument financier [P1 3.75] ='23' ET Sens de la transaction [P1 3.7] = '0' ET Indicateur Call Put [P1 10.2] = 'C' (CALL)) OU (si l'instrument financier [P1 3.75] ='23' ET Sens de la transaction [P1 3.7] = '1' ET Indicateur Call Put [P1 10.2] = 'P' (PUT)]</t>
        </is>
      </c>
      <c r="AJ467" s="317" t="inlineStr">
        <is>
          <t>The data is mandatory if Risk type [P1 2.0] = 'VARxxx' out ('VAR105', 'VAR302') AND [if the category code (column KVCATIF of the KVINSFIN table) for the data Financial instrument [P1 3.75] is equal to '02' AND if Financial instrument [P1 3.75] is different of '23'] OR [(if Financial instrument [P1 3.75] ='23' AND if Direction of transaction [P1 3.7] = '0' AND Indicator Call Put [P1 10.2] = 'C' (CALL)) OR (if Financial instrument [P1 3.75] ='23' AND if Direction of transaction [P1 3.7] = '1' AND Indicator Call Put [P1 10.2] = 'P' (PUT)]</t>
        </is>
      </c>
      <c r="AK467" s="257" t="n">
        <v>6</v>
      </c>
      <c r="AL467" s="345" t="inlineStr">
        <is>
          <t>TPS0824</t>
        </is>
      </c>
      <c r="AM467" s="1028" t="inlineStr">
        <is>
          <t>Si elle est renseignée, la valeur doit être connue du Langage Commun associé</t>
        </is>
      </c>
      <c r="AN467" s="931" t="inlineStr">
        <is>
          <t>If specified, the value must be known to the associated Common Language</t>
        </is>
      </c>
      <c r="AO467" s="958" t="n">
        <v>7</v>
      </c>
      <c r="AP467" s="1003" t="inlineStr">
        <is>
          <t>TIG0001</t>
        </is>
      </c>
      <c r="AQ467" s="1029" t="inlineStr">
        <is>
          <t>La valeur 'FIXE' n'est pas autorisée</t>
        </is>
      </c>
      <c r="AR467" s="931" t="inlineStr">
        <is>
          <t>The value 'FIXE' is not allowed</t>
        </is>
      </c>
      <c r="AS467" s="1030" t="n">
        <v>7</v>
      </c>
      <c r="AT467" s="1031" t="inlineStr">
        <is>
          <t>TVS0770</t>
        </is>
      </c>
      <c r="AU467" s="318" t="n"/>
      <c r="AV467" s="317" t="n"/>
      <c r="AW467" s="257" t="n"/>
      <c r="AX467" s="258" t="n"/>
      <c r="AY467" s="318" t="n"/>
      <c r="AZ467" s="317" t="n"/>
      <c r="BA467" s="257" t="n"/>
      <c r="BB467" s="258" t="n"/>
      <c r="BC467" s="316" t="n"/>
      <c r="BD467" s="317" t="n"/>
      <c r="BE467" s="257" t="n"/>
      <c r="BF467" s="258" t="n"/>
      <c r="BG467" s="89" t="n"/>
      <c r="BH4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67">
        <f>_xlfn.LET(r,ROW(),oc,INDEX($A:$A,r),cv,TRIM(INDEX($Y:$Y,r)&amp;""),IF(oc&lt;&gt;"P1","",IF(cv="45","V45 - novo, nao alimentado pelo spool atual","V44 - alimentado pelo spool atual")))</f>
        <v/>
      </c>
    </row>
    <row r="468" ht="54" customFormat="1" customHeight="1" s="91">
      <c r="A468" s="306" t="inlineStr">
        <is>
          <t>P1</t>
        </is>
      </c>
      <c r="B468" s="307" t="n">
        <v>233</v>
      </c>
      <c r="C468" s="269" t="inlineStr">
        <is>
          <t>09 - Caractéristiques Dérivés</t>
        </is>
      </c>
      <c r="D468" s="310" t="inlineStr">
        <is>
          <t>09 - Derivative characteristics</t>
        </is>
      </c>
      <c r="E468" s="307" t="inlineStr">
        <is>
          <t>P1 20.1</t>
        </is>
      </c>
      <c r="F468" s="551" t="inlineStr">
        <is>
          <t>Quantité à recevoir</t>
        </is>
      </c>
      <c r="G468" s="309" t="inlineStr">
        <is>
          <t>Quantity to receive</t>
        </is>
      </c>
      <c r="H468" s="1493">
        <f>"RPAD( "&amp;SUBSTITUTE(SUBSTITUTE(E468," ","_"),".","_")&amp;","&amp;W468&amp;",' '); -- "&amp;E468</f>
        <v/>
      </c>
      <c r="I468" s="556" t="inlineStr">
        <is>
          <t>Quantité de matières premières à recevoir</t>
        </is>
      </c>
      <c r="J468" s="309" t="inlineStr">
        <is>
          <t>Quantity of raw materials to be received</t>
        </is>
      </c>
      <c r="K468" s="370" t="inlineStr">
        <is>
          <t>ND</t>
        </is>
      </c>
      <c r="L468" s="371" t="inlineStr">
        <is>
          <t>ND</t>
        </is>
      </c>
      <c r="M468" s="1420" t="inlineStr">
        <is>
          <t>qtyRecevoir</t>
        </is>
      </c>
      <c r="N468" s="257" t="inlineStr">
        <is>
          <t>Obligatoire sous conditions</t>
        </is>
      </c>
      <c r="O468" s="236" t="inlineStr">
        <is>
          <t>Mandatory under conditions</t>
        </is>
      </c>
      <c r="P468" s="269" t="inlineStr">
        <is>
          <t>NA</t>
        </is>
      </c>
      <c r="Q468" s="269" t="inlineStr">
        <is>
          <t>NA</t>
        </is>
      </c>
      <c r="R468" s="241" t="inlineStr">
        <is>
          <t>NA</t>
        </is>
      </c>
      <c r="S468" s="233" t="inlineStr">
        <is>
          <t>NA</t>
        </is>
      </c>
      <c r="T468" s="313" t="inlineStr">
        <is>
          <t>NUM</t>
        </is>
      </c>
      <c r="U468" s="237" t="inlineStr">
        <is>
          <t>19 dont signe et 2 décimales</t>
        </is>
      </c>
      <c r="V468" s="238" t="inlineStr">
        <is>
          <t>19 including sign and 2 decimals</t>
        </is>
      </c>
      <c r="W468" s="397" t="n">
        <v>19</v>
      </c>
      <c r="X468" s="945" t="inlineStr">
        <is>
          <t>NA</t>
        </is>
      </c>
      <c r="Y468" s="237" t="n">
        <v>40</v>
      </c>
      <c r="Z468" s="237" t="inlineStr">
        <is>
          <t>NA</t>
        </is>
      </c>
      <c r="AA468" s="283" t="inlineStr">
        <is>
          <t>NA</t>
        </is>
      </c>
      <c r="AB468" s="269" t="inlineStr">
        <is>
          <t>SI RISQUE</t>
        </is>
      </c>
      <c r="AC468" s="231" t="inlineStr">
        <is>
          <t>ND</t>
        </is>
      </c>
      <c r="AD468" s="257" t="inlineStr">
        <is>
          <t>N</t>
        </is>
      </c>
      <c r="AE468" s="539" t="inlineStr">
        <is>
          <t>VAR4xx</t>
        </is>
      </c>
      <c r="AF468" s="257" t="inlineStr">
        <is>
          <t>NA</t>
        </is>
      </c>
      <c r="AG468" s="258" t="inlineStr">
        <is>
          <t>NA</t>
        </is>
      </c>
      <c r="AH468" s="89" t="n"/>
      <c r="AI468" s="557" t="inlineStr">
        <is>
          <t>La donnée est obligatoire si le type de risque [P1 2.0] = 'VAR4xxx' ET si Quantité à livrer [P1 20.3] n'est pas renseignée</t>
        </is>
      </c>
      <c r="AJ468" s="317" t="inlineStr">
        <is>
          <t>The data is mandatory if Risk type [P1 2.0] = 'VAR4xxx' AND if Quantity to deliver [P1 20.3] is not filled</t>
        </is>
      </c>
      <c r="AK468" s="257" t="n">
        <v>6</v>
      </c>
      <c r="AL468" s="345" t="inlineStr">
        <is>
          <t>TPS0825</t>
        </is>
      </c>
      <c r="AM468" s="318" t="n"/>
      <c r="AN468" s="317" t="n"/>
      <c r="AO468" s="257" t="n"/>
      <c r="AP468" s="258" t="n"/>
      <c r="AQ468" s="318" t="n"/>
      <c r="AR468" s="317" t="n"/>
      <c r="AS468" s="257" t="n"/>
      <c r="AT468" s="258" t="n"/>
      <c r="AU468" s="318" t="n"/>
      <c r="AV468" s="317" t="n"/>
      <c r="AW468" s="257" t="n"/>
      <c r="AX468" s="258" t="n"/>
      <c r="AY468" s="318" t="n"/>
      <c r="AZ468" s="317" t="n"/>
      <c r="BA468" s="257" t="n"/>
      <c r="BB468" s="258" t="n"/>
      <c r="BC468" s="316" t="n"/>
      <c r="BD468" s="317" t="n"/>
      <c r="BE468" s="257" t="n"/>
      <c r="BF468" s="258" t="n"/>
      <c r="BG468" s="89" t="n"/>
      <c r="BH4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68">
        <f>_xlfn.LET(r,ROW(),oc,INDEX($A:$A,r),cv,TRIM(INDEX($Y:$Y,r)&amp;""),IF(oc&lt;&gt;"P1","",IF(cv="45","V45 - novo, nao alimentado pelo spool atual","V44 - alimentado pelo spool atual")))</f>
        <v/>
      </c>
    </row>
    <row r="469" ht="54" customFormat="1" customHeight="1" s="91">
      <c r="A469" s="306" t="inlineStr">
        <is>
          <t>P1</t>
        </is>
      </c>
      <c r="B469" s="307" t="n">
        <v>234</v>
      </c>
      <c r="C469" s="269" t="inlineStr">
        <is>
          <t>09 - Caractéristiques Dérivés</t>
        </is>
      </c>
      <c r="D469" s="310" t="inlineStr">
        <is>
          <t>09 - Derivative characteristics</t>
        </is>
      </c>
      <c r="E469" s="307" t="inlineStr">
        <is>
          <t>P1 20.2</t>
        </is>
      </c>
      <c r="F469" s="308" t="inlineStr">
        <is>
          <t>Unité de mesure de la quantité à recevoir</t>
        </is>
      </c>
      <c r="G469" s="309" t="inlineStr">
        <is>
          <t>Unit of measure of the quantity to receive</t>
        </is>
      </c>
      <c r="H469" s="1493">
        <f>"RPAD( "&amp;SUBSTITUTE(SUBSTITUTE(E469," ","_"),".","_")&amp;","&amp;W469&amp;",' '); -- "&amp;E469</f>
        <v/>
      </c>
      <c r="I469" s="241" t="inlineStr">
        <is>
          <t>Unité de mesure de la quantité de matières premières à recevoir</t>
        </is>
      </c>
      <c r="J469" s="233" t="inlineStr">
        <is>
          <t xml:space="preserve">Unit of measure of the quantity of commodities to be received </t>
        </is>
      </c>
      <c r="K469" s="269" t="inlineStr">
        <is>
          <t>ND</t>
        </is>
      </c>
      <c r="L469" s="310" t="inlineStr">
        <is>
          <t>ND</t>
        </is>
      </c>
      <c r="M469" s="1420" t="inlineStr">
        <is>
          <t>cdMesureQtyRecevoir</t>
        </is>
      </c>
      <c r="N469" s="257" t="inlineStr">
        <is>
          <t>Obligatoire sous conditions</t>
        </is>
      </c>
      <c r="O469" s="236" t="inlineStr">
        <is>
          <t>Mandatory under conditions</t>
        </is>
      </c>
      <c r="P469" s="269" t="inlineStr">
        <is>
          <t>LC.0067</t>
        </is>
      </c>
      <c r="Q469" s="269" t="inlineStr">
        <is>
          <t>TA KVUNITE</t>
        </is>
      </c>
      <c r="R469" s="241" t="inlineStr">
        <is>
          <t>NA</t>
        </is>
      </c>
      <c r="S469" s="233" t="inlineStr">
        <is>
          <t>NA</t>
        </is>
      </c>
      <c r="T469" s="313" t="inlineStr">
        <is>
          <t>ALPHA</t>
        </is>
      </c>
      <c r="U469" s="237" t="inlineStr">
        <is>
          <t>NA</t>
        </is>
      </c>
      <c r="V469" s="238" t="inlineStr">
        <is>
          <t>NA</t>
        </is>
      </c>
      <c r="W469" s="397" t="n">
        <v>3</v>
      </c>
      <c r="X469" s="945" t="inlineStr">
        <is>
          <t>NA</t>
        </is>
      </c>
      <c r="Y469" s="237" t="n">
        <v>40</v>
      </c>
      <c r="Z469" s="237" t="inlineStr">
        <is>
          <t>NA</t>
        </is>
      </c>
      <c r="AA469" s="283" t="inlineStr">
        <is>
          <t>NA</t>
        </is>
      </c>
      <c r="AB469" s="269" t="inlineStr">
        <is>
          <t>SI RISQUE</t>
        </is>
      </c>
      <c r="AC469" s="231" t="inlineStr">
        <is>
          <t>ND</t>
        </is>
      </c>
      <c r="AD469" s="257" t="inlineStr">
        <is>
          <t>N</t>
        </is>
      </c>
      <c r="AE469" s="539" t="inlineStr">
        <is>
          <t>VAR4xx</t>
        </is>
      </c>
      <c r="AF469" s="257" t="inlineStr">
        <is>
          <t>NA</t>
        </is>
      </c>
      <c r="AG469" s="258" t="inlineStr">
        <is>
          <t>NA</t>
        </is>
      </c>
      <c r="AH469" s="89" t="n"/>
      <c r="AI469" s="557" t="inlineStr">
        <is>
          <t>La donnée est obligatoire, si le type de risque [P1 2.0] = 'VAR4xxx' ET si Quantité à recevoir [P1 20.1] est renseignée</t>
        </is>
      </c>
      <c r="AJ469" s="317" t="inlineStr">
        <is>
          <t>The data is mandatory, if Risk type [P1 2.0] = 'VAR4xxx' AND if Quantity to receive [P1 20.1] is filled</t>
        </is>
      </c>
      <c r="AK469" s="257" t="n">
        <v>6</v>
      </c>
      <c r="AL469" s="345" t="inlineStr">
        <is>
          <t>TPS0826</t>
        </is>
      </c>
      <c r="AM469" s="318" t="inlineStr">
        <is>
          <t>Si elle est renseignée, la valeur doit être connue du Langage Commun associé</t>
        </is>
      </c>
      <c r="AN469" s="317" t="inlineStr">
        <is>
          <t>If specified, the value must be known to the associated Common Language</t>
        </is>
      </c>
      <c r="AO469" s="257" t="n">
        <v>7</v>
      </c>
      <c r="AP469" s="212" t="inlineStr">
        <is>
          <t>TIG0001</t>
        </is>
      </c>
      <c r="AQ469" s="318" t="n"/>
      <c r="AR469" s="317" t="n"/>
      <c r="AS469" s="257" t="n"/>
      <c r="AT469" s="258" t="n"/>
      <c r="AU469" s="318" t="n"/>
      <c r="AV469" s="317" t="n"/>
      <c r="AW469" s="257" t="n"/>
      <c r="AX469" s="258" t="n"/>
      <c r="AY469" s="318" t="n"/>
      <c r="AZ469" s="317" t="n"/>
      <c r="BA469" s="257" t="n"/>
      <c r="BB469" s="258" t="n"/>
      <c r="BC469" s="316" t="n"/>
      <c r="BD469" s="317" t="n"/>
      <c r="BE469" s="257" t="n"/>
      <c r="BF469" s="258" t="n"/>
      <c r="BG469" s="89" t="n"/>
      <c r="BH4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69">
        <f>_xlfn.LET(r,ROW(),oc,INDEX($A:$A,r),cv,TRIM(INDEX($Y:$Y,r)&amp;""),IF(oc&lt;&gt;"P1","",IF(cv="45","V45 - novo, nao alimentado pelo spool atual","V44 - alimentado pelo spool atual")))</f>
        <v/>
      </c>
    </row>
    <row r="470" ht="54" customFormat="1" customHeight="1" s="91">
      <c r="A470" s="306" t="inlineStr">
        <is>
          <t>P1</t>
        </is>
      </c>
      <c r="B470" s="307" t="n">
        <v>235</v>
      </c>
      <c r="C470" s="269" t="inlineStr">
        <is>
          <t>09 - Caractéristiques Dérivés</t>
        </is>
      </c>
      <c r="D470" s="310" t="inlineStr">
        <is>
          <t>09 - Derivative characteristics</t>
        </is>
      </c>
      <c r="E470" s="307" t="inlineStr">
        <is>
          <t>P1 20.3</t>
        </is>
      </c>
      <c r="F470" s="308" t="inlineStr">
        <is>
          <t>Quantité à livrer</t>
        </is>
      </c>
      <c r="G470" s="309" t="inlineStr">
        <is>
          <t>Quantity to deliver</t>
        </is>
      </c>
      <c r="H470" s="1493">
        <f>"RPAD( "&amp;SUBSTITUTE(SUBSTITUTE(E470," ","_"),".","_")&amp;","&amp;W470&amp;",' '); -- "&amp;E470</f>
        <v/>
      </c>
      <c r="I470" s="556" t="inlineStr">
        <is>
          <t>Quantité de matières première à livrer</t>
        </is>
      </c>
      <c r="J470" s="309" t="inlineStr">
        <is>
          <t>Quantity of raw materials to deliver</t>
        </is>
      </c>
      <c r="K470" s="370" t="inlineStr">
        <is>
          <t>ND</t>
        </is>
      </c>
      <c r="L470" s="371" t="inlineStr">
        <is>
          <t>ND</t>
        </is>
      </c>
      <c r="M470" s="1420" t="inlineStr">
        <is>
          <t>qtyLivrer</t>
        </is>
      </c>
      <c r="N470" s="257" t="inlineStr">
        <is>
          <t>Obligatoire sous conditions</t>
        </is>
      </c>
      <c r="O470" s="236" t="inlineStr">
        <is>
          <t>Mandatory under conditions</t>
        </is>
      </c>
      <c r="P470" s="269" t="inlineStr">
        <is>
          <t>NA</t>
        </is>
      </c>
      <c r="Q470" s="269" t="inlineStr">
        <is>
          <t>NA</t>
        </is>
      </c>
      <c r="R470" s="241" t="inlineStr">
        <is>
          <t>NA</t>
        </is>
      </c>
      <c r="S470" s="233" t="inlineStr">
        <is>
          <t>NA</t>
        </is>
      </c>
      <c r="T470" s="313" t="inlineStr">
        <is>
          <t>NUM</t>
        </is>
      </c>
      <c r="U470" s="237" t="inlineStr">
        <is>
          <t>19 dont signe et 2 décimales</t>
        </is>
      </c>
      <c r="V470" s="238" t="inlineStr">
        <is>
          <t>19 including sign and 2 decimals</t>
        </is>
      </c>
      <c r="W470" s="397" t="n">
        <v>19</v>
      </c>
      <c r="X470" s="945" t="inlineStr">
        <is>
          <t>NA</t>
        </is>
      </c>
      <c r="Y470" s="237" t="n">
        <v>40</v>
      </c>
      <c r="Z470" s="237" t="inlineStr">
        <is>
          <t>NA</t>
        </is>
      </c>
      <c r="AA470" s="283" t="inlineStr">
        <is>
          <t>NA</t>
        </is>
      </c>
      <c r="AB470" s="269" t="inlineStr">
        <is>
          <t>SI RISQUE</t>
        </is>
      </c>
      <c r="AC470" s="231" t="inlineStr">
        <is>
          <t>ND</t>
        </is>
      </c>
      <c r="AD470" s="257" t="inlineStr">
        <is>
          <t>N</t>
        </is>
      </c>
      <c r="AE470" s="539" t="inlineStr">
        <is>
          <t>VAR4xx</t>
        </is>
      </c>
      <c r="AF470" s="257" t="inlineStr">
        <is>
          <t>NA</t>
        </is>
      </c>
      <c r="AG470" s="258" t="inlineStr">
        <is>
          <t>NA</t>
        </is>
      </c>
      <c r="AH470" s="89" t="n"/>
      <c r="AI470" s="461" t="inlineStr">
        <is>
          <t>La donnée est obligatoire si Type de risque [P1 2.0] = 'VAR4xxx'</t>
        </is>
      </c>
      <c r="AJ470" s="317" t="inlineStr">
        <is>
          <t>The data is mandatory if Risk type [P1 2.0] = 'VAR4xxx'</t>
        </is>
      </c>
      <c r="AK470" s="257" t="n">
        <v>6</v>
      </c>
      <c r="AL470" s="345" t="inlineStr">
        <is>
          <t>TPS0827</t>
        </is>
      </c>
      <c r="AM470" s="318" t="n"/>
      <c r="AN470" s="317" t="n"/>
      <c r="AO470" s="257" t="n"/>
      <c r="AP470" s="258" t="n"/>
      <c r="AQ470" s="322" t="inlineStr">
        <is>
          <t>Si renseignée, la donnée doit être positive (supérieure ou égale à 0)</t>
        </is>
      </c>
      <c r="AR470" s="317" t="inlineStr">
        <is>
          <t xml:space="preserve">If filled, data must be positive (greater or equal to 0) </t>
        </is>
      </c>
      <c r="AS470" s="257" t="n">
        <v>7</v>
      </c>
      <c r="AT470" s="345" t="inlineStr">
        <is>
          <t>TVG0001</t>
        </is>
      </c>
      <c r="AU470" s="318" t="n"/>
      <c r="AV470" s="317" t="n"/>
      <c r="AW470" s="257" t="n"/>
      <c r="AX470" s="258" t="n"/>
      <c r="AY470" s="318" t="n"/>
      <c r="AZ470" s="317" t="n"/>
      <c r="BA470" s="257" t="n"/>
      <c r="BB470" s="258" t="n"/>
      <c r="BC470" s="316" t="n"/>
      <c r="BD470" s="317" t="n"/>
      <c r="BE470" s="257" t="n"/>
      <c r="BF470" s="258" t="n"/>
      <c r="BG470" s="89" t="n"/>
      <c r="BH4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70">
        <f>_xlfn.LET(r,ROW(),oc,INDEX($A:$A,r),cv,TRIM(INDEX($Y:$Y,r)&amp;""),IF(oc&lt;&gt;"P1","",IF(cv="45","V45 - novo, nao alimentado pelo spool atual","V44 - alimentado pelo spool atual")))</f>
        <v/>
      </c>
    </row>
    <row r="471" ht="54" customFormat="1" customHeight="1" s="91">
      <c r="A471" s="306" t="inlineStr">
        <is>
          <t>P1</t>
        </is>
      </c>
      <c r="B471" s="307" t="n">
        <v>236</v>
      </c>
      <c r="C471" s="269" t="inlineStr">
        <is>
          <t>09 - Caractéristiques Dérivés</t>
        </is>
      </c>
      <c r="D471" s="310" t="inlineStr">
        <is>
          <t>09 - Derivative characteristics</t>
        </is>
      </c>
      <c r="E471" s="307" t="inlineStr">
        <is>
          <t>P1 20.4</t>
        </is>
      </c>
      <c r="F471" s="308" t="inlineStr">
        <is>
          <t>Unité de mesure de la quantité à livrer</t>
        </is>
      </c>
      <c r="G471" s="309" t="inlineStr">
        <is>
          <t>Unit of measure of the quantity to deliver</t>
        </is>
      </c>
      <c r="H471" s="1493">
        <f>"RPAD( "&amp;SUBSTITUTE(SUBSTITUTE(E471," ","_"),".","_")&amp;","&amp;W471&amp;",' '); -- "&amp;E471</f>
        <v/>
      </c>
      <c r="I471" s="241" t="inlineStr">
        <is>
          <t>Unité de mesure de la quantité de matières premières à livrer</t>
        </is>
      </c>
      <c r="J471" s="309" t="inlineStr">
        <is>
          <t>Unit of measure of the quantity of commodities to be delivered</t>
        </is>
      </c>
      <c r="K471" s="370" t="inlineStr">
        <is>
          <t>ND</t>
        </is>
      </c>
      <c r="L471" s="371" t="inlineStr">
        <is>
          <t>ND</t>
        </is>
      </c>
      <c r="M471" s="1420" t="inlineStr">
        <is>
          <t>cdMesureQtyLivrer</t>
        </is>
      </c>
      <c r="N471" s="257" t="inlineStr">
        <is>
          <t>Obligatoire sous conditions</t>
        </is>
      </c>
      <c r="O471" s="236" t="inlineStr">
        <is>
          <t>Mandatory under conditions</t>
        </is>
      </c>
      <c r="P471" s="269" t="inlineStr">
        <is>
          <t>LC.0067</t>
        </is>
      </c>
      <c r="Q471" s="269" t="inlineStr">
        <is>
          <t>TA KVUNITE</t>
        </is>
      </c>
      <c r="R471" s="241" t="inlineStr">
        <is>
          <t>NA</t>
        </is>
      </c>
      <c r="S471" s="233" t="inlineStr">
        <is>
          <t>NA</t>
        </is>
      </c>
      <c r="T471" s="313" t="inlineStr">
        <is>
          <t>ALPHA</t>
        </is>
      </c>
      <c r="U471" s="237" t="inlineStr">
        <is>
          <t>NA</t>
        </is>
      </c>
      <c r="V471" s="238" t="inlineStr">
        <is>
          <t>NA</t>
        </is>
      </c>
      <c r="W471" s="397" t="n">
        <v>3</v>
      </c>
      <c r="X471" s="945" t="inlineStr">
        <is>
          <t>NA</t>
        </is>
      </c>
      <c r="Y471" s="237" t="n">
        <v>40</v>
      </c>
      <c r="Z471" s="237" t="inlineStr">
        <is>
          <t>NA</t>
        </is>
      </c>
      <c r="AA471" s="283" t="inlineStr">
        <is>
          <t>NA</t>
        </is>
      </c>
      <c r="AB471" s="269" t="inlineStr">
        <is>
          <t>SI RISQUE</t>
        </is>
      </c>
      <c r="AC471" s="231" t="inlineStr">
        <is>
          <t>ND</t>
        </is>
      </c>
      <c r="AD471" s="257" t="inlineStr">
        <is>
          <t>N</t>
        </is>
      </c>
      <c r="AE471" s="539" t="inlineStr">
        <is>
          <t>VAR4xx</t>
        </is>
      </c>
      <c r="AF471" s="257" t="inlineStr">
        <is>
          <t>NA</t>
        </is>
      </c>
      <c r="AG471" s="258" t="inlineStr">
        <is>
          <t>NA</t>
        </is>
      </c>
      <c r="AH471" s="89" t="n"/>
      <c r="AI471" s="316" t="inlineStr">
        <is>
          <t>La donnée est obligatoire, si le type de risque [P1 2.0] = 'VAR4xxx' ET si Quantité à livrer [P1 20.3] est renseignée</t>
        </is>
      </c>
      <c r="AJ471" s="317" t="inlineStr">
        <is>
          <t>The data is mandatory, if Risk type [P1 2.0] = 'VAR4xxx' AND if Quantity to deliver [P1 20.3] is filled</t>
        </is>
      </c>
      <c r="AK471" s="257" t="n">
        <v>6</v>
      </c>
      <c r="AL471" s="345" t="inlineStr">
        <is>
          <t>TPS0828</t>
        </is>
      </c>
      <c r="AM471" s="318" t="inlineStr">
        <is>
          <t>Si elle est renseignée, la valeur doit être connue du Langage Commun associé</t>
        </is>
      </c>
      <c r="AN471" s="317" t="inlineStr">
        <is>
          <t>If specified, the value must be known to the associated Common Language</t>
        </is>
      </c>
      <c r="AO471" s="257" t="n">
        <v>7</v>
      </c>
      <c r="AP471" s="212" t="inlineStr">
        <is>
          <t>TIG0001</t>
        </is>
      </c>
      <c r="AQ471" s="318" t="n"/>
      <c r="AR471" s="317" t="n"/>
      <c r="AS471" s="257" t="n"/>
      <c r="AT471" s="258" t="n"/>
      <c r="AU471" s="318" t="n"/>
      <c r="AV471" s="317" t="n"/>
      <c r="AW471" s="257" t="n"/>
      <c r="AX471" s="258" t="n"/>
      <c r="AY471" s="318" t="n"/>
      <c r="AZ471" s="317" t="n"/>
      <c r="BA471" s="257" t="n"/>
      <c r="BB471" s="258" t="n"/>
      <c r="BC471" s="316" t="n"/>
      <c r="BD471" s="317" t="n"/>
      <c r="BE471" s="257" t="n"/>
      <c r="BF471" s="258" t="n"/>
      <c r="BG471" s="89" t="n"/>
      <c r="BH4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71">
        <f>_xlfn.LET(r,ROW(),oc,INDEX($A:$A,r),cv,TRIM(INDEX($Y:$Y,r)&amp;""),IF(oc&lt;&gt;"P1","",IF(cv="45","V45 - novo, nao alimentado pelo spool atual","V44 - alimentado pelo spool atual")))</f>
        <v/>
      </c>
    </row>
    <row r="472" ht="54" customFormat="1" customHeight="1" s="91">
      <c r="A472" s="306" t="inlineStr">
        <is>
          <t>P1</t>
        </is>
      </c>
      <c r="B472" s="307" t="n">
        <v>237</v>
      </c>
      <c r="C472" s="269" t="inlineStr">
        <is>
          <t>09 - Caractéristiques Dérivés</t>
        </is>
      </c>
      <c r="D472" s="310" t="inlineStr">
        <is>
          <t>09 - Derivative characteristics</t>
        </is>
      </c>
      <c r="E472" s="307" t="inlineStr">
        <is>
          <t>P1 10.22</t>
        </is>
      </c>
      <c r="F472" s="308" t="inlineStr">
        <is>
          <t>Type d'exercice de l'option</t>
        </is>
      </c>
      <c r="G472" s="309" t="inlineStr">
        <is>
          <t>Option's type of exercise</t>
        </is>
      </c>
      <c r="H472" s="1493">
        <f>"RPAD( "&amp;SUBSTITUTE(SUBSTITUTE(E472," ","_"),".","_")&amp;","&amp;W472&amp;",' '); -- "&amp;E472</f>
        <v/>
      </c>
      <c r="I472" s="241" t="inlineStr">
        <is>
          <t>Type d'exercice de l'option</t>
        </is>
      </c>
      <c r="J472" s="309" t="inlineStr">
        <is>
          <t xml:space="preserve">Option's type of exercise </t>
        </is>
      </c>
      <c r="K472" s="370" t="inlineStr">
        <is>
          <t>ND</t>
        </is>
      </c>
      <c r="L472" s="371" t="inlineStr">
        <is>
          <t>ND</t>
        </is>
      </c>
      <c r="M472" s="1420" t="inlineStr">
        <is>
          <t>cdTypExOpt</t>
        </is>
      </c>
      <c r="N472" s="257" t="inlineStr">
        <is>
          <t>Obligatoire sous conditions</t>
        </is>
      </c>
      <c r="O472" s="236" t="inlineStr">
        <is>
          <t>Mandatory under conditions</t>
        </is>
      </c>
      <c r="P472" s="269" t="inlineStr">
        <is>
          <t>LC.0040</t>
        </is>
      </c>
      <c r="Q472" s="269" t="inlineStr">
        <is>
          <t>TA KVTEXOPT</t>
        </is>
      </c>
      <c r="R472" s="241" t="inlineStr">
        <is>
          <t>NA</t>
        </is>
      </c>
      <c r="S472" s="233" t="inlineStr">
        <is>
          <t>NA</t>
        </is>
      </c>
      <c r="T472" s="313" t="inlineStr">
        <is>
          <t>ALPHA</t>
        </is>
      </c>
      <c r="U472" s="237" t="inlineStr">
        <is>
          <t>NA</t>
        </is>
      </c>
      <c r="V472" s="238" t="inlineStr">
        <is>
          <t>NA</t>
        </is>
      </c>
      <c r="W472" s="257" t="n">
        <v>1</v>
      </c>
      <c r="X472" s="945" t="inlineStr">
        <is>
          <t>NA</t>
        </is>
      </c>
      <c r="Y472" s="237" t="n">
        <v>41</v>
      </c>
      <c r="Z472" s="237" t="inlineStr">
        <is>
          <t>NA</t>
        </is>
      </c>
      <c r="AA472" s="270" t="inlineStr">
        <is>
          <t>NA</t>
        </is>
      </c>
      <c r="AB472" s="994" t="inlineStr">
        <is>
          <t>CALCULS PRUDENTIELS, CORFOU, PALMA, SA-CCR</t>
        </is>
      </c>
      <c r="AC472" s="231" t="inlineStr">
        <is>
          <t>ND</t>
        </is>
      </c>
      <c r="AD472" s="257" t="inlineStr">
        <is>
          <t>N</t>
        </is>
      </c>
      <c r="AE472" s="496" t="inlineStr">
        <is>
          <t xml:space="preserve">VAR (hors Repos VAR105, VAR302)
</t>
        </is>
      </c>
      <c r="AF472" s="257" t="inlineStr">
        <is>
          <t>NA</t>
        </is>
      </c>
      <c r="AG472" s="258" t="inlineStr">
        <is>
          <t>NA</t>
        </is>
      </c>
      <c r="AH472" s="89" t="n"/>
      <c r="AI472" s="316" t="inlineStr">
        <is>
          <t>La donnée est obligatoire si le type de risque [P1 2.0] = ('VARxx','INTxx') hors ('VAR105', 'VAR302') et si l'instrument financier [P1 3.75] est de type IF = '03'</t>
        </is>
      </c>
      <c r="AJ472" s="317" t="inlineStr">
        <is>
          <t>The data is mandatory if Risk type [P1 2.0] = ('VARxx','INTxx') except ('VAR105', 'VAR302') and if the financial instrument [P1 3.75] is of type IF = '03'</t>
        </is>
      </c>
      <c r="AK472" s="257" t="n">
        <v>6</v>
      </c>
      <c r="AL472" s="345" t="inlineStr">
        <is>
          <t>TPS0829</t>
        </is>
      </c>
      <c r="AM472" s="318" t="inlineStr">
        <is>
          <t>Si elle est renseignée, la valeur doit être connue du Langage Commun associé</t>
        </is>
      </c>
      <c r="AN472" s="317" t="inlineStr">
        <is>
          <t>If specified, the value must be known to the associated Common Language</t>
        </is>
      </c>
      <c r="AO472" s="257" t="n">
        <v>7</v>
      </c>
      <c r="AP472" s="212" t="inlineStr">
        <is>
          <t>TIG0001</t>
        </is>
      </c>
      <c r="AQ472" s="318" t="n"/>
      <c r="AR472" s="317" t="n"/>
      <c r="AS472" s="257" t="n"/>
      <c r="AT472" s="258" t="n"/>
      <c r="AU472" s="318" t="n"/>
      <c r="AV472" s="317" t="n"/>
      <c r="AW472" s="257" t="n"/>
      <c r="AX472" s="258" t="n"/>
      <c r="AY472" s="318" t="n"/>
      <c r="AZ472" s="317" t="n"/>
      <c r="BA472" s="257" t="n"/>
      <c r="BB472" s="258" t="n"/>
      <c r="BC472" s="316" t="n"/>
      <c r="BD472" s="317" t="n"/>
      <c r="BE472" s="257" t="n"/>
      <c r="BF472" s="258" t="n"/>
      <c r="BG472" s="89" t="n"/>
      <c r="BH4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72">
        <f>_xlfn.LET(r,ROW(),oc,INDEX($A:$A,r),cv,TRIM(INDEX($Y:$Y,r)&amp;""),IF(oc&lt;&gt;"P1","",IF(cv="45","V45 - novo, nao alimentado pelo spool atual","V44 - alimentado pelo spool atual")))</f>
        <v/>
      </c>
    </row>
    <row r="473" ht="54" customFormat="1" customHeight="1" s="91">
      <c r="A473" s="306" t="inlineStr">
        <is>
          <t>P1</t>
        </is>
      </c>
      <c r="B473" s="307" t="n">
        <v>238</v>
      </c>
      <c r="C473" s="269" t="inlineStr">
        <is>
          <t>09 - Caractéristiques Dérivés</t>
        </is>
      </c>
      <c r="D473" s="310" t="inlineStr">
        <is>
          <t>09 - Derivative characteristics</t>
        </is>
      </c>
      <c r="E473" s="307" t="inlineStr">
        <is>
          <t>P1 10.4</t>
        </is>
      </c>
      <c r="F473" s="558" t="inlineStr">
        <is>
          <t>Prix d'exercice de l'option</t>
        </is>
      </c>
      <c r="G473" s="309" t="inlineStr">
        <is>
          <t>Option's exercise price</t>
        </is>
      </c>
      <c r="H473" s="1493">
        <f>"RPAD( "&amp;SUBSTITUTE(SUBSTITUTE(E473," ","_"),".","_")&amp;","&amp;W473&amp;",' '); -- "&amp;E473</f>
        <v/>
      </c>
      <c r="I473" s="241" t="inlineStr">
        <is>
          <t>Prix d'exercice de l'option</t>
        </is>
      </c>
      <c r="J473" s="309" t="inlineStr">
        <is>
          <t>Option's exercise price</t>
        </is>
      </c>
      <c r="K473" s="370" t="inlineStr">
        <is>
          <t>ND</t>
        </is>
      </c>
      <c r="L473" s="371" t="inlineStr">
        <is>
          <t>ND</t>
        </is>
      </c>
      <c r="M473" s="1420" t="inlineStr">
        <is>
          <t>mtPrixEx</t>
        </is>
      </c>
      <c r="N473" s="257" t="inlineStr">
        <is>
          <t>Obligatoire sous conditions</t>
        </is>
      </c>
      <c r="O473" s="236" t="inlineStr">
        <is>
          <t>Mandatory under conditions</t>
        </is>
      </c>
      <c r="P473" s="269" t="inlineStr">
        <is>
          <t>NA</t>
        </is>
      </c>
      <c r="Q473" s="269" t="inlineStr">
        <is>
          <t>NA</t>
        </is>
      </c>
      <c r="R473" s="241" t="inlineStr">
        <is>
          <t>NA</t>
        </is>
      </c>
      <c r="S473" s="233" t="inlineStr">
        <is>
          <t>NA</t>
        </is>
      </c>
      <c r="T473" s="313" t="inlineStr">
        <is>
          <t>NUM</t>
        </is>
      </c>
      <c r="U473" s="237" t="inlineStr">
        <is>
          <t>19 dont signe et 2 décimales</t>
        </is>
      </c>
      <c r="V473" s="238" t="inlineStr">
        <is>
          <t>19 including sign and 2 decimals</t>
        </is>
      </c>
      <c r="W473" s="257" t="n">
        <v>19</v>
      </c>
      <c r="X473" s="945" t="inlineStr">
        <is>
          <t>NA</t>
        </is>
      </c>
      <c r="Y473" s="237" t="n">
        <v>41</v>
      </c>
      <c r="Z473" s="237" t="inlineStr">
        <is>
          <t>NA</t>
        </is>
      </c>
      <c r="AA473" s="270" t="inlineStr">
        <is>
          <t>NA</t>
        </is>
      </c>
      <c r="AB473" s="994" t="inlineStr">
        <is>
          <t>ANACREDIT, CALCULS PRUDENTIELS, CORFOU, PALMA, SA-CCR</t>
        </is>
      </c>
      <c r="AC473" s="231" t="inlineStr">
        <is>
          <t>ND</t>
        </is>
      </c>
      <c r="AD473" s="257" t="inlineStr">
        <is>
          <t>N</t>
        </is>
      </c>
      <c r="AE473" s="971" t="inlineStr">
        <is>
          <t xml:space="preserve">VAR (hors Repos VAR105, VAR302)
</t>
        </is>
      </c>
      <c r="AF473" s="257" t="inlineStr">
        <is>
          <t>NA</t>
        </is>
      </c>
      <c r="AG473" s="258" t="inlineStr">
        <is>
          <t>NA</t>
        </is>
      </c>
      <c r="AH473" s="89" t="n"/>
      <c r="AI473" s="559" t="inlineStr">
        <is>
          <t>La donnée est obligatoire, si le type de risque [P1 2.0] = 'VARxxx' hors ('VAR105', 'VAR302') et si l'instrument financier [P1 3.75] est de type IF = '03' ET si le prix d'exercice en taux [P1 10.5] n'est pas renseigné</t>
        </is>
      </c>
      <c r="AJ473" s="317" t="inlineStr">
        <is>
          <t>The data is mandatory, if Risk type [P1 2.0] = 'VARxxx' except ('VAR105', 'VAR302') and if the financial instrument [P1 3.75] is of type IF = '03' AND if the Interest-rate exercise price  [P1 10.5] is not filled</t>
        </is>
      </c>
      <c r="AK473" s="257" t="n">
        <v>6</v>
      </c>
      <c r="AL473" s="424" t="inlineStr">
        <is>
          <t>TPS0830</t>
        </is>
      </c>
      <c r="AM473" s="318" t="n"/>
      <c r="AN473" s="317" t="n"/>
      <c r="AO473" s="257" t="n"/>
      <c r="AP473" s="258" t="n"/>
      <c r="AQ473" s="318" t="n"/>
      <c r="AR473" s="317" t="n"/>
      <c r="AS473" s="257" t="n"/>
      <c r="AT473" s="258" t="n"/>
      <c r="AU473" s="318" t="n"/>
      <c r="AV473" s="317" t="n"/>
      <c r="AW473" s="257" t="n"/>
      <c r="AX473" s="258" t="n"/>
      <c r="AY473" s="318" t="n"/>
      <c r="AZ473" s="317" t="n"/>
      <c r="BA473" s="257" t="n"/>
      <c r="BB473" s="258" t="n"/>
      <c r="BC473" s="316" t="n"/>
      <c r="BD473" s="317" t="n"/>
      <c r="BE473" s="257" t="n"/>
      <c r="BF473" s="258" t="n"/>
      <c r="BG473" s="89" t="n"/>
      <c r="BH4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73">
        <f>_xlfn.LET(r,ROW(),oc,INDEX($A:$A,r),cv,TRIM(INDEX($Y:$Y,r)&amp;""),IF(oc&lt;&gt;"P1","",IF(cv="45","V45 - novo, nao alimentado pelo spool atual","V44 - alimentado pelo spool atual")))</f>
        <v/>
      </c>
    </row>
    <row r="474" ht="54" customFormat="1" customHeight="1" s="91">
      <c r="A474" s="306" t="inlineStr">
        <is>
          <t>P1</t>
        </is>
      </c>
      <c r="B474" s="307" t="n">
        <v>239</v>
      </c>
      <c r="C474" s="269" t="inlineStr">
        <is>
          <t>09 - Caractéristiques Dérivés</t>
        </is>
      </c>
      <c r="D474" s="310" t="inlineStr">
        <is>
          <t>09 - Derivative characteristics</t>
        </is>
      </c>
      <c r="E474" s="307" t="inlineStr">
        <is>
          <t>P1 10.21</t>
        </is>
      </c>
      <c r="F474" s="560" t="inlineStr">
        <is>
          <t>Devise du prix d'exercice de l'option</t>
        </is>
      </c>
      <c r="G474" s="309" t="inlineStr">
        <is>
          <t>Currency of option's strike price</t>
        </is>
      </c>
      <c r="H474" s="1493">
        <f>"RPAD( "&amp;SUBSTITUTE(SUBSTITUTE(E474," ","_"),".","_")&amp;","&amp;W474&amp;",' '); -- "&amp;E474</f>
        <v/>
      </c>
      <c r="I474" s="241" t="inlineStr">
        <is>
          <t>Devise du prix d'exercice de l'option</t>
        </is>
      </c>
      <c r="J474" s="309" t="inlineStr">
        <is>
          <t>Currency of option's exercise price</t>
        </is>
      </c>
      <c r="K474" s="370" t="inlineStr">
        <is>
          <t>ND</t>
        </is>
      </c>
      <c r="L474" s="371" t="inlineStr">
        <is>
          <t>ND</t>
        </is>
      </c>
      <c r="M474" s="1420" t="inlineStr">
        <is>
          <t>cdDevMtPrixEx</t>
        </is>
      </c>
      <c r="N474" s="257" t="inlineStr">
        <is>
          <t>Obligatoire sous conditions</t>
        </is>
      </c>
      <c r="O474" s="310" t="inlineStr">
        <is>
          <t>Mandatory under conditions</t>
        </is>
      </c>
      <c r="P474" s="269" t="inlineStr">
        <is>
          <t>LC.0005</t>
        </is>
      </c>
      <c r="Q474" s="269" t="inlineStr">
        <is>
          <t>TA NM253</t>
        </is>
      </c>
      <c r="R474" s="241" t="inlineStr">
        <is>
          <t>NA</t>
        </is>
      </c>
      <c r="S474" s="233" t="inlineStr">
        <is>
          <t>NA</t>
        </is>
      </c>
      <c r="T474" s="313" t="inlineStr">
        <is>
          <t>ALPHA</t>
        </is>
      </c>
      <c r="U474" s="237" t="inlineStr">
        <is>
          <t>NA</t>
        </is>
      </c>
      <c r="V474" s="238" t="inlineStr">
        <is>
          <t>NA</t>
        </is>
      </c>
      <c r="W474" s="397" t="n">
        <v>3</v>
      </c>
      <c r="X474" s="945" t="inlineStr">
        <is>
          <t>NA</t>
        </is>
      </c>
      <c r="Y474" s="237" t="n">
        <v>41</v>
      </c>
      <c r="Z474" s="237" t="inlineStr">
        <is>
          <t>NA</t>
        </is>
      </c>
      <c r="AA474" s="270" t="inlineStr">
        <is>
          <t>NA</t>
        </is>
      </c>
      <c r="AB474" s="994" t="inlineStr">
        <is>
          <t>ANACREDIT, CALCULS PRUDENTIELS, CORFOU, SA-CCR</t>
        </is>
      </c>
      <c r="AC474" s="231" t="inlineStr">
        <is>
          <t>ND</t>
        </is>
      </c>
      <c r="AD474" s="257" t="inlineStr">
        <is>
          <t>N</t>
        </is>
      </c>
      <c r="AE474" s="971" t="inlineStr">
        <is>
          <t>VAR (hors Repos VAR105, VAR302)
INT</t>
        </is>
      </c>
      <c r="AF474" s="257" t="inlineStr">
        <is>
          <t>NA</t>
        </is>
      </c>
      <c r="AG474" s="258" t="inlineStr">
        <is>
          <t>NA</t>
        </is>
      </c>
      <c r="AH474" s="89" t="n"/>
      <c r="AI474" s="435" t="inlineStr">
        <is>
          <t xml:space="preserve">La donnée est obligatoire si Prix d'exercice de l'option [P1 10.4] est renseigné </t>
        </is>
      </c>
      <c r="AJ474" s="317" t="inlineStr">
        <is>
          <t>Mandatory data if Option's exercise price [P1 10.4] is filled</t>
        </is>
      </c>
      <c r="AK474" s="257" t="n">
        <v>7</v>
      </c>
      <c r="AL474" s="447" t="inlineStr">
        <is>
          <t>TPG0002</t>
        </is>
      </c>
      <c r="AM474" s="452" t="inlineStr">
        <is>
          <t>Si elle est renseignée, la valeur doit être connue du Langage Commun associé</t>
        </is>
      </c>
      <c r="AN474" s="377" t="inlineStr">
        <is>
          <t>If specified, the value must be known to the associated Common Language</t>
        </is>
      </c>
      <c r="AO474" s="257" t="n">
        <v>7</v>
      </c>
      <c r="AP474" s="212" t="inlineStr">
        <is>
          <t>TIG0001</t>
        </is>
      </c>
      <c r="AQ474" s="318" t="n"/>
      <c r="AR474" s="317" t="n"/>
      <c r="AS474" s="257" t="n"/>
      <c r="AT474" s="258" t="n"/>
      <c r="AU474" s="318" t="n"/>
      <c r="AV474" s="317" t="n"/>
      <c r="AW474" s="257" t="n"/>
      <c r="AX474" s="258" t="n"/>
      <c r="AY474" s="318" t="n"/>
      <c r="AZ474" s="317" t="n"/>
      <c r="BA474" s="257" t="n"/>
      <c r="BB474" s="258" t="n"/>
      <c r="BC474" s="316" t="n"/>
      <c r="BD474" s="317" t="n"/>
      <c r="BE474" s="257" t="n"/>
      <c r="BF474" s="258" t="n"/>
      <c r="BG474" s="89" t="n"/>
      <c r="BH4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74">
        <f>_xlfn.LET(r,ROW(),oc,INDEX($A:$A,r),cv,TRIM(INDEX($Y:$Y,r)&amp;""),IF(oc&lt;&gt;"P1","",IF(cv="45","V45 - novo, nao alimentado pelo spool atual","V44 - alimentado pelo spool atual")))</f>
        <v/>
      </c>
    </row>
    <row r="475" ht="54" customFormat="1" customHeight="1" s="91">
      <c r="A475" s="306" t="inlineStr">
        <is>
          <t>P1</t>
        </is>
      </c>
      <c r="B475" s="307" t="n">
        <v>240</v>
      </c>
      <c r="C475" s="269" t="inlineStr">
        <is>
          <t>22 - Caractéristiques de taux</t>
        </is>
      </c>
      <c r="D475" s="310" t="inlineStr">
        <is>
          <t>22 - Rate characteristics</t>
        </is>
      </c>
      <c r="E475" s="307" t="inlineStr">
        <is>
          <t>P1 10.5</t>
        </is>
      </c>
      <c r="F475" s="561" t="inlineStr">
        <is>
          <t>Prix d'exercice en taux</t>
        </is>
      </c>
      <c r="G475" s="309" t="inlineStr">
        <is>
          <t>Interest-rate exercise price</t>
        </is>
      </c>
      <c r="H475" s="1493">
        <f>"RPAD( "&amp;SUBSTITUTE(SUBSTITUTE(E475," ","_"),".","_")&amp;","&amp;W475&amp;",' '); -- "&amp;E475</f>
        <v/>
      </c>
      <c r="I475" s="1248" t="inlineStr">
        <is>
          <t>Correspond au prix d'exercice de l'option (strike) en taux
Exprimé en %</t>
        </is>
      </c>
      <c r="J475" s="309" t="inlineStr">
        <is>
          <t>Corresponds to the strike price of the option in rate
Expressed as %</t>
        </is>
      </c>
      <c r="K475" s="370" t="inlineStr">
        <is>
          <t>ND</t>
        </is>
      </c>
      <c r="L475" s="371" t="inlineStr">
        <is>
          <t>ND</t>
        </is>
      </c>
      <c r="M475" s="1420" t="inlineStr">
        <is>
          <t>txPrixEx</t>
        </is>
      </c>
      <c r="N475" s="257" t="inlineStr">
        <is>
          <t>Obligatoire sous conditions</t>
        </is>
      </c>
      <c r="O475" s="236" t="inlineStr">
        <is>
          <t>Mandatory under conditions</t>
        </is>
      </c>
      <c r="P475" s="269" t="inlineStr">
        <is>
          <t>NA</t>
        </is>
      </c>
      <c r="Q475" s="269" t="inlineStr">
        <is>
          <t>NA</t>
        </is>
      </c>
      <c r="R475" s="241" t="inlineStr">
        <is>
          <t>NA</t>
        </is>
      </c>
      <c r="S475" s="233" t="inlineStr">
        <is>
          <t>NA</t>
        </is>
      </c>
      <c r="T475" s="313" t="inlineStr">
        <is>
          <t>NUM</t>
        </is>
      </c>
      <c r="U475" s="237" t="inlineStr">
        <is>
          <t>10 dont signe et 5 décimales</t>
        </is>
      </c>
      <c r="V475" s="238" t="inlineStr">
        <is>
          <t>10 including sign and 5 decimals</t>
        </is>
      </c>
      <c r="W475" s="257" t="n">
        <v>10</v>
      </c>
      <c r="X475" s="945" t="inlineStr">
        <is>
          <t>NA</t>
        </is>
      </c>
      <c r="Y475" s="237" t="n">
        <v>41</v>
      </c>
      <c r="Z475" s="237" t="inlineStr">
        <is>
          <t>NA</t>
        </is>
      </c>
      <c r="AA475" s="270" t="inlineStr">
        <is>
          <t>NA</t>
        </is>
      </c>
      <c r="AB475" s="994" t="inlineStr">
        <is>
          <t>ANACREDIT, CALCULS PRUDENTIELS, CORFOU, SA-CCR</t>
        </is>
      </c>
      <c r="AC475" s="231" t="inlineStr">
        <is>
          <t>ND</t>
        </is>
      </c>
      <c r="AD475" s="257" t="inlineStr">
        <is>
          <t>N</t>
        </is>
      </c>
      <c r="AE475" s="257" t="inlineStr">
        <is>
          <t xml:space="preserve">VAR (hors Repos VAR105, VAR302)
</t>
        </is>
      </c>
      <c r="AF475" s="257" t="inlineStr">
        <is>
          <t>NA</t>
        </is>
      </c>
      <c r="AG475" s="258" t="inlineStr">
        <is>
          <t>NA</t>
        </is>
      </c>
      <c r="AH475" s="89" t="n"/>
      <c r="AI475" s="559" t="inlineStr">
        <is>
          <t>La donnée est obligatoire, si le type de risque [P1 2.0] = 'VARxxx' hors ('VAR105', 'VAR302') et si l'instrument financier [P1 3.75] est de type IF = '03' ET si le prix d'exercice de l'option [P1 10.4] n'est pas renseigné</t>
        </is>
      </c>
      <c r="AJ475" s="317" t="inlineStr">
        <is>
          <t>The data is mandatory, if Risk type [P1 2.0] = 'VARxxx' except ('VAR105', 'VAR302') and if the financial instrument [P1 3.75] is of type IF = '03' AND if the Option's strike price [P1 10.4] is not filled</t>
        </is>
      </c>
      <c r="AK475" s="257" t="n">
        <v>6</v>
      </c>
      <c r="AL475" s="424" t="inlineStr">
        <is>
          <t>TPS0831</t>
        </is>
      </c>
      <c r="AM475" s="318" t="n"/>
      <c r="AN475" s="317" t="n"/>
      <c r="AO475" s="257" t="n"/>
      <c r="AP475" s="258" t="n"/>
      <c r="AQ475" s="318" t="n"/>
      <c r="AR475" s="317" t="n"/>
      <c r="AS475" s="257" t="n"/>
      <c r="AT475" s="258" t="n"/>
      <c r="AU475" s="318" t="n"/>
      <c r="AV475" s="317" t="n"/>
      <c r="AW475" s="257" t="n"/>
      <c r="AX475" s="258" t="n"/>
      <c r="AY475" s="318" t="n"/>
      <c r="AZ475" s="317" t="n"/>
      <c r="BA475" s="257" t="n"/>
      <c r="BB475" s="258" t="n"/>
      <c r="BC475" s="316" t="n"/>
      <c r="BD475" s="317" t="n"/>
      <c r="BE475" s="257" t="n"/>
      <c r="BF475" s="258" t="n"/>
      <c r="BG475" s="89" t="n"/>
      <c r="BH4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75">
        <f>_xlfn.LET(r,ROW(),oc,INDEX($A:$A,r),cv,TRIM(INDEX($Y:$Y,r)&amp;""),IF(oc&lt;&gt;"P1","",IF(cv="45","V45 - novo, nao alimentado pelo spool atual","V44 - alimentado pelo spool atual")))</f>
        <v/>
      </c>
    </row>
    <row r="476" ht="54" customFormat="1" customHeight="1" s="91">
      <c r="A476" s="306" t="inlineStr">
        <is>
          <t>P1</t>
        </is>
      </c>
      <c r="B476" s="307" t="n">
        <v>241</v>
      </c>
      <c r="C476" s="269" t="inlineStr">
        <is>
          <t>09 - Caractéristiques Dérivés</t>
        </is>
      </c>
      <c r="D476" s="310" t="inlineStr">
        <is>
          <t>09 - Derivative characteristics</t>
        </is>
      </c>
      <c r="E476" s="307" t="inlineStr">
        <is>
          <t>P1 9.5</t>
        </is>
      </c>
      <c r="F476" s="560" t="inlineStr">
        <is>
          <t>Prix spot en taux</t>
        </is>
      </c>
      <c r="G476" s="309" t="inlineStr">
        <is>
          <t>Spot price rate</t>
        </is>
      </c>
      <c r="H476" s="1493">
        <f>"RPAD( "&amp;SUBSTITUTE(SUBSTITUTE(E476," ","_"),".","_")&amp;","&amp;W476&amp;",' '); -- "&amp;E476</f>
        <v/>
      </c>
      <c r="I476" s="1248" t="inlineStr">
        <is>
          <t>Prix spot
Exprimé en %</t>
        </is>
      </c>
      <c r="J476" s="309" t="inlineStr">
        <is>
          <t>Spot price
Expressed as %</t>
        </is>
      </c>
      <c r="K476" s="370" t="inlineStr">
        <is>
          <t>ND</t>
        </is>
      </c>
      <c r="L476" s="371" t="inlineStr">
        <is>
          <t>ND</t>
        </is>
      </c>
      <c r="M476" s="1420" t="inlineStr">
        <is>
          <t>valCoursSpot</t>
        </is>
      </c>
      <c r="N476" s="257" t="inlineStr">
        <is>
          <t>Obligatoire sous conditions</t>
        </is>
      </c>
      <c r="O476" s="236" t="inlineStr">
        <is>
          <t>Mandatory under conditions</t>
        </is>
      </c>
      <c r="P476" s="269" t="inlineStr">
        <is>
          <t>NA</t>
        </is>
      </c>
      <c r="Q476" s="269" t="inlineStr">
        <is>
          <t>NA</t>
        </is>
      </c>
      <c r="R476" s="562" t="inlineStr">
        <is>
          <t>Donnée attendue pour un taux : P1 9.5 'Prix spot en taux'
Données attendues pour un montant : P1 10.23 'Montant cours spot' et P1 10.24 'Devise montant cours spot'</t>
        </is>
      </c>
      <c r="S476" s="233" t="inlineStr">
        <is>
          <t>Expected data for a rate : P1 9.5 'Spot price rate'
Expected data for an amount : P1 10.23 'Spot price amount' et P1 10.24 'Currency of spot price amount'</t>
        </is>
      </c>
      <c r="T476" s="313" t="inlineStr">
        <is>
          <t>NUM</t>
        </is>
      </c>
      <c r="U476" s="237" t="inlineStr">
        <is>
          <t>10 dont signe et 5 décimales</t>
        </is>
      </c>
      <c r="V476" s="238" t="inlineStr">
        <is>
          <t>10 including sign and 5 decimals</t>
        </is>
      </c>
      <c r="W476" s="257" t="n">
        <v>10</v>
      </c>
      <c r="X476" s="945" t="inlineStr">
        <is>
          <t>NA</t>
        </is>
      </c>
      <c r="Y476" s="237" t="n">
        <v>41</v>
      </c>
      <c r="Z476" s="237" t="inlineStr">
        <is>
          <t>NA</t>
        </is>
      </c>
      <c r="AA476" s="270" t="inlineStr">
        <is>
          <t>NA</t>
        </is>
      </c>
      <c r="AB476" s="994" t="inlineStr">
        <is>
          <t>ANACREDIT, CALCULS PRUDENTIELS, SA-CCR</t>
        </is>
      </c>
      <c r="AC476" s="231" t="inlineStr">
        <is>
          <t>ND</t>
        </is>
      </c>
      <c r="AD476" s="257" t="inlineStr">
        <is>
          <t>N</t>
        </is>
      </c>
      <c r="AE476" s="1401" t="inlineStr">
        <is>
          <t>VAR (hors Repos VAR105, VAR302)</t>
        </is>
      </c>
      <c r="AF476" s="257" t="inlineStr">
        <is>
          <t>NA</t>
        </is>
      </c>
      <c r="AG476" s="258" t="inlineStr">
        <is>
          <t>NA</t>
        </is>
      </c>
      <c r="AH476" s="89" t="n"/>
      <c r="AI476" s="563" t="inlineStr">
        <is>
          <t>La donnée est obligatoire, si le type de risque [P1 2.0] = 'VARxxx' hors ('VAR105', 'VAR302') ET si l'instrument financier [P1 3.75] est de type IF = '03' ET si le montant cours spot [P1 10.23] n'est pas renseigné</t>
        </is>
      </c>
      <c r="AJ476" s="317" t="inlineStr">
        <is>
          <t>The data is mandatory, if Risk type [P1 2.0] = 'VARxxx' without ('VAR105', 'VAR302') AND if the Financial instrument [P1 3.75] is of FI type = '03' AND if the spot price amount [P1 10.23] is not filled</t>
        </is>
      </c>
      <c r="AK476" s="257" t="n">
        <v>5</v>
      </c>
      <c r="AL476" s="424" t="inlineStr">
        <is>
          <t>TPS0832</t>
        </is>
      </c>
      <c r="AM476" s="318" t="n"/>
      <c r="AN476" s="317" t="n"/>
      <c r="AO476" s="257" t="n"/>
      <c r="AP476" s="258" t="n"/>
      <c r="AQ476" s="318" t="n"/>
      <c r="AR476" s="317" t="n"/>
      <c r="AS476" s="257" t="n"/>
      <c r="AT476" s="258" t="n"/>
      <c r="AU476" s="318" t="n"/>
      <c r="AV476" s="317" t="n"/>
      <c r="AW476" s="257" t="n"/>
      <c r="AX476" s="258" t="n"/>
      <c r="AY476" s="318" t="n"/>
      <c r="AZ476" s="317" t="n"/>
      <c r="BA476" s="257" t="n"/>
      <c r="BB476" s="258" t="n"/>
      <c r="BC476" s="316" t="n"/>
      <c r="BD476" s="317" t="n"/>
      <c r="BE476" s="257" t="n"/>
      <c r="BF476" s="258" t="n"/>
      <c r="BG476" s="89" t="n"/>
      <c r="BH4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76">
        <f>_xlfn.LET(r,ROW(),oc,INDEX($A:$A,r),cv,TRIM(INDEX($Y:$Y,r)&amp;""),IF(oc&lt;&gt;"P1","",IF(cv="45","V45 - novo, nao alimentado pelo spool atual","V44 - alimentado pelo spool atual")))</f>
        <v/>
      </c>
    </row>
    <row r="477" ht="54" customFormat="1" customHeight="1" s="91">
      <c r="A477" s="306" t="inlineStr">
        <is>
          <t>P1</t>
        </is>
      </c>
      <c r="B477" s="307" t="n">
        <v>242</v>
      </c>
      <c r="C477" s="269" t="inlineStr">
        <is>
          <t>09 - Caractéristiques Dérivés</t>
        </is>
      </c>
      <c r="D477" s="310" t="inlineStr">
        <is>
          <t>09 - Derivative characteristics</t>
        </is>
      </c>
      <c r="E477" s="307" t="inlineStr">
        <is>
          <t>P1 10.23</t>
        </is>
      </c>
      <c r="F477" s="484" t="inlineStr">
        <is>
          <t>Montant cours spot</t>
        </is>
      </c>
      <c r="G477" s="309" t="inlineStr">
        <is>
          <t>Spot price amount</t>
        </is>
      </c>
      <c r="H477" s="1493">
        <f>"RPAD( "&amp;SUBSTITUTE(SUBSTITUTE(E477," ","_"),".","_")&amp;","&amp;W477&amp;",' '); -- "&amp;E477</f>
        <v/>
      </c>
      <c r="I477" s="564" t="inlineStr">
        <is>
          <t>Montant cours spot</t>
        </is>
      </c>
      <c r="J477" s="309" t="inlineStr">
        <is>
          <t>Spot price amount</t>
        </is>
      </c>
      <c r="K477" s="370" t="inlineStr">
        <is>
          <t>ND</t>
        </is>
      </c>
      <c r="L477" s="371" t="inlineStr">
        <is>
          <t>ND</t>
        </is>
      </c>
      <c r="M477" s="1420" t="inlineStr">
        <is>
          <t>mtCoursSpot</t>
        </is>
      </c>
      <c r="N477" s="257" t="inlineStr">
        <is>
          <t>Obligatoire sous conditions</t>
        </is>
      </c>
      <c r="O477" s="236" t="inlineStr">
        <is>
          <t>Mandatory under conditions</t>
        </is>
      </c>
      <c r="P477" s="269" t="inlineStr">
        <is>
          <t>NA</t>
        </is>
      </c>
      <c r="Q477" s="269" t="inlineStr">
        <is>
          <t>NA</t>
        </is>
      </c>
      <c r="R477" s="562" t="inlineStr">
        <is>
          <t>Donnée attendue pour un taux : P1 9.5 'Prix spot en taux'
Données attendues pour un montant : P1 10.23 'Montant cours spot' et P1 10.24 'Devise montant cours spot'</t>
        </is>
      </c>
      <c r="S477" s="233" t="inlineStr">
        <is>
          <t>Expected data for a rate : P1 9.5 'Spot price rate'
Expected data for an amount : P1 10.23 'Spot price amount' et P1 10.24 'Currency of spot price amount'</t>
        </is>
      </c>
      <c r="T477" s="313" t="inlineStr">
        <is>
          <t>NUM</t>
        </is>
      </c>
      <c r="U477" s="237" t="inlineStr">
        <is>
          <t>19 dont signe et 2 décimales</t>
        </is>
      </c>
      <c r="V477" s="238" t="inlineStr">
        <is>
          <t>19 including sign and 2 decimals</t>
        </is>
      </c>
      <c r="W477" s="257" t="n">
        <v>19</v>
      </c>
      <c r="X477" s="945" t="inlineStr">
        <is>
          <t>NA</t>
        </is>
      </c>
      <c r="Y477" s="237" t="n">
        <v>41</v>
      </c>
      <c r="Z477" s="237" t="inlineStr">
        <is>
          <t>NA</t>
        </is>
      </c>
      <c r="AA477" s="270" t="inlineStr">
        <is>
          <t>NA</t>
        </is>
      </c>
      <c r="AB477" s="994" t="inlineStr">
        <is>
          <t>ANACREDIT, CALCULS PRUDENTIELS, SA-CCR</t>
        </is>
      </c>
      <c r="AC477" s="231" t="inlineStr">
        <is>
          <t>ND</t>
        </is>
      </c>
      <c r="AD477" s="257" t="inlineStr">
        <is>
          <t>N</t>
        </is>
      </c>
      <c r="AE477" s="1401" t="inlineStr">
        <is>
          <t>VAR (hors Repos VAR105, VAR302)</t>
        </is>
      </c>
      <c r="AF477" s="257" t="inlineStr">
        <is>
          <t>NA</t>
        </is>
      </c>
      <c r="AG477" s="258" t="inlineStr">
        <is>
          <t>NA</t>
        </is>
      </c>
      <c r="AH477" s="89" t="n"/>
      <c r="AI477" s="563" t="inlineStr">
        <is>
          <t>La donnée est obligatoire, si le type de risque [P1 2.0] = 'VARxxx' hors ('VAR105', 'VAR302') ET si l'instrument financier [P1 3.75] est de type IF = '03' ET si le prix spot en taux [P1 9.5] n'est pas renseigné</t>
        </is>
      </c>
      <c r="AJ477" s="317" t="inlineStr">
        <is>
          <t>The data is mandatory, if Risk type [P1 2.0] = 'VARxxx' without ('VAR105', 'VAR302')AND if the financial instrument [P1 3.75] is of type IF = '03' AND if the spot price rate [P1 9.5] is not filled</t>
        </is>
      </c>
      <c r="AK477" s="257" t="n">
        <v>5</v>
      </c>
      <c r="AL477" s="424" t="inlineStr">
        <is>
          <t>TPS0833</t>
        </is>
      </c>
      <c r="AM477" s="318" t="n"/>
      <c r="AN477" s="317" t="n"/>
      <c r="AO477" s="257" t="n"/>
      <c r="AP477" s="258" t="n"/>
      <c r="AQ477" s="322" t="inlineStr">
        <is>
          <t>Si renseignée, la donnée doit être positive (supérieure ou égale à 0)</t>
        </is>
      </c>
      <c r="AR477" s="317" t="inlineStr">
        <is>
          <t xml:space="preserve">If filled, data must be positive (greater or equal to 0) </t>
        </is>
      </c>
      <c r="AS477" s="257" t="n">
        <v>7</v>
      </c>
      <c r="AT477" s="345" t="inlineStr">
        <is>
          <t>TVG0001</t>
        </is>
      </c>
      <c r="AU477" s="318" t="n"/>
      <c r="AV477" s="317" t="n"/>
      <c r="AW477" s="257" t="n"/>
      <c r="AX477" s="258" t="n"/>
      <c r="AY477" s="318" t="n"/>
      <c r="AZ477" s="317" t="n"/>
      <c r="BA477" s="257" t="n"/>
      <c r="BB477" s="258" t="n"/>
      <c r="BC477" s="316" t="n"/>
      <c r="BD477" s="317" t="n"/>
      <c r="BE477" s="257" t="n"/>
      <c r="BF477" s="258" t="n"/>
      <c r="BG477" s="89" t="n"/>
      <c r="BH4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77">
        <f>_xlfn.LET(r,ROW(),oc,INDEX($A:$A,r),cv,TRIM(INDEX($Y:$Y,r)&amp;""),IF(oc&lt;&gt;"P1","",IF(cv="45","V45 - novo, nao alimentado pelo spool atual","V44 - alimentado pelo spool atual")))</f>
        <v/>
      </c>
    </row>
    <row r="478" ht="54" customFormat="1" customHeight="1" s="91">
      <c r="A478" s="306" t="inlineStr">
        <is>
          <t>P1</t>
        </is>
      </c>
      <c r="B478" s="307" t="n">
        <v>243</v>
      </c>
      <c r="C478" s="269" t="inlineStr">
        <is>
          <t>09 - Caractéristiques Dérivés</t>
        </is>
      </c>
      <c r="D478" s="310" t="inlineStr">
        <is>
          <t>09 - Derivative characteristics</t>
        </is>
      </c>
      <c r="E478" s="307" t="inlineStr">
        <is>
          <t>P1 10.24</t>
        </is>
      </c>
      <c r="F478" s="308" t="inlineStr">
        <is>
          <t xml:space="preserve">Devise du montant cours spot </t>
        </is>
      </c>
      <c r="G478" s="309" t="inlineStr">
        <is>
          <t xml:space="preserve">Currency of the spot price amount </t>
        </is>
      </c>
      <c r="H478" s="1493">
        <f>"RPAD( "&amp;SUBSTITUTE(SUBSTITUTE(E478," ","_"),".","_")&amp;","&amp;W478&amp;",' '); -- "&amp;E478</f>
        <v/>
      </c>
      <c r="I478" s="241" t="inlineStr">
        <is>
          <t xml:space="preserve">Devise du montant cours spot </t>
        </is>
      </c>
      <c r="J478" s="309" t="inlineStr">
        <is>
          <t xml:space="preserve">Currency of the spot price amount </t>
        </is>
      </c>
      <c r="K478" s="370" t="inlineStr">
        <is>
          <t>ND</t>
        </is>
      </c>
      <c r="L478" s="371" t="inlineStr">
        <is>
          <t>ND</t>
        </is>
      </c>
      <c r="M478" s="1420" t="inlineStr">
        <is>
          <t>cdDevMtCoursSpot</t>
        </is>
      </c>
      <c r="N478" s="257" t="inlineStr">
        <is>
          <t>Obligatoire sous conditions</t>
        </is>
      </c>
      <c r="O478" s="236" t="inlineStr">
        <is>
          <t>Mandatory under conditions</t>
        </is>
      </c>
      <c r="P478" s="269" t="inlineStr">
        <is>
          <t>LC.0005</t>
        </is>
      </c>
      <c r="Q478" s="269" t="inlineStr">
        <is>
          <t>TA NM253</t>
        </is>
      </c>
      <c r="R478" s="562" t="inlineStr">
        <is>
          <t>Donnée attendue pour un taux : P1 9.5 'Prix spot en taux'
Données attendues pour un montant : P1 10.23 'Montant cours spot' et P1 10.24 'Devise montant cours spot'</t>
        </is>
      </c>
      <c r="S478" s="233" t="inlineStr">
        <is>
          <t>Expected data for a rate : P1 9.5 'Spot price rate'
Expected data for an amount : P1 10.23 'Spot price amount' et P1 10.24 'Currency of spot price amount'</t>
        </is>
      </c>
      <c r="T478" s="313" t="inlineStr">
        <is>
          <t>ALPHA</t>
        </is>
      </c>
      <c r="U478" s="237" t="inlineStr">
        <is>
          <t>NA</t>
        </is>
      </c>
      <c r="V478" s="238" t="inlineStr">
        <is>
          <t>NA</t>
        </is>
      </c>
      <c r="W478" s="397" t="n">
        <v>3</v>
      </c>
      <c r="X478" s="945" t="inlineStr">
        <is>
          <t>NA</t>
        </is>
      </c>
      <c r="Y478" s="237" t="n">
        <v>41</v>
      </c>
      <c r="Z478" s="237" t="inlineStr">
        <is>
          <t>NA</t>
        </is>
      </c>
      <c r="AA478" s="270" t="inlineStr">
        <is>
          <t>NA</t>
        </is>
      </c>
      <c r="AB478" s="994" t="inlineStr">
        <is>
          <t>ANACREDIT, CALCULS PRUDENTIELS, SA-CCR</t>
        </is>
      </c>
      <c r="AC478" s="231" t="inlineStr">
        <is>
          <t>ND</t>
        </is>
      </c>
      <c r="AD478" s="257" t="inlineStr">
        <is>
          <t>N</t>
        </is>
      </c>
      <c r="AE478" s="971" t="inlineStr">
        <is>
          <t>VAR (hors Repos VAR105, VAR302)
INT</t>
        </is>
      </c>
      <c r="AF478" s="257" t="inlineStr">
        <is>
          <t>NA</t>
        </is>
      </c>
      <c r="AG478" s="258" t="inlineStr">
        <is>
          <t>NA</t>
        </is>
      </c>
      <c r="AH478" s="89" t="n"/>
      <c r="AI478" s="435" t="inlineStr">
        <is>
          <t xml:space="preserve">La donnée est obligatoire si le montant du cours spot [P1 10.23] est renseigné </t>
        </is>
      </c>
      <c r="AJ478" s="317" t="inlineStr">
        <is>
          <t>Mandatory data if Spot price amount [P1 10.23] is filled</t>
        </is>
      </c>
      <c r="AK478" s="257" t="n">
        <v>7</v>
      </c>
      <c r="AL478" s="447" t="inlineStr">
        <is>
          <t>TPG0002</t>
        </is>
      </c>
      <c r="AM478" s="318" t="inlineStr">
        <is>
          <t>Si elle est renseignée, la valeur doit être connue du Langage Commun associé</t>
        </is>
      </c>
      <c r="AN478" s="317" t="inlineStr">
        <is>
          <t>If specified, the value must be known to the associated Common Language</t>
        </is>
      </c>
      <c r="AO478" s="257" t="n">
        <v>7</v>
      </c>
      <c r="AP478" s="212" t="inlineStr">
        <is>
          <t>TIG0001</t>
        </is>
      </c>
      <c r="AQ478" s="318" t="n"/>
      <c r="AR478" s="317" t="n"/>
      <c r="AS478" s="257" t="n"/>
      <c r="AT478" s="258" t="n"/>
      <c r="AU478" s="318" t="n"/>
      <c r="AV478" s="317" t="n"/>
      <c r="AW478" s="257" t="n"/>
      <c r="AX478" s="258" t="n"/>
      <c r="AY478" s="318" t="n"/>
      <c r="AZ478" s="317" t="n"/>
      <c r="BA478" s="257" t="n"/>
      <c r="BB478" s="258" t="n"/>
      <c r="BC478" s="316" t="n"/>
      <c r="BD478" s="317" t="n"/>
      <c r="BE478" s="257" t="n"/>
      <c r="BF478" s="258" t="n"/>
      <c r="BG478" s="89" t="n"/>
      <c r="BH4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78">
        <f>_xlfn.LET(r,ROW(),oc,INDEX($A:$A,r),cv,TRIM(INDEX($Y:$Y,r)&amp;""),IF(oc&lt;&gt;"P1","",IF(cv="45","V45 - novo, nao alimentado pelo spool atual","V44 - alimentado pelo spool atual")))</f>
        <v/>
      </c>
    </row>
    <row r="479" ht="54" customFormat="1" customHeight="1" s="91">
      <c r="A479" s="306" t="inlineStr">
        <is>
          <t>P1</t>
        </is>
      </c>
      <c r="B479" s="307" t="n">
        <v>244</v>
      </c>
      <c r="C479" s="269" t="inlineStr">
        <is>
          <t>09 - Caractéristiques Dérivés</t>
        </is>
      </c>
      <c r="D479" s="310" t="inlineStr">
        <is>
          <t>09 - Derivative characteristics</t>
        </is>
      </c>
      <c r="E479" s="307" t="inlineStr">
        <is>
          <t>P1 13.1</t>
        </is>
      </c>
      <c r="F479" s="241" t="inlineStr">
        <is>
          <t>Montant du seuil de déclenchement de l'appel de marge</t>
        </is>
      </c>
      <c r="G479" s="309" t="inlineStr">
        <is>
          <t>Margin call trigger threshold amount</t>
        </is>
      </c>
      <c r="H479" s="1493">
        <f>"RPAD( "&amp;SUBSTITUTE(SUBSTITUTE(E479," ","_"),".","_")&amp;","&amp;W479&amp;",' '); -- "&amp;E479</f>
        <v/>
      </c>
      <c r="I479" s="241" t="inlineStr">
        <is>
          <t>Montant du seuil de déclenchement de l'appel de marge</t>
        </is>
      </c>
      <c r="J479" s="309" t="inlineStr">
        <is>
          <t>Margin call trigger threshold amount</t>
        </is>
      </c>
      <c r="K479" s="370" t="inlineStr">
        <is>
          <t>ND</t>
        </is>
      </c>
      <c r="L479" s="371" t="inlineStr">
        <is>
          <t>ND</t>
        </is>
      </c>
      <c r="M479" s="1420" t="inlineStr">
        <is>
          <t>mtDeclenAppelMarge</t>
        </is>
      </c>
      <c r="N479" s="257" t="inlineStr">
        <is>
          <t>Obligatoire sous conditions</t>
        </is>
      </c>
      <c r="O479" s="236" t="inlineStr">
        <is>
          <t>Mandatory under conditions</t>
        </is>
      </c>
      <c r="P479" s="269" t="inlineStr">
        <is>
          <t>NA</t>
        </is>
      </c>
      <c r="Q479" s="269" t="inlineStr">
        <is>
          <t>NA</t>
        </is>
      </c>
      <c r="R479" s="241" t="inlineStr">
        <is>
          <t>NA</t>
        </is>
      </c>
      <c r="S479" s="233" t="inlineStr">
        <is>
          <t>NA</t>
        </is>
      </c>
      <c r="T479" s="313" t="inlineStr">
        <is>
          <t>NUM</t>
        </is>
      </c>
      <c r="U479" s="237" t="inlineStr">
        <is>
          <t>19 dont signe et 2 décimales</t>
        </is>
      </c>
      <c r="V479" s="238" t="inlineStr">
        <is>
          <t>19 including sign and 2 decimals</t>
        </is>
      </c>
      <c r="W479" s="257" t="n">
        <v>19</v>
      </c>
      <c r="X479" s="945" t="inlineStr">
        <is>
          <t>NA</t>
        </is>
      </c>
      <c r="Y479" s="237" t="n">
        <v>41</v>
      </c>
      <c r="Z479" s="237" t="inlineStr">
        <is>
          <t>NA</t>
        </is>
      </c>
      <c r="AA479" s="270" t="inlineStr">
        <is>
          <t>NA</t>
        </is>
      </c>
      <c r="AB479" s="994" t="inlineStr">
        <is>
          <t>CALCULS PRUDENTIELS, SA-CCR</t>
        </is>
      </c>
      <c r="AC479" s="231" t="inlineStr">
        <is>
          <t>ND</t>
        </is>
      </c>
      <c r="AD479" s="257" t="inlineStr">
        <is>
          <t>N</t>
        </is>
      </c>
      <c r="AE479" s="1401" t="inlineStr">
        <is>
          <t>TRE206</t>
        </is>
      </c>
      <c r="AF479" s="257" t="inlineStr">
        <is>
          <t>NA</t>
        </is>
      </c>
      <c r="AG479" s="258" t="inlineStr">
        <is>
          <t>NA</t>
        </is>
      </c>
      <c r="AH479" s="89" t="n"/>
      <c r="AI479" s="316" t="inlineStr">
        <is>
          <t>La donnée est obligatoire, si le type de risque [P1 2.0] = 'TRE206'</t>
        </is>
      </c>
      <c r="AJ479" s="317" t="inlineStr">
        <is>
          <t>The data is mandatory, if Risk type [P1 2.0] = 'TRE206'</t>
        </is>
      </c>
      <c r="AK479" s="257" t="n">
        <v>5</v>
      </c>
      <c r="AL479" s="565" t="inlineStr">
        <is>
          <t>TPS0834</t>
        </is>
      </c>
      <c r="AM479" s="318" t="n"/>
      <c r="AN479" s="317" t="n"/>
      <c r="AO479" s="257" t="n"/>
      <c r="AP479" s="258" t="n"/>
      <c r="AQ479" s="318" t="n"/>
      <c r="AR479" s="317" t="n"/>
      <c r="AS479" s="257" t="n"/>
      <c r="AT479" s="258" t="n"/>
      <c r="AU479" s="318" t="n"/>
      <c r="AV479" s="317" t="n"/>
      <c r="AW479" s="257" t="n"/>
      <c r="AX479" s="258" t="n"/>
      <c r="AY479" s="318" t="n"/>
      <c r="AZ479" s="317" t="n"/>
      <c r="BA479" s="257" t="n"/>
      <c r="BB479" s="258" t="n"/>
      <c r="BC479" s="316" t="n"/>
      <c r="BD479" s="317" t="n"/>
      <c r="BE479" s="257" t="n"/>
      <c r="BF479" s="258" t="n"/>
      <c r="BG479" s="89" t="n"/>
      <c r="BH4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79">
        <f>_xlfn.LET(r,ROW(),oc,INDEX($A:$A,r),cv,TRIM(INDEX($Y:$Y,r)&amp;""),IF(oc&lt;&gt;"P1","",IF(cv="45","V45 - novo, nao alimentado pelo spool atual","V44 - alimentado pelo spool atual")))</f>
        <v/>
      </c>
    </row>
    <row r="480" ht="54" customFormat="1" customHeight="1" s="91">
      <c r="A480" s="306" t="inlineStr">
        <is>
          <t>P1</t>
        </is>
      </c>
      <c r="B480" s="307" t="n">
        <v>245</v>
      </c>
      <c r="C480" s="269" t="inlineStr">
        <is>
          <t>09 - Caractéristiques Dérivés</t>
        </is>
      </c>
      <c r="D480" s="310" t="inlineStr">
        <is>
          <t>09 - Derivative characteristics</t>
        </is>
      </c>
      <c r="E480" s="307" t="inlineStr">
        <is>
          <t>P1 13.2</t>
        </is>
      </c>
      <c r="F480" s="308" t="inlineStr">
        <is>
          <t>Devise du montant du seuil de déclenchement de l'appel de marge</t>
        </is>
      </c>
      <c r="G480" s="309" t="inlineStr">
        <is>
          <t>Currency of the margin call trigger threshold amount</t>
        </is>
      </c>
      <c r="H480" s="1493">
        <f>"RPAD( "&amp;SUBSTITUTE(SUBSTITUTE(E480," ","_"),".","_")&amp;","&amp;W480&amp;",' '); -- "&amp;E480</f>
        <v/>
      </c>
      <c r="I480" s="308" t="inlineStr">
        <is>
          <t>Devise du montant du seuil de déclenchement de l'appel de marge</t>
        </is>
      </c>
      <c r="J480" s="309" t="inlineStr">
        <is>
          <t>Currency of the margin call trigger threshold amount</t>
        </is>
      </c>
      <c r="K480" s="269" t="inlineStr">
        <is>
          <t>ND</t>
        </is>
      </c>
      <c r="L480" s="310" t="inlineStr">
        <is>
          <t>ND</t>
        </is>
      </c>
      <c r="M480" s="1420" t="inlineStr">
        <is>
          <t>cdDevMtDeclenAppelMarge</t>
        </is>
      </c>
      <c r="N480" s="257" t="inlineStr">
        <is>
          <t>Obligatoire sous conditions</t>
        </is>
      </c>
      <c r="O480" s="236" t="inlineStr">
        <is>
          <t>Mandatory under conditions</t>
        </is>
      </c>
      <c r="P480" s="269" t="inlineStr">
        <is>
          <t>LC.0005</t>
        </is>
      </c>
      <c r="Q480" s="269" t="inlineStr">
        <is>
          <t>TA NM253</t>
        </is>
      </c>
      <c r="R480" s="241" t="inlineStr">
        <is>
          <t>NA</t>
        </is>
      </c>
      <c r="S480" s="233" t="inlineStr">
        <is>
          <t>NA</t>
        </is>
      </c>
      <c r="T480" s="313" t="inlineStr">
        <is>
          <t>ALPHA</t>
        </is>
      </c>
      <c r="U480" s="237" t="inlineStr">
        <is>
          <t>NA</t>
        </is>
      </c>
      <c r="V480" s="238" t="inlineStr">
        <is>
          <t>NA</t>
        </is>
      </c>
      <c r="W480" s="257" t="n">
        <v>3</v>
      </c>
      <c r="X480" s="945" t="inlineStr">
        <is>
          <t>NA</t>
        </is>
      </c>
      <c r="Y480" s="237" t="n">
        <v>41</v>
      </c>
      <c r="Z480" s="237" t="inlineStr">
        <is>
          <t>NA</t>
        </is>
      </c>
      <c r="AA480" s="270" t="inlineStr">
        <is>
          <t>NA</t>
        </is>
      </c>
      <c r="AB480" s="994" t="inlineStr">
        <is>
          <t>CALCULS PRUDENTIELS, SA-CCR</t>
        </is>
      </c>
      <c r="AC480" s="231" t="inlineStr">
        <is>
          <t>ND</t>
        </is>
      </c>
      <c r="AD480" s="257" t="inlineStr">
        <is>
          <t>N</t>
        </is>
      </c>
      <c r="AE480" s="257" t="inlineStr">
        <is>
          <t xml:space="preserve">TRE206
</t>
        </is>
      </c>
      <c r="AF480" s="257" t="inlineStr">
        <is>
          <t>NA</t>
        </is>
      </c>
      <c r="AG480" s="258" t="inlineStr">
        <is>
          <t>NA</t>
        </is>
      </c>
      <c r="AH480" s="89" t="n"/>
      <c r="AI480" s="316" t="inlineStr">
        <is>
          <t>La donnée est obligatoire si le Montant du seuil de déclenchement de l'appel de marge [P1 13.1] est renseigné</t>
        </is>
      </c>
      <c r="AJ480" s="317" t="inlineStr">
        <is>
          <t>The data is mandatory if the Margin call trigger threshold amount [P1 13.1] is filled</t>
        </is>
      </c>
      <c r="AK480" s="257" t="n">
        <v>7</v>
      </c>
      <c r="AL480" s="335" t="inlineStr">
        <is>
          <t>TPG0002</t>
        </is>
      </c>
      <c r="AM480" s="318" t="inlineStr">
        <is>
          <t>Si elle est renseignée, la valeur doit être connue du Langage Commun associé</t>
        </is>
      </c>
      <c r="AN480" s="317" t="inlineStr">
        <is>
          <t>If specified, the value must be known to the associated Common Language</t>
        </is>
      </c>
      <c r="AO480" s="257" t="n">
        <v>7</v>
      </c>
      <c r="AP480" s="212" t="inlineStr">
        <is>
          <t>TIG0001</t>
        </is>
      </c>
      <c r="AQ480" s="318" t="n"/>
      <c r="AR480" s="317" t="n"/>
      <c r="AS480" s="257" t="n"/>
      <c r="AT480" s="258" t="n"/>
      <c r="AU480" s="318" t="n"/>
      <c r="AV480" s="317" t="n"/>
      <c r="AW480" s="257" t="n"/>
      <c r="AX480" s="258" t="n"/>
      <c r="AY480" s="318" t="n"/>
      <c r="AZ480" s="317" t="n"/>
      <c r="BA480" s="257" t="n"/>
      <c r="BB480" s="258" t="n"/>
      <c r="BC480" s="316" t="n"/>
      <c r="BD480" s="317" t="n"/>
      <c r="BE480" s="257" t="n"/>
      <c r="BF480" s="258" t="n"/>
      <c r="BG480" s="89" t="n"/>
      <c r="BH4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80">
        <f>_xlfn.LET(r,ROW(),oc,INDEX($A:$A,r),cv,TRIM(INDEX($Y:$Y,r)&amp;""),IF(oc&lt;&gt;"P1","",IF(cv="45","V45 - novo, nao alimentado pelo spool atual","V44 - alimentado pelo spool atual")))</f>
        <v/>
      </c>
    </row>
    <row r="481" ht="54" customFormat="1" customHeight="1" s="91">
      <c r="A481" s="306" t="inlineStr">
        <is>
          <t>P1</t>
        </is>
      </c>
      <c r="B481" s="307" t="n">
        <v>246</v>
      </c>
      <c r="C481" s="269" t="inlineStr">
        <is>
          <t>09 - Caractéristiques Dérivés</t>
        </is>
      </c>
      <c r="D481" s="310" t="inlineStr">
        <is>
          <t>09 - Derivative characteristics</t>
        </is>
      </c>
      <c r="E481" s="307" t="inlineStr">
        <is>
          <t>P1 13.4</t>
        </is>
      </c>
      <c r="F481" s="566" t="inlineStr">
        <is>
          <t>Montant minimum de transfert de l'appel de marge</t>
        </is>
      </c>
      <c r="G481" s="309" t="inlineStr">
        <is>
          <t>Minimum amount of margin call transfer</t>
        </is>
      </c>
      <c r="H481" s="1493">
        <f>"RPAD( "&amp;SUBSTITUTE(SUBSTITUTE(E481," ","_"),".","_")&amp;","&amp;W481&amp;",' '); -- "&amp;E481</f>
        <v/>
      </c>
      <c r="I481" s="308" t="inlineStr">
        <is>
          <t>Montant minimum de transfert de l'appel de marge</t>
        </is>
      </c>
      <c r="J481" s="309" t="inlineStr">
        <is>
          <t>Minimum amount of margin call transfer</t>
        </is>
      </c>
      <c r="K481" s="370" t="inlineStr">
        <is>
          <t>ND</t>
        </is>
      </c>
      <c r="L481" s="371" t="inlineStr">
        <is>
          <t>ND</t>
        </is>
      </c>
      <c r="M481" s="1420" t="inlineStr">
        <is>
          <t>mtMinTransAppMarg</t>
        </is>
      </c>
      <c r="N481" s="257" t="inlineStr">
        <is>
          <t>Obligatoire sous conditions</t>
        </is>
      </c>
      <c r="O481" s="236" t="inlineStr">
        <is>
          <t>Mandatory under conditions</t>
        </is>
      </c>
      <c r="P481" s="269" t="inlineStr">
        <is>
          <t>NA</t>
        </is>
      </c>
      <c r="Q481" s="269" t="inlineStr">
        <is>
          <t>NA</t>
        </is>
      </c>
      <c r="R481" s="241" t="inlineStr">
        <is>
          <t>NA</t>
        </is>
      </c>
      <c r="S481" s="233" t="inlineStr">
        <is>
          <t>NA</t>
        </is>
      </c>
      <c r="T481" s="313" t="inlineStr">
        <is>
          <t>NUM</t>
        </is>
      </c>
      <c r="U481" s="237" t="inlineStr">
        <is>
          <t>19 dont signe et 2 décimales</t>
        </is>
      </c>
      <c r="V481" s="238" t="inlineStr">
        <is>
          <t>19 including sign and 2 decimals</t>
        </is>
      </c>
      <c r="W481" s="257" t="n">
        <v>19</v>
      </c>
      <c r="X481" s="945" t="inlineStr">
        <is>
          <t>NA</t>
        </is>
      </c>
      <c r="Y481" s="237" t="n">
        <v>41</v>
      </c>
      <c r="Z481" s="237" t="inlineStr">
        <is>
          <t>NA</t>
        </is>
      </c>
      <c r="AA481" s="270" t="inlineStr">
        <is>
          <t>NA</t>
        </is>
      </c>
      <c r="AB481" s="994" t="inlineStr">
        <is>
          <t>CALCULS PRUDENTIELS, SA-CCR</t>
        </is>
      </c>
      <c r="AC481" s="231" t="inlineStr">
        <is>
          <t>ND</t>
        </is>
      </c>
      <c r="AD481" s="257" t="inlineStr">
        <is>
          <t>N</t>
        </is>
      </c>
      <c r="AE481" s="1401" t="inlineStr">
        <is>
          <t>TRE206</t>
        </is>
      </c>
      <c r="AF481" s="257" t="inlineStr">
        <is>
          <t>NA</t>
        </is>
      </c>
      <c r="AG481" s="258" t="inlineStr">
        <is>
          <t>NA</t>
        </is>
      </c>
      <c r="AH481" s="89" t="n"/>
      <c r="AI481" s="316" t="inlineStr">
        <is>
          <t>La donnée est obligatoire, si le type de risque [P1 2.0] = 'TRE206'</t>
        </is>
      </c>
      <c r="AJ481" s="317" t="inlineStr">
        <is>
          <t>The data is mandatory, if Risk type [P1 2.0] = 'TRE206'</t>
        </is>
      </c>
      <c r="AK481" s="257" t="n">
        <v>5</v>
      </c>
      <c r="AL481" s="565" t="inlineStr">
        <is>
          <t>TPS0834</t>
        </is>
      </c>
      <c r="AM481" s="318" t="n"/>
      <c r="AN481" s="317" t="n"/>
      <c r="AO481" s="257" t="n"/>
      <c r="AP481" s="258" t="n"/>
      <c r="AQ481" s="322" t="inlineStr">
        <is>
          <t>Si renseignée, la donnée doit être positive (supérieure ou égale à 0)</t>
        </is>
      </c>
      <c r="AR481" s="317" t="inlineStr">
        <is>
          <t xml:space="preserve">If filled, data must be positive (greater or equal to 0) </t>
        </is>
      </c>
      <c r="AS481" s="257" t="n">
        <v>7</v>
      </c>
      <c r="AT481" s="345" t="inlineStr">
        <is>
          <t>TVG0001</t>
        </is>
      </c>
      <c r="AU481" s="318" t="n"/>
      <c r="AV481" s="317" t="n"/>
      <c r="AW481" s="257" t="n"/>
      <c r="AX481" s="258" t="n"/>
      <c r="AY481" s="318" t="n"/>
      <c r="AZ481" s="317" t="n"/>
      <c r="BA481" s="257" t="n"/>
      <c r="BB481" s="258" t="n"/>
      <c r="BC481" s="316" t="n"/>
      <c r="BD481" s="317" t="n"/>
      <c r="BE481" s="257" t="n"/>
      <c r="BF481" s="258" t="n"/>
      <c r="BG481" s="89" t="n"/>
      <c r="BH4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81">
        <f>_xlfn.LET(r,ROW(),oc,INDEX($A:$A,r),cv,TRIM(INDEX($Y:$Y,r)&amp;""),IF(oc&lt;&gt;"P1","",IF(cv="45","V45 - novo, nao alimentado pelo spool atual","V44 - alimentado pelo spool atual")))</f>
        <v/>
      </c>
    </row>
    <row r="482" ht="54" customFormat="1" customHeight="1" s="91">
      <c r="A482" s="306" t="inlineStr">
        <is>
          <t>P1</t>
        </is>
      </c>
      <c r="B482" s="307" t="n">
        <v>247</v>
      </c>
      <c r="C482" s="269" t="inlineStr">
        <is>
          <t>09 - Caractéristiques Dérivés</t>
        </is>
      </c>
      <c r="D482" s="310" t="inlineStr">
        <is>
          <t>09 - Derivative characteristics</t>
        </is>
      </c>
      <c r="E482" s="307" t="inlineStr">
        <is>
          <t>P1 13.5</t>
        </is>
      </c>
      <c r="F482" s="566" t="inlineStr">
        <is>
          <t>Devise du montant minimum de transfert de l'appel de marge</t>
        </is>
      </c>
      <c r="G482" s="309" t="inlineStr">
        <is>
          <t>Currency of the minimum amount of margin call transfer</t>
        </is>
      </c>
      <c r="H482" s="1493">
        <f>"RPAD( "&amp;SUBSTITUTE(SUBSTITUTE(E482," ","_"),".","_")&amp;","&amp;W482&amp;",' '); -- "&amp;E482</f>
        <v/>
      </c>
      <c r="I482" s="566" t="inlineStr">
        <is>
          <t>Devise du montant minimum de transfert de l'appel de marge</t>
        </is>
      </c>
      <c r="J482" s="309" t="inlineStr">
        <is>
          <t>Currency of the minimum amount of margin call transfer</t>
        </is>
      </c>
      <c r="K482" s="370" t="inlineStr">
        <is>
          <t>ND</t>
        </is>
      </c>
      <c r="L482" s="371" t="inlineStr">
        <is>
          <t>ND</t>
        </is>
      </c>
      <c r="M482" s="1420" t="inlineStr">
        <is>
          <t>cdDevMtMinTransAppMarg</t>
        </is>
      </c>
      <c r="N482" s="257" t="inlineStr">
        <is>
          <t>Obligatoire sous conditions</t>
        </is>
      </c>
      <c r="O482" s="236" t="inlineStr">
        <is>
          <t>Mandatory under conditions</t>
        </is>
      </c>
      <c r="P482" s="269" t="inlineStr">
        <is>
          <t>LC.0005</t>
        </is>
      </c>
      <c r="Q482" s="269" t="inlineStr">
        <is>
          <t>TA NM253</t>
        </is>
      </c>
      <c r="R482" s="241" t="inlineStr">
        <is>
          <t>NA</t>
        </is>
      </c>
      <c r="S482" s="233" t="inlineStr">
        <is>
          <t>NA</t>
        </is>
      </c>
      <c r="T482" s="313" t="inlineStr">
        <is>
          <t>ALPHA</t>
        </is>
      </c>
      <c r="U482" s="237" t="inlineStr">
        <is>
          <t>NA</t>
        </is>
      </c>
      <c r="V482" s="238" t="inlineStr">
        <is>
          <t>NA</t>
        </is>
      </c>
      <c r="W482" s="257" t="n">
        <v>3</v>
      </c>
      <c r="X482" s="945" t="inlineStr">
        <is>
          <t>NA</t>
        </is>
      </c>
      <c r="Y482" s="237" t="n">
        <v>41</v>
      </c>
      <c r="Z482" s="237" t="inlineStr">
        <is>
          <t>NA</t>
        </is>
      </c>
      <c r="AA482" s="270" t="inlineStr">
        <is>
          <t>NA</t>
        </is>
      </c>
      <c r="AB482" s="994" t="inlineStr">
        <is>
          <t>CALCULS PRUDENTIELS, SA-CCR</t>
        </is>
      </c>
      <c r="AC482" s="231" t="inlineStr">
        <is>
          <t>ND</t>
        </is>
      </c>
      <c r="AD482" s="257" t="inlineStr">
        <is>
          <t>N</t>
        </is>
      </c>
      <c r="AE482" s="257" t="inlineStr">
        <is>
          <t xml:space="preserve">TRE206
</t>
        </is>
      </c>
      <c r="AF482" s="257" t="inlineStr">
        <is>
          <t>NA</t>
        </is>
      </c>
      <c r="AG482" s="258" t="inlineStr">
        <is>
          <t>NA</t>
        </is>
      </c>
      <c r="AH482" s="89" t="n"/>
      <c r="AI482" s="316" t="inlineStr">
        <is>
          <t>La donnée est obligatoire si le montant minimum de transfert d'appel de marge [P1 13.4] est renseigné</t>
        </is>
      </c>
      <c r="AJ482" s="317" t="inlineStr">
        <is>
          <t>The data is mandatory if the minimum margin call transfer amount [P1 13.4] is filled</t>
        </is>
      </c>
      <c r="AK482" s="257" t="n">
        <v>7</v>
      </c>
      <c r="AL482" s="335" t="inlineStr">
        <is>
          <t>TPG0002</t>
        </is>
      </c>
      <c r="AM482" s="318" t="inlineStr">
        <is>
          <t>Si elle est renseignée, la valeur doit être connue du Langage Commun associé</t>
        </is>
      </c>
      <c r="AN482" s="317" t="inlineStr">
        <is>
          <t>If specified, the value must be known to the associated Common Language</t>
        </is>
      </c>
      <c r="AO482" s="257" t="n">
        <v>7</v>
      </c>
      <c r="AP482" s="212" t="inlineStr">
        <is>
          <t>TIG0001</t>
        </is>
      </c>
      <c r="AQ482" s="318" t="n"/>
      <c r="AR482" s="317" t="n"/>
      <c r="AS482" s="257" t="n"/>
      <c r="AT482" s="258" t="n"/>
      <c r="AU482" s="318" t="n"/>
      <c r="AV482" s="317" t="n"/>
      <c r="AW482" s="257" t="n"/>
      <c r="AX482" s="258" t="n"/>
      <c r="AY482" s="318" t="n"/>
      <c r="AZ482" s="317" t="n"/>
      <c r="BA482" s="257" t="n"/>
      <c r="BB482" s="258" t="n"/>
      <c r="BC482" s="316" t="n"/>
      <c r="BD482" s="317" t="n"/>
      <c r="BE482" s="257" t="n"/>
      <c r="BF482" s="258" t="n"/>
      <c r="BG482" s="89" t="n"/>
      <c r="BH4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82">
        <f>_xlfn.LET(r,ROW(),oc,INDEX($A:$A,r),cv,TRIM(INDEX($Y:$Y,r)&amp;""),IF(oc&lt;&gt;"P1","",IF(cv="45","V45 - novo, nao alimentado pelo spool atual","V44 - alimentado pelo spool atual")))</f>
        <v/>
      </c>
    </row>
    <row r="483" ht="54" customFormat="1" customHeight="1" s="139">
      <c r="A483" s="306" t="inlineStr">
        <is>
          <t>P1</t>
        </is>
      </c>
      <c r="B483" s="307" t="n">
        <v>248</v>
      </c>
      <c r="C483" s="269" t="inlineStr">
        <is>
          <t>02 - Caractéristiques d'identification fonctionnelles</t>
        </is>
      </c>
      <c r="D483" s="310" t="inlineStr">
        <is>
          <t>02 - Functional identification characteristics</t>
        </is>
      </c>
      <c r="E483" s="307" t="inlineStr">
        <is>
          <t>P1 21.98</t>
        </is>
      </c>
      <c r="F483" s="375" t="inlineStr">
        <is>
          <t>Identifiant du deal Back-to-Back avec CACIB</t>
        </is>
      </c>
      <c r="G483" s="309" t="inlineStr">
        <is>
          <t>Back-to-Back deal identifier with CACIB</t>
        </is>
      </c>
      <c r="H483" s="1493">
        <f>"RPAD( "&amp;SUBSTITUTE(SUBSTITUTE(E483," ","_"),".","_")&amp;","&amp;W483&amp;",' '); -- "&amp;E483</f>
        <v/>
      </c>
      <c r="I483" s="375" t="inlineStr">
        <is>
          <t>Identifiant du deal CACIB dans le cadre d’un Back-to-Back effectué entre une entité et CACIB</t>
        </is>
      </c>
      <c r="J483" s="309" t="inlineStr">
        <is>
          <t>Identifier of the CACIB deal in connection with a Back-to-Back transaction between an entity and CACIB</t>
        </is>
      </c>
      <c r="K483" s="370" t="inlineStr">
        <is>
          <t>ND</t>
        </is>
      </c>
      <c r="L483" s="371" t="inlineStr">
        <is>
          <t>ND</t>
        </is>
      </c>
      <c r="M483" s="1424" t="inlineStr">
        <is>
          <t>DealCd</t>
        </is>
      </c>
      <c r="N483" s="231" t="inlineStr">
        <is>
          <t>Obligatoire (SC)</t>
        </is>
      </c>
      <c r="O483" s="236" t="inlineStr">
        <is>
          <t>Mandatory (SC)</t>
        </is>
      </c>
      <c r="P483" s="269" t="inlineStr">
        <is>
          <t>NA</t>
        </is>
      </c>
      <c r="Q483" s="269" t="inlineStr">
        <is>
          <t>NA</t>
        </is>
      </c>
      <c r="R483" s="234" t="inlineStr">
        <is>
          <t>NA</t>
        </is>
      </c>
      <c r="S483" s="235" t="inlineStr">
        <is>
          <t>NA</t>
        </is>
      </c>
      <c r="T483" s="307" t="inlineStr">
        <is>
          <t>ALPHA</t>
        </is>
      </c>
      <c r="U483" s="237" t="inlineStr">
        <is>
          <t>NA</t>
        </is>
      </c>
      <c r="V483" s="238" t="inlineStr">
        <is>
          <t>NA</t>
        </is>
      </c>
      <c r="W483" s="269" t="n">
        <v>50</v>
      </c>
      <c r="X483" s="231" t="inlineStr">
        <is>
          <t>NA</t>
        </is>
      </c>
      <c r="Y483" s="237" t="inlineStr">
        <is>
          <t>NA</t>
        </is>
      </c>
      <c r="Z483" s="237" t="inlineStr">
        <is>
          <t>NA</t>
        </is>
      </c>
      <c r="AA483" s="237" t="inlineStr">
        <is>
          <t>NA</t>
        </is>
      </c>
      <c r="AB483" s="269" t="inlineStr">
        <is>
          <t>PVA</t>
        </is>
      </c>
      <c r="AC483" s="231" t="inlineStr">
        <is>
          <t>ND</t>
        </is>
      </c>
      <c r="AD483" s="269" t="inlineStr">
        <is>
          <t>N</t>
        </is>
      </c>
      <c r="AE483" s="269" t="inlineStr">
        <is>
          <t>NA</t>
        </is>
      </c>
      <c r="AF483" s="269" t="inlineStr">
        <is>
          <t>NA</t>
        </is>
      </c>
      <c r="AG483" s="364" t="inlineStr">
        <is>
          <t>NA</t>
        </is>
      </c>
      <c r="AH483" s="1360" t="n"/>
      <c r="AI483" s="353" t="n"/>
      <c r="AJ483" s="354" t="n"/>
      <c r="AK483" s="269" t="n"/>
      <c r="AL483" s="364" t="n"/>
      <c r="AM483" s="354" t="n"/>
      <c r="AN483" s="354" t="n"/>
      <c r="AO483" s="269" t="n"/>
      <c r="AP483" s="364" t="n"/>
      <c r="AQ483" s="354" t="n"/>
      <c r="AR483" s="354" t="n"/>
      <c r="AS483" s="269" t="n"/>
      <c r="AT483" s="364" t="n"/>
      <c r="AU483" s="354" t="n"/>
      <c r="AV483" s="354" t="n"/>
      <c r="AW483" s="269" t="n"/>
      <c r="AX483" s="364" t="n"/>
      <c r="AY483" s="354" t="n"/>
      <c r="AZ483" s="354" t="n"/>
      <c r="BA483" s="269" t="n"/>
      <c r="BB483" s="364" t="n"/>
      <c r="BC483" s="353" t="n"/>
      <c r="BD483" s="354" t="n"/>
      <c r="BE483" s="269" t="n"/>
      <c r="BF483" s="364" t="n"/>
      <c r="BG483" s="89" t="n"/>
      <c r="BH4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83">
        <f>_xlfn.LET(r,ROW(),oc,INDEX($A:$A,r),cv,TRIM(INDEX($Y:$Y,r)&amp;""),IF(oc&lt;&gt;"P1","",IF(cv="45","V45 - novo, nao alimentado pelo spool atual","V44 - alimentado pelo spool atual")))</f>
        <v/>
      </c>
    </row>
    <row r="484" ht="54" customFormat="1" customHeight="1" s="91">
      <c r="A484" s="306" t="inlineStr">
        <is>
          <t>P1</t>
        </is>
      </c>
      <c r="B484" s="307" t="n">
        <v>249</v>
      </c>
      <c r="C484" s="269" t="inlineStr">
        <is>
          <t xml:space="preserve">08 - Caractéristiques d'arriérés et de restructuration </t>
        </is>
      </c>
      <c r="D484" s="310" t="inlineStr">
        <is>
          <t>08 - Characteristics of overdues and restructuring</t>
        </is>
      </c>
      <c r="E484" s="307" t="inlineStr">
        <is>
          <t>P1 21.3</t>
        </is>
      </c>
      <c r="F484" s="308" t="inlineStr">
        <is>
          <t>Evénement de crédit</t>
        </is>
      </c>
      <c r="G484" s="309" t="inlineStr">
        <is>
          <t>Credit event</t>
        </is>
      </c>
      <c r="H484" s="1493">
        <f>"RPAD( "&amp;SUBSTITUTE(SUBSTITUTE(E484," ","_"),".","_")&amp;","&amp;W484&amp;",' '); -- "&amp;E484</f>
        <v/>
      </c>
      <c r="I484" s="241" t="inlineStr">
        <is>
          <t>Evénement de crédit lié à la forbearance</t>
        </is>
      </c>
      <c r="J484" s="309" t="inlineStr">
        <is>
          <t>Credit event linked to forbearance</t>
        </is>
      </c>
      <c r="K484" s="370" t="inlineStr">
        <is>
          <t>ND</t>
        </is>
      </c>
      <c r="L484" s="371" t="inlineStr">
        <is>
          <t>ND</t>
        </is>
      </c>
      <c r="M484" s="1420" t="inlineStr">
        <is>
          <t>cdEvCred</t>
        </is>
      </c>
      <c r="N484" s="257" t="inlineStr">
        <is>
          <t>Obligatoire sous conditions</t>
        </is>
      </c>
      <c r="O484" s="236" t="inlineStr">
        <is>
          <t>Mandatory under conditions</t>
        </is>
      </c>
      <c r="P484" s="269" t="inlineStr">
        <is>
          <t>LC.0233</t>
        </is>
      </c>
      <c r="Q484" s="269" t="inlineStr">
        <is>
          <t>TA KVEVECRE</t>
        </is>
      </c>
      <c r="R484" s="241" t="inlineStr">
        <is>
          <t>Cette donnée est obligatoire qu'il y ait ou non FORBEARANCE
Evénements possibles (modification du contrat existant (Restructuration), Octroi d'un nouveau crédit)</t>
        </is>
      </c>
      <c r="S484" s="233" t="inlineStr">
        <is>
          <t>This data is mandatory whether or not there is FORBEARANCE
Possible events (modification of the existing contract (Restructuring), Granting of a new credit)</t>
        </is>
      </c>
      <c r="T484" s="313" t="inlineStr">
        <is>
          <t>ALPHA</t>
        </is>
      </c>
      <c r="U484" s="237" t="inlineStr">
        <is>
          <t>NA</t>
        </is>
      </c>
      <c r="V484" s="238" t="inlineStr">
        <is>
          <t>NA</t>
        </is>
      </c>
      <c r="W484" s="257" t="n">
        <v>1</v>
      </c>
      <c r="X484" s="945" t="inlineStr">
        <is>
          <t>NA</t>
        </is>
      </c>
      <c r="Y484" s="237" t="n">
        <v>41</v>
      </c>
      <c r="Z484" s="237" t="inlineStr">
        <is>
          <t>NA</t>
        </is>
      </c>
      <c r="AA484" s="237" t="inlineStr">
        <is>
          <t>NA</t>
        </is>
      </c>
      <c r="AB484" s="269" t="inlineStr">
        <is>
          <t>ANACREDIT, ASTRE, LOAN TAPE, NPE, OMP</t>
        </is>
      </c>
      <c r="AC484" s="231" t="inlineStr">
        <is>
          <t>ND</t>
        </is>
      </c>
      <c r="AD484" s="257" t="inlineStr">
        <is>
          <t>N</t>
        </is>
      </c>
      <c r="AE484" s="485" t="inlineStr">
        <is>
          <t xml:space="preserve">TRE2 à 4XX hors 203,205,206,207, 405, 406
TRE5XX
</t>
        </is>
      </c>
      <c r="AF484" s="257" t="inlineStr">
        <is>
          <t>NA</t>
        </is>
      </c>
      <c r="AG484" s="258" t="inlineStr">
        <is>
          <t>NA</t>
        </is>
      </c>
      <c r="AH484" s="89" t="n"/>
      <c r="AI484" s="435" t="inlineStr">
        <is>
          <t>La donnée est obligatoire si type de risque [P1 2.0] = 'TRE2*, TRE3*, TRE4*, TRE5* (hors TRE203, TRE205, TRE206, TRE207, TRE405, TRE406)'</t>
        </is>
      </c>
      <c r="AJ484" s="317" t="inlineStr">
        <is>
          <t>The data is mandatory if risk type [P1 2.0] = 'TRE2*, TRE3*, TRE4*, TRE5* (except TRE203, TRE205, TRE206, TRE207, TRE405, TRE406)'</t>
        </is>
      </c>
      <c r="AK484" s="257" t="n">
        <v>6</v>
      </c>
      <c r="AL484" s="366" t="inlineStr">
        <is>
          <t>TPS0835</t>
        </is>
      </c>
      <c r="AM484" s="318" t="inlineStr">
        <is>
          <t>Si elle est renseignée, la valeur doit être connue du Langage Commun associé</t>
        </is>
      </c>
      <c r="AN484" s="317" t="inlineStr">
        <is>
          <t>If specified, the value must be known to the associated Common Language</t>
        </is>
      </c>
      <c r="AO484" s="257" t="n">
        <v>7</v>
      </c>
      <c r="AP484" s="212" t="inlineStr">
        <is>
          <t>TIG0001</t>
        </is>
      </c>
      <c r="AQ484" s="318" t="n"/>
      <c r="AR484" s="317" t="n"/>
      <c r="AS484" s="257" t="n"/>
      <c r="AT484" s="258" t="n"/>
      <c r="AU484" s="318" t="n"/>
      <c r="AV484" s="317" t="n"/>
      <c r="AW484" s="257" t="n"/>
      <c r="AX484" s="258" t="n"/>
      <c r="AY484" s="318" t="n"/>
      <c r="AZ484" s="317" t="n"/>
      <c r="BA484" s="257" t="n"/>
      <c r="BB484" s="258" t="n"/>
      <c r="BC484" s="316" t="n"/>
      <c r="BD484" s="317" t="n"/>
      <c r="BE484" s="257" t="n"/>
      <c r="BF484" s="258" t="n"/>
      <c r="BG484" s="89" t="n"/>
      <c r="BH4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84">
        <f>_xlfn.LET(r,ROW(),oc,INDEX($A:$A,r),cv,TRIM(INDEX($Y:$Y,r)&amp;""),IF(oc&lt;&gt;"P1","",IF(cv="45","V45 - novo, nao alimentado pelo spool atual","V44 - alimentado pelo spool atual")))</f>
        <v/>
      </c>
    </row>
    <row r="485" ht="54" customFormat="1" customHeight="1" s="91">
      <c r="A485" s="306" t="inlineStr">
        <is>
          <t>P1</t>
        </is>
      </c>
      <c r="B485" s="307" t="n">
        <v>250</v>
      </c>
      <c r="C485" s="269" t="inlineStr">
        <is>
          <t xml:space="preserve">08 - Caractéristiques d'arriérés et de restructuration </t>
        </is>
      </c>
      <c r="D485" s="310" t="inlineStr">
        <is>
          <t>08 - Characteristics of overdues and restructuring</t>
        </is>
      </c>
      <c r="E485" s="307" t="inlineStr">
        <is>
          <t>P1 21.4</t>
        </is>
      </c>
      <c r="F485" s="567" t="inlineStr">
        <is>
          <t>Nature Contextuelle au moment de l'évènement de crédit</t>
        </is>
      </c>
      <c r="G485" s="309" t="inlineStr">
        <is>
          <t>Contextual nature of the credit event</t>
        </is>
      </c>
      <c r="H485" s="1493">
        <f>"RPAD( "&amp;SUBSTITUTE(SUBSTITUTE(E485," ","_"),".","_")&amp;","&amp;W485&amp;",' '); -- "&amp;E485</f>
        <v/>
      </c>
      <c r="I485" s="241" t="inlineStr">
        <is>
          <t>Nature contextuelle au moment de l'événement de crédit au sens de la Forbearance</t>
        </is>
      </c>
      <c r="J485" s="309" t="inlineStr">
        <is>
          <t>Contextual nature at the time of the credit event with regard to Forbearance</t>
        </is>
      </c>
      <c r="K485" s="370" t="inlineStr">
        <is>
          <t>ND</t>
        </is>
      </c>
      <c r="L485" s="371" t="inlineStr">
        <is>
          <t>ND</t>
        </is>
      </c>
      <c r="M485" s="1420" t="inlineStr">
        <is>
          <t>cdNatCont</t>
        </is>
      </c>
      <c r="N485" s="257" t="inlineStr">
        <is>
          <t>Obligatoire sous conditions</t>
        </is>
      </c>
      <c r="O485" s="236" t="inlineStr">
        <is>
          <t>Mandatory under conditions</t>
        </is>
      </c>
      <c r="P485" s="269" t="inlineStr">
        <is>
          <t>LC.0234</t>
        </is>
      </c>
      <c r="Q485" s="269" t="inlineStr">
        <is>
          <t>TA KVNFORCR</t>
        </is>
      </c>
      <c r="R485" s="241" t="inlineStr">
        <is>
          <t>Cette donnée est obligatoire qu'il y ait ou non FORBEARANCE</t>
        </is>
      </c>
      <c r="S485" s="233" t="inlineStr">
        <is>
          <t>This data is mandatory whether or not there is FORBEARANCE</t>
        </is>
      </c>
      <c r="T485" s="313" t="inlineStr">
        <is>
          <t>ALPHA</t>
        </is>
      </c>
      <c r="U485" s="237" t="inlineStr">
        <is>
          <t>NA</t>
        </is>
      </c>
      <c r="V485" s="238" t="inlineStr">
        <is>
          <t>NA</t>
        </is>
      </c>
      <c r="W485" s="257" t="n">
        <v>1</v>
      </c>
      <c r="X485" s="945" t="inlineStr">
        <is>
          <t>NA</t>
        </is>
      </c>
      <c r="Y485" s="237" t="n">
        <v>41</v>
      </c>
      <c r="Z485" s="237" t="inlineStr">
        <is>
          <t>NA</t>
        </is>
      </c>
      <c r="AA485" s="237" t="inlineStr">
        <is>
          <t>NA</t>
        </is>
      </c>
      <c r="AB485" s="269" t="inlineStr">
        <is>
          <t>ANACREDIT, ASTRE, LOAN TAPE, NPE, OMP</t>
        </is>
      </c>
      <c r="AC485" s="231" t="inlineStr">
        <is>
          <t>ND</t>
        </is>
      </c>
      <c r="AD485" s="257" t="inlineStr">
        <is>
          <t>N</t>
        </is>
      </c>
      <c r="AE485" s="485" t="inlineStr">
        <is>
          <t xml:space="preserve">TRE2 à 4XX hors 203,205,206,207, 405, 406
TRE5XX
</t>
        </is>
      </c>
      <c r="AF485" s="257" t="inlineStr">
        <is>
          <t>NA</t>
        </is>
      </c>
      <c r="AG485" s="258" t="inlineStr">
        <is>
          <t>NA</t>
        </is>
      </c>
      <c r="AH485" s="89" t="n"/>
      <c r="AI485" s="316" t="inlineStr">
        <is>
          <t>La donnée est obligatoire si type de risque [P1 2.0] = 'TRE2*, TRE3*, TRE4*, TRE5* (hors TRE203, TRE205, TRE206, TRE207, TRE405, TRE406)'</t>
        </is>
      </c>
      <c r="AJ485" s="317" t="inlineStr">
        <is>
          <t>The data is mandatory if risk type [P1 2.0] = 'TRE2*, TRE3*, TRE4*, TRE5* (except TRE203, TRE205, TRE206, TRE207, TRE405, TRE406)'</t>
        </is>
      </c>
      <c r="AK485" s="257" t="n">
        <v>6</v>
      </c>
      <c r="AL485" s="366" t="inlineStr">
        <is>
          <t>TPS0835</t>
        </is>
      </c>
      <c r="AM485" s="318" t="inlineStr">
        <is>
          <t>Si elle est renseignée, la valeur doit être connue du Langage Commun associé</t>
        </is>
      </c>
      <c r="AN485" s="317" t="inlineStr">
        <is>
          <t>If specified, the value must be known to the associated Common Language</t>
        </is>
      </c>
      <c r="AO485" s="257" t="n">
        <v>7</v>
      </c>
      <c r="AP485" s="212" t="inlineStr">
        <is>
          <t>TIG0001</t>
        </is>
      </c>
      <c r="AQ485" s="318" t="n"/>
      <c r="AR485" s="317" t="n"/>
      <c r="AS485" s="257" t="n"/>
      <c r="AT485" s="258" t="n"/>
      <c r="AU485" s="318" t="n"/>
      <c r="AV485" s="317" t="n"/>
      <c r="AW485" s="257" t="n"/>
      <c r="AX485" s="258" t="n"/>
      <c r="AY485" s="318" t="n"/>
      <c r="AZ485" s="317" t="n"/>
      <c r="BA485" s="257" t="n"/>
      <c r="BB485" s="258" t="n"/>
      <c r="BC485" s="316" t="n"/>
      <c r="BD485" s="317" t="n"/>
      <c r="BE485" s="257" t="n"/>
      <c r="BF485" s="258" t="n"/>
      <c r="BG485" s="89" t="n"/>
      <c r="BH4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85">
        <f>_xlfn.LET(r,ROW(),oc,INDEX($A:$A,r),cv,TRIM(INDEX($Y:$Y,r)&amp;""),IF(oc&lt;&gt;"P1","",IF(cv="45","V45 - novo, nao alimentado pelo spool atual","V44 - alimentado pelo spool atual")))</f>
        <v/>
      </c>
    </row>
    <row r="486" ht="54" customFormat="1" customHeight="1" s="91">
      <c r="A486" s="306" t="inlineStr">
        <is>
          <t>P1</t>
        </is>
      </c>
      <c r="B486" s="307" t="n">
        <v>251</v>
      </c>
      <c r="C486" s="269" t="inlineStr">
        <is>
          <t xml:space="preserve">08 - Caractéristiques d'arriérés et de restructuration </t>
        </is>
      </c>
      <c r="D486" s="310" t="inlineStr">
        <is>
          <t>08 - Characteristics of overdues and restructuring</t>
        </is>
      </c>
      <c r="E486" s="307" t="inlineStr">
        <is>
          <t>P1 21.5</t>
        </is>
      </c>
      <c r="F486" s="568" t="inlineStr">
        <is>
          <t>Statut du crédit au sens de la Forbearance</t>
        </is>
      </c>
      <c r="G486" s="309" t="inlineStr">
        <is>
          <t>Credit status for Forbearance</t>
        </is>
      </c>
      <c r="H486" s="1493">
        <f>"RPAD( "&amp;SUBSTITUTE(SUBSTITUTE(E486," ","_"),".","_")&amp;","&amp;W486&amp;",' '); -- "&amp;E486</f>
        <v/>
      </c>
      <c r="I486" s="1224" t="inlineStr">
        <is>
          <t>Les contrats faisant l’objet d’une mesure de Forbearance sont des financements auxquels ont été appliqués des mesures de restructuration pour risque (client sain) ou en urgence (client en défaut)</t>
        </is>
      </c>
      <c r="J486" s="968" t="inlineStr">
        <is>
          <t>The contracts subject to a Forbearance measure are financing to which restructuring measures have been applied for risk (healthy customer) or emergency (defaulting customer)</t>
        </is>
      </c>
      <c r="K486" s="370" t="inlineStr">
        <is>
          <t>ND</t>
        </is>
      </c>
      <c r="L486" s="371" t="inlineStr">
        <is>
          <t>ND</t>
        </is>
      </c>
      <c r="M486" s="1420" t="inlineStr">
        <is>
          <t>cdStatCre</t>
        </is>
      </c>
      <c r="N486" s="257" t="inlineStr">
        <is>
          <t>Obligatoire sous conditions</t>
        </is>
      </c>
      <c r="O486" s="236" t="inlineStr">
        <is>
          <t>Mandatory under conditions</t>
        </is>
      </c>
      <c r="P486" s="269" t="inlineStr">
        <is>
          <t>LC.0235</t>
        </is>
      </c>
      <c r="Q486" s="269" t="inlineStr">
        <is>
          <t>TA KVSTFORB</t>
        </is>
      </c>
      <c r="R486" s="241" t="inlineStr">
        <is>
          <t>Cette donnée est obligatoire qu'il y ait ou non FORBEARANCE</t>
        </is>
      </c>
      <c r="S486" s="233" t="inlineStr">
        <is>
          <t>This data is mandatory whether or not there is FORBEARANCE</t>
        </is>
      </c>
      <c r="T486" s="313" t="inlineStr">
        <is>
          <t>ALPHA</t>
        </is>
      </c>
      <c r="U486" s="237" t="inlineStr">
        <is>
          <t>NA</t>
        </is>
      </c>
      <c r="V486" s="238" t="inlineStr">
        <is>
          <t>NA</t>
        </is>
      </c>
      <c r="W486" s="257" t="n">
        <v>1</v>
      </c>
      <c r="X486" s="945" t="inlineStr">
        <is>
          <t>NA</t>
        </is>
      </c>
      <c r="Y486" s="237" t="n">
        <v>41</v>
      </c>
      <c r="Z486" s="237" t="inlineStr">
        <is>
          <t>NA</t>
        </is>
      </c>
      <c r="AA486" s="237" t="inlineStr">
        <is>
          <t>45.00</t>
        </is>
      </c>
      <c r="AB486" s="269" t="inlineStr">
        <is>
          <t>ANACREDIT, ASTRE, LOAN TAPE, NPE, OMP</t>
        </is>
      </c>
      <c r="AC486" s="231" t="inlineStr">
        <is>
          <t>ND</t>
        </is>
      </c>
      <c r="AD486" s="257" t="inlineStr">
        <is>
          <t>N</t>
        </is>
      </c>
      <c r="AE486" s="569" t="inlineStr">
        <is>
          <t>ISS200, ISS300
TRE2 à 4XX hors 203,205,206,207, 405, 406
TRE5XX</t>
        </is>
      </c>
      <c r="AF486" s="257" t="inlineStr">
        <is>
          <t>NA</t>
        </is>
      </c>
      <c r="AG486" s="258" t="inlineStr">
        <is>
          <t>NA</t>
        </is>
      </c>
      <c r="AH486" s="89" t="n"/>
      <c r="AI486" s="570" t="inlineStr">
        <is>
          <t>La donnée est obligatoire si type de risque [P1 2.0] = 'ISS200, ISS300, TRE2*, TRE3*, TRE4*, TRE5* (hors TRE203, TRE205, TRE206, TRE207, TRE405, TRE406)'</t>
        </is>
      </c>
      <c r="AJ486" s="317" t="inlineStr">
        <is>
          <t>The data is mandatory if risk type [P1 2.0] = 'ISS200, ISS300, TRE2*, TRE3*, TRE4*, TRE5* (except TRE203, TRE205, TRE206, TRE207, TRE405, TRE406)'</t>
        </is>
      </c>
      <c r="AK486" s="257" t="n">
        <v>6</v>
      </c>
      <c r="AL486" s="571" t="inlineStr">
        <is>
          <t>TPS0835</t>
        </is>
      </c>
      <c r="AM486" s="318" t="inlineStr">
        <is>
          <t>Si elle est renseignée, la valeur doit être connue du Langage Commun associé</t>
        </is>
      </c>
      <c r="AN486" s="317" t="inlineStr">
        <is>
          <t>If specified, the value must be known to the associated Common Language</t>
        </is>
      </c>
      <c r="AO486" s="257" t="n">
        <v>7</v>
      </c>
      <c r="AP486" s="212" t="inlineStr">
        <is>
          <t>TIG0001</t>
        </is>
      </c>
      <c r="AQ486" s="318" t="n"/>
      <c r="AR486" s="317" t="n"/>
      <c r="AS486" s="257" t="n"/>
      <c r="AT486" s="258" t="n"/>
      <c r="AU486" s="318" t="n"/>
      <c r="AV486" s="317" t="n"/>
      <c r="AW486" s="257" t="n"/>
      <c r="AX486" s="258" t="n"/>
      <c r="AY486" s="318" t="n"/>
      <c r="AZ486" s="317" t="n"/>
      <c r="BA486" s="257" t="n"/>
      <c r="BB486" s="258" t="n"/>
      <c r="BC486" s="278" t="inlineStr">
        <is>
          <t>Pour la Grande Clientèle (P1/P2), si la combinaison de donnée n'est pas trouvée dans la matrice des règles de gestion C27, le contrôle doit se lever</t>
        </is>
      </c>
      <c r="BD486" s="160" t="inlineStr">
        <is>
          <t>For P1/P2, if the data combinaison is not found in the C27 business rules matrix, the control must trigger</t>
        </is>
      </c>
      <c r="BE486" s="257" t="n">
        <v>6</v>
      </c>
      <c r="BF486" s="393" t="inlineStr">
        <is>
          <t>TC0C27</t>
        </is>
      </c>
      <c r="BG486" s="89" t="n"/>
      <c r="BH4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86">
        <f>_xlfn.LET(r,ROW(),oc,INDEX($A:$A,r),cv,TRIM(INDEX($Y:$Y,r)&amp;""),IF(oc&lt;&gt;"P1","",IF(cv="45","V45 - novo, nao alimentado pelo spool atual","V44 - alimentado pelo spool atual")))</f>
        <v/>
      </c>
    </row>
    <row r="487" ht="54" customFormat="1" customHeight="1" s="91">
      <c r="A487" s="306" t="inlineStr">
        <is>
          <t>P1</t>
        </is>
      </c>
      <c r="B487" s="307" t="n">
        <v>252</v>
      </c>
      <c r="C487" s="269" t="inlineStr">
        <is>
          <t xml:space="preserve">08 - Caractéristiques d'arriérés et de restructuration </t>
        </is>
      </c>
      <c r="D487" s="310" t="inlineStr">
        <is>
          <t>08 - Characteristics of overdues and restructuring</t>
        </is>
      </c>
      <c r="E487" s="307" t="inlineStr">
        <is>
          <t>P1 21.6</t>
        </is>
      </c>
      <c r="F487" s="374" t="inlineStr">
        <is>
          <t>Indicateur créance performante</t>
        </is>
      </c>
      <c r="G487" s="309" t="inlineStr">
        <is>
          <t>Performing debt indicator</t>
        </is>
      </c>
      <c r="H487" s="1493">
        <f>"RPAD( "&amp;SUBSTITUTE(SUBSTITUTE(E487," ","_"),".","_")&amp;","&amp;W487&amp;",' '); -- "&amp;E487</f>
        <v/>
      </c>
      <c r="I487" s="1267" t="inlineStr">
        <is>
          <t>Indique si la créance est classée en Non Performante ou en Performante</t>
        </is>
      </c>
      <c r="J487" s="309" t="inlineStr">
        <is>
          <t>Indicates whether the debt is classified as Non Performing or Performing</t>
        </is>
      </c>
      <c r="K487" s="370" t="inlineStr">
        <is>
          <t>ND</t>
        </is>
      </c>
      <c r="L487" s="371" t="inlineStr">
        <is>
          <t>ND</t>
        </is>
      </c>
      <c r="M487" s="1420" t="inlineStr">
        <is>
          <t>cdICreNPE</t>
        </is>
      </c>
      <c r="N487" s="257" t="inlineStr">
        <is>
          <t>Obligatoire sous conditions</t>
        </is>
      </c>
      <c r="O487" s="310" t="inlineStr">
        <is>
          <t>Mandatory under conditions</t>
        </is>
      </c>
      <c r="P487" s="269" t="inlineStr">
        <is>
          <t>LC.0215</t>
        </is>
      </c>
      <c r="Q487" s="269" t="inlineStr">
        <is>
          <t>TA KVCRENPE</t>
        </is>
      </c>
      <c r="R487" s="241" t="inlineStr">
        <is>
          <t>Cette donnée est obligatoire qu'il y ait ou non FORBEARANCE</t>
        </is>
      </c>
      <c r="S487" s="233" t="inlineStr">
        <is>
          <t>This data is mandatory whether or not there is FORBEARANCE</t>
        </is>
      </c>
      <c r="T487" s="313" t="inlineStr">
        <is>
          <t>ALPHA</t>
        </is>
      </c>
      <c r="U487" s="237" t="inlineStr">
        <is>
          <t>NA</t>
        </is>
      </c>
      <c r="V487" s="238" t="inlineStr">
        <is>
          <t>NA</t>
        </is>
      </c>
      <c r="W487" s="257" t="n">
        <v>2</v>
      </c>
      <c r="X487" s="945" t="inlineStr">
        <is>
          <t>NA</t>
        </is>
      </c>
      <c r="Y487" s="237" t="n">
        <v>41</v>
      </c>
      <c r="Z487" s="237" t="inlineStr">
        <is>
          <t>NA</t>
        </is>
      </c>
      <c r="AA487" s="978" t="inlineStr">
        <is>
          <t>NA</t>
        </is>
      </c>
      <c r="AB487" s="994" t="inlineStr">
        <is>
          <t>ANACREDIT, ASTRE, CALCULS PRUDENTIELS, ESG PILIER 3, LOAN TAPE, NPE, OMP, SHS, SRB VALUATION</t>
        </is>
      </c>
      <c r="AC487" s="231" t="inlineStr">
        <is>
          <t>ND</t>
        </is>
      </c>
      <c r="AD487" s="257" t="inlineStr">
        <is>
          <t>N</t>
        </is>
      </c>
      <c r="AE487" s="971" t="inlineStr">
        <is>
          <t>EQU101
EQU201
ISS100
ISS200 et 300
TRE100
TRE2 à 4XX hors 203,205,206,207
TRE203, 205, 207
TRE206
TRE5XX
SIG
VAR*
INT</t>
        </is>
      </c>
      <c r="AF487" s="257" t="inlineStr">
        <is>
          <t>NA</t>
        </is>
      </c>
      <c r="AG487" s="258" t="inlineStr">
        <is>
          <t>NA</t>
        </is>
      </c>
      <c r="AH487" s="89" t="n"/>
      <c r="AI487" s="572" t="inlineStr">
        <is>
          <t>La donnée est obligatoire si le type de risque [P1 2.0] est égal à 'EQU101', 'EQU201', 'ISS100', 'ISS200', 'ISS300', 'TRE*', 'SIG*', 'VAR*', 'INT*'</t>
        </is>
      </c>
      <c r="AJ487" s="317" t="inlineStr">
        <is>
          <t>The data is mandatory if Risk type [P1 2.0] is equal to 'EQU101', 'EQU201', 'ISS100', 'ISS200', 'ISS300', 'TRE*', 'SIG*', 'VAR*', 'INT*'</t>
        </is>
      </c>
      <c r="AK487" s="257" t="n">
        <v>6</v>
      </c>
      <c r="AL487" s="345" t="inlineStr">
        <is>
          <t>TPS0836</t>
        </is>
      </c>
      <c r="AM487" s="452" t="inlineStr">
        <is>
          <t>Si elle est renseignée, la valeur doit être connue du Langage Commun associé</t>
        </is>
      </c>
      <c r="AN487" s="377" t="inlineStr">
        <is>
          <t>If specified, the value must be known to the associated Common Language</t>
        </is>
      </c>
      <c r="AO487" s="257" t="n">
        <v>7</v>
      </c>
      <c r="AP487" s="212" t="inlineStr">
        <is>
          <t>TIG0001</t>
        </is>
      </c>
      <c r="AQ487" s="322" t="inlineStr">
        <is>
          <t>Si renseigné, ET si le type de risque [P1 2.0] = 'TRE2xx', 'TRE3xx', 'TRE4xx', 'TRE5xx', 'SIG*' hors ('TRE203', 'TRE205', 'TRE206', 'TRE207') ET Indicateur Engagement Douteux [P1 5.2] = 'Y', alors Indicateur créance performante [P1 21.6] = 'NP'
---
Si renseigné, ET si le type de risque [P1 2.0] = ‘TRE100', alors Indicateur créance performante [P1 21.6] = ‘PE'</t>
        </is>
      </c>
      <c r="AR487" s="317" t="inlineStr">
        <is>
          <t>If filled AND if risk type [P1 2.0] = 'TRE2xx', 'TRE3xx', 'TRE4xx', 'TRE5xx', 'SIG*' except ('TRE203', 'TRE205', 'TRE206', 'TRE207') AND Doubtful Commitment Indicator [P1 5.2] = 'Y', then Performing debt indicator [P1 21.6] = 'NP'
---
If filled AND if risk type [P1 2.0] = ‘TRE100', then Performing debt indicator [P1 21.6] = 'PE'</t>
        </is>
      </c>
      <c r="AS487" s="257" t="n">
        <v>6</v>
      </c>
      <c r="AT487" s="418" t="inlineStr">
        <is>
          <t>TVS0728
TVS0729</t>
        </is>
      </c>
      <c r="AU487" s="318" t="n"/>
      <c r="AV487" s="317" t="n"/>
      <c r="AW487" s="257" t="n"/>
      <c r="AX487" s="258" t="n"/>
      <c r="AY487" s="318" t="n"/>
      <c r="AZ487" s="317" t="n"/>
      <c r="BA487" s="257" t="n"/>
      <c r="BB487" s="258" t="n"/>
      <c r="BC487" s="316" t="n"/>
      <c r="BD487" s="317" t="n"/>
      <c r="BE487" s="257" t="n"/>
      <c r="BF487" s="258" t="n"/>
      <c r="BG487" s="89" t="n"/>
      <c r="BH4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87">
        <f>_xlfn.LET(r,ROW(),oc,INDEX($A:$A,r),cv,TRIM(INDEX($Y:$Y,r)&amp;""),IF(oc&lt;&gt;"P1","",IF(cv="45","V45 - novo, nao alimentado pelo spool atual","V44 - alimentado pelo spool atual")))</f>
        <v/>
      </c>
    </row>
    <row r="488" ht="54" customFormat="1" customHeight="1" s="91">
      <c r="A488" s="306" t="inlineStr">
        <is>
          <t>P1</t>
        </is>
      </c>
      <c r="B488" s="307" t="n">
        <v>253</v>
      </c>
      <c r="C488" s="269" t="inlineStr">
        <is>
          <t xml:space="preserve">08 - Caractéristiques d'arriérés et de restructuration </t>
        </is>
      </c>
      <c r="D488" s="310" t="inlineStr">
        <is>
          <t>08 - Characteristics of overdues and restructuring</t>
        </is>
      </c>
      <c r="E488" s="307" t="inlineStr">
        <is>
          <t>P1 21.7</t>
        </is>
      </c>
      <c r="F488" s="342" t="inlineStr">
        <is>
          <t>Date de première action de forbearance</t>
        </is>
      </c>
      <c r="G488" s="309" t="inlineStr">
        <is>
          <t>Date at which first act of forbearance occurs</t>
        </is>
      </c>
      <c r="H488" s="1493">
        <f>"RPAD( "&amp;SUBSTITUTE(SUBSTITUTE(E488," ","_"),".","_")&amp;","&amp;W488&amp;",' '); -- "&amp;E488</f>
        <v/>
      </c>
      <c r="I488" s="241" t="inlineStr">
        <is>
          <t>Date de premier évènement de gestion de type forbearance</t>
        </is>
      </c>
      <c r="J488" s="309" t="inlineStr">
        <is>
          <t>Date of first forbearance management event</t>
        </is>
      </c>
      <c r="K488" s="370" t="inlineStr">
        <is>
          <t>ND</t>
        </is>
      </c>
      <c r="L488" s="371" t="inlineStr">
        <is>
          <t>ND</t>
        </is>
      </c>
      <c r="M488" s="1420" t="inlineStr">
        <is>
          <t>dtPreForb</t>
        </is>
      </c>
      <c r="N488" s="257" t="inlineStr">
        <is>
          <t>Obligatoire sous conditions</t>
        </is>
      </c>
      <c r="O488" s="236" t="inlineStr">
        <is>
          <t>Mandatory under conditions</t>
        </is>
      </c>
      <c r="P488" s="269" t="inlineStr">
        <is>
          <t>NA</t>
        </is>
      </c>
      <c r="Q488" s="269" t="inlineStr">
        <is>
          <t>NA</t>
        </is>
      </c>
      <c r="R488" s="241" t="inlineStr">
        <is>
          <t>Doit être conservée sur toute la durée de vie de la créance lorsqu'elle a été au moins une fois forborne. Besoin IFRS9</t>
        </is>
      </c>
      <c r="S488" s="233" t="inlineStr">
        <is>
          <t>Shall be retained throughout the life of the claim when it has been forborne at least once. IFRS9 requirement</t>
        </is>
      </c>
      <c r="T488" s="206" t="inlineStr">
        <is>
          <t>DATE</t>
        </is>
      </c>
      <c r="U488" s="237" t="inlineStr">
        <is>
          <t>AAAAMMJJ</t>
        </is>
      </c>
      <c r="V488" s="238" t="inlineStr">
        <is>
          <t>YYYYMMDD</t>
        </is>
      </c>
      <c r="W488" s="257" t="n">
        <v>8</v>
      </c>
      <c r="X488" s="945" t="inlineStr">
        <is>
          <t>NA</t>
        </is>
      </c>
      <c r="Y488" s="237" t="n">
        <v>41</v>
      </c>
      <c r="Z488" s="237" t="inlineStr">
        <is>
          <t>NA</t>
        </is>
      </c>
      <c r="AA488" s="237" t="inlineStr">
        <is>
          <t>NA</t>
        </is>
      </c>
      <c r="AB488" s="269" t="inlineStr">
        <is>
          <t>ANACREDIT, ASTRE, NPE, SRB VALUATION</t>
        </is>
      </c>
      <c r="AC488" s="231" t="inlineStr">
        <is>
          <t>ND</t>
        </is>
      </c>
      <c r="AD488" s="257" t="inlineStr">
        <is>
          <t>N</t>
        </is>
      </c>
      <c r="AE488" s="485" t="inlineStr">
        <is>
          <t xml:space="preserve">TRE2 à 4XX hors 203,205,206,207, 405, 406
TRE5XX
</t>
        </is>
      </c>
      <c r="AF488" s="257" t="inlineStr">
        <is>
          <t>NA</t>
        </is>
      </c>
      <c r="AG488" s="258" t="inlineStr">
        <is>
          <t>NA</t>
        </is>
      </c>
      <c r="AH488" s="89" t="n"/>
      <c r="AI488" s="435" t="inlineStr">
        <is>
          <t>La donnée est obligatoire, si type de risque [P1 2.0] = 'TRE2*, TRE3*, TRE4*, TRE5* (hors TRE203, TRE205, TRE206, TRE207, TRE405, TRE406)' ET si le Statut du crédit au sens de la Forbearance [P1 21.5] = '1', '2', '3'</t>
        </is>
      </c>
      <c r="AJ488" s="317" t="inlineStr">
        <is>
          <t>The data is mandatory, if Risk type [P1 2.0] = 'TRE2*, TRE3*, TRE4*, TRE5* (except TRE203, TRE205, TRE206, TRE207, TRE405, TRE406)' AND if the Credit status for Forbearance [P1 21.5] = '1', '2', '3'</t>
        </is>
      </c>
      <c r="AK488" s="257" t="n">
        <v>6</v>
      </c>
      <c r="AL488" s="345" t="inlineStr">
        <is>
          <t>TPS0839</t>
        </is>
      </c>
      <c r="AM488" s="318" t="n"/>
      <c r="AN488" s="317" t="n"/>
      <c r="AO488" s="257" t="n"/>
      <c r="AP488" s="258" t="n"/>
      <c r="AQ488" s="318" t="inlineStr">
        <is>
          <t>Si renseignée, la donnée doit être supérieure ou égale à '19000101'</t>
        </is>
      </c>
      <c r="AR488" s="317" t="inlineStr">
        <is>
          <t>If filled, data must be greater or equal to '19000101'</t>
        </is>
      </c>
      <c r="AS488" s="257" t="n">
        <v>7</v>
      </c>
      <c r="AT488" s="258" t="inlineStr">
        <is>
          <t>TVG0005</t>
        </is>
      </c>
      <c r="AU488" s="318" t="n"/>
      <c r="AV488" s="317" t="n"/>
      <c r="AW488" s="257" t="n"/>
      <c r="AX488" s="258" t="n"/>
      <c r="AY488" s="318" t="n"/>
      <c r="AZ488" s="317" t="n"/>
      <c r="BA488" s="257" t="n"/>
      <c r="BB488" s="258" t="n"/>
      <c r="BC488" s="316" t="n"/>
      <c r="BD488" s="317" t="n"/>
      <c r="BE488" s="257" t="n"/>
      <c r="BF488" s="258" t="n"/>
      <c r="BG488" s="89" t="n"/>
      <c r="BH4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88">
        <f>_xlfn.LET(r,ROW(),oc,INDEX($A:$A,r),cv,TRIM(INDEX($Y:$Y,r)&amp;""),IF(oc&lt;&gt;"P1","",IF(cv="45","V45 - novo, nao alimentado pelo spool atual","V44 - alimentado pelo spool atual")))</f>
        <v/>
      </c>
    </row>
    <row r="489" ht="54" customFormat="1" customHeight="1" s="91">
      <c r="A489" s="306" t="inlineStr">
        <is>
          <t>P1</t>
        </is>
      </c>
      <c r="B489" s="307" t="n">
        <v>254</v>
      </c>
      <c r="C489" s="269" t="inlineStr">
        <is>
          <t xml:space="preserve">08 - Caractéristiques d'arriérés et de restructuration </t>
        </is>
      </c>
      <c r="D489" s="310" t="inlineStr">
        <is>
          <t>08 - Characteristics of overdues and restructuring</t>
        </is>
      </c>
      <c r="E489" s="307" t="inlineStr">
        <is>
          <t>P1 21.8</t>
        </is>
      </c>
      <c r="F489" s="448" t="inlineStr">
        <is>
          <t>Date de dernière restructuration commerciale</t>
        </is>
      </c>
      <c r="G489" s="309" t="inlineStr">
        <is>
          <t>Date on which last commercial restructuring was undertaken</t>
        </is>
      </c>
      <c r="H489" s="1493">
        <f>"RPAD( "&amp;SUBSTITUTE(SUBSTITUTE(E489," ","_"),".","_")&amp;","&amp;W489&amp;",' '); -- "&amp;E489</f>
        <v/>
      </c>
      <c r="I489" s="241" t="inlineStr">
        <is>
          <t>Date de dernière restructuration commerciale</t>
        </is>
      </c>
      <c r="J489" s="309" t="inlineStr">
        <is>
          <t>Date on which last commercial restructuring was undertaken</t>
        </is>
      </c>
      <c r="K489" s="370" t="inlineStr">
        <is>
          <t>ND</t>
        </is>
      </c>
      <c r="L489" s="371" t="inlineStr">
        <is>
          <t>ND</t>
        </is>
      </c>
      <c r="M489" s="1420" t="inlineStr">
        <is>
          <t>dtDerRestCom</t>
        </is>
      </c>
      <c r="N489" s="257" t="inlineStr">
        <is>
          <t>Obligatoire sous conditions</t>
        </is>
      </c>
      <c r="O489" s="236" t="inlineStr">
        <is>
          <t>Mandatory under conditions</t>
        </is>
      </c>
      <c r="P489" s="269" t="inlineStr">
        <is>
          <t>NA</t>
        </is>
      </c>
      <c r="Q489" s="269" t="inlineStr">
        <is>
          <t>NA</t>
        </is>
      </c>
      <c r="R489" s="241" t="inlineStr">
        <is>
          <t>Si plusieurs restructurations commerciales, la dernière date doit être fournie. Besoin IFRS9</t>
        </is>
      </c>
      <c r="S489" s="233" t="inlineStr">
        <is>
          <t>If more than one business restructuring is required, the latest date must be provided. IFRS9 needs</t>
        </is>
      </c>
      <c r="T489" s="206" t="inlineStr">
        <is>
          <t>DATE</t>
        </is>
      </c>
      <c r="U489" s="237" t="inlineStr">
        <is>
          <t>AAAAMMJJ</t>
        </is>
      </c>
      <c r="V489" s="238" t="inlineStr">
        <is>
          <t>YYYYMMDD</t>
        </is>
      </c>
      <c r="W489" s="257" t="n">
        <v>8</v>
      </c>
      <c r="X489" s="945" t="inlineStr">
        <is>
          <t>NA</t>
        </is>
      </c>
      <c r="Y489" s="237" t="n">
        <v>41</v>
      </c>
      <c r="Z489" s="237" t="inlineStr">
        <is>
          <t>NA</t>
        </is>
      </c>
      <c r="AA489" s="237" t="inlineStr">
        <is>
          <t>NA</t>
        </is>
      </c>
      <c r="AB489" s="269" t="inlineStr">
        <is>
          <t>ANACREDIT, ASTRE, LOAN TAPE, NPE, OMP</t>
        </is>
      </c>
      <c r="AC489" s="231" t="inlineStr">
        <is>
          <t>ND</t>
        </is>
      </c>
      <c r="AD489" s="257" t="inlineStr">
        <is>
          <t>N</t>
        </is>
      </c>
      <c r="AE489" s="539" t="inlineStr">
        <is>
          <t xml:space="preserve">TRE2 à 4XX hors 203,205,206,207, 405, 406
TRE5XX
</t>
        </is>
      </c>
      <c r="AF489" s="257" t="inlineStr">
        <is>
          <t>NA</t>
        </is>
      </c>
      <c r="AG489" s="258" t="inlineStr">
        <is>
          <t>NA</t>
        </is>
      </c>
      <c r="AH489" s="89" t="n"/>
      <c r="AI489" s="435" t="inlineStr">
        <is>
          <t>La donnée est obligatoire, si type de risque [P1 2.0] = TRE2*,TRE3*,TRE4*,TRE5* (hors TRE203, TRE205, TRE206, TRE207, TRE405, TRE406) ET si le type de restructuration [P1 21.1] = ‘AR' ET si Nature Contextuelle au moment de l'évènement de crédit [P1 21.4] = ‘4'</t>
        </is>
      </c>
      <c r="AJ489" s="317" t="inlineStr">
        <is>
          <t>The data is mandatory, if Risk type [P1 2.0] = TRE2*,TRE3*,TRE4*,TRE5* (except TRE203, TRE205, TRE206, TRE207, TRE405, TRE406) AND if the restructuring type [P1 21.1] = ‘AR' AND if the contextual nature of the credit event [P1 21.4] = ‘4'</t>
        </is>
      </c>
      <c r="AK489" s="257" t="n">
        <v>6</v>
      </c>
      <c r="AL489" s="345" t="inlineStr">
        <is>
          <t>TPS0840</t>
        </is>
      </c>
      <c r="AM489" s="318" t="n"/>
      <c r="AN489" s="317" t="n"/>
      <c r="AO489" s="257" t="n"/>
      <c r="AP489" s="258" t="n"/>
      <c r="AQ489" s="318" t="n"/>
      <c r="AR489" s="317" t="n"/>
      <c r="AS489" s="257" t="n"/>
      <c r="AT489" s="258" t="n"/>
      <c r="AU489" s="318" t="n"/>
      <c r="AV489" s="317" t="n"/>
      <c r="AW489" s="257" t="n"/>
      <c r="AX489" s="258" t="n"/>
      <c r="AY489" s="318" t="n"/>
      <c r="AZ489" s="317" t="n"/>
      <c r="BA489" s="257" t="n"/>
      <c r="BB489" s="258" t="n"/>
      <c r="BC489" s="316" t="n"/>
      <c r="BD489" s="317" t="n"/>
      <c r="BE489" s="257" t="n"/>
      <c r="BF489" s="258" t="n"/>
      <c r="BG489" s="89" t="n"/>
      <c r="BH4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89">
        <f>_xlfn.LET(r,ROW(),oc,INDEX($A:$A,r),cv,TRIM(INDEX($Y:$Y,r)&amp;""),IF(oc&lt;&gt;"P1","",IF(cv="45","V45 - novo, nao alimentado pelo spool atual","V44 - alimentado pelo spool atual")))</f>
        <v/>
      </c>
    </row>
    <row r="490" ht="54" customFormat="1" customHeight="1" s="91">
      <c r="A490" s="306" t="inlineStr">
        <is>
          <t>P1</t>
        </is>
      </c>
      <c r="B490" s="307" t="n">
        <v>255</v>
      </c>
      <c r="C490" s="269" t="inlineStr">
        <is>
          <t xml:space="preserve">08 - Caractéristiques d'arriérés et de restructuration </t>
        </is>
      </c>
      <c r="D490" s="310" t="inlineStr">
        <is>
          <t>08 - Characteristics of overdues and restructuring</t>
        </is>
      </c>
      <c r="E490" s="307" t="inlineStr">
        <is>
          <t>P1 21.9</t>
        </is>
      </c>
      <c r="F490" s="484" t="inlineStr">
        <is>
          <t>Date de la dernière restructuration pour risque</t>
        </is>
      </c>
      <c r="G490" s="309" t="inlineStr">
        <is>
          <t>Date of last restructuring for risk</t>
        </is>
      </c>
      <c r="H490" s="1493">
        <f>"RPAD( "&amp;SUBSTITUTE(SUBSTITUTE(E490," ","_"),".","_")&amp;","&amp;W490&amp;",' '); -- "&amp;E490</f>
        <v/>
      </c>
      <c r="I490" s="241" t="inlineStr">
        <is>
          <t>Date de dernière restructuration de la créance pour cause de risque (créance forborne)</t>
        </is>
      </c>
      <c r="J490" s="309" t="inlineStr">
        <is>
          <t>Date of last restructuring of the claim due to risk (forborne claim)</t>
        </is>
      </c>
      <c r="K490" s="370" t="inlineStr">
        <is>
          <t>ND</t>
        </is>
      </c>
      <c r="L490" s="371" t="inlineStr">
        <is>
          <t>ND</t>
        </is>
      </c>
      <c r="M490" s="1420" t="inlineStr">
        <is>
          <t>dtDerRestRisq</t>
        </is>
      </c>
      <c r="N490" s="257" t="inlineStr">
        <is>
          <t>Obligatoire sous conditions</t>
        </is>
      </c>
      <c r="O490" s="236" t="inlineStr">
        <is>
          <t>Mandatory under conditions</t>
        </is>
      </c>
      <c r="P490" s="269" t="inlineStr">
        <is>
          <t>NA</t>
        </is>
      </c>
      <c r="Q490" s="269" t="inlineStr">
        <is>
          <t>NA</t>
        </is>
      </c>
      <c r="R490" s="241" t="inlineStr">
        <is>
          <t>Date de dernière restructuration de la créance pour cause de risque (créance forborne). Besoin IFRS9</t>
        </is>
      </c>
      <c r="S490" s="233" t="inlineStr">
        <is>
          <t>Date of last restructuring of the claim due to risk (forborne claim). IFRS9 needs</t>
        </is>
      </c>
      <c r="T490" s="206" t="inlineStr">
        <is>
          <t>DATE</t>
        </is>
      </c>
      <c r="U490" s="237" t="inlineStr">
        <is>
          <t>AAAAMMJJ</t>
        </is>
      </c>
      <c r="V490" s="238" t="inlineStr">
        <is>
          <t>YYYYMMDD</t>
        </is>
      </c>
      <c r="W490" s="257" t="n">
        <v>8</v>
      </c>
      <c r="X490" s="945" t="inlineStr">
        <is>
          <t>NA</t>
        </is>
      </c>
      <c r="Y490" s="237" t="n">
        <v>41</v>
      </c>
      <c r="Z490" s="237" t="inlineStr">
        <is>
          <t>NA</t>
        </is>
      </c>
      <c r="AA490" s="237" t="inlineStr">
        <is>
          <t>NA</t>
        </is>
      </c>
      <c r="AB490" s="269" t="inlineStr">
        <is>
          <t>ANACREDIT, ASTRE, NPE, OMP</t>
        </is>
      </c>
      <c r="AC490" s="231" t="inlineStr">
        <is>
          <t>ND</t>
        </is>
      </c>
      <c r="AD490" s="257" t="inlineStr">
        <is>
          <t>N</t>
        </is>
      </c>
      <c r="AE490" s="539" t="inlineStr">
        <is>
          <t xml:space="preserve">TRE2 à 4XX hors 203,205,206,207, 405, 406
TRE5XX
</t>
        </is>
      </c>
      <c r="AF490" s="257" t="inlineStr">
        <is>
          <t>NA</t>
        </is>
      </c>
      <c r="AG490" s="258" t="inlineStr">
        <is>
          <t>NA</t>
        </is>
      </c>
      <c r="AH490" s="89" t="n"/>
      <c r="AI490" s="435" t="inlineStr">
        <is>
          <t>La donnée est obligatoire, si type de risque [P1 2.0] = TRE2*,TRE3*,TRE4*,TRE5* (hors TRE203, TRE205, TRE206, TRE207, TRE405, TRE406) ET si le type de restructuration [P1 21.1] = RF' ou 'RC' ET si la nature contectuelle de l'événement de crédit [P1 21.4] = ‘1', ‘2', ‘3'</t>
        </is>
      </c>
      <c r="AJ490" s="317" t="inlineStr">
        <is>
          <t>The data is mandatory, if Risk type [P1 2.0] = TRE2*,TRE3*,TRE4*,TRE5* (except TRE203, TRE205, TRE206, TRE207, TRE405, TRE406) AND if the restructuring type [P1 21.1] = RF', 'RC' and if the contextual nature of the credit event [P1 21.4] = ‘1', ‘2', ‘3'</t>
        </is>
      </c>
      <c r="AK490" s="257" t="n">
        <v>6</v>
      </c>
      <c r="AL490" s="345" t="inlineStr">
        <is>
          <t>TPS0841</t>
        </is>
      </c>
      <c r="AM490" s="318" t="n"/>
      <c r="AN490" s="317" t="n"/>
      <c r="AO490" s="257" t="n"/>
      <c r="AP490" s="258" t="n"/>
      <c r="AQ490" s="318" t="n"/>
      <c r="AR490" s="317" t="n"/>
      <c r="AS490" s="257" t="n"/>
      <c r="AT490" s="258" t="n"/>
      <c r="AU490" s="318" t="n"/>
      <c r="AV490" s="317" t="n"/>
      <c r="AW490" s="257" t="n"/>
      <c r="AX490" s="258" t="n"/>
      <c r="AY490" s="318" t="n"/>
      <c r="AZ490" s="317" t="n"/>
      <c r="BA490" s="257" t="n"/>
      <c r="BB490" s="258" t="n"/>
      <c r="BC490" s="316" t="n"/>
      <c r="BD490" s="317" t="n"/>
      <c r="BE490" s="257" t="n"/>
      <c r="BF490" s="258" t="n"/>
      <c r="BG490" s="89" t="n"/>
      <c r="BH4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90">
        <f>_xlfn.LET(r,ROW(),oc,INDEX($A:$A,r),cv,TRIM(INDEX($Y:$Y,r)&amp;""),IF(oc&lt;&gt;"P1","",IF(cv="45","V45 - novo, nao alimentado pelo spool atual","V44 - alimentado pelo spool atual")))</f>
        <v/>
      </c>
    </row>
    <row r="491" ht="54" customFormat="1" customHeight="1" s="91">
      <c r="A491" s="306" t="inlineStr">
        <is>
          <t>P1</t>
        </is>
      </c>
      <c r="B491" s="307" t="n">
        <v>256</v>
      </c>
      <c r="C491" s="269" t="inlineStr">
        <is>
          <t xml:space="preserve">08 - Caractéristiques d'arriérés et de restructuration </t>
        </is>
      </c>
      <c r="D491" s="310" t="inlineStr">
        <is>
          <t>08 - Characteristics of overdues and restructuring</t>
        </is>
      </c>
      <c r="E491" s="307" t="inlineStr">
        <is>
          <t>P1 21.10</t>
        </is>
      </c>
      <c r="F491" s="573" t="inlineStr">
        <is>
          <t>Date d'entrée de la créance en période d'observation</t>
        </is>
      </c>
      <c r="G491" s="309" t="inlineStr">
        <is>
          <t>Debt's observation period start date</t>
        </is>
      </c>
      <c r="H491" s="1493">
        <f>"RPAD( "&amp;SUBSTITUTE(SUBSTITUTE(E491," ","_"),".","_")&amp;","&amp;W491&amp;",' '); -- "&amp;E491</f>
        <v/>
      </c>
      <c r="I491" s="475" t="inlineStr">
        <is>
          <t>Date d'entrée de la créance forborne en observation
Correspond au dernier changement de statut</t>
        </is>
      </c>
      <c r="J491" s="309" t="inlineStr">
        <is>
          <t>Date on which the forborne debt's observation period starts
Corresponds to the last change of status</t>
        </is>
      </c>
      <c r="K491" s="370" t="inlineStr">
        <is>
          <t>ND</t>
        </is>
      </c>
      <c r="L491" s="371" t="inlineStr">
        <is>
          <t>ND</t>
        </is>
      </c>
      <c r="M491" s="1420" t="inlineStr">
        <is>
          <t>dtEntPurg</t>
        </is>
      </c>
      <c r="N491" s="257" t="inlineStr">
        <is>
          <t>Obligatoire sous conditions</t>
        </is>
      </c>
      <c r="O491" s="236" t="inlineStr">
        <is>
          <t>Mandatory under conditions</t>
        </is>
      </c>
      <c r="P491" s="269" t="inlineStr">
        <is>
          <t>NA</t>
        </is>
      </c>
      <c r="Q491" s="269" t="inlineStr">
        <is>
          <t>NA</t>
        </is>
      </c>
      <c r="R491" s="241" t="inlineStr">
        <is>
          <t>NA</t>
        </is>
      </c>
      <c r="S491" s="233" t="inlineStr">
        <is>
          <t>NA</t>
        </is>
      </c>
      <c r="T491" s="206" t="inlineStr">
        <is>
          <t>DATE</t>
        </is>
      </c>
      <c r="U491" s="237" t="inlineStr">
        <is>
          <t>AAAAMMJJ</t>
        </is>
      </c>
      <c r="V491" s="238" t="inlineStr">
        <is>
          <t>YYYYMMDD</t>
        </is>
      </c>
      <c r="W491" s="257" t="n">
        <v>8</v>
      </c>
      <c r="X491" s="945" t="inlineStr">
        <is>
          <t>NA</t>
        </is>
      </c>
      <c r="Y491" s="237" t="n">
        <v>41</v>
      </c>
      <c r="Z491" s="237" t="inlineStr">
        <is>
          <t>NA</t>
        </is>
      </c>
      <c r="AA491" s="237" t="inlineStr">
        <is>
          <t>NA</t>
        </is>
      </c>
      <c r="AB491" s="269" t="inlineStr">
        <is>
          <t>ANACREDIT, ASTRE, LOAN TAPE, NPE</t>
        </is>
      </c>
      <c r="AC491" s="231" t="inlineStr">
        <is>
          <t>ND</t>
        </is>
      </c>
      <c r="AD491" s="257" t="inlineStr">
        <is>
          <t>N</t>
        </is>
      </c>
      <c r="AE491" s="485" t="inlineStr">
        <is>
          <t xml:space="preserve">TRE2 à 4XX hors 203,205,206,207, 405, 406
TRE5XX
</t>
        </is>
      </c>
      <c r="AF491" s="257" t="inlineStr">
        <is>
          <t>NA</t>
        </is>
      </c>
      <c r="AG491" s="258" t="inlineStr">
        <is>
          <t>NA</t>
        </is>
      </c>
      <c r="AH491" s="89" t="n"/>
      <c r="AI491" s="435" t="inlineStr">
        <is>
          <t>La donnée est obligatoire, si type de risque [P1 2.0] = TRE2*,TRE3*,TRE4*,TRE5* (hors TRE203, TRE205, TRE206, TRE207, TRE405, TRE406) ET si le Statut du crédit au sens de la Forbearance [P1 21.5] = '1'</t>
        </is>
      </c>
      <c r="AJ491" s="317" t="inlineStr">
        <is>
          <t>The data is mandatory, if Risk type [P1 2.0] = TRE2*,TRE3*,TRE4*,TRE5* (except TRE203, TRE205, TRE206, TRE207, TRE405, TRE406) AND if the Credit status for Forbearance [P1 21.5] = '1'</t>
        </is>
      </c>
      <c r="AK491" s="257" t="n">
        <v>6</v>
      </c>
      <c r="AL491" s="366" t="inlineStr">
        <is>
          <t>TPS0842</t>
        </is>
      </c>
      <c r="AM491" s="318" t="n"/>
      <c r="AN491" s="317" t="n"/>
      <c r="AO491" s="257" t="n"/>
      <c r="AP491" s="258" t="n"/>
      <c r="AQ491" s="356" t="inlineStr">
        <is>
          <t>Si renseignée, la donnée doit être supérieure ou égale à '19000101'</t>
        </is>
      </c>
      <c r="AR491" s="317" t="inlineStr">
        <is>
          <t>If filled, data must be greater or equal to '19000101'</t>
        </is>
      </c>
      <c r="AS491" s="574" t="n">
        <v>7</v>
      </c>
      <c r="AT491" s="258" t="inlineStr">
        <is>
          <t>TVG0005</t>
        </is>
      </c>
      <c r="AU491" s="318" t="n"/>
      <c r="AV491" s="317" t="n"/>
      <c r="AW491" s="257" t="n"/>
      <c r="AX491" s="258" t="n"/>
      <c r="AY491" s="318" t="n"/>
      <c r="AZ491" s="317" t="n"/>
      <c r="BA491" s="257" t="n"/>
      <c r="BB491" s="258" t="n"/>
      <c r="BC491" s="316" t="n"/>
      <c r="BD491" s="317" t="n"/>
      <c r="BE491" s="257" t="n"/>
      <c r="BF491" s="258" t="n"/>
      <c r="BG491" s="89" t="n"/>
      <c r="BH4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91">
        <f>_xlfn.LET(r,ROW(),oc,INDEX($A:$A,r),cv,TRIM(INDEX($Y:$Y,r)&amp;""),IF(oc&lt;&gt;"P1","",IF(cv="45","V45 - novo, nao alimentado pelo spool atual","V44 - alimentado pelo spool atual")))</f>
        <v/>
      </c>
    </row>
    <row r="492" ht="54" customFormat="1" customHeight="1" s="91">
      <c r="A492" s="306" t="inlineStr">
        <is>
          <t>P1</t>
        </is>
      </c>
      <c r="B492" s="307" t="n">
        <v>257</v>
      </c>
      <c r="C492" s="269" t="inlineStr">
        <is>
          <t xml:space="preserve">08 - Caractéristiques d'arriérés et de restructuration </t>
        </is>
      </c>
      <c r="D492" s="310" t="inlineStr">
        <is>
          <t>08 - Characteristics of overdues and restructuring</t>
        </is>
      </c>
      <c r="E492" s="307" t="inlineStr">
        <is>
          <t>P1 21.11</t>
        </is>
      </c>
      <c r="F492" s="374" t="inlineStr">
        <is>
          <t>Date de sortie de la créance de la période d'observation</t>
        </is>
      </c>
      <c r="G492" s="309" t="inlineStr">
        <is>
          <t>Debt's observation period end date</t>
        </is>
      </c>
      <c r="H492" s="1493">
        <f>"RPAD( "&amp;SUBSTITUTE(SUBSTITUTE(E492," ","_"),".","_")&amp;","&amp;W492&amp;",' '); -- "&amp;E492</f>
        <v/>
      </c>
      <c r="I492" s="475" t="inlineStr">
        <is>
          <t>Date de sortie (réelle ou théorique) de la créance forborne en observation
Correspond au dernier changement de statut</t>
        </is>
      </c>
      <c r="J492" s="309" t="inlineStr">
        <is>
          <t>End date (actual or scheduled) of the forborne debt's observation period
Corresponds to the last change of status</t>
        </is>
      </c>
      <c r="K492" s="370" t="inlineStr">
        <is>
          <t>ND</t>
        </is>
      </c>
      <c r="L492" s="371" t="inlineStr">
        <is>
          <t>ND</t>
        </is>
      </c>
      <c r="M492" s="1420" t="inlineStr">
        <is>
          <t>dtSorPurg</t>
        </is>
      </c>
      <c r="N492" s="257" t="inlineStr">
        <is>
          <t>Obligatoire sous conditions</t>
        </is>
      </c>
      <c r="O492" s="236" t="inlineStr">
        <is>
          <t>Mandatory under conditions</t>
        </is>
      </c>
      <c r="P492" s="269" t="inlineStr">
        <is>
          <t>NA</t>
        </is>
      </c>
      <c r="Q492" s="269" t="inlineStr">
        <is>
          <t>NA</t>
        </is>
      </c>
      <c r="R492" s="241" t="inlineStr">
        <is>
          <t>NA</t>
        </is>
      </c>
      <c r="S492" s="233" t="inlineStr">
        <is>
          <t>NA</t>
        </is>
      </c>
      <c r="T492" s="206" t="inlineStr">
        <is>
          <t>DATE</t>
        </is>
      </c>
      <c r="U492" s="237" t="inlineStr">
        <is>
          <t>AAAAMMJJ</t>
        </is>
      </c>
      <c r="V492" s="238" t="inlineStr">
        <is>
          <t>YYYYMMDD</t>
        </is>
      </c>
      <c r="W492" s="257" t="n">
        <v>8</v>
      </c>
      <c r="X492" s="945" t="inlineStr">
        <is>
          <t>NA</t>
        </is>
      </c>
      <c r="Y492" s="237" t="n">
        <v>41</v>
      </c>
      <c r="Z492" s="237" t="inlineStr">
        <is>
          <t>NA</t>
        </is>
      </c>
      <c r="AA492" s="237" t="inlineStr">
        <is>
          <t>NA</t>
        </is>
      </c>
      <c r="AB492" s="269" t="inlineStr">
        <is>
          <t>ANACREDIT, ASTRE, NPE</t>
        </is>
      </c>
      <c r="AC492" s="231" t="inlineStr">
        <is>
          <t>ND</t>
        </is>
      </c>
      <c r="AD492" s="257" t="inlineStr">
        <is>
          <t>N</t>
        </is>
      </c>
      <c r="AE492" s="575" t="inlineStr">
        <is>
          <t>TRE2 à 4XX hors 203,205,206,207, 405, 406
TRE5XX</t>
        </is>
      </c>
      <c r="AF492" s="257" t="inlineStr">
        <is>
          <t>NA</t>
        </is>
      </c>
      <c r="AG492" s="258" t="inlineStr">
        <is>
          <t>NA</t>
        </is>
      </c>
      <c r="AH492" s="89" t="n"/>
      <c r="AI492" s="576" t="inlineStr">
        <is>
          <t>La donnée est obligatoire, si type de risque [P1 2.0] = TRE2*,TRE3*,TRE4*,TRE5* (hors TRE203, TRE205, TRE206, TRE207, TRE405, TRE406) ET si le Statut du crédit au sens de la Forbearance [P1 21.5] = '1'</t>
        </is>
      </c>
      <c r="AJ492" s="317" t="inlineStr">
        <is>
          <t>The data is mandatory, if Risk type [P1 2.0] = TRE2*,TRE3*,TRE4*,TRE5* (except TRE203, TRE205, TRE206, TRE207, TRE405, TRE406) AND if the Credit status for Forbearance [P1 21.5] = '1'</t>
        </is>
      </c>
      <c r="AK492" s="257" t="n">
        <v>6</v>
      </c>
      <c r="AL492" s="366" t="inlineStr">
        <is>
          <t>TPS0842</t>
        </is>
      </c>
      <c r="AM492" s="318" t="n"/>
      <c r="AN492" s="317" t="n"/>
      <c r="AO492" s="257" t="n"/>
      <c r="AP492" s="258" t="n"/>
      <c r="AQ492" s="318" t="n"/>
      <c r="AR492" s="317" t="n"/>
      <c r="AS492" s="257" t="n"/>
      <c r="AT492" s="258" t="n"/>
      <c r="AU492" s="577" t="inlineStr">
        <is>
          <t>Si type de risque [P1 2.0] = TRE2xx à TRE5xx (hors ‘TRE203, TRE205, TRE206, TRE207’) ET si la date d'entrée de la créance en période d'observation [P1 21.10] est renseignée ET si la date de sortie de la créance de la période d'observation [P1 21.11] est renseignée, alors la date de sortie [P1 21.11] doit être supérieure ou égale à la date d'entrée [P1 21.10]</t>
        </is>
      </c>
      <c r="AV492" s="317" t="inlineStr">
        <is>
          <t>If the risk type [P1 2.0] = TRE2xx to TRE5xx (except ‘TRE203, TRE205, TRE206, TRE207’), AND if the Debt's observation period start date [P1 21.10] is filled AND if the Debt's observation period end date [P1 21.11] is filled, then the end date [P1 21.11] must be greater than or equal to the start date [P1 21.10]</t>
        </is>
      </c>
      <c r="AW492" s="257" t="n">
        <v>7</v>
      </c>
      <c r="AX492" s="345" t="inlineStr">
        <is>
          <t>TCS0716</t>
        </is>
      </c>
      <c r="AY492" s="318" t="n"/>
      <c r="AZ492" s="317" t="n"/>
      <c r="BA492" s="257" t="n"/>
      <c r="BB492" s="258" t="n"/>
      <c r="BC492" s="316" t="n"/>
      <c r="BD492" s="317" t="n"/>
      <c r="BE492" s="257" t="n"/>
      <c r="BF492" s="258" t="n"/>
      <c r="BG492" s="89" t="n"/>
      <c r="BH4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92">
        <f>_xlfn.LET(r,ROW(),oc,INDEX($A:$A,r),cv,TRIM(INDEX($Y:$Y,r)&amp;""),IF(oc&lt;&gt;"P1","",IF(cv="45","V45 - novo, nao alimentado pelo spool atual","V44 - alimentado pelo spool atual")))</f>
        <v/>
      </c>
    </row>
    <row r="493" ht="54" customFormat="1" customHeight="1" s="91">
      <c r="A493" s="306" t="inlineStr">
        <is>
          <t>P1</t>
        </is>
      </c>
      <c r="B493" s="307" t="n">
        <v>258</v>
      </c>
      <c r="C493" s="269" t="inlineStr">
        <is>
          <t xml:space="preserve">08 - Caractéristiques d'arriérés et de restructuration </t>
        </is>
      </c>
      <c r="D493" s="310" t="inlineStr">
        <is>
          <t>08 - Characteristics of overdues and restructuring</t>
        </is>
      </c>
      <c r="E493" s="307" t="inlineStr">
        <is>
          <t>P1 21.12</t>
        </is>
      </c>
      <c r="F493" s="308" t="inlineStr">
        <is>
          <t>Date d'entrée de la créance en période probatoire</t>
        </is>
      </c>
      <c r="G493" s="309" t="inlineStr">
        <is>
          <t>Debt's probation period start date</t>
        </is>
      </c>
      <c r="H493" s="1493">
        <f>"RPAD( "&amp;SUBSTITUTE(SUBSTITUTE(E493," ","_"),".","_")&amp;","&amp;W493&amp;",' '); -- "&amp;E493</f>
        <v/>
      </c>
      <c r="I493" s="475" t="inlineStr">
        <is>
          <t xml:space="preserve">Date d'entrée de la créance forborne en « probatoire » </t>
        </is>
      </c>
      <c r="J493" s="309" t="inlineStr">
        <is>
          <t>Date on which the forborne debt enters a probation period</t>
        </is>
      </c>
      <c r="K493" s="370" t="inlineStr">
        <is>
          <t>ND</t>
        </is>
      </c>
      <c r="L493" s="371" t="inlineStr">
        <is>
          <t>ND</t>
        </is>
      </c>
      <c r="M493" s="1420" t="inlineStr">
        <is>
          <t>dtEntProb</t>
        </is>
      </c>
      <c r="N493" s="257" t="inlineStr">
        <is>
          <t>Obligatoire sous conditions</t>
        </is>
      </c>
      <c r="O493" s="236" t="inlineStr">
        <is>
          <t>Mandatory under conditions</t>
        </is>
      </c>
      <c r="P493" s="269" t="inlineStr">
        <is>
          <t>NA</t>
        </is>
      </c>
      <c r="Q493" s="269" t="inlineStr">
        <is>
          <t>NA</t>
        </is>
      </c>
      <c r="R493" s="241" t="inlineStr">
        <is>
          <t>NA</t>
        </is>
      </c>
      <c r="S493" s="233" t="inlineStr">
        <is>
          <t>NA</t>
        </is>
      </c>
      <c r="T493" s="206" t="inlineStr">
        <is>
          <t>DATE</t>
        </is>
      </c>
      <c r="U493" s="237" t="inlineStr">
        <is>
          <t>AAAAMMJJ</t>
        </is>
      </c>
      <c r="V493" s="238" t="inlineStr">
        <is>
          <t>YYYYMMDD</t>
        </is>
      </c>
      <c r="W493" s="257" t="n">
        <v>8</v>
      </c>
      <c r="X493" s="945" t="inlineStr">
        <is>
          <t>NA</t>
        </is>
      </c>
      <c r="Y493" s="237" t="n">
        <v>41</v>
      </c>
      <c r="Z493" s="237" t="inlineStr">
        <is>
          <t>NA</t>
        </is>
      </c>
      <c r="AA493" s="237" t="inlineStr">
        <is>
          <t>NA</t>
        </is>
      </c>
      <c r="AB493" s="269" t="inlineStr">
        <is>
          <t>ANACREDIT, ASTRE, LOAN TAPE, NPE</t>
        </is>
      </c>
      <c r="AC493" s="231" t="inlineStr">
        <is>
          <t>ND</t>
        </is>
      </c>
      <c r="AD493" s="257" t="inlineStr">
        <is>
          <t>N</t>
        </is>
      </c>
      <c r="AE493" s="485" t="inlineStr">
        <is>
          <t>TRE2 à 4XX hors 203,205,206,207,405,406
TRE5XX</t>
        </is>
      </c>
      <c r="AF493" s="257" t="inlineStr">
        <is>
          <t>NA</t>
        </is>
      </c>
      <c r="AG493" s="258" t="inlineStr">
        <is>
          <t>NA</t>
        </is>
      </c>
      <c r="AH493" s="89" t="n"/>
      <c r="AI493" s="435" t="inlineStr">
        <is>
          <t>La donnée est obligatoire, si type de risque [P1 2.0] = TRE2*,TRE3*,TRE4*,TRE5* (hors TRE203, TRE205, TRE206, TRE207, TRE405, TRE406) ET si le Statut du crédit au sens de la Forbearance [P1 21.5] = '2'</t>
        </is>
      </c>
      <c r="AJ493" s="317" t="inlineStr">
        <is>
          <t>The data is mandatory, if Risk type [P1 2.0] = TRE2*,TRE3*,TRE4*,TRE5* (except TRE203, TRE205, TRE206, TRE207, TRE405, TRE406) AND if the Credit status for Forbearance [P1 21.5] = '2'</t>
        </is>
      </c>
      <c r="AK493" s="257" t="n">
        <v>6</v>
      </c>
      <c r="AL493" s="366" t="inlineStr">
        <is>
          <t>TPS0843</t>
        </is>
      </c>
      <c r="AM493" s="318" t="n"/>
      <c r="AN493" s="317" t="n"/>
      <c r="AO493" s="257" t="n"/>
      <c r="AP493" s="258" t="n"/>
      <c r="AQ493" s="356" t="inlineStr">
        <is>
          <t>Si renseignée, la donnée doit être supérieure ou égale à '19000101'</t>
        </is>
      </c>
      <c r="AR493" s="317" t="inlineStr">
        <is>
          <t>If filled, data must be greater or equal to '19000101'</t>
        </is>
      </c>
      <c r="AS493" s="574" t="n">
        <v>7</v>
      </c>
      <c r="AT493" s="258" t="inlineStr">
        <is>
          <t>TVG0005</t>
        </is>
      </c>
      <c r="AU493" s="318" t="n"/>
      <c r="AV493" s="317" t="n"/>
      <c r="AW493" s="257" t="n"/>
      <c r="AX493" s="258" t="n"/>
      <c r="AY493" s="318" t="n"/>
      <c r="AZ493" s="317" t="n"/>
      <c r="BA493" s="257" t="n"/>
      <c r="BB493" s="258" t="n"/>
      <c r="BC493" s="316" t="n"/>
      <c r="BD493" s="317" t="n"/>
      <c r="BE493" s="257" t="n"/>
      <c r="BF493" s="258" t="n"/>
      <c r="BG493" s="89" t="n"/>
      <c r="BH4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93">
        <f>_xlfn.LET(r,ROW(),oc,INDEX($A:$A,r),cv,TRIM(INDEX($Y:$Y,r)&amp;""),IF(oc&lt;&gt;"P1","",IF(cv="45","V45 - novo, nao alimentado pelo spool atual","V44 - alimentado pelo spool atual")))</f>
        <v/>
      </c>
    </row>
    <row r="494" ht="54" customFormat="1" customHeight="1" s="91">
      <c r="A494" s="306" t="inlineStr">
        <is>
          <t>P1</t>
        </is>
      </c>
      <c r="B494" s="307" t="n">
        <v>259</v>
      </c>
      <c r="C494" s="269" t="inlineStr">
        <is>
          <t xml:space="preserve">08 - Caractéristiques d'arriérés et de restructuration </t>
        </is>
      </c>
      <c r="D494" s="310" t="inlineStr">
        <is>
          <t>08 - Characteristics of overdues and restructuring</t>
        </is>
      </c>
      <c r="E494" s="307" t="inlineStr">
        <is>
          <t>P1 21.13</t>
        </is>
      </c>
      <c r="F494" s="374" t="inlineStr">
        <is>
          <t>Date de sortie de la créance de la période probatoire</t>
        </is>
      </c>
      <c r="G494" s="309" t="inlineStr">
        <is>
          <t>Debt's probation period end date</t>
        </is>
      </c>
      <c r="H494" s="1493">
        <f>"RPAD( "&amp;SUBSTITUTE(SUBSTITUTE(E494," ","_"),".","_")&amp;","&amp;W494&amp;",' '); -- "&amp;E494</f>
        <v/>
      </c>
      <c r="I494" s="475" t="inlineStr">
        <is>
          <t>Date de sortie (réelle ou théorique) de la créance forborne du « probatoire »
Correspond au dernier changement de statut</t>
        </is>
      </c>
      <c r="J494" s="309" t="inlineStr">
        <is>
          <t>End date (actual or scheduled) of the forborne debt's probation period
Corresponds to the last change of status</t>
        </is>
      </c>
      <c r="K494" s="370" t="inlineStr">
        <is>
          <t>ND</t>
        </is>
      </c>
      <c r="L494" s="371" t="inlineStr">
        <is>
          <t>ND</t>
        </is>
      </c>
      <c r="M494" s="1420" t="inlineStr">
        <is>
          <t>dtSorProb</t>
        </is>
      </c>
      <c r="N494" s="257" t="inlineStr">
        <is>
          <t>Obligatoire sous conditions</t>
        </is>
      </c>
      <c r="O494" s="236" t="inlineStr">
        <is>
          <t>Mandatory under conditions</t>
        </is>
      </c>
      <c r="P494" s="269" t="inlineStr">
        <is>
          <t>NA</t>
        </is>
      </c>
      <c r="Q494" s="269" t="inlineStr">
        <is>
          <t>NA</t>
        </is>
      </c>
      <c r="R494" s="241" t="inlineStr">
        <is>
          <t>NA</t>
        </is>
      </c>
      <c r="S494" s="233" t="inlineStr">
        <is>
          <t>NA</t>
        </is>
      </c>
      <c r="T494" s="206" t="inlineStr">
        <is>
          <t>DATE</t>
        </is>
      </c>
      <c r="U494" s="237" t="inlineStr">
        <is>
          <t>AAAAMMJJ</t>
        </is>
      </c>
      <c r="V494" s="238" t="inlineStr">
        <is>
          <t>YYYYMMDD</t>
        </is>
      </c>
      <c r="W494" s="257" t="n">
        <v>8</v>
      </c>
      <c r="X494" s="945" t="inlineStr">
        <is>
          <t>NA</t>
        </is>
      </c>
      <c r="Y494" s="237" t="n">
        <v>41</v>
      </c>
      <c r="Z494" s="237" t="inlineStr">
        <is>
          <t>NA</t>
        </is>
      </c>
      <c r="AA494" s="237" t="inlineStr">
        <is>
          <t>NA</t>
        </is>
      </c>
      <c r="AB494" s="269" t="inlineStr">
        <is>
          <t>ASTRE, NPE</t>
        </is>
      </c>
      <c r="AC494" s="231" t="inlineStr">
        <is>
          <t>ND</t>
        </is>
      </c>
      <c r="AD494" s="257" t="inlineStr">
        <is>
          <t>N</t>
        </is>
      </c>
      <c r="AE494" s="485" t="inlineStr">
        <is>
          <t>TRE2 à 4XX hors 203,205,206,207,405,406
TRE5XX</t>
        </is>
      </c>
      <c r="AF494" s="257" t="inlineStr">
        <is>
          <t>NA</t>
        </is>
      </c>
      <c r="AG494" s="258" t="inlineStr">
        <is>
          <t>NA</t>
        </is>
      </c>
      <c r="AH494" s="89" t="n"/>
      <c r="AI494" s="435" t="inlineStr">
        <is>
          <t>La donnée est obligatoire, si type de risque [P1 2.0] = TRE2*,TRE3*,TRE4*,TRE5* (hors TRE203, TRE205, TRE206, TRE207, TRE405, TRE406) ET si le Statut du crédit au sens de la Forbearance [P1 21.5] = '2'</t>
        </is>
      </c>
      <c r="AJ494" s="317" t="inlineStr">
        <is>
          <t>The data is mandatory, if Risk type [P1 2.0] = TRE2*,TRE3*,TRE4*,TRE5* (except TRE203, TRE205, TRE206, TRE207, TRE405, TRE406) AND if the Credit status for Forbearance [P1 21.5] = '2'</t>
        </is>
      </c>
      <c r="AK494" s="257" t="n">
        <v>6</v>
      </c>
      <c r="AL494" s="366" t="inlineStr">
        <is>
          <t>TPS0843</t>
        </is>
      </c>
      <c r="AM494" s="318" t="n"/>
      <c r="AN494" s="317" t="n"/>
      <c r="AO494" s="257" t="n"/>
      <c r="AP494" s="258" t="n"/>
      <c r="AQ494" s="318" t="n"/>
      <c r="AR494" s="317" t="n"/>
      <c r="AS494" s="257" t="n"/>
      <c r="AT494" s="258" t="n"/>
      <c r="AU494" s="578" t="inlineStr">
        <is>
          <t>Si la Date d'entrée de la créance en période probatoire [P1 21.12] est renseignée et que la Date de sortie de la créance de la période probatoire [P1 21.13] est renseignée, alors la date de sortie [P1 21.13] doit être supérieure ou égale à la date d'entrée [P1 21.12]</t>
        </is>
      </c>
      <c r="AV494" s="317" t="inlineStr">
        <is>
          <t>If the Debt's probation period start date [P1 21.12] is filled and the Debt's probation period end date [P1 21.13] is filled, then the end date [P1 21.13]must be greater than or equal to the start date [P1 21.12]</t>
        </is>
      </c>
      <c r="AW494" s="257" t="n">
        <v>7</v>
      </c>
      <c r="AX494" s="345" t="inlineStr">
        <is>
          <t>TCS0717</t>
        </is>
      </c>
      <c r="AY494" s="318" t="n"/>
      <c r="AZ494" s="317" t="n"/>
      <c r="BA494" s="257" t="n"/>
      <c r="BB494" s="258" t="n"/>
      <c r="BC494" s="316" t="n"/>
      <c r="BD494" s="317" t="n"/>
      <c r="BE494" s="257" t="n"/>
      <c r="BF494" s="258" t="n"/>
      <c r="BG494" s="89" t="n"/>
      <c r="BH4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94">
        <f>_xlfn.LET(r,ROW(),oc,INDEX($A:$A,r),cv,TRIM(INDEX($Y:$Y,r)&amp;""),IF(oc&lt;&gt;"P1","",IF(cv="45","V45 - novo, nao alimentado pelo spool atual","V44 - alimentado pelo spool atual")))</f>
        <v/>
      </c>
    </row>
    <row r="495" ht="54" customFormat="1" customHeight="1" s="91">
      <c r="A495" s="306" t="inlineStr">
        <is>
          <t>P1</t>
        </is>
      </c>
      <c r="B495" s="307" t="n">
        <v>260</v>
      </c>
      <c r="C495" s="269" t="inlineStr">
        <is>
          <t xml:space="preserve">08 - Caractéristiques d'arriérés et de restructuration </t>
        </is>
      </c>
      <c r="D495" s="310" t="inlineStr">
        <is>
          <t>08 - Characteristics of overdues and restructuring</t>
        </is>
      </c>
      <c r="E495" s="307" t="inlineStr">
        <is>
          <t>P1 21.14</t>
        </is>
      </c>
      <c r="F495" s="308" t="inlineStr">
        <is>
          <t xml:space="preserve">Date théorique de fin de situation forborne </t>
        </is>
      </c>
      <c r="G495" s="309" t="inlineStr">
        <is>
          <t xml:space="preserve">Forbearance's scheduled end date </t>
        </is>
      </c>
      <c r="H495" s="1493">
        <f>"RPAD( "&amp;SUBSTITUTE(SUBSTITUTE(E495," ","_"),".","_")&amp;","&amp;W495&amp;",' '); -- "&amp;E495</f>
        <v/>
      </c>
      <c r="I495" s="241" t="inlineStr">
        <is>
          <t>Date théorique de fin de la situation de forborne de la créance</t>
        </is>
      </c>
      <c r="J495" s="309" t="inlineStr">
        <is>
          <t>Scheduled date on which the debt's forbearance ends</t>
        </is>
      </c>
      <c r="K495" s="370" t="inlineStr">
        <is>
          <t>ND</t>
        </is>
      </c>
      <c r="L495" s="371" t="inlineStr">
        <is>
          <t>ND</t>
        </is>
      </c>
      <c r="M495" s="1420" t="inlineStr">
        <is>
          <t>dtThFinFor</t>
        </is>
      </c>
      <c r="N495" s="257" t="inlineStr">
        <is>
          <t>Obligatoire sous conditions</t>
        </is>
      </c>
      <c r="O495" s="236" t="inlineStr">
        <is>
          <t>Mandatory under conditions</t>
        </is>
      </c>
      <c r="P495" s="269" t="inlineStr">
        <is>
          <t>NA</t>
        </is>
      </c>
      <c r="Q495" s="269" t="inlineStr">
        <is>
          <t>NA</t>
        </is>
      </c>
      <c r="R495" s="241" t="inlineStr">
        <is>
          <t>NA</t>
        </is>
      </c>
      <c r="S495" s="233" t="inlineStr">
        <is>
          <t>NA</t>
        </is>
      </c>
      <c r="T495" s="206" t="inlineStr">
        <is>
          <t>DATE</t>
        </is>
      </c>
      <c r="U495" s="237" t="inlineStr">
        <is>
          <t>AAAAMMJJ</t>
        </is>
      </c>
      <c r="V495" s="238" t="inlineStr">
        <is>
          <t>YYYYMMDD</t>
        </is>
      </c>
      <c r="W495" s="257" t="n">
        <v>8</v>
      </c>
      <c r="X495" s="945" t="inlineStr">
        <is>
          <t>NA</t>
        </is>
      </c>
      <c r="Y495" s="237" t="n">
        <v>41</v>
      </c>
      <c r="Z495" s="237" t="inlineStr">
        <is>
          <t>NA</t>
        </is>
      </c>
      <c r="AA495" s="237" t="inlineStr">
        <is>
          <t>NA</t>
        </is>
      </c>
      <c r="AB495" s="269" t="inlineStr">
        <is>
          <t>ANACREDIT, ASTRE, NPE, SRB VALUATION</t>
        </is>
      </c>
      <c r="AC495" s="231" t="inlineStr">
        <is>
          <t>ND</t>
        </is>
      </c>
      <c r="AD495" s="257" t="inlineStr">
        <is>
          <t>N</t>
        </is>
      </c>
      <c r="AE495" s="485" t="inlineStr">
        <is>
          <t>TRE2 à 4XX hors 203,205,206,207,405,406
TRE5XX</t>
        </is>
      </c>
      <c r="AF495" s="257" t="inlineStr">
        <is>
          <t>NA</t>
        </is>
      </c>
      <c r="AG495" s="258" t="inlineStr">
        <is>
          <t>NA</t>
        </is>
      </c>
      <c r="AH495" s="89" t="n"/>
      <c r="AI495" s="435" t="inlineStr">
        <is>
          <t>La donnée est obligatoire, si type de risque [P1 2.0] = TRE2*,TRE3*,TRE4*,TRE5* (hors TRE203, TRE205, TRE206, TRE207, TRE405, TRE406) ET si le Statut du crédit au sens de la Forbearance [P1 21.5] = '1' ou '2'</t>
        </is>
      </c>
      <c r="AJ495" s="317" t="inlineStr">
        <is>
          <t>The data is mandatory, if Risk type [P1 2.0] = TRE2*,TRE3*,TRE4*,TRE5* (except TRE203, TRE205, TRE206, TRE207, TRE405, TRE406) AND if the Credit status for Forbearance [P1 21.5] = '1' or '2'</t>
        </is>
      </c>
      <c r="AK495" s="257" t="n">
        <v>6</v>
      </c>
      <c r="AL495" s="345" t="inlineStr">
        <is>
          <t>TPS0844</t>
        </is>
      </c>
      <c r="AM495" s="318" t="n"/>
      <c r="AN495" s="317" t="n"/>
      <c r="AO495" s="257" t="n"/>
      <c r="AP495" s="258" t="n"/>
      <c r="AQ495" s="318" t="n"/>
      <c r="AR495" s="317" t="n"/>
      <c r="AS495" s="257" t="n"/>
      <c r="AT495" s="258" t="n"/>
      <c r="AU495" s="318" t="n"/>
      <c r="AV495" s="317" t="n"/>
      <c r="AW495" s="257" t="n"/>
      <c r="AX495" s="258" t="n"/>
      <c r="AY495" s="318" t="n"/>
      <c r="AZ495" s="317" t="n"/>
      <c r="BA495" s="257" t="n"/>
      <c r="BB495" s="258" t="n"/>
      <c r="BC495" s="316" t="n"/>
      <c r="BD495" s="317" t="n"/>
      <c r="BE495" s="257" t="n"/>
      <c r="BF495" s="258" t="n"/>
      <c r="BG495" s="89" t="n"/>
      <c r="BH4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95">
        <f>_xlfn.LET(r,ROW(),oc,INDEX($A:$A,r),cv,TRIM(INDEX($Y:$Y,r)&amp;""),IF(oc&lt;&gt;"P1","",IF(cv="45","V45 - novo, nao alimentado pelo spool atual","V44 - alimentado pelo spool atual")))</f>
        <v/>
      </c>
    </row>
    <row r="496" ht="54" customFormat="1" customHeight="1" s="91">
      <c r="A496" s="306" t="inlineStr">
        <is>
          <t>P1</t>
        </is>
      </c>
      <c r="B496" s="307" t="n">
        <v>261</v>
      </c>
      <c r="C496" s="269" t="inlineStr">
        <is>
          <t xml:space="preserve">08 - Caractéristiques d'arriérés et de restructuration </t>
        </is>
      </c>
      <c r="D496" s="310" t="inlineStr">
        <is>
          <t>08 - Characteristics of overdues and restructuring</t>
        </is>
      </c>
      <c r="E496" s="307" t="inlineStr">
        <is>
          <t>P1 21.15</t>
        </is>
      </c>
      <c r="F496" s="308" t="inlineStr">
        <is>
          <t xml:space="preserve">Date de sortie effective de situation forborne </t>
        </is>
      </c>
      <c r="G496" s="309" t="inlineStr">
        <is>
          <t xml:space="preserve">Forbearance's effective end date </t>
        </is>
      </c>
      <c r="H496" s="1493">
        <f>"RPAD( "&amp;SUBSTITUTE(SUBSTITUTE(E496," ","_"),".","_")&amp;","&amp;W496&amp;",' '); -- "&amp;E496</f>
        <v/>
      </c>
      <c r="I496" s="241" t="inlineStr">
        <is>
          <t>Date de sortie effective de forborne de la créance</t>
        </is>
      </c>
      <c r="J496" s="309" t="inlineStr">
        <is>
          <t>Date on which forbearance on the debt actually ends</t>
        </is>
      </c>
      <c r="K496" s="370" t="inlineStr">
        <is>
          <t>ND</t>
        </is>
      </c>
      <c r="L496" s="371" t="inlineStr">
        <is>
          <t>ND</t>
        </is>
      </c>
      <c r="M496" s="1420" t="inlineStr">
        <is>
          <t>dtSortieFor</t>
        </is>
      </c>
      <c r="N496" s="449" t="inlineStr">
        <is>
          <t>Facultatif</t>
        </is>
      </c>
      <c r="O496" s="236" t="inlineStr">
        <is>
          <t>Optional</t>
        </is>
      </c>
      <c r="P496" s="269" t="inlineStr">
        <is>
          <t>NA</t>
        </is>
      </c>
      <c r="Q496" s="269" t="inlineStr">
        <is>
          <t>NA</t>
        </is>
      </c>
      <c r="R496" s="241" t="inlineStr">
        <is>
          <t>Obligatoire si statut du crédit au sens de la forbearance (P1 21.5) = ‘1' ou ‘2. Si information non disponible, laisser à vide la date de sortie effective de situation forborne</t>
        </is>
      </c>
      <c r="S496" s="233" t="inlineStr">
        <is>
          <t>Mandatory if the credit status as defined in forbearance (P1 21.5) = ‘1' or ‘2. If information is not available, leave the actual exit date empty</t>
        </is>
      </c>
      <c r="T496" s="206" t="inlineStr">
        <is>
          <t>DATE</t>
        </is>
      </c>
      <c r="U496" s="237" t="inlineStr">
        <is>
          <t>AAAAMMJJ</t>
        </is>
      </c>
      <c r="V496" s="238" t="inlineStr">
        <is>
          <t>YYYYMMDD</t>
        </is>
      </c>
      <c r="W496" s="257" t="n">
        <v>8</v>
      </c>
      <c r="X496" s="945" t="inlineStr">
        <is>
          <t>NA</t>
        </is>
      </c>
      <c r="Y496" s="237" t="n">
        <v>41</v>
      </c>
      <c r="Z496" s="237" t="inlineStr">
        <is>
          <t>NA</t>
        </is>
      </c>
      <c r="AA496" s="237" t="inlineStr">
        <is>
          <t>NA</t>
        </is>
      </c>
      <c r="AB496" s="269" t="inlineStr">
        <is>
          <t>ANACREDIT, ASTRE, LOAN TAPE, NPE, SRB VALUATION</t>
        </is>
      </c>
      <c r="AC496" s="231" t="inlineStr">
        <is>
          <t>ND</t>
        </is>
      </c>
      <c r="AD496" s="257" t="inlineStr">
        <is>
          <t>N</t>
        </is>
      </c>
      <c r="AE496" s="257" t="inlineStr">
        <is>
          <t xml:space="preserve">TRE2 à 4XX hors 203,205,206,207
TRE5XX
</t>
        </is>
      </c>
      <c r="AF496" s="257" t="inlineStr">
        <is>
          <t>NA</t>
        </is>
      </c>
      <c r="AG496" s="258" t="inlineStr">
        <is>
          <t>NA</t>
        </is>
      </c>
      <c r="AH496" s="89" t="n"/>
      <c r="AI496" s="316" t="n"/>
      <c r="AJ496" s="317" t="n"/>
      <c r="AK496" s="257" t="n"/>
      <c r="AL496" s="258" t="n"/>
      <c r="AM496" s="318" t="n"/>
      <c r="AN496" s="317" t="n"/>
      <c r="AO496" s="257" t="n"/>
      <c r="AP496" s="258" t="n"/>
      <c r="AQ496" s="318" t="n"/>
      <c r="AR496" s="317" t="n"/>
      <c r="AS496" s="257" t="n"/>
      <c r="AT496" s="258" t="n"/>
      <c r="AU496" s="318" t="n"/>
      <c r="AV496" s="317" t="n"/>
      <c r="AW496" s="257" t="n"/>
      <c r="AX496" s="258" t="n"/>
      <c r="AY496" s="318" t="n"/>
      <c r="AZ496" s="317" t="n"/>
      <c r="BA496" s="257" t="n"/>
      <c r="BB496" s="258" t="n"/>
      <c r="BC496" s="316" t="n"/>
      <c r="BD496" s="317" t="n"/>
      <c r="BE496" s="257" t="n"/>
      <c r="BF496" s="258" t="n"/>
      <c r="BG496" s="89" t="n"/>
      <c r="BH4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96">
        <f>_xlfn.LET(r,ROW(),oc,INDEX($A:$A,r),cv,TRIM(INDEX($Y:$Y,r)&amp;""),IF(oc&lt;&gt;"P1","",IF(cv="45","V45 - novo, nao alimentado pelo spool atual","V44 - alimentado pelo spool atual")))</f>
        <v/>
      </c>
    </row>
    <row r="497" ht="54" customFormat="1" customHeight="1" s="91">
      <c r="A497" s="306" t="inlineStr">
        <is>
          <t>P1</t>
        </is>
      </c>
      <c r="B497" s="307" t="n">
        <v>262</v>
      </c>
      <c r="C497" s="269" t="inlineStr">
        <is>
          <t xml:space="preserve">08 - Caractéristiques d'arriérés et de restructuration </t>
        </is>
      </c>
      <c r="D497" s="310" t="inlineStr">
        <is>
          <t>08 - Characteristics of overdues and restructuring</t>
        </is>
      </c>
      <c r="E497" s="372" t="inlineStr">
        <is>
          <t>P1 21.16</t>
        </is>
      </c>
      <c r="F497" s="308" t="inlineStr">
        <is>
          <t xml:space="preserve">Date de début de l'état de performance de la créance </t>
        </is>
      </c>
      <c r="G497" s="309" t="inlineStr">
        <is>
          <t xml:space="preserve">Date of performing debt status </t>
        </is>
      </c>
      <c r="H497" s="1493">
        <f>"RPAD( "&amp;SUBSTITUTE(SUBSTITUTE(E497," ","_"),".","_")&amp;","&amp;W497&amp;",' '); -- "&amp;E497</f>
        <v/>
      </c>
      <c r="I497" s="241" t="inlineStr">
        <is>
          <t xml:space="preserve">Date de début de l'état de performance de la créance </t>
        </is>
      </c>
      <c r="J497" s="309" t="inlineStr">
        <is>
          <t>Start date of the performance status of receivables. The performance status of the debt being given by the performing debt indicator [P1 21.6]</t>
        </is>
      </c>
      <c r="K497" s="370" t="inlineStr">
        <is>
          <t>ND</t>
        </is>
      </c>
      <c r="L497" s="371" t="inlineStr">
        <is>
          <t>ND</t>
        </is>
      </c>
      <c r="M497" s="1420" t="inlineStr">
        <is>
          <t>dtDebPerfCre</t>
        </is>
      </c>
      <c r="N497" s="257" t="inlineStr">
        <is>
          <t>Obligatoire sous conditions</t>
        </is>
      </c>
      <c r="O497" s="236" t="inlineStr">
        <is>
          <t>Mandatory under conditions</t>
        </is>
      </c>
      <c r="P497" s="269" t="inlineStr">
        <is>
          <t>NA</t>
        </is>
      </c>
      <c r="Q497" s="269" t="inlineStr">
        <is>
          <t>NA</t>
        </is>
      </c>
      <c r="R497" s="241" t="inlineStr">
        <is>
          <t>Si l'indicateur Performant Non-Performant n'a pas changé depuis l'origine, la date de début de l'état de performance correspond à la début de contrat sinon, la date de début de l'état de performance correspond à la date du changement de statut PE NPE</t>
        </is>
      </c>
      <c r="S497" s="233" t="inlineStr">
        <is>
          <t>If the Performing indicator Non-Performant has not changed since the origin, the performance status start date corresponds to the contract start date or the performance status start date corresponds to the status change date ILOE NPE</t>
        </is>
      </c>
      <c r="T497" s="206" t="inlineStr">
        <is>
          <t>DATE</t>
        </is>
      </c>
      <c r="U497" s="237" t="inlineStr">
        <is>
          <t>AAAAMMJJ</t>
        </is>
      </c>
      <c r="V497" s="238" t="inlineStr">
        <is>
          <t>YYYYMMDD</t>
        </is>
      </c>
      <c r="W497" s="257" t="n">
        <v>8</v>
      </c>
      <c r="X497" s="945" t="inlineStr">
        <is>
          <t>NA</t>
        </is>
      </c>
      <c r="Y497" s="237" t="n">
        <v>42</v>
      </c>
      <c r="Z497" s="237" t="inlineStr">
        <is>
          <t>NA</t>
        </is>
      </c>
      <c r="AA497" s="270" t="inlineStr">
        <is>
          <t>NA</t>
        </is>
      </c>
      <c r="AB497" s="994" t="inlineStr">
        <is>
          <t>ANACREDIT, ASTRE, CALCULS PRUDENTIELS, LOAN TAPE, NPE, SHS</t>
        </is>
      </c>
      <c r="AC497" s="231" t="inlineStr">
        <is>
          <t>ND</t>
        </is>
      </c>
      <c r="AD497" s="257" t="inlineStr">
        <is>
          <t>N</t>
        </is>
      </c>
      <c r="AE497" s="971" t="inlineStr">
        <is>
          <t>EQU101
EQU201
ISS100
ISS200 et 300
TRE100
TRE2 à 4XX hors 203,205,206,207
TRE203, 205, 207
TRE206
TRE5XX
SIG
VAR*
INT</t>
        </is>
      </c>
      <c r="AF497" s="257" t="inlineStr">
        <is>
          <t>NA</t>
        </is>
      </c>
      <c r="AG497" s="258" t="inlineStr">
        <is>
          <t>NA</t>
        </is>
      </c>
      <c r="AH497" s="89" t="n"/>
      <c r="AI497" s="425" t="inlineStr">
        <is>
          <t>La donnée est obligatoire si le type de risque [P1 2.0] = 'EQU101', 'EQU201', 'ISS200', 'ISS200', 'ISS300', 'TRExxx', 'SIGxxx', VARxxx', 'INTxx' ET Si l'Indicateur créance performante [P1 21.6] est renseigné</t>
        </is>
      </c>
      <c r="AJ497" s="317" t="inlineStr">
        <is>
          <t>The data is mandatory if Risk type [P1 2.0] = 'EQU101', 'EQU201', 'ISS200', 'ISS200', 'ISS300', 'TRExxx', 'SIGxxx', VARxxx', 'INTxxx' AND If the performing debt indicator [P1 21.6] is filled</t>
        </is>
      </c>
      <c r="AK497" s="269" t="n">
        <v>6</v>
      </c>
      <c r="AL497" s="345" t="inlineStr">
        <is>
          <t>TPS0845</t>
        </is>
      </c>
      <c r="AM497" s="318" t="n"/>
      <c r="AN497" s="317" t="n"/>
      <c r="AO497" s="257" t="n"/>
      <c r="AP497" s="258" t="n"/>
      <c r="AQ497" s="318" t="inlineStr">
        <is>
          <t>Si renseignée, la donnée doit être supérieure ou égale à '19000101'</t>
        </is>
      </c>
      <c r="AR497" s="317" t="inlineStr">
        <is>
          <t>If filled, data must be greater or equal to '19000101'</t>
        </is>
      </c>
      <c r="AS497" s="257" t="n">
        <v>7</v>
      </c>
      <c r="AT497" s="258" t="inlineStr">
        <is>
          <t>TVG0005</t>
        </is>
      </c>
      <c r="AU497" s="579" t="inlineStr">
        <is>
          <t>Si le type de risque [P1 2.0] = ('EQU101', 'EQU201', 'ISS100', 'ISS200', 'ISS300', 'TRE*', 'SIG*', 'VAR*', 'INT*'), et si la donnée est renseignée, alors elle doit être (supérieure ou égale à Date de signature du contrat initial [P1 22.67]) ET (inférieure ou égale à la date d'arrêté [0.1 (P1)])</t>
        </is>
      </c>
      <c r="AV497" s="317" t="inlineStr">
        <is>
          <t>If Risk type [P1 2.0] = ('EQU101', 'EQU201', 'ISS100', 'ISS200', 'ISS300', 'TRE*', 'SIG*', 'VAR*', 'INT*'), and if the data is filled, then it must be (greater than or equal to the Date of signature of the initial contract [P1 22.67]) AND (less than or equal to the Closing date [0.1 (P1)])</t>
        </is>
      </c>
      <c r="AW497" s="580" t="n">
        <v>6</v>
      </c>
      <c r="AX497" s="521" t="inlineStr">
        <is>
          <t>TCS0718</t>
        </is>
      </c>
      <c r="AY497" s="318" t="n"/>
      <c r="AZ497" s="317" t="n"/>
      <c r="BA497" s="257" t="n"/>
      <c r="BB497" s="258" t="n"/>
      <c r="BC497" s="316" t="n"/>
      <c r="BD497" s="317" t="n"/>
      <c r="BE497" s="257" t="n"/>
      <c r="BF497" s="258" t="n"/>
      <c r="BG497" s="89" t="n"/>
      <c r="BH4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97">
        <f>_xlfn.LET(r,ROW(),oc,INDEX($A:$A,r),cv,TRIM(INDEX($Y:$Y,r)&amp;""),IF(oc&lt;&gt;"P1","",IF(cv="45","V45 - novo, nao alimentado pelo spool atual","V44 - alimentado pelo spool atual")))</f>
        <v/>
      </c>
    </row>
    <row r="498" ht="54" customFormat="1" customHeight="1" s="57">
      <c r="A498" s="325" t="inlineStr">
        <is>
          <t>P1</t>
        </is>
      </c>
      <c r="B498" s="326" t="n">
        <v>263</v>
      </c>
      <c r="C498" s="284" t="inlineStr">
        <is>
          <t xml:space="preserve">08 - Caractéristiques d'arriérés et de restructuration </t>
        </is>
      </c>
      <c r="D498" s="284" t="inlineStr">
        <is>
          <t>08 - Characteristics of overdues and restructuring</t>
        </is>
      </c>
      <c r="E498" s="326" t="inlineStr">
        <is>
          <t>P1 21.17</t>
        </is>
      </c>
      <c r="F498" s="327" t="inlineStr">
        <is>
          <t xml:space="preserve">Zone libre (ex Motif de l'état de performance de la créance) </t>
        </is>
      </c>
      <c r="G498" s="327" t="inlineStr">
        <is>
          <t>Free zone (Ex Reason of performing debt indicator)</t>
        </is>
      </c>
      <c r="H498" s="1493">
        <f>"RPAD( "&amp;SUBSTITUTE(SUBSTITUTE(E498," ","_"),".","_")&amp;","&amp;W498&amp;",' '); -- "&amp;E498</f>
        <v/>
      </c>
      <c r="I498" s="329" t="inlineStr">
        <is>
          <t>Zone Libre</t>
        </is>
      </c>
      <c r="J498" s="329" t="inlineStr">
        <is>
          <t>Free zone</t>
        </is>
      </c>
      <c r="K498" s="328" t="inlineStr">
        <is>
          <t>NA</t>
        </is>
      </c>
      <c r="L498" s="328" t="inlineStr">
        <is>
          <t>NA</t>
        </is>
      </c>
      <c r="M498" s="1421" t="inlineStr">
        <is>
          <t>Zonelibre2117</t>
        </is>
      </c>
      <c r="N498" s="284" t="inlineStr">
        <is>
          <t>NA</t>
        </is>
      </c>
      <c r="O498" s="244" t="inlineStr">
        <is>
          <t>NA</t>
        </is>
      </c>
      <c r="P498" s="284" t="inlineStr">
        <is>
          <t>NA</t>
        </is>
      </c>
      <c r="Q498" s="284" t="inlineStr">
        <is>
          <t>NA</t>
        </is>
      </c>
      <c r="R498" s="412" t="inlineStr">
        <is>
          <t>Laisser à vide</t>
        </is>
      </c>
      <c r="S498" s="245" t="inlineStr">
        <is>
          <t>Leave empty</t>
        </is>
      </c>
      <c r="T498" s="326" t="inlineStr">
        <is>
          <t>ALPHA</t>
        </is>
      </c>
      <c r="U498" s="248" t="inlineStr">
        <is>
          <t>NA</t>
        </is>
      </c>
      <c r="V498" s="248" t="inlineStr">
        <is>
          <t>NA</t>
        </is>
      </c>
      <c r="W498" s="284" t="n">
        <v>2</v>
      </c>
      <c r="X498" s="244" t="inlineStr">
        <is>
          <t>NA</t>
        </is>
      </c>
      <c r="Y498" s="248" t="n">
        <v>42</v>
      </c>
      <c r="Z498" s="248" t="inlineStr">
        <is>
          <t>NA</t>
        </is>
      </c>
      <c r="AA498" s="248" t="inlineStr">
        <is>
          <t>NA</t>
        </is>
      </c>
      <c r="AB498" s="284" t="inlineStr">
        <is>
          <t>NA</t>
        </is>
      </c>
      <c r="AC498" s="244" t="inlineStr">
        <is>
          <t>NA</t>
        </is>
      </c>
      <c r="AD498" s="284" t="inlineStr">
        <is>
          <t>N</t>
        </is>
      </c>
      <c r="AE498" s="284" t="inlineStr">
        <is>
          <t>NA</t>
        </is>
      </c>
      <c r="AF498" s="284" t="inlineStr">
        <is>
          <t>NA</t>
        </is>
      </c>
      <c r="AG498" s="285" t="inlineStr">
        <is>
          <t>NA</t>
        </is>
      </c>
      <c r="AH498" s="89" t="n"/>
      <c r="AI498" s="330" t="n"/>
      <c r="AJ498" s="331" t="n"/>
      <c r="AK498" s="284" t="n"/>
      <c r="AL498" s="285" t="n"/>
      <c r="AM498" s="331" t="n"/>
      <c r="AN498" s="331" t="n"/>
      <c r="AO498" s="284" t="n"/>
      <c r="AP498" s="285" t="n"/>
      <c r="AQ498" s="331" t="n"/>
      <c r="AR498" s="331" t="n"/>
      <c r="AS498" s="284" t="n"/>
      <c r="AT498" s="285" t="n"/>
      <c r="AU498" s="331" t="n"/>
      <c r="AV498" s="331" t="n"/>
      <c r="AW498" s="284" t="n"/>
      <c r="AX498" s="285" t="n"/>
      <c r="AY498" s="331" t="n"/>
      <c r="AZ498" s="331" t="n"/>
      <c r="BA498" s="284" t="n"/>
      <c r="BB498" s="285" t="n"/>
      <c r="BC498" s="330" t="n"/>
      <c r="BD498" s="331" t="n"/>
      <c r="BE498" s="284" t="n"/>
      <c r="BF498" s="285" t="n"/>
      <c r="BG498" s="89" t="n"/>
      <c r="BH4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98">
        <f>_xlfn.LET(r,ROW(),oc,INDEX($A:$A,r),cv,TRIM(INDEX($Y:$Y,r)&amp;""),IF(oc&lt;&gt;"P1","",IF(cv="45","V45 - novo, nao alimentado pelo spool atual","V44 - alimentado pelo spool atual")))</f>
        <v/>
      </c>
    </row>
    <row r="499" ht="54" customFormat="1" customHeight="1" s="91">
      <c r="A499" s="306" t="inlineStr">
        <is>
          <t>P1</t>
        </is>
      </c>
      <c r="B499" s="307" t="n">
        <v>264</v>
      </c>
      <c r="C499" s="269" t="inlineStr">
        <is>
          <t xml:space="preserve">08 - Caractéristiques d'arriérés et de restructuration </t>
        </is>
      </c>
      <c r="D499" s="310" t="inlineStr">
        <is>
          <t>08 - Characteristics of overdues and restructuring</t>
        </is>
      </c>
      <c r="E499" s="372" t="inlineStr">
        <is>
          <t>P1 21.18</t>
        </is>
      </c>
      <c r="F499" s="311" t="inlineStr">
        <is>
          <t>Nombre de restructuration pour risque</t>
        </is>
      </c>
      <c r="G499" s="312" t="inlineStr">
        <is>
          <t>Number of restructurings for risk</t>
        </is>
      </c>
      <c r="H499" s="1493">
        <f>"RPAD( "&amp;SUBSTITUTE(SUBSTITUTE(E499," ","_"),".","_")&amp;","&amp;W499&amp;",' '); -- "&amp;E499</f>
        <v/>
      </c>
      <c r="I499" s="308" t="inlineStr">
        <is>
          <t>Nombre de restructurations successives pour risque du contrat</t>
        </is>
      </c>
      <c r="J499" s="309" t="inlineStr">
        <is>
          <t>Number of successive restructurings of the contract for risk reasons</t>
        </is>
      </c>
      <c r="K499" s="370" t="inlineStr">
        <is>
          <t>ND</t>
        </is>
      </c>
      <c r="L499" s="371" t="inlineStr">
        <is>
          <t>ND</t>
        </is>
      </c>
      <c r="M499" s="1420" t="inlineStr">
        <is>
          <t>NbRest</t>
        </is>
      </c>
      <c r="N499" s="257" t="inlineStr">
        <is>
          <t>Obligatoire sous conditions</t>
        </is>
      </c>
      <c r="O499" s="236" t="inlineStr">
        <is>
          <t>Mandatory under conditions</t>
        </is>
      </c>
      <c r="P499" s="269" t="inlineStr">
        <is>
          <t>NA</t>
        </is>
      </c>
      <c r="Q499" s="269" t="inlineStr">
        <is>
          <t>NA</t>
        </is>
      </c>
      <c r="R499" s="241" t="inlineStr">
        <is>
          <t>NA</t>
        </is>
      </c>
      <c r="S499" s="233" t="inlineStr">
        <is>
          <t>NA</t>
        </is>
      </c>
      <c r="T499" s="269" t="inlineStr">
        <is>
          <t>NUM</t>
        </is>
      </c>
      <c r="U499" s="237" t="inlineStr">
        <is>
          <t>NA</t>
        </is>
      </c>
      <c r="V499" s="238" t="inlineStr">
        <is>
          <t>NA</t>
        </is>
      </c>
      <c r="W499" s="257" t="n">
        <v>2</v>
      </c>
      <c r="X499" s="945" t="inlineStr">
        <is>
          <t>NA</t>
        </is>
      </c>
      <c r="Y499" s="237" t="n">
        <v>43</v>
      </c>
      <c r="Z499" s="237" t="inlineStr">
        <is>
          <t>NA</t>
        </is>
      </c>
      <c r="AA499" s="239" t="inlineStr">
        <is>
          <t>NA</t>
        </is>
      </c>
      <c r="AB499" s="269" t="inlineStr">
        <is>
          <t>USAGE ZP</t>
        </is>
      </c>
      <c r="AC499" s="231" t="inlineStr">
        <is>
          <t>ND</t>
        </is>
      </c>
      <c r="AD499" s="257" t="inlineStr">
        <is>
          <t>N</t>
        </is>
      </c>
      <c r="AE499" s="257" t="inlineStr">
        <is>
          <t xml:space="preserve">TRE2 à 4XX hors 203,205,206,207
TRE5XX
</t>
        </is>
      </c>
      <c r="AF499" s="257" t="inlineStr">
        <is>
          <t>NA</t>
        </is>
      </c>
      <c r="AG499" s="258" t="inlineStr">
        <is>
          <t>NA</t>
        </is>
      </c>
      <c r="AH499" s="89" t="n"/>
      <c r="AI499" s="316" t="inlineStr">
        <is>
          <t>La donnée est obligatoire si le type de risque [P1 2.0] = 'TRE2xx' à 'TRE5xx', hors (TRE201,TRE203,TRE205, TRE206, TRE207) et si le statut du crédit au sens de la forbearance [P1 21.5] = '1' ou '2'</t>
        </is>
      </c>
      <c r="AJ499" s="317" t="inlineStr">
        <is>
          <t>The data is mandatory if Risk type [P1 2.0] = 'TRE2xx' to 'TRE5xx', out (TRE201, TRE203, TRE205, TRE206, TRE207) and the Credit status for Forbearance [P1 21.5] = '1' or '2'</t>
        </is>
      </c>
      <c r="AK499" s="257" t="n">
        <v>6</v>
      </c>
      <c r="AL499" s="366" t="inlineStr">
        <is>
          <t>TPS0846</t>
        </is>
      </c>
      <c r="AM499" s="318" t="n"/>
      <c r="AN499" s="317" t="n"/>
      <c r="AO499" s="257" t="n"/>
      <c r="AP499" s="258" t="n"/>
      <c r="AQ499" s="318" t="n"/>
      <c r="AR499" s="317" t="n"/>
      <c r="AS499" s="257" t="n"/>
      <c r="AT499" s="258" t="n"/>
      <c r="AU499" s="318" t="n"/>
      <c r="AV499" s="317" t="n"/>
      <c r="AW499" s="257" t="n"/>
      <c r="AX499" s="258" t="n"/>
      <c r="AY499" s="318" t="n"/>
      <c r="AZ499" s="317" t="n"/>
      <c r="BA499" s="257" t="n"/>
      <c r="BB499" s="258" t="n"/>
      <c r="BC499" s="316" t="n"/>
      <c r="BD499" s="317" t="n"/>
      <c r="BE499" s="257" t="n"/>
      <c r="BF499" s="258" t="n"/>
      <c r="BG499" s="89" t="n"/>
      <c r="BH4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499">
        <f>_xlfn.LET(r,ROW(),oc,INDEX($A:$A,r),cv,TRIM(INDEX($Y:$Y,r)&amp;""),IF(oc&lt;&gt;"P1","",IF(cv="45","V45 - novo, nao alimentado pelo spool atual","V44 - alimentado pelo spool atual")))</f>
        <v/>
      </c>
    </row>
    <row r="500" ht="54" customFormat="1" customHeight="1" s="91">
      <c r="A500" s="306" t="inlineStr">
        <is>
          <t>P1</t>
        </is>
      </c>
      <c r="B500" s="307" t="n">
        <v>265</v>
      </c>
      <c r="C500" s="269" t="inlineStr">
        <is>
          <t xml:space="preserve">08 - Caractéristiques d'arriérés et de restructuration </t>
        </is>
      </c>
      <c r="D500" s="310" t="inlineStr">
        <is>
          <t>08 - Characteristics of overdues and restructuring</t>
        </is>
      </c>
      <c r="E500" s="372" t="inlineStr">
        <is>
          <t>P1 21.19</t>
        </is>
      </c>
      <c r="F500" s="311" t="inlineStr">
        <is>
          <t xml:space="preserve">Méthode de restructuration </t>
        </is>
      </c>
      <c r="G500" s="312" t="inlineStr">
        <is>
          <t>Restructuring method</t>
        </is>
      </c>
      <c r="H500" s="1493">
        <f>"RPAD( "&amp;SUBSTITUTE(SUBSTITUTE(E500," ","_"),".","_")&amp;","&amp;W500&amp;",' '); -- "&amp;E500</f>
        <v/>
      </c>
      <c r="I500" s="308" t="inlineStr">
        <is>
          <t>Méthode de restructuration (taux d'intérêt, allongement de durée, paiements échelonnés….)</t>
        </is>
      </c>
      <c r="J500" s="309" t="inlineStr">
        <is>
          <t>Method of restructuring (interest rate, extended maturity, installment payments, etc.)</t>
        </is>
      </c>
      <c r="K500" s="370" t="inlineStr">
        <is>
          <t>ND</t>
        </is>
      </c>
      <c r="L500" s="371" t="inlineStr">
        <is>
          <t>ND</t>
        </is>
      </c>
      <c r="M500" s="1420" t="inlineStr">
        <is>
          <t>cdMethRest</t>
        </is>
      </c>
      <c r="N500" s="231" t="inlineStr">
        <is>
          <t>Obligatoire sous conditions</t>
        </is>
      </c>
      <c r="O500" s="236" t="inlineStr">
        <is>
          <t>Mandatory under conditions</t>
        </is>
      </c>
      <c r="P500" s="269" t="inlineStr">
        <is>
          <t>LC.0354</t>
        </is>
      </c>
      <c r="Q500" s="269" t="inlineStr">
        <is>
          <t xml:space="preserve">TA Z8MRESTR </t>
        </is>
      </c>
      <c r="R500" s="241" t="inlineStr">
        <is>
          <t>NA</t>
        </is>
      </c>
      <c r="S500" s="233" t="inlineStr">
        <is>
          <t>NA</t>
        </is>
      </c>
      <c r="T500" s="313" t="inlineStr">
        <is>
          <t>ALPHA</t>
        </is>
      </c>
      <c r="U500" s="237" t="inlineStr">
        <is>
          <t>NA</t>
        </is>
      </c>
      <c r="V500" s="238" t="inlineStr">
        <is>
          <t>NA</t>
        </is>
      </c>
      <c r="W500" s="257" t="n">
        <v>2</v>
      </c>
      <c r="X500" s="945" t="inlineStr">
        <is>
          <t>NA</t>
        </is>
      </c>
      <c r="Y500" s="237" t="n">
        <v>43</v>
      </c>
      <c r="Z500" s="237" t="inlineStr">
        <is>
          <t>NA</t>
        </is>
      </c>
      <c r="AA500" s="239" t="inlineStr">
        <is>
          <t>NA</t>
        </is>
      </c>
      <c r="AB500" s="636" t="inlineStr">
        <is>
          <t>ASTRE</t>
        </is>
      </c>
      <c r="AC500" s="231" t="inlineStr">
        <is>
          <t>ND</t>
        </is>
      </c>
      <c r="AD500" s="257" t="inlineStr">
        <is>
          <t>N</t>
        </is>
      </c>
      <c r="AE500" s="1401" t="inlineStr">
        <is>
          <t>TRE2 à 4XX hors 203,205,206,207
TRE5XX</t>
        </is>
      </c>
      <c r="AF500" s="257" t="inlineStr">
        <is>
          <t>NA</t>
        </is>
      </c>
      <c r="AG500" s="258" t="inlineStr">
        <is>
          <t>NA</t>
        </is>
      </c>
      <c r="AH500" s="89" t="n"/>
      <c r="AI500" s="316" t="inlineStr">
        <is>
          <t>La donnée est obligatoire si le type de risque [P1 2.0] = 'TRE2xx' à 'TRE5xx', hors (TRE201,TRE203,TRE205, TRE206, TRE207) et si le statut du crédit au sens de la forbearance [P1 21.5] = '1' ou '2'</t>
        </is>
      </c>
      <c r="AJ500" s="317" t="inlineStr">
        <is>
          <t>The data is mandatory if Risk type [P1 2.0] = 'TRE2xx' to 'TRE5xx', out (TRE201, TRE203, TRE205, TRE206, TRE207) and the Credit status for Forbearance [P1 21.5] = '1' or '2'</t>
        </is>
      </c>
      <c r="AK500" s="257" t="n">
        <v>5</v>
      </c>
      <c r="AL500" s="366" t="inlineStr">
        <is>
          <t>TPS0846</t>
        </is>
      </c>
      <c r="AM500" s="452" t="inlineStr">
        <is>
          <t>Si elle est renseignée, la valeur doit être connue du Langage Commun associé</t>
        </is>
      </c>
      <c r="AN500" s="377" t="inlineStr">
        <is>
          <t>If specified, the value must be known to the associated Common Language</t>
        </is>
      </c>
      <c r="AO500" s="257" t="n">
        <v>7</v>
      </c>
      <c r="AP500" s="212" t="inlineStr">
        <is>
          <t>TIG0001</t>
        </is>
      </c>
      <c r="AQ500" s="318" t="n"/>
      <c r="AR500" s="317" t="n"/>
      <c r="AS500" s="257" t="n"/>
      <c r="AT500" s="258" t="n"/>
      <c r="AU500" s="318" t="n"/>
      <c r="AV500" s="317" t="n"/>
      <c r="AW500" s="257" t="n"/>
      <c r="AX500" s="258" t="n"/>
      <c r="AY500" s="318" t="n"/>
      <c r="AZ500" s="317" t="n"/>
      <c r="BA500" s="257" t="n"/>
      <c r="BB500" s="258" t="n"/>
      <c r="BC500" s="316" t="n"/>
      <c r="BD500" s="317" t="n"/>
      <c r="BE500" s="257" t="n"/>
      <c r="BF500" s="258" t="n"/>
      <c r="BG500" s="89" t="n"/>
      <c r="BH5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00">
        <f>_xlfn.LET(r,ROW(),oc,INDEX($A:$A,r),cv,TRIM(INDEX($Y:$Y,r)&amp;""),IF(oc&lt;&gt;"P1","",IF(cv="45","V45 - novo, nao alimentado pelo spool atual","V44 - alimentado pelo spool atual")))</f>
        <v/>
      </c>
    </row>
    <row r="501" ht="54" customFormat="1" customHeight="1" s="57">
      <c r="A501" s="325" t="inlineStr">
        <is>
          <t>P1</t>
        </is>
      </c>
      <c r="B501" s="326" t="n">
        <v>266</v>
      </c>
      <c r="C501" s="284" t="inlineStr">
        <is>
          <t>NA</t>
        </is>
      </c>
      <c r="D501" s="284" t="inlineStr">
        <is>
          <t>NA</t>
        </is>
      </c>
      <c r="E501" s="326" t="inlineStr">
        <is>
          <t>P1 21.99</t>
        </is>
      </c>
      <c r="F501" s="327" t="inlineStr">
        <is>
          <t>Filler</t>
        </is>
      </c>
      <c r="G501" s="327" t="inlineStr">
        <is>
          <t>Filler</t>
        </is>
      </c>
      <c r="H501" s="1493">
        <f>"RPAD( "&amp;SUBSTITUTE(SUBSTITUTE(E501," ","_"),".","_")&amp;","&amp;W501&amp;",' '); -- "&amp;E501</f>
        <v/>
      </c>
      <c r="I501" s="247" t="inlineStr">
        <is>
          <t>Zone libre</t>
        </is>
      </c>
      <c r="J501" s="327" t="inlineStr">
        <is>
          <t>Free zone</t>
        </is>
      </c>
      <c r="K501" s="388" t="inlineStr">
        <is>
          <t>NA</t>
        </is>
      </c>
      <c r="L501" s="388" t="inlineStr">
        <is>
          <t>NA</t>
        </is>
      </c>
      <c r="M501" s="1421" t="inlineStr">
        <is>
          <t>ZoneLibre21</t>
        </is>
      </c>
      <c r="N501" s="284" t="inlineStr">
        <is>
          <t>NA</t>
        </is>
      </c>
      <c r="O501" s="284" t="inlineStr">
        <is>
          <t>NA</t>
        </is>
      </c>
      <c r="P501" s="284" t="inlineStr">
        <is>
          <t>NA</t>
        </is>
      </c>
      <c r="Q501" s="284" t="inlineStr">
        <is>
          <t>NA</t>
        </is>
      </c>
      <c r="R501" s="247" t="inlineStr">
        <is>
          <t>Laisser à vide</t>
        </is>
      </c>
      <c r="S501" s="247" t="inlineStr">
        <is>
          <t>Leave empty</t>
        </is>
      </c>
      <c r="T501" s="326" t="inlineStr">
        <is>
          <t>ALPHA</t>
        </is>
      </c>
      <c r="U501" s="248" t="inlineStr">
        <is>
          <t>NA</t>
        </is>
      </c>
      <c r="V501" s="248" t="inlineStr">
        <is>
          <t>NA</t>
        </is>
      </c>
      <c r="W501" s="284" t="n">
        <v>2</v>
      </c>
      <c r="X501" s="244" t="inlineStr">
        <is>
          <t>NA</t>
        </is>
      </c>
      <c r="Y501" s="248" t="inlineStr">
        <is>
          <t>NA</t>
        </is>
      </c>
      <c r="Z501" s="248" t="inlineStr">
        <is>
          <t>NA</t>
        </is>
      </c>
      <c r="AA501" s="249" t="inlineStr">
        <is>
          <t>NA</t>
        </is>
      </c>
      <c r="AB501" s="284" t="inlineStr">
        <is>
          <t>NA</t>
        </is>
      </c>
      <c r="AC501" s="244" t="inlineStr">
        <is>
          <t>NA</t>
        </is>
      </c>
      <c r="AD501" s="284" t="inlineStr">
        <is>
          <t>N</t>
        </is>
      </c>
      <c r="AE501" s="284" t="inlineStr">
        <is>
          <t>NA</t>
        </is>
      </c>
      <c r="AF501" s="284" t="inlineStr">
        <is>
          <t>NA</t>
        </is>
      </c>
      <c r="AG501" s="285" t="inlineStr">
        <is>
          <t>NA</t>
        </is>
      </c>
      <c r="AH501" s="89" t="n"/>
      <c r="AI501" s="330" t="n"/>
      <c r="AJ501" s="331" t="n"/>
      <c r="AK501" s="284" t="n"/>
      <c r="AL501" s="285" t="n"/>
      <c r="AM501" s="331" t="n"/>
      <c r="AN501" s="331" t="n"/>
      <c r="AO501" s="284" t="n"/>
      <c r="AP501" s="285" t="n"/>
      <c r="AQ501" s="331" t="n"/>
      <c r="AR501" s="331" t="n"/>
      <c r="AS501" s="284" t="n"/>
      <c r="AT501" s="285" t="n"/>
      <c r="AU501" s="331" t="n"/>
      <c r="AV501" s="331" t="n"/>
      <c r="AW501" s="284" t="n"/>
      <c r="AX501" s="285" t="n"/>
      <c r="AY501" s="331" t="n"/>
      <c r="AZ501" s="331" t="n"/>
      <c r="BA501" s="284" t="n"/>
      <c r="BB501" s="285" t="n"/>
      <c r="BC501" s="330" t="n"/>
      <c r="BD501" s="331" t="n"/>
      <c r="BE501" s="284" t="n"/>
      <c r="BF501" s="285" t="n"/>
      <c r="BG501" s="89" t="n"/>
      <c r="BH5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01">
        <f>_xlfn.LET(r,ROW(),oc,INDEX($A:$A,r),cv,TRIM(INDEX($Y:$Y,r)&amp;""),IF(oc&lt;&gt;"P1","",IF(cv="45","V45 - novo, nao alimentado pelo spool atual","V44 - alimentado pelo spool atual")))</f>
        <v/>
      </c>
    </row>
    <row r="502" ht="54" customFormat="1" customHeight="1" s="91">
      <c r="A502" s="306" t="inlineStr">
        <is>
          <t>P1</t>
        </is>
      </c>
      <c r="B502" s="307" t="n">
        <v>267</v>
      </c>
      <c r="C502" s="269" t="inlineStr">
        <is>
          <t>06 - Caractéristiques échéancier</t>
        </is>
      </c>
      <c r="D502" s="236" t="inlineStr">
        <is>
          <t>06 - Schedule characteristics</t>
        </is>
      </c>
      <c r="E502" s="307" t="inlineStr">
        <is>
          <t>P1 22.56</t>
        </is>
      </c>
      <c r="F502" s="1251" t="inlineStr">
        <is>
          <t xml:space="preserve">Indicateur produit échéancé </t>
        </is>
      </c>
      <c r="G502" s="309" t="inlineStr">
        <is>
          <t>Indicator product schedule</t>
        </is>
      </c>
      <c r="H502" s="1493">
        <f>"RPAD( "&amp;SUBSTITUTE(SUBSTITUTE(E502," ","_"),".","_")&amp;","&amp;W502&amp;",' '); -- "&amp;E502</f>
        <v/>
      </c>
      <c r="I502" s="278" t="inlineStr">
        <is>
          <t>Indique si le produit fait ou ne fait pas l'objet d'un échéancement</t>
        </is>
      </c>
      <c r="J502" s="581" t="inlineStr">
        <is>
          <t>Indicates if the product has or not one or many schedules</t>
        </is>
      </c>
      <c r="K502" s="370" t="inlineStr">
        <is>
          <t>ND</t>
        </is>
      </c>
      <c r="L502" s="371" t="inlineStr">
        <is>
          <t>ND</t>
        </is>
      </c>
      <c r="M502" s="1420" t="inlineStr">
        <is>
          <t>cdProdEchea</t>
        </is>
      </c>
      <c r="N502" s="257" t="inlineStr">
        <is>
          <t>Obligatoire</t>
        </is>
      </c>
      <c r="O502" s="236" t="inlineStr">
        <is>
          <t>Mandatory</t>
        </is>
      </c>
      <c r="P502" s="269" t="inlineStr">
        <is>
          <t>LC.0256</t>
        </is>
      </c>
      <c r="Q502" s="269" t="inlineStr">
        <is>
          <t>TA KVIPE</t>
        </is>
      </c>
      <c r="R502" s="1249" t="inlineStr">
        <is>
          <t>Pour les types de risques (TRE2XX à 4XX et TRE5XX), si encours de type arriéré de paiement, renseigner l'indicateur à 'NEC'.
Un produit est dit "échéancé" s'il a au moins une échéance (i.e. cas des remboursements linéaire , montant constant, in fine, etc.).
Cette donnée permet d'identifier les produits pour lesquels un échéancier doit être associé (calculé en central ou fourni). Les produits non échéancés sont ceux pour lesquels aucun tableau d'amortissement n'est requis (exemple : les découverts). Dans ce cas, ces produits seront traitées par défaut comme In fine sur la base de la date de fin d'engagement</t>
        </is>
      </c>
      <c r="S502" s="233" t="inlineStr">
        <is>
          <t>For risk types (TRE2XX to 4XX and TRE5XX), if type overdue payment outstanding, fill in the indicator to 'NEC'.
A product is said to be "scheduled" if it has at least one term (with amortizing method that could be linear, constant installment, in fine, etc. ).
This data allows to identify the products for which a schedule must be associated (calculated at central level or provided by entity). There some products for which no amortization schedule is required (eg overdrafts). In this case, these products will be treated by default as "In fine" based on the end date of commitment</t>
        </is>
      </c>
      <c r="T502" s="313" t="inlineStr">
        <is>
          <t>ALPHA</t>
        </is>
      </c>
      <c r="U502" s="237" t="inlineStr">
        <is>
          <t>NA</t>
        </is>
      </c>
      <c r="V502" s="238" t="inlineStr">
        <is>
          <t>NA</t>
        </is>
      </c>
      <c r="W502" s="257" t="n">
        <v>3</v>
      </c>
      <c r="X502" s="945" t="inlineStr">
        <is>
          <t>NA</t>
        </is>
      </c>
      <c r="Y502" s="237" t="n">
        <v>41</v>
      </c>
      <c r="Z502" s="237" t="inlineStr">
        <is>
          <t>NA</t>
        </is>
      </c>
      <c r="AA502" s="978" t="inlineStr">
        <is>
          <t>45.00</t>
        </is>
      </c>
      <c r="AB502" s="932" t="inlineStr">
        <is>
          <t>AER, ANACREDIT, CORFOU, LIQUIDITE, OMP</t>
        </is>
      </c>
      <c r="AC502" s="231" t="inlineStr">
        <is>
          <t>ND</t>
        </is>
      </c>
      <c r="AD502" s="257" t="inlineStr">
        <is>
          <t>N</t>
        </is>
      </c>
      <c r="AE502" s="971" t="inlineStr">
        <is>
          <t>EQU101
EQU201
ISS100
ISS200 et 300
TRE100
TRE2 à 4XX hors 203,205,206,207
TRE203, 205, 207
TRE206
TRE5XX
SIG
VAR*
INT</t>
        </is>
      </c>
      <c r="AF502" s="257" t="inlineStr">
        <is>
          <t>NA</t>
        </is>
      </c>
      <c r="AG502" s="258" t="inlineStr">
        <is>
          <t>NA</t>
        </is>
      </c>
      <c r="AH502" s="89" t="n"/>
      <c r="AI502" s="316" t="inlineStr">
        <is>
          <t>La donnée est obligatoire</t>
        </is>
      </c>
      <c r="AJ502" s="317" t="inlineStr">
        <is>
          <t>The data is mandatory</t>
        </is>
      </c>
      <c r="AK502" s="257" t="n">
        <v>6</v>
      </c>
      <c r="AL502" s="335" t="inlineStr">
        <is>
          <t>TPG0001</t>
        </is>
      </c>
      <c r="AM502" s="318" t="inlineStr">
        <is>
          <t>Si elle est renseignée, la valeur doit être connue du Langage Commun associé</t>
        </is>
      </c>
      <c r="AN502" s="317" t="inlineStr">
        <is>
          <t>If specified, the value must be known to the associated Common Language</t>
        </is>
      </c>
      <c r="AO502" s="257" t="n">
        <v>7</v>
      </c>
      <c r="AP502" s="212" t="inlineStr">
        <is>
          <t>TIG0001</t>
        </is>
      </c>
      <c r="AQ502" s="318" t="n"/>
      <c r="AR502" s="317" t="n"/>
      <c r="AS502" s="257" t="n"/>
      <c r="AT502" s="258" t="n"/>
      <c r="AU502" s="318" t="n"/>
      <c r="AV502" s="317" t="n"/>
      <c r="AW502" s="257" t="n"/>
      <c r="AX502" s="258" t="n"/>
      <c r="AY502" s="318" t="n"/>
      <c r="AZ502" s="317" t="n"/>
      <c r="BA502" s="257" t="n"/>
      <c r="BB502" s="258" t="n"/>
      <c r="BC502" s="316" t="n"/>
      <c r="BD502" s="317" t="n"/>
      <c r="BE502" s="257" t="n"/>
      <c r="BF502" s="258" t="n"/>
      <c r="BG502" s="89" t="n"/>
      <c r="BH5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02">
        <f>_xlfn.LET(r,ROW(),oc,INDEX($A:$A,r),cv,TRIM(INDEX($Y:$Y,r)&amp;""),IF(oc&lt;&gt;"P1","",IF(cv="45","V45 - novo, nao alimentado pelo spool atual","V44 - alimentado pelo spool atual")))</f>
        <v/>
      </c>
    </row>
    <row r="503" ht="54" customFormat="1" customHeight="1" s="91">
      <c r="A503" s="306" t="inlineStr">
        <is>
          <t>P1</t>
        </is>
      </c>
      <c r="B503" s="307" t="n">
        <v>268</v>
      </c>
      <c r="C503" s="269" t="inlineStr">
        <is>
          <t>23 - Caractéristiques palier</t>
        </is>
      </c>
      <c r="D503" s="236" t="inlineStr">
        <is>
          <t>23 - Stage characteristics</t>
        </is>
      </c>
      <c r="E503" s="307" t="inlineStr">
        <is>
          <t>P1 22.57</t>
        </is>
      </c>
      <c r="F503" s="308" t="inlineStr">
        <is>
          <t>Indicateur objet métier palier fourni</t>
        </is>
      </c>
      <c r="G503" s="309" t="inlineStr">
        <is>
          <t>Indicator of business object stage provided</t>
        </is>
      </c>
      <c r="H503" s="1493">
        <f>"RPAD( "&amp;SUBSTITUTE(SUBSTITUTE(E503," ","_"),".","_")&amp;","&amp;W503&amp;",' '); -- "&amp;E503</f>
        <v/>
      </c>
      <c r="I503" s="241" t="inlineStr">
        <is>
          <t>Indicateur permettant d'indiquer que les données nécessaires au calcul de l'échéancier à date sont reportées dans l'objet PALIER du flux échéancier C2RE.
Les caractéristiques permettant de reconstituer l'échéancier sont dans ce cas facultatif</t>
        </is>
      </c>
      <c r="J503" s="233" t="inlineStr">
        <is>
          <t>Indicator specifying that the data required to calculate repayment schedule to date is reported in the STAGE (PALIER) object of C2RE flow
In this case, the characteristics allowing to reconstitute the schedule are optional</t>
        </is>
      </c>
      <c r="K503" s="269" t="inlineStr">
        <is>
          <t>ND</t>
        </is>
      </c>
      <c r="L503" s="310" t="inlineStr">
        <is>
          <t>ND</t>
        </is>
      </c>
      <c r="M503" s="1420" t="inlineStr">
        <is>
          <t>IndicOMPalier</t>
        </is>
      </c>
      <c r="N503" s="257" t="inlineStr">
        <is>
          <t>Obligatoire sous conditions</t>
        </is>
      </c>
      <c r="O503" s="236" t="inlineStr">
        <is>
          <t>Mandatory under conditions</t>
        </is>
      </c>
      <c r="P503" s="269" t="inlineStr">
        <is>
          <t>LC.0250</t>
        </is>
      </c>
      <c r="Q503" s="269" t="inlineStr">
        <is>
          <t>TA KVIOMPAL</t>
        </is>
      </c>
      <c r="R503" s="241" t="inlineStr">
        <is>
          <t>NA</t>
        </is>
      </c>
      <c r="S503" s="233" t="inlineStr">
        <is>
          <t>NA</t>
        </is>
      </c>
      <c r="T503" s="313" t="inlineStr">
        <is>
          <t>ALPHA</t>
        </is>
      </c>
      <c r="U503" s="237" t="inlineStr">
        <is>
          <t>NA</t>
        </is>
      </c>
      <c r="V503" s="238" t="inlineStr">
        <is>
          <t>NA</t>
        </is>
      </c>
      <c r="W503" s="257" t="n">
        <v>1</v>
      </c>
      <c r="X503" s="945" t="inlineStr">
        <is>
          <t>NA</t>
        </is>
      </c>
      <c r="Y503" s="237" t="n">
        <v>41</v>
      </c>
      <c r="Z503" s="237" t="inlineStr">
        <is>
          <t>NA</t>
        </is>
      </c>
      <c r="AA503" s="283" t="inlineStr">
        <is>
          <t>NA</t>
        </is>
      </c>
      <c r="AB503" s="269" t="inlineStr">
        <is>
          <t>OMP, PALMA</t>
        </is>
      </c>
      <c r="AC503" s="231" t="inlineStr">
        <is>
          <t>ND</t>
        </is>
      </c>
      <c r="AD503" s="257" t="inlineStr">
        <is>
          <t>N</t>
        </is>
      </c>
      <c r="AE503" s="257" t="inlineStr">
        <is>
          <t xml:space="preserve">ISS200 et 300
TRE2 à 4XX hors 203,205,206,207
TRE5XX
SIG
VAR105 et 302
</t>
        </is>
      </c>
      <c r="AF503" s="257" t="inlineStr">
        <is>
          <t>NA</t>
        </is>
      </c>
      <c r="AG503" s="258" t="inlineStr">
        <is>
          <t>NA</t>
        </is>
      </c>
      <c r="AH503" s="89" t="n"/>
      <c r="AI503" s="439" t="inlineStr">
        <is>
          <t>La donnée est obligatoire si la donnée indicateur produit échéancé [P1 22.56] = 'ECH'</t>
        </is>
      </c>
      <c r="AJ503" s="317" t="inlineStr">
        <is>
          <t>The data is mandatory if the indicator product schedule [P1 22.56] = 'ECH'</t>
        </is>
      </c>
      <c r="AK503" s="269" t="n">
        <v>7</v>
      </c>
      <c r="AL503" s="366" t="inlineStr">
        <is>
          <t>TPS0847</t>
        </is>
      </c>
      <c r="AM503" s="452" t="inlineStr">
        <is>
          <t>Si elle est renseignée, la valeur doit être connue du Langage Commun associé</t>
        </is>
      </c>
      <c r="AN503" s="377" t="inlineStr">
        <is>
          <t>If specified, the value must be known to the associated Common Language</t>
        </is>
      </c>
      <c r="AO503" s="257" t="n">
        <v>7</v>
      </c>
      <c r="AP503" s="212" t="inlineStr">
        <is>
          <t>TIG0001</t>
        </is>
      </c>
      <c r="AQ503" s="318" t="n"/>
      <c r="AR503" s="317" t="n"/>
      <c r="AS503" s="257" t="n"/>
      <c r="AT503" s="258" t="n"/>
      <c r="AU503" s="318" t="n"/>
      <c r="AV503" s="317" t="n"/>
      <c r="AW503" s="257" t="n"/>
      <c r="AX503" s="258" t="n"/>
      <c r="AY503" s="582" t="inlineStr">
        <is>
          <t>Si la valeur renseignée est 'Y', il existe au moins un enregistrement de même identifiant (1.11 (P1) Identifiant de l'engagement) dans l'objet métier palier E0</t>
        </is>
      </c>
      <c r="AZ503" s="489" t="inlineStr">
        <is>
          <t xml:space="preserve">If the value filled is 'Y', there is at least one record linked with the same identifier (1.11 (P1) Commitment identifier) in the stage business object E0 </t>
        </is>
      </c>
      <c r="BA503" s="583" t="n">
        <v>6</v>
      </c>
      <c r="BB503" s="584" t="inlineStr">
        <is>
          <t>TC1789</t>
        </is>
      </c>
      <c r="BC503" s="316" t="n"/>
      <c r="BD503" s="317" t="n"/>
      <c r="BE503" s="257" t="n"/>
      <c r="BF503" s="258" t="n"/>
      <c r="BG503" s="89" t="n"/>
      <c r="BH5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03">
        <f>_xlfn.LET(r,ROW(),oc,INDEX($A:$A,r),cv,TRIM(INDEX($Y:$Y,r)&amp;""),IF(oc&lt;&gt;"P1","",IF(cv="45","V45 - novo, nao alimentado pelo spool atual","V44 - alimentado pelo spool atual")))</f>
        <v/>
      </c>
    </row>
    <row r="504" ht="54" customFormat="1" customHeight="1" s="91">
      <c r="A504" s="306" t="inlineStr">
        <is>
          <t>P1</t>
        </is>
      </c>
      <c r="B504" s="307" t="n">
        <v>269</v>
      </c>
      <c r="C504" s="269" t="inlineStr">
        <is>
          <t>02 - Caractéristiques d'identification fonctionnelles</t>
        </is>
      </c>
      <c r="D504" s="236" t="inlineStr">
        <is>
          <t>02 - Functional identification characteristics</t>
        </is>
      </c>
      <c r="E504" s="307" t="inlineStr">
        <is>
          <t>P1 22.1</t>
        </is>
      </c>
      <c r="F504" s="495" t="inlineStr">
        <is>
          <t>Référence unique du contrat</t>
        </is>
      </c>
      <c r="G504" s="309" t="inlineStr">
        <is>
          <t>Unique contract reference</t>
        </is>
      </c>
      <c r="H504" s="1493">
        <f>"RPAD( "&amp;SUBSTITUTE(SUBSTITUTE(E504," ","_"),".","_")&amp;","&amp;W504&amp;",' '); -- "&amp;E504</f>
        <v/>
      </c>
      <c r="I504" s="241" t="inlineStr">
        <is>
          <t>Référence Unique du contrat dans le système de gestion source de l'entité</t>
        </is>
      </c>
      <c r="J504" s="309" t="inlineStr">
        <is>
          <t>Unique contract reference in the local management IT system of the issuing entity</t>
        </is>
      </c>
      <c r="K504" s="370" t="inlineStr">
        <is>
          <t>ND</t>
        </is>
      </c>
      <c r="L504" s="371" t="inlineStr">
        <is>
          <t>ND</t>
        </is>
      </c>
      <c r="M504" s="1420" t="inlineStr">
        <is>
          <t>cdCt</t>
        </is>
      </c>
      <c r="N504" s="257" t="inlineStr">
        <is>
          <t>Obligatoire</t>
        </is>
      </c>
      <c r="O504" s="236" t="inlineStr">
        <is>
          <t>Mandatory</t>
        </is>
      </c>
      <c r="P504" s="269" t="inlineStr">
        <is>
          <t>NA</t>
        </is>
      </c>
      <c r="Q504" s="269" t="inlineStr">
        <is>
          <t>NA</t>
        </is>
      </c>
      <c r="R504" s="241" t="inlineStr">
        <is>
          <t>NA</t>
        </is>
      </c>
      <c r="S504" s="233" t="inlineStr">
        <is>
          <t>NA</t>
        </is>
      </c>
      <c r="T504" s="313" t="inlineStr">
        <is>
          <t>ALPHA</t>
        </is>
      </c>
      <c r="U504" s="237" t="inlineStr">
        <is>
          <t>NA</t>
        </is>
      </c>
      <c r="V504" s="238" t="inlineStr">
        <is>
          <t>NA</t>
        </is>
      </c>
      <c r="W504" s="257" t="n">
        <v>40</v>
      </c>
      <c r="X504" s="945" t="inlineStr">
        <is>
          <t>NA</t>
        </is>
      </c>
      <c r="Y504" s="237" t="n">
        <v>41</v>
      </c>
      <c r="Z504" s="237" t="inlineStr">
        <is>
          <t>NA</t>
        </is>
      </c>
      <c r="AA504" s="237" t="inlineStr">
        <is>
          <t>45.00</t>
        </is>
      </c>
      <c r="AB504" s="932" t="inlineStr">
        <is>
          <t>ANACREDIT, CONGLOMERATS, LIQUIDITE, LOAN TAPE, MREL, NPE, NZBA, OMP, PALMA, SRB VALUATION</t>
        </is>
      </c>
      <c r="AC504" s="231" t="inlineStr">
        <is>
          <t>ND</t>
        </is>
      </c>
      <c r="AD504" s="257" t="inlineStr">
        <is>
          <t>N</t>
        </is>
      </c>
      <c r="AE504" s="971" t="inlineStr">
        <is>
          <t>EQU101
EQU201
ISS100
ISS200 et 300
TRE100
TRE2 à 4XX hors 203,205,206,207
TRE203, 205, 207
TRE206
TRE5XX
SIG
VAR*
INT</t>
        </is>
      </c>
      <c r="AF504" s="257" t="inlineStr">
        <is>
          <t>NA</t>
        </is>
      </c>
      <c r="AG504" s="258" t="inlineStr">
        <is>
          <t>NA</t>
        </is>
      </c>
      <c r="AH504" s="89" t="n"/>
      <c r="AI504" s="316" t="inlineStr">
        <is>
          <t>La donnée est obligatoire</t>
        </is>
      </c>
      <c r="AJ504" s="317" t="inlineStr">
        <is>
          <t>The data is mandatory</t>
        </is>
      </c>
      <c r="AK504" s="257" t="n">
        <v>6</v>
      </c>
      <c r="AL504" s="335" t="inlineStr">
        <is>
          <t>TPG0001</t>
        </is>
      </c>
      <c r="AM504" s="318" t="n"/>
      <c r="AN504" s="317" t="n"/>
      <c r="AO504" s="257" t="n"/>
      <c r="AP504" s="258" t="n"/>
      <c r="AQ504" s="318" t="n"/>
      <c r="AR504" s="317" t="n"/>
      <c r="AS504" s="257" t="n"/>
      <c r="AT504" s="258" t="n"/>
      <c r="AU504" s="318" t="n"/>
      <c r="AV504" s="317" t="n"/>
      <c r="AW504" s="257" t="n"/>
      <c r="AX504" s="258" t="n"/>
      <c r="AY504" s="318" t="n"/>
      <c r="AZ504" s="317" t="n"/>
      <c r="BA504" s="257" t="n"/>
      <c r="BB504" s="258" t="n"/>
      <c r="BC504" s="316" t="n"/>
      <c r="BD504" s="317" t="n"/>
      <c r="BE504" s="257" t="n"/>
      <c r="BF504" s="258" t="n"/>
      <c r="BG504" s="89" t="n"/>
      <c r="BH5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04">
        <f>_xlfn.LET(r,ROW(),oc,INDEX($A:$A,r),cv,TRIM(INDEX($Y:$Y,r)&amp;""),IF(oc&lt;&gt;"P1","",IF(cv="45","V45 - novo, nao alimentado pelo spool atual","V44 - alimentado pelo spool atual")))</f>
        <v/>
      </c>
    </row>
    <row r="505" ht="54" customFormat="1" customHeight="1" s="91">
      <c r="A505" s="306" t="inlineStr">
        <is>
          <t>P1</t>
        </is>
      </c>
      <c r="B505" s="307" t="n">
        <v>270</v>
      </c>
      <c r="C505" s="269" t="inlineStr">
        <is>
          <t>02 - Caractéristiques d'identification fonctionnelles</t>
        </is>
      </c>
      <c r="D505" s="236" t="inlineStr">
        <is>
          <t>02 - Functional identification characteristics</t>
        </is>
      </c>
      <c r="E505" s="307" t="inlineStr">
        <is>
          <t>P1 22.51</t>
        </is>
      </c>
      <c r="F505" s="409" t="inlineStr">
        <is>
          <t xml:space="preserve">Référence Unique de l'élément du contrat </t>
        </is>
      </c>
      <c r="G505" s="309" t="inlineStr">
        <is>
          <t>Unique contract element reference</t>
        </is>
      </c>
      <c r="H505" s="1493">
        <f>"RPAD( "&amp;SUBSTITUTE(SUBSTITUTE(E505," ","_"),".","_")&amp;","&amp;W505&amp;",' '); -- "&amp;E505</f>
        <v/>
      </c>
      <c r="I505" s="241" t="inlineStr">
        <is>
          <t>Référence Unique de l'élément du contrat dans le système de gestion source de l'entité
Correspond au niveau le plus fin du contrat</t>
        </is>
      </c>
      <c r="J505" s="309" t="inlineStr">
        <is>
          <t>Unique contract element reference in the local management IT system of the issuing entity
Contract's most detailed level</t>
        </is>
      </c>
      <c r="K505" s="370" t="inlineStr">
        <is>
          <t>ND</t>
        </is>
      </c>
      <c r="L505" s="371" t="inlineStr">
        <is>
          <t>ND</t>
        </is>
      </c>
      <c r="M505" s="1420" t="inlineStr">
        <is>
          <t>cdEDC</t>
        </is>
      </c>
      <c r="N505" s="257" t="inlineStr">
        <is>
          <t>Obligatoire</t>
        </is>
      </c>
      <c r="O505" s="310" t="inlineStr">
        <is>
          <t>Mandatory</t>
        </is>
      </c>
      <c r="P505" s="269" t="inlineStr">
        <is>
          <t>NA</t>
        </is>
      </c>
      <c r="Q505" s="269" t="inlineStr">
        <is>
          <t>NA</t>
        </is>
      </c>
      <c r="R505" s="241" t="inlineStr">
        <is>
          <t>NA</t>
        </is>
      </c>
      <c r="S505" s="233" t="inlineStr">
        <is>
          <t>NA</t>
        </is>
      </c>
      <c r="T505" s="313" t="inlineStr">
        <is>
          <t>ALPHA</t>
        </is>
      </c>
      <c r="U505" s="237" t="inlineStr">
        <is>
          <t>NA</t>
        </is>
      </c>
      <c r="V505" s="238" t="inlineStr">
        <is>
          <t>NA</t>
        </is>
      </c>
      <c r="W505" s="257" t="n">
        <v>40</v>
      </c>
      <c r="X505" s="945" t="inlineStr">
        <is>
          <t>NA</t>
        </is>
      </c>
      <c r="Y505" s="237" t="n">
        <v>41</v>
      </c>
      <c r="Z505" s="237" t="inlineStr">
        <is>
          <t>NA</t>
        </is>
      </c>
      <c r="AA505" s="239" t="inlineStr">
        <is>
          <t>45.00</t>
        </is>
      </c>
      <c r="AB505" s="932" t="inlineStr">
        <is>
          <t>ANACREDIT, CONGLOMERATS, LIQUIDITE, LOAN TAPE, MREL, NPE, NZBA, OMP, SRB VALUATION</t>
        </is>
      </c>
      <c r="AC505" s="231" t="inlineStr">
        <is>
          <t>ND</t>
        </is>
      </c>
      <c r="AD505" s="257" t="inlineStr">
        <is>
          <t>N</t>
        </is>
      </c>
      <c r="AE505" s="971" t="inlineStr">
        <is>
          <t>EQU101
EQU201
ISS100
ISS200 et 300
TRE100
TRE2 à 4XX hors 203,205,206,207
TRE203, 205, 207
TRE206
TRE5XX
SIG
VAR*
INT</t>
        </is>
      </c>
      <c r="AF505" s="257" t="inlineStr">
        <is>
          <t>NA</t>
        </is>
      </c>
      <c r="AG505" s="258" t="inlineStr">
        <is>
          <t>NA</t>
        </is>
      </c>
      <c r="AH505" s="89" t="n"/>
      <c r="AI505" s="316" t="inlineStr">
        <is>
          <t>La donnée est obligatoire</t>
        </is>
      </c>
      <c r="AJ505" s="317" t="inlineStr">
        <is>
          <t>The data is mandatory</t>
        </is>
      </c>
      <c r="AK505" s="257" t="n">
        <v>6</v>
      </c>
      <c r="AL505" s="335" t="inlineStr">
        <is>
          <t>TPG0001</t>
        </is>
      </c>
      <c r="AM505" s="318" t="n"/>
      <c r="AN505" s="317" t="n"/>
      <c r="AO505" s="257" t="n"/>
      <c r="AP505" s="258" t="n"/>
      <c r="AQ505" s="318" t="n"/>
      <c r="AR505" s="317" t="n"/>
      <c r="AS505" s="257" t="n"/>
      <c r="AT505" s="258" t="n"/>
      <c r="AU505" s="318" t="n"/>
      <c r="AV505" s="317" t="n"/>
      <c r="AW505" s="257" t="n"/>
      <c r="AX505" s="258" t="n"/>
      <c r="AY505" s="318" t="n"/>
      <c r="AZ505" s="317" t="n"/>
      <c r="BA505" s="257" t="n"/>
      <c r="BB505" s="258" t="n"/>
      <c r="BC505" s="316" t="n"/>
      <c r="BD505" s="317" t="n"/>
      <c r="BE505" s="257" t="n"/>
      <c r="BF505" s="258" t="n"/>
      <c r="BG505" s="89" t="n"/>
      <c r="BH5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05">
        <f>_xlfn.LET(r,ROW(),oc,INDEX($A:$A,r),cv,TRIM(INDEX($Y:$Y,r)&amp;""),IF(oc&lt;&gt;"P1","",IF(cv="45","V45 - novo, nao alimentado pelo spool atual","V44 - alimentado pelo spool atual")))</f>
        <v/>
      </c>
    </row>
    <row r="506" ht="54" customFormat="1" customHeight="1" s="91">
      <c r="A506" s="306" t="inlineStr">
        <is>
          <t>P1</t>
        </is>
      </c>
      <c r="B506" s="307" t="n">
        <v>271</v>
      </c>
      <c r="C506" s="269" t="inlineStr">
        <is>
          <t>06 - Caractéristiques échéancier</t>
        </is>
      </c>
      <c r="D506" s="236" t="inlineStr">
        <is>
          <t>06 - Schedule characteristics</t>
        </is>
      </c>
      <c r="E506" s="307" t="inlineStr">
        <is>
          <t>P1 22.2</t>
        </is>
      </c>
      <c r="F506" s="308" t="inlineStr">
        <is>
          <t>Indicateur niveau de risque</t>
        </is>
      </c>
      <c r="G506" s="309" t="inlineStr">
        <is>
          <t>Risk level indicator</t>
        </is>
      </c>
      <c r="H506" s="1493">
        <f>"RPAD( "&amp;SUBSTITUTE(SUBSTITUTE(E506," ","_"),".","_")&amp;","&amp;W506&amp;",' '); -- "&amp;E506</f>
        <v/>
      </c>
      <c r="I506" s="241" t="inlineStr">
        <is>
          <t>Indicateur niveau de risque</t>
        </is>
      </c>
      <c r="J506" s="309" t="inlineStr">
        <is>
          <t>Risk level indicator</t>
        </is>
      </c>
      <c r="K506" s="370" t="inlineStr">
        <is>
          <t>ND</t>
        </is>
      </c>
      <c r="L506" s="371" t="inlineStr">
        <is>
          <t>ND</t>
        </is>
      </c>
      <c r="M506" s="1420" t="inlineStr">
        <is>
          <t>indNivRisq</t>
        </is>
      </c>
      <c r="N506" s="257" t="inlineStr">
        <is>
          <t>Facultatif</t>
        </is>
      </c>
      <c r="O506" s="236" t="inlineStr">
        <is>
          <t>Optional</t>
        </is>
      </c>
      <c r="P506" s="269" t="inlineStr">
        <is>
          <t>LC.0208</t>
        </is>
      </c>
      <c r="Q506" s="269" t="inlineStr">
        <is>
          <t>TA KVINRISK</t>
        </is>
      </c>
      <c r="R506" s="241" t="inlineStr">
        <is>
          <t>NA</t>
        </is>
      </c>
      <c r="S506" s="233" t="inlineStr">
        <is>
          <t>NA</t>
        </is>
      </c>
      <c r="T506" s="313" t="inlineStr">
        <is>
          <t>ALPHA</t>
        </is>
      </c>
      <c r="U506" s="237" t="inlineStr">
        <is>
          <t>NA</t>
        </is>
      </c>
      <c r="V506" s="238" t="inlineStr">
        <is>
          <t>NA</t>
        </is>
      </c>
      <c r="W506" s="257" t="n">
        <v>1</v>
      </c>
      <c r="X506" s="945" t="inlineStr">
        <is>
          <t>NA</t>
        </is>
      </c>
      <c r="Y506" s="237" t="n">
        <v>41</v>
      </c>
      <c r="Z506" s="237" t="inlineStr">
        <is>
          <t>NA</t>
        </is>
      </c>
      <c r="AA506" s="270" t="inlineStr">
        <is>
          <t>NA</t>
        </is>
      </c>
      <c r="AB506" s="1286" t="inlineStr">
        <is>
          <t>CALCULS PRUDENTIELS</t>
        </is>
      </c>
      <c r="AC506" s="231" t="inlineStr">
        <is>
          <t>ND</t>
        </is>
      </c>
      <c r="AD506" s="257" t="inlineStr">
        <is>
          <t>N</t>
        </is>
      </c>
      <c r="AE506" s="257" t="inlineStr">
        <is>
          <t xml:space="preserve">SIG
</t>
        </is>
      </c>
      <c r="AF506" s="257" t="inlineStr">
        <is>
          <t>NA</t>
        </is>
      </c>
      <c r="AG506" s="258" t="inlineStr">
        <is>
          <t>NA</t>
        </is>
      </c>
      <c r="AH506" s="89" t="n"/>
      <c r="AI506" s="316" t="n"/>
      <c r="AJ506" s="317" t="n"/>
      <c r="AK506" s="257" t="n"/>
      <c r="AL506" s="258" t="n"/>
      <c r="AM506" s="318" t="inlineStr">
        <is>
          <t>Si elle est renseignée, la valeur doit être connue du Langage Commun associé</t>
        </is>
      </c>
      <c r="AN506" s="317" t="inlineStr">
        <is>
          <t>If specified, the value must be known to the associated Common Language</t>
        </is>
      </c>
      <c r="AO506" s="257" t="n">
        <v>7</v>
      </c>
      <c r="AP506" s="212" t="inlineStr">
        <is>
          <t>TIG0001</t>
        </is>
      </c>
      <c r="AQ506" s="318" t="n"/>
      <c r="AR506" s="317" t="n"/>
      <c r="AS506" s="257" t="n"/>
      <c r="AT506" s="258" t="n"/>
      <c r="AU506" s="318" t="n"/>
      <c r="AV506" s="317" t="n"/>
      <c r="AW506" s="257" t="n"/>
      <c r="AX506" s="258" t="n"/>
      <c r="AY506" s="318" t="n"/>
      <c r="AZ506" s="317" t="n"/>
      <c r="BA506" s="257" t="n"/>
      <c r="BB506" s="258" t="n"/>
      <c r="BC506" s="316" t="n"/>
      <c r="BD506" s="317" t="n"/>
      <c r="BE506" s="257" t="n"/>
      <c r="BF506" s="258" t="n"/>
      <c r="BG506" s="89" t="n"/>
      <c r="BH5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06">
        <f>_xlfn.LET(r,ROW(),oc,INDEX($A:$A,r),cv,TRIM(INDEX($Y:$Y,r)&amp;""),IF(oc&lt;&gt;"P1","",IF(cv="45","V45 - novo, nao alimentado pelo spool atual","V44 - alimentado pelo spool atual")))</f>
        <v/>
      </c>
    </row>
    <row r="507" ht="54" customFormat="1" customHeight="1" s="91">
      <c r="A507" s="306" t="inlineStr">
        <is>
          <t>P1</t>
        </is>
      </c>
      <c r="B507" s="307" t="n">
        <v>272</v>
      </c>
      <c r="C507" s="269" t="inlineStr">
        <is>
          <t>06 - Caractéristiques échéancier</t>
        </is>
      </c>
      <c r="D507" s="236" t="inlineStr">
        <is>
          <t>06 - Schedule characteristics</t>
        </is>
      </c>
      <c r="E507" s="307" t="inlineStr">
        <is>
          <t>P1 22.3</t>
        </is>
      </c>
      <c r="F507" s="1431" t="inlineStr">
        <is>
          <t>Famille de risque de l'opération couverte par l'engagement</t>
        </is>
      </c>
      <c r="G507" s="309" t="inlineStr">
        <is>
          <t>Risk family of the transaction covered by the commitment</t>
        </is>
      </c>
      <c r="H507" s="1493">
        <f>"RPAD( "&amp;SUBSTITUTE(SUBSTITUTE(E507," ","_"),".","_")&amp;","&amp;W507&amp;",' '); -- "&amp;E507</f>
        <v/>
      </c>
      <c r="I507" s="1434" t="inlineStr">
        <is>
          <t>Famille de risque de l'opération couverte par l'engagement de financement de garantie</t>
        </is>
      </c>
      <c r="J507" s="309" t="inlineStr">
        <is>
          <t>Risk family of the transaction covered by the financing guarantee commitment</t>
        </is>
      </c>
      <c r="K507" s="370" t="inlineStr">
        <is>
          <t>ND</t>
        </is>
      </c>
      <c r="L507" s="371" t="inlineStr">
        <is>
          <t>ND</t>
        </is>
      </c>
      <c r="M507" s="1420" t="inlineStr">
        <is>
          <t>cdFamilleRisqOpeEng</t>
        </is>
      </c>
      <c r="N507" s="1435" t="inlineStr">
        <is>
          <t>Facultatif</t>
        </is>
      </c>
      <c r="O507" s="999" t="inlineStr">
        <is>
          <t>Optional</t>
        </is>
      </c>
      <c r="P507" s="269" t="inlineStr">
        <is>
          <t>LC.0030</t>
        </is>
      </c>
      <c r="Q507" s="269" t="inlineStr">
        <is>
          <t>RB KVCDRISC</t>
        </is>
      </c>
      <c r="R507" s="241" t="inlineStr">
        <is>
          <t>NA</t>
        </is>
      </c>
      <c r="S507" s="233" t="inlineStr">
        <is>
          <t>NA</t>
        </is>
      </c>
      <c r="T507" s="313" t="inlineStr">
        <is>
          <t>ALPHA</t>
        </is>
      </c>
      <c r="U507" s="237" t="inlineStr">
        <is>
          <t>NA</t>
        </is>
      </c>
      <c r="V507" s="238" t="inlineStr">
        <is>
          <t>NA</t>
        </is>
      </c>
      <c r="W507" s="257" t="n">
        <v>4</v>
      </c>
      <c r="X507" s="945" t="inlineStr">
        <is>
          <t>NA</t>
        </is>
      </c>
      <c r="Y507" s="237" t="inlineStr">
        <is>
          <t>40</t>
        </is>
      </c>
      <c r="Z507" s="237" t="inlineStr">
        <is>
          <t>NA</t>
        </is>
      </c>
      <c r="AA507" s="283" t="inlineStr">
        <is>
          <t>45.00</t>
        </is>
      </c>
      <c r="AB507" s="932" t="inlineStr">
        <is>
          <t>USAGE ZP</t>
        </is>
      </c>
      <c r="AC507" s="231" t="inlineStr">
        <is>
          <t>ND</t>
        </is>
      </c>
      <c r="AD507" s="257" t="inlineStr">
        <is>
          <t>N</t>
        </is>
      </c>
      <c r="AE507" s="1401" t="inlineStr">
        <is>
          <t>SIG</t>
        </is>
      </c>
      <c r="AF507" s="257" t="inlineStr">
        <is>
          <t>NA</t>
        </is>
      </c>
      <c r="AG507" s="258" t="inlineStr">
        <is>
          <t>NA</t>
        </is>
      </c>
      <c r="AH507" s="89" t="n"/>
      <c r="AI507" s="1039" t="n"/>
      <c r="AJ507" s="931" t="n"/>
      <c r="AK507" s="958" t="n"/>
      <c r="AL507" s="1055" t="n"/>
      <c r="AM507" s="318" t="inlineStr">
        <is>
          <t>Si elle est renseignée, la valeur doit être connue du Langage Commun associé</t>
        </is>
      </c>
      <c r="AN507" s="317" t="inlineStr">
        <is>
          <t>If specified, the value must be known to the associated Common Language</t>
        </is>
      </c>
      <c r="AO507" s="257" t="n">
        <v>7</v>
      </c>
      <c r="AP507" s="212" t="inlineStr">
        <is>
          <t>TIG0001</t>
        </is>
      </c>
      <c r="AQ507" s="318" t="n"/>
      <c r="AR507" s="317" t="n"/>
      <c r="AS507" s="257" t="n"/>
      <c r="AT507" s="258" t="n"/>
      <c r="AU507" s="318" t="n"/>
      <c r="AV507" s="317" t="n"/>
      <c r="AW507" s="257" t="n"/>
      <c r="AX507" s="258" t="n"/>
      <c r="AY507" s="318" t="n"/>
      <c r="AZ507" s="317" t="n"/>
      <c r="BA507" s="257" t="n"/>
      <c r="BB507" s="258" t="n"/>
      <c r="BC507" s="316" t="n"/>
      <c r="BD507" s="317" t="n"/>
      <c r="BE507" s="257" t="n"/>
      <c r="BF507" s="258" t="n"/>
      <c r="BG507" s="89" t="n"/>
      <c r="BH5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07">
        <f>_xlfn.LET(r,ROW(),oc,INDEX($A:$A,r),cv,TRIM(INDEX($Y:$Y,r)&amp;""),IF(oc&lt;&gt;"P1","",IF(cv="45","V45 - novo, nao alimentado pelo spool atual","V44 - alimentado pelo spool atual")))</f>
        <v/>
      </c>
    </row>
    <row r="508" ht="54" customFormat="1" customHeight="1" s="57">
      <c r="A508" s="325" t="inlineStr">
        <is>
          <t>P1</t>
        </is>
      </c>
      <c r="B508" s="326" t="n">
        <v>273</v>
      </c>
      <c r="C508" s="284" t="inlineStr">
        <is>
          <t>02 - Caractéristiques d'identification fonctionnelles</t>
        </is>
      </c>
      <c r="D508" s="244" t="inlineStr">
        <is>
          <t>02 - Functional identification characteristics</t>
        </is>
      </c>
      <c r="E508" s="326" t="inlineStr">
        <is>
          <t>P1 22.4</t>
        </is>
      </c>
      <c r="F508" s="327" t="inlineStr">
        <is>
          <t>Zone libre (Ex Référence unique du contrat couvert)</t>
        </is>
      </c>
      <c r="G508" s="327" t="inlineStr">
        <is>
          <t>Free zone (Ex Unique reference of contract covered)</t>
        </is>
      </c>
      <c r="H508" s="1493">
        <f>"RPAD( "&amp;SUBSTITUTE(SUBSTITUTE(E508," ","_"),".","_")&amp;","&amp;W508&amp;",' '); -- "&amp;E508</f>
        <v/>
      </c>
      <c r="I508" s="245" t="inlineStr">
        <is>
          <t xml:space="preserve">Référence unique du contrat couvert par la garantie donnée </t>
        </is>
      </c>
      <c r="J508" s="327" t="inlineStr">
        <is>
          <t xml:space="preserve">Unique reference of the contract covered by the guarantee given </t>
        </is>
      </c>
      <c r="K508" s="328" t="inlineStr">
        <is>
          <t>NA</t>
        </is>
      </c>
      <c r="L508" s="328" t="inlineStr">
        <is>
          <t>NA</t>
        </is>
      </c>
      <c r="M508" s="1421" t="inlineStr">
        <is>
          <t>ZoneLibre22_4</t>
        </is>
      </c>
      <c r="N508" s="284" t="inlineStr">
        <is>
          <t>NA</t>
        </is>
      </c>
      <c r="O508" s="284" t="inlineStr">
        <is>
          <t>NA</t>
        </is>
      </c>
      <c r="P508" s="284" t="inlineStr">
        <is>
          <t>NA</t>
        </is>
      </c>
      <c r="Q508" s="284" t="inlineStr">
        <is>
          <t>NA</t>
        </is>
      </c>
      <c r="R508" s="245" t="inlineStr">
        <is>
          <t>NA</t>
        </is>
      </c>
      <c r="S508" s="245" t="inlineStr">
        <is>
          <t>NA</t>
        </is>
      </c>
      <c r="T508" s="326" t="inlineStr">
        <is>
          <t>ALPHA</t>
        </is>
      </c>
      <c r="U508" s="248" t="inlineStr">
        <is>
          <t>NA</t>
        </is>
      </c>
      <c r="V508" s="248" t="inlineStr">
        <is>
          <t>NA</t>
        </is>
      </c>
      <c r="W508" s="284" t="n">
        <v>40</v>
      </c>
      <c r="X508" s="244" t="inlineStr">
        <is>
          <t>NA</t>
        </is>
      </c>
      <c r="Y508" s="248" t="inlineStr">
        <is>
          <t>NA</t>
        </is>
      </c>
      <c r="Z508" s="248" t="inlineStr">
        <is>
          <t>NA</t>
        </is>
      </c>
      <c r="AA508" s="248" t="inlineStr">
        <is>
          <t>NA</t>
        </is>
      </c>
      <c r="AB508" s="284" t="inlineStr">
        <is>
          <t>NA</t>
        </is>
      </c>
      <c r="AC508" s="244" t="inlineStr">
        <is>
          <t>NA</t>
        </is>
      </c>
      <c r="AD508" s="284" t="inlineStr">
        <is>
          <t>N</t>
        </is>
      </c>
      <c r="AE508" s="284" t="inlineStr">
        <is>
          <t>NA</t>
        </is>
      </c>
      <c r="AF508" s="284" t="inlineStr">
        <is>
          <t>NA</t>
        </is>
      </c>
      <c r="AG508" s="285" t="inlineStr">
        <is>
          <t>NA</t>
        </is>
      </c>
      <c r="AH508" s="89" t="n"/>
      <c r="AI508" s="330" t="n"/>
      <c r="AJ508" s="331" t="n"/>
      <c r="AK508" s="284" t="n"/>
      <c r="AL508" s="285" t="n"/>
      <c r="AM508" s="331" t="n"/>
      <c r="AN508" s="331" t="n"/>
      <c r="AO508" s="284" t="n"/>
      <c r="AP508" s="285" t="n"/>
      <c r="AQ508" s="331" t="n"/>
      <c r="AR508" s="331" t="n"/>
      <c r="AS508" s="284" t="n"/>
      <c r="AT508" s="285" t="n"/>
      <c r="AU508" s="331" t="n"/>
      <c r="AV508" s="331" t="n"/>
      <c r="AW508" s="284" t="n"/>
      <c r="AX508" s="285" t="n"/>
      <c r="AY508" s="331" t="n"/>
      <c r="AZ508" s="331" t="n"/>
      <c r="BA508" s="284" t="n"/>
      <c r="BB508" s="285" t="n"/>
      <c r="BC508" s="330" t="n"/>
      <c r="BD508" s="331" t="n"/>
      <c r="BE508" s="284" t="n"/>
      <c r="BF508" s="285" t="n"/>
      <c r="BG508" s="89" t="n"/>
      <c r="BH5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08">
        <f>_xlfn.LET(r,ROW(),oc,INDEX($A:$A,r),cv,TRIM(INDEX($Y:$Y,r)&amp;""),IF(oc&lt;&gt;"P1","",IF(cv="45","V45 - novo, nao alimentado pelo spool atual","V44 - alimentado pelo spool atual")))</f>
        <v/>
      </c>
    </row>
    <row r="509" ht="54" customFormat="1" customHeight="1" s="91">
      <c r="A509" s="306" t="inlineStr">
        <is>
          <t>P1</t>
        </is>
      </c>
      <c r="B509" s="307" t="n">
        <v>274</v>
      </c>
      <c r="C509" s="269" t="inlineStr">
        <is>
          <t>06 - Caractéristiques échéancier</t>
        </is>
      </c>
      <c r="D509" s="236" t="inlineStr">
        <is>
          <t>06 - Schedule characteristics</t>
        </is>
      </c>
      <c r="E509" s="307" t="inlineStr">
        <is>
          <t>P1 22.5</t>
        </is>
      </c>
      <c r="F509" s="375" t="inlineStr">
        <is>
          <t>Note finale retenue à l'origine</t>
        </is>
      </c>
      <c r="G509" s="309" t="inlineStr">
        <is>
          <t>Assigned initial final rating</t>
        </is>
      </c>
      <c r="H509" s="1493">
        <f>"RPAD( "&amp;SUBSTITUTE(SUBSTITUTE(E509," ","_"),".","_")&amp;","&amp;W509&amp;",' '); -- "&amp;E509</f>
        <v/>
      </c>
      <c r="I509" s="232" t="inlineStr">
        <is>
          <t>Note finale retenue à l'origine</t>
        </is>
      </c>
      <c r="J509" s="309" t="inlineStr">
        <is>
          <t>Assigned initial final rating</t>
        </is>
      </c>
      <c r="K509" s="370" t="inlineStr">
        <is>
          <t>ND</t>
        </is>
      </c>
      <c r="L509" s="371" t="inlineStr">
        <is>
          <t>ND</t>
        </is>
      </c>
      <c r="M509" s="1420" t="inlineStr">
        <is>
          <t>NoteFinOrig</t>
        </is>
      </c>
      <c r="N509" s="257" t="inlineStr">
        <is>
          <t>Obligatoire sous conditions</t>
        </is>
      </c>
      <c r="O509" s="236" t="inlineStr">
        <is>
          <t>Mandatory under conditions</t>
        </is>
      </c>
      <c r="P509" s="269" t="inlineStr">
        <is>
          <t>LC.0006</t>
        </is>
      </c>
      <c r="Q509" s="269" t="inlineStr">
        <is>
          <t>TA NM648</t>
        </is>
      </c>
      <c r="R509" s="241" t="inlineStr">
        <is>
          <t>Obligatoire si 
- Eligibilité OMP &lt;&gt; '1' (instrument éligible à l'outil de provissionnement) 
- et Classification comptable des actifs en norme IFRS9 (P1 23.4) &lt;&gt; de "Juste valeur par résultat" et de "Juste valeur par capitaux propres non recyclables" 
- et Organisme de notation à l'origine = ‘I‘ (Notation interne)</t>
        </is>
      </c>
      <c r="S509" s="233" t="inlineStr">
        <is>
          <t>Mandatory if 
- OMP eligibility &lt;&gt; '1' (instrument eligible for the provisioning tool) 
- and Accounting classification of asset under IFRS9 (P1 23.4) &lt;&gt; "Fair value through P&amp;L" and "Fair value through non-recyclable shareholders equity" 
- and the original rating agency = ‘I'</t>
        </is>
      </c>
      <c r="T509" s="313" t="inlineStr">
        <is>
          <t>ALPHA</t>
        </is>
      </c>
      <c r="U509" s="237" t="inlineStr">
        <is>
          <t>NA</t>
        </is>
      </c>
      <c r="V509" s="238" t="inlineStr">
        <is>
          <t>NA</t>
        </is>
      </c>
      <c r="W509" s="257" t="n">
        <v>2</v>
      </c>
      <c r="X509" s="945" t="inlineStr">
        <is>
          <t>NA</t>
        </is>
      </c>
      <c r="Y509" s="237" t="n">
        <v>41</v>
      </c>
      <c r="Z509" s="237" t="inlineStr">
        <is>
          <t>NA</t>
        </is>
      </c>
      <c r="AA509" s="237" t="inlineStr">
        <is>
          <t>NA</t>
        </is>
      </c>
      <c r="AB509" s="269" t="inlineStr">
        <is>
          <t>ASTRE, OMP</t>
        </is>
      </c>
      <c r="AC509" s="231" t="inlineStr">
        <is>
          <t>ND</t>
        </is>
      </c>
      <c r="AD509" s="257" t="inlineStr">
        <is>
          <t>N</t>
        </is>
      </c>
      <c r="AE509" s="971" t="inlineStr">
        <is>
          <t>EQU101
EQU201
ISS100
ISS200 et 300
TRE100
TRE2 à 4XX hors 203,205,206,207
TRE203, 205, 207
TRE206
TRE5XX
SIG
VAR*
INT</t>
        </is>
      </c>
      <c r="AF509" s="257" t="inlineStr">
        <is>
          <t>NA</t>
        </is>
      </c>
      <c r="AG509" s="258" t="inlineStr">
        <is>
          <t>NA</t>
        </is>
      </c>
      <c r="AH509" s="89" t="n"/>
      <c r="AI509" s="453" t="inlineStr">
        <is>
          <t>La donnée est obligatoire si l'éligibilité OMP [P1 23.1] est renseignée et est différente de '1' et que la classification comptable des actifs en norme IFRS9 [P1 23.4] est différente de "JVR" et de "JCN" et que l'organisme de notation à l'origine externe au Groupe [P1 22.6] est égale à 'I'</t>
        </is>
      </c>
      <c r="AJ509" s="317" t="inlineStr">
        <is>
          <t>The data is mandatory if the OMP eligibility [P1 23.1] is filled in and is different from '1' and the accounting classification of assets in IFRS9 [P1 23.4] is different from "JVR" and "JCN" and the original non-Group rating organization [P1 22.6] is equal to 'I'</t>
        </is>
      </c>
      <c r="AK509" s="257" t="n">
        <v>6</v>
      </c>
      <c r="AL509" s="345" t="inlineStr">
        <is>
          <t>TPS0849</t>
        </is>
      </c>
      <c r="AM509" s="318" t="inlineStr">
        <is>
          <t>Si Méthodologie de notation à l'origine [P1 22.55] est renseignée et ne commence pas par R (1er caractère), alors la valeur renseignée doit être connue du Langage Commun</t>
        </is>
      </c>
      <c r="AN509" s="317" t="inlineStr">
        <is>
          <t>If Methodology of initial rating [P1 22.55] if filled and does not start with R (1st letter), then the value filled must be known to the Common Language</t>
        </is>
      </c>
      <c r="AO509" s="257" t="n">
        <v>7</v>
      </c>
      <c r="AP509" s="503" t="inlineStr">
        <is>
          <t>TISXXX</t>
        </is>
      </c>
      <c r="AQ509" s="318" t="inlineStr">
        <is>
          <t>Si renseignée ET si l'indicateur Actif déprécié dès l'origination [P1 23.6] = 'Y' ET si la note externe à l'origine [P1 22.52] n'est pas renseignée, alors la note finale retenue à l'origine [P1 22.5] = 'F' ou 'Z'</t>
        </is>
      </c>
      <c r="AR509" s="317" t="inlineStr">
        <is>
          <t>If filled and the Asset indicator depreciated at origination [P1 23.6] = 'Y' and the Initial external rating [P1 22.52] is not filled, then the Assigned initial final rating [P1 22.5] = 'F' or 'Z'</t>
        </is>
      </c>
      <c r="AS509" s="257" t="n">
        <v>6</v>
      </c>
      <c r="AT509" s="345" t="inlineStr">
        <is>
          <t>TVS0730</t>
        </is>
      </c>
      <c r="AU509" s="318" t="n"/>
      <c r="AV509" s="317" t="n"/>
      <c r="AW509" s="257" t="n"/>
      <c r="AX509" s="258" t="n"/>
      <c r="AY509" s="318" t="n"/>
      <c r="AZ509" s="317" t="n"/>
      <c r="BA509" s="257" t="n"/>
      <c r="BB509" s="258" t="n"/>
      <c r="BC509" s="316" t="n"/>
      <c r="BD509" s="317" t="n"/>
      <c r="BE509" s="257" t="n"/>
      <c r="BF509" s="258" t="n"/>
      <c r="BG509" s="89" t="n"/>
      <c r="BH5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09">
        <f>_xlfn.LET(r,ROW(),oc,INDEX($A:$A,r),cv,TRIM(INDEX($Y:$Y,r)&amp;""),IF(oc&lt;&gt;"P1","",IF(cv="45","V45 - novo, nao alimentado pelo spool atual","V44 - alimentado pelo spool atual")))</f>
        <v/>
      </c>
    </row>
    <row r="510" ht="54" customFormat="1" customHeight="1" s="91">
      <c r="A510" s="306" t="inlineStr">
        <is>
          <t>P1</t>
        </is>
      </c>
      <c r="B510" s="307" t="n">
        <v>275</v>
      </c>
      <c r="C510" s="269" t="inlineStr">
        <is>
          <t>06 - Caractéristiques échéancier</t>
        </is>
      </c>
      <c r="D510" s="236" t="inlineStr">
        <is>
          <t>06 - Schedule characteristics</t>
        </is>
      </c>
      <c r="E510" s="307" t="inlineStr">
        <is>
          <t>P1 22.52</t>
        </is>
      </c>
      <c r="F510" s="375" t="inlineStr">
        <is>
          <t>Note externe à l'origine</t>
        </is>
      </c>
      <c r="G510" s="309" t="inlineStr">
        <is>
          <t>Initial external rating</t>
        </is>
      </c>
      <c r="H510" s="1493">
        <f>"RPAD( "&amp;SUBSTITUTE(SUBSTITUTE(E510," ","_"),".","_")&amp;","&amp;W510&amp;",' '); -- "&amp;E510</f>
        <v/>
      </c>
      <c r="I510" s="232" t="inlineStr">
        <is>
          <t>Note externe à l'origine</t>
        </is>
      </c>
      <c r="J510" s="309" t="inlineStr">
        <is>
          <t>Initial external rating</t>
        </is>
      </c>
      <c r="K510" s="370" t="inlineStr">
        <is>
          <t>ND</t>
        </is>
      </c>
      <c r="L510" s="371" t="inlineStr">
        <is>
          <t>ND</t>
        </is>
      </c>
      <c r="M510" s="1420" t="inlineStr">
        <is>
          <t>NtExtCOrig</t>
        </is>
      </c>
      <c r="N510" s="257" t="inlineStr">
        <is>
          <t>Obligatoire sous conditions</t>
        </is>
      </c>
      <c r="O510" s="236" t="inlineStr">
        <is>
          <t>Mandatory under conditions</t>
        </is>
      </c>
      <c r="P510" s="269" t="inlineStr">
        <is>
          <t>LC.0189</t>
        </is>
      </c>
      <c r="Q510" s="269" t="inlineStr">
        <is>
          <t>TA KVNOTEQC</t>
        </is>
      </c>
      <c r="R510" s="585" t="inlineStr">
        <is>
          <t>Se référer à la 'cotation Bdf' onglet 'notation - échelon de crédit' du langage commun</t>
        </is>
      </c>
      <c r="S510" s="233" t="inlineStr">
        <is>
          <t>Refer to the 'BdF rating' in the tab 'notation - échelon de crédit' of the common language</t>
        </is>
      </c>
      <c r="T510" s="313" t="inlineStr">
        <is>
          <t>ALPHA</t>
        </is>
      </c>
      <c r="U510" s="237" t="inlineStr">
        <is>
          <t>NA</t>
        </is>
      </c>
      <c r="V510" s="238" t="inlineStr">
        <is>
          <t>NA</t>
        </is>
      </c>
      <c r="W510" s="257" t="n">
        <v>10</v>
      </c>
      <c r="X510" s="945" t="inlineStr">
        <is>
          <t>NA</t>
        </is>
      </c>
      <c r="Y510" s="237" t="n">
        <v>41</v>
      </c>
      <c r="Z510" s="237" t="inlineStr">
        <is>
          <t>NA</t>
        </is>
      </c>
      <c r="AA510" s="270" t="inlineStr">
        <is>
          <t>NA</t>
        </is>
      </c>
      <c r="AB510" s="994" t="inlineStr">
        <is>
          <t>OMP, PALMA</t>
        </is>
      </c>
      <c r="AC510" s="231" t="inlineStr">
        <is>
          <t>ND</t>
        </is>
      </c>
      <c r="AD510" s="257" t="inlineStr">
        <is>
          <t>N</t>
        </is>
      </c>
      <c r="AE510" s="971" t="inlineStr">
        <is>
          <t>EQU101
EQU201
ISS100
ISS200 et 300
TRE100
TRE2 à 4XX hors 203,205,206,207
TRE203, 205, 207
TRE206
TRE5XX
SIG
VAR*
INT</t>
        </is>
      </c>
      <c r="AF510" s="257" t="inlineStr">
        <is>
          <t>NA</t>
        </is>
      </c>
      <c r="AG510" s="258" t="inlineStr">
        <is>
          <t>NA</t>
        </is>
      </c>
      <c r="AH510" s="89" t="n"/>
      <c r="AI510" s="586" t="inlineStr">
        <is>
          <t>La donnée est obligatoire si (l'éligibilité OMP [P1 23.1] est renseignée et est différente de '1') et si (la classification comptable des actifs en norme IFRS9 [P1 23.4] est différente de "JVR" et de "JCN") et si (l'organisme de notation à l'origine externe au Groupe [P1 22.6] est renseigné et est différent de 'I')</t>
        </is>
      </c>
      <c r="AJ510" s="317" t="inlineStr">
        <is>
          <t>The date is mandatory if (OMP eligibility [P1 23.1] is filled and is different from '1') and if (the accounting classification of assets in IFRS9 [P1 23.4] is different from "JVR" and "JCN") and if (the credit rating organization originally outside the Group [P1 22.6] is filled and different from 'I')</t>
        </is>
      </c>
      <c r="AK510" s="257" t="n">
        <v>6</v>
      </c>
      <c r="AL510" s="345" t="inlineStr">
        <is>
          <t>TPS0850</t>
        </is>
      </c>
      <c r="AM510" s="587" t="inlineStr">
        <is>
          <t>La valeur renseignée doit être connue du Langage Commun (TA KVNOTEQC -&gt; RB KVNOTE10)</t>
        </is>
      </c>
      <c r="AN510" s="317" t="inlineStr">
        <is>
          <t>The value filled must be known to the Common Language (TA KVNOTEQC -&gt; RB KVNOTE10)</t>
        </is>
      </c>
      <c r="AO510" s="257" t="n">
        <v>7</v>
      </c>
      <c r="AP510" s="212" t="inlineStr">
        <is>
          <t>TI0015</t>
        </is>
      </c>
      <c r="AQ510" s="318" t="n"/>
      <c r="AR510" s="317" t="n"/>
      <c r="AS510" s="257" t="n"/>
      <c r="AT510" s="258" t="n"/>
      <c r="AU510" s="318" t="n"/>
      <c r="AV510" s="317" t="n"/>
      <c r="AW510" s="257" t="n"/>
      <c r="AX510" s="258" t="n"/>
      <c r="AY510" s="318" t="n"/>
      <c r="AZ510" s="317" t="n"/>
      <c r="BA510" s="257" t="n"/>
      <c r="BB510" s="258" t="n"/>
      <c r="BC510" s="316" t="n"/>
      <c r="BD510" s="317" t="n"/>
      <c r="BE510" s="257" t="n"/>
      <c r="BF510" s="258" t="n"/>
      <c r="BG510" s="89" t="n"/>
      <c r="BH5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10">
        <f>_xlfn.LET(r,ROW(),oc,INDEX($A:$A,r),cv,TRIM(INDEX($Y:$Y,r)&amp;""),IF(oc&lt;&gt;"P1","",IF(cv="45","V45 - novo, nao alimentado pelo spool atual","V44 - alimentado pelo spool atual")))</f>
        <v/>
      </c>
    </row>
    <row r="511" ht="54" customFormat="1" customHeight="1" s="91">
      <c r="A511" s="306" t="inlineStr">
        <is>
          <t>P1</t>
        </is>
      </c>
      <c r="B511" s="307" t="n">
        <v>276</v>
      </c>
      <c r="C511" s="269" t="inlineStr">
        <is>
          <t>25 - Notation du tiers</t>
        </is>
      </c>
      <c r="D511" s="236" t="inlineStr">
        <is>
          <t>25 - Third party rating</t>
        </is>
      </c>
      <c r="E511" s="307" t="inlineStr">
        <is>
          <t>P1 22.6</t>
        </is>
      </c>
      <c r="F511" s="375" t="inlineStr">
        <is>
          <t>Organisme de notation à l'origine</t>
        </is>
      </c>
      <c r="G511" s="309" t="inlineStr">
        <is>
          <t>Rating agency of initial rating</t>
        </is>
      </c>
      <c r="H511" s="1493">
        <f>"RPAD( "&amp;SUBSTITUTE(SUBSTITUTE(E511," ","_"),".","_")&amp;","&amp;W511&amp;",' '); -- "&amp;E511</f>
        <v/>
      </c>
      <c r="I511" s="232" t="inlineStr">
        <is>
          <t>Organisme de notation associé à la notation à l'origine</t>
        </is>
      </c>
      <c r="J511" s="309" t="inlineStr">
        <is>
          <t>Rating agency associated with the initial rating</t>
        </is>
      </c>
      <c r="K511" s="370" t="inlineStr">
        <is>
          <t>ND</t>
        </is>
      </c>
      <c r="L511" s="371" t="inlineStr">
        <is>
          <t>ND</t>
        </is>
      </c>
      <c r="M511" s="1420" t="inlineStr">
        <is>
          <t>orgNot</t>
        </is>
      </c>
      <c r="N511" s="257" t="inlineStr">
        <is>
          <t>Obligatoire sous conditions</t>
        </is>
      </c>
      <c r="O511" s="236" t="inlineStr">
        <is>
          <t>Mandatory under conditions</t>
        </is>
      </c>
      <c r="P511" s="269" t="inlineStr">
        <is>
          <t>LC.0189</t>
        </is>
      </c>
      <c r="Q511" s="269" t="inlineStr">
        <is>
          <t>TA KVON</t>
        </is>
      </c>
      <c r="R511" s="232" t="inlineStr">
        <is>
          <t>NA</t>
        </is>
      </c>
      <c r="S511" s="233" t="inlineStr">
        <is>
          <t>NA</t>
        </is>
      </c>
      <c r="T511" s="313" t="inlineStr">
        <is>
          <t>ALPHA</t>
        </is>
      </c>
      <c r="U511" s="237" t="inlineStr">
        <is>
          <t>NA</t>
        </is>
      </c>
      <c r="V511" s="238" t="inlineStr">
        <is>
          <t>NA</t>
        </is>
      </c>
      <c r="W511" s="257" t="n">
        <v>2</v>
      </c>
      <c r="X511" s="945" t="inlineStr">
        <is>
          <t>NA</t>
        </is>
      </c>
      <c r="Y511" s="237" t="n">
        <v>41</v>
      </c>
      <c r="Z511" s="237" t="inlineStr">
        <is>
          <t>NA</t>
        </is>
      </c>
      <c r="AA511" s="237" t="inlineStr">
        <is>
          <t>NA</t>
        </is>
      </c>
      <c r="AB511" s="269" t="inlineStr">
        <is>
          <t>OMP</t>
        </is>
      </c>
      <c r="AC511" s="231" t="inlineStr">
        <is>
          <t>ND</t>
        </is>
      </c>
      <c r="AD511" s="257" t="inlineStr">
        <is>
          <t>N</t>
        </is>
      </c>
      <c r="AE511" s="971" t="inlineStr">
        <is>
          <t>EQU101
EQU201
ISS100
ISS200 et 300
TRE100
TRE2 à 4XX hors 203,205,206,207
TRE203, 205, 207
TRE206
TRE5XX
SIG
VAR*
INT</t>
        </is>
      </c>
      <c r="AF511" s="257" t="inlineStr">
        <is>
          <t>NA</t>
        </is>
      </c>
      <c r="AG511" s="258" t="inlineStr">
        <is>
          <t>NA</t>
        </is>
      </c>
      <c r="AH511" s="89" t="n"/>
      <c r="AI511" s="316" t="inlineStr">
        <is>
          <t>La donnée est obligatoire si la note finale retenue à l'origine [P1 22.5] ou si la note externe à l'origine [P1 22.52] est renseignée</t>
        </is>
      </c>
      <c r="AJ511" s="317" t="inlineStr">
        <is>
          <t>The data is mandatory if the original final score [P1 22.5] or the original external score [P1 22.52] is filled in</t>
        </is>
      </c>
      <c r="AK511" s="257" t="n">
        <v>6</v>
      </c>
      <c r="AL511" s="345" t="inlineStr">
        <is>
          <t>TPS0851</t>
        </is>
      </c>
      <c r="AM511" s="318" t="inlineStr">
        <is>
          <t>Si elle est renseignée, la valeur doit être connue du Langage Commun associé</t>
        </is>
      </c>
      <c r="AN511" s="317" t="inlineStr">
        <is>
          <t>If specified, the value must be known to the associated Common Language</t>
        </is>
      </c>
      <c r="AO511" s="257" t="n">
        <v>7</v>
      </c>
      <c r="AP511" s="212" t="inlineStr">
        <is>
          <t>TIG0001</t>
        </is>
      </c>
      <c r="AQ511" s="318" t="n"/>
      <c r="AR511" s="317" t="n"/>
      <c r="AS511" s="257" t="n"/>
      <c r="AT511" s="258" t="n"/>
      <c r="AU511" s="318" t="n"/>
      <c r="AV511" s="317" t="n"/>
      <c r="AW511" s="257" t="n"/>
      <c r="AX511" s="258" t="n"/>
      <c r="AY511" s="318" t="n"/>
      <c r="AZ511" s="317" t="n"/>
      <c r="BA511" s="257" t="n"/>
      <c r="BB511" s="258" t="n"/>
      <c r="BC511" s="316" t="n"/>
      <c r="BD511" s="317" t="n"/>
      <c r="BE511" s="257" t="n"/>
      <c r="BF511" s="258" t="n"/>
      <c r="BG511" s="89" t="n"/>
      <c r="BH5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11">
        <f>_xlfn.LET(r,ROW(),oc,INDEX($A:$A,r),cv,TRIM(INDEX($Y:$Y,r)&amp;""),IF(oc&lt;&gt;"P1","",IF(cv="45","V45 - novo, nao alimentado pelo spool atual","V44 - alimentado pelo spool atual")))</f>
        <v/>
      </c>
    </row>
    <row r="512" ht="54" customFormat="1" customHeight="1" s="91">
      <c r="A512" s="306" t="inlineStr">
        <is>
          <t>P1</t>
        </is>
      </c>
      <c r="B512" s="307" t="n">
        <v>277</v>
      </c>
      <c r="C512" s="269" t="inlineStr">
        <is>
          <t>25 - Notation du tiers</t>
        </is>
      </c>
      <c r="D512" s="236" t="inlineStr">
        <is>
          <t>25 - Third party rating</t>
        </is>
      </c>
      <c r="E512" s="307" t="inlineStr">
        <is>
          <t>P1 22.53</t>
        </is>
      </c>
      <c r="F512" s="375" t="inlineStr">
        <is>
          <t>Segment de notation à l'origine</t>
        </is>
      </c>
      <c r="G512" s="309" t="inlineStr">
        <is>
          <t>Initial rating segment</t>
        </is>
      </c>
      <c r="H512" s="1493">
        <f>"RPAD( "&amp;SUBSTITUTE(SUBSTITUTE(E512," ","_"),".","_")&amp;","&amp;W512&amp;",' '); -- "&amp;E512</f>
        <v/>
      </c>
      <c r="I512" s="232" t="inlineStr">
        <is>
          <t>Segment de notation à l'origine si notation interne</t>
        </is>
      </c>
      <c r="J512" s="309" t="inlineStr">
        <is>
          <t>Initial rating segment if internal rating</t>
        </is>
      </c>
      <c r="K512" s="370" t="inlineStr">
        <is>
          <t>ND</t>
        </is>
      </c>
      <c r="L512" s="371" t="inlineStr">
        <is>
          <t>ND</t>
        </is>
      </c>
      <c r="M512" s="1420" t="inlineStr">
        <is>
          <t>segNotOrig</t>
        </is>
      </c>
      <c r="N512" s="588" t="inlineStr">
        <is>
          <t>Obligatoire sous conditions</t>
        </is>
      </c>
      <c r="O512" s="589" t="inlineStr">
        <is>
          <t>Mandatory under conditions</t>
        </is>
      </c>
      <c r="P512" s="269" t="inlineStr">
        <is>
          <t>LC.0093</t>
        </is>
      </c>
      <c r="Q512" s="269" t="inlineStr">
        <is>
          <t>RB NM694</t>
        </is>
      </c>
      <c r="R512" s="590" t="inlineStr">
        <is>
          <t>Segment de notation pour les Caisses, qui correspond à celui du groupe de risque</t>
        </is>
      </c>
      <c r="S512" s="591" t="inlineStr">
        <is>
          <t>Rating segment for the Regional Banks, which corresponds to that of the risk group</t>
        </is>
      </c>
      <c r="T512" s="313" t="inlineStr">
        <is>
          <t>ALPHA</t>
        </is>
      </c>
      <c r="U512" s="237" t="inlineStr">
        <is>
          <t>NA</t>
        </is>
      </c>
      <c r="V512" s="238" t="inlineStr">
        <is>
          <t>NA</t>
        </is>
      </c>
      <c r="W512" s="257" t="n">
        <v>2</v>
      </c>
      <c r="X512" s="945" t="inlineStr">
        <is>
          <t>NA</t>
        </is>
      </c>
      <c r="Y512" s="237" t="n">
        <v>41</v>
      </c>
      <c r="Z512" s="237" t="inlineStr">
        <is>
          <t>NA</t>
        </is>
      </c>
      <c r="AA512" s="283" t="inlineStr">
        <is>
          <t>NA</t>
        </is>
      </c>
      <c r="AB512" s="269" t="inlineStr">
        <is>
          <t>OMP</t>
        </is>
      </c>
      <c r="AC512" s="231" t="inlineStr">
        <is>
          <t>ND</t>
        </is>
      </c>
      <c r="AD512" s="257" t="inlineStr">
        <is>
          <t>N</t>
        </is>
      </c>
      <c r="AE512" s="971" t="inlineStr">
        <is>
          <t>EQU101
EQU201
ISS100
ISS200 et 300
TRE100
TRE2 à 4XX hors 203,205,206,207
TRE203, 205, 207
TRE206
TRE5XX
SIG
VAR*
INT</t>
        </is>
      </c>
      <c r="AF512" s="257" t="inlineStr">
        <is>
          <t>NA</t>
        </is>
      </c>
      <c r="AG512" s="258" t="inlineStr">
        <is>
          <t>NA</t>
        </is>
      </c>
      <c r="AH512" s="89" t="n"/>
      <c r="AI512" s="316" t="inlineStr">
        <is>
          <t>La donnée est obligatoire si la note finale retenue à l'origine [P1 22.5] est renseignée et &lt;&gt; ‘ND'</t>
        </is>
      </c>
      <c r="AJ512" s="317" t="inlineStr">
        <is>
          <t>The data is mandatory if the original final score [P1 22.5] is filled in and &lt;&gt; ‘ND'</t>
        </is>
      </c>
      <c r="AK512" s="257" t="n">
        <v>6</v>
      </c>
      <c r="AL512" s="366" t="inlineStr">
        <is>
          <t>TPS0852</t>
        </is>
      </c>
      <c r="AM512" s="318" t="inlineStr">
        <is>
          <t>Si elle est renseignée, la valeur doit être connue du Langage Commun associé</t>
        </is>
      </c>
      <c r="AN512" s="317" t="inlineStr">
        <is>
          <t>If specified, the value must be known to the associated Common Language</t>
        </is>
      </c>
      <c r="AO512" s="257" t="n">
        <v>7</v>
      </c>
      <c r="AP512" s="212" t="inlineStr">
        <is>
          <t>TIG0001</t>
        </is>
      </c>
      <c r="AQ512" s="318" t="n"/>
      <c r="AR512" s="317" t="n"/>
      <c r="AS512" s="257" t="n"/>
      <c r="AT512" s="258" t="n"/>
      <c r="AU512" s="318" t="n"/>
      <c r="AV512" s="317" t="n"/>
      <c r="AW512" s="257" t="n"/>
      <c r="AX512" s="258" t="n"/>
      <c r="AY512" s="318" t="n"/>
      <c r="AZ512" s="317" t="n"/>
      <c r="BA512" s="257" t="n"/>
      <c r="BB512" s="258" t="n"/>
      <c r="BC512" s="316" t="n"/>
      <c r="BD512" s="317" t="n"/>
      <c r="BE512" s="257" t="n"/>
      <c r="BF512" s="258" t="n"/>
      <c r="BG512" s="89" t="n"/>
      <c r="BH5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12">
        <f>_xlfn.LET(r,ROW(),oc,INDEX($A:$A,r),cv,TRIM(INDEX($Y:$Y,r)&amp;""),IF(oc&lt;&gt;"P1","",IF(cv="45","V45 - novo, nao alimentado pelo spool atual","V44 - alimentado pelo spool atual")))</f>
        <v/>
      </c>
    </row>
    <row r="513" ht="54" customFormat="1" customHeight="1" s="91">
      <c r="A513" s="306" t="inlineStr">
        <is>
          <t>P1</t>
        </is>
      </c>
      <c r="B513" s="307" t="n">
        <v>278</v>
      </c>
      <c r="C513" s="269" t="inlineStr">
        <is>
          <t>25 - Notation du tiers</t>
        </is>
      </c>
      <c r="D513" s="236" t="inlineStr">
        <is>
          <t>25 - Third party rating</t>
        </is>
      </c>
      <c r="E513" s="307" t="inlineStr">
        <is>
          <t>P1 22.54</t>
        </is>
      </c>
      <c r="F513" s="375" t="inlineStr">
        <is>
          <t>Grille Modèle de notation à l'origine</t>
        </is>
      </c>
      <c r="G513" s="309" t="inlineStr">
        <is>
          <t>Initial rating grid model</t>
        </is>
      </c>
      <c r="H513" s="1493">
        <f>"RPAD( "&amp;SUBSTITUTE(SUBSTITUTE(E513," ","_"),".","_")&amp;","&amp;W513&amp;",' '); -- "&amp;E513</f>
        <v/>
      </c>
      <c r="I513" s="232" t="inlineStr">
        <is>
          <t>Référence de la grille de notation utilisée pour la détermination de la note interne à l'origine</t>
        </is>
      </c>
      <c r="J513" s="309" t="inlineStr">
        <is>
          <t>Rating grid reference used to determine the initial internal rating</t>
        </is>
      </c>
      <c r="K513" s="370" t="inlineStr">
        <is>
          <t>ND</t>
        </is>
      </c>
      <c r="L513" s="371" t="inlineStr">
        <is>
          <t>ND</t>
        </is>
      </c>
      <c r="M513" s="1420" t="inlineStr">
        <is>
          <t>grilNotOrig</t>
        </is>
      </c>
      <c r="N513" s="505" t="inlineStr">
        <is>
          <t>Facultatif</t>
        </is>
      </c>
      <c r="O513" s="371" t="inlineStr">
        <is>
          <t>Optional</t>
        </is>
      </c>
      <c r="P513" s="592" t="inlineStr">
        <is>
          <t>LC.0153</t>
        </is>
      </c>
      <c r="Q513" s="269" t="inlineStr">
        <is>
          <t>TA KVVGNTIE</t>
        </is>
      </c>
      <c r="R513" s="241" t="inlineStr">
        <is>
          <t>Obligatoire si la note finale retenue à l'origine (P1 22.5) renseignée et &lt;&gt; ‘ND'
La Grille de notation à l'origine doit être cohérente avec la Méthodologie de notation à l'origine (P1 22.55)</t>
        </is>
      </c>
      <c r="S513" s="233" t="inlineStr">
        <is>
          <t>Mandatory if the original final score (P1 22.5) is filled in and &lt;&gt; ‘ND'
The original scoring grid must be consistent with the original scoring methodology (P1 22.55)</t>
        </is>
      </c>
      <c r="T513" s="313" t="inlineStr">
        <is>
          <t>ALPHA</t>
        </is>
      </c>
      <c r="U513" s="237" t="inlineStr">
        <is>
          <t>NA</t>
        </is>
      </c>
      <c r="V513" s="238" t="inlineStr">
        <is>
          <t>NA</t>
        </is>
      </c>
      <c r="W513" s="257" t="n">
        <v>46</v>
      </c>
      <c r="X513" s="945" t="inlineStr">
        <is>
          <t>NA</t>
        </is>
      </c>
      <c r="Y513" s="237" t="n">
        <v>41</v>
      </c>
      <c r="Z513" s="237" t="inlineStr">
        <is>
          <t>NA</t>
        </is>
      </c>
      <c r="AA513" s="283" t="inlineStr">
        <is>
          <t>NA</t>
        </is>
      </c>
      <c r="AB513" s="269" t="inlineStr">
        <is>
          <t>USAGE ZP</t>
        </is>
      </c>
      <c r="AC513" s="231" t="inlineStr">
        <is>
          <t>ND</t>
        </is>
      </c>
      <c r="AD513" s="257" t="inlineStr">
        <is>
          <t>N</t>
        </is>
      </c>
      <c r="AE513" s="971" t="inlineStr">
        <is>
          <t>EQU101
EQU201
ISS100
ISS200 et 300
TRE100
TRE2 à 4XX hors 203,205,206,207
TRE203, 205, 207
TRE206
TRE5XX
SIG
VAR*
INT</t>
        </is>
      </c>
      <c r="AF513" s="257" t="inlineStr">
        <is>
          <t>NA</t>
        </is>
      </c>
      <c r="AG513" s="258" t="inlineStr">
        <is>
          <t>NA</t>
        </is>
      </c>
      <c r="AH513" s="89" t="n"/>
      <c r="AI513" s="316" t="n"/>
      <c r="AJ513" s="317" t="n"/>
      <c r="AK513" s="257" t="n"/>
      <c r="AL513" s="366" t="n"/>
      <c r="AM513" s="318" t="inlineStr">
        <is>
          <t>Si elle est renseignée, la valeur doit être connue du Langage Commun associé</t>
        </is>
      </c>
      <c r="AN513" s="317" t="inlineStr">
        <is>
          <t>If specified, the value must be known to the associated Common Language</t>
        </is>
      </c>
      <c r="AO513" s="257" t="n">
        <v>7</v>
      </c>
      <c r="AP513" s="212" t="inlineStr">
        <is>
          <t>TIG0001</t>
        </is>
      </c>
      <c r="AQ513" s="318" t="n"/>
      <c r="AR513" s="317" t="n"/>
      <c r="AS513" s="257" t="n"/>
      <c r="AT513" s="258" t="n"/>
      <c r="AU513" s="593" t="inlineStr">
        <is>
          <t>Si renseignée et ne commence pas par ‘99000' et si la méthodologie de notation à l'origine [P1 22.55] est renseignée, alors la Grille Modèle de notation à l'origine doit être cohérente avec la méthodologie de notation à l'origine (Table KVGNOTIE Code grille P01 Cod MET R03)</t>
        </is>
      </c>
      <c r="AV513" s="317" t="inlineStr">
        <is>
          <t>If filled and does not start with ‘99000' and if the Methodology of initial rating [P1 22.55] is filled, then the Initial rating grid model should be consistent with the Methodology of initial rating (Table KVGNOTIE Grid Code P01 MET code R03)</t>
        </is>
      </c>
      <c r="AW513" s="257" t="n">
        <v>6</v>
      </c>
      <c r="AX513" s="345" t="inlineStr">
        <is>
          <t>TCS0720</t>
        </is>
      </c>
      <c r="AY513" s="318" t="n"/>
      <c r="AZ513" s="317" t="n"/>
      <c r="BA513" s="257" t="n"/>
      <c r="BB513" s="258" t="n"/>
      <c r="BC513" s="316" t="n"/>
      <c r="BD513" s="317" t="n"/>
      <c r="BE513" s="257" t="n"/>
      <c r="BF513" s="258" t="n"/>
      <c r="BG513" s="89" t="n"/>
      <c r="BH5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13">
        <f>_xlfn.LET(r,ROW(),oc,INDEX($A:$A,r),cv,TRIM(INDEX($Y:$Y,r)&amp;""),IF(oc&lt;&gt;"P1","",IF(cv="45","V45 - novo, nao alimentado pelo spool atual","V44 - alimentado pelo spool atual")))</f>
        <v/>
      </c>
    </row>
    <row r="514" ht="54" customFormat="1" customHeight="1" s="91">
      <c r="A514" s="306" t="inlineStr">
        <is>
          <t>P1</t>
        </is>
      </c>
      <c r="B514" s="307" t="n">
        <v>279</v>
      </c>
      <c r="C514" s="269" t="inlineStr">
        <is>
          <t>25 - Notation du tiers</t>
        </is>
      </c>
      <c r="D514" s="236" t="inlineStr">
        <is>
          <t>25 - Third party rating</t>
        </is>
      </c>
      <c r="E514" s="307" t="inlineStr">
        <is>
          <t>P1 22.55</t>
        </is>
      </c>
      <c r="F514" s="375" t="inlineStr">
        <is>
          <t>Méthodologie de notation à l'origine</t>
        </is>
      </c>
      <c r="G514" s="309" t="inlineStr">
        <is>
          <t>Methodology of initial rating</t>
        </is>
      </c>
      <c r="H514" s="1493">
        <f>"RPAD( "&amp;SUBSTITUTE(SUBSTITUTE(E514," ","_"),".","_")&amp;","&amp;W514&amp;",' '); -- "&amp;E514</f>
        <v/>
      </c>
      <c r="I514" s="232" t="inlineStr">
        <is>
          <t>Type de méthodologie de la notation utilisée pour l'obtention de la note interne à l'origine</t>
        </is>
      </c>
      <c r="J514" s="309" t="inlineStr">
        <is>
          <t>Type of rating methodology used to obtain the initial internal rating</t>
        </is>
      </c>
      <c r="K514" s="370" t="inlineStr">
        <is>
          <t>ND</t>
        </is>
      </c>
      <c r="L514" s="371" t="inlineStr">
        <is>
          <t>ND</t>
        </is>
      </c>
      <c r="M514" s="1420" t="inlineStr">
        <is>
          <t>methNotOrig</t>
        </is>
      </c>
      <c r="N514" s="594" t="inlineStr">
        <is>
          <t>Facultatif</t>
        </is>
      </c>
      <c r="O514" s="371" t="inlineStr">
        <is>
          <t>Optional</t>
        </is>
      </c>
      <c r="P514" s="269" t="inlineStr">
        <is>
          <t>LC.0007</t>
        </is>
      </c>
      <c r="Q514" s="269" t="inlineStr">
        <is>
          <t>TA NM196</t>
        </is>
      </c>
      <c r="R514" s="241" t="inlineStr">
        <is>
          <t>Obligatoire si la note finale retenue à l'origine (P1 22.5) renseignée et &lt;&gt; ‘ND'</t>
        </is>
      </c>
      <c r="S514" s="233" t="inlineStr">
        <is>
          <t>Mandatory if the original final score (P1 22.5) is filled in and &lt;&gt; ‘ND'</t>
        </is>
      </c>
      <c r="T514" s="313" t="inlineStr">
        <is>
          <t>ALPHA</t>
        </is>
      </c>
      <c r="U514" s="237" t="inlineStr">
        <is>
          <t>NA</t>
        </is>
      </c>
      <c r="V514" s="238" t="inlineStr">
        <is>
          <t>NA</t>
        </is>
      </c>
      <c r="W514" s="257" t="n">
        <v>3</v>
      </c>
      <c r="X514" s="945" t="inlineStr">
        <is>
          <t>NA</t>
        </is>
      </c>
      <c r="Y514" s="237" t="n">
        <v>41</v>
      </c>
      <c r="Z514" s="237" t="inlineStr">
        <is>
          <t>NA</t>
        </is>
      </c>
      <c r="AA514" s="283" t="inlineStr">
        <is>
          <t>NA</t>
        </is>
      </c>
      <c r="AB514" s="269" t="inlineStr">
        <is>
          <t>USAGE ZP</t>
        </is>
      </c>
      <c r="AC514" s="231" t="inlineStr">
        <is>
          <t>ND</t>
        </is>
      </c>
      <c r="AD514" s="257" t="inlineStr">
        <is>
          <t>N</t>
        </is>
      </c>
      <c r="AE514" s="971" t="inlineStr">
        <is>
          <t>EQU101
EQU201
ISS100
ISS200 et 300
TRE100
TRE2 à 4XX hors 203,205,206,207
TRE203, 205, 207
TRE206
TRE5XX
SIG
VAR*
INT</t>
        </is>
      </c>
      <c r="AF514" s="257" t="inlineStr">
        <is>
          <t>NA</t>
        </is>
      </c>
      <c r="AG514" s="258" t="inlineStr">
        <is>
          <t>NA</t>
        </is>
      </c>
      <c r="AH514" s="89" t="n"/>
      <c r="AI514" s="316" t="n"/>
      <c r="AJ514" s="317" t="n"/>
      <c r="AK514" s="257" t="n"/>
      <c r="AL514" s="366" t="n"/>
      <c r="AM514" s="318" t="inlineStr">
        <is>
          <t>Si elle est renseignée, la valeur doit être connue du Langage Commun associé</t>
        </is>
      </c>
      <c r="AN514" s="317" t="inlineStr">
        <is>
          <t>If specified, the value must be known to the associated Common Language</t>
        </is>
      </c>
      <c r="AO514" s="257" t="n">
        <v>7</v>
      </c>
      <c r="AP514" s="212" t="inlineStr">
        <is>
          <t>TIG0001</t>
        </is>
      </c>
      <c r="AQ514" s="318" t="n"/>
      <c r="AR514" s="317" t="n"/>
      <c r="AS514" s="257" t="n"/>
      <c r="AT514" s="258" t="n"/>
      <c r="AU514" s="318" t="n"/>
      <c r="AV514" s="317" t="n"/>
      <c r="AW514" s="257" t="n"/>
      <c r="AX514" s="258" t="n"/>
      <c r="AY514" s="318" t="n"/>
      <c r="AZ514" s="317" t="n"/>
      <c r="BA514" s="257" t="n"/>
      <c r="BB514" s="258" t="n"/>
      <c r="BC514" s="316" t="n"/>
      <c r="BD514" s="317" t="n"/>
      <c r="BE514" s="257" t="n"/>
      <c r="BF514" s="258" t="n"/>
      <c r="BG514" s="89" t="n"/>
      <c r="BH5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14">
        <f>_xlfn.LET(r,ROW(),oc,INDEX($A:$A,r),cv,TRIM(INDEX($Y:$Y,r)&amp;""),IF(oc&lt;&gt;"P1","",IF(cv="45","V45 - novo, nao alimentado pelo spool atual","V44 - alimentado pelo spool atual")))</f>
        <v/>
      </c>
    </row>
    <row r="515" ht="54" customFormat="1" customHeight="1" s="91">
      <c r="A515" s="306" t="inlineStr">
        <is>
          <t>P1</t>
        </is>
      </c>
      <c r="B515" s="307" t="n">
        <v>280</v>
      </c>
      <c r="C515" s="269" t="inlineStr">
        <is>
          <t>06 - Caractéristiques échéancier</t>
        </is>
      </c>
      <c r="D515" s="236" t="inlineStr">
        <is>
          <t>06 - Schedule characteristics</t>
        </is>
      </c>
      <c r="E515" s="307" t="inlineStr">
        <is>
          <t>P1 22.7</t>
        </is>
      </c>
      <c r="F515" s="595" t="inlineStr">
        <is>
          <t>Objet du financement</t>
        </is>
      </c>
      <c r="G515" s="309" t="inlineStr">
        <is>
          <t>Asset of the financing</t>
        </is>
      </c>
      <c r="H515" s="1493">
        <f>"RPAD( "&amp;SUBSTITUTE(SUBSTITUTE(E515," ","_"),".","_")&amp;","&amp;W515&amp;",' '); -- "&amp;E515</f>
        <v/>
      </c>
      <c r="I515" s="596" t="inlineStr">
        <is>
          <t>Objet du financement</t>
        </is>
      </c>
      <c r="J515" s="309" t="inlineStr">
        <is>
          <t>Asset of the financing</t>
        </is>
      </c>
      <c r="K515" s="370" t="inlineStr">
        <is>
          <t>ND</t>
        </is>
      </c>
      <c r="L515" s="371" t="inlineStr">
        <is>
          <t>ND</t>
        </is>
      </c>
      <c r="M515" s="1420" t="inlineStr">
        <is>
          <t>cdObjFin</t>
        </is>
      </c>
      <c r="N515" s="597" t="inlineStr">
        <is>
          <t>Facultatif</t>
        </is>
      </c>
      <c r="O515" s="371" t="inlineStr">
        <is>
          <t>Optional</t>
        </is>
      </c>
      <c r="P515" s="269" t="inlineStr">
        <is>
          <t>LC.0142</t>
        </is>
      </c>
      <c r="Q515" s="269" t="inlineStr">
        <is>
          <t>TA KVOBJFIN</t>
        </is>
      </c>
      <c r="R515" s="598" t="inlineStr">
        <is>
          <t>Si objet financé non présent dans le langage commun, renseigner la valeur '97' - Autre objet financé 
Si financement non affecté, renseigner la valeur '98' - Financement non affecté trésorerie</t>
        </is>
      </c>
      <c r="S515" s="233" t="inlineStr">
        <is>
          <t>If the funded item is not present in the common language, enter the value '97' - Other funded item 
If unallocated funding, enter the value '98' - Unallocated funding cash flow</t>
        </is>
      </c>
      <c r="T515" s="313" t="inlineStr">
        <is>
          <t>ALPHA</t>
        </is>
      </c>
      <c r="U515" s="237" t="inlineStr">
        <is>
          <t>NA</t>
        </is>
      </c>
      <c r="V515" s="238" t="inlineStr">
        <is>
          <t>NA</t>
        </is>
      </c>
      <c r="W515" s="257" t="n">
        <v>2</v>
      </c>
      <c r="X515" s="945" t="inlineStr">
        <is>
          <t>NA</t>
        </is>
      </c>
      <c r="Y515" s="237" t="n">
        <v>41</v>
      </c>
      <c r="Z515" s="237" t="inlineStr">
        <is>
          <t>NA</t>
        </is>
      </c>
      <c r="AA515" s="283" t="inlineStr">
        <is>
          <t>NA</t>
        </is>
      </c>
      <c r="AB515" s="269" t="inlineStr">
        <is>
          <t>ANACREDIT, ESG PILIER 3, LOAN TAPE, NZBA, RISQUE PHYSIQUE</t>
        </is>
      </c>
      <c r="AC515" s="231" t="inlineStr">
        <is>
          <t>ND</t>
        </is>
      </c>
      <c r="AD515" s="257" t="inlineStr">
        <is>
          <t>N</t>
        </is>
      </c>
      <c r="AE515" s="599" t="inlineStr">
        <is>
          <t>TRE2 à 4XX (hors 201,203,205,206,207)
TRE5XX
SIG</t>
        </is>
      </c>
      <c r="AF515" s="257" t="inlineStr">
        <is>
          <t>NA</t>
        </is>
      </c>
      <c r="AG515" s="258" t="inlineStr">
        <is>
          <t>NA</t>
        </is>
      </c>
      <c r="AH515" s="89" t="n"/>
      <c r="AI515" s="316" t="n"/>
      <c r="AJ515" s="317" t="n"/>
      <c r="AK515" s="257" t="n"/>
      <c r="AL515" s="345" t="n"/>
      <c r="AM515" s="318" t="inlineStr">
        <is>
          <t>Si elle est renseignée, la valeur doit être connue du Langage Commun associé</t>
        </is>
      </c>
      <c r="AN515" s="317" t="inlineStr">
        <is>
          <t>If specified, the value must be known to the associated Common Language</t>
        </is>
      </c>
      <c r="AO515" s="257" t="n">
        <v>7</v>
      </c>
      <c r="AP515" s="212" t="inlineStr">
        <is>
          <t>TIG0001</t>
        </is>
      </c>
      <c r="AQ515" s="318" t="n"/>
      <c r="AR515" s="317" t="n"/>
      <c r="AS515" s="257" t="n"/>
      <c r="AT515" s="258" t="n"/>
      <c r="AU515" s="318" t="inlineStr">
        <is>
          <t>Si l'usage du bien immobilier financé [P1 8.13] est différent de ‘0', alors l'Objet du financement [P1 22.7] doit être égal à ‘01', '02, '03 ou ‘04' (biens immobiliers)</t>
        </is>
      </c>
      <c r="AV515" s="317" t="inlineStr">
        <is>
          <t>If the use of the financed property [P1 8.13] is different from ‘0', then Asset of the financing [P1 22.7] must be equal to ‘01', '02, '03 or ‘04' (real estate)</t>
        </is>
      </c>
      <c r="AW515" s="257" t="n">
        <v>6</v>
      </c>
      <c r="AX515" s="530" t="inlineStr">
        <is>
          <t>TCS0721</t>
        </is>
      </c>
      <c r="AY515" s="318" t="n"/>
      <c r="AZ515" s="317" t="n"/>
      <c r="BA515" s="257" t="n"/>
      <c r="BB515" s="258" t="n"/>
      <c r="BC515" s="316" t="n"/>
      <c r="BD515" s="317" t="n"/>
      <c r="BE515" s="257" t="n"/>
      <c r="BF515" s="258" t="n"/>
      <c r="BG515" s="89" t="n"/>
      <c r="BH5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15">
        <f>_xlfn.LET(r,ROW(),oc,INDEX($A:$A,r),cv,TRIM(INDEX($Y:$Y,r)&amp;""),IF(oc&lt;&gt;"P1","",IF(cv="45","V45 - novo, nao alimentado pelo spool atual","V44 - alimentado pelo spool atual")))</f>
        <v/>
      </c>
    </row>
    <row r="516" ht="54" customFormat="1" customHeight="1" s="91">
      <c r="A516" s="306" t="inlineStr">
        <is>
          <t>P1</t>
        </is>
      </c>
      <c r="B516" s="307" t="n">
        <v>281</v>
      </c>
      <c r="C516" s="269" t="inlineStr">
        <is>
          <t>06 - Caractéristiques échéancier</t>
        </is>
      </c>
      <c r="D516" s="236" t="inlineStr">
        <is>
          <t>06 - Schedule characteristics</t>
        </is>
      </c>
      <c r="E516" s="307" t="inlineStr">
        <is>
          <t>P1 22.8</t>
        </is>
      </c>
      <c r="F516" s="596" t="inlineStr">
        <is>
          <t>Montant du contrat à l'origine</t>
        </is>
      </c>
      <c r="G516" s="309" t="inlineStr">
        <is>
          <t>Contract's initial amount</t>
        </is>
      </c>
      <c r="H516" s="1493">
        <f>"RPAD( "&amp;SUBSTITUTE(SUBSTITUTE(E516," ","_"),".","_")&amp;","&amp;W516&amp;",' '); -- "&amp;E516</f>
        <v/>
      </c>
      <c r="I516" s="241" t="inlineStr">
        <is>
          <t>Correspond au montant initial du contrat (montant du prêt à l'octroi)</t>
        </is>
      </c>
      <c r="J516" s="309" t="inlineStr">
        <is>
          <t>It is the Initial amount of contract (loan amount at the origin)</t>
        </is>
      </c>
      <c r="K516" s="269" t="inlineStr">
        <is>
          <t>ND</t>
        </is>
      </c>
      <c r="L516" s="310" t="inlineStr">
        <is>
          <t>ND</t>
        </is>
      </c>
      <c r="M516" s="1420" t="inlineStr">
        <is>
          <t>mtCtOr</t>
        </is>
      </c>
      <c r="N516" s="257" t="inlineStr">
        <is>
          <t>Obligatoire</t>
        </is>
      </c>
      <c r="O516" s="371" t="inlineStr">
        <is>
          <t>Mandatory</t>
        </is>
      </c>
      <c r="P516" s="269" t="inlineStr">
        <is>
          <t>NA</t>
        </is>
      </c>
      <c r="Q516" s="269" t="inlineStr">
        <is>
          <t>NA</t>
        </is>
      </c>
      <c r="R516" s="693" t="inlineStr">
        <is>
          <t>NA</t>
        </is>
      </c>
      <c r="S516" s="489" t="inlineStr">
        <is>
          <t>NA</t>
        </is>
      </c>
      <c r="T516" s="313" t="inlineStr">
        <is>
          <t>NUM</t>
        </is>
      </c>
      <c r="U516" s="237" t="inlineStr">
        <is>
          <t>19 dont signe et 2 décimales</t>
        </is>
      </c>
      <c r="V516" s="238" t="inlineStr">
        <is>
          <t>19 including sign and 2 decimals</t>
        </is>
      </c>
      <c r="W516" s="257" t="n">
        <v>19</v>
      </c>
      <c r="X516" s="945" t="inlineStr">
        <is>
          <t>NA</t>
        </is>
      </c>
      <c r="Y516" s="237" t="n">
        <v>41</v>
      </c>
      <c r="Z516" s="237" t="inlineStr">
        <is>
          <t>NA</t>
        </is>
      </c>
      <c r="AA516" s="283" t="inlineStr">
        <is>
          <t>NA</t>
        </is>
      </c>
      <c r="AB516" s="269" t="inlineStr">
        <is>
          <t>ANACREDIT, CONGLOMERATS, LOAN TAPE, NSFR, NZBA, PALMA</t>
        </is>
      </c>
      <c r="AC516" s="231" t="inlineStr">
        <is>
          <t>ND</t>
        </is>
      </c>
      <c r="AD516" s="257" t="inlineStr">
        <is>
          <t>N</t>
        </is>
      </c>
      <c r="AE516" s="971" t="inlineStr">
        <is>
          <t>EQU101
EQU201
ISS100
ISS200 et 300
TRE100
TRE2 à 4XX hors 203,205,206,207
TRE203, 205, 207
TRE206
TRE5XX
SIG
VAR*
INT</t>
        </is>
      </c>
      <c r="AF516" s="257" t="inlineStr">
        <is>
          <t>NA</t>
        </is>
      </c>
      <c r="AG516" s="258" t="inlineStr">
        <is>
          <t>NA</t>
        </is>
      </c>
      <c r="AH516" s="89" t="n"/>
      <c r="AI516" s="316" t="inlineStr">
        <is>
          <t>La donnée est obligatoire</t>
        </is>
      </c>
      <c r="AJ516" s="317" t="inlineStr">
        <is>
          <t>The data is mandatory</t>
        </is>
      </c>
      <c r="AK516" s="257" t="n">
        <v>7</v>
      </c>
      <c r="AL516" s="335" t="inlineStr">
        <is>
          <t>TPG0001</t>
        </is>
      </c>
      <c r="AM516" s="318" t="n"/>
      <c r="AN516" s="317" t="n"/>
      <c r="AO516" s="257" t="n"/>
      <c r="AP516" s="258" t="n"/>
      <c r="AQ516" s="452" t="inlineStr">
        <is>
          <t>Si renseignée, la donnée doit être positive (supérieure ou égale à 0)</t>
        </is>
      </c>
      <c r="AR516" s="377" t="inlineStr">
        <is>
          <t xml:space="preserve">If filled, data must be positive (greater or equal to 0) </t>
        </is>
      </c>
      <c r="AS516" s="257" t="n">
        <v>7</v>
      </c>
      <c r="AT516" s="345" t="inlineStr">
        <is>
          <t>TVG0001</t>
        </is>
      </c>
      <c r="AU516" s="318" t="n"/>
      <c r="AV516" s="317" t="n"/>
      <c r="AW516" s="257" t="n"/>
      <c r="AX516" s="258" t="n"/>
      <c r="AY516" s="318" t="n"/>
      <c r="AZ516" s="317" t="n"/>
      <c r="BA516" s="257" t="n"/>
      <c r="BB516" s="258" t="n"/>
      <c r="BC516" s="316" t="n"/>
      <c r="BD516" s="317" t="n"/>
      <c r="BE516" s="257" t="n"/>
      <c r="BF516" s="258" t="n"/>
      <c r="BG516" s="89" t="n"/>
      <c r="BH5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16">
        <f>_xlfn.LET(r,ROW(),oc,INDEX($A:$A,r),cv,TRIM(INDEX($Y:$Y,r)&amp;""),IF(oc&lt;&gt;"P1","",IF(cv="45","V45 - novo, nao alimentado pelo spool atual","V44 - alimentado pelo spool atual")))</f>
        <v/>
      </c>
    </row>
    <row r="517" ht="54" customFormat="1" customHeight="1" s="91">
      <c r="A517" s="306" t="inlineStr">
        <is>
          <t>P1</t>
        </is>
      </c>
      <c r="B517" s="307" t="n">
        <v>282</v>
      </c>
      <c r="C517" s="269" t="inlineStr">
        <is>
          <t>06 - Caractéristiques échéancier</t>
        </is>
      </c>
      <c r="D517" s="236" t="inlineStr">
        <is>
          <t>06 - Schedule characteristics</t>
        </is>
      </c>
      <c r="E517" s="307" t="inlineStr">
        <is>
          <t>P1 22.9</t>
        </is>
      </c>
      <c r="F517" s="308" t="inlineStr">
        <is>
          <t>Devise du montant du contrat à l'origine</t>
        </is>
      </c>
      <c r="G517" s="309" t="inlineStr">
        <is>
          <t>Currency of the contract's initial amount</t>
        </is>
      </c>
      <c r="H517" s="1493">
        <f>"RPAD( "&amp;SUBSTITUTE(SUBSTITUTE(E517," ","_"),".","_")&amp;","&amp;W517&amp;",' '); -- "&amp;E517</f>
        <v/>
      </c>
      <c r="I517" s="241" t="inlineStr">
        <is>
          <t xml:space="preserve">Devise du montant du contrat à l'origine </t>
        </is>
      </c>
      <c r="J517" s="309" t="inlineStr">
        <is>
          <t xml:space="preserve">Currency of the contract's initial amount </t>
        </is>
      </c>
      <c r="K517" s="370" t="inlineStr">
        <is>
          <t>ND</t>
        </is>
      </c>
      <c r="L517" s="371" t="inlineStr">
        <is>
          <t>ND</t>
        </is>
      </c>
      <c r="M517" s="1420" t="inlineStr">
        <is>
          <t>cdDevMtCtOr</t>
        </is>
      </c>
      <c r="N517" s="257" t="inlineStr">
        <is>
          <t>Obligatoire sous conditions</t>
        </is>
      </c>
      <c r="O517" s="371" t="inlineStr">
        <is>
          <t>Mandatory under conditions</t>
        </is>
      </c>
      <c r="P517" s="269" t="inlineStr">
        <is>
          <t>LC.0005</t>
        </is>
      </c>
      <c r="Q517" s="269" t="inlineStr">
        <is>
          <t>TA NM253</t>
        </is>
      </c>
      <c r="R517" s="241" t="inlineStr">
        <is>
          <t>NA</t>
        </is>
      </c>
      <c r="S517" s="233" t="inlineStr">
        <is>
          <t>NA</t>
        </is>
      </c>
      <c r="T517" s="313" t="inlineStr">
        <is>
          <t>ALPHA</t>
        </is>
      </c>
      <c r="U517" s="237" t="inlineStr">
        <is>
          <t>NA</t>
        </is>
      </c>
      <c r="V517" s="238" t="inlineStr">
        <is>
          <t>NA</t>
        </is>
      </c>
      <c r="W517" s="257" t="n">
        <v>3</v>
      </c>
      <c r="X517" s="945" t="inlineStr">
        <is>
          <t>NA</t>
        </is>
      </c>
      <c r="Y517" s="237" t="n">
        <v>41</v>
      </c>
      <c r="Z517" s="237" t="inlineStr">
        <is>
          <t>NA</t>
        </is>
      </c>
      <c r="AA517" s="237" t="inlineStr">
        <is>
          <t>NA</t>
        </is>
      </c>
      <c r="AB517" s="269" t="inlineStr">
        <is>
          <t>ANACREDIT, CONGLOMERATS, LOAN TAPE, NSFR, NZBA, PALMA</t>
        </is>
      </c>
      <c r="AC517" s="231" t="inlineStr">
        <is>
          <t>ND</t>
        </is>
      </c>
      <c r="AD517" s="257" t="inlineStr">
        <is>
          <t>N</t>
        </is>
      </c>
      <c r="AE517" s="971" t="inlineStr">
        <is>
          <t>EQU101
EQU201
ISS100
ISS200 et 300
TRE100
TRE2 à 4XX hors 203,205,206,207
TRE203, 205, 207
TRE206
TRE5XX
SIG
VAR*
INT</t>
        </is>
      </c>
      <c r="AF517" s="257" t="inlineStr">
        <is>
          <t>NA</t>
        </is>
      </c>
      <c r="AG517" s="258" t="inlineStr">
        <is>
          <t>NA</t>
        </is>
      </c>
      <c r="AH517" s="89" t="n"/>
      <c r="AI517" s="316" t="inlineStr">
        <is>
          <t>La donnée est obligatoire si le montant du contrat à l'origine [P1 22.8] est renseigné</t>
        </is>
      </c>
      <c r="AJ517" s="317" t="inlineStr">
        <is>
          <t>The data is mandatory if original contract amount [P1 22.8] is filled</t>
        </is>
      </c>
      <c r="AK517" s="257" t="n">
        <v>7</v>
      </c>
      <c r="AL517" s="335" t="inlineStr">
        <is>
          <t>TPG0002</t>
        </is>
      </c>
      <c r="AM517" s="318" t="inlineStr">
        <is>
          <t>Si elle est renseignée, la valeur doit être connue du Langage Commun associé</t>
        </is>
      </c>
      <c r="AN517" s="317" t="inlineStr">
        <is>
          <t>If specified, the value must be known to the associated Common Language</t>
        </is>
      </c>
      <c r="AO517" s="257" t="n">
        <v>7</v>
      </c>
      <c r="AP517" s="212" t="inlineStr">
        <is>
          <t>TIG0001</t>
        </is>
      </c>
      <c r="AQ517" s="318" t="n"/>
      <c r="AR517" s="317" t="n"/>
      <c r="AS517" s="257" t="n"/>
      <c r="AT517" s="258" t="n"/>
      <c r="AU517" s="318" t="n"/>
      <c r="AV517" s="317" t="n"/>
      <c r="AW517" s="257" t="n"/>
      <c r="AX517" s="258" t="n"/>
      <c r="AY517" s="318" t="n"/>
      <c r="AZ517" s="317" t="n"/>
      <c r="BA517" s="257" t="n"/>
      <c r="BB517" s="258" t="n"/>
      <c r="BC517" s="316" t="n"/>
      <c r="BD517" s="317" t="n"/>
      <c r="BE517" s="257" t="n"/>
      <c r="BF517" s="258" t="n"/>
      <c r="BG517" s="89" t="n"/>
      <c r="BH5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17">
        <f>_xlfn.LET(r,ROW(),oc,INDEX($A:$A,r),cv,TRIM(INDEX($Y:$Y,r)&amp;""),IF(oc&lt;&gt;"P1","",IF(cv="45","V45 - novo, nao alimentado pelo spool atual","V44 - alimentado pelo spool atual")))</f>
        <v/>
      </c>
    </row>
    <row r="518" ht="54" customFormat="1" customHeight="1" s="91">
      <c r="A518" s="306" t="inlineStr">
        <is>
          <t>P1</t>
        </is>
      </c>
      <c r="B518" s="307" t="n">
        <v>283</v>
      </c>
      <c r="C518" s="269" t="inlineStr">
        <is>
          <t>06 - Caractéristiques échéancier</t>
        </is>
      </c>
      <c r="D518" s="236" t="inlineStr">
        <is>
          <t>06 - Schedule characteristics</t>
        </is>
      </c>
      <c r="E518" s="307" t="inlineStr">
        <is>
          <t>P1 22.12</t>
        </is>
      </c>
      <c r="F518" s="375" t="inlineStr">
        <is>
          <t xml:space="preserve">Indicateur échéancier fourni </t>
        </is>
      </c>
      <c r="G518" s="309" t="inlineStr">
        <is>
          <t xml:space="preserve">Repayment schedule provided indicator </t>
        </is>
      </c>
      <c r="H518" s="1493">
        <f>"RPAD( "&amp;SUBSTITUTE(SUBSTITUTE(E518," ","_"),".","_")&amp;","&amp;W518&amp;",' '); -- "&amp;E518</f>
        <v/>
      </c>
      <c r="I518" s="600" t="inlineStr">
        <is>
          <t>Permet d'indiquer si l'échéancier explicite est fourni. Si fourni, les caractéristiques permettant de reconstituer l'échéancier sont facultatives</t>
        </is>
      </c>
      <c r="J518" s="309" t="inlineStr">
        <is>
          <t>Indicates whether explicit schedule is provided. If provided, the characteristics allowing reconstitution of the repayment schedule are optional</t>
        </is>
      </c>
      <c r="K518" s="370" t="inlineStr">
        <is>
          <t>ND</t>
        </is>
      </c>
      <c r="L518" s="371" t="inlineStr">
        <is>
          <t>ND</t>
        </is>
      </c>
      <c r="M518" s="1420" t="inlineStr">
        <is>
          <t>cdIndEch</t>
        </is>
      </c>
      <c r="N518" s="231" t="inlineStr">
        <is>
          <t>Obligatoire sous conditions</t>
        </is>
      </c>
      <c r="O518" s="371" t="inlineStr">
        <is>
          <t>Mandatory under conditions</t>
        </is>
      </c>
      <c r="P518" s="269" t="inlineStr">
        <is>
          <t>LC.0222</t>
        </is>
      </c>
      <c r="Q518" s="269" t="inlineStr">
        <is>
          <t>TA XPTOPECH</t>
        </is>
      </c>
      <c r="R518" s="241" t="inlineStr">
        <is>
          <t>NA</t>
        </is>
      </c>
      <c r="S518" s="233" t="inlineStr">
        <is>
          <t>NA</t>
        </is>
      </c>
      <c r="T518" s="313" t="inlineStr">
        <is>
          <t>ALPHA</t>
        </is>
      </c>
      <c r="U518" s="237" t="inlineStr">
        <is>
          <t>NA</t>
        </is>
      </c>
      <c r="V518" s="238" t="inlineStr">
        <is>
          <t>NA</t>
        </is>
      </c>
      <c r="W518" s="257" t="n">
        <v>1</v>
      </c>
      <c r="X518" s="945" t="inlineStr">
        <is>
          <t>NA</t>
        </is>
      </c>
      <c r="Y518" s="237" t="n">
        <v>41</v>
      </c>
      <c r="Z518" s="237" t="inlineStr">
        <is>
          <t>NA</t>
        </is>
      </c>
      <c r="AA518" s="270" t="inlineStr">
        <is>
          <t>45.00</t>
        </is>
      </c>
      <c r="AB518" s="932" t="inlineStr">
        <is>
          <t>CORFOU, OMP, LIQUIDITE, PALMA</t>
        </is>
      </c>
      <c r="AC518" s="231" t="inlineStr">
        <is>
          <t>ND</t>
        </is>
      </c>
      <c r="AD518" s="257" t="inlineStr">
        <is>
          <t>N</t>
        </is>
      </c>
      <c r="AE518" s="971" t="inlineStr">
        <is>
          <t>EQU101
EQU201
ISS100
ISS200 et 300
TRE100
TRE2 à 4XX hors 203,205,206,207
TRE203, 205, 207
TRE206
TRE5XX
SIG
VAR*
INT</t>
        </is>
      </c>
      <c r="AF518" s="257" t="inlineStr">
        <is>
          <t>NA</t>
        </is>
      </c>
      <c r="AG518" s="258" t="inlineStr">
        <is>
          <t>NA</t>
        </is>
      </c>
      <c r="AH518" s="89" t="n"/>
      <c r="AI518" s="316" t="inlineStr">
        <is>
          <t>La donnée est obligatoire si la donnée indicateur produit échéancé [P1 22.56] = 'ECH'</t>
        </is>
      </c>
      <c r="AJ518" s="317" t="inlineStr">
        <is>
          <t>The data is mandatory if the indicator product schedule [P1 22.56] = 'ECH'</t>
        </is>
      </c>
      <c r="AK518" s="257" t="n">
        <v>7</v>
      </c>
      <c r="AL518" s="366" t="inlineStr">
        <is>
          <t>TPS0847</t>
        </is>
      </c>
      <c r="AM518" s="452" t="inlineStr">
        <is>
          <t>Si elle est renseignée, la valeur doit être connue du Langage Commun associé</t>
        </is>
      </c>
      <c r="AN518" s="377" t="inlineStr">
        <is>
          <t>If specified, the value must be known to the associated Common Language</t>
        </is>
      </c>
      <c r="AO518" s="257" t="n">
        <v>7</v>
      </c>
      <c r="AP518" s="212" t="inlineStr">
        <is>
          <t>TIG0001</t>
        </is>
      </c>
      <c r="AQ518" s="318" t="n"/>
      <c r="AR518" s="317" t="n"/>
      <c r="AS518" s="257" t="n"/>
      <c r="AT518" s="258" t="n"/>
      <c r="AU518" s="318" t="n"/>
      <c r="AV518" s="317" t="n"/>
      <c r="AW518" s="257" t="n"/>
      <c r="AX518" s="258" t="n"/>
      <c r="AY518" s="582" t="inlineStr">
        <is>
          <t xml:space="preserve">Si la valeur renseignée est 'O', il existe au moins un enregistrement de même identifiant (1.11 (P1) Identifiant de l'engagement) dans l'objet métier échéancier E1
</t>
        </is>
      </c>
      <c r="AZ518" s="489" t="inlineStr">
        <is>
          <t>If the value filled is 'O', there is at least one record linked with the same identifier (1.11 (P1) Commitment identifier) in the schedule business object E1</t>
        </is>
      </c>
      <c r="BA518" s="583" t="n">
        <v>6</v>
      </c>
      <c r="BB518" s="481" t="inlineStr">
        <is>
          <t>TC0224</t>
        </is>
      </c>
      <c r="BC518" s="316" t="n"/>
      <c r="BD518" s="317" t="n"/>
      <c r="BE518" s="257" t="n"/>
      <c r="BF518" s="258" t="n"/>
      <c r="BG518" s="89" t="n"/>
      <c r="BH5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18">
        <f>_xlfn.LET(r,ROW(),oc,INDEX($A:$A,r),cv,TRIM(INDEX($Y:$Y,r)&amp;""),IF(oc&lt;&gt;"P1","",IF(cv="45","V45 - novo, nao alimentado pelo spool atual","V44 - alimentado pelo spool atual")))</f>
        <v/>
      </c>
    </row>
    <row r="519" ht="54" customFormat="1" customHeight="1" s="91">
      <c r="A519" s="306" t="inlineStr">
        <is>
          <t>P1</t>
        </is>
      </c>
      <c r="B519" s="307" t="n">
        <v>284</v>
      </c>
      <c r="C519" s="269" t="inlineStr">
        <is>
          <t>22 - Caractéristiques de taux</t>
        </is>
      </c>
      <c r="D519" s="236" t="inlineStr">
        <is>
          <t>22 - Rate characteristics</t>
        </is>
      </c>
      <c r="E519" s="307" t="inlineStr">
        <is>
          <t>P1 22.13</t>
        </is>
      </c>
      <c r="F519" s="308" t="inlineStr">
        <is>
          <t>Taux d'intérêt effectif (TIE) à l'origine</t>
        </is>
      </c>
      <c r="G519" s="309" t="inlineStr">
        <is>
          <t>Initial effective interest rate (EIR)</t>
        </is>
      </c>
      <c r="H519" s="1493">
        <f>"RPAD( "&amp;SUBSTITUTE(SUBSTITUTE(E519," ","_"),".","_")&amp;","&amp;W519&amp;",' '); -- "&amp;E519</f>
        <v/>
      </c>
      <c r="I519" s="950" t="inlineStr">
        <is>
          <t>TIE ou taux nominal ou taux de rendement ou valeur de l'indice à date + spread d'origine 
Exprimé en %</t>
        </is>
      </c>
      <c r="J519" s="309" t="inlineStr">
        <is>
          <t>EIR or nominal interest rate or rate of return or value of the index at a given date + initial spread 
Expressed as %</t>
        </is>
      </c>
      <c r="K519" s="370" t="inlineStr">
        <is>
          <t>ND</t>
        </is>
      </c>
      <c r="L519" s="371" t="inlineStr">
        <is>
          <t>ND</t>
        </is>
      </c>
      <c r="M519" s="1420" t="inlineStr">
        <is>
          <t>cdTIEOr</t>
        </is>
      </c>
      <c r="N519" s="257" t="inlineStr">
        <is>
          <t>Obligatoire sous conditions</t>
        </is>
      </c>
      <c r="O519" s="371" t="inlineStr">
        <is>
          <t>Mandatory under conditions</t>
        </is>
      </c>
      <c r="P519" s="269" t="inlineStr">
        <is>
          <t>NA</t>
        </is>
      </c>
      <c r="Q519" s="269" t="inlineStr">
        <is>
          <t>NA</t>
        </is>
      </c>
      <c r="R519" s="241" t="inlineStr">
        <is>
          <t>TIE ou taux nominal ou taux de rendement ou valeur de l'indice à date + spread d'origine</t>
        </is>
      </c>
      <c r="S519" s="233" t="inlineStr">
        <is>
          <t>TIE or nominal rate or yield rate or index value on date + original spread</t>
        </is>
      </c>
      <c r="T519" s="313" t="inlineStr">
        <is>
          <t>NUM</t>
        </is>
      </c>
      <c r="U519" s="237" t="inlineStr">
        <is>
          <t>10 dont signe et 5 décimales</t>
        </is>
      </c>
      <c r="V519" s="238" t="inlineStr">
        <is>
          <t>10 including sign and 5 decimals</t>
        </is>
      </c>
      <c r="W519" s="257" t="n">
        <v>10</v>
      </c>
      <c r="X519" s="945" t="inlineStr">
        <is>
          <t>NA</t>
        </is>
      </c>
      <c r="Y519" s="237" t="n">
        <v>41</v>
      </c>
      <c r="Z519" s="237" t="inlineStr">
        <is>
          <t>NA</t>
        </is>
      </c>
      <c r="AA519" s="270" t="inlineStr">
        <is>
          <t>45.00</t>
        </is>
      </c>
      <c r="AB519" s="269" t="inlineStr">
        <is>
          <t>CONGLOMERATS, LOAN TAPE, OMP, PALMA</t>
        </is>
      </c>
      <c r="AC519" s="231" t="inlineStr">
        <is>
          <t>ND</t>
        </is>
      </c>
      <c r="AD519" s="257" t="inlineStr">
        <is>
          <t>N</t>
        </is>
      </c>
      <c r="AE519" s="257" t="inlineStr">
        <is>
          <t xml:space="preserve">ISS200 et 300
TRE2 à 4XX hors 203,205,206,207
TRE5XX
VAR105 et 302
</t>
        </is>
      </c>
      <c r="AF519" s="257" t="inlineStr">
        <is>
          <t>NA</t>
        </is>
      </c>
      <c r="AG519" s="258" t="inlineStr">
        <is>
          <t>NA</t>
        </is>
      </c>
      <c r="AH519" s="89" t="n"/>
      <c r="AI519" s="1045" t="inlineStr">
        <is>
          <t>La donnée est obligatoire si le type de risque [P1 2.0] = [TRE2xx, TRE3xx, TRE4xx, TRE5xx hors (TRE203, TRE205, TRE206, TRE207), VAR105, VAR302] ET si l'indicateur produit échéancé [P1 22.56] = 'ECH' ET si l'indicateur échéancier fourni [P1 22.12] = 'N' ET si l'indicateur objet métier palier fourni [P1 22.57] = 'N' ou vide</t>
        </is>
      </c>
      <c r="AJ519" s="931" t="inlineStr">
        <is>
          <t>The data is mandatory if Risk type [P1 2.0] = [TRE2xx, TRE3xx, TRE4xx, TRE5xx except (TRE203, TRE205, TRE206, TRE207), VAR105, VAR302] AND if the indicator product schedule [P1 22.56] = 'ECH' AND if the repayment schedule provided indicator [P1 22.12] = 'N' AND if the indicator of business object stage provided [P1 22.57] = 'N' or empty</t>
        </is>
      </c>
      <c r="AK519" s="958" t="n">
        <v>6</v>
      </c>
      <c r="AL519" s="1061" t="inlineStr">
        <is>
          <t>TPSXXX (ex-TPS0853/TPS0950) -- TPS0853 à conserver</t>
        </is>
      </c>
      <c r="AM519" s="318" t="n"/>
      <c r="AN519" s="317" t="n"/>
      <c r="AO519" s="257" t="n"/>
      <c r="AP519" s="258" t="n"/>
      <c r="AQ519" s="318" t="n"/>
      <c r="AR519" s="317" t="n"/>
      <c r="AS519" s="257" t="n"/>
      <c r="AT519" s="258" t="n"/>
      <c r="AU519" s="318" t="n"/>
      <c r="AV519" s="317" t="n"/>
      <c r="AW519" s="257" t="n"/>
      <c r="AX519" s="258" t="n"/>
      <c r="AY519" s="318" t="n"/>
      <c r="AZ519" s="317" t="n"/>
      <c r="BA519" s="257" t="n"/>
      <c r="BB519" s="258" t="n"/>
      <c r="BC519" s="316" t="n"/>
      <c r="BD519" s="317" t="n"/>
      <c r="BE519" s="257" t="n"/>
      <c r="BF519" s="258" t="n"/>
      <c r="BG519" s="89" t="n"/>
      <c r="BH5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19">
        <f>_xlfn.LET(r,ROW(),oc,INDEX($A:$A,r),cv,TRIM(INDEX($Y:$Y,r)&amp;""),IF(oc&lt;&gt;"P1","",IF(cv="45","V45 - novo, nao alimentado pelo spool atual","V44 - alimentado pelo spool atual")))</f>
        <v/>
      </c>
    </row>
    <row r="520" ht="54" customFormat="1" customHeight="1" s="91">
      <c r="A520" s="306" t="inlineStr">
        <is>
          <t>P1</t>
        </is>
      </c>
      <c r="B520" s="307" t="n">
        <v>285</v>
      </c>
      <c r="C520" s="269" t="inlineStr">
        <is>
          <t>22 - Caractéristiques de taux</t>
        </is>
      </c>
      <c r="D520" s="236" t="inlineStr">
        <is>
          <t>22 - Rate characteristics</t>
        </is>
      </c>
      <c r="E520" s="307" t="inlineStr">
        <is>
          <t>P1 22.14</t>
        </is>
      </c>
      <c r="F520" s="308" t="inlineStr">
        <is>
          <t xml:space="preserve">Type de taux </t>
        </is>
      </c>
      <c r="G520" s="309" t="inlineStr">
        <is>
          <t xml:space="preserve">Type of interest rate </t>
        </is>
      </c>
      <c r="H520" s="1493">
        <f>"RPAD( "&amp;SUBSTITUTE(SUBSTITUTE(E520," ","_"),".","_")&amp;","&amp;W520&amp;",' '); -- "&amp;E520</f>
        <v/>
      </c>
      <c r="I520" s="278" t="inlineStr">
        <is>
          <t>Indique le type de taux d'intérêt contractuel</t>
        </is>
      </c>
      <c r="J520" s="160" t="inlineStr">
        <is>
          <t>Indicates the type of interest rate applied contractually</t>
        </is>
      </c>
      <c r="K520" s="370" t="inlineStr">
        <is>
          <t>ND</t>
        </is>
      </c>
      <c r="L520" s="371" t="inlineStr">
        <is>
          <t>ND</t>
        </is>
      </c>
      <c r="M520" s="1420" t="inlineStr">
        <is>
          <t>cdTypTxPer</t>
        </is>
      </c>
      <c r="N520" s="231" t="inlineStr">
        <is>
          <t>Obligatoire sous conditions</t>
        </is>
      </c>
      <c r="O520" s="371" t="inlineStr">
        <is>
          <t>Mandatory under conditions</t>
        </is>
      </c>
      <c r="P520" s="269" t="inlineStr">
        <is>
          <t>LC.0035</t>
        </is>
      </c>
      <c r="Q520" s="269" t="inlineStr">
        <is>
          <t>TA KVTTAUX</t>
        </is>
      </c>
      <c r="R520" s="241" t="inlineStr">
        <is>
          <t>NA</t>
        </is>
      </c>
      <c r="S520" s="233" t="inlineStr">
        <is>
          <t>NA</t>
        </is>
      </c>
      <c r="T520" s="313" t="inlineStr">
        <is>
          <t>ALPHA</t>
        </is>
      </c>
      <c r="U520" s="237" t="inlineStr">
        <is>
          <t>NA</t>
        </is>
      </c>
      <c r="V520" s="238" t="inlineStr">
        <is>
          <t>NA</t>
        </is>
      </c>
      <c r="W520" s="257" t="n">
        <v>1</v>
      </c>
      <c r="X520" s="945" t="inlineStr">
        <is>
          <t>NA</t>
        </is>
      </c>
      <c r="Y520" s="237" t="n">
        <v>41</v>
      </c>
      <c r="Z520" s="237" t="inlineStr">
        <is>
          <t>NA</t>
        </is>
      </c>
      <c r="AA520" s="1020" t="inlineStr">
        <is>
          <t>45.00</t>
        </is>
      </c>
      <c r="AB520" s="932" t="inlineStr">
        <is>
          <t>ALMM, ANACREDIT, CONGLOMERATS, CORFOU, LIQUIDITE, LOAN TAPE, OMP, PALMA, SRB VALUATION</t>
        </is>
      </c>
      <c r="AC520" s="231" t="inlineStr">
        <is>
          <t>ND</t>
        </is>
      </c>
      <c r="AD520" s="257" t="inlineStr">
        <is>
          <t>N</t>
        </is>
      </c>
      <c r="AE520" s="601" t="inlineStr">
        <is>
          <t xml:space="preserve">ISS200, ISS300
TRE2 à 4XX hors 203,205,206,207
TRE5XX
SIG
VAR105 et 302
</t>
        </is>
      </c>
      <c r="AF520" s="257" t="inlineStr">
        <is>
          <t>NA</t>
        </is>
      </c>
      <c r="AG520" s="258" t="inlineStr">
        <is>
          <t>NA</t>
        </is>
      </c>
      <c r="AH520" s="89" t="n"/>
      <c r="AI520" s="1226" t="inlineStr">
        <is>
          <t>La donnée est obligatoire si le type de risque [P1 2.0] = 'TRE2xx, TRE3xx, TRE4xx, TRE5xx hors (TRE203, TRE205, TRE206, TRE207), VAR105, VAR302, ISS200, ISS300'</t>
        </is>
      </c>
      <c r="AJ520" s="931" t="inlineStr">
        <is>
          <t>The data is mandatory if Risk type [P1 2.0] = 'TRE2xx, TRE3xx, TRE4xx, TRE5xx except (TRE203, TRE205, TRE206, TRE207), VAR105, VAR302, ISS200, ISS300'</t>
        </is>
      </c>
      <c r="AK520" s="932" t="n">
        <v>7</v>
      </c>
      <c r="AL520" s="1227" t="inlineStr">
        <is>
          <t>TPSXXX</t>
        </is>
      </c>
      <c r="AM520" s="452" t="inlineStr">
        <is>
          <t>Si elle est renseignée, la valeur doit être connue du Langage Commun associé</t>
        </is>
      </c>
      <c r="AN520" s="377" t="inlineStr">
        <is>
          <t>If specified, the value must be known to the associated Common Language</t>
        </is>
      </c>
      <c r="AO520" s="257" t="n">
        <v>7</v>
      </c>
      <c r="AP520" s="212" t="inlineStr">
        <is>
          <t>TIG0001</t>
        </is>
      </c>
      <c r="AQ520" s="318" t="n"/>
      <c r="AR520" s="317" t="n"/>
      <c r="AS520" s="257" t="n"/>
      <c r="AT520" s="258" t="n"/>
      <c r="AU520" s="318" t="n"/>
      <c r="AV520" s="317" t="n"/>
      <c r="AW520" s="257" t="n"/>
      <c r="AX520" s="258" t="n"/>
      <c r="AY520" s="318" t="n"/>
      <c r="AZ520" s="317" t="n"/>
      <c r="BA520" s="257" t="n"/>
      <c r="BB520" s="258" t="n"/>
      <c r="BC520" s="316" t="n"/>
      <c r="BD520" s="317" t="n"/>
      <c r="BE520" s="257" t="n"/>
      <c r="BF520" s="258" t="n"/>
      <c r="BG520" s="89" t="n"/>
      <c r="BH5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20">
        <f>_xlfn.LET(r,ROW(),oc,INDEX($A:$A,r),cv,TRIM(INDEX($Y:$Y,r)&amp;""),IF(oc&lt;&gt;"P1","",IF(cv="45","V45 - novo, nao alimentado pelo spool atual","V44 - alimentado pelo spool atual")))</f>
        <v/>
      </c>
    </row>
    <row r="521" ht="54" customFormat="1" customHeight="1" s="91">
      <c r="A521" s="306" t="inlineStr">
        <is>
          <t>P1</t>
        </is>
      </c>
      <c r="B521" s="307" t="n">
        <v>286</v>
      </c>
      <c r="C521" s="269" t="inlineStr">
        <is>
          <t>22 - Caractéristiques de taux</t>
        </is>
      </c>
      <c r="D521" s="236" t="inlineStr">
        <is>
          <t>22 - Rate characteristics</t>
        </is>
      </c>
      <c r="E521" s="307" t="inlineStr">
        <is>
          <t>P1 22.15</t>
        </is>
      </c>
      <c r="F521" s="1172" t="inlineStr">
        <is>
          <t>Indice de référence</t>
        </is>
      </c>
      <c r="G521" s="968" t="inlineStr">
        <is>
          <t xml:space="preserve">Reference index </t>
        </is>
      </c>
      <c r="H521" s="1493">
        <f>"RPAD( "&amp;SUBSTITUTE(SUBSTITUTE(E521," ","_"),".","_")&amp;","&amp;W521&amp;",' '); -- "&amp;E521</f>
        <v/>
      </c>
      <c r="I521" s="1176" t="inlineStr">
        <is>
          <t>Indice de référence pour les taux variables ou révisables</t>
        </is>
      </c>
      <c r="J521" s="964" t="inlineStr">
        <is>
          <t xml:space="preserve">Reference index for variable or revisable rates </t>
        </is>
      </c>
      <c r="K521" s="370" t="inlineStr">
        <is>
          <t>ND</t>
        </is>
      </c>
      <c r="L521" s="371" t="inlineStr">
        <is>
          <t>ND</t>
        </is>
      </c>
      <c r="M521" s="1420" t="inlineStr">
        <is>
          <t>cdIndRefTx</t>
        </is>
      </c>
      <c r="N521" s="231" t="inlineStr">
        <is>
          <t>Obligatoire sous conditions</t>
        </is>
      </c>
      <c r="O521" s="371" t="inlineStr">
        <is>
          <t>Mandatory under conditions</t>
        </is>
      </c>
      <c r="P521" s="269" t="inlineStr">
        <is>
          <t>LC.0229</t>
        </is>
      </c>
      <c r="Q521" s="269" t="inlineStr">
        <is>
          <t>TA XPINDEX</t>
        </is>
      </c>
      <c r="R521" s="241" t="inlineStr">
        <is>
          <t>NA</t>
        </is>
      </c>
      <c r="S521" s="233" t="inlineStr">
        <is>
          <t>NA</t>
        </is>
      </c>
      <c r="T521" s="313" t="inlineStr">
        <is>
          <t>ALPHA</t>
        </is>
      </c>
      <c r="U521" s="237" t="inlineStr">
        <is>
          <t>NA</t>
        </is>
      </c>
      <c r="V521" s="238" t="inlineStr">
        <is>
          <t>NA</t>
        </is>
      </c>
      <c r="W521" s="257" t="n">
        <v>12</v>
      </c>
      <c r="X521" s="945" t="inlineStr">
        <is>
          <t>NA</t>
        </is>
      </c>
      <c r="Y521" s="237" t="n">
        <v>41</v>
      </c>
      <c r="Z521" s="237" t="inlineStr">
        <is>
          <t>NA</t>
        </is>
      </c>
      <c r="AA521" s="1020" t="inlineStr">
        <is>
          <t>45.00</t>
        </is>
      </c>
      <c r="AB521" s="932" t="inlineStr">
        <is>
          <t>ALMM, ANACREDIT, CORFOU, LIQUIDITE, LOAN TAPE, OMP, PALMA</t>
        </is>
      </c>
      <c r="AC521" s="231" t="inlineStr">
        <is>
          <t>ND</t>
        </is>
      </c>
      <c r="AD521" s="257" t="inlineStr">
        <is>
          <t>N</t>
        </is>
      </c>
      <c r="AE521" s="602" t="inlineStr">
        <is>
          <t xml:space="preserve">ISS200, ISS300
TRE2 à 4XX hors 203,205,206,207
TRE5XX
SIG
VAR105 et 302
</t>
        </is>
      </c>
      <c r="AF521" s="257" t="inlineStr">
        <is>
          <t>NA</t>
        </is>
      </c>
      <c r="AG521" s="258" t="inlineStr">
        <is>
          <t>NA</t>
        </is>
      </c>
      <c r="AH521" s="89" t="n"/>
      <c r="AI521" s="1226" t="inlineStr">
        <is>
          <t>La donnée est obligatoire si le type de risque [P1 2.0] = 'TRE2xx, TRE3xx, TRE4xx, TRE5xx hors (TRE203, TRE205, TRE206, TRE207), VAR105, VAR302, ISS200, ISS300' ET si le type de taux [P1 22.14] = 'V' ou 'R'</t>
        </is>
      </c>
      <c r="AJ521" s="931" t="inlineStr">
        <is>
          <t>The data is mandatory if Risk type [P1 2.0] = 'TRE2xx, TRE3xx, TRE4xx, TRE5xx except (TRE203, TRE205, TRE206, TRE207), VAR105, VAR302, ISS200, ISS300' AND if Type of interest rate [P1 22.14] = 'V' or 'R'</t>
        </is>
      </c>
      <c r="AK521" s="932" t="n">
        <v>6</v>
      </c>
      <c r="AL521" s="1061" t="inlineStr">
        <is>
          <t>TPSXXX (ex-TPS0854/TPS0856/TPS0855)</t>
        </is>
      </c>
      <c r="AM521" s="452" t="inlineStr">
        <is>
          <t>Si elle est renseignée, la valeur doit être connue du Langage Commun associé</t>
        </is>
      </c>
      <c r="AN521" s="377" t="inlineStr">
        <is>
          <t>If specified, the value must be known to the associated Common Language</t>
        </is>
      </c>
      <c r="AO521" s="257" t="n">
        <v>7</v>
      </c>
      <c r="AP521" s="212" t="inlineStr">
        <is>
          <t>TIG0001</t>
        </is>
      </c>
      <c r="AQ521" s="318" t="n"/>
      <c r="AR521" s="317" t="n"/>
      <c r="AS521" s="257" t="n"/>
      <c r="AT521" s="258" t="n"/>
      <c r="AU521" s="318" t="n"/>
      <c r="AV521" s="317" t="n"/>
      <c r="AW521" s="257" t="n"/>
      <c r="AX521" s="258" t="n"/>
      <c r="AY521" s="318" t="n"/>
      <c r="AZ521" s="317" t="n"/>
      <c r="BA521" s="257" t="n"/>
      <c r="BB521" s="258" t="n"/>
      <c r="BC521" s="316" t="n"/>
      <c r="BD521" s="317" t="n"/>
      <c r="BE521" s="257" t="n"/>
      <c r="BF521" s="258" t="n"/>
      <c r="BG521" s="89" t="n"/>
      <c r="BH5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21">
        <f>_xlfn.LET(r,ROW(),oc,INDEX($A:$A,r),cv,TRIM(INDEX($Y:$Y,r)&amp;""),IF(oc&lt;&gt;"P1","",IF(cv="45","V45 - novo, nao alimentado pelo spool atual","V44 - alimentado pelo spool atual")))</f>
        <v/>
      </c>
    </row>
    <row r="522" ht="54" customFormat="1" customHeight="1" s="91">
      <c r="A522" s="306" t="inlineStr">
        <is>
          <t>P1</t>
        </is>
      </c>
      <c r="B522" s="307" t="n">
        <v>287</v>
      </c>
      <c r="C522" s="269" t="inlineStr">
        <is>
          <t>06 - Caractéristiques échéancier</t>
        </is>
      </c>
      <c r="D522" s="236" t="inlineStr">
        <is>
          <t>06 - Schedule characteristics</t>
        </is>
      </c>
      <c r="E522" s="307" t="inlineStr">
        <is>
          <t>P1 22.16</t>
        </is>
      </c>
      <c r="F522" s="308" t="inlineStr">
        <is>
          <t>Type d'amortissement du capital</t>
        </is>
      </c>
      <c r="G522" s="309" t="inlineStr">
        <is>
          <t>Type of repayment of the principal</t>
        </is>
      </c>
      <c r="H522" s="1493">
        <f>"RPAD( "&amp;SUBSTITUTE(SUBSTITUTE(E522," ","_"),".","_")&amp;","&amp;W522&amp;",' '); -- "&amp;E522</f>
        <v/>
      </c>
      <c r="I522" s="241" t="inlineStr">
        <is>
          <t>Type d'amortissement du capital</t>
        </is>
      </c>
      <c r="J522" s="309" t="inlineStr">
        <is>
          <t>Type of repayment of the principal</t>
        </is>
      </c>
      <c r="K522" s="370" t="inlineStr">
        <is>
          <t>ND</t>
        </is>
      </c>
      <c r="L522" s="371" t="inlineStr">
        <is>
          <t>ND</t>
        </is>
      </c>
      <c r="M522" s="1420" t="inlineStr">
        <is>
          <t>cdTypAmort</t>
        </is>
      </c>
      <c r="N522" s="231" t="inlineStr">
        <is>
          <t>Obligatoire sous conditions</t>
        </is>
      </c>
      <c r="O522" s="371" t="inlineStr">
        <is>
          <t>Mandatory under conditions</t>
        </is>
      </c>
      <c r="P522" s="269" t="inlineStr">
        <is>
          <t>LC.0218</t>
        </is>
      </c>
      <c r="Q522" s="269" t="inlineStr">
        <is>
          <t>TA XPTYPAMO</t>
        </is>
      </c>
      <c r="R522" s="241" t="inlineStr">
        <is>
          <t>NA</t>
        </is>
      </c>
      <c r="S522" s="233" t="inlineStr">
        <is>
          <t>NA</t>
        </is>
      </c>
      <c r="T522" s="313" t="inlineStr">
        <is>
          <t>ALPHA</t>
        </is>
      </c>
      <c r="U522" s="237" t="inlineStr">
        <is>
          <t>NA</t>
        </is>
      </c>
      <c r="V522" s="238" t="inlineStr">
        <is>
          <t>NA</t>
        </is>
      </c>
      <c r="W522" s="257" t="n">
        <v>1</v>
      </c>
      <c r="X522" s="945" t="inlineStr">
        <is>
          <t>NA</t>
        </is>
      </c>
      <c r="Y522" s="237" t="n">
        <v>41</v>
      </c>
      <c r="Z522" s="237" t="inlineStr">
        <is>
          <t>NA</t>
        </is>
      </c>
      <c r="AA522" s="1020" t="inlineStr">
        <is>
          <t>45.00</t>
        </is>
      </c>
      <c r="AB522" s="932" t="inlineStr">
        <is>
          <t>ALMM, ANACREDIT, CORFOU, LIQUIDITE, LOAN TAPE, OMP, PALMA</t>
        </is>
      </c>
      <c r="AC522" s="231" t="inlineStr">
        <is>
          <t>ND</t>
        </is>
      </c>
      <c r="AD522" s="257" t="inlineStr">
        <is>
          <t>N</t>
        </is>
      </c>
      <c r="AE522" s="257" t="inlineStr">
        <is>
          <t xml:space="preserve">TRE2 à 4XX hors 203,205,206,207
TRE5XX
SIG
VARXXX
</t>
        </is>
      </c>
      <c r="AF522" s="257" t="inlineStr">
        <is>
          <t>NA</t>
        </is>
      </c>
      <c r="AG522" s="258" t="inlineStr">
        <is>
          <t>NA</t>
        </is>
      </c>
      <c r="AH522" s="89" t="n"/>
      <c r="AI522" s="1226" t="inlineStr">
        <is>
          <t>La donnée est obligatoire si le type de risque [P1 2.0] = [TRE2xx, TRE3xx, TRE4xx, TRE5xx hors (TRE203, TRE205, TRE206, TRE207), VAR105, VAR302] 
---
La donnée est obligatoire si le type de risque [P1 2.0] = 'VARxxx' (hors VAR105 et VAR302) et si l'Indicateur produit échéancé [P1 22.56] = ‘ECH'</t>
        </is>
      </c>
      <c r="AJ522" s="931" t="inlineStr">
        <is>
          <t>The data is mandatory if Risk type [P1 2.0] = [TRE2xx, TRE3xx, TRE4xx, TRE5xx except (TRE203, TRE205, TRE206, TRE207), VAR105, VAR302]
---
The data is mandatory if Risk type [P1 2.0] = 'VARxxx' (except VAR105 and VAR302) and if the data Indicator product schedule [P1 22.56] = ‘ECH'</t>
        </is>
      </c>
      <c r="AK522" s="932" t="n">
        <v>6</v>
      </c>
      <c r="AL522" s="1227" t="inlineStr">
        <is>
          <t>TPSXXX (ex-TPS0853/TPS0950)
TPS0837</t>
        </is>
      </c>
      <c r="AM522" s="452" t="inlineStr">
        <is>
          <t>Si elle est renseignée, la valeur doit être connue du Langage Commun associé</t>
        </is>
      </c>
      <c r="AN522" s="377" t="inlineStr">
        <is>
          <t>If specified, the value must be known to the associated Common Language</t>
        </is>
      </c>
      <c r="AO522" s="257" t="n">
        <v>7</v>
      </c>
      <c r="AP522" s="212" t="inlineStr">
        <is>
          <t>TIG0001</t>
        </is>
      </c>
      <c r="AQ522" s="318" t="n"/>
      <c r="AR522" s="317" t="n"/>
      <c r="AS522" s="257" t="n"/>
      <c r="AT522" s="258" t="n"/>
      <c r="AU522" s="318" t="n"/>
      <c r="AV522" s="317" t="n"/>
      <c r="AW522" s="257" t="n"/>
      <c r="AX522" s="258" t="n"/>
      <c r="AY522" s="318" t="n"/>
      <c r="AZ522" s="317" t="n"/>
      <c r="BA522" s="257" t="n"/>
      <c r="BB522" s="258" t="n"/>
      <c r="BC522" s="316" t="n"/>
      <c r="BD522" s="317" t="n"/>
      <c r="BE522" s="257" t="n"/>
      <c r="BF522" s="258" t="n"/>
      <c r="BG522" s="89" t="n"/>
      <c r="BH5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22">
        <f>_xlfn.LET(r,ROW(),oc,INDEX($A:$A,r),cv,TRIM(INDEX($Y:$Y,r)&amp;""),IF(oc&lt;&gt;"P1","",IF(cv="45","V45 - novo, nao alimentado pelo spool atual","V44 - alimentado pelo spool atual")))</f>
        <v/>
      </c>
    </row>
    <row r="523" ht="54" customFormat="1" customHeight="1" s="91">
      <c r="A523" s="306" t="inlineStr">
        <is>
          <t>P1</t>
        </is>
      </c>
      <c r="B523" s="307" t="n">
        <v>288</v>
      </c>
      <c r="C523" s="269" t="inlineStr">
        <is>
          <t>06 - Caractéristiques échéancier</t>
        </is>
      </c>
      <c r="D523" s="236" t="inlineStr">
        <is>
          <t>06 - Schedule characteristics</t>
        </is>
      </c>
      <c r="E523" s="307" t="inlineStr">
        <is>
          <t>P1 22.17</t>
        </is>
      </c>
      <c r="F523" s="603" t="inlineStr">
        <is>
          <t>Fréquence d'amortissement du capital</t>
        </is>
      </c>
      <c r="G523" s="309" t="inlineStr">
        <is>
          <t>Frequency of repayment of the principal</t>
        </is>
      </c>
      <c r="H523" s="1493">
        <f>"RPAD( "&amp;SUBSTITUTE(SUBSTITUTE(E523," ","_"),".","_")&amp;","&amp;W523&amp;",' '); -- "&amp;E523</f>
        <v/>
      </c>
      <c r="I523" s="241" t="inlineStr">
        <is>
          <t>Fréquence à laquelle le capital est remboursé</t>
        </is>
      </c>
      <c r="J523" s="309" t="inlineStr">
        <is>
          <t>Frequency at which the principal is repaid</t>
        </is>
      </c>
      <c r="K523" s="370" t="inlineStr">
        <is>
          <t>ND</t>
        </is>
      </c>
      <c r="L523" s="371" t="inlineStr">
        <is>
          <t>ND</t>
        </is>
      </c>
      <c r="M523" s="1420" t="inlineStr">
        <is>
          <t>PeAmort</t>
        </is>
      </c>
      <c r="N523" s="257" t="inlineStr">
        <is>
          <t>Obligatoire sous conditions</t>
        </is>
      </c>
      <c r="O523" s="371" t="inlineStr">
        <is>
          <t>Mandatory under conditions</t>
        </is>
      </c>
      <c r="P523" s="269" t="inlineStr">
        <is>
          <t>LC.0056</t>
        </is>
      </c>
      <c r="Q523" s="269" t="inlineStr">
        <is>
          <t>TA KVFREQU</t>
        </is>
      </c>
      <c r="R523" s="241" t="inlineStr">
        <is>
          <t>NA</t>
        </is>
      </c>
      <c r="S523" s="233" t="inlineStr">
        <is>
          <t>NA</t>
        </is>
      </c>
      <c r="T523" s="313" t="inlineStr">
        <is>
          <t>ALPHA</t>
        </is>
      </c>
      <c r="U523" s="237" t="inlineStr">
        <is>
          <t>NA</t>
        </is>
      </c>
      <c r="V523" s="238" t="inlineStr">
        <is>
          <t>NA</t>
        </is>
      </c>
      <c r="W523" s="257" t="n">
        <v>1</v>
      </c>
      <c r="X523" s="945" t="inlineStr">
        <is>
          <t>NA</t>
        </is>
      </c>
      <c r="Y523" s="237" t="n">
        <v>41</v>
      </c>
      <c r="Z523" s="237" t="inlineStr">
        <is>
          <t>NA</t>
        </is>
      </c>
      <c r="AA523" s="1020" t="inlineStr">
        <is>
          <t>45.00</t>
        </is>
      </c>
      <c r="AB523" s="932" t="inlineStr">
        <is>
          <t>ANACREDIT, CORFOU, LIQUIDITE, OMP, PALMA</t>
        </is>
      </c>
      <c r="AC523" s="231" t="inlineStr">
        <is>
          <t>ND</t>
        </is>
      </c>
      <c r="AD523" s="257" t="inlineStr">
        <is>
          <t>N</t>
        </is>
      </c>
      <c r="AE523" s="257" t="inlineStr">
        <is>
          <t>TRE2 à 4XX hors 203,205,206,207
TRE5XX
SIG
VARXXX</t>
        </is>
      </c>
      <c r="AF523" s="257" t="inlineStr">
        <is>
          <t>NA</t>
        </is>
      </c>
      <c r="AG523" s="258" t="inlineStr">
        <is>
          <t>NA</t>
        </is>
      </c>
      <c r="AH523" s="89" t="n"/>
      <c r="AI523" s="1233" t="inlineStr">
        <is>
          <t>La donnée est obligatoire si le type de risque [P1 2.0] = TRE2xx, TRE3xx, TRE4xx, TRE5xx hors (TRE203, TRE205, TRE206, TRE207)
---
La donnée est obligatoire si le type de risque [P1 2.0] = 'VARxxx' (hors VAR105 et VAR302) et si l'Indicateur produit échéancé [P1 22.56] = ‘ECH'</t>
        </is>
      </c>
      <c r="AJ523" s="931" t="inlineStr">
        <is>
          <t>The data is mandatory if Risk type [P1 2.0] = TRE2xx, TRE3xx, TRE4xx, TRE5xx except (TRE203, TRE205, TRE206, TRE207)
---
The data is mandatory if Risk type [P1 2.0] = 'VARxxx' (except VAR105 and VAR302) and if the data Indicator product schedule [P1 22.56] = ‘ECH'</t>
        </is>
      </c>
      <c r="AK523" s="958" t="n">
        <v>6</v>
      </c>
      <c r="AL523" s="1234" t="inlineStr">
        <is>
          <t>TPSXXX (ex-TPS0853)
TPS0837</t>
        </is>
      </c>
      <c r="AM523" s="452" t="inlineStr">
        <is>
          <t>Si elle est renseignée, la valeur doit être connue du Langage Commun associé</t>
        </is>
      </c>
      <c r="AN523" s="377" t="inlineStr">
        <is>
          <t>If specified, the value must be known to the associated Common Language</t>
        </is>
      </c>
      <c r="AO523" s="257" t="n">
        <v>7</v>
      </c>
      <c r="AP523" s="212" t="inlineStr">
        <is>
          <t>TIG0001</t>
        </is>
      </c>
      <c r="AQ523" s="318" t="n"/>
      <c r="AR523" s="317" t="n"/>
      <c r="AS523" s="257" t="n"/>
      <c r="AT523" s="258" t="n"/>
      <c r="AU523" s="318" t="n"/>
      <c r="AV523" s="317" t="n"/>
      <c r="AW523" s="257" t="n"/>
      <c r="AX523" s="258" t="n"/>
      <c r="AY523" s="318" t="n"/>
      <c r="AZ523" s="317" t="n"/>
      <c r="BA523" s="257" t="n"/>
      <c r="BB523" s="258" t="n"/>
      <c r="BC523" s="316" t="n"/>
      <c r="BD523" s="317" t="n"/>
      <c r="BE523" s="257" t="n"/>
      <c r="BF523" s="258" t="n"/>
      <c r="BG523" s="89" t="n"/>
      <c r="BH5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23">
        <f>_xlfn.LET(r,ROW(),oc,INDEX($A:$A,r),cv,TRIM(INDEX($Y:$Y,r)&amp;""),IF(oc&lt;&gt;"P1","",IF(cv="45","V45 - novo, nao alimentado pelo spool atual","V44 - alimentado pelo spool atual")))</f>
        <v/>
      </c>
    </row>
    <row r="524" ht="54" customFormat="1" customHeight="1" s="91">
      <c r="A524" s="306" t="inlineStr">
        <is>
          <t>P1</t>
        </is>
      </c>
      <c r="B524" s="307" t="n">
        <v>289</v>
      </c>
      <c r="C524" s="269" t="inlineStr">
        <is>
          <t>06 - Caractéristiques échéancier</t>
        </is>
      </c>
      <c r="D524" s="236" t="inlineStr">
        <is>
          <t>06 - Schedule characteristics</t>
        </is>
      </c>
      <c r="E524" s="307" t="inlineStr">
        <is>
          <t>P1 22.18</t>
        </is>
      </c>
      <c r="F524" s="1263" t="inlineStr">
        <is>
          <t>Fréquence de paiement des intérêts</t>
        </is>
      </c>
      <c r="G524" s="309" t="inlineStr">
        <is>
          <t>Frequency of interest payments</t>
        </is>
      </c>
      <c r="H524" s="1493">
        <f>"RPAD( "&amp;SUBSTITUTE(SUBSTITUTE(E524," ","_"),".","_")&amp;","&amp;W524&amp;",' '); -- "&amp;E524</f>
        <v/>
      </c>
      <c r="I524" s="241" t="inlineStr">
        <is>
          <t>Fréquence à laquelle les intérêts sont payés</t>
        </is>
      </c>
      <c r="J524" s="309" t="inlineStr">
        <is>
          <t>Frequency at which the interest is paid</t>
        </is>
      </c>
      <c r="K524" s="370" t="inlineStr">
        <is>
          <t>ND</t>
        </is>
      </c>
      <c r="L524" s="371" t="inlineStr">
        <is>
          <t>ND</t>
        </is>
      </c>
      <c r="M524" s="1420" t="inlineStr">
        <is>
          <t>PePai</t>
        </is>
      </c>
      <c r="N524" s="231" t="inlineStr">
        <is>
          <t>Obligatoire sous conditions</t>
        </is>
      </c>
      <c r="O524" s="371" t="inlineStr">
        <is>
          <t>Mandatory under conditions</t>
        </is>
      </c>
      <c r="P524" s="269" t="inlineStr">
        <is>
          <t>LC.0056</t>
        </is>
      </c>
      <c r="Q524" s="269" t="inlineStr">
        <is>
          <t>TA KVFREQU</t>
        </is>
      </c>
      <c r="R524" s="241" t="inlineStr">
        <is>
          <t>Si règlement in fine mettre 'X' (autre fréquence)</t>
        </is>
      </c>
      <c r="S524" s="233" t="inlineStr">
        <is>
          <t>If final settlement put 'X' (other frequency)</t>
        </is>
      </c>
      <c r="T524" s="313" t="inlineStr">
        <is>
          <t>ALPHA</t>
        </is>
      </c>
      <c r="U524" s="237" t="inlineStr">
        <is>
          <t>NA</t>
        </is>
      </c>
      <c r="V524" s="238" t="inlineStr">
        <is>
          <t>NA</t>
        </is>
      </c>
      <c r="W524" s="257" t="n">
        <v>1</v>
      </c>
      <c r="X524" s="945" t="inlineStr">
        <is>
          <t>NA</t>
        </is>
      </c>
      <c r="Y524" s="237" t="n">
        <v>41</v>
      </c>
      <c r="Z524" s="237" t="inlineStr">
        <is>
          <t>NA</t>
        </is>
      </c>
      <c r="AA524" s="1020" t="inlineStr">
        <is>
          <t>45.00</t>
        </is>
      </c>
      <c r="AB524" s="932" t="inlineStr">
        <is>
          <t>ANACREDIT, CORFOU, LIQUIDITE, LOAN TAPE, OMP, PALMA, SRB VALUATION</t>
        </is>
      </c>
      <c r="AC524" s="231" t="inlineStr">
        <is>
          <t>ND</t>
        </is>
      </c>
      <c r="AD524" s="257" t="inlineStr">
        <is>
          <t>N</t>
        </is>
      </c>
      <c r="AE524" s="602" t="inlineStr">
        <is>
          <t xml:space="preserve">ISS200, ISS300
TRE2 à 4XX hors 203,205,206,207
TRE5XX
SIG
VAR105 et 302
</t>
        </is>
      </c>
      <c r="AF524" s="257" t="inlineStr">
        <is>
          <t>NA</t>
        </is>
      </c>
      <c r="AG524" s="258" t="inlineStr">
        <is>
          <t>NA</t>
        </is>
      </c>
      <c r="AH524" s="89" t="n"/>
      <c r="AI524" s="1228" t="inlineStr">
        <is>
          <t>La donnée est obligatoire si le type de risque [P1 2.0] ='TRE2xx, TRE3xx, TRE4xx, TRE5xx hors (TRE203, TRE205, TRE206, TRE207), VAR105, VAR302, ISS200, ISS300'</t>
        </is>
      </c>
      <c r="AJ524" s="1047" t="inlineStr">
        <is>
          <t>The data is mandatory if Risk type [P1 2.0] = 'TRE2xx, TRE3xx, TRE4xx, TRE5xx except (TRE203, TRE205, TRE206, TRE207), VAR105, VAR302, ISS200, ISS300'</t>
        </is>
      </c>
      <c r="AK524" s="1230" t="n">
        <v>6</v>
      </c>
      <c r="AL524" s="1229" t="inlineStr">
        <is>
          <t>TPSXXX</t>
        </is>
      </c>
      <c r="AM524" s="452" t="inlineStr">
        <is>
          <t>Si elle est renseignée, la valeur doit être connue du Langage Commun associé</t>
        </is>
      </c>
      <c r="AN524" s="377" t="inlineStr">
        <is>
          <t>If specified, the value must be known to the associated Common Language</t>
        </is>
      </c>
      <c r="AO524" s="257" t="n">
        <v>7</v>
      </c>
      <c r="AP524" s="212" t="inlineStr">
        <is>
          <t>TIG0001</t>
        </is>
      </c>
      <c r="AQ524" s="318" t="n"/>
      <c r="AR524" s="317" t="n"/>
      <c r="AS524" s="257" t="n"/>
      <c r="AT524" s="258" t="n"/>
      <c r="AU524" s="318" t="n"/>
      <c r="AV524" s="317" t="n"/>
      <c r="AW524" s="257" t="n"/>
      <c r="AX524" s="258" t="n"/>
      <c r="AY524" s="318" t="n"/>
      <c r="AZ524" s="317" t="n"/>
      <c r="BA524" s="257" t="n"/>
      <c r="BB524" s="258" t="n"/>
      <c r="BC524" s="316" t="n"/>
      <c r="BD524" s="317" t="n"/>
      <c r="BE524" s="257" t="n"/>
      <c r="BF524" s="258" t="n"/>
      <c r="BG524" s="89" t="n"/>
      <c r="BH5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24">
        <f>_xlfn.LET(r,ROW(),oc,INDEX($A:$A,r),cv,TRIM(INDEX($Y:$Y,r)&amp;""),IF(oc&lt;&gt;"P1","",IF(cv="45","V45 - novo, nao alimentado pelo spool atual","V44 - alimentado pelo spool atual")))</f>
        <v/>
      </c>
    </row>
    <row r="525" ht="54" customFormat="1" customHeight="1" s="91">
      <c r="A525" s="306" t="inlineStr">
        <is>
          <t>P1</t>
        </is>
      </c>
      <c r="B525" s="307" t="n">
        <v>290</v>
      </c>
      <c r="C525" s="269" t="inlineStr">
        <is>
          <t>22 - Caractéristiques de taux</t>
        </is>
      </c>
      <c r="D525" s="236" t="inlineStr">
        <is>
          <t>22 - Rate characteristics</t>
        </is>
      </c>
      <c r="E525" s="307" t="inlineStr">
        <is>
          <t>P1 22.19</t>
        </is>
      </c>
      <c r="F525" s="573" t="inlineStr">
        <is>
          <t>Taux client à l'octroi</t>
        </is>
      </c>
      <c r="G525" s="309" t="inlineStr">
        <is>
          <t>Customer lending rate</t>
        </is>
      </c>
      <c r="H525" s="1493">
        <f>"RPAD( "&amp;SUBSTITUTE(SUBSTITUTE(E525," ","_"),".","_")&amp;","&amp;W525&amp;",' '); -- "&amp;E525</f>
        <v/>
      </c>
      <c r="I525" s="308" t="inlineStr">
        <is>
          <t>Correspond au taux client fixe ou variable à l'octroi 
Exprimé en %</t>
        </is>
      </c>
      <c r="J525" s="309" t="inlineStr">
        <is>
          <t>The customer fixed or variable lending rate at the origin 
Expressed as %</t>
        </is>
      </c>
      <c r="K525" s="370" t="inlineStr">
        <is>
          <t>ND</t>
        </is>
      </c>
      <c r="L525" s="371" t="inlineStr">
        <is>
          <t>ND</t>
        </is>
      </c>
      <c r="M525" s="1420" t="inlineStr">
        <is>
          <t>txCliOct</t>
        </is>
      </c>
      <c r="N525" s="257" t="inlineStr">
        <is>
          <t>Obligatoire sous conditions</t>
        </is>
      </c>
      <c r="O525" s="371" t="inlineStr">
        <is>
          <t>Mandatory under conditions</t>
        </is>
      </c>
      <c r="P525" s="269" t="inlineStr">
        <is>
          <t>NA</t>
        </is>
      </c>
      <c r="Q525" s="269" t="inlineStr">
        <is>
          <t>NA</t>
        </is>
      </c>
      <c r="R525" s="241" t="inlineStr">
        <is>
          <t>NB : Donnée facultative pour le type de risque SIG</t>
        </is>
      </c>
      <c r="S525" s="233" t="inlineStr">
        <is>
          <t>N.B. Optional data for the GIS risk type</t>
        </is>
      </c>
      <c r="T525" s="313" t="inlineStr">
        <is>
          <t>NUM</t>
        </is>
      </c>
      <c r="U525" s="237" t="inlineStr">
        <is>
          <t>10 dont signe et 5 décimales</t>
        </is>
      </c>
      <c r="V525" s="238" t="inlineStr">
        <is>
          <t>10 including sign and 5 decimals</t>
        </is>
      </c>
      <c r="W525" s="257" t="n">
        <v>10</v>
      </c>
      <c r="X525" s="945" t="inlineStr">
        <is>
          <t>NA</t>
        </is>
      </c>
      <c r="Y525" s="237" t="n">
        <v>41</v>
      </c>
      <c r="Z525" s="237" t="inlineStr">
        <is>
          <t>NA</t>
        </is>
      </c>
      <c r="AA525" s="1020" t="inlineStr">
        <is>
          <t>45.00</t>
        </is>
      </c>
      <c r="AB525" s="932" t="inlineStr">
        <is>
          <t>ANACREDIT, ASTRE, CONGLOMERATS, CORFOU, LIQUIDITE, OMP, PALMA</t>
        </is>
      </c>
      <c r="AC525" s="231" t="inlineStr">
        <is>
          <t>ND</t>
        </is>
      </c>
      <c r="AD525" s="257" t="inlineStr">
        <is>
          <t>N</t>
        </is>
      </c>
      <c r="AE525" s="602" t="inlineStr">
        <is>
          <t xml:space="preserve">ISS200, ISS300
TRE2 à 4XX hors 203,205,206,207
TRE5XX
SIG
VAR105 et 302
</t>
        </is>
      </c>
      <c r="AF525" s="257" t="inlineStr">
        <is>
          <t>NA</t>
        </is>
      </c>
      <c r="AG525" s="258" t="inlineStr">
        <is>
          <t>NA</t>
        </is>
      </c>
      <c r="AH525" s="89" t="n"/>
      <c r="AI525" s="1233" t="inlineStr">
        <is>
          <t>La donnée est obligatoire si le type de risque [P1 2.0] = [ISS200, ISS300, TRE2xx, TRE3xx, TRE4xx, TRE5xx hors (TRE203, TRE205, TRE206, TRE207), VAR105, VAR302]</t>
        </is>
      </c>
      <c r="AJ525" s="931" t="inlineStr">
        <is>
          <t>The data is mandatory if Risk type [P1 2.0] = [ISS200, ISS300, TRE2xx, TRE3xx, TRE4xx, TRE5xx except (TRE203, TRE205, TRE206, TRE207), VAR105, VAR302]</t>
        </is>
      </c>
      <c r="AK525" s="932" t="n">
        <v>6</v>
      </c>
      <c r="AL525" s="1234" t="inlineStr">
        <is>
          <t>TPSXXX (ex-TPS0853/TPS0950/TPS0951)</t>
        </is>
      </c>
      <c r="AM525" s="318" t="n"/>
      <c r="AN525" s="317" t="n"/>
      <c r="AO525" s="257" t="n"/>
      <c r="AP525" s="258" t="n"/>
      <c r="AQ525" s="318" t="n"/>
      <c r="AR525" s="317" t="n"/>
      <c r="AS525" s="257" t="n"/>
      <c r="AT525" s="258" t="n"/>
      <c r="AU525" s="318" t="n"/>
      <c r="AV525" s="317" t="n"/>
      <c r="AW525" s="257" t="n"/>
      <c r="AX525" s="258" t="n"/>
      <c r="AY525" s="318" t="n"/>
      <c r="AZ525" s="317" t="n"/>
      <c r="BA525" s="257" t="n"/>
      <c r="BB525" s="258" t="n"/>
      <c r="BC525" s="316" t="n"/>
      <c r="BD525" s="317" t="n"/>
      <c r="BE525" s="257" t="n"/>
      <c r="BF525" s="258" t="n"/>
      <c r="BG525" s="89" t="n"/>
      <c r="BH5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25">
        <f>_xlfn.LET(r,ROW(),oc,INDEX($A:$A,r),cv,TRIM(INDEX($Y:$Y,r)&amp;""),IF(oc&lt;&gt;"P1","",IF(cv="45","V45 - novo, nao alimentado pelo spool atual","V44 - alimentado pelo spool atual")))</f>
        <v/>
      </c>
    </row>
    <row r="526" ht="54" customFormat="1" customHeight="1" s="91">
      <c r="A526" s="306" t="inlineStr">
        <is>
          <t>P1</t>
        </is>
      </c>
      <c r="B526" s="307" t="n">
        <v>291</v>
      </c>
      <c r="C526" s="269" t="inlineStr">
        <is>
          <t>06 - Caractéristiques échéancier</t>
        </is>
      </c>
      <c r="D526" s="236" t="inlineStr">
        <is>
          <t>06 - Schedule characteristics</t>
        </is>
      </c>
      <c r="E526" s="307" t="inlineStr">
        <is>
          <t>P1 22.20</t>
        </is>
      </c>
      <c r="F526" s="308" t="inlineStr">
        <is>
          <t xml:space="preserve">Modalité de remboursement de la créance </t>
        </is>
      </c>
      <c r="G526" s="309" t="inlineStr">
        <is>
          <t xml:space="preserve">Loan repayment terms </t>
        </is>
      </c>
      <c r="H526" s="1493">
        <f>"RPAD( "&amp;SUBSTITUTE(SUBSTITUTE(E526," ","_"),".","_")&amp;","&amp;W526&amp;",' '); -- "&amp;E526</f>
        <v/>
      </c>
      <c r="I526" s="241" t="inlineStr">
        <is>
          <t>Modalité de remboursement de la créance</t>
        </is>
      </c>
      <c r="J526" s="309" t="inlineStr">
        <is>
          <t>Loan repayment terms</t>
        </is>
      </c>
      <c r="K526" s="370" t="inlineStr">
        <is>
          <t>ND</t>
        </is>
      </c>
      <c r="L526" s="371" t="inlineStr">
        <is>
          <t>ND</t>
        </is>
      </c>
      <c r="M526" s="1420" t="inlineStr">
        <is>
          <t>cdModRBT</t>
        </is>
      </c>
      <c r="N526" s="257" t="inlineStr">
        <is>
          <t>Obligatoire sous conditions</t>
        </is>
      </c>
      <c r="O526" s="371" t="inlineStr">
        <is>
          <t>Mandatory under conditions</t>
        </is>
      </c>
      <c r="P526" s="269" t="inlineStr">
        <is>
          <t>LC.0219</t>
        </is>
      </c>
      <c r="Q526" s="269" t="inlineStr">
        <is>
          <t>TA KVMODECH</t>
        </is>
      </c>
      <c r="R526" s="241" t="inlineStr">
        <is>
          <t>NA</t>
        </is>
      </c>
      <c r="S526" s="233" t="inlineStr">
        <is>
          <t>NA</t>
        </is>
      </c>
      <c r="T526" s="313" t="inlineStr">
        <is>
          <t>ALPHA</t>
        </is>
      </c>
      <c r="U526" s="237" t="inlineStr">
        <is>
          <t>NA</t>
        </is>
      </c>
      <c r="V526" s="238" t="inlineStr">
        <is>
          <t>NA</t>
        </is>
      </c>
      <c r="W526" s="257" t="n">
        <v>1</v>
      </c>
      <c r="X526" s="945" t="inlineStr">
        <is>
          <t>NA</t>
        </is>
      </c>
      <c r="Y526" s="237" t="n">
        <v>41</v>
      </c>
      <c r="Z526" s="237" t="inlineStr">
        <is>
          <t>NA</t>
        </is>
      </c>
      <c r="AA526" s="237" t="inlineStr">
        <is>
          <t>NA</t>
        </is>
      </c>
      <c r="AB526" s="269" t="inlineStr">
        <is>
          <t>OMP</t>
        </is>
      </c>
      <c r="AC526" s="231" t="inlineStr">
        <is>
          <t>ND</t>
        </is>
      </c>
      <c r="AD526" s="257" t="inlineStr">
        <is>
          <t>N</t>
        </is>
      </c>
      <c r="AE526" s="257" t="inlineStr">
        <is>
          <t xml:space="preserve">ISS200 et 300
TRE2 à 4XX hors 203,205,206,207
TRE5XX
SIG
</t>
        </is>
      </c>
      <c r="AF526" s="257" t="inlineStr">
        <is>
          <t>NA</t>
        </is>
      </c>
      <c r="AG526" s="258" t="inlineStr">
        <is>
          <t>NA</t>
        </is>
      </c>
      <c r="AH526" s="89" t="n"/>
      <c r="AI526" s="439" t="inlineStr">
        <is>
          <t>La donnée est obligatoire si le type de risque [P1 2.0] = TRE2xx, TRE3xx, TRE4xx, TRE5xx hors (TRE203, TRE205, TRE206, TRE207) ET que l'indicateur produit échéancé [P1 22.56] = 'ECH' ET que l'indicateur échéancier fourni [P1 22.12] = 'N' ET que l'indicateur objet métier palier fourni [P1 22.57] = 'N' ou vide</t>
        </is>
      </c>
      <c r="AJ526" s="317" t="inlineStr">
        <is>
          <t>The data is mandatory if Risk type [P1 2.0] = TRE2xx, TRE3xx, TRE4xx, TRE5xx except (TRE203, TRE205, TRE206, TRE207) AND the indicator product schedule [P1 22.56] = 'ECH' AND the repayment schedule provided indicator [P1 22.12] = 'N' AND the indicator of business object stage provided [P1 22.57] = 'N' or empty</t>
        </is>
      </c>
      <c r="AK526" s="257" t="n">
        <v>6</v>
      </c>
      <c r="AL526" s="424" t="inlineStr">
        <is>
          <t>TPS0853</t>
        </is>
      </c>
      <c r="AM526" s="318" t="inlineStr">
        <is>
          <t>Si elle est renseignée, la valeur doit être connue du Langage Commun associé</t>
        </is>
      </c>
      <c r="AN526" s="317" t="inlineStr">
        <is>
          <t>If specified, the value must be known to the associated Common Language</t>
        </is>
      </c>
      <c r="AO526" s="257" t="n">
        <v>7</v>
      </c>
      <c r="AP526" s="212" t="inlineStr">
        <is>
          <t>TIG0001</t>
        </is>
      </c>
      <c r="AQ526" s="318" t="n"/>
      <c r="AR526" s="317" t="n"/>
      <c r="AS526" s="257" t="n"/>
      <c r="AT526" s="258" t="n"/>
      <c r="AU526" s="318" t="n"/>
      <c r="AV526" s="317" t="n"/>
      <c r="AW526" s="257" t="n"/>
      <c r="AX526" s="258" t="n"/>
      <c r="AY526" s="318" t="n"/>
      <c r="AZ526" s="317" t="n"/>
      <c r="BA526" s="257" t="n"/>
      <c r="BB526" s="258" t="n"/>
      <c r="BC526" s="316" t="n"/>
      <c r="BD526" s="317" t="n"/>
      <c r="BE526" s="257" t="n"/>
      <c r="BF526" s="258" t="n"/>
      <c r="BG526" s="89" t="n"/>
      <c r="BH5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26">
        <f>_xlfn.LET(r,ROW(),oc,INDEX($A:$A,r),cv,TRIM(INDEX($Y:$Y,r)&amp;""),IF(oc&lt;&gt;"P1","",IF(cv="45","V45 - novo, nao alimentado pelo spool atual","V44 - alimentado pelo spool atual")))</f>
        <v/>
      </c>
    </row>
    <row r="527" ht="54" customFormat="1" customHeight="1" s="91">
      <c r="A527" s="306" t="inlineStr">
        <is>
          <t>P1</t>
        </is>
      </c>
      <c r="B527" s="307" t="n">
        <v>292</v>
      </c>
      <c r="C527" s="269" t="inlineStr">
        <is>
          <t>06 - Caractéristiques échéancier</t>
        </is>
      </c>
      <c r="D527" s="236" t="inlineStr">
        <is>
          <t>06 - Schedule characteristics</t>
        </is>
      </c>
      <c r="E527" s="307" t="inlineStr">
        <is>
          <t>P1 22.21</t>
        </is>
      </c>
      <c r="F527" s="427" t="inlineStr">
        <is>
          <t>Date de première échéance</t>
        </is>
      </c>
      <c r="G527" s="309" t="inlineStr">
        <is>
          <t>First repayment date</t>
        </is>
      </c>
      <c r="H527" s="1493">
        <f>"RPAD( "&amp;SUBSTITUTE(SUBSTITUTE(E527," ","_"),".","_")&amp;","&amp;W527&amp;",' '); -- "&amp;E527</f>
        <v/>
      </c>
      <c r="I527" s="241" t="inlineStr">
        <is>
          <t xml:space="preserve">Date de première échéance </t>
        </is>
      </c>
      <c r="J527" s="309" t="inlineStr">
        <is>
          <t xml:space="preserve">First repayment date </t>
        </is>
      </c>
      <c r="K527" s="370" t="inlineStr">
        <is>
          <t>ND</t>
        </is>
      </c>
      <c r="L527" s="371" t="inlineStr">
        <is>
          <t>ND</t>
        </is>
      </c>
      <c r="M527" s="1420" t="inlineStr">
        <is>
          <t>dtPrEch</t>
        </is>
      </c>
      <c r="N527" s="257" t="inlineStr">
        <is>
          <t>Obligatoire sous conditions</t>
        </is>
      </c>
      <c r="O527" s="371" t="inlineStr">
        <is>
          <t>Mandatory under conditions</t>
        </is>
      </c>
      <c r="P527" s="269" t="inlineStr">
        <is>
          <t>NA</t>
        </is>
      </c>
      <c r="Q527" s="269" t="inlineStr">
        <is>
          <t>NA</t>
        </is>
      </c>
      <c r="R527" s="241" t="inlineStr">
        <is>
          <t>NA</t>
        </is>
      </c>
      <c r="S527" s="233" t="inlineStr">
        <is>
          <t>NA</t>
        </is>
      </c>
      <c r="T527" s="206" t="inlineStr">
        <is>
          <t>DATE</t>
        </is>
      </c>
      <c r="U527" s="237" t="inlineStr">
        <is>
          <t>AAAAMMJJ</t>
        </is>
      </c>
      <c r="V527" s="238" t="inlineStr">
        <is>
          <t>YYYYMMDD</t>
        </is>
      </c>
      <c r="W527" s="257" t="n">
        <v>8</v>
      </c>
      <c r="X527" s="945" t="inlineStr">
        <is>
          <t>NA</t>
        </is>
      </c>
      <c r="Y527" s="237" t="n">
        <v>41</v>
      </c>
      <c r="Z527" s="237" t="inlineStr">
        <is>
          <t>NA</t>
        </is>
      </c>
      <c r="AA527" s="1020" t="inlineStr">
        <is>
          <t>45.00</t>
        </is>
      </c>
      <c r="AB527" s="932" t="inlineStr">
        <is>
          <t>ANACREDIT, LIQUIDITE, LOAN TAPE, OMP, PALMA</t>
        </is>
      </c>
      <c r="AC527" s="231" t="inlineStr">
        <is>
          <t>ND</t>
        </is>
      </c>
      <c r="AD527" s="257" t="inlineStr">
        <is>
          <t>N</t>
        </is>
      </c>
      <c r="AE527" s="257" t="inlineStr">
        <is>
          <t xml:space="preserve">ISS200 et 300
TRE2 à 4XX hors 203,205,206,207
TRE5XX
SIG
</t>
        </is>
      </c>
      <c r="AF527" s="257" t="inlineStr">
        <is>
          <t>NA</t>
        </is>
      </c>
      <c r="AG527" s="258" t="inlineStr">
        <is>
          <t>NA</t>
        </is>
      </c>
      <c r="AH527" s="89" t="n"/>
      <c r="AI527" s="1233" t="inlineStr">
        <is>
          <t>La donnée est obligatoire si le type de risque [P1 2.0] = [ISS200, ISS300, TRE2xx, TRE3xx, TRE4xx, TRE5xx hors (TRE203, TRE205, TRE206, TRE207)]</t>
        </is>
      </c>
      <c r="AJ527" s="931" t="inlineStr">
        <is>
          <t>The data is mandatory if Risk type [P1 2.0] = [ISS200, ISS300, TRE2xx, TRE3xx, TRE4xx, TRE5xx except (TRE203, TRE205, TRE206, TRE207)]</t>
        </is>
      </c>
      <c r="AK527" s="958" t="n">
        <v>6</v>
      </c>
      <c r="AL527" s="1046" t="inlineStr">
        <is>
          <t>TPSXXX (ex-TPS0853/TPS0768)</t>
        </is>
      </c>
      <c r="AM527" s="318" t="n"/>
      <c r="AN527" s="317" t="n"/>
      <c r="AO527" s="257" t="n"/>
      <c r="AP527" s="258" t="n"/>
      <c r="AQ527" s="1053" t="inlineStr">
        <is>
          <t>Si renseignée, la donnée doit être supérieure ou égale à '19000101'</t>
        </is>
      </c>
      <c r="AR527" s="931" t="inlineStr">
        <is>
          <t>If filled, data must be greater or equal to '19000101'</t>
        </is>
      </c>
      <c r="AS527" s="1054" t="n">
        <v>7</v>
      </c>
      <c r="AT527" s="1052" t="inlineStr">
        <is>
          <t>TVG0005</t>
        </is>
      </c>
      <c r="AU527" s="604" t="inlineStr">
        <is>
          <t>Si renseignée, la Date de première échéance [P1 22.21] doit être postérieure ou égale à la date de début de l'engagement [P1 3.2]</t>
        </is>
      </c>
      <c r="AV527" s="160" t="inlineStr">
        <is>
          <t>If filled, the First repayment date [P1 22.21] must be higher or equal to the start date of commitment [P1 3.2]</t>
        </is>
      </c>
      <c r="AW527" s="505" t="n">
        <v>6</v>
      </c>
      <c r="AX527" s="424" t="inlineStr">
        <is>
          <t>TCS0722</t>
        </is>
      </c>
      <c r="AY527" s="318" t="n"/>
      <c r="AZ527" s="317" t="n"/>
      <c r="BA527" s="257" t="n"/>
      <c r="BB527" s="258" t="n"/>
      <c r="BC527" s="316" t="n"/>
      <c r="BD527" s="317" t="n"/>
      <c r="BE527" s="257" t="n"/>
      <c r="BF527" s="258" t="n"/>
      <c r="BG527" s="89" t="n"/>
      <c r="BH5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27">
        <f>_xlfn.LET(r,ROW(),oc,INDEX($A:$A,r),cv,TRIM(INDEX($Y:$Y,r)&amp;""),IF(oc&lt;&gt;"P1","",IF(cv="45","V45 - novo, nao alimentado pelo spool atual","V44 - alimentado pelo spool atual")))</f>
        <v/>
      </c>
    </row>
    <row r="528" ht="54" customFormat="1" customHeight="1" s="91">
      <c r="A528" s="306" t="inlineStr">
        <is>
          <t>P1</t>
        </is>
      </c>
      <c r="B528" s="307" t="n">
        <v>293</v>
      </c>
      <c r="C528" s="269" t="inlineStr">
        <is>
          <t>06 - Caractéristiques échéancier</t>
        </is>
      </c>
      <c r="D528" s="236" t="inlineStr">
        <is>
          <t>06 - Schedule characteristics</t>
        </is>
      </c>
      <c r="E528" s="307" t="inlineStr">
        <is>
          <t>P1 22.22</t>
        </is>
      </c>
      <c r="F528" s="427" t="inlineStr">
        <is>
          <t>Date de fin du différé d'amortissement</t>
        </is>
      </c>
      <c r="G528" s="309" t="inlineStr">
        <is>
          <t>Grace period's end date</t>
        </is>
      </c>
      <c r="H528" s="1493">
        <f>"RPAD( "&amp;SUBSTITUTE(SUBSTITUTE(E528," ","_"),".","_")&amp;","&amp;W528&amp;",' '); -- "&amp;E528</f>
        <v/>
      </c>
      <c r="I528" s="241" t="inlineStr">
        <is>
          <t xml:space="preserve">Date de fin du différé d'amortissement </t>
        </is>
      </c>
      <c r="J528" s="233" t="inlineStr">
        <is>
          <t xml:space="preserve">Grace period's end date </t>
        </is>
      </c>
      <c r="K528" s="269" t="inlineStr">
        <is>
          <t>ND</t>
        </is>
      </c>
      <c r="L528" s="310" t="inlineStr">
        <is>
          <t>ND</t>
        </is>
      </c>
      <c r="M528" s="1420" t="inlineStr">
        <is>
          <t>dtFinCredDif</t>
        </is>
      </c>
      <c r="N528" s="257" t="inlineStr">
        <is>
          <t>Obligatoire sous conditions</t>
        </is>
      </c>
      <c r="O528" s="371" t="inlineStr">
        <is>
          <t>Mandatory under conditions</t>
        </is>
      </c>
      <c r="P528" s="269" t="inlineStr">
        <is>
          <t>NA</t>
        </is>
      </c>
      <c r="Q528" s="269" t="inlineStr">
        <is>
          <t>NA</t>
        </is>
      </c>
      <c r="R528" s="241" t="inlineStr">
        <is>
          <t>NA</t>
        </is>
      </c>
      <c r="S528" s="233" t="inlineStr">
        <is>
          <t>NA</t>
        </is>
      </c>
      <c r="T528" s="206" t="inlineStr">
        <is>
          <t>DATE</t>
        </is>
      </c>
      <c r="U528" s="237" t="inlineStr">
        <is>
          <t>AAAAMMJJ</t>
        </is>
      </c>
      <c r="V528" s="238" t="inlineStr">
        <is>
          <t>YYYYMMDD</t>
        </is>
      </c>
      <c r="W528" s="257" t="n">
        <v>8</v>
      </c>
      <c r="X528" s="945" t="inlineStr">
        <is>
          <t>NA</t>
        </is>
      </c>
      <c r="Y528" s="237" t="n">
        <v>41</v>
      </c>
      <c r="Z528" s="237" t="inlineStr">
        <is>
          <t>NA</t>
        </is>
      </c>
      <c r="AA528" s="283" t="inlineStr">
        <is>
          <t>45.00</t>
        </is>
      </c>
      <c r="AB528" s="932" t="inlineStr">
        <is>
          <t>ANACREDIT, LIQUIDITE, LOAN TAPE, OMP, PALMA</t>
        </is>
      </c>
      <c r="AC528" s="231" t="inlineStr">
        <is>
          <t>ND</t>
        </is>
      </c>
      <c r="AD528" s="257" t="inlineStr">
        <is>
          <t>N</t>
        </is>
      </c>
      <c r="AE528" s="956" t="inlineStr">
        <is>
          <t xml:space="preserve">TRE2 à 4XX hors 203,205,206,207
TRE5XX
SIG
</t>
        </is>
      </c>
      <c r="AF528" s="257" t="inlineStr">
        <is>
          <t>NA</t>
        </is>
      </c>
      <c r="AG528" s="258" t="inlineStr">
        <is>
          <t>NA</t>
        </is>
      </c>
      <c r="AH528" s="89" t="n"/>
      <c r="AI528" s="957" t="inlineStr">
        <is>
          <t>La donnée est obligatoire si l'Indicateur différé d'amortissement [P1 22.222] = 'Y'</t>
        </is>
      </c>
      <c r="AJ528" s="931" t="inlineStr">
        <is>
          <t>The data is mandatory if Deferred depreciation indicator [P1 22.222] = 'Y'</t>
        </is>
      </c>
      <c r="AK528" s="958" t="n">
        <v>7</v>
      </c>
      <c r="AL528" s="959" t="inlineStr">
        <is>
          <t>TPSXXXX</t>
        </is>
      </c>
      <c r="AM528" s="318" t="n"/>
      <c r="AN528" s="317" t="n"/>
      <c r="AO528" s="257" t="n"/>
      <c r="AP528" s="258" t="n"/>
      <c r="AQ528" s="318" t="n"/>
      <c r="AR528" s="317" t="n"/>
      <c r="AS528" s="257" t="n"/>
      <c r="AT528" s="258" t="n"/>
      <c r="AU528" s="318" t="inlineStr">
        <is>
          <t>Si renseignée, la Date de fin du différé d'amortissement [P1 22.22] doit être comprise entre la date de début de l'engagement [P1 3.2] et la date de fin de l'engagement [P1 3.4]</t>
        </is>
      </c>
      <c r="AV528" s="317" t="inlineStr">
        <is>
          <t>If filled, the Grace period's end date [P1 22.22] must be between the start date of commitment [P1 3.2] and the end date of commitment [P1 3.4]</t>
        </is>
      </c>
      <c r="AW528" s="505" t="n">
        <v>6</v>
      </c>
      <c r="AX528" s="345" t="inlineStr">
        <is>
          <t>TCS0723</t>
        </is>
      </c>
      <c r="AY528" s="318" t="n"/>
      <c r="AZ528" s="317" t="n"/>
      <c r="BA528" s="257" t="n"/>
      <c r="BB528" s="258" t="n"/>
      <c r="BC528" s="316" t="n"/>
      <c r="BD528" s="317" t="n"/>
      <c r="BE528" s="257" t="n"/>
      <c r="BF528" s="258" t="n"/>
      <c r="BG528" s="89" t="n"/>
      <c r="BH5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28">
        <f>_xlfn.LET(r,ROW(),oc,INDEX($A:$A,r),cv,TRIM(INDEX($Y:$Y,r)&amp;""),IF(oc&lt;&gt;"P1","",IF(cv="45","V45 - novo, nao alimentado pelo spool atual","V44 - alimentado pelo spool atual")))</f>
        <v/>
      </c>
    </row>
    <row r="529" ht="54" customFormat="1" customHeight="1" s="91">
      <c r="A529" s="306" t="inlineStr">
        <is>
          <t>P1</t>
        </is>
      </c>
      <c r="B529" s="307" t="n">
        <v>294</v>
      </c>
      <c r="C529" s="269" t="inlineStr">
        <is>
          <t>22 - Caractéristiques de taux</t>
        </is>
      </c>
      <c r="D529" s="236" t="inlineStr">
        <is>
          <t>22 - Rate characteristics</t>
        </is>
      </c>
      <c r="E529" s="307" t="inlineStr">
        <is>
          <t>P1 22.23</t>
        </is>
      </c>
      <c r="F529" s="308" t="inlineStr">
        <is>
          <t xml:space="preserve">Taux plafond </t>
        </is>
      </c>
      <c r="G529" s="309" t="inlineStr">
        <is>
          <t xml:space="preserve">Interest rate cap </t>
        </is>
      </c>
      <c r="H529" s="1493">
        <f>"RPAD( "&amp;SUBSTITUTE(SUBSTITUTE(E529," ","_"),".","_")&amp;","&amp;W529&amp;",' '); -- "&amp;E529</f>
        <v/>
      </c>
      <c r="I529" s="241" t="inlineStr">
        <is>
          <t>Valeur maximale du taux d'intérêt facturé
Exprimé en %</t>
        </is>
      </c>
      <c r="J529" s="233" t="inlineStr">
        <is>
          <t>Maximum value of the billed interest rate 
Expressed as %</t>
        </is>
      </c>
      <c r="K529" s="269" t="inlineStr">
        <is>
          <t>ND</t>
        </is>
      </c>
      <c r="L529" s="310" t="inlineStr">
        <is>
          <t>ND</t>
        </is>
      </c>
      <c r="M529" s="1420" t="inlineStr">
        <is>
          <t>txPlafond</t>
        </is>
      </c>
      <c r="N529" s="257" t="inlineStr">
        <is>
          <t>Obligatoire sous conditions</t>
        </is>
      </c>
      <c r="O529" s="371" t="inlineStr">
        <is>
          <t>Mandatory under conditions</t>
        </is>
      </c>
      <c r="P529" s="269" t="inlineStr">
        <is>
          <t>NA</t>
        </is>
      </c>
      <c r="Q529" s="269" t="inlineStr">
        <is>
          <t>NA</t>
        </is>
      </c>
      <c r="R529" s="278" t="inlineStr">
        <is>
          <t>NA</t>
        </is>
      </c>
      <c r="S529" s="591" t="inlineStr">
        <is>
          <t>NA</t>
        </is>
      </c>
      <c r="T529" s="313" t="inlineStr">
        <is>
          <t>NUM</t>
        </is>
      </c>
      <c r="U529" s="237" t="inlineStr">
        <is>
          <t>10 dont signe et 5 décimales</t>
        </is>
      </c>
      <c r="V529" s="238" t="inlineStr">
        <is>
          <t>10 including sign and 5 decimals</t>
        </is>
      </c>
      <c r="W529" s="257" t="n">
        <v>10</v>
      </c>
      <c r="X529" s="945" t="inlineStr">
        <is>
          <t>NA</t>
        </is>
      </c>
      <c r="Y529" s="237" t="n">
        <v>41</v>
      </c>
      <c r="Z529" s="237" t="inlineStr">
        <is>
          <t>NA</t>
        </is>
      </c>
      <c r="AA529" s="1019" t="inlineStr">
        <is>
          <t>45.00</t>
        </is>
      </c>
      <c r="AB529" s="932" t="inlineStr">
        <is>
          <t>ANACREDIT, LIQUIDITE, OMP, PALMA</t>
        </is>
      </c>
      <c r="AC529" s="231" t="inlineStr">
        <is>
          <t>ND</t>
        </is>
      </c>
      <c r="AD529" s="257" t="inlineStr">
        <is>
          <t>N</t>
        </is>
      </c>
      <c r="AE529" s="257" t="inlineStr">
        <is>
          <t xml:space="preserve">ISS200 et 300
TRE2 à 4XX hors 203,205,206,207
TRE5XX
SIG
</t>
        </is>
      </c>
      <c r="AF529" s="257" t="inlineStr">
        <is>
          <t>NA</t>
        </is>
      </c>
      <c r="AG529" s="258" t="inlineStr">
        <is>
          <t>NA</t>
        </is>
      </c>
      <c r="AH529" s="89" t="n"/>
      <c r="AI529" s="977" t="inlineStr">
        <is>
          <t xml:space="preserve">La donnée est obligatoire si le type de risque [P1 2.0] = TRE2xx à TRE5xx (hors TRE203, TRE205, TRE206, TRE207) et si l'indicateur produit échéancé [P1 22.56] = 'ECH' et l'indicateur échéancier fourni [P1 22.12] = 'N' et l'indicateur objet métier palier fourni [P1 22.57] = 'N' ou vide et le type de taux [P1 22.14] = 'V' ou 'R' </t>
        </is>
      </c>
      <c r="AJ529" s="160" t="inlineStr">
        <is>
          <t>The data is mandatory if Risk type [P1 2.0] = TRE2xx to TRE5xx (except TRE203, TRE205, TRE206, TRE207) and if the indicator product schedule [P1 22.56] = 'ECH' and the repayment schedule provided indicator [P1 22.12] = ‘N' and the indicator of business object stage provided [P1 22.57] = ‘N' or empty and the type of interest rate [P1 22.14] ='V' or 'R'</t>
        </is>
      </c>
      <c r="AK529" s="505" t="n">
        <v>6</v>
      </c>
      <c r="AL529" s="424" t="inlineStr">
        <is>
          <t>TPS0856</t>
        </is>
      </c>
      <c r="AM529" s="318" t="n"/>
      <c r="AN529" s="317" t="n"/>
      <c r="AO529" s="257" t="n"/>
      <c r="AP529" s="258" t="n"/>
      <c r="AQ529" s="318" t="n"/>
      <c r="AR529" s="317" t="n"/>
      <c r="AS529" s="257" t="n"/>
      <c r="AT529" s="258" t="n"/>
      <c r="AU529" s="159" t="inlineStr">
        <is>
          <t>Le taux renseigné doit être supérieur ou égal au 'Taux plancher' [P1 22.24]</t>
        </is>
      </c>
      <c r="AV529" s="160" t="inlineStr">
        <is>
          <t>The rate filled must be higher or equal than the 'Interest rate floor' [P1 22.24]</t>
        </is>
      </c>
      <c r="AW529" s="505" t="n">
        <v>6</v>
      </c>
      <c r="AX529" s="424" t="inlineStr">
        <is>
          <t>TCS0724</t>
        </is>
      </c>
      <c r="AY529" s="318" t="n"/>
      <c r="AZ529" s="317" t="n"/>
      <c r="BA529" s="257" t="n"/>
      <c r="BB529" s="258" t="n"/>
      <c r="BC529" s="316" t="n"/>
      <c r="BD529" s="317" t="n"/>
      <c r="BE529" s="257" t="n"/>
      <c r="BF529" s="258" t="n"/>
      <c r="BG529" s="89" t="n"/>
      <c r="BH5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29">
        <f>_xlfn.LET(r,ROW(),oc,INDEX($A:$A,r),cv,TRIM(INDEX($Y:$Y,r)&amp;""),IF(oc&lt;&gt;"P1","",IF(cv="45","V45 - novo, nao alimentado pelo spool atual","V44 - alimentado pelo spool atual")))</f>
        <v/>
      </c>
    </row>
    <row r="530" ht="54" customFormat="1" customHeight="1" s="91">
      <c r="A530" s="306" t="inlineStr">
        <is>
          <t>P1</t>
        </is>
      </c>
      <c r="B530" s="307" t="n">
        <v>295</v>
      </c>
      <c r="C530" s="269" t="inlineStr">
        <is>
          <t>22 - Caractéristiques de taux</t>
        </is>
      </c>
      <c r="D530" s="236" t="inlineStr">
        <is>
          <t>22 - Rate characteristics</t>
        </is>
      </c>
      <c r="E530" s="307" t="inlineStr">
        <is>
          <t>P1 22.24</t>
        </is>
      </c>
      <c r="F530" s="308" t="inlineStr">
        <is>
          <t>Taux plancher</t>
        </is>
      </c>
      <c r="G530" s="309" t="inlineStr">
        <is>
          <t>Interest rate floor</t>
        </is>
      </c>
      <c r="H530" s="1493">
        <f>"RPAD( "&amp;SUBSTITUTE(SUBSTITUTE(E530," ","_"),".","_")&amp;","&amp;W530&amp;",' '); -- "&amp;E530</f>
        <v/>
      </c>
      <c r="I530" s="241" t="inlineStr">
        <is>
          <t>Valeur minimale du taux d'intérêt facturé 
Exprimé en %</t>
        </is>
      </c>
      <c r="J530" s="233" t="inlineStr">
        <is>
          <t>Minimum value of the billed interest rate 
Expressed as %</t>
        </is>
      </c>
      <c r="K530" s="269" t="inlineStr">
        <is>
          <t>ND</t>
        </is>
      </c>
      <c r="L530" s="310" t="inlineStr">
        <is>
          <t>ND</t>
        </is>
      </c>
      <c r="M530" s="1420" t="inlineStr">
        <is>
          <t>txPlan</t>
        </is>
      </c>
      <c r="N530" s="257" t="inlineStr">
        <is>
          <t>Obligatoire sous conditions</t>
        </is>
      </c>
      <c r="O530" s="371" t="inlineStr">
        <is>
          <t>Mandatory under conditions</t>
        </is>
      </c>
      <c r="P530" s="269" t="inlineStr">
        <is>
          <t>NA</t>
        </is>
      </c>
      <c r="Q530" s="269" t="inlineStr">
        <is>
          <t>NA</t>
        </is>
      </c>
      <c r="R530" s="278" t="inlineStr">
        <is>
          <t>NA</t>
        </is>
      </c>
      <c r="S530" s="591" t="inlineStr">
        <is>
          <t>NA</t>
        </is>
      </c>
      <c r="T530" s="313" t="inlineStr">
        <is>
          <t>NUM</t>
        </is>
      </c>
      <c r="U530" s="237" t="inlineStr">
        <is>
          <t>10 dont signe et 5 décimales</t>
        </is>
      </c>
      <c r="V530" s="238" t="inlineStr">
        <is>
          <t>10 including sign and 5 decimals</t>
        </is>
      </c>
      <c r="W530" s="257" t="n">
        <v>10</v>
      </c>
      <c r="X530" s="945" t="inlineStr">
        <is>
          <t>NA</t>
        </is>
      </c>
      <c r="Y530" s="237" t="n">
        <v>41</v>
      </c>
      <c r="Z530" s="237" t="inlineStr">
        <is>
          <t>NA</t>
        </is>
      </c>
      <c r="AA530" s="1019" t="inlineStr">
        <is>
          <t>45.00</t>
        </is>
      </c>
      <c r="AB530" s="932" t="inlineStr">
        <is>
          <t>ANACREDIT, LIQUIDITE, OMP, PALMA</t>
        </is>
      </c>
      <c r="AC530" s="231" t="inlineStr">
        <is>
          <t>ND</t>
        </is>
      </c>
      <c r="AD530" s="257" t="inlineStr">
        <is>
          <t>N</t>
        </is>
      </c>
      <c r="AE530" s="257" t="inlineStr">
        <is>
          <t xml:space="preserve">ISS200 et 300
TRE2 à 4XX hors 203,205,206,207
TRE5XX
SIG
</t>
        </is>
      </c>
      <c r="AF530" s="257" t="inlineStr">
        <is>
          <t>NA</t>
        </is>
      </c>
      <c r="AG530" s="258" t="inlineStr">
        <is>
          <t>NA</t>
        </is>
      </c>
      <c r="AH530" s="89" t="n"/>
      <c r="AI530" s="316" t="inlineStr">
        <is>
          <t>La donnée est obligatoire si le type de risque [P1 2.0] = TRE2xx à TRE5xx (hors TRE203, TRE205, TRE206, TRE207) et si l'indicateur produit échéancé [P1 22.56] = 'ECH' et l'indicateur échéancier fourni [P1 22.12] = 'N' et l'indicateur objet métier palier fourni [P1 22.57] = 'N' ou vide et le type de taux [P1 22.14] = 'V' ou 'R'</t>
        </is>
      </c>
      <c r="AJ530" s="160" t="inlineStr">
        <is>
          <t>The data is mandatory if Risk type [P1 2.0] = TRE2xx to TRE5xx (except TRE203, TRE205, TRE206, TRE207) and if the indicator product schedule [P1 22.56] = 'ECH' and the repayment schedule provided indicator [P1 22.12] = ‘N' and the indicator of business object stage provided [P1 22.57] = ‘N' or empty and the type of interest rate [P1 22.14] ='V' or 'R'</t>
        </is>
      </c>
      <c r="AK530" s="505" t="n">
        <v>6</v>
      </c>
      <c r="AL530" s="424" t="inlineStr">
        <is>
          <t>TPS0856</t>
        </is>
      </c>
      <c r="AM530" s="318" t="n"/>
      <c r="AN530" s="317" t="n"/>
      <c r="AO530" s="257" t="n"/>
      <c r="AP530" s="258" t="n"/>
      <c r="AQ530" s="318" t="n"/>
      <c r="AR530" s="317" t="n"/>
      <c r="AS530" s="257" t="n"/>
      <c r="AT530" s="258" t="n"/>
      <c r="AU530" s="318" t="n"/>
      <c r="AV530" s="317" t="n"/>
      <c r="AW530" s="257" t="n"/>
      <c r="AX530" s="258" t="n"/>
      <c r="AY530" s="318" t="n"/>
      <c r="AZ530" s="317" t="n"/>
      <c r="BA530" s="257" t="n"/>
      <c r="BB530" s="258" t="n"/>
      <c r="BC530" s="316" t="n"/>
      <c r="BD530" s="317" t="n"/>
      <c r="BE530" s="257" t="n"/>
      <c r="BF530" s="258" t="n"/>
      <c r="BG530" s="89" t="n"/>
      <c r="BH5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30">
        <f>_xlfn.LET(r,ROW(),oc,INDEX($A:$A,r),cv,TRIM(INDEX($Y:$Y,r)&amp;""),IF(oc&lt;&gt;"P1","",IF(cv="45","V45 - novo, nao alimentado pelo spool atual","V44 - alimentado pelo spool atual")))</f>
        <v/>
      </c>
    </row>
    <row r="531" ht="54" customFormat="1" customHeight="1" s="91">
      <c r="A531" s="306" t="inlineStr">
        <is>
          <t>P1</t>
        </is>
      </c>
      <c r="B531" s="307" t="n">
        <v>296</v>
      </c>
      <c r="C531" s="269" t="inlineStr">
        <is>
          <t>22 - Caractéristiques de taux</t>
        </is>
      </c>
      <c r="D531" s="236" t="inlineStr">
        <is>
          <t>22 - Rate characteristics</t>
        </is>
      </c>
      <c r="E531" s="307" t="inlineStr">
        <is>
          <t>P1 22.25</t>
        </is>
      </c>
      <c r="F531" s="1263" t="inlineStr">
        <is>
          <t>Fréquence de révision du taux</t>
        </is>
      </c>
      <c r="G531" s="309" t="inlineStr">
        <is>
          <t>Frequency of revision of interest rate</t>
        </is>
      </c>
      <c r="H531" s="1493">
        <f>"RPAD( "&amp;SUBSTITUTE(SUBSTITUTE(E531," ","_"),".","_")&amp;","&amp;W531&amp;",' '); -- "&amp;E531</f>
        <v/>
      </c>
      <c r="I531" s="605" t="inlineStr">
        <is>
          <t>Fréquence de révision du taux du prêt. Elle est à renseigner pour les prêts autres que prêts à taux fixe, y compris lorsque le prêt est sur la dernière période</t>
        </is>
      </c>
      <c r="J531" s="233" t="inlineStr">
        <is>
          <t>Loan's interest-rate review frequency. An entry is made for loans other than fixed-rate loans, including when the loan is in the last period</t>
        </is>
      </c>
      <c r="K531" s="269" t="inlineStr">
        <is>
          <t>ND</t>
        </is>
      </c>
      <c r="L531" s="310" t="inlineStr">
        <is>
          <t>ND</t>
        </is>
      </c>
      <c r="M531" s="1420" t="inlineStr">
        <is>
          <t>peRevTxUnit</t>
        </is>
      </c>
      <c r="N531" s="257" t="inlineStr">
        <is>
          <t>Obligatoire sous conditions</t>
        </is>
      </c>
      <c r="O531" s="371" t="inlineStr">
        <is>
          <t>Mandatory under conditions</t>
        </is>
      </c>
      <c r="P531" s="269" t="inlineStr">
        <is>
          <t>LC.0056</t>
        </is>
      </c>
      <c r="Q531" s="269" t="inlineStr">
        <is>
          <t>TA KVFREQU</t>
        </is>
      </c>
      <c r="R531" s="241" t="inlineStr">
        <is>
          <t>Si règlement in fine mettre 'X' (autre fréquence)</t>
        </is>
      </c>
      <c r="S531" s="233" t="inlineStr">
        <is>
          <t>If final settlement put 'X' (other frequency)</t>
        </is>
      </c>
      <c r="T531" s="313" t="inlineStr">
        <is>
          <t>ALPHA</t>
        </is>
      </c>
      <c r="U531" s="237" t="inlineStr">
        <is>
          <t>NA</t>
        </is>
      </c>
      <c r="V531" s="238" t="inlineStr">
        <is>
          <t>NA</t>
        </is>
      </c>
      <c r="W531" s="257" t="n">
        <v>1</v>
      </c>
      <c r="X531" s="945" t="inlineStr">
        <is>
          <t>NA</t>
        </is>
      </c>
      <c r="Y531" s="237" t="n">
        <v>41</v>
      </c>
      <c r="Z531" s="237" t="inlineStr">
        <is>
          <t>NA</t>
        </is>
      </c>
      <c r="AA531" s="1020" t="inlineStr">
        <is>
          <t>45.00</t>
        </is>
      </c>
      <c r="AB531" s="932" t="inlineStr">
        <is>
          <t>ANACREDIT, CORFOU, LIQUIDITE, LOAN TAPE, OMP, PALMA</t>
        </is>
      </c>
      <c r="AC531" s="231" t="inlineStr">
        <is>
          <t>ND</t>
        </is>
      </c>
      <c r="AD531" s="257" t="inlineStr">
        <is>
          <t>N</t>
        </is>
      </c>
      <c r="AE531" s="1175" t="inlineStr">
        <is>
          <t>ISS200, ISS300
TRE2 à 4XX hors 203,205,206,207
TRE5XX
VAR105, VAR302
SIG</t>
        </is>
      </c>
      <c r="AF531" s="257" t="inlineStr">
        <is>
          <t>NA</t>
        </is>
      </c>
      <c r="AG531" s="258" t="inlineStr">
        <is>
          <t>NA</t>
        </is>
      </c>
      <c r="AH531" s="89" t="n"/>
      <c r="AI531" s="1233" t="inlineStr">
        <is>
          <t>La donnée est obligatoire si le type de risque [P1 2.0] = [ISS200, ISS300, TRE2xx à TRE5xx (hors TRE203, TRE205, TRE206, TRE207), VAR105, VAR302] et si le type de taux [P1 22.14] = 'V' ou 'R'</t>
        </is>
      </c>
      <c r="AJ531" s="931" t="inlineStr">
        <is>
          <t>The data is mandatory if Risk type [P1 2.0] = [ISS200, ISS300, TRE2xx to TRE5xx (except TRE203, TRE205, TRE206, TRE207), VAR105, VAR302] and if the type of interest rate [P1 22.14] = 'V' or 'R'</t>
        </is>
      </c>
      <c r="AK531" s="958" t="n">
        <v>6</v>
      </c>
      <c r="AL531" s="1234" t="inlineStr">
        <is>
          <t>TPSXXX (ex TPS0855/TPS0856)</t>
        </is>
      </c>
      <c r="AM531" s="318" t="inlineStr">
        <is>
          <t>Si elle est renseignée, la valeur doit être connue du Langage Commun associé</t>
        </is>
      </c>
      <c r="AN531" s="317" t="inlineStr">
        <is>
          <t>If specified, the value must be known to the associated Common Language</t>
        </is>
      </c>
      <c r="AO531" s="257" t="n">
        <v>7</v>
      </c>
      <c r="AP531" s="212" t="inlineStr">
        <is>
          <t>TIG0001</t>
        </is>
      </c>
      <c r="AQ531" s="318" t="n"/>
      <c r="AR531" s="317" t="n"/>
      <c r="AS531" s="257" t="n"/>
      <c r="AT531" s="258" t="n"/>
      <c r="AU531" s="318" t="n"/>
      <c r="AV531" s="317" t="n"/>
      <c r="AW531" s="257" t="n"/>
      <c r="AX531" s="258" t="n"/>
      <c r="AY531" s="318" t="n"/>
      <c r="AZ531" s="317" t="n"/>
      <c r="BA531" s="257" t="n"/>
      <c r="BB531" s="258" t="n"/>
      <c r="BC531" s="316" t="n"/>
      <c r="BD531" s="317" t="n"/>
      <c r="BE531" s="257" t="n"/>
      <c r="BF531" s="258" t="n"/>
      <c r="BG531" s="89" t="n"/>
      <c r="BH5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31">
        <f>_xlfn.LET(r,ROW(),oc,INDEX($A:$A,r),cv,TRIM(INDEX($Y:$Y,r)&amp;""),IF(oc&lt;&gt;"P1","",IF(cv="45","V45 - novo, nao alimentado pelo spool atual","V44 - alimentado pelo spool atual")))</f>
        <v/>
      </c>
    </row>
    <row r="532" ht="54" customFormat="1" customHeight="1" s="91">
      <c r="A532" s="306" t="inlineStr">
        <is>
          <t>P1</t>
        </is>
      </c>
      <c r="B532" s="307" t="n">
        <v>297</v>
      </c>
      <c r="C532" s="269" t="inlineStr">
        <is>
          <t>22 - Caractéristiques de taux</t>
        </is>
      </c>
      <c r="D532" s="236" t="inlineStr">
        <is>
          <t>22 - Rate characteristics</t>
        </is>
      </c>
      <c r="E532" s="307" t="inlineStr">
        <is>
          <t>P1 22.26</t>
        </is>
      </c>
      <c r="F532" s="1263" t="inlineStr">
        <is>
          <t>Périodicité de révision du taux en nombre</t>
        </is>
      </c>
      <c r="G532" s="309" t="inlineStr">
        <is>
          <t>Periodicity of revision of interest rate in number</t>
        </is>
      </c>
      <c r="H532" s="1493">
        <f>"RPAD( "&amp;SUBSTITUTE(SUBSTITUTE(E532," ","_"),".","_")&amp;","&amp;W532&amp;",' '); -- "&amp;E532</f>
        <v/>
      </c>
      <c r="I532" s="605" t="inlineStr">
        <is>
          <t>Périodicité de révision d'un crédit à taux variable. Elle est à renseigner pour les prêts autres que prêts à taux fixe, y compris lorsque le prêt est sur la dernière période</t>
        </is>
      </c>
      <c r="J532" s="233" t="inlineStr">
        <is>
          <t>Review periodicity of a variable-rate loan. An entry is made for loans other than fixed-rate loans, including when the loan is in the last period</t>
        </is>
      </c>
      <c r="K532" s="269" t="inlineStr">
        <is>
          <t>ND</t>
        </is>
      </c>
      <c r="L532" s="310" t="inlineStr">
        <is>
          <t>ND</t>
        </is>
      </c>
      <c r="M532" s="1420" t="inlineStr">
        <is>
          <t>peRevTxNb</t>
        </is>
      </c>
      <c r="N532" s="257" t="inlineStr">
        <is>
          <t>Obligatoire sous conditions</t>
        </is>
      </c>
      <c r="O532" s="371" t="inlineStr">
        <is>
          <t>Mandatory under conditions</t>
        </is>
      </c>
      <c r="P532" s="269" t="inlineStr">
        <is>
          <t>NA</t>
        </is>
      </c>
      <c r="Q532" s="269" t="inlineStr">
        <is>
          <t>NA</t>
        </is>
      </c>
      <c r="R532" s="607" t="inlineStr">
        <is>
          <t xml:space="preserve">Nombre affecté à l'unité de temps (P1 22.25)
Par exemple, si fréquence de révision du taux (P1 22.25) = S (semestriel) :
- périodicité = 1, cela veut dire que le taux est révisé tous les semestres = tous les 6 mois
- périodicité = 6, cela veut dire que le taux est révisé tous les 6 semestres = tous les 3 ans </t>
        </is>
      </c>
      <c r="S532" s="233" t="inlineStr">
        <is>
          <t xml:space="preserve">Number allocated to the time unit (P1 22.25)
For example, if Frequency of revision of interest rate (P1 22.25) = S (half-year):
- periodicity = 1, it means revision of interest rate is every semester = every 6 months
- periodicity = 6, it means revision of interest rate is every 6 semesters = every 3 years </t>
        </is>
      </c>
      <c r="T532" s="313" t="inlineStr">
        <is>
          <t>NUM</t>
        </is>
      </c>
      <c r="U532" s="237" t="inlineStr">
        <is>
          <t>NA</t>
        </is>
      </c>
      <c r="V532" s="238" t="inlineStr">
        <is>
          <t>NA</t>
        </is>
      </c>
      <c r="W532" s="257" t="n">
        <v>3</v>
      </c>
      <c r="X532" s="945" t="inlineStr">
        <is>
          <t>NA</t>
        </is>
      </c>
      <c r="Y532" s="237" t="n">
        <v>41</v>
      </c>
      <c r="Z532" s="237" t="inlineStr">
        <is>
          <t>NA</t>
        </is>
      </c>
      <c r="AA532" s="270" t="inlineStr">
        <is>
          <t>45.00</t>
        </is>
      </c>
      <c r="AB532" s="932" t="inlineStr">
        <is>
          <t>ANACREDIT, CORFOU, LIQUIDITE, LOAN TAPE, OMP, PALMA</t>
        </is>
      </c>
      <c r="AC532" s="231" t="inlineStr">
        <is>
          <t>ND</t>
        </is>
      </c>
      <c r="AD532" s="257" t="inlineStr">
        <is>
          <t>N</t>
        </is>
      </c>
      <c r="AE532" s="601" t="inlineStr">
        <is>
          <t xml:space="preserve">ISS200, ISS300
TRE2 à 4XX hors 203,205,206,207
TRE5XX
SIG
</t>
        </is>
      </c>
      <c r="AF532" s="257" t="inlineStr">
        <is>
          <t>NA</t>
        </is>
      </c>
      <c r="AG532" s="258" t="inlineStr">
        <is>
          <t>NA</t>
        </is>
      </c>
      <c r="AH532" s="89" t="n"/>
      <c r="AI532" s="608" t="inlineStr">
        <is>
          <t>La donnée est obligatoire si la Fréquence de révision du taux [P1 22.25] est renseignée</t>
        </is>
      </c>
      <c r="AJ532" s="160" t="inlineStr">
        <is>
          <t>The data is mandatory if the Frequency of revision of interest rate [P1 22.25] is filled</t>
        </is>
      </c>
      <c r="AK532" s="257" t="n">
        <v>6</v>
      </c>
      <c r="AL532" s="345" t="inlineStr">
        <is>
          <t>TPS0857</t>
        </is>
      </c>
      <c r="AM532" s="318" t="n"/>
      <c r="AN532" s="317" t="n"/>
      <c r="AO532" s="257" t="n"/>
      <c r="AP532" s="258" t="n"/>
      <c r="AQ532" s="318" t="n"/>
      <c r="AR532" s="317" t="n"/>
      <c r="AS532" s="257" t="n"/>
      <c r="AT532" s="258" t="n"/>
      <c r="AU532" s="318" t="n"/>
      <c r="AV532" s="317" t="n"/>
      <c r="AW532" s="257" t="n"/>
      <c r="AX532" s="258" t="n"/>
      <c r="AY532" s="318" t="n"/>
      <c r="AZ532" s="317" t="n"/>
      <c r="BA532" s="257" t="n"/>
      <c r="BB532" s="258" t="n"/>
      <c r="BC532" s="316" t="n"/>
      <c r="BD532" s="317" t="n"/>
      <c r="BE532" s="257" t="n"/>
      <c r="BF532" s="258" t="n"/>
      <c r="BG532" s="89" t="n"/>
      <c r="BH5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32">
        <f>_xlfn.LET(r,ROW(),oc,INDEX($A:$A,r),cv,TRIM(INDEX($Y:$Y,r)&amp;""),IF(oc&lt;&gt;"P1","",IF(cv="45","V45 - novo, nao alimentado pelo spool atual","V44 - alimentado pelo spool atual")))</f>
        <v/>
      </c>
    </row>
    <row r="533" ht="54" customFormat="1" customHeight="1" s="91">
      <c r="A533" s="306" t="inlineStr">
        <is>
          <t>P1</t>
        </is>
      </c>
      <c r="B533" s="307" t="n">
        <v>298</v>
      </c>
      <c r="C533" s="269" t="inlineStr">
        <is>
          <t>22 - Caractéristiques de taux</t>
        </is>
      </c>
      <c r="D533" s="236" t="inlineStr">
        <is>
          <t>22 - Rate characteristics</t>
        </is>
      </c>
      <c r="E533" s="307" t="inlineStr">
        <is>
          <t>P1 22.27</t>
        </is>
      </c>
      <c r="F533" s="375" t="inlineStr">
        <is>
          <t>Taux client de la période en cours</t>
        </is>
      </c>
      <c r="G533" s="309" t="inlineStr">
        <is>
          <t>Customer interest rate for current period</t>
        </is>
      </c>
      <c r="H533" s="1493">
        <f>"RPAD( "&amp;SUBSTITUTE(SUBSTITUTE(E533," ","_"),".","_")&amp;","&amp;W533&amp;",' '); -- "&amp;E533</f>
        <v/>
      </c>
      <c r="I533" s="278" t="inlineStr">
        <is>
          <t>Taux du flux d'intérêt de l'échéance
Taux facturé au client, c'est-à-dire comprenant le spread et le coût de l'option éventuelle
Exprimé en %</t>
        </is>
      </c>
      <c r="J533" s="160" t="inlineStr">
        <is>
          <t>Repayment interest flow rate
Rate charged to the customer, i.e. including the spread and the cost of any option
Expressed as %</t>
        </is>
      </c>
      <c r="K533" s="370" t="inlineStr">
        <is>
          <t>ND</t>
        </is>
      </c>
      <c r="L533" s="371" t="inlineStr">
        <is>
          <t>ND</t>
        </is>
      </c>
      <c r="M533" s="1420" t="inlineStr">
        <is>
          <t>txCliPeriode</t>
        </is>
      </c>
      <c r="N533" s="257" t="inlineStr">
        <is>
          <t>Obligatoire sous conditions</t>
        </is>
      </c>
      <c r="O533" s="371" t="inlineStr">
        <is>
          <t>Mandatory under conditions</t>
        </is>
      </c>
      <c r="P533" s="269" t="inlineStr">
        <is>
          <t>NA</t>
        </is>
      </c>
      <c r="Q533" s="269" t="inlineStr">
        <is>
          <t>NA</t>
        </is>
      </c>
      <c r="R533" s="609" t="inlineStr">
        <is>
          <t>Donnée facultative pour le type de risque SIG2*</t>
        </is>
      </c>
      <c r="S533" s="233" t="inlineStr">
        <is>
          <t>Optional data for the SIG2* risk type</t>
        </is>
      </c>
      <c r="T533" s="313" t="inlineStr">
        <is>
          <t>NUM</t>
        </is>
      </c>
      <c r="U533" s="237" t="inlineStr">
        <is>
          <t>10 dont signe et 5 décimales</t>
        </is>
      </c>
      <c r="V533" s="238" t="inlineStr">
        <is>
          <t>10 including sign and 5 decimals</t>
        </is>
      </c>
      <c r="W533" s="257" t="n">
        <v>10</v>
      </c>
      <c r="X533" s="945" t="inlineStr">
        <is>
          <t>NA</t>
        </is>
      </c>
      <c r="Y533" s="237" t="n">
        <v>41</v>
      </c>
      <c r="Z533" s="237" t="inlineStr">
        <is>
          <t>NA</t>
        </is>
      </c>
      <c r="AA533" s="1020" t="inlineStr">
        <is>
          <t>45.00</t>
        </is>
      </c>
      <c r="AB533" s="932" t="inlineStr">
        <is>
          <t>ANACREDIT, LIQUIDITE, LOAN TAPE, OMP, PALMA, SRB VALUATION</t>
        </is>
      </c>
      <c r="AC533" s="231" t="inlineStr">
        <is>
          <t>ND</t>
        </is>
      </c>
      <c r="AD533" s="257" t="inlineStr">
        <is>
          <t>N</t>
        </is>
      </c>
      <c r="AE533" s="610" t="inlineStr">
        <is>
          <t xml:space="preserve">ISS200 et 300
TRE2 à 4XX hors 203,205,206,207
TRE5XX
SIG1*
VAR105 et 302
</t>
        </is>
      </c>
      <c r="AF533" s="257" t="inlineStr">
        <is>
          <t>NA</t>
        </is>
      </c>
      <c r="AG533" s="258" t="inlineStr">
        <is>
          <t>NA</t>
        </is>
      </c>
      <c r="AH533" s="89" t="n"/>
      <c r="AI533" s="1231" t="inlineStr">
        <is>
          <t>La donnée est obligatoire si le type de risque [P1 2.0] = 'TRE2xx' à 'TRE5xx', 'ISS200', 'ISS300', 'VAR105, 'VAR302' (hors 'TRE203', 'TRE205', 'TRE206', 'TRE207')</t>
        </is>
      </c>
      <c r="AJ533" s="1232" t="inlineStr">
        <is>
          <t>The data is mandatory if Risk type [P1 2.0] = 'TRE2xx' to 'TRE5xx', 'ISS200', 'ISS300', 'VAR105, 'VAR302' (except 'TRE203', 'TRE205', 'TRE206', 'TRE207')</t>
        </is>
      </c>
      <c r="AK533" s="958" t="n">
        <v>6</v>
      </c>
      <c r="AL533" s="1227" t="inlineStr">
        <is>
          <t>TPSxxx (ex TPS0858)</t>
        </is>
      </c>
      <c r="AM533" s="318" t="n"/>
      <c r="AN533" s="317" t="n"/>
      <c r="AO533" s="257" t="n"/>
      <c r="AP533" s="258" t="n"/>
      <c r="AQ533" s="318" t="n"/>
      <c r="AR533" s="317" t="n"/>
      <c r="AS533" s="257" t="n"/>
      <c r="AT533" s="258" t="n"/>
      <c r="AU533" s="318" t="n"/>
      <c r="AV533" s="317" t="n"/>
      <c r="AW533" s="257" t="n"/>
      <c r="AX533" s="258" t="n"/>
      <c r="AY533" s="318" t="n"/>
      <c r="AZ533" s="317" t="n"/>
      <c r="BA533" s="257" t="n"/>
      <c r="BB533" s="258" t="n"/>
      <c r="BC533" s="316" t="n"/>
      <c r="BD533" s="317" t="n"/>
      <c r="BE533" s="257" t="n"/>
      <c r="BF533" s="258" t="n"/>
      <c r="BG533" s="89" t="n"/>
      <c r="BH5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33">
        <f>_xlfn.LET(r,ROW(),oc,INDEX($A:$A,r),cv,TRIM(INDEX($Y:$Y,r)&amp;""),IF(oc&lt;&gt;"P1","",IF(cv="45","V45 - novo, nao alimentado pelo spool atual","V44 - alimentado pelo spool atual")))</f>
        <v/>
      </c>
    </row>
    <row r="534" ht="54" customFormat="1" customHeight="1" s="91">
      <c r="A534" s="306" t="inlineStr">
        <is>
          <t>P1</t>
        </is>
      </c>
      <c r="B534" s="307" t="n">
        <v>299</v>
      </c>
      <c r="C534" s="269" t="inlineStr">
        <is>
          <t>22 - Caractéristiques de taux</t>
        </is>
      </c>
      <c r="D534" s="236" t="inlineStr">
        <is>
          <t>22 - Rate characteristics</t>
        </is>
      </c>
      <c r="E534" s="307" t="inlineStr">
        <is>
          <t>P1 22.28</t>
        </is>
      </c>
      <c r="F534" s="308" t="inlineStr">
        <is>
          <t>Taux de marge additive</t>
        </is>
      </c>
      <c r="G534" s="309" t="inlineStr">
        <is>
          <t>Additive margin rate</t>
        </is>
      </c>
      <c r="H534" s="1493">
        <f>"RPAD( "&amp;SUBSTITUTE(SUBSTITUTE(E534," ","_"),".","_")&amp;","&amp;W534&amp;",' '); -- "&amp;E534</f>
        <v/>
      </c>
      <c r="I534" s="241" t="inlineStr">
        <is>
          <t>Correspond au spread
Marge à ajouter à l'index pour obtenir le taux d'intérêt
Exprimé en %</t>
        </is>
      </c>
      <c r="J534" s="233" t="inlineStr">
        <is>
          <t>Corresponds to the spread
Margin to be added to the index to obtain the interest rate
Expressed as %</t>
        </is>
      </c>
      <c r="K534" s="269" t="inlineStr">
        <is>
          <t>ND</t>
        </is>
      </c>
      <c r="L534" s="310" t="inlineStr">
        <is>
          <t>ND</t>
        </is>
      </c>
      <c r="M534" s="1420" t="inlineStr">
        <is>
          <t>txMargeAdd</t>
        </is>
      </c>
      <c r="N534" s="231" t="inlineStr">
        <is>
          <t>Obligatoire sous conditions</t>
        </is>
      </c>
      <c r="O534" s="371" t="inlineStr">
        <is>
          <t>Mandatory under conditions</t>
        </is>
      </c>
      <c r="P534" s="269" t="inlineStr">
        <is>
          <t>NA</t>
        </is>
      </c>
      <c r="Q534" s="269" t="inlineStr">
        <is>
          <t>NA</t>
        </is>
      </c>
      <c r="R534" s="241" t="inlineStr">
        <is>
          <t>Par exemple : taux d'intérêt = marge multiplicative * index de référence + marge additive
Elle peut être négative ou positive</t>
        </is>
      </c>
      <c r="S534" s="233" t="inlineStr">
        <is>
          <t>For example: interest rate = multiplicative margin * reference index + additive margin
It can be negative or positive</t>
        </is>
      </c>
      <c r="T534" s="313" t="inlineStr">
        <is>
          <t>NUM</t>
        </is>
      </c>
      <c r="U534" s="237" t="inlineStr">
        <is>
          <t>10 dont signe et 5 décimales</t>
        </is>
      </c>
      <c r="V534" s="238" t="inlineStr">
        <is>
          <t>10 including sign and 5 decimals</t>
        </is>
      </c>
      <c r="W534" s="257" t="n">
        <v>10</v>
      </c>
      <c r="X534" s="945" t="inlineStr">
        <is>
          <t>NA</t>
        </is>
      </c>
      <c r="Y534" s="237" t="n">
        <v>41</v>
      </c>
      <c r="Z534" s="237" t="inlineStr">
        <is>
          <t>NA</t>
        </is>
      </c>
      <c r="AA534" s="237" t="inlineStr">
        <is>
          <t>45.00</t>
        </is>
      </c>
      <c r="AB534" s="932" t="inlineStr">
        <is>
          <t>ANACREDIT, CORFOU, LIQUIDITE, LOAN TAPE, MREL, OMP, PALMA, SRB VALUATION</t>
        </is>
      </c>
      <c r="AC534" s="231" t="inlineStr">
        <is>
          <t>ND</t>
        </is>
      </c>
      <c r="AD534" s="257" t="inlineStr">
        <is>
          <t>N</t>
        </is>
      </c>
      <c r="AE534" s="602" t="inlineStr">
        <is>
          <t xml:space="preserve">ISS200, ISS300
TRE2 à 4XX hors 203,205,206,207
TRE5XX
SIG
VAR105 et 302
</t>
        </is>
      </c>
      <c r="AF534" s="257" t="inlineStr">
        <is>
          <t>NA</t>
        </is>
      </c>
      <c r="AG534" s="258" t="inlineStr">
        <is>
          <t>NA</t>
        </is>
      </c>
      <c r="AH534" s="89" t="n"/>
      <c r="AI534" s="1233" t="inlineStr">
        <is>
          <t>La donnée est obligatoire si le type de risque [P1 2.0] = [ISS200, ISS300, TRE2xx à TRE5xx (hors TRE203, TRE205, TRE206, TRE207)] et si le type de taux [P1 22.14] = 'V' ou 'R'</t>
        </is>
      </c>
      <c r="AJ534" s="964" t="inlineStr">
        <is>
          <t>The data is mandatory if Risk type [P1 2.0] = [ISS200, ISS300, TRE2xx to TRE5xx (except TRE203, TRE205, TRE206, TRE207)] and if the type of interest rate [P1 22.14] = 'V' or 'R'</t>
        </is>
      </c>
      <c r="AK534" s="965" t="n">
        <v>6</v>
      </c>
      <c r="AL534" s="1234" t="inlineStr">
        <is>
          <t>TPSXXX (ex TPS0855/TPS0856)</t>
        </is>
      </c>
      <c r="AM534" s="318" t="n"/>
      <c r="AN534" s="317" t="n"/>
      <c r="AO534" s="257" t="n"/>
      <c r="AP534" s="258" t="n"/>
      <c r="AQ534" s="318" t="n"/>
      <c r="AR534" s="317" t="n"/>
      <c r="AS534" s="257" t="n"/>
      <c r="AT534" s="258" t="n"/>
      <c r="AU534" s="318" t="n"/>
      <c r="AV534" s="317" t="n"/>
      <c r="AW534" s="257" t="n"/>
      <c r="AX534" s="258" t="n"/>
      <c r="AY534" s="318" t="n"/>
      <c r="AZ534" s="317" t="n"/>
      <c r="BA534" s="257" t="n"/>
      <c r="BB534" s="258" t="n"/>
      <c r="BC534" s="316" t="n"/>
      <c r="BD534" s="317" t="n"/>
      <c r="BE534" s="257" t="n"/>
      <c r="BF534" s="258" t="n"/>
      <c r="BG534" s="89" t="n"/>
      <c r="BH5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34">
        <f>_xlfn.LET(r,ROW(),oc,INDEX($A:$A,r),cv,TRIM(INDEX($Y:$Y,r)&amp;""),IF(oc&lt;&gt;"P1","",IF(cv="45","V45 - novo, nao alimentado pelo spool atual","V44 - alimentado pelo spool atual")))</f>
        <v/>
      </c>
    </row>
    <row r="535" ht="54" customFormat="1" customHeight="1" s="91">
      <c r="A535" s="306" t="inlineStr">
        <is>
          <t>P1</t>
        </is>
      </c>
      <c r="B535" s="307" t="n">
        <v>300</v>
      </c>
      <c r="C535" s="269" t="inlineStr">
        <is>
          <t>22 - Caractéristiques de taux</t>
        </is>
      </c>
      <c r="D535" s="236" t="inlineStr">
        <is>
          <t>22 - Rate characteristics</t>
        </is>
      </c>
      <c r="E535" s="307" t="inlineStr">
        <is>
          <t>P1 22.29</t>
        </is>
      </c>
      <c r="F535" s="611" t="inlineStr">
        <is>
          <t>Taux de marge multiplicative</t>
        </is>
      </c>
      <c r="G535" s="309" t="inlineStr">
        <is>
          <t>Multiplicative margin rate</t>
        </is>
      </c>
      <c r="H535" s="1493">
        <f>"RPAD( "&amp;SUBSTITUTE(SUBSTITUTE(E535," ","_"),".","_")&amp;","&amp;W535&amp;",' '); -- "&amp;E535</f>
        <v/>
      </c>
      <c r="I535" s="278" t="inlineStr">
        <is>
          <t>Taux multiplicateur à appliquer à l'index de référence pour obtenir le taux d'intérêt. Cette donnée permet d'avoir la marge à multiplier à l'index
Exprimé en %</t>
        </is>
      </c>
      <c r="J535" s="160" t="inlineStr">
        <is>
          <t>Multiplicative rate to be applied to the reference index to obtain the interest rate. This data allows to get a margin to be multiplied to index
Expressed as %</t>
        </is>
      </c>
      <c r="K535" s="269" t="inlineStr">
        <is>
          <t>ND</t>
        </is>
      </c>
      <c r="L535" s="310" t="inlineStr">
        <is>
          <t>ND</t>
        </is>
      </c>
      <c r="M535" s="1420" t="inlineStr">
        <is>
          <t>txMargeMul</t>
        </is>
      </c>
      <c r="N535" s="231" t="inlineStr">
        <is>
          <t>Obligatoire sous conditions</t>
        </is>
      </c>
      <c r="O535" s="371" t="inlineStr">
        <is>
          <t>Mandatory under conditions</t>
        </is>
      </c>
      <c r="P535" s="269" t="inlineStr">
        <is>
          <t>NA</t>
        </is>
      </c>
      <c r="Q535" s="269" t="inlineStr">
        <is>
          <t>NA</t>
        </is>
      </c>
      <c r="R535" s="278" t="inlineStr">
        <is>
          <t>Par exemple : taux d'intérêt = marge multiplicative * index de référence + marge additive
S'il n'y a pas de marge multiplicative, la valeur par défaut est +010000000 (pour 100%)</t>
        </is>
      </c>
      <c r="S535" s="160" t="inlineStr">
        <is>
          <t>For example: interest rate = multiplicative margin * reference index + additive margin
If there is no multiplicative margin, the default is +010000000 (for 100%)</t>
        </is>
      </c>
      <c r="T535" s="313" t="inlineStr">
        <is>
          <t>NUM</t>
        </is>
      </c>
      <c r="U535" s="237" t="inlineStr">
        <is>
          <t>10 dont signe et 5 décimales</t>
        </is>
      </c>
      <c r="V535" s="238" t="inlineStr">
        <is>
          <t>10 including sign and 5 decimals</t>
        </is>
      </c>
      <c r="W535" s="257" t="n">
        <v>10</v>
      </c>
      <c r="X535" s="945" t="inlineStr">
        <is>
          <t>NA</t>
        </is>
      </c>
      <c r="Y535" s="237" t="n">
        <v>41</v>
      </c>
      <c r="Z535" s="237" t="inlineStr">
        <is>
          <t>NA</t>
        </is>
      </c>
      <c r="AA535" s="237" t="inlineStr">
        <is>
          <t>45.00</t>
        </is>
      </c>
      <c r="AB535" s="932" t="inlineStr">
        <is>
          <t>ANACREDIT, CORFOU, LIQUIDITE, LOAN TAPE, MREL, OMP, PALMA</t>
        </is>
      </c>
      <c r="AC535" s="231" t="inlineStr">
        <is>
          <t>ND</t>
        </is>
      </c>
      <c r="AD535" s="257" t="inlineStr">
        <is>
          <t>N</t>
        </is>
      </c>
      <c r="AE535" s="602" t="inlineStr">
        <is>
          <t xml:space="preserve">ISS200, ISS300
TRE2 à 4XX hors 203,205,206,207
TRE5XX
SIG
VAR105 et 302
</t>
        </is>
      </c>
      <c r="AF535" s="257" t="inlineStr">
        <is>
          <t>NA</t>
        </is>
      </c>
      <c r="AG535" s="258" t="inlineStr">
        <is>
          <t>NA</t>
        </is>
      </c>
      <c r="AH535" s="89" t="n"/>
      <c r="AI535" s="1233" t="inlineStr">
        <is>
          <t>La donnée est obligatoire si le type de risque [P1 2.0] = [ISS200, ISS300, TRE2xx à TRE5xx (hors TRE203, TRE205, TRE206, TRE207)] et si le type de taux [P1 22.14] = 'V' ou 'R'</t>
        </is>
      </c>
      <c r="AJ535" s="964" t="inlineStr">
        <is>
          <t>The data is mandatory if Risk type [P1 2.0] = [ISS200, ISS300, TRE2xx to TRE5xx (except TRE203, TRE205, TRE206, TRE207)] and if the type of interest rate [P1 22.14] = 'V' or 'R'</t>
        </is>
      </c>
      <c r="AK535" s="965" t="n">
        <v>6</v>
      </c>
      <c r="AL535" s="1234" t="inlineStr">
        <is>
          <t>TPSXXX (ex TPS0855/TPS0856)</t>
        </is>
      </c>
      <c r="AM535" s="318" t="n"/>
      <c r="AN535" s="317" t="n"/>
      <c r="AO535" s="257" t="n"/>
      <c r="AP535" s="258" t="n"/>
      <c r="AQ535" s="318" t="n"/>
      <c r="AR535" s="317" t="n"/>
      <c r="AS535" s="257" t="n"/>
      <c r="AT535" s="258" t="n"/>
      <c r="AU535" s="318" t="n"/>
      <c r="AV535" s="317" t="n"/>
      <c r="AW535" s="257" t="n"/>
      <c r="AX535" s="258" t="n"/>
      <c r="AY535" s="318" t="n"/>
      <c r="AZ535" s="317" t="n"/>
      <c r="BA535" s="257" t="n"/>
      <c r="BB535" s="258" t="n"/>
      <c r="BC535" s="316" t="n"/>
      <c r="BD535" s="317" t="n"/>
      <c r="BE535" s="257" t="n"/>
      <c r="BF535" s="258" t="n"/>
      <c r="BG535" s="89" t="n"/>
      <c r="BH5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35">
        <f>_xlfn.LET(r,ROW(),oc,INDEX($A:$A,r),cv,TRIM(INDEX($Y:$Y,r)&amp;""),IF(oc&lt;&gt;"P1","",IF(cv="45","V45 - novo, nao alimentado pelo spool atual","V44 - alimentado pelo spool atual")))</f>
        <v/>
      </c>
    </row>
    <row r="536" ht="54" customFormat="1" customHeight="1" s="91">
      <c r="A536" s="306" t="inlineStr">
        <is>
          <t>P1</t>
        </is>
      </c>
      <c r="B536" s="307" t="n">
        <v>301</v>
      </c>
      <c r="C536" s="269" t="inlineStr">
        <is>
          <t>06 - Caractéristiques échéancier</t>
        </is>
      </c>
      <c r="D536" s="236" t="inlineStr">
        <is>
          <t>06 - Schedule characteristics</t>
        </is>
      </c>
      <c r="E536" s="307" t="inlineStr">
        <is>
          <t>P1 22.30</t>
        </is>
      </c>
      <c r="F536" s="1263" t="inlineStr">
        <is>
          <t>Base de calcul des intérêts</t>
        </is>
      </c>
      <c r="G536" s="309" t="inlineStr">
        <is>
          <t>Interest calculation basis</t>
        </is>
      </c>
      <c r="H536" s="1493">
        <f>"RPAD( "&amp;SUBSTITUTE(SUBSTITUTE(E536," ","_"),".","_")&amp;","&amp;W536&amp;",' '); -- "&amp;E536</f>
        <v/>
      </c>
      <c r="I536" s="241" t="inlineStr">
        <is>
          <t>Coefficient appliqué pour passer du taux annuel au taux mensuel</t>
        </is>
      </c>
      <c r="J536" s="309" t="inlineStr">
        <is>
          <t>Coefficient applied to convert annual interest rate to monthly interest rate</t>
        </is>
      </c>
      <c r="K536" s="370" t="inlineStr">
        <is>
          <t>ND</t>
        </is>
      </c>
      <c r="L536" s="371" t="inlineStr">
        <is>
          <t>ND</t>
        </is>
      </c>
      <c r="M536" s="1420" t="inlineStr">
        <is>
          <t>cdBaseCalc</t>
        </is>
      </c>
      <c r="N536" s="257" t="inlineStr">
        <is>
          <t>Obligatoire sous conditions</t>
        </is>
      </c>
      <c r="O536" s="371" t="inlineStr">
        <is>
          <t>Mandatory under conditions</t>
        </is>
      </c>
      <c r="P536" s="269" t="inlineStr">
        <is>
          <t>LC.0239</t>
        </is>
      </c>
      <c r="Q536" s="269" t="inlineStr">
        <is>
          <t>RB T2INTBAS</t>
        </is>
      </c>
      <c r="R536" s="241" t="inlineStr">
        <is>
          <t>NA</t>
        </is>
      </c>
      <c r="S536" s="233" t="inlineStr">
        <is>
          <t>NA</t>
        </is>
      </c>
      <c r="T536" s="313" t="inlineStr">
        <is>
          <t>ALPHA</t>
        </is>
      </c>
      <c r="U536" s="237" t="inlineStr">
        <is>
          <t>NA</t>
        </is>
      </c>
      <c r="V536" s="238" t="inlineStr">
        <is>
          <t>NA</t>
        </is>
      </c>
      <c r="W536" s="257" t="n">
        <v>7</v>
      </c>
      <c r="X536" s="945" t="inlineStr">
        <is>
          <t>NA</t>
        </is>
      </c>
      <c r="Y536" s="237" t="n">
        <v>41</v>
      </c>
      <c r="Z536" s="237" t="inlineStr">
        <is>
          <t>NA</t>
        </is>
      </c>
      <c r="AA536" s="1020" t="inlineStr">
        <is>
          <t>45.00</t>
        </is>
      </c>
      <c r="AB536" s="932" t="inlineStr">
        <is>
          <t>ANACREDIT, CORFOU, LIQUIDITE, OMP, PALMA</t>
        </is>
      </c>
      <c r="AC536" s="231" t="inlineStr">
        <is>
          <t>ND</t>
        </is>
      </c>
      <c r="AD536" s="257" t="inlineStr">
        <is>
          <t>N</t>
        </is>
      </c>
      <c r="AE536" s="1221" t="inlineStr">
        <is>
          <t xml:space="preserve">ISS200, ISS300
TRE2 à 4XX hors 203,205,206,207
TRE5XX
VAR105 et VAR302
SIG
</t>
        </is>
      </c>
      <c r="AF536" s="257" t="inlineStr">
        <is>
          <t>NA</t>
        </is>
      </c>
      <c r="AG536" s="258" t="inlineStr">
        <is>
          <t>NA</t>
        </is>
      </c>
      <c r="AH536" s="89" t="n"/>
      <c r="AI536" s="1233" t="inlineStr">
        <is>
          <t>La donnée est obligatoire si le type de risque [P1 2.0] = [ISS200, ISS300, TRE2xx, TRE3xx, TRE4xx, TRE5xx hors (TRE203, TRE205, TRE206, TRE207), VAR105, VAR302]</t>
        </is>
      </c>
      <c r="AJ536" s="931" t="inlineStr">
        <is>
          <t>The data is mandatory if Risk type [P1 2.0] = [ISS200, ISS300, TRE2xx, TRE3xx, TRE4xx, TRE5xx except (TRE203, TRE205, TRE206, TRE207), VAR105, VAR302]</t>
        </is>
      </c>
      <c r="AK536" s="958" t="n">
        <v>6</v>
      </c>
      <c r="AL536" s="1234" t="inlineStr">
        <is>
          <t>TPSXXX (ex-TPS0853)
TPS0837</t>
        </is>
      </c>
      <c r="AM536" s="318" t="inlineStr">
        <is>
          <t>Si elle est renseignée, la valeur doit être connue du Langage Commun associé</t>
        </is>
      </c>
      <c r="AN536" s="317" t="inlineStr">
        <is>
          <t>If specified, the value must be known to the associated Common Language</t>
        </is>
      </c>
      <c r="AO536" s="257" t="n">
        <v>7</v>
      </c>
      <c r="AP536" s="212" t="inlineStr">
        <is>
          <t>TIG0001</t>
        </is>
      </c>
      <c r="AQ536" s="318" t="n"/>
      <c r="AR536" s="317" t="n"/>
      <c r="AS536" s="257" t="n"/>
      <c r="AT536" s="258" t="n"/>
      <c r="AU536" s="318" t="n"/>
      <c r="AV536" s="317" t="n"/>
      <c r="AW536" s="257" t="n"/>
      <c r="AX536" s="258" t="n"/>
      <c r="AY536" s="318" t="n"/>
      <c r="AZ536" s="317" t="n"/>
      <c r="BA536" s="257" t="n"/>
      <c r="BB536" s="258" t="n"/>
      <c r="BC536" s="316" t="n"/>
      <c r="BD536" s="317" t="n"/>
      <c r="BE536" s="257" t="n"/>
      <c r="BF536" s="258" t="n"/>
      <c r="BG536" s="89" t="n"/>
      <c r="BH5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36">
        <f>_xlfn.LET(r,ROW(),oc,INDEX($A:$A,r),cv,TRIM(INDEX($Y:$Y,r)&amp;""),IF(oc&lt;&gt;"P1","",IF(cv="45","V45 - novo, nao alimentado pelo spool atual","V44 - alimentado pelo spool atual")))</f>
        <v/>
      </c>
    </row>
    <row r="537" ht="54" customFormat="1" customHeight="1" s="91">
      <c r="A537" s="306" t="inlineStr">
        <is>
          <t>P1</t>
        </is>
      </c>
      <c r="B537" s="307" t="n">
        <v>302</v>
      </c>
      <c r="C537" s="269" t="inlineStr">
        <is>
          <t>06 - Caractéristiques échéancier</t>
        </is>
      </c>
      <c r="D537" s="236" t="inlineStr">
        <is>
          <t>06 - Schedule characteristics</t>
        </is>
      </c>
      <c r="E537" s="307" t="inlineStr">
        <is>
          <t>P1 22.31</t>
        </is>
      </c>
      <c r="F537" s="357" t="inlineStr">
        <is>
          <t>Date du premier déblocage de fonds</t>
        </is>
      </c>
      <c r="G537" s="309" t="inlineStr">
        <is>
          <t>Date of first release of funds</t>
        </is>
      </c>
      <c r="H537" s="1493">
        <f>"RPAD( "&amp;SUBSTITUTE(SUBSTITUTE(E537," ","_"),".","_")&amp;","&amp;W537&amp;",' '); -- "&amp;E537</f>
        <v/>
      </c>
      <c r="I537" s="241" t="inlineStr">
        <is>
          <t xml:space="preserve">Date du premier versement des fonds </t>
        </is>
      </c>
      <c r="J537" s="309" t="inlineStr">
        <is>
          <t xml:space="preserve">Date of first payment of funds </t>
        </is>
      </c>
      <c r="K537" s="370" t="inlineStr">
        <is>
          <t>ND</t>
        </is>
      </c>
      <c r="L537" s="371" t="inlineStr">
        <is>
          <t>ND</t>
        </is>
      </c>
      <c r="M537" s="1420" t="inlineStr">
        <is>
          <t>dtPremDeblocage</t>
        </is>
      </c>
      <c r="N537" s="231" t="inlineStr">
        <is>
          <t>Facultatif</t>
        </is>
      </c>
      <c r="O537" s="371" t="inlineStr">
        <is>
          <t>Optional</t>
        </is>
      </c>
      <c r="P537" s="269" t="inlineStr">
        <is>
          <t>NA</t>
        </is>
      </c>
      <c r="Q537" s="269" t="inlineStr">
        <is>
          <t>NA</t>
        </is>
      </c>
      <c r="R537" s="241" t="inlineStr">
        <is>
          <t>Utilisé lors de la génération des échéanciers simples sur le calcul des intérêts de la première échéance</t>
        </is>
      </c>
      <c r="S537" s="233" t="inlineStr">
        <is>
          <t>Used when generating simple schedules on the calculation of the interests of the first due date</t>
        </is>
      </c>
      <c r="T537" s="206" t="inlineStr">
        <is>
          <t>DATE</t>
        </is>
      </c>
      <c r="U537" s="237" t="inlineStr">
        <is>
          <t>AAAAMMJJ</t>
        </is>
      </c>
      <c r="V537" s="238" t="inlineStr">
        <is>
          <t>YYYYMMDD</t>
        </is>
      </c>
      <c r="W537" s="257" t="n">
        <v>8</v>
      </c>
      <c r="X537" s="945" t="inlineStr">
        <is>
          <t>NA</t>
        </is>
      </c>
      <c r="Y537" s="237" t="n">
        <v>41</v>
      </c>
      <c r="Z537" s="237" t="inlineStr">
        <is>
          <t>NA</t>
        </is>
      </c>
      <c r="AA537" s="237" t="inlineStr">
        <is>
          <t>NA</t>
        </is>
      </c>
      <c r="AB537" s="269" t="inlineStr">
        <is>
          <t>ANACREDIT, NZBA, OMP, PALMA</t>
        </is>
      </c>
      <c r="AC537" s="231" t="inlineStr">
        <is>
          <t>ND</t>
        </is>
      </c>
      <c r="AD537" s="257" t="inlineStr">
        <is>
          <t>N</t>
        </is>
      </c>
      <c r="AE537" s="257" t="inlineStr">
        <is>
          <t xml:space="preserve">TRE2 à 4XX hors 203,205,206,207
TRE5XX
</t>
        </is>
      </c>
      <c r="AF537" s="257" t="inlineStr">
        <is>
          <t>NA</t>
        </is>
      </c>
      <c r="AG537" s="258" t="inlineStr">
        <is>
          <t>NA</t>
        </is>
      </c>
      <c r="AH537" s="89" t="n"/>
      <c r="AI537" s="316" t="n"/>
      <c r="AJ537" s="317" t="n"/>
      <c r="AK537" s="257" t="n"/>
      <c r="AL537" s="258" t="n"/>
      <c r="AM537" s="318" t="n"/>
      <c r="AN537" s="317" t="n"/>
      <c r="AO537" s="257" t="n"/>
      <c r="AP537" s="258" t="n"/>
      <c r="AQ537" s="318" t="n"/>
      <c r="AR537" s="317" t="n"/>
      <c r="AS537" s="257" t="n"/>
      <c r="AT537" s="258" t="n"/>
      <c r="AU537" s="612" t="inlineStr">
        <is>
          <t>Si [Date du premier déblocage de fonds [P1 22.31] est renseignée ET Date de mise à disposition des fonds [P1 4.47] est renseignée ET Type de risque [P1 2.0] est égal à (TRE2**, TRE3**, TRE4**, TRE5**) hors ('TRE201,TRE203,205, 206, 207')], alors Date du premier déblocage de fonds [P1 22.31] doit être supérieure ou égale à Date de mise à disposition des fonds [P1 4.47]</t>
        </is>
      </c>
      <c r="AV537" s="317" t="inlineStr">
        <is>
          <t>If [Date of first release of funds [P1 22.31] is filled AND Date of availability of funds [P1 4.47] is filled AND Risk type [P1 2.0] is equal to (TRE2**, TRE3**, TRE4**, TRE5**) except ('TRE201,TRE203,205, 206, 207')], then Date of first release of funds [P1 22.31] must be greater than or equal to Date of availability of funds [P1 4.47]</t>
        </is>
      </c>
      <c r="AW537" s="257" t="n">
        <v>6</v>
      </c>
      <c r="AX537" s="613" t="inlineStr">
        <is>
          <t>TCS0725</t>
        </is>
      </c>
      <c r="AY537" s="318" t="n"/>
      <c r="AZ537" s="317" t="n"/>
      <c r="BA537" s="257" t="n"/>
      <c r="BB537" s="258" t="n"/>
      <c r="BC537" s="316" t="n"/>
      <c r="BD537" s="317" t="n"/>
      <c r="BE537" s="257" t="n"/>
      <c r="BF537" s="258" t="n"/>
      <c r="BG537" s="89" t="n"/>
      <c r="BH5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37">
        <f>_xlfn.LET(r,ROW(),oc,INDEX($A:$A,r),cv,TRIM(INDEX($Y:$Y,r)&amp;""),IF(oc&lt;&gt;"P1","",IF(cv="45","V45 - novo, nao alimentado pelo spool atual","V44 - alimentado pelo spool atual")))</f>
        <v/>
      </c>
    </row>
    <row r="538" ht="54" customFormat="1" customHeight="1" s="91">
      <c r="A538" s="306" t="inlineStr">
        <is>
          <t>P1</t>
        </is>
      </c>
      <c r="B538" s="307" t="n">
        <v>303</v>
      </c>
      <c r="C538" s="269" t="inlineStr">
        <is>
          <t>06 - Caractéristiques échéancier</t>
        </is>
      </c>
      <c r="D538" s="236" t="inlineStr">
        <is>
          <t>06 - Schedule characteristics</t>
        </is>
      </c>
      <c r="E538" s="307" t="inlineStr">
        <is>
          <t>P1 22.32</t>
        </is>
      </c>
      <c r="F538" s="308" t="inlineStr">
        <is>
          <t>Montant du premier déblocage de fonds</t>
        </is>
      </c>
      <c r="G538" s="309" t="inlineStr">
        <is>
          <t>Amount of first release of funds</t>
        </is>
      </c>
      <c r="H538" s="1493">
        <f>"RPAD( "&amp;SUBSTITUTE(SUBSTITUTE(E538," ","_"),".","_")&amp;","&amp;W538&amp;",' '); -- "&amp;E538</f>
        <v/>
      </c>
      <c r="I538" s="308" t="inlineStr">
        <is>
          <t>Montant du premier déblocage de fonds</t>
        </is>
      </c>
      <c r="J538" s="309" t="inlineStr">
        <is>
          <t>Amount of first release of funds</t>
        </is>
      </c>
      <c r="K538" s="370" t="inlineStr">
        <is>
          <t>ND</t>
        </is>
      </c>
      <c r="L538" s="371" t="inlineStr">
        <is>
          <t>ND</t>
        </is>
      </c>
      <c r="M538" s="1420" t="inlineStr">
        <is>
          <t>mtPremDeblocage</t>
        </is>
      </c>
      <c r="N538" s="449" t="inlineStr">
        <is>
          <t>Obligatoire sous conditions</t>
        </is>
      </c>
      <c r="O538" s="371" t="inlineStr">
        <is>
          <t>Mandatory under conditions</t>
        </is>
      </c>
      <c r="P538" s="269" t="inlineStr">
        <is>
          <t>NA</t>
        </is>
      </c>
      <c r="Q538" s="269" t="inlineStr">
        <is>
          <t>NA</t>
        </is>
      </c>
      <c r="R538" s="241" t="inlineStr">
        <is>
          <t>NA</t>
        </is>
      </c>
      <c r="S538" s="233" t="inlineStr">
        <is>
          <t>NA</t>
        </is>
      </c>
      <c r="T538" s="313" t="inlineStr">
        <is>
          <t>NUM</t>
        </is>
      </c>
      <c r="U538" s="237" t="inlineStr">
        <is>
          <t>19 dont signe et 2 décimales</t>
        </is>
      </c>
      <c r="V538" s="238" t="inlineStr">
        <is>
          <t>19 including sign and 2 decimals</t>
        </is>
      </c>
      <c r="W538" s="257" t="n">
        <v>19</v>
      </c>
      <c r="X538" s="945" t="inlineStr">
        <is>
          <t>NA</t>
        </is>
      </c>
      <c r="Y538" s="237" t="n">
        <v>41</v>
      </c>
      <c r="Z538" s="237" t="inlineStr">
        <is>
          <t>NA</t>
        </is>
      </c>
      <c r="AA538" s="237" t="inlineStr">
        <is>
          <t>NA</t>
        </is>
      </c>
      <c r="AB538" s="269" t="inlineStr">
        <is>
          <t>ANACREDIT, PALMA</t>
        </is>
      </c>
      <c r="AC538" s="231" t="inlineStr">
        <is>
          <t>ND</t>
        </is>
      </c>
      <c r="AD538" s="257" t="inlineStr">
        <is>
          <t>N</t>
        </is>
      </c>
      <c r="AE538" s="1401" t="inlineStr">
        <is>
          <t>TRE2 à 4XX hors 203,205,206,207
TRE5XX</t>
        </is>
      </c>
      <c r="AF538" s="257" t="inlineStr">
        <is>
          <t>NA</t>
        </is>
      </c>
      <c r="AG538" s="258" t="inlineStr">
        <is>
          <t>NA</t>
        </is>
      </c>
      <c r="AH538" s="89" t="n"/>
      <c r="AI538" s="435" t="inlineStr">
        <is>
          <t>La donnée est obligatoire, si la date du premier déblocage de fonds [P1 22.31] est renseignée</t>
        </is>
      </c>
      <c r="AJ538" s="317" t="inlineStr">
        <is>
          <t>The data is mandatory, if the date of the first release of funds [P1 22.31] is filled in</t>
        </is>
      </c>
      <c r="AK538" s="257" t="n">
        <v>5</v>
      </c>
      <c r="AL538" s="345" t="inlineStr">
        <is>
          <t>TPS0859</t>
        </is>
      </c>
      <c r="AM538" s="318" t="n"/>
      <c r="AN538" s="317" t="n"/>
      <c r="AO538" s="257" t="n"/>
      <c r="AP538" s="258" t="n"/>
      <c r="AQ538" s="322" t="inlineStr">
        <is>
          <t>Si renseignée, la donnée doit être positive (supérieure ou égale à 0)</t>
        </is>
      </c>
      <c r="AR538" s="317" t="inlineStr">
        <is>
          <t xml:space="preserve">If filled, data must be positive (greater or equal to 0) </t>
        </is>
      </c>
      <c r="AS538" s="257" t="n">
        <v>7</v>
      </c>
      <c r="AT538" s="345" t="inlineStr">
        <is>
          <t>TVG0001</t>
        </is>
      </c>
      <c r="AU538" s="318" t="n"/>
      <c r="AV538" s="317" t="n"/>
      <c r="AW538" s="257" t="n"/>
      <c r="AX538" s="258" t="n"/>
      <c r="AY538" s="318" t="n"/>
      <c r="AZ538" s="317" t="n"/>
      <c r="BA538" s="257" t="n"/>
      <c r="BB538" s="258" t="n"/>
      <c r="BC538" s="316" t="n"/>
      <c r="BD538" s="317" t="n"/>
      <c r="BE538" s="257" t="n"/>
      <c r="BF538" s="258" t="n"/>
      <c r="BG538" s="89" t="n"/>
      <c r="BH5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38">
        <f>_xlfn.LET(r,ROW(),oc,INDEX($A:$A,r),cv,TRIM(INDEX($Y:$Y,r)&amp;""),IF(oc&lt;&gt;"P1","",IF(cv="45","V45 - novo, nao alimentado pelo spool atual","V44 - alimentado pelo spool atual")))</f>
        <v/>
      </c>
    </row>
    <row r="539" ht="54" customFormat="1" customHeight="1" s="91">
      <c r="A539" s="306" t="inlineStr">
        <is>
          <t>P1</t>
        </is>
      </c>
      <c r="B539" s="307" t="n">
        <v>304</v>
      </c>
      <c r="C539" s="269" t="inlineStr">
        <is>
          <t>06 - Caractéristiques échéancier</t>
        </is>
      </c>
      <c r="D539" s="236" t="inlineStr">
        <is>
          <t>06 - Schedule characteristics</t>
        </is>
      </c>
      <c r="E539" s="307" t="inlineStr">
        <is>
          <t>P1 22.33</t>
        </is>
      </c>
      <c r="F539" s="308" t="inlineStr">
        <is>
          <t>Devise du montant du premier déblocage de fonds</t>
        </is>
      </c>
      <c r="G539" s="309" t="inlineStr">
        <is>
          <t>Currency of the amount of first release of funds</t>
        </is>
      </c>
      <c r="H539" s="1493">
        <f>"RPAD( "&amp;SUBSTITUTE(SUBSTITUTE(E539," ","_"),".","_")&amp;","&amp;W539&amp;",' '); -- "&amp;E539</f>
        <v/>
      </c>
      <c r="I539" s="241" t="inlineStr">
        <is>
          <t>Devise du montant du premier déblocage de fonds</t>
        </is>
      </c>
      <c r="J539" s="309" t="inlineStr">
        <is>
          <t>Currency of the amount of first release of funds</t>
        </is>
      </c>
      <c r="K539" s="370" t="inlineStr">
        <is>
          <t>ND</t>
        </is>
      </c>
      <c r="L539" s="371" t="inlineStr">
        <is>
          <t>ND</t>
        </is>
      </c>
      <c r="M539" s="1420" t="inlineStr">
        <is>
          <t>cdDevMtPremDeblocage</t>
        </is>
      </c>
      <c r="N539" s="257" t="inlineStr">
        <is>
          <t>Obligatoire sous conditions</t>
        </is>
      </c>
      <c r="O539" s="371" t="inlineStr">
        <is>
          <t>Mandatory under conditions</t>
        </is>
      </c>
      <c r="P539" s="269" t="inlineStr">
        <is>
          <t>LC.0005</t>
        </is>
      </c>
      <c r="Q539" s="269" t="inlineStr">
        <is>
          <t>TA NM253</t>
        </is>
      </c>
      <c r="R539" s="241" t="inlineStr">
        <is>
          <t>NA</t>
        </is>
      </c>
      <c r="S539" s="233" t="inlineStr">
        <is>
          <t>NA</t>
        </is>
      </c>
      <c r="T539" s="313" t="inlineStr">
        <is>
          <t>ALPHA</t>
        </is>
      </c>
      <c r="U539" s="237" t="inlineStr">
        <is>
          <t>NA</t>
        </is>
      </c>
      <c r="V539" s="238" t="inlineStr">
        <is>
          <t>NA</t>
        </is>
      </c>
      <c r="W539" s="257" t="n">
        <v>3</v>
      </c>
      <c r="X539" s="945" t="inlineStr">
        <is>
          <t>NA</t>
        </is>
      </c>
      <c r="Y539" s="237" t="n">
        <v>41</v>
      </c>
      <c r="Z539" s="237" t="inlineStr">
        <is>
          <t>NA</t>
        </is>
      </c>
      <c r="AA539" s="237" t="inlineStr">
        <is>
          <t>NA</t>
        </is>
      </c>
      <c r="AB539" s="269" t="inlineStr">
        <is>
          <t>ANACREDIT, PALMA</t>
        </is>
      </c>
      <c r="AC539" s="231" t="inlineStr">
        <is>
          <t>ND</t>
        </is>
      </c>
      <c r="AD539" s="257" t="inlineStr">
        <is>
          <t>N</t>
        </is>
      </c>
      <c r="AE539" s="257" t="inlineStr">
        <is>
          <t xml:space="preserve">TRE2 à 4XX hors 203,205,206,207
TRE5XX
</t>
        </is>
      </c>
      <c r="AF539" s="257" t="inlineStr">
        <is>
          <t>NA</t>
        </is>
      </c>
      <c r="AG539" s="258" t="inlineStr">
        <is>
          <t>NA</t>
        </is>
      </c>
      <c r="AH539" s="89" t="n"/>
      <c r="AI539" s="435" t="inlineStr">
        <is>
          <t xml:space="preserve">La donnée est obligatoire, si le montant du premier déblocage de fonds [P1 22.32] est renseigné </t>
        </is>
      </c>
      <c r="AJ539" s="317" t="inlineStr">
        <is>
          <t>The data is mandatory, if the amount of the first release of funds [P1 22.32] is filled</t>
        </is>
      </c>
      <c r="AK539" s="257" t="n">
        <v>7</v>
      </c>
      <c r="AL539" s="447" t="inlineStr">
        <is>
          <t>TPG0002</t>
        </is>
      </c>
      <c r="AM539" s="318" t="inlineStr">
        <is>
          <t>Si elle est renseignée, la valeur doit être connue du Langage Commun associé</t>
        </is>
      </c>
      <c r="AN539" s="317" t="inlineStr">
        <is>
          <t>If specified, the value must be known to the associated Common Language</t>
        </is>
      </c>
      <c r="AO539" s="257" t="n">
        <v>7</v>
      </c>
      <c r="AP539" s="212" t="inlineStr">
        <is>
          <t>TIG0001</t>
        </is>
      </c>
      <c r="AQ539" s="318" t="n"/>
      <c r="AR539" s="317" t="n"/>
      <c r="AS539" s="257" t="n"/>
      <c r="AT539" s="258" t="n"/>
      <c r="AU539" s="318" t="n"/>
      <c r="AV539" s="317" t="n"/>
      <c r="AW539" s="257" t="n"/>
      <c r="AX539" s="258" t="n"/>
      <c r="AY539" s="318" t="n"/>
      <c r="AZ539" s="317" t="n"/>
      <c r="BA539" s="257" t="n"/>
      <c r="BB539" s="258" t="n"/>
      <c r="BC539" s="316" t="n"/>
      <c r="BD539" s="317" t="n"/>
      <c r="BE539" s="257" t="n"/>
      <c r="BF539" s="258" t="n"/>
      <c r="BG539" s="89" t="n"/>
      <c r="BH5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39">
        <f>_xlfn.LET(r,ROW(),oc,INDEX($A:$A,r),cv,TRIM(INDEX($Y:$Y,r)&amp;""),IF(oc&lt;&gt;"P1","",IF(cv="45","V45 - novo, nao alimentado pelo spool atual","V44 - alimentado pelo spool atual")))</f>
        <v/>
      </c>
    </row>
    <row r="540" ht="54" customFormat="1" customHeight="1" s="91">
      <c r="A540" s="306" t="inlineStr">
        <is>
          <t>P1</t>
        </is>
      </c>
      <c r="B540" s="307" t="n">
        <v>305</v>
      </c>
      <c r="C540" s="269" t="inlineStr">
        <is>
          <t>06 - Caractéristiques échéancier</t>
        </is>
      </c>
      <c r="D540" s="236" t="inlineStr">
        <is>
          <t>06 - Schedule characteristics</t>
        </is>
      </c>
      <c r="E540" s="307" t="inlineStr">
        <is>
          <t>P1 22.34</t>
        </is>
      </c>
      <c r="F540" s="460" t="inlineStr">
        <is>
          <t>Montant du capital théorique restant dû</t>
        </is>
      </c>
      <c r="G540" s="309" t="inlineStr">
        <is>
          <t>Amount of theoretical principal remaining due</t>
        </is>
      </c>
      <c r="H540" s="1493">
        <f>"RPAD( "&amp;SUBSTITUTE(SUBSTITUTE(E540," ","_"),".","_")&amp;","&amp;W540&amp;",' '); -- "&amp;E540</f>
        <v/>
      </c>
      <c r="I540" s="308" t="inlineStr">
        <is>
          <t>Correspond au CRD théorique sur les prêts (ne prend pas en compte les arriérés de paiement)</t>
        </is>
      </c>
      <c r="J540" s="309" t="inlineStr">
        <is>
          <t>Corresponds to the theoretical principal remaining due on loans (does not take into account payment arrears)</t>
        </is>
      </c>
      <c r="K540" s="370" t="inlineStr">
        <is>
          <t>ND</t>
        </is>
      </c>
      <c r="L540" s="371" t="inlineStr">
        <is>
          <t>ND</t>
        </is>
      </c>
      <c r="M540" s="1420" t="inlineStr">
        <is>
          <t>mtCapTheoDu</t>
        </is>
      </c>
      <c r="N540" s="454" t="inlineStr">
        <is>
          <t>Facultatif</t>
        </is>
      </c>
      <c r="O540" s="371" t="inlineStr">
        <is>
          <t>Optional</t>
        </is>
      </c>
      <c r="P540" s="269" t="inlineStr">
        <is>
          <t>NA</t>
        </is>
      </c>
      <c r="Q540" s="269" t="inlineStr">
        <is>
          <t>NA</t>
        </is>
      </c>
      <c r="R540" s="241" t="inlineStr">
        <is>
          <t>NA</t>
        </is>
      </c>
      <c r="S540" s="233" t="inlineStr">
        <is>
          <t>NA</t>
        </is>
      </c>
      <c r="T540" s="313" t="inlineStr">
        <is>
          <t>NUM</t>
        </is>
      </c>
      <c r="U540" s="237" t="inlineStr">
        <is>
          <t>19 dont signe et 2 décimales</t>
        </is>
      </c>
      <c r="V540" s="238" t="inlineStr">
        <is>
          <t>19 including sign and 2 decimals</t>
        </is>
      </c>
      <c r="W540" s="257" t="n">
        <v>19</v>
      </c>
      <c r="X540" s="945" t="inlineStr">
        <is>
          <t>NA</t>
        </is>
      </c>
      <c r="Y540" s="237" t="n">
        <v>41</v>
      </c>
      <c r="Z540" s="237" t="inlineStr">
        <is>
          <t>NA</t>
        </is>
      </c>
      <c r="AA540" s="237" t="inlineStr">
        <is>
          <t>NA</t>
        </is>
      </c>
      <c r="AB540" s="269" t="inlineStr">
        <is>
          <t>ANACREDIT, NZBA, OMP, PALMA</t>
        </is>
      </c>
      <c r="AC540" s="231" t="inlineStr">
        <is>
          <t>ND</t>
        </is>
      </c>
      <c r="AD540" s="257" t="inlineStr">
        <is>
          <t>N</t>
        </is>
      </c>
      <c r="AE540" s="257" t="inlineStr">
        <is>
          <t xml:space="preserve">TRE2 à 4XX hors 203,205,206,207
TRE5XX
SIG
</t>
        </is>
      </c>
      <c r="AF540" s="257" t="inlineStr">
        <is>
          <t>NA</t>
        </is>
      </c>
      <c r="AG540" s="258" t="inlineStr">
        <is>
          <t>NA</t>
        </is>
      </c>
      <c r="AH540" s="89" t="n"/>
      <c r="AI540" s="614" t="n"/>
      <c r="AJ540" s="422" t="n"/>
      <c r="AK540" s="348" t="n"/>
      <c r="AL540" s="423" t="n"/>
      <c r="AM540" s="318" t="n"/>
      <c r="AN540" s="317" t="n"/>
      <c r="AO540" s="257" t="n"/>
      <c r="AP540" s="258" t="n"/>
      <c r="AQ540" s="322" t="inlineStr">
        <is>
          <t>Si renseignée, la donnée doit être positive (supérieure ou égale à 0)</t>
        </is>
      </c>
      <c r="AR540" s="317" t="inlineStr">
        <is>
          <t xml:space="preserve">If filled, data must be positive (greater or equal to 0) </t>
        </is>
      </c>
      <c r="AS540" s="257" t="n">
        <v>7</v>
      </c>
      <c r="AT540" s="345" t="inlineStr">
        <is>
          <t>TVG0001</t>
        </is>
      </c>
      <c r="AU540" s="318" t="n"/>
      <c r="AV540" s="317" t="n"/>
      <c r="AW540" s="257" t="n"/>
      <c r="AX540" s="258" t="n"/>
      <c r="AY540" s="318" t="n"/>
      <c r="AZ540" s="317" t="n"/>
      <c r="BA540" s="257" t="n"/>
      <c r="BB540" s="258" t="n"/>
      <c r="BC540" s="316" t="n"/>
      <c r="BD540" s="317" t="n"/>
      <c r="BE540" s="257" t="n"/>
      <c r="BF540" s="258" t="n"/>
      <c r="BG540" s="89" t="n"/>
      <c r="BH5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40">
        <f>_xlfn.LET(r,ROW(),oc,INDEX($A:$A,r),cv,TRIM(INDEX($Y:$Y,r)&amp;""),IF(oc&lt;&gt;"P1","",IF(cv="45","V45 - novo, nao alimentado pelo spool atual","V44 - alimentado pelo spool atual")))</f>
        <v/>
      </c>
    </row>
    <row r="541" ht="54" customFormat="1" customHeight="1" s="91">
      <c r="A541" s="306" t="inlineStr">
        <is>
          <t>P1</t>
        </is>
      </c>
      <c r="B541" s="307" t="n">
        <v>306</v>
      </c>
      <c r="C541" s="269" t="inlineStr">
        <is>
          <t>06 - Caractéristiques échéancier</t>
        </is>
      </c>
      <c r="D541" s="236" t="inlineStr">
        <is>
          <t>06 - Schedule characteristics</t>
        </is>
      </c>
      <c r="E541" s="307" t="inlineStr">
        <is>
          <t>P1 22.35</t>
        </is>
      </c>
      <c r="F541" s="460" t="inlineStr">
        <is>
          <t>Devise du montant du capital théorique restant dû</t>
        </is>
      </c>
      <c r="G541" s="309" t="inlineStr">
        <is>
          <t>Currency of amount of theoretical principal outstanding</t>
        </is>
      </c>
      <c r="H541" s="1493">
        <f>"RPAD( "&amp;SUBSTITUTE(SUBSTITUTE(E541," ","_"),".","_")&amp;","&amp;W541&amp;",' '); -- "&amp;E541</f>
        <v/>
      </c>
      <c r="I541" s="241" t="inlineStr">
        <is>
          <t xml:space="preserve">Devise du capital théorique restant dû </t>
        </is>
      </c>
      <c r="J541" s="309" t="inlineStr">
        <is>
          <t xml:space="preserve">Currency of theoretical principal outstanding </t>
        </is>
      </c>
      <c r="K541" s="370" t="inlineStr">
        <is>
          <t>ND</t>
        </is>
      </c>
      <c r="L541" s="371" t="inlineStr">
        <is>
          <t>ND</t>
        </is>
      </c>
      <c r="M541" s="1420" t="inlineStr">
        <is>
          <t>cdDevMtCapTheoDu</t>
        </is>
      </c>
      <c r="N541" s="257" t="inlineStr">
        <is>
          <t>Obligatoire sous conditions</t>
        </is>
      </c>
      <c r="O541" s="371" t="inlineStr">
        <is>
          <t>Mandatory under conditions</t>
        </is>
      </c>
      <c r="P541" s="269" t="inlineStr">
        <is>
          <t>LC.0005</t>
        </is>
      </c>
      <c r="Q541" s="269" t="inlineStr">
        <is>
          <t>TA NM253</t>
        </is>
      </c>
      <c r="R541" s="241" t="inlineStr">
        <is>
          <t>NA</t>
        </is>
      </c>
      <c r="S541" s="233" t="inlineStr">
        <is>
          <t>NA</t>
        </is>
      </c>
      <c r="T541" s="313" t="inlineStr">
        <is>
          <t>ALPHA</t>
        </is>
      </c>
      <c r="U541" s="237" t="inlineStr">
        <is>
          <t>NA</t>
        </is>
      </c>
      <c r="V541" s="238" t="inlineStr">
        <is>
          <t>NA</t>
        </is>
      </c>
      <c r="W541" s="257" t="n">
        <v>3</v>
      </c>
      <c r="X541" s="945" t="inlineStr">
        <is>
          <t>NA</t>
        </is>
      </c>
      <c r="Y541" s="237" t="n">
        <v>41</v>
      </c>
      <c r="Z541" s="237" t="inlineStr">
        <is>
          <t>NA</t>
        </is>
      </c>
      <c r="AA541" s="237" t="inlineStr">
        <is>
          <t>NA</t>
        </is>
      </c>
      <c r="AB541" s="269" t="inlineStr">
        <is>
          <t>ANACREDIT, NZBA, OMP, PALMA</t>
        </is>
      </c>
      <c r="AC541" s="231" t="inlineStr">
        <is>
          <t>ND</t>
        </is>
      </c>
      <c r="AD541" s="257" t="inlineStr">
        <is>
          <t>N</t>
        </is>
      </c>
      <c r="AE541" s="257" t="inlineStr">
        <is>
          <t xml:space="preserve">TRE2 à 4XX hors 203,205,206,207
TRE5XX
SIG
</t>
        </is>
      </c>
      <c r="AF541" s="257" t="inlineStr">
        <is>
          <t>NA</t>
        </is>
      </c>
      <c r="AG541" s="258" t="inlineStr">
        <is>
          <t>NA</t>
        </is>
      </c>
      <c r="AH541" s="89" t="n"/>
      <c r="AI541" s="500" t="inlineStr">
        <is>
          <t>La donnée est obligatoire, si le montant du capital théorique restant dû [P1 22.34] est renseigné</t>
        </is>
      </c>
      <c r="AJ541" s="317" t="inlineStr">
        <is>
          <t>The data is mandatory, if the amount of theoretical capital remaining due [P1 22.34] is filled</t>
        </is>
      </c>
      <c r="AK541" s="257" t="n">
        <v>7</v>
      </c>
      <c r="AL541" s="447" t="inlineStr">
        <is>
          <t>TPG0002</t>
        </is>
      </c>
      <c r="AM541" s="318" t="inlineStr">
        <is>
          <t>Si elle est renseignée, la valeur doit être connue du Langage Commun associé</t>
        </is>
      </c>
      <c r="AN541" s="317" t="inlineStr">
        <is>
          <t>If specified, the value must be known to the associated Common Language</t>
        </is>
      </c>
      <c r="AO541" s="257" t="n">
        <v>7</v>
      </c>
      <c r="AP541" s="212" t="inlineStr">
        <is>
          <t>TIG0001</t>
        </is>
      </c>
      <c r="AQ541" s="318" t="n"/>
      <c r="AR541" s="317" t="n"/>
      <c r="AS541" s="257" t="n"/>
      <c r="AT541" s="258" t="n"/>
      <c r="AU541" s="318" t="n"/>
      <c r="AV541" s="317" t="n"/>
      <c r="AW541" s="257" t="n"/>
      <c r="AX541" s="258" t="n"/>
      <c r="AY541" s="318" t="n"/>
      <c r="AZ541" s="317" t="n"/>
      <c r="BA541" s="257" t="n"/>
      <c r="BB541" s="258" t="n"/>
      <c r="BC541" s="316" t="n"/>
      <c r="BD541" s="317" t="n"/>
      <c r="BE541" s="257" t="n"/>
      <c r="BF541" s="258" t="n"/>
      <c r="BG541" s="89" t="n"/>
      <c r="BH5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41">
        <f>_xlfn.LET(r,ROW(),oc,INDEX($A:$A,r),cv,TRIM(INDEX($Y:$Y,r)&amp;""),IF(oc&lt;&gt;"P1","",IF(cv="45","V45 - novo, nao alimentado pelo spool atual","V44 - alimentado pelo spool atual")))</f>
        <v/>
      </c>
    </row>
    <row r="542" ht="54" customFormat="1" customHeight="1" s="91">
      <c r="A542" s="306" t="inlineStr">
        <is>
          <t>P1</t>
        </is>
      </c>
      <c r="B542" s="307" t="n">
        <v>307</v>
      </c>
      <c r="C542" s="269" t="inlineStr">
        <is>
          <t>06 - Caractéristiques échéancier</t>
        </is>
      </c>
      <c r="D542" s="236" t="inlineStr">
        <is>
          <t>06 - Schedule characteristics</t>
        </is>
      </c>
      <c r="E542" s="307" t="inlineStr">
        <is>
          <t>P1 22.36</t>
        </is>
      </c>
      <c r="F542" s="308" t="inlineStr">
        <is>
          <t>Option de remboursement anticipé</t>
        </is>
      </c>
      <c r="G542" s="309" t="inlineStr">
        <is>
          <t>Early repayment option</t>
        </is>
      </c>
      <c r="H542" s="1493">
        <f>"RPAD( "&amp;SUBSTITUTE(SUBSTITUTE(E542," ","_"),".","_")&amp;","&amp;W542&amp;",' '); -- "&amp;E542</f>
        <v/>
      </c>
      <c r="I542" s="561" t="inlineStr">
        <is>
          <t>Classification des expositions de crédit selon les droits du créancier de demander le remboursement de l'exposition</t>
        </is>
      </c>
      <c r="J542" s="309" t="inlineStr">
        <is>
          <t>Classification of credit exposures according to the creditor's rights to claim the repayment of the exposure</t>
        </is>
      </c>
      <c r="K542" s="370" t="inlineStr">
        <is>
          <t>ND</t>
        </is>
      </c>
      <c r="L542" s="371" t="inlineStr">
        <is>
          <t>ND</t>
        </is>
      </c>
      <c r="M542" s="1420" t="inlineStr">
        <is>
          <t>cdIndOpRBT</t>
        </is>
      </c>
      <c r="N542" s="257" t="inlineStr">
        <is>
          <t>Obligatoire sous conditions</t>
        </is>
      </c>
      <c r="O542" s="371" t="inlineStr">
        <is>
          <t>Mandatory under conditions</t>
        </is>
      </c>
      <c r="P542" s="269" t="inlineStr">
        <is>
          <t>LC.0232</t>
        </is>
      </c>
      <c r="Q542" s="269" t="inlineStr">
        <is>
          <t>TA KVORBANT</t>
        </is>
      </c>
      <c r="R542" s="241" t="inlineStr">
        <is>
          <t>NA</t>
        </is>
      </c>
      <c r="S542" s="233" t="inlineStr">
        <is>
          <t>NA</t>
        </is>
      </c>
      <c r="T542" s="313" t="inlineStr">
        <is>
          <t>ALPHA</t>
        </is>
      </c>
      <c r="U542" s="237" t="inlineStr">
        <is>
          <t>NA</t>
        </is>
      </c>
      <c r="V542" s="238" t="inlineStr">
        <is>
          <t>NA</t>
        </is>
      </c>
      <c r="W542" s="257" t="n">
        <v>1</v>
      </c>
      <c r="X542" s="945" t="inlineStr">
        <is>
          <t>NA</t>
        </is>
      </c>
      <c r="Y542" s="237" t="n">
        <v>41</v>
      </c>
      <c r="Z542" s="237" t="inlineStr">
        <is>
          <t>NA</t>
        </is>
      </c>
      <c r="AA542" s="283" t="inlineStr">
        <is>
          <t>NA</t>
        </is>
      </c>
      <c r="AB542" s="269" t="inlineStr">
        <is>
          <t>ANACREDIT</t>
        </is>
      </c>
      <c r="AC542" s="231" t="inlineStr">
        <is>
          <t>ND</t>
        </is>
      </c>
      <c r="AD542" s="257" t="inlineStr">
        <is>
          <t>N</t>
        </is>
      </c>
      <c r="AE542" s="257" t="inlineStr">
        <is>
          <t xml:space="preserve">ISS200 et 300
TRE2 à 4XX hors 203,205,206,207
TRE5XX
</t>
        </is>
      </c>
      <c r="AF542" s="257" t="inlineStr">
        <is>
          <t>NA</t>
        </is>
      </c>
      <c r="AG542" s="258" t="inlineStr">
        <is>
          <t>NA</t>
        </is>
      </c>
      <c r="AH542" s="89" t="n"/>
      <c r="AI542" s="435" t="inlineStr">
        <is>
          <t>La donnée est obligatoire, si le type de risque [P1 2.0] = 'ISS200', 'ISS300', 'TRE2*', 'TRE3*','TRE4*','TRE5*' (hors 'TRE203','TRE205','TRE206','TRE207')</t>
        </is>
      </c>
      <c r="AJ542" s="317" t="inlineStr">
        <is>
          <t>The data is mandatory, if Risk type [P1 2.0] = 'ISS200', 'ISS300', 'TRE2*', 'TRE3*','TRE4*','TRE5*' (except 'TRE203','TRE205','TRE206','TRE207')</t>
        </is>
      </c>
      <c r="AK542" s="257" t="n">
        <v>6</v>
      </c>
      <c r="AL542" s="345" t="inlineStr">
        <is>
          <t>TPS0860</t>
        </is>
      </c>
      <c r="AM542" s="318" t="inlineStr">
        <is>
          <t>Si elle est renseignée, la valeur doit être connue du Langage Commun associé</t>
        </is>
      </c>
      <c r="AN542" s="317" t="inlineStr">
        <is>
          <t>If specified, the value must be known to the associated Common Language</t>
        </is>
      </c>
      <c r="AO542" s="257" t="n">
        <v>7</v>
      </c>
      <c r="AP542" s="212" t="inlineStr">
        <is>
          <t>TIG0001</t>
        </is>
      </c>
      <c r="AQ542" s="318" t="n"/>
      <c r="AR542" s="317" t="n"/>
      <c r="AS542" s="257" t="n"/>
      <c r="AT542" s="258" t="n"/>
      <c r="AU542" s="318" t="n"/>
      <c r="AV542" s="317" t="n"/>
      <c r="AW542" s="257" t="n"/>
      <c r="AX542" s="258" t="n"/>
      <c r="AY542" s="318" t="n"/>
      <c r="AZ542" s="317" t="n"/>
      <c r="BA542" s="257" t="n"/>
      <c r="BB542" s="258" t="n"/>
      <c r="BC542" s="316" t="n"/>
      <c r="BD542" s="317" t="n"/>
      <c r="BE542" s="257" t="n"/>
      <c r="BF542" s="258" t="n"/>
      <c r="BG542" s="89" t="n"/>
      <c r="BH5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42">
        <f>_xlfn.LET(r,ROW(),oc,INDEX($A:$A,r),cv,TRIM(INDEX($Y:$Y,r)&amp;""),IF(oc&lt;&gt;"P1","",IF(cv="45","V45 - novo, nao alimentado pelo spool atual","V44 - alimentado pelo spool atual")))</f>
        <v/>
      </c>
    </row>
    <row r="543" ht="54" customFormat="1" customHeight="1" s="91">
      <c r="A543" s="306" t="inlineStr">
        <is>
          <t>P1</t>
        </is>
      </c>
      <c r="B543" s="307" t="n">
        <v>308</v>
      </c>
      <c r="C543" s="269" t="inlineStr">
        <is>
          <t>06 - Caractéristiques échéancier</t>
        </is>
      </c>
      <c r="D543" s="236" t="inlineStr">
        <is>
          <t>06 - Schedule characteristics</t>
        </is>
      </c>
      <c r="E543" s="307" t="inlineStr">
        <is>
          <t>P1 22.37</t>
        </is>
      </c>
      <c r="F543" s="308" t="inlineStr">
        <is>
          <t>Date du premier arriéré de paiement</t>
        </is>
      </c>
      <c r="G543" s="309" t="inlineStr">
        <is>
          <t>Date of first payment in arrears</t>
        </is>
      </c>
      <c r="H543" s="1493">
        <f>"RPAD( "&amp;SUBSTITUTE(SUBSTITUTE(E543," ","_"),".","_")&amp;","&amp;W543&amp;",' '); -- "&amp;E543</f>
        <v/>
      </c>
      <c r="I543" s="241" t="inlineStr">
        <is>
          <t>Date du premier incident de paiement</t>
        </is>
      </c>
      <c r="J543" s="309" t="inlineStr">
        <is>
          <t>Date of first payment incident</t>
        </is>
      </c>
      <c r="K543" s="370" t="inlineStr">
        <is>
          <t>ND</t>
        </is>
      </c>
      <c r="L543" s="371" t="inlineStr">
        <is>
          <t>ND</t>
        </is>
      </c>
      <c r="M543" s="1420" t="inlineStr">
        <is>
          <t>dtPrArrPai</t>
        </is>
      </c>
      <c r="N543" s="257" t="inlineStr">
        <is>
          <t>Obligatoire sous conditions</t>
        </is>
      </c>
      <c r="O543" s="371" t="inlineStr">
        <is>
          <t>Mandatory under conditions</t>
        </is>
      </c>
      <c r="P543" s="269" t="inlineStr">
        <is>
          <t>NA</t>
        </is>
      </c>
      <c r="Q543" s="269" t="inlineStr">
        <is>
          <t>NA</t>
        </is>
      </c>
      <c r="R543" s="241" t="inlineStr">
        <is>
          <t>NA</t>
        </is>
      </c>
      <c r="S543" s="233" t="inlineStr">
        <is>
          <t>NA</t>
        </is>
      </c>
      <c r="T543" s="206" t="inlineStr">
        <is>
          <t>DATE</t>
        </is>
      </c>
      <c r="U543" s="237" t="inlineStr">
        <is>
          <t>AAAAMMJJ</t>
        </is>
      </c>
      <c r="V543" s="238" t="inlineStr">
        <is>
          <t>YYYYMMDD</t>
        </is>
      </c>
      <c r="W543" s="257" t="n">
        <v>8</v>
      </c>
      <c r="X543" s="945" t="inlineStr">
        <is>
          <t>NA</t>
        </is>
      </c>
      <c r="Y543" s="237" t="n">
        <v>41</v>
      </c>
      <c r="Z543" s="237" t="inlineStr">
        <is>
          <t>NA</t>
        </is>
      </c>
      <c r="AA543" s="237" t="inlineStr">
        <is>
          <t>NA</t>
        </is>
      </c>
      <c r="AB543" s="269" t="inlineStr">
        <is>
          <t>ANACREDIT, LOAN TAPE, OMP, SRB VALUATION</t>
        </is>
      </c>
      <c r="AC543" s="231" t="inlineStr">
        <is>
          <t>ND</t>
        </is>
      </c>
      <c r="AD543" s="257" t="inlineStr">
        <is>
          <t>N</t>
        </is>
      </c>
      <c r="AE543" s="257" t="inlineStr">
        <is>
          <t xml:space="preserve">TRE2 à 4XX hors 203,205,206,207
TRE5XX
SIG
</t>
        </is>
      </c>
      <c r="AF543" s="257" t="inlineStr">
        <is>
          <t>NA</t>
        </is>
      </c>
      <c r="AG543" s="258" t="inlineStr">
        <is>
          <t>NA</t>
        </is>
      </c>
      <c r="AH543" s="89" t="n"/>
      <c r="AI543" s="316" t="inlineStr">
        <is>
          <t>La donnée est obligatoire si le type de risque [P1 2.0] = 'TRE2xx' à 'TRE5xx' (hors 'TRE203, TRE205, TRE206, TRE207'), 'SIGxx' ET si l'indicateur "Arriéré de paiement" [P1 5.5] = 'Y'</t>
        </is>
      </c>
      <c r="AJ543" s="317" t="inlineStr">
        <is>
          <t>The data is mandatory if the Risk type [P1 2.0] = 'TRE2xx' to 'TRE5xx' (except 'TRE203, TRE205, TRE206, TRE207'), 'SIGxx' AND if the indicator "Overdue to pay" [P1 5.5] = 'Y'</t>
        </is>
      </c>
      <c r="AK543" s="257" t="n">
        <v>6</v>
      </c>
      <c r="AL543" s="366" t="inlineStr">
        <is>
          <t>TPS0861</t>
        </is>
      </c>
      <c r="AM543" s="318" t="n"/>
      <c r="AN543" s="317" t="n"/>
      <c r="AO543" s="257" t="n"/>
      <c r="AP543" s="258" t="n"/>
      <c r="AQ543" s="356" t="inlineStr">
        <is>
          <t>Si renseignée, la donnée doit être supérieure ou égale à '19000101'</t>
        </is>
      </c>
      <c r="AR543" s="317" t="inlineStr">
        <is>
          <t>If filled, data must be greater or equal to '19000101'</t>
        </is>
      </c>
      <c r="AS543" s="574" t="n">
        <v>7</v>
      </c>
      <c r="AT543" s="258" t="inlineStr">
        <is>
          <t>TVG0005</t>
        </is>
      </c>
      <c r="AU543" s="318" t="n"/>
      <c r="AV543" s="317" t="n"/>
      <c r="AW543" s="257" t="n"/>
      <c r="AX543" s="258" t="n"/>
      <c r="AY543" s="318" t="n"/>
      <c r="AZ543" s="317" t="n"/>
      <c r="BA543" s="257" t="n"/>
      <c r="BB543" s="258" t="n"/>
      <c r="BC543" s="316" t="n"/>
      <c r="BD543" s="317" t="n"/>
      <c r="BE543" s="257" t="n"/>
      <c r="BF543" s="258" t="n"/>
      <c r="BG543" s="89" t="n"/>
      <c r="BH5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43">
        <f>_xlfn.LET(r,ROW(),oc,INDEX($A:$A,r),cv,TRIM(INDEX($Y:$Y,r)&amp;""),IF(oc&lt;&gt;"P1","",IF(cv="45","V45 - novo, nao alimentado pelo spool atual","V44 - alimentado pelo spool atual")))</f>
        <v/>
      </c>
    </row>
    <row r="544" ht="54" customFormat="1" customHeight="1" s="91">
      <c r="A544" s="306" t="inlineStr">
        <is>
          <t>P1</t>
        </is>
      </c>
      <c r="B544" s="307" t="n">
        <v>309</v>
      </c>
      <c r="C544" s="269" t="inlineStr">
        <is>
          <t>06 - Caractéristiques échéancier</t>
        </is>
      </c>
      <c r="D544" s="236" t="inlineStr">
        <is>
          <t>06 - Schedule characteristics</t>
        </is>
      </c>
      <c r="E544" s="307" t="inlineStr">
        <is>
          <t>P1 22.38</t>
        </is>
      </c>
      <c r="F544" s="308" t="inlineStr">
        <is>
          <t>Date de passage de l'encours en douteux compromis</t>
        </is>
      </c>
      <c r="G544" s="309" t="inlineStr">
        <is>
          <t>Date on which doubtful outstanding is recognised as compromised</t>
        </is>
      </c>
      <c r="H544" s="1493">
        <f>"RPAD( "&amp;SUBSTITUTE(SUBSTITUTE(E544," ","_"),".","_")&amp;","&amp;W544&amp;",' '); -- "&amp;E544</f>
        <v/>
      </c>
      <c r="I544" s="241" t="inlineStr">
        <is>
          <t>Date de passage de l'encours en douteux compromis</t>
        </is>
      </c>
      <c r="J544" s="309" t="inlineStr">
        <is>
          <t>Date on which doubtful outstanding is recognised as compromised</t>
        </is>
      </c>
      <c r="K544" s="370" t="inlineStr">
        <is>
          <t>ND</t>
        </is>
      </c>
      <c r="L544" s="371" t="inlineStr">
        <is>
          <t>ND</t>
        </is>
      </c>
      <c r="M544" s="1420" t="inlineStr">
        <is>
          <t>dtPasEncDout</t>
        </is>
      </c>
      <c r="N544" s="257" t="inlineStr">
        <is>
          <t>Facultatif</t>
        </is>
      </c>
      <c r="O544" s="371" t="inlineStr">
        <is>
          <t>Optional</t>
        </is>
      </c>
      <c r="P544" s="269" t="inlineStr">
        <is>
          <t>NA</t>
        </is>
      </c>
      <c r="Q544" s="269" t="inlineStr">
        <is>
          <t>NA</t>
        </is>
      </c>
      <c r="R544" s="241" t="inlineStr">
        <is>
          <t>NA</t>
        </is>
      </c>
      <c r="S544" s="233" t="inlineStr">
        <is>
          <t>NA</t>
        </is>
      </c>
      <c r="T544" s="206" t="inlineStr">
        <is>
          <t>DATE</t>
        </is>
      </c>
      <c r="U544" s="237" t="inlineStr">
        <is>
          <t>AAAAMMJJ</t>
        </is>
      </c>
      <c r="V544" s="238" t="inlineStr">
        <is>
          <t>YYYYMMDD</t>
        </is>
      </c>
      <c r="W544" s="257" t="n">
        <v>8</v>
      </c>
      <c r="X544" s="945" t="inlineStr">
        <is>
          <t>NA</t>
        </is>
      </c>
      <c r="Y544" s="237" t="n">
        <v>41</v>
      </c>
      <c r="Z544" s="237" t="inlineStr">
        <is>
          <t>NA</t>
        </is>
      </c>
      <c r="AA544" s="237" t="inlineStr">
        <is>
          <t>NA</t>
        </is>
      </c>
      <c r="AB544" s="269" t="inlineStr">
        <is>
          <t>ANACREDIT</t>
        </is>
      </c>
      <c r="AC544" s="231" t="inlineStr">
        <is>
          <t>ND</t>
        </is>
      </c>
      <c r="AD544" s="257" t="inlineStr">
        <is>
          <t>N</t>
        </is>
      </c>
      <c r="AE544" s="257" t="inlineStr">
        <is>
          <t xml:space="preserve">TRE2 à 4XX hors 203,205,206,207
TRE5XX
SIG
</t>
        </is>
      </c>
      <c r="AF544" s="257" t="inlineStr">
        <is>
          <t>NA</t>
        </is>
      </c>
      <c r="AG544" s="258" t="inlineStr">
        <is>
          <t>NA</t>
        </is>
      </c>
      <c r="AH544" s="89" t="n"/>
      <c r="AI544" s="316" t="n"/>
      <c r="AJ544" s="317" t="n"/>
      <c r="AK544" s="257" t="n"/>
      <c r="AL544" s="258" t="n"/>
      <c r="AM544" s="318" t="n"/>
      <c r="AN544" s="317" t="n"/>
      <c r="AO544" s="257" t="n"/>
      <c r="AP544" s="258" t="n"/>
      <c r="AQ544" s="356" t="inlineStr">
        <is>
          <t>Si renseignée, la donnée doit être supérieure ou égale à '19000101'</t>
        </is>
      </c>
      <c r="AR544" s="317" t="inlineStr">
        <is>
          <t>If filled, data must be greater or equal to '19000101'</t>
        </is>
      </c>
      <c r="AS544" s="574" t="n">
        <v>7</v>
      </c>
      <c r="AT544" s="258" t="inlineStr">
        <is>
          <t>TVG0005</t>
        </is>
      </c>
      <c r="AU544" s="318" t="inlineStr">
        <is>
          <t>Si renseignée, la date de passage en douteux compromis [P1 22.38] doit être supérieure ou égale à la date de début de l'engagement [P1 3.2]</t>
        </is>
      </c>
      <c r="AV544" s="317" t="inlineStr">
        <is>
          <t>If filled in, the Date loan recognised as compromised [P1 22.38] must be greater than or equal to the funds in use start date [P1 3.2]</t>
        </is>
      </c>
      <c r="AW544" s="257" t="n">
        <v>6</v>
      </c>
      <c r="AX544" s="345" t="inlineStr">
        <is>
          <t>TCS0726</t>
        </is>
      </c>
      <c r="AY544" s="318" t="n"/>
      <c r="AZ544" s="317" t="n"/>
      <c r="BA544" s="257" t="n"/>
      <c r="BB544" s="258" t="n"/>
      <c r="BC544" s="316" t="n"/>
      <c r="BD544" s="317" t="n"/>
      <c r="BE544" s="257" t="n"/>
      <c r="BF544" s="258" t="n"/>
      <c r="BG544" s="89" t="n"/>
      <c r="BH5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44">
        <f>_xlfn.LET(r,ROW(),oc,INDEX($A:$A,r),cv,TRIM(INDEX($Y:$Y,r)&amp;""),IF(oc&lt;&gt;"P1","",IF(cv="45","V45 - novo, nao alimentado pelo spool atual","V44 - alimentado pelo spool atual")))</f>
        <v/>
      </c>
    </row>
    <row r="545" ht="54" customFormat="1" customHeight="1" s="91">
      <c r="A545" s="306" t="inlineStr">
        <is>
          <t>P1</t>
        </is>
      </c>
      <c r="B545" s="307" t="n">
        <v>310</v>
      </c>
      <c r="C545" s="269" t="inlineStr">
        <is>
          <t>06 - Caractéristiques échéancier</t>
        </is>
      </c>
      <c r="D545" s="236" t="inlineStr">
        <is>
          <t>06 - Schedule characteristics</t>
        </is>
      </c>
      <c r="E545" s="307" t="inlineStr">
        <is>
          <t>P1 22.39</t>
        </is>
      </c>
      <c r="F545" s="308" t="inlineStr">
        <is>
          <t>Montant de l'encours en douteux compromis</t>
        </is>
      </c>
      <c r="G545" s="309" t="inlineStr">
        <is>
          <t>Amount of compromised debt</t>
        </is>
      </c>
      <c r="H545" s="1493">
        <f>"RPAD( "&amp;SUBSTITUTE(SUBSTITUTE(E545," ","_"),".","_")&amp;","&amp;W545&amp;",' '); -- "&amp;E545</f>
        <v/>
      </c>
      <c r="I545" s="308" t="inlineStr">
        <is>
          <t>Montant de l'encours en douteux compromis</t>
        </is>
      </c>
      <c r="J545" s="309" t="inlineStr">
        <is>
          <t>Amount of compromised debt</t>
        </is>
      </c>
      <c r="K545" s="370" t="inlineStr">
        <is>
          <t>ND</t>
        </is>
      </c>
      <c r="L545" s="371" t="inlineStr">
        <is>
          <t>ND</t>
        </is>
      </c>
      <c r="M545" s="1420" t="inlineStr">
        <is>
          <t>mtEncourDout</t>
        </is>
      </c>
      <c r="N545" s="257" t="inlineStr">
        <is>
          <t>Obligatoire sous conditions</t>
        </is>
      </c>
      <c r="O545" s="371" t="inlineStr">
        <is>
          <t>Mandatory under conditions</t>
        </is>
      </c>
      <c r="P545" s="269" t="inlineStr">
        <is>
          <t>NA</t>
        </is>
      </c>
      <c r="Q545" s="269" t="inlineStr">
        <is>
          <t>NA</t>
        </is>
      </c>
      <c r="R545" s="241" t="inlineStr">
        <is>
          <t>NA</t>
        </is>
      </c>
      <c r="S545" s="233" t="inlineStr">
        <is>
          <t>NA</t>
        </is>
      </c>
      <c r="T545" s="313" t="inlineStr">
        <is>
          <t>NUM</t>
        </is>
      </c>
      <c r="U545" s="237" t="inlineStr">
        <is>
          <t>19 dont signe et 2 décimales</t>
        </is>
      </c>
      <c r="V545" s="238" t="inlineStr">
        <is>
          <t>19 including sign and 2 decimals</t>
        </is>
      </c>
      <c r="W545" s="257" t="n">
        <v>19</v>
      </c>
      <c r="X545" s="945" t="inlineStr">
        <is>
          <t>NA</t>
        </is>
      </c>
      <c r="Y545" s="237" t="n">
        <v>41</v>
      </c>
      <c r="Z545" s="237" t="inlineStr">
        <is>
          <t>NA</t>
        </is>
      </c>
      <c r="AA545" s="237" t="inlineStr">
        <is>
          <t>NA</t>
        </is>
      </c>
      <c r="AB545" s="269" t="inlineStr">
        <is>
          <t>ANACREDIT</t>
        </is>
      </c>
      <c r="AC545" s="231" t="inlineStr">
        <is>
          <t>ND</t>
        </is>
      </c>
      <c r="AD545" s="257" t="inlineStr">
        <is>
          <t>N</t>
        </is>
      </c>
      <c r="AE545" s="257" t="inlineStr">
        <is>
          <t xml:space="preserve">TRE2 à 4XX hors 203,205,206,207
TRE5XX
SIG
</t>
        </is>
      </c>
      <c r="AF545" s="257" t="inlineStr">
        <is>
          <t>NA</t>
        </is>
      </c>
      <c r="AG545" s="258" t="inlineStr">
        <is>
          <t>NA</t>
        </is>
      </c>
      <c r="AH545" s="89" t="n"/>
      <c r="AI545" s="316" t="inlineStr">
        <is>
          <t>La donnée est obligatoire si la date de passage en douteux compromis [P1 22.38] est renseignée</t>
        </is>
      </c>
      <c r="AJ545" s="317" t="inlineStr">
        <is>
          <t>The data is mandatory if the compromised date [P1 22.38] is filled in</t>
        </is>
      </c>
      <c r="AK545" s="257" t="n">
        <v>6</v>
      </c>
      <c r="AL545" s="345" t="inlineStr">
        <is>
          <t>TPS0862</t>
        </is>
      </c>
      <c r="AM545" s="318" t="n"/>
      <c r="AN545" s="317" t="n"/>
      <c r="AO545" s="257" t="n"/>
      <c r="AP545" s="258" t="n"/>
      <c r="AQ545" s="322" t="inlineStr">
        <is>
          <t>Si renseignée, la donnée doit être positive (supérieure ou égale à 0)</t>
        </is>
      </c>
      <c r="AR545" s="317" t="inlineStr">
        <is>
          <t xml:space="preserve">If filled, data must be positive (greater or equal to 0) </t>
        </is>
      </c>
      <c r="AS545" s="257" t="n">
        <v>7</v>
      </c>
      <c r="AT545" s="345" t="inlineStr">
        <is>
          <t>TVG0001</t>
        </is>
      </c>
      <c r="AU545" s="318" t="n"/>
      <c r="AV545" s="317" t="n"/>
      <c r="AW545" s="257" t="n"/>
      <c r="AX545" s="258" t="n"/>
      <c r="AY545" s="318" t="n"/>
      <c r="AZ545" s="317" t="n"/>
      <c r="BA545" s="257" t="n"/>
      <c r="BB545" s="258" t="n"/>
      <c r="BC545" s="316" t="n"/>
      <c r="BD545" s="317" t="n"/>
      <c r="BE545" s="257" t="n"/>
      <c r="BF545" s="258" t="n"/>
      <c r="BG545" s="89" t="n"/>
      <c r="BH5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45">
        <f>_xlfn.LET(r,ROW(),oc,INDEX($A:$A,r),cv,TRIM(INDEX($Y:$Y,r)&amp;""),IF(oc&lt;&gt;"P1","",IF(cv="45","V45 - novo, nao alimentado pelo spool atual","V44 - alimentado pelo spool atual")))</f>
        <v/>
      </c>
    </row>
    <row r="546" ht="54" customFormat="1" customHeight="1" s="91">
      <c r="A546" s="306" t="inlineStr">
        <is>
          <t>P1</t>
        </is>
      </c>
      <c r="B546" s="307" t="n">
        <v>311</v>
      </c>
      <c r="C546" s="269" t="inlineStr">
        <is>
          <t>06 - Caractéristiques échéancier</t>
        </is>
      </c>
      <c r="D546" s="236" t="inlineStr">
        <is>
          <t>06 - Schedule characteristics</t>
        </is>
      </c>
      <c r="E546" s="307" t="inlineStr">
        <is>
          <t>P1 22.40</t>
        </is>
      </c>
      <c r="F546" s="308" t="inlineStr">
        <is>
          <t>Devise du montant de l'encours en douteux compromis</t>
        </is>
      </c>
      <c r="G546" s="309" t="inlineStr">
        <is>
          <t>Currency of the amount of compromised debt</t>
        </is>
      </c>
      <c r="H546" s="1493">
        <f>"RPAD( "&amp;SUBSTITUTE(SUBSTITUTE(E546," ","_"),".","_")&amp;","&amp;W546&amp;",' '); -- "&amp;E546</f>
        <v/>
      </c>
      <c r="I546" s="241" t="inlineStr">
        <is>
          <t xml:space="preserve">Devise du montant de l'encours en douteux compromis </t>
        </is>
      </c>
      <c r="J546" s="309" t="inlineStr">
        <is>
          <t xml:space="preserve">Currency of the amount of compromised debt </t>
        </is>
      </c>
      <c r="K546" s="370" t="inlineStr">
        <is>
          <t>ND</t>
        </is>
      </c>
      <c r="L546" s="371" t="inlineStr">
        <is>
          <t>ND</t>
        </is>
      </c>
      <c r="M546" s="1420" t="inlineStr">
        <is>
          <t>cdDevMtEncourDout</t>
        </is>
      </c>
      <c r="N546" s="257" t="inlineStr">
        <is>
          <t>Obligatoire sous conditions</t>
        </is>
      </c>
      <c r="O546" s="371" t="inlineStr">
        <is>
          <t>Mandatory under conditions</t>
        </is>
      </c>
      <c r="P546" s="269" t="inlineStr">
        <is>
          <t>LC.0005</t>
        </is>
      </c>
      <c r="Q546" s="269" t="inlineStr">
        <is>
          <t>TA NM253</t>
        </is>
      </c>
      <c r="R546" s="241" t="inlineStr">
        <is>
          <t>NA</t>
        </is>
      </c>
      <c r="S546" s="233" t="inlineStr">
        <is>
          <t>NA</t>
        </is>
      </c>
      <c r="T546" s="313" t="inlineStr">
        <is>
          <t>ALPHA</t>
        </is>
      </c>
      <c r="U546" s="237" t="inlineStr">
        <is>
          <t>NA</t>
        </is>
      </c>
      <c r="V546" s="238" t="inlineStr">
        <is>
          <t>NA</t>
        </is>
      </c>
      <c r="W546" s="257" t="n">
        <v>3</v>
      </c>
      <c r="X546" s="945" t="inlineStr">
        <is>
          <t>NA</t>
        </is>
      </c>
      <c r="Y546" s="237" t="n">
        <v>41</v>
      </c>
      <c r="Z546" s="237" t="inlineStr">
        <is>
          <t>NA</t>
        </is>
      </c>
      <c r="AA546" s="237" t="inlineStr">
        <is>
          <t>NA</t>
        </is>
      </c>
      <c r="AB546" s="269" t="inlineStr">
        <is>
          <t>ANACREDIT</t>
        </is>
      </c>
      <c r="AC546" s="231" t="inlineStr">
        <is>
          <t>ND</t>
        </is>
      </c>
      <c r="AD546" s="257" t="inlineStr">
        <is>
          <t>N</t>
        </is>
      </c>
      <c r="AE546" s="257" t="inlineStr">
        <is>
          <t xml:space="preserve">TRE2 à 4XX hors 203,205,206,207
TRE5XX
SIG
</t>
        </is>
      </c>
      <c r="AF546" s="257" t="inlineStr">
        <is>
          <t>NA</t>
        </is>
      </c>
      <c r="AG546" s="258" t="inlineStr">
        <is>
          <t>NA</t>
        </is>
      </c>
      <c r="AH546" s="89" t="n"/>
      <c r="AI546" s="435" t="inlineStr">
        <is>
          <t>La donnée est obligatoire, si le montant de l'encours en douteux compromis [P1 22.39] est renseigné</t>
        </is>
      </c>
      <c r="AJ546" s="317" t="inlineStr">
        <is>
          <t>The data is mandatory, if the Amount of compromised debt [P1 22.39] is filled</t>
        </is>
      </c>
      <c r="AK546" s="257" t="n">
        <v>7</v>
      </c>
      <c r="AL546" s="447" t="inlineStr">
        <is>
          <t>TPG0002</t>
        </is>
      </c>
      <c r="AM546" s="318" t="inlineStr">
        <is>
          <t>Si elle est renseignée, la valeur doit être connue du Langage Commun associé</t>
        </is>
      </c>
      <c r="AN546" s="317" t="inlineStr">
        <is>
          <t>If specified, the value must be known to the associated Common Language</t>
        </is>
      </c>
      <c r="AO546" s="257" t="n">
        <v>7</v>
      </c>
      <c r="AP546" s="212" t="inlineStr">
        <is>
          <t>TIG0001</t>
        </is>
      </c>
      <c r="AQ546" s="318" t="n"/>
      <c r="AR546" s="317" t="n"/>
      <c r="AS546" s="257" t="n"/>
      <c r="AT546" s="258" t="n"/>
      <c r="AU546" s="318" t="n"/>
      <c r="AV546" s="317" t="n"/>
      <c r="AW546" s="257" t="n"/>
      <c r="AX546" s="258" t="n"/>
      <c r="AY546" s="318" t="n"/>
      <c r="AZ546" s="317" t="n"/>
      <c r="BA546" s="257" t="n"/>
      <c r="BB546" s="258" t="n"/>
      <c r="BC546" s="316" t="n"/>
      <c r="BD546" s="317" t="n"/>
      <c r="BE546" s="257" t="n"/>
      <c r="BF546" s="258" t="n"/>
      <c r="BG546" s="89" t="n"/>
      <c r="BH5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46">
        <f>_xlfn.LET(r,ROW(),oc,INDEX($A:$A,r),cv,TRIM(INDEX($Y:$Y,r)&amp;""),IF(oc&lt;&gt;"P1","",IF(cv="45","V45 - novo, nao alimentado pelo spool atual","V44 - alimentado pelo spool atual")))</f>
        <v/>
      </c>
    </row>
    <row r="547" ht="54" customFormat="1" customHeight="1" s="91">
      <c r="A547" s="306" t="inlineStr">
        <is>
          <t>P1</t>
        </is>
      </c>
      <c r="B547" s="307" t="n">
        <v>312</v>
      </c>
      <c r="C547" s="269" t="inlineStr">
        <is>
          <t>06 - Caractéristiques échéancier</t>
        </is>
      </c>
      <c r="D547" s="236" t="inlineStr">
        <is>
          <t>06 - Schedule characteristics</t>
        </is>
      </c>
      <c r="E547" s="307" t="inlineStr">
        <is>
          <t>P1 22.41</t>
        </is>
      </c>
      <c r="F547" s="308" t="inlineStr">
        <is>
          <t xml:space="preserve">Date de déchéance du terme </t>
        </is>
      </c>
      <c r="G547" s="309" t="inlineStr">
        <is>
          <t xml:space="preserve">Close-out netting date </t>
        </is>
      </c>
      <c r="H547" s="1493">
        <f>"RPAD( "&amp;SUBSTITUTE(SUBSTITUTE(E547," ","_"),".","_")&amp;","&amp;W547&amp;",' '); -- "&amp;E547</f>
        <v/>
      </c>
      <c r="I547" s="241" t="inlineStr">
        <is>
          <t>Date à laquelle la banque met fin au contrat et exige le remboursement total du crédit (impayés + échéances à venir + frais + Intérêt)</t>
        </is>
      </c>
      <c r="J547" s="309" t="inlineStr">
        <is>
          <t>Date on which the bank ends the contract and demands the total repayment of the loan (past due repayments + future repayments + fees + interest)</t>
        </is>
      </c>
      <c r="K547" s="370" t="inlineStr">
        <is>
          <t>ND</t>
        </is>
      </c>
      <c r="L547" s="371" t="inlineStr">
        <is>
          <t>ND</t>
        </is>
      </c>
      <c r="M547" s="1420" t="inlineStr">
        <is>
          <t>dtEchTerme</t>
        </is>
      </c>
      <c r="N547" s="257" t="inlineStr">
        <is>
          <t>Facultatif</t>
        </is>
      </c>
      <c r="O547" s="371" t="inlineStr">
        <is>
          <t>Optional</t>
        </is>
      </c>
      <c r="P547" s="269" t="inlineStr">
        <is>
          <t>NA</t>
        </is>
      </c>
      <c r="Q547" s="269" t="inlineStr">
        <is>
          <t>NA</t>
        </is>
      </c>
      <c r="R547" s="241" t="inlineStr">
        <is>
          <t>NA</t>
        </is>
      </c>
      <c r="S547" s="233" t="inlineStr">
        <is>
          <t>NA</t>
        </is>
      </c>
      <c r="T547" s="206" t="inlineStr">
        <is>
          <t>DATE</t>
        </is>
      </c>
      <c r="U547" s="237" t="inlineStr">
        <is>
          <t>AAAAMMJJ</t>
        </is>
      </c>
      <c r="V547" s="238" t="inlineStr">
        <is>
          <t>YYYYMMDD</t>
        </is>
      </c>
      <c r="W547" s="257" t="n">
        <v>8</v>
      </c>
      <c r="X547" s="945" t="inlineStr">
        <is>
          <t>NA</t>
        </is>
      </c>
      <c r="Y547" s="237" t="n">
        <v>41</v>
      </c>
      <c r="Z547" s="237" t="inlineStr">
        <is>
          <t>NA</t>
        </is>
      </c>
      <c r="AA547" s="237" t="inlineStr">
        <is>
          <t>NA</t>
        </is>
      </c>
      <c r="AB547" s="269" t="inlineStr">
        <is>
          <t>ASTRE, NPE</t>
        </is>
      </c>
      <c r="AC547" s="231" t="inlineStr">
        <is>
          <t>ND</t>
        </is>
      </c>
      <c r="AD547" s="257" t="inlineStr">
        <is>
          <t>N</t>
        </is>
      </c>
      <c r="AE547" s="257" t="inlineStr">
        <is>
          <t xml:space="preserve">TRE2 à 4XX hors 203,205,206,207
TRE5XX
</t>
        </is>
      </c>
      <c r="AF547" s="257" t="inlineStr">
        <is>
          <t>NA</t>
        </is>
      </c>
      <c r="AG547" s="258" t="inlineStr">
        <is>
          <t>NA</t>
        </is>
      </c>
      <c r="AH547" s="89" t="n"/>
      <c r="AI547" s="316" t="n"/>
      <c r="AJ547" s="317" t="n"/>
      <c r="AK547" s="257" t="n"/>
      <c r="AL547" s="258" t="n"/>
      <c r="AM547" s="318" t="n"/>
      <c r="AN547" s="317" t="n"/>
      <c r="AO547" s="257" t="n"/>
      <c r="AP547" s="258" t="n"/>
      <c r="AQ547" s="318" t="n"/>
      <c r="AR547" s="317" t="n"/>
      <c r="AS547" s="257" t="n"/>
      <c r="AT547" s="258" t="n"/>
      <c r="AU547" s="318" t="n"/>
      <c r="AV547" s="317" t="n"/>
      <c r="AW547" s="257" t="n"/>
      <c r="AX547" s="258" t="n"/>
      <c r="AY547" s="318" t="n"/>
      <c r="AZ547" s="317" t="n"/>
      <c r="BA547" s="257" t="n"/>
      <c r="BB547" s="258" t="n"/>
      <c r="BC547" s="316" t="n"/>
      <c r="BD547" s="317" t="n"/>
      <c r="BE547" s="257" t="n"/>
      <c r="BF547" s="258" t="n"/>
      <c r="BG547" s="89" t="n"/>
      <c r="BH5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47">
        <f>_xlfn.LET(r,ROW(),oc,INDEX($A:$A,r),cv,TRIM(INDEX($Y:$Y,r)&amp;""),IF(oc&lt;&gt;"P1","",IF(cv="45","V45 - novo, nao alimentado pelo spool atual","V44 - alimentado pelo spool atual")))</f>
        <v/>
      </c>
    </row>
    <row r="548" ht="54" customFormat="1" customHeight="1" s="91">
      <c r="A548" s="306" t="inlineStr">
        <is>
          <t>P1</t>
        </is>
      </c>
      <c r="B548" s="307" t="n">
        <v>313</v>
      </c>
      <c r="C548" s="269" t="inlineStr">
        <is>
          <t>29 - Ratio</t>
        </is>
      </c>
      <c r="D548" s="236" t="inlineStr">
        <is>
          <t>29 - Ratio</t>
        </is>
      </c>
      <c r="E548" s="307" t="inlineStr">
        <is>
          <t>P1 22.42</t>
        </is>
      </c>
      <c r="F548" s="308" t="inlineStr">
        <is>
          <t>Loan-to-value ratio (LTV) local à l'octroi</t>
        </is>
      </c>
      <c r="G548" s="309" t="inlineStr">
        <is>
          <t>Local Loan-to-value (LTV) ratio when loan granted</t>
        </is>
      </c>
      <c r="H548" s="1493">
        <f>"RPAD( "&amp;SUBSTITUTE(SUBSTITUTE(E548," ","_"),".","_")&amp;","&amp;W548&amp;",' '); -- "&amp;E548</f>
        <v/>
      </c>
      <c r="I548" s="308" t="inlineStr">
        <is>
          <t>Loan-to-value ratio (LTV) local à l'octroi
Exprimé en %</t>
        </is>
      </c>
      <c r="J548" s="309" t="inlineStr">
        <is>
          <t>Local Loan-to-value (LTV) ratio when loan granted
Expressed as %</t>
        </is>
      </c>
      <c r="K548" s="370" t="inlineStr">
        <is>
          <t>ND</t>
        </is>
      </c>
      <c r="L548" s="371" t="inlineStr">
        <is>
          <t>ND</t>
        </is>
      </c>
      <c r="M548" s="1420" t="inlineStr">
        <is>
          <t>cdLTVLoc</t>
        </is>
      </c>
      <c r="N548" s="257" t="inlineStr">
        <is>
          <t>Obligatoire sous conditions</t>
        </is>
      </c>
      <c r="O548" s="371" t="inlineStr">
        <is>
          <t>Mandatory under conditions</t>
        </is>
      </c>
      <c r="P548" s="269" t="inlineStr">
        <is>
          <t>NA</t>
        </is>
      </c>
      <c r="Q548" s="269" t="inlineStr">
        <is>
          <t>NA</t>
        </is>
      </c>
      <c r="R548" s="241" t="inlineStr">
        <is>
          <t>Obligatoire si prêt immobilier</t>
        </is>
      </c>
      <c r="S548" s="233" t="inlineStr">
        <is>
          <t>Mandatory if mortgage</t>
        </is>
      </c>
      <c r="T548" s="313" t="inlineStr">
        <is>
          <t>NUM</t>
        </is>
      </c>
      <c r="U548" s="237" t="inlineStr">
        <is>
          <t>10 dont signe et 5 décimales</t>
        </is>
      </c>
      <c r="V548" s="238" t="inlineStr">
        <is>
          <t>10 including sign and 5 decimals</t>
        </is>
      </c>
      <c r="W548" s="257" t="n">
        <v>10</v>
      </c>
      <c r="X548" s="945" t="inlineStr">
        <is>
          <t>NA</t>
        </is>
      </c>
      <c r="Y548" s="237" t="n">
        <v>41</v>
      </c>
      <c r="Z548" s="237" t="inlineStr">
        <is>
          <t>NA</t>
        </is>
      </c>
      <c r="AA548" s="978" t="inlineStr">
        <is>
          <t>NA</t>
        </is>
      </c>
      <c r="AB548" s="994" t="inlineStr">
        <is>
          <t>ASTRE, CALCULS PRUDENTIELS, LOAN TAPE, OCTROI DE CREDIT</t>
        </is>
      </c>
      <c r="AC548" s="231" t="inlineStr">
        <is>
          <t>ND</t>
        </is>
      </c>
      <c r="AD548" s="257" t="inlineStr">
        <is>
          <t>N</t>
        </is>
      </c>
      <c r="AE548" s="257" t="inlineStr">
        <is>
          <t xml:space="preserve">TRE2 à 4XX hors 203,205,206,207
TRE5XX
</t>
        </is>
      </c>
      <c r="AF548" s="257" t="inlineStr">
        <is>
          <t>NA</t>
        </is>
      </c>
      <c r="AG548" s="258" t="inlineStr">
        <is>
          <t>NA</t>
        </is>
      </c>
      <c r="AH548" s="89" t="n"/>
      <c r="AI548" s="487" t="inlineStr">
        <is>
          <t>La donnée est obligatoire, si le type de risque [P1 2.0] = 'TRExx' (hors 'TRE203, TRE205, TRE206, TRE207'), 'SIGxx' ET si l'Usage du bien immobilier financé [P1 8.13] ='1' ou '2'</t>
        </is>
      </c>
      <c r="AJ548" s="317" t="inlineStr">
        <is>
          <t>The data is mandatory, if the Risk type [P1 2.0] = 'TRExx' (except 'TRE203, TRE205, TRE206, TRE207'), 'SIGxx' AND if Use of financed property [P1 8.13] ='1' or '2'</t>
        </is>
      </c>
      <c r="AK548" s="257" t="n">
        <v>6</v>
      </c>
      <c r="AL548" s="335" t="inlineStr">
        <is>
          <t>TPS0863</t>
        </is>
      </c>
      <c r="AM548" s="318" t="n"/>
      <c r="AN548" s="317" t="n"/>
      <c r="AO548" s="257" t="n"/>
      <c r="AP548" s="258" t="n"/>
      <c r="AQ548" s="322" t="inlineStr">
        <is>
          <t>Si renseignée, la donnée doit être positive (supérieure ou égale à 0)</t>
        </is>
      </c>
      <c r="AR548" s="317" t="inlineStr">
        <is>
          <t xml:space="preserve">If filled, data must be positive (greater or equal to 0) </t>
        </is>
      </c>
      <c r="AS548" s="257" t="n">
        <v>7</v>
      </c>
      <c r="AT548" s="345" t="inlineStr">
        <is>
          <t>TVG0001</t>
        </is>
      </c>
      <c r="AU548" s="318" t="n"/>
      <c r="AV548" s="317" t="n"/>
      <c r="AW548" s="257" t="n"/>
      <c r="AX548" s="258" t="n"/>
      <c r="AY548" s="318" t="n"/>
      <c r="AZ548" s="317" t="n"/>
      <c r="BA548" s="257" t="n"/>
      <c r="BB548" s="258" t="n"/>
      <c r="BC548" s="316" t="n"/>
      <c r="BD548" s="317" t="n"/>
      <c r="BE548" s="257" t="n"/>
      <c r="BF548" s="258" t="n"/>
      <c r="BG548" s="89" t="n"/>
      <c r="BH5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48">
        <f>_xlfn.LET(r,ROW(),oc,INDEX($A:$A,r),cv,TRIM(INDEX($Y:$Y,r)&amp;""),IF(oc&lt;&gt;"P1","",IF(cv="45","V45 - novo, nao alimentado pelo spool atual","V44 - alimentado pelo spool atual")))</f>
        <v/>
      </c>
    </row>
    <row r="549" ht="54" customFormat="1" customHeight="1" s="91">
      <c r="A549" s="306" t="inlineStr">
        <is>
          <t>P1</t>
        </is>
      </c>
      <c r="B549" s="307" t="n">
        <v>314</v>
      </c>
      <c r="C549" s="269" t="inlineStr">
        <is>
          <t>29 - Ratio</t>
        </is>
      </c>
      <c r="D549" s="236" t="inlineStr">
        <is>
          <t>29 - Ratio</t>
        </is>
      </c>
      <c r="E549" s="307" t="inlineStr">
        <is>
          <t>P1 22.43</t>
        </is>
      </c>
      <c r="F549" s="308" t="inlineStr">
        <is>
          <t>Loan-to-value ratio (LTV) local revalorisé</t>
        </is>
      </c>
      <c r="G549" s="309" t="inlineStr">
        <is>
          <t>Re-evaluated local Loan-to-value (LTV) ratio</t>
        </is>
      </c>
      <c r="H549" s="1493">
        <f>"RPAD( "&amp;SUBSTITUTE(SUBSTITUTE(E549," ","_"),".","_")&amp;","&amp;W549&amp;",' '); -- "&amp;E549</f>
        <v/>
      </c>
      <c r="I549" s="308" t="inlineStr">
        <is>
          <t>Correspond à la valeur du prêt sur la valeur du bien financé
Exprimé en %</t>
        </is>
      </c>
      <c r="J549" s="309" t="inlineStr">
        <is>
          <t>It is the value of the loan divided by the value of the financed property
Expressed as %</t>
        </is>
      </c>
      <c r="K549" s="370" t="inlineStr">
        <is>
          <t>ND</t>
        </is>
      </c>
      <c r="L549" s="371" t="inlineStr">
        <is>
          <t>ND</t>
        </is>
      </c>
      <c r="M549" s="1420" t="inlineStr">
        <is>
          <t>cdLTVRev</t>
        </is>
      </c>
      <c r="N549" s="257" t="inlineStr">
        <is>
          <t>Obligatoire sous conditions</t>
        </is>
      </c>
      <c r="O549" s="371" t="inlineStr">
        <is>
          <t>Mandatory under conditions</t>
        </is>
      </c>
      <c r="P549" s="269" t="inlineStr">
        <is>
          <t>NA</t>
        </is>
      </c>
      <c r="Q549" s="269" t="inlineStr">
        <is>
          <t>NA</t>
        </is>
      </c>
      <c r="R549" s="241" t="inlineStr">
        <is>
          <t>Obligatoire si prêt immobilier</t>
        </is>
      </c>
      <c r="S549" s="233" t="inlineStr">
        <is>
          <t>Mandatory if mortgage</t>
        </is>
      </c>
      <c r="T549" s="313" t="inlineStr">
        <is>
          <t>NUM</t>
        </is>
      </c>
      <c r="U549" s="237" t="inlineStr">
        <is>
          <t>10 dont signe et 5 décimales</t>
        </is>
      </c>
      <c r="V549" s="238" t="inlineStr">
        <is>
          <t>10 including sign and 5 decimals</t>
        </is>
      </c>
      <c r="W549" s="257" t="n">
        <v>10</v>
      </c>
      <c r="X549" s="945" t="inlineStr">
        <is>
          <t>NA</t>
        </is>
      </c>
      <c r="Y549" s="237" t="n">
        <v>41</v>
      </c>
      <c r="Z549" s="237" t="inlineStr">
        <is>
          <t>NA</t>
        </is>
      </c>
      <c r="AA549" s="270" t="inlineStr">
        <is>
          <t>NA</t>
        </is>
      </c>
      <c r="AB549" s="994" t="inlineStr">
        <is>
          <t>ASTRE, CALCULS PRUDENTIELS, LOAN TAPE</t>
        </is>
      </c>
      <c r="AC549" s="231" t="inlineStr">
        <is>
          <t>ND</t>
        </is>
      </c>
      <c r="AD549" s="257" t="inlineStr">
        <is>
          <t>N</t>
        </is>
      </c>
      <c r="AE549" s="257" t="inlineStr">
        <is>
          <t xml:space="preserve">TRE2 à 4XX hors 203,205,206,207
TRE5XX
</t>
        </is>
      </c>
      <c r="AF549" s="257" t="inlineStr">
        <is>
          <t>NA</t>
        </is>
      </c>
      <c r="AG549" s="258" t="inlineStr">
        <is>
          <t>NA</t>
        </is>
      </c>
      <c r="AH549" s="89" t="n"/>
      <c r="AI549" s="353" t="inlineStr">
        <is>
          <t>La donnée est obligatoire, si le type de risque [P1 2.0] = 'TRExx' (hors 'TRE203, TRE205, TRE206, TRE207'), 'SIGxx' ET si l'Usage du bien immobilier financé [P1 8.13] ='1' ou '2' ET si la Date de revalorisation [P1 22.46] est renseignée</t>
        </is>
      </c>
      <c r="AJ549" s="317" t="inlineStr">
        <is>
          <t>The data is mandatory, if the Risk type [P1 2.0] = 'TRExx' (except 'TRE203, TRE205, TRE206, TRE207'), 'SIGxx' AND if Use of financed property [P1 8.13] ='1' or '2' AND if revaluation date [P1 22.46] is filled</t>
        </is>
      </c>
      <c r="AK549" s="257" t="n">
        <v>6</v>
      </c>
      <c r="AL549" s="335" t="inlineStr">
        <is>
          <t>TPS0864</t>
        </is>
      </c>
      <c r="AM549" s="318" t="n"/>
      <c r="AN549" s="317" t="n"/>
      <c r="AO549" s="257" t="n"/>
      <c r="AP549" s="258" t="n"/>
      <c r="AQ549" s="322" t="inlineStr">
        <is>
          <t>Si renseignée, la donnée doit être positive (supérieure ou égale à 0)</t>
        </is>
      </c>
      <c r="AR549" s="317" t="inlineStr">
        <is>
          <t xml:space="preserve">If filled, data must be positive (greater or equal to 0) </t>
        </is>
      </c>
      <c r="AS549" s="257" t="n">
        <v>7</v>
      </c>
      <c r="AT549" s="345" t="inlineStr">
        <is>
          <t>TVG0001</t>
        </is>
      </c>
      <c r="AU549" s="318" t="n"/>
      <c r="AV549" s="317" t="n"/>
      <c r="AW549" s="257" t="n"/>
      <c r="AX549" s="258" t="n"/>
      <c r="AY549" s="318" t="n"/>
      <c r="AZ549" s="317" t="n"/>
      <c r="BA549" s="257" t="n"/>
      <c r="BB549" s="258" t="n"/>
      <c r="BC549" s="316" t="n"/>
      <c r="BD549" s="317" t="n"/>
      <c r="BE549" s="257" t="n"/>
      <c r="BF549" s="258" t="n"/>
      <c r="BG549" s="89" t="n"/>
      <c r="BH5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49">
        <f>_xlfn.LET(r,ROW(),oc,INDEX($A:$A,r),cv,TRIM(INDEX($Y:$Y,r)&amp;""),IF(oc&lt;&gt;"P1","",IF(cv="45","V45 - novo, nao alimentado pelo spool atual","V44 - alimentado pelo spool atual")))</f>
        <v/>
      </c>
    </row>
    <row r="550" ht="54" customFormat="1" customHeight="1" s="91">
      <c r="A550" s="306" t="inlineStr">
        <is>
          <t>P1</t>
        </is>
      </c>
      <c r="B550" s="307" t="n">
        <v>315</v>
      </c>
      <c r="C550" s="269" t="inlineStr">
        <is>
          <t>06 - Caractéristiques échéancier</t>
        </is>
      </c>
      <c r="D550" s="236" t="inlineStr">
        <is>
          <t>06 - Schedule characteristics</t>
        </is>
      </c>
      <c r="E550" s="307" t="inlineStr">
        <is>
          <t>P1 22.44</t>
        </is>
      </c>
      <c r="F550" s="615" t="inlineStr">
        <is>
          <t>Montant à l'acquisition du bien financé</t>
        </is>
      </c>
      <c r="G550" s="309" t="inlineStr">
        <is>
          <t>Amount on acquisition of the funded property</t>
        </is>
      </c>
      <c r="H550" s="1493">
        <f>"RPAD( "&amp;SUBSTITUTE(SUBSTITUTE(E550," ","_"),".","_")&amp;","&amp;W550&amp;",' '); -- "&amp;E550</f>
        <v/>
      </c>
      <c r="I550" s="308" t="inlineStr">
        <is>
          <t>Montant à l'acquisition du bien financé</t>
        </is>
      </c>
      <c r="J550" s="309" t="inlineStr">
        <is>
          <t>Amount on acquisition of the funded property</t>
        </is>
      </c>
      <c r="K550" s="370" t="inlineStr">
        <is>
          <t>ND</t>
        </is>
      </c>
      <c r="L550" s="371" t="inlineStr">
        <is>
          <t>ND</t>
        </is>
      </c>
      <c r="M550" s="1420" t="inlineStr">
        <is>
          <t>MtBienOctroi</t>
        </is>
      </c>
      <c r="N550" s="257" t="inlineStr">
        <is>
          <t>Facultatif</t>
        </is>
      </c>
      <c r="O550" s="371" t="inlineStr">
        <is>
          <t>Optional</t>
        </is>
      </c>
      <c r="P550" s="269" t="inlineStr">
        <is>
          <t>NA</t>
        </is>
      </c>
      <c r="Q550" s="269" t="inlineStr">
        <is>
          <t>NA</t>
        </is>
      </c>
      <c r="R550" s="241" t="inlineStr">
        <is>
          <t>Obligatoire si prêt immobilier</t>
        </is>
      </c>
      <c r="S550" s="233" t="inlineStr">
        <is>
          <t>Mandatory if mortgage</t>
        </is>
      </c>
      <c r="T550" s="313" t="inlineStr">
        <is>
          <t>NUM</t>
        </is>
      </c>
      <c r="U550" s="237" t="inlineStr">
        <is>
          <t>19 dont signe et 2 décimales</t>
        </is>
      </c>
      <c r="V550" s="238" t="inlineStr">
        <is>
          <t>19 including sign and 2 decimals</t>
        </is>
      </c>
      <c r="W550" s="257" t="n">
        <v>19</v>
      </c>
      <c r="X550" s="945" t="inlineStr">
        <is>
          <t>NA</t>
        </is>
      </c>
      <c r="Y550" s="237" t="n">
        <v>41</v>
      </c>
      <c r="Z550" s="237" t="inlineStr">
        <is>
          <t>NA</t>
        </is>
      </c>
      <c r="AA550" s="270" t="inlineStr">
        <is>
          <t>NA</t>
        </is>
      </c>
      <c r="AB550" s="994" t="inlineStr">
        <is>
          <t>CALCULS PRUDENTIELS, NZBA</t>
        </is>
      </c>
      <c r="AC550" s="231" t="inlineStr">
        <is>
          <t>ND</t>
        </is>
      </c>
      <c r="AD550" s="257" t="inlineStr">
        <is>
          <t>N</t>
        </is>
      </c>
      <c r="AE550" s="257" t="inlineStr">
        <is>
          <t xml:space="preserve">TRE2 à 4XX hors 203,205,206,207
TRE5XX
</t>
        </is>
      </c>
      <c r="AF550" s="257" t="inlineStr">
        <is>
          <t>NA</t>
        </is>
      </c>
      <c r="AG550" s="258" t="inlineStr">
        <is>
          <t>NA</t>
        </is>
      </c>
      <c r="AH550" s="89" t="n"/>
      <c r="AI550" s="616" t="n"/>
      <c r="AJ550" s="317" t="n"/>
      <c r="AK550" s="257" t="n"/>
      <c r="AL550" s="617" t="n"/>
      <c r="AM550" s="318" t="n"/>
      <c r="AN550" s="317" t="n"/>
      <c r="AO550" s="257" t="n"/>
      <c r="AP550" s="258" t="n"/>
      <c r="AQ550" s="612" t="inlineStr">
        <is>
          <t>Si renseignée, la donnée doit être positive (supérieure ou égale à 0)</t>
        </is>
      </c>
      <c r="AR550" s="317" t="inlineStr">
        <is>
          <t xml:space="preserve">If filled, data must be positive (greater or equal to 0) </t>
        </is>
      </c>
      <c r="AS550" s="257" t="n">
        <v>7</v>
      </c>
      <c r="AT550" s="345" t="inlineStr">
        <is>
          <t>TVG0001</t>
        </is>
      </c>
      <c r="AU550" s="318" t="n"/>
      <c r="AV550" s="317" t="n"/>
      <c r="AW550" s="257" t="n"/>
      <c r="AX550" s="258" t="n"/>
      <c r="AY550" s="318" t="n"/>
      <c r="AZ550" s="317" t="n"/>
      <c r="BA550" s="257" t="n"/>
      <c r="BB550" s="258" t="n"/>
      <c r="BC550" s="316" t="n"/>
      <c r="BD550" s="317" t="n"/>
      <c r="BE550" s="257" t="n"/>
      <c r="BF550" s="258" t="n"/>
      <c r="BG550" s="89" t="n"/>
      <c r="BH5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50">
        <f>_xlfn.LET(r,ROW(),oc,INDEX($A:$A,r),cv,TRIM(INDEX($Y:$Y,r)&amp;""),IF(oc&lt;&gt;"P1","",IF(cv="45","V45 - novo, nao alimentado pelo spool atual","V44 - alimentado pelo spool atual")))</f>
        <v/>
      </c>
    </row>
    <row r="551" ht="54" customFormat="1" customHeight="1" s="91">
      <c r="A551" s="306" t="inlineStr">
        <is>
          <t>P1</t>
        </is>
      </c>
      <c r="B551" s="307" t="n">
        <v>316</v>
      </c>
      <c r="C551" s="269" t="inlineStr">
        <is>
          <t>06 - Caractéristiques échéancier</t>
        </is>
      </c>
      <c r="D551" s="236" t="inlineStr">
        <is>
          <t>06 - Schedule characteristics</t>
        </is>
      </c>
      <c r="E551" s="307" t="inlineStr">
        <is>
          <t>P1 22.45</t>
        </is>
      </c>
      <c r="F551" s="615" t="inlineStr">
        <is>
          <t>Devise du montant à l'acquisition du bien financé</t>
        </is>
      </c>
      <c r="G551" s="309" t="inlineStr">
        <is>
          <t>Currency of Amount on acquisition of the funded property</t>
        </is>
      </c>
      <c r="H551" s="1493">
        <f>"RPAD( "&amp;SUBSTITUTE(SUBSTITUTE(E551," ","_"),".","_")&amp;","&amp;W551&amp;",' '); -- "&amp;E551</f>
        <v/>
      </c>
      <c r="I551" s="615" t="inlineStr">
        <is>
          <t>Devise du montant à l'acquisition du bien financé</t>
        </is>
      </c>
      <c r="J551" s="309" t="inlineStr">
        <is>
          <t>Currency of Amount on acquisition of the funded property</t>
        </is>
      </c>
      <c r="K551" s="370" t="inlineStr">
        <is>
          <t>ND</t>
        </is>
      </c>
      <c r="L551" s="371" t="inlineStr">
        <is>
          <t>ND</t>
        </is>
      </c>
      <c r="M551" s="1420" t="inlineStr">
        <is>
          <t>cdDevMtBienOctroi</t>
        </is>
      </c>
      <c r="N551" s="257" t="inlineStr">
        <is>
          <t>Obligatoire sous conditions</t>
        </is>
      </c>
      <c r="O551" s="371" t="inlineStr">
        <is>
          <t>Mandatory under conditions</t>
        </is>
      </c>
      <c r="P551" s="269" t="inlineStr">
        <is>
          <t>LC.0005</t>
        </is>
      </c>
      <c r="Q551" s="269" t="inlineStr">
        <is>
          <t>TA NM253</t>
        </is>
      </c>
      <c r="R551" s="241" t="inlineStr">
        <is>
          <t>NA</t>
        </is>
      </c>
      <c r="S551" s="233" t="inlineStr">
        <is>
          <t>NA</t>
        </is>
      </c>
      <c r="T551" s="313" t="inlineStr">
        <is>
          <t>ALPHA</t>
        </is>
      </c>
      <c r="U551" s="237" t="inlineStr">
        <is>
          <t>NA</t>
        </is>
      </c>
      <c r="V551" s="238" t="inlineStr">
        <is>
          <t>NA</t>
        </is>
      </c>
      <c r="W551" s="257" t="n">
        <v>3</v>
      </c>
      <c r="X551" s="945" t="inlineStr">
        <is>
          <t>NA</t>
        </is>
      </c>
      <c r="Y551" s="237" t="n">
        <v>41</v>
      </c>
      <c r="Z551" s="237" t="inlineStr">
        <is>
          <t>NA</t>
        </is>
      </c>
      <c r="AA551" s="270" t="inlineStr">
        <is>
          <t>NA</t>
        </is>
      </c>
      <c r="AB551" s="994" t="inlineStr">
        <is>
          <t>CALCULS PRUDENTIELS, NZBA</t>
        </is>
      </c>
      <c r="AC551" s="231" t="inlineStr">
        <is>
          <t>ND</t>
        </is>
      </c>
      <c r="AD551" s="257" t="inlineStr">
        <is>
          <t>N</t>
        </is>
      </c>
      <c r="AE551" s="257" t="inlineStr">
        <is>
          <t xml:space="preserve">TRE2 à 4XX hors 203,205,206,207
TRE5XX
</t>
        </is>
      </c>
      <c r="AF551" s="257" t="inlineStr">
        <is>
          <t>NA</t>
        </is>
      </c>
      <c r="AG551" s="258" t="inlineStr">
        <is>
          <t>NA</t>
        </is>
      </c>
      <c r="AH551" s="89" t="n"/>
      <c r="AI551" s="435" t="inlineStr">
        <is>
          <t>La donnée est obligatoire, si le montant initial du bien à l'achat [P1 22.44] est renseigné</t>
        </is>
      </c>
      <c r="AJ551" s="317" t="inlineStr">
        <is>
          <t>The data is mandatory, if the original purchase amount [P1 22.44] is filled</t>
        </is>
      </c>
      <c r="AK551" s="257" t="n">
        <v>7</v>
      </c>
      <c r="AL551" s="447" t="inlineStr">
        <is>
          <t>TPG0002</t>
        </is>
      </c>
      <c r="AM551" s="318" t="inlineStr">
        <is>
          <t>Si elle est renseignée, la valeur doit être connue du Langage Commun associé</t>
        </is>
      </c>
      <c r="AN551" s="317" t="inlineStr">
        <is>
          <t>If specified, the value must be known to the associated Common Language</t>
        </is>
      </c>
      <c r="AO551" s="257" t="n">
        <v>7</v>
      </c>
      <c r="AP551" s="212" t="inlineStr">
        <is>
          <t>TIG0001</t>
        </is>
      </c>
      <c r="AQ551" s="318" t="n"/>
      <c r="AR551" s="317" t="n"/>
      <c r="AS551" s="257" t="n"/>
      <c r="AT551" s="258" t="n"/>
      <c r="AU551" s="318" t="n"/>
      <c r="AV551" s="317" t="n"/>
      <c r="AW551" s="257" t="n"/>
      <c r="AX551" s="258" t="n"/>
      <c r="AY551" s="318" t="n"/>
      <c r="AZ551" s="317" t="n"/>
      <c r="BA551" s="257" t="n"/>
      <c r="BB551" s="258" t="n"/>
      <c r="BC551" s="316" t="n"/>
      <c r="BD551" s="317" t="n"/>
      <c r="BE551" s="257" t="n"/>
      <c r="BF551" s="258" t="n"/>
      <c r="BG551" s="89" t="n"/>
      <c r="BH5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51">
        <f>_xlfn.LET(r,ROW(),oc,INDEX($A:$A,r),cv,TRIM(INDEX($Y:$Y,r)&amp;""),IF(oc&lt;&gt;"P1","",IF(cv="45","V45 - novo, nao alimentado pelo spool atual","V44 - alimentado pelo spool atual")))</f>
        <v/>
      </c>
    </row>
    <row r="552" ht="54" customFormat="1" customHeight="1" s="91">
      <c r="A552" s="306" t="inlineStr">
        <is>
          <t>P1</t>
        </is>
      </c>
      <c r="B552" s="307" t="n">
        <v>317</v>
      </c>
      <c r="C552" s="269" t="inlineStr">
        <is>
          <t>06 - Caractéristiques échéancier</t>
        </is>
      </c>
      <c r="D552" s="236" t="inlineStr">
        <is>
          <t>06 - Schedule characteristics</t>
        </is>
      </c>
      <c r="E552" s="307" t="inlineStr">
        <is>
          <t>P1 22.46</t>
        </is>
      </c>
      <c r="F552" s="618" t="inlineStr">
        <is>
          <t>Date de revalorisation du bien</t>
        </is>
      </c>
      <c r="G552" s="309" t="inlineStr">
        <is>
          <t>Property's revaluation date</t>
        </is>
      </c>
      <c r="H552" s="1493">
        <f>"RPAD( "&amp;SUBSTITUTE(SUBSTITUTE(E552," ","_"),".","_")&amp;","&amp;W552&amp;",' '); -- "&amp;E552</f>
        <v/>
      </c>
      <c r="I552" s="241" t="inlineStr">
        <is>
          <t>Date de revalorisation du bien financé ou loué</t>
        </is>
      </c>
      <c r="J552" s="309" t="inlineStr">
        <is>
          <t>Financed or leased property's revaluation date</t>
        </is>
      </c>
      <c r="K552" s="370" t="inlineStr">
        <is>
          <t>ND</t>
        </is>
      </c>
      <c r="L552" s="371" t="inlineStr">
        <is>
          <t>ND</t>
        </is>
      </c>
      <c r="M552" s="1420" t="inlineStr">
        <is>
          <t>dtRevBien</t>
        </is>
      </c>
      <c r="N552" s="449" t="inlineStr">
        <is>
          <t>Facultatif</t>
        </is>
      </c>
      <c r="O552" s="371" t="inlineStr">
        <is>
          <t>Optional</t>
        </is>
      </c>
      <c r="P552" s="269" t="inlineStr">
        <is>
          <t>NA</t>
        </is>
      </c>
      <c r="Q552" s="269" t="inlineStr">
        <is>
          <t>NA</t>
        </is>
      </c>
      <c r="R552" s="241" t="inlineStr">
        <is>
          <t>Obligatoire si prêt immobilier</t>
        </is>
      </c>
      <c r="S552" s="233" t="inlineStr">
        <is>
          <t>Mandatory if mortgage</t>
        </is>
      </c>
      <c r="T552" s="206" t="inlineStr">
        <is>
          <t>DATE</t>
        </is>
      </c>
      <c r="U552" s="237" t="inlineStr">
        <is>
          <t>AAAAMMJJ</t>
        </is>
      </c>
      <c r="V552" s="238" t="inlineStr">
        <is>
          <t>YYYYMMDD</t>
        </is>
      </c>
      <c r="W552" s="257" t="n">
        <v>8</v>
      </c>
      <c r="X552" s="945" t="inlineStr">
        <is>
          <t>NA</t>
        </is>
      </c>
      <c r="Y552" s="237" t="n">
        <v>41</v>
      </c>
      <c r="Z552" s="237" t="inlineStr">
        <is>
          <t>NA</t>
        </is>
      </c>
      <c r="AA552" s="270" t="inlineStr">
        <is>
          <t>NA</t>
        </is>
      </c>
      <c r="AB552" s="1286" t="inlineStr">
        <is>
          <t>CALCULS PRUDENTIELS</t>
        </is>
      </c>
      <c r="AC552" s="231" t="inlineStr">
        <is>
          <t>ND</t>
        </is>
      </c>
      <c r="AD552" s="257" t="inlineStr">
        <is>
          <t>N</t>
        </is>
      </c>
      <c r="AE552" s="257" t="inlineStr">
        <is>
          <t xml:space="preserve">TRE2 à 4XX hors 203,205,206,207
TRE5XX
</t>
        </is>
      </c>
      <c r="AF552" s="257" t="inlineStr">
        <is>
          <t>NA</t>
        </is>
      </c>
      <c r="AG552" s="258" t="inlineStr">
        <is>
          <t>NA</t>
        </is>
      </c>
      <c r="AH552" s="89" t="n"/>
      <c r="AI552" s="316" t="n"/>
      <c r="AJ552" s="317" t="n"/>
      <c r="AK552" s="257" t="n"/>
      <c r="AL552" s="258" t="n"/>
      <c r="AM552" s="318" t="n"/>
      <c r="AN552" s="317" t="n"/>
      <c r="AO552" s="257" t="n"/>
      <c r="AP552" s="258" t="n"/>
      <c r="AQ552" s="318" t="n"/>
      <c r="AR552" s="317" t="n"/>
      <c r="AS552" s="257" t="n"/>
      <c r="AT552" s="258" t="n"/>
      <c r="AU552" s="318" t="n"/>
      <c r="AV552" s="317" t="n"/>
      <c r="AW552" s="257" t="n"/>
      <c r="AX552" s="258" t="n"/>
      <c r="AY552" s="318" t="n"/>
      <c r="AZ552" s="317" t="n"/>
      <c r="BA552" s="257" t="n"/>
      <c r="BB552" s="258" t="n"/>
      <c r="BC552" s="316" t="n"/>
      <c r="BD552" s="317" t="n"/>
      <c r="BE552" s="257" t="n"/>
      <c r="BF552" s="258" t="n"/>
      <c r="BG552" s="89" t="n"/>
      <c r="BH5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52">
        <f>_xlfn.LET(r,ROW(),oc,INDEX($A:$A,r),cv,TRIM(INDEX($Y:$Y,r)&amp;""),IF(oc&lt;&gt;"P1","",IF(cv="45","V45 - novo, nao alimentado pelo spool atual","V44 - alimentado pelo spool atual")))</f>
        <v/>
      </c>
    </row>
    <row r="553" ht="54" customFormat="1" customHeight="1" s="91">
      <c r="A553" s="306" t="inlineStr">
        <is>
          <t>P1</t>
        </is>
      </c>
      <c r="B553" s="307" t="n">
        <v>318</v>
      </c>
      <c r="C553" s="269" t="inlineStr">
        <is>
          <t>06 - Caractéristiques échéancier</t>
        </is>
      </c>
      <c r="D553" s="236" t="inlineStr">
        <is>
          <t>06 - Schedule characteristics</t>
        </is>
      </c>
      <c r="E553" s="307" t="inlineStr">
        <is>
          <t>P1 22.47</t>
        </is>
      </c>
      <c r="F553" s="615" t="inlineStr">
        <is>
          <t>Montant revalorisé du bien financé</t>
        </is>
      </c>
      <c r="G553" s="309" t="inlineStr">
        <is>
          <t>Revalued amount of the funded asset</t>
        </is>
      </c>
      <c r="H553" s="1493">
        <f>"RPAD( "&amp;SUBSTITUTE(SUBSTITUTE(E553," ","_"),".","_")&amp;","&amp;W553&amp;",' '); -- "&amp;E553</f>
        <v/>
      </c>
      <c r="I553" s="308" t="inlineStr">
        <is>
          <t>Montant revalorisé du bien financé</t>
        </is>
      </c>
      <c r="J553" s="309" t="inlineStr">
        <is>
          <t>Revalued amount of the funded asset</t>
        </is>
      </c>
      <c r="K553" s="370" t="inlineStr">
        <is>
          <t>ND</t>
        </is>
      </c>
      <c r="L553" s="371" t="inlineStr">
        <is>
          <t>ND</t>
        </is>
      </c>
      <c r="M553" s="1420" t="inlineStr">
        <is>
          <t>mtMar</t>
        </is>
      </c>
      <c r="N553" s="257" t="inlineStr">
        <is>
          <t>Facultatif</t>
        </is>
      </c>
      <c r="O553" s="371" t="inlineStr">
        <is>
          <t>Optional</t>
        </is>
      </c>
      <c r="P553" s="269" t="inlineStr">
        <is>
          <t>NA</t>
        </is>
      </c>
      <c r="Q553" s="269" t="inlineStr">
        <is>
          <t>NA</t>
        </is>
      </c>
      <c r="R553" s="241" t="inlineStr">
        <is>
          <t>Obligatoire si prêt immobilier</t>
        </is>
      </c>
      <c r="S553" s="233" t="inlineStr">
        <is>
          <t>Mandatory if mortgage</t>
        </is>
      </c>
      <c r="T553" s="313" t="inlineStr">
        <is>
          <t>NUM</t>
        </is>
      </c>
      <c r="U553" s="237" t="inlineStr">
        <is>
          <t>19 dont signe et 2 décimales</t>
        </is>
      </c>
      <c r="V553" s="238" t="inlineStr">
        <is>
          <t>19 including sign and 2 decimals</t>
        </is>
      </c>
      <c r="W553" s="257" t="n">
        <v>19</v>
      </c>
      <c r="X553" s="945" t="inlineStr">
        <is>
          <t>NA</t>
        </is>
      </c>
      <c r="Y553" s="237" t="n">
        <v>41</v>
      </c>
      <c r="Z553" s="237" t="inlineStr">
        <is>
          <t>NA</t>
        </is>
      </c>
      <c r="AA553" s="270" t="inlineStr">
        <is>
          <t>NA</t>
        </is>
      </c>
      <c r="AB553" s="1286" t="inlineStr">
        <is>
          <t>CALCULS PRUDENTIELS</t>
        </is>
      </c>
      <c r="AC553" s="231" t="inlineStr">
        <is>
          <t>ND</t>
        </is>
      </c>
      <c r="AD553" s="257" t="inlineStr">
        <is>
          <t>N</t>
        </is>
      </c>
      <c r="AE553" s="257" t="inlineStr">
        <is>
          <t xml:space="preserve">TRE2 à 4XX hors 203,205,206,207
TRE5XX
</t>
        </is>
      </c>
      <c r="AF553" s="257" t="inlineStr">
        <is>
          <t>NA</t>
        </is>
      </c>
      <c r="AG553" s="258" t="inlineStr">
        <is>
          <t>NA</t>
        </is>
      </c>
      <c r="AH553" s="89" t="n"/>
      <c r="AI553" s="619" t="n"/>
      <c r="AJ553" s="317" t="n"/>
      <c r="AK553" s="257" t="n"/>
      <c r="AL553" s="617" t="n"/>
      <c r="AM553" s="318" t="n"/>
      <c r="AN553" s="317" t="n"/>
      <c r="AO553" s="257" t="n"/>
      <c r="AP553" s="258" t="n"/>
      <c r="AQ553" s="322" t="inlineStr">
        <is>
          <t>Si renseignée, la donnée doit être positive (supérieure ou égale à 0)</t>
        </is>
      </c>
      <c r="AR553" s="317" t="inlineStr">
        <is>
          <t xml:space="preserve">If filled, data must be positive (greater or equal to 0) </t>
        </is>
      </c>
      <c r="AS553" s="257" t="n">
        <v>7</v>
      </c>
      <c r="AT553" s="345" t="inlineStr">
        <is>
          <t>TVG0001</t>
        </is>
      </c>
      <c r="AU553" s="318" t="n"/>
      <c r="AV553" s="317" t="n"/>
      <c r="AW553" s="257" t="n"/>
      <c r="AX553" s="258" t="n"/>
      <c r="AY553" s="318" t="n"/>
      <c r="AZ553" s="317" t="n"/>
      <c r="BA553" s="257" t="n"/>
      <c r="BB553" s="258" t="n"/>
      <c r="BC553" s="316" t="n"/>
      <c r="BD553" s="317" t="n"/>
      <c r="BE553" s="257" t="n"/>
      <c r="BF553" s="258" t="n"/>
      <c r="BG553" s="89" t="n"/>
      <c r="BH5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53">
        <f>_xlfn.LET(r,ROW(),oc,INDEX($A:$A,r),cv,TRIM(INDEX($Y:$Y,r)&amp;""),IF(oc&lt;&gt;"P1","",IF(cv="45","V45 - novo, nao alimentado pelo spool atual","V44 - alimentado pelo spool atual")))</f>
        <v/>
      </c>
    </row>
    <row r="554" ht="54" customFormat="1" customHeight="1" s="91">
      <c r="A554" s="306" t="inlineStr">
        <is>
          <t>P1</t>
        </is>
      </c>
      <c r="B554" s="307" t="n">
        <v>319</v>
      </c>
      <c r="C554" s="269" t="inlineStr">
        <is>
          <t>06 - Caractéristiques échéancier</t>
        </is>
      </c>
      <c r="D554" s="236" t="inlineStr">
        <is>
          <t>06 - Schedule characteristics</t>
        </is>
      </c>
      <c r="E554" s="307" t="inlineStr">
        <is>
          <t>P1 22.48</t>
        </is>
      </c>
      <c r="F554" s="615" t="inlineStr">
        <is>
          <t>Devise du montant revalorisé du bien financé</t>
        </is>
      </c>
      <c r="G554" s="309" t="inlineStr">
        <is>
          <t>Currency of Revalued amount of the funded asset</t>
        </is>
      </c>
      <c r="H554" s="1493">
        <f>"RPAD( "&amp;SUBSTITUTE(SUBSTITUTE(E554," ","_"),".","_")&amp;","&amp;W554&amp;",' '); -- "&amp;E554</f>
        <v/>
      </c>
      <c r="I554" s="615" t="inlineStr">
        <is>
          <t>Devise du montant revalorisé du bien financé</t>
        </is>
      </c>
      <c r="J554" s="309" t="inlineStr">
        <is>
          <t>Currency of Revalued amount of the funded asset</t>
        </is>
      </c>
      <c r="K554" s="370" t="inlineStr">
        <is>
          <t>ND</t>
        </is>
      </c>
      <c r="L554" s="371" t="inlineStr">
        <is>
          <t>ND</t>
        </is>
      </c>
      <c r="M554" s="1420" t="inlineStr">
        <is>
          <t>cdDevMtMar</t>
        </is>
      </c>
      <c r="N554" s="257" t="inlineStr">
        <is>
          <t>Obligatoire sous conditions</t>
        </is>
      </c>
      <c r="O554" s="371" t="inlineStr">
        <is>
          <t>Mandatory under conditions</t>
        </is>
      </c>
      <c r="P554" s="269" t="inlineStr">
        <is>
          <t>LC.0005</t>
        </is>
      </c>
      <c r="Q554" s="269" t="inlineStr">
        <is>
          <t>TA NM253</t>
        </is>
      </c>
      <c r="R554" s="241" t="inlineStr">
        <is>
          <t>NA</t>
        </is>
      </c>
      <c r="S554" s="233" t="inlineStr">
        <is>
          <t>NA</t>
        </is>
      </c>
      <c r="T554" s="313" t="inlineStr">
        <is>
          <t>ALPHA</t>
        </is>
      </c>
      <c r="U554" s="237" t="inlineStr">
        <is>
          <t>NA</t>
        </is>
      </c>
      <c r="V554" s="238" t="inlineStr">
        <is>
          <t>NA</t>
        </is>
      </c>
      <c r="W554" s="257" t="n">
        <v>3</v>
      </c>
      <c r="X554" s="945" t="inlineStr">
        <is>
          <t>NA</t>
        </is>
      </c>
      <c r="Y554" s="237" t="n">
        <v>41</v>
      </c>
      <c r="Z554" s="237" t="inlineStr">
        <is>
          <t>NA</t>
        </is>
      </c>
      <c r="AA554" s="270" t="inlineStr">
        <is>
          <t>NA</t>
        </is>
      </c>
      <c r="AB554" s="1286" t="inlineStr">
        <is>
          <t>CALCULS PRUDENTIELS</t>
        </is>
      </c>
      <c r="AC554" s="231" t="inlineStr">
        <is>
          <t>ND</t>
        </is>
      </c>
      <c r="AD554" s="257" t="inlineStr">
        <is>
          <t>N</t>
        </is>
      </c>
      <c r="AE554" s="257" t="inlineStr">
        <is>
          <t>TRE2 à 4XX hors 203,205,206,207 
TRE5XX</t>
        </is>
      </c>
      <c r="AF554" s="257" t="inlineStr">
        <is>
          <t>NA</t>
        </is>
      </c>
      <c r="AG554" s="258" t="inlineStr">
        <is>
          <t>NA</t>
        </is>
      </c>
      <c r="AH554" s="89" t="n"/>
      <c r="AI554" s="435" t="inlineStr">
        <is>
          <t>La donnée est obligatoire, si Montant revalorisé du bien financé [P1 22.47] est renseigné</t>
        </is>
      </c>
      <c r="AJ554" s="317" t="inlineStr">
        <is>
          <t>The data is mandatory, if Revalued amount of the funded asset [P1 22.47] is filled</t>
        </is>
      </c>
      <c r="AK554" s="257" t="n">
        <v>7</v>
      </c>
      <c r="AL554" s="447" t="inlineStr">
        <is>
          <t>TPG0002</t>
        </is>
      </c>
      <c r="AM554" s="318" t="inlineStr">
        <is>
          <t>Si elle est renseignée, la valeur doit être connue du Langage Commun associé</t>
        </is>
      </c>
      <c r="AN554" s="317" t="inlineStr">
        <is>
          <t>If specified, the value must be known to the associated Common Language</t>
        </is>
      </c>
      <c r="AO554" s="257" t="n">
        <v>7</v>
      </c>
      <c r="AP554" s="212" t="inlineStr">
        <is>
          <t>TIG0001</t>
        </is>
      </c>
      <c r="AQ554" s="318" t="n"/>
      <c r="AR554" s="317" t="n"/>
      <c r="AS554" s="257" t="n"/>
      <c r="AT554" s="258" t="n"/>
      <c r="AU554" s="318" t="n"/>
      <c r="AV554" s="317" t="n"/>
      <c r="AW554" s="257" t="n"/>
      <c r="AX554" s="258" t="n"/>
      <c r="AY554" s="318" t="n"/>
      <c r="AZ554" s="317" t="n"/>
      <c r="BA554" s="257" t="n"/>
      <c r="BB554" s="258" t="n"/>
      <c r="BC554" s="316" t="n"/>
      <c r="BD554" s="317" t="n"/>
      <c r="BE554" s="257" t="n"/>
      <c r="BF554" s="258" t="n"/>
      <c r="BG554" s="89" t="n"/>
      <c r="BH5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54">
        <f>_xlfn.LET(r,ROW(),oc,INDEX($A:$A,r),cv,TRIM(INDEX($Y:$Y,r)&amp;""),IF(oc&lt;&gt;"P1","",IF(cv="45","V45 - novo, nao alimentado pelo spool atual","V44 - alimentado pelo spool atual")))</f>
        <v/>
      </c>
    </row>
    <row r="555" ht="54" customFormat="1" customHeight="1" s="91">
      <c r="A555" s="306" t="inlineStr">
        <is>
          <t>P1</t>
        </is>
      </c>
      <c r="B555" s="307" t="n">
        <v>320</v>
      </c>
      <c r="C555" s="269" t="inlineStr">
        <is>
          <t>29 - Ratio</t>
        </is>
      </c>
      <c r="D555" s="236" t="inlineStr">
        <is>
          <t>29 - Ratio</t>
        </is>
      </c>
      <c r="E555" s="307" t="inlineStr">
        <is>
          <t>P1 22.49</t>
        </is>
      </c>
      <c r="F555" s="308" t="inlineStr">
        <is>
          <t>Loan-to-income ratio (LTI) local à l'octroi</t>
        </is>
      </c>
      <c r="G555" s="309" t="inlineStr">
        <is>
          <t>Local Loan-to-income ratio (LTI) ratio when loan granted</t>
        </is>
      </c>
      <c r="H555" s="1493">
        <f>"RPAD( "&amp;SUBSTITUTE(SUBSTITUTE(E555," ","_"),".","_")&amp;","&amp;W555&amp;",' '); -- "&amp;E555</f>
        <v/>
      </c>
      <c r="I555" s="308" t="inlineStr">
        <is>
          <t>Montant du prêt accordé sur les revenus du client
Exprimé en %</t>
        </is>
      </c>
      <c r="J555" s="309" t="inlineStr">
        <is>
          <t>Amount of loan divided by customer's income
Expressed as %</t>
        </is>
      </c>
      <c r="K555" s="370" t="inlineStr">
        <is>
          <t>ND</t>
        </is>
      </c>
      <c r="L555" s="371" t="inlineStr">
        <is>
          <t>ND</t>
        </is>
      </c>
      <c r="M555" s="1420" t="inlineStr">
        <is>
          <t>cdLTIOct</t>
        </is>
      </c>
      <c r="N555" s="257" t="inlineStr">
        <is>
          <t>Obligatoire sous conditions</t>
        </is>
      </c>
      <c r="O555" s="371" t="inlineStr">
        <is>
          <t>Mandatory under conditions</t>
        </is>
      </c>
      <c r="P555" s="269" t="inlineStr">
        <is>
          <t>NA</t>
        </is>
      </c>
      <c r="Q555" s="269" t="inlineStr">
        <is>
          <t>NA</t>
        </is>
      </c>
      <c r="R555" s="241" t="inlineStr">
        <is>
          <t>Si prêt immobilier résidentiel (bien occupé ou donné en location par le propriétaire)</t>
        </is>
      </c>
      <c r="S555" s="233" t="inlineStr">
        <is>
          <t>If residential real property loan (residential property occupied or rented by the owner)</t>
        </is>
      </c>
      <c r="T555" s="313" t="inlineStr">
        <is>
          <t>NUM</t>
        </is>
      </c>
      <c r="U555" s="237" t="inlineStr">
        <is>
          <t>10 dont signe et 5 décimales</t>
        </is>
      </c>
      <c r="V555" s="238" t="inlineStr">
        <is>
          <t>10 including sign and 5 decimals</t>
        </is>
      </c>
      <c r="W555" s="257" t="n">
        <v>10</v>
      </c>
      <c r="X555" s="945" t="inlineStr">
        <is>
          <t>NA</t>
        </is>
      </c>
      <c r="Y555" s="237" t="n">
        <v>41</v>
      </c>
      <c r="Z555" s="237" t="inlineStr">
        <is>
          <t>NA</t>
        </is>
      </c>
      <c r="AA555" s="283" t="inlineStr">
        <is>
          <t>NA</t>
        </is>
      </c>
      <c r="AB555" s="269" t="inlineStr">
        <is>
          <t>OCTROI DE CREDIT</t>
        </is>
      </c>
      <c r="AC555" s="231" t="inlineStr">
        <is>
          <t>ND</t>
        </is>
      </c>
      <c r="AD555" s="257" t="inlineStr">
        <is>
          <t>N</t>
        </is>
      </c>
      <c r="AE555" s="1401" t="inlineStr">
        <is>
          <t>TRE2 à 4XX hors 203,205,206,207
TRE5XX</t>
        </is>
      </c>
      <c r="AF555" s="257" t="inlineStr">
        <is>
          <t>NA</t>
        </is>
      </c>
      <c r="AG555" s="258" t="inlineStr">
        <is>
          <t>NA</t>
        </is>
      </c>
      <c r="AH555" s="89" t="n"/>
      <c r="AI555" s="487" t="inlineStr">
        <is>
          <t>La donnée est obligatoire, si le type de risque [P1 2.0] = 'TRExx' (hors 'TRE203, TRE205, TRE206, TRE207'), 'SIGxx' ET si l'Usage du bien immobilier financé [P1 8.13] ='2'</t>
        </is>
      </c>
      <c r="AJ555" s="317" t="inlineStr">
        <is>
          <t>The data is mandatory, if the Risk type [P1 2.0] = 'TRExx' (except 'TRE203, TRE205, TRE206, TRE207'), 'SIGxx' AND if Use of financed property [P1 8.13] ='2'</t>
        </is>
      </c>
      <c r="AK555" s="257" t="n">
        <v>5</v>
      </c>
      <c r="AL555" s="335" t="inlineStr">
        <is>
          <t>TPS0865</t>
        </is>
      </c>
      <c r="AM555" s="318" t="n"/>
      <c r="AN555" s="317" t="n"/>
      <c r="AO555" s="257" t="n"/>
      <c r="AP555" s="258" t="n"/>
      <c r="AQ555" s="322" t="inlineStr">
        <is>
          <t>Si renseignée, la donnée doit être positive (supérieure ou égale à 0)</t>
        </is>
      </c>
      <c r="AR555" s="317" t="inlineStr">
        <is>
          <t xml:space="preserve">If filled, data must be positive (greater or equal to 0) </t>
        </is>
      </c>
      <c r="AS555" s="257" t="n">
        <v>7</v>
      </c>
      <c r="AT555" s="345" t="inlineStr">
        <is>
          <t>TVG0001</t>
        </is>
      </c>
      <c r="AU555" s="318" t="n"/>
      <c r="AV555" s="317" t="n"/>
      <c r="AW555" s="257" t="n"/>
      <c r="AX555" s="258" t="n"/>
      <c r="AY555" s="318" t="n"/>
      <c r="AZ555" s="317" t="n"/>
      <c r="BA555" s="257" t="n"/>
      <c r="BB555" s="258" t="n"/>
      <c r="BC555" s="316" t="n"/>
      <c r="BD555" s="317" t="n"/>
      <c r="BE555" s="257" t="n"/>
      <c r="BF555" s="258" t="n"/>
      <c r="BG555" s="89" t="n"/>
      <c r="BH5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55">
        <f>_xlfn.LET(r,ROW(),oc,INDEX($A:$A,r),cv,TRIM(INDEX($Y:$Y,r)&amp;""),IF(oc&lt;&gt;"P1","",IF(cv="45","V45 - novo, nao alimentado pelo spool atual","V44 - alimentado pelo spool atual")))</f>
        <v/>
      </c>
    </row>
    <row r="556" ht="54" customFormat="1" customHeight="1" s="91">
      <c r="A556" s="306" t="inlineStr">
        <is>
          <t>P1</t>
        </is>
      </c>
      <c r="B556" s="307" t="n">
        <v>321</v>
      </c>
      <c r="C556" s="269" t="inlineStr">
        <is>
          <t>29 - Ratio</t>
        </is>
      </c>
      <c r="D556" s="236" t="inlineStr">
        <is>
          <t>29 - Ratio</t>
        </is>
      </c>
      <c r="E556" s="307" t="inlineStr">
        <is>
          <t>P1 22.50</t>
        </is>
      </c>
      <c r="F556" s="308" t="inlineStr">
        <is>
          <t>Loan-to-income ratio (LTI) local revalorisé</t>
        </is>
      </c>
      <c r="G556" s="309" t="inlineStr">
        <is>
          <t>Re-evaluated local Loan-to-income ratio (LTI) ratio</t>
        </is>
      </c>
      <c r="H556" s="1493">
        <f>"RPAD( "&amp;SUBSTITUTE(SUBSTITUTE(E556," ","_"),".","_")&amp;","&amp;W556&amp;",' '); -- "&amp;E556</f>
        <v/>
      </c>
      <c r="I556" s="308" t="inlineStr">
        <is>
          <t>Loan-to-income ratio (LTI) local revalorisé
Exprimé en %</t>
        </is>
      </c>
      <c r="J556" s="309" t="inlineStr">
        <is>
          <t>Re-evaluated local Loan-to-income ratio (LTI) ratio
Expressed as %</t>
        </is>
      </c>
      <c r="K556" s="370" t="inlineStr">
        <is>
          <t>ND</t>
        </is>
      </c>
      <c r="L556" s="371" t="inlineStr">
        <is>
          <t>ND</t>
        </is>
      </c>
      <c r="M556" s="1420" t="inlineStr">
        <is>
          <t>cdLTILocalRev</t>
        </is>
      </c>
      <c r="N556" s="257" t="inlineStr">
        <is>
          <t>Facultatif</t>
        </is>
      </c>
      <c r="O556" s="371" t="inlineStr">
        <is>
          <t>Optional</t>
        </is>
      </c>
      <c r="P556" s="269" t="inlineStr">
        <is>
          <t>NA</t>
        </is>
      </c>
      <c r="Q556" s="269" t="inlineStr">
        <is>
          <t>NA</t>
        </is>
      </c>
      <c r="R556" s="241" t="inlineStr">
        <is>
          <t>NA</t>
        </is>
      </c>
      <c r="S556" s="233" t="inlineStr">
        <is>
          <t>NA</t>
        </is>
      </c>
      <c r="T556" s="313" t="inlineStr">
        <is>
          <t>NUM</t>
        </is>
      </c>
      <c r="U556" s="237" t="inlineStr">
        <is>
          <t>10 dont signe et 5 décimales</t>
        </is>
      </c>
      <c r="V556" s="238" t="inlineStr">
        <is>
          <t>10 including sign and 5 decimals</t>
        </is>
      </c>
      <c r="W556" s="257" t="n">
        <v>10</v>
      </c>
      <c r="X556" s="945" t="inlineStr">
        <is>
          <t>NA</t>
        </is>
      </c>
      <c r="Y556" s="237" t="n">
        <v>41</v>
      </c>
      <c r="Z556" s="237" t="inlineStr">
        <is>
          <t>NA</t>
        </is>
      </c>
      <c r="AA556" s="283" t="inlineStr">
        <is>
          <t>NA</t>
        </is>
      </c>
      <c r="AB556" s="269" t="inlineStr">
        <is>
          <t>OCTROI DE CREDIT</t>
        </is>
      </c>
      <c r="AC556" s="231" t="inlineStr">
        <is>
          <t>ND</t>
        </is>
      </c>
      <c r="AD556" s="257" t="inlineStr">
        <is>
          <t>N</t>
        </is>
      </c>
      <c r="AE556" s="257" t="inlineStr">
        <is>
          <t>TRE2 à 4XX hors 203,205,206,207
TRE5XX</t>
        </is>
      </c>
      <c r="AF556" s="257" t="inlineStr">
        <is>
          <t>NA</t>
        </is>
      </c>
      <c r="AG556" s="258" t="inlineStr">
        <is>
          <t>NA</t>
        </is>
      </c>
      <c r="AH556" s="89" t="n"/>
      <c r="AI556" s="316" t="n"/>
      <c r="AJ556" s="317" t="n"/>
      <c r="AK556" s="257" t="n"/>
      <c r="AL556" s="258" t="n"/>
      <c r="AM556" s="318" t="n"/>
      <c r="AN556" s="317" t="n"/>
      <c r="AO556" s="257" t="n"/>
      <c r="AP556" s="258" t="n"/>
      <c r="AQ556" s="322" t="inlineStr">
        <is>
          <t>Si renseignée, la donnée doit être positive (supérieure ou égale à 0)</t>
        </is>
      </c>
      <c r="AR556" s="317" t="inlineStr">
        <is>
          <t xml:space="preserve">If filled, data must be positive (greater or equal to 0) </t>
        </is>
      </c>
      <c r="AS556" s="257" t="n">
        <v>7</v>
      </c>
      <c r="AT556" s="345" t="inlineStr">
        <is>
          <t>TVG0001</t>
        </is>
      </c>
      <c r="AU556" s="318" t="n"/>
      <c r="AV556" s="317" t="n"/>
      <c r="AW556" s="257" t="n"/>
      <c r="AX556" s="258" t="n"/>
      <c r="AY556" s="318" t="n"/>
      <c r="AZ556" s="317" t="n"/>
      <c r="BA556" s="257" t="n"/>
      <c r="BB556" s="258" t="n"/>
      <c r="BC556" s="316" t="n"/>
      <c r="BD556" s="317" t="n"/>
      <c r="BE556" s="257" t="n"/>
      <c r="BF556" s="258" t="n"/>
      <c r="BG556" s="89" t="n"/>
      <c r="BH5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56">
        <f>_xlfn.LET(r,ROW(),oc,INDEX($A:$A,r),cv,TRIM(INDEX($Y:$Y,r)&amp;""),IF(oc&lt;&gt;"P1","",IF(cv="45","V45 - novo, nao alimentado pelo spool atual","V44 - alimentado pelo spool atual")))</f>
        <v/>
      </c>
    </row>
    <row r="557" ht="54" customFormat="1" customHeight="1" s="91">
      <c r="A557" s="306" t="inlineStr">
        <is>
          <t>P1</t>
        </is>
      </c>
      <c r="B557" s="307" t="n">
        <v>322</v>
      </c>
      <c r="C557" s="269" t="inlineStr">
        <is>
          <t>23 - Caractéristiques palier</t>
        </is>
      </c>
      <c r="D557" s="236" t="inlineStr">
        <is>
          <t>23 - Stage characteristics</t>
        </is>
      </c>
      <c r="E557" s="307" t="inlineStr">
        <is>
          <t>P1 22.58</t>
        </is>
      </c>
      <c r="F557" s="427" t="inlineStr">
        <is>
          <t>Date de début de palier</t>
        </is>
      </c>
      <c r="G557" s="309" t="inlineStr">
        <is>
          <t>Start date of the stage</t>
        </is>
      </c>
      <c r="H557" s="1493">
        <f>"RPAD( "&amp;SUBSTITUTE(SUBSTITUTE(E557," ","_"),".","_")&amp;","&amp;W557&amp;",' '); -- "&amp;E557</f>
        <v/>
      </c>
      <c r="I557" s="278" t="inlineStr">
        <is>
          <t>Date à partir de laquelle les caractéristiques du palier sont appliquées</t>
        </is>
      </c>
      <c r="J557" s="160" t="inlineStr">
        <is>
          <t>Date from which the characteristics of the stage are applied</t>
        </is>
      </c>
      <c r="K557" s="370" t="inlineStr">
        <is>
          <t>ND</t>
        </is>
      </c>
      <c r="L557" s="371" t="inlineStr">
        <is>
          <t>ND</t>
        </is>
      </c>
      <c r="M557" s="1420" t="inlineStr">
        <is>
          <t>dtDebPalier</t>
        </is>
      </c>
      <c r="N557" s="257" t="inlineStr">
        <is>
          <t>Obligatoire sous conditions</t>
        </is>
      </c>
      <c r="O557" s="371" t="inlineStr">
        <is>
          <t>Mandatory under conditions</t>
        </is>
      </c>
      <c r="P557" s="269" t="inlineStr">
        <is>
          <t>NA</t>
        </is>
      </c>
      <c r="Q557" s="269" t="inlineStr">
        <is>
          <t>NA</t>
        </is>
      </c>
      <c r="R557" s="241" t="inlineStr">
        <is>
          <t>NA</t>
        </is>
      </c>
      <c r="S557" s="233" t="inlineStr">
        <is>
          <t>NA</t>
        </is>
      </c>
      <c r="T557" s="206" t="inlineStr">
        <is>
          <t>DATE</t>
        </is>
      </c>
      <c r="U557" s="237" t="inlineStr">
        <is>
          <t>AAAAMMJJ</t>
        </is>
      </c>
      <c r="V557" s="238" t="inlineStr">
        <is>
          <t>YYYYMMDD</t>
        </is>
      </c>
      <c r="W557" s="257" t="n">
        <v>8</v>
      </c>
      <c r="X557" s="945" t="inlineStr">
        <is>
          <t>NA</t>
        </is>
      </c>
      <c r="Y557" s="237" t="n">
        <v>41</v>
      </c>
      <c r="Z557" s="237" t="inlineStr">
        <is>
          <t>NA</t>
        </is>
      </c>
      <c r="AA557" s="1020" t="inlineStr">
        <is>
          <t>45.00</t>
        </is>
      </c>
      <c r="AB557" s="269" t="inlineStr">
        <is>
          <t>ANACREDIT, OMP, PALMA</t>
        </is>
      </c>
      <c r="AC557" s="231" t="inlineStr">
        <is>
          <t>ND</t>
        </is>
      </c>
      <c r="AD557" s="257" t="inlineStr">
        <is>
          <t>N</t>
        </is>
      </c>
      <c r="AE557" s="257" t="inlineStr">
        <is>
          <t>ISS200 et 300
TRE2 à 4XX hors 203,205,206,207
TRE5XX
SIG</t>
        </is>
      </c>
      <c r="AF557" s="257" t="inlineStr">
        <is>
          <t>NA</t>
        </is>
      </c>
      <c r="AG557" s="258" t="inlineStr">
        <is>
          <t>NA</t>
        </is>
      </c>
      <c r="AH557" s="89" t="n"/>
      <c r="AI557" s="1045" t="inlineStr">
        <is>
          <t>La donnée est obligatoire si le type de risque [P1 2.0] = [ISS200, ISS300, TRE2xx, TRE3xx, TRE4xx, TRE5xx hors (TRE203, TRE205, TRE206, TRE207)] ET si l'indicateur produit échéancé [P1 22.56] = 'ECH' ET si l'indicateur échéancier fourni [P1 22.12] = 'N' ET si l'indicateur objet métier palier fourni [P1 22.57] = 'N' ou vide</t>
        </is>
      </c>
      <c r="AJ557" s="931" t="inlineStr">
        <is>
          <t>The data is mandatory if Risk type [P1 2.0] = [ISS200, ISS300, TRE2xx, TRE3xx, TRE4xx, TRE5xx except (TRE203, TRE205, TRE206, TRE207)] AND if the indicator product schedule [P1 22.56] = 'ECH' AND if the repayment schedule provided indicator [P1 22.12] = 'N' AND if the indicator of business object stage provided [P1 22.57] = 'N' or empty</t>
        </is>
      </c>
      <c r="AK557" s="958" t="n">
        <v>6</v>
      </c>
      <c r="AL557" s="1046" t="inlineStr">
        <is>
          <t>TPSXXX (ex-TPS0853/TPS0768)</t>
        </is>
      </c>
      <c r="AM557" s="318" t="n"/>
      <c r="AN557" s="317" t="n"/>
      <c r="AO557" s="257" t="n"/>
      <c r="AP557" s="258" t="n"/>
      <c r="AQ557" s="318" t="inlineStr">
        <is>
          <t>Si renseignée, la donnée doit être supérieure ou égale à '19000101'</t>
        </is>
      </c>
      <c r="AR557" s="317" t="inlineStr">
        <is>
          <t>If filled, data must be greater or equal to '19000101'</t>
        </is>
      </c>
      <c r="AS557" s="257" t="n">
        <v>7</v>
      </c>
      <c r="AT557" s="258" t="inlineStr">
        <is>
          <t>TVG0005</t>
        </is>
      </c>
      <c r="AU557" s="318" t="inlineStr">
        <is>
          <t>Si renseignée, la Date de début de palier [P1 22.58] doit être comprise entre la date de début de l'engagement [P1 3.2] et la date de fin de l'engagement [P1 3.4]</t>
        </is>
      </c>
      <c r="AV557" s="317" t="inlineStr">
        <is>
          <t>If filled, the Start date of the stage [P1 22.58] must be between the start date of commitment [P1 3.2] and the end date of commitment [P1 3.4]</t>
        </is>
      </c>
      <c r="AW557" s="257" t="n">
        <v>6</v>
      </c>
      <c r="AX557" s="345" t="inlineStr">
        <is>
          <t>TCS0727</t>
        </is>
      </c>
      <c r="AY557" s="318" t="n"/>
      <c r="AZ557" s="317" t="n"/>
      <c r="BA557" s="257" t="n"/>
      <c r="BB557" s="258" t="n"/>
      <c r="BC557" s="316" t="n"/>
      <c r="BD557" s="317" t="n"/>
      <c r="BE557" s="257" t="n"/>
      <c r="BF557" s="258" t="n"/>
      <c r="BG557" s="89" t="n"/>
      <c r="BH5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57">
        <f>_xlfn.LET(r,ROW(),oc,INDEX($A:$A,r),cv,TRIM(INDEX($Y:$Y,r)&amp;""),IF(oc&lt;&gt;"P1","",IF(cv="45","V45 - novo, nao alimentado pelo spool atual","V44 - alimentado pelo spool atual")))</f>
        <v/>
      </c>
    </row>
    <row r="558" ht="54" customFormat="1" customHeight="1" s="91">
      <c r="A558" s="306" t="inlineStr">
        <is>
          <t>P1</t>
        </is>
      </c>
      <c r="B558" s="307" t="n">
        <v>323</v>
      </c>
      <c r="C558" s="269" t="inlineStr">
        <is>
          <t>23 - Caractéristiques palier</t>
        </is>
      </c>
      <c r="D558" s="236" t="inlineStr">
        <is>
          <t>23 - Stage characteristics</t>
        </is>
      </c>
      <c r="E558" s="307" t="inlineStr">
        <is>
          <t>P1 22.59</t>
        </is>
      </c>
      <c r="F558" s="374" t="inlineStr">
        <is>
          <t>Date de fin de palier</t>
        </is>
      </c>
      <c r="G558" s="309" t="inlineStr">
        <is>
          <t>End date of stage</t>
        </is>
      </c>
      <c r="H558" s="1493">
        <f>"RPAD( "&amp;SUBSTITUTE(SUBSTITUTE(E558," ","_"),".","_")&amp;","&amp;W558&amp;",' '); -- "&amp;E558</f>
        <v/>
      </c>
      <c r="I558" s="308" t="inlineStr">
        <is>
          <t>Correspond à la date d'échéance pour les prêts ayant un seul tableau d'amortissement à date</t>
        </is>
      </c>
      <c r="J558" s="309" t="inlineStr">
        <is>
          <t>Maturity date for loans with a single date of amortization schedule</t>
        </is>
      </c>
      <c r="K558" s="370" t="inlineStr">
        <is>
          <t>ND</t>
        </is>
      </c>
      <c r="L558" s="371" t="inlineStr">
        <is>
          <t>ND</t>
        </is>
      </c>
      <c r="M558" s="1420" t="inlineStr">
        <is>
          <t>dtFinPalier</t>
        </is>
      </c>
      <c r="N558" s="257" t="inlineStr">
        <is>
          <t>Obligatoire sous conditions</t>
        </is>
      </c>
      <c r="O558" s="371" t="inlineStr">
        <is>
          <t>Mandatory under conditions</t>
        </is>
      </c>
      <c r="P558" s="269" t="inlineStr">
        <is>
          <t>NA</t>
        </is>
      </c>
      <c r="Q558" s="269" t="inlineStr">
        <is>
          <t>NA</t>
        </is>
      </c>
      <c r="R558" s="241" t="inlineStr">
        <is>
          <t>NA</t>
        </is>
      </c>
      <c r="S558" s="233" t="inlineStr">
        <is>
          <t>NA</t>
        </is>
      </c>
      <c r="T558" s="206" t="inlineStr">
        <is>
          <t>DATE</t>
        </is>
      </c>
      <c r="U558" s="237" t="inlineStr">
        <is>
          <t>AAAAMMJJ</t>
        </is>
      </c>
      <c r="V558" s="238" t="inlineStr">
        <is>
          <t>YYYYMMDD</t>
        </is>
      </c>
      <c r="W558" s="257" t="n">
        <v>8</v>
      </c>
      <c r="X558" s="945" t="inlineStr">
        <is>
          <t>NA</t>
        </is>
      </c>
      <c r="Y558" s="237" t="n">
        <v>41</v>
      </c>
      <c r="Z558" s="237" t="inlineStr">
        <is>
          <t>NA</t>
        </is>
      </c>
      <c r="AA558" s="1020" t="inlineStr">
        <is>
          <t>45.00</t>
        </is>
      </c>
      <c r="AB558" s="269" t="inlineStr">
        <is>
          <t>ANACREDIT, OMP, PALMA</t>
        </is>
      </c>
      <c r="AC558" s="231" t="inlineStr">
        <is>
          <t>ND</t>
        </is>
      </c>
      <c r="AD558" s="257" t="inlineStr">
        <is>
          <t>N</t>
        </is>
      </c>
      <c r="AE558" s="257" t="inlineStr">
        <is>
          <t xml:space="preserve">ISS200 et 300
TRE2 à 4XX hors 203,205,206,207
TRE5XX
SIG
</t>
        </is>
      </c>
      <c r="AF558" s="257" t="inlineStr">
        <is>
          <t>NA</t>
        </is>
      </c>
      <c r="AG558" s="258" t="inlineStr">
        <is>
          <t>NA</t>
        </is>
      </c>
      <c r="AH558" s="89" t="n"/>
      <c r="AI558" s="1045" t="inlineStr">
        <is>
          <t>La donnée est obligatoire si le type de risque [P1 2.0] = [ISS200, ISS300, TRE2xx, TRE3xx, TRE4xx, TRE5xx hors (TRE203, TRE205, TRE206, TRE207)] ET si l'indicateur produit échéancé [P1 22.56] = 'ECH' ET si l'indicateur échéancier fourni [P1 22.12] = 'N' ET si l'indicateur objet métier palier fourni [P1 22.57] = 'N' ou vide</t>
        </is>
      </c>
      <c r="AJ558" s="931" t="inlineStr">
        <is>
          <t>The data is mandatory if Risk type [P1 2.0] = [ISS200, ISS300, TRE2xx, TRE3xx, TRE4xx, TRE5xx except (TRE203, TRE205, TRE206, TRE207)] AND if the indicator product schedule [P1 22.56] = 'ECH' AND if the repayment schedule provided indicator [P1 22.12] = 'N' AND if the indicator of business object stage provided [P1 22.57] = 'N' or empty</t>
        </is>
      </c>
      <c r="AK558" s="958" t="n">
        <v>6</v>
      </c>
      <c r="AL558" s="1046" t="inlineStr">
        <is>
          <t>TPSXXX (ex-TPS0853/TPS0768)</t>
        </is>
      </c>
      <c r="AM558" s="318" t="n"/>
      <c r="AN558" s="317" t="n"/>
      <c r="AO558" s="257" t="n"/>
      <c r="AP558" s="258" t="n"/>
      <c r="AQ558" s="318" t="n"/>
      <c r="AR558" s="317" t="n"/>
      <c r="AS558" s="257" t="n"/>
      <c r="AT558" s="258" t="n"/>
      <c r="AU558" s="620" t="inlineStr">
        <is>
          <t>Si la date de début de palier [P1 22.58] est renseignée et si la date de fin de palier [P1 22.59] est renseignée, alors la date de fin de palier [P1 22.59] doit être supérieure ou égale à la date de début de palier [P1 22.58] et inférieure ou égale à la date de fin de l'engagement [P1 3.4]</t>
        </is>
      </c>
      <c r="AV558" s="317" t="inlineStr">
        <is>
          <t>If the start date of the stage [P1 22.58] is filled and the end date of the stage [P1 22.59] is filled, then the end date of the stage [P1 22.59] must be greater than or equal to the start date of the stage [P1 22.58] and lower or equal to the end date of commitment [P1 3.4]</t>
        </is>
      </c>
      <c r="AW558" s="257" t="n">
        <v>6</v>
      </c>
      <c r="AX558" s="554" t="inlineStr">
        <is>
          <t>TCS0728</t>
        </is>
      </c>
      <c r="AY558" s="318" t="n"/>
      <c r="AZ558" s="317" t="n"/>
      <c r="BA558" s="257" t="n"/>
      <c r="BB558" s="258" t="n"/>
      <c r="BC558" s="316" t="n"/>
      <c r="BD558" s="317" t="n"/>
      <c r="BE558" s="257" t="n"/>
      <c r="BF558" s="258" t="n"/>
      <c r="BG558" s="89" t="n"/>
      <c r="BH5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58">
        <f>_xlfn.LET(r,ROW(),oc,INDEX($A:$A,r),cv,TRIM(INDEX($Y:$Y,r)&amp;""),IF(oc&lt;&gt;"P1","",IF(cv="45","V45 - novo, nao alimentado pelo spool atual","V44 - alimentado pelo spool atual")))</f>
        <v/>
      </c>
    </row>
    <row r="559" ht="54" customFormat="1" customHeight="1" s="91">
      <c r="A559" s="306" t="inlineStr">
        <is>
          <t>P1</t>
        </is>
      </c>
      <c r="B559" s="307" t="n">
        <v>324</v>
      </c>
      <c r="C559" s="269" t="inlineStr">
        <is>
          <t>06 - Caractéristiques échéancier</t>
        </is>
      </c>
      <c r="D559" s="236" t="inlineStr">
        <is>
          <t>06 - Schedule characteristics</t>
        </is>
      </c>
      <c r="E559" s="307" t="inlineStr">
        <is>
          <t>P1 22.60</t>
        </is>
      </c>
      <c r="F559" s="375" t="inlineStr">
        <is>
          <t>Montant de l'échéance en cours</t>
        </is>
      </c>
      <c r="G559" s="309" t="inlineStr">
        <is>
          <t>Current due date amount</t>
        </is>
      </c>
      <c r="H559" s="1493">
        <f>"RPAD( "&amp;SUBSTITUTE(SUBSTITUTE(E559," ","_"),".","_")&amp;","&amp;W559&amp;",' '); -- "&amp;E559</f>
        <v/>
      </c>
      <c r="I559" s="375" t="inlineStr">
        <is>
          <t>Montant de l'échéance en cours</t>
        </is>
      </c>
      <c r="J559" s="309" t="inlineStr">
        <is>
          <t>Current due date amount</t>
        </is>
      </c>
      <c r="K559" s="370" t="inlineStr">
        <is>
          <t>ND</t>
        </is>
      </c>
      <c r="L559" s="371" t="inlineStr">
        <is>
          <t>ND</t>
        </is>
      </c>
      <c r="M559" s="1420" t="inlineStr">
        <is>
          <t>mtEchEnc</t>
        </is>
      </c>
      <c r="N559" s="257" t="inlineStr">
        <is>
          <t>Obligatoire sous conditions</t>
        </is>
      </c>
      <c r="O559" s="371" t="inlineStr">
        <is>
          <t>Mandatory under conditions</t>
        </is>
      </c>
      <c r="P559" s="269" t="inlineStr">
        <is>
          <t>NA</t>
        </is>
      </c>
      <c r="Q559" s="269" t="inlineStr">
        <is>
          <t>NA</t>
        </is>
      </c>
      <c r="R559" s="241" t="inlineStr">
        <is>
          <t>Montant de l'échéance (capital + intérêts) dans le cas d'un amortissement à montant constant</t>
        </is>
      </c>
      <c r="S559" s="233" t="inlineStr">
        <is>
          <t>Current due date amount (principal + interest) in the case of a constant amount amortisation</t>
        </is>
      </c>
      <c r="T559" s="307" t="inlineStr">
        <is>
          <t>NUM</t>
        </is>
      </c>
      <c r="U559" s="237" t="inlineStr">
        <is>
          <t>19 dont signe et 2 décimales</t>
        </is>
      </c>
      <c r="V559" s="238" t="inlineStr">
        <is>
          <t>19 including sign and 2 decimals</t>
        </is>
      </c>
      <c r="W559" s="257" t="n">
        <v>19</v>
      </c>
      <c r="X559" s="945" t="inlineStr">
        <is>
          <t>NA</t>
        </is>
      </c>
      <c r="Y559" s="237" t="n">
        <v>41</v>
      </c>
      <c r="Z559" s="237" t="inlineStr">
        <is>
          <t>NA</t>
        </is>
      </c>
      <c r="AA559" s="237" t="inlineStr">
        <is>
          <t>NA</t>
        </is>
      </c>
      <c r="AB559" s="269" t="inlineStr">
        <is>
          <t>ANACREDIT, OMP, PALMA</t>
        </is>
      </c>
      <c r="AC559" s="231" t="inlineStr">
        <is>
          <t>ND</t>
        </is>
      </c>
      <c r="AD559" s="257" t="inlineStr">
        <is>
          <t>N</t>
        </is>
      </c>
      <c r="AE559" s="257" t="inlineStr">
        <is>
          <t>TRE2 à 4XX hors 203,205,206,207
TRE5XX
SIG</t>
        </is>
      </c>
      <c r="AF559" s="257" t="inlineStr">
        <is>
          <t>NA</t>
        </is>
      </c>
      <c r="AG559" s="258" t="inlineStr">
        <is>
          <t>NA</t>
        </is>
      </c>
      <c r="AH559" s="89" t="n"/>
      <c r="AI559" s="487" t="inlineStr">
        <is>
          <t>La donnée est obligatoire si le type de risque [P1 2.0] = TRE2xx, TRE3xx, TRE4xx, TRE5xx hors (TRE203, TRE205, TRE206, TRE207) ET que l'indicateur produit échéancé [P1 22.56] = 'ECH' ET que l'indicateur échéancier fourni [P1 22.12] = 'N' ET que l'indicateur objet métier palier fourni [P1 22.57] = 'N' ou vide</t>
        </is>
      </c>
      <c r="AJ559" s="317" t="inlineStr">
        <is>
          <t>The data is mandatory if Risk type [P1 2.0] = TRE2xx, TRE3xx, TRE4xx, TRE5xx except (TRE203, TRE205, TRE206, TRE207) AND the indicator product schedule [P1 22.56] = 'ECH' AND the repayment schedule provided indicator [P1 22.12] = 'N' AND the indicator of business object stage provided [P1 22.57] = 'N' or empty</t>
        </is>
      </c>
      <c r="AK559" s="257" t="n">
        <v>6</v>
      </c>
      <c r="AL559" s="424" t="inlineStr">
        <is>
          <t>TPS0853</t>
        </is>
      </c>
      <c r="AM559" s="318" t="n"/>
      <c r="AN559" s="317" t="n"/>
      <c r="AO559" s="257" t="n"/>
      <c r="AP559" s="258" t="n"/>
      <c r="AQ559" s="322" t="inlineStr">
        <is>
          <t>Si renseignée, la donnée doit être positive (supérieure ou égale à 0)</t>
        </is>
      </c>
      <c r="AR559" s="317" t="inlineStr">
        <is>
          <t xml:space="preserve">If filled, data must be positive (greater or equal to 0) </t>
        </is>
      </c>
      <c r="AS559" s="257" t="n">
        <v>7</v>
      </c>
      <c r="AT559" s="345" t="inlineStr">
        <is>
          <t>TVG0001</t>
        </is>
      </c>
      <c r="AU559" s="318" t="n"/>
      <c r="AV559" s="317" t="n"/>
      <c r="AW559" s="257" t="n"/>
      <c r="AX559" s="258" t="n"/>
      <c r="AY559" s="318" t="n"/>
      <c r="AZ559" s="317" t="n"/>
      <c r="BA559" s="257" t="n"/>
      <c r="BB559" s="258" t="n"/>
      <c r="BC559" s="316" t="n"/>
      <c r="BD559" s="317" t="n"/>
      <c r="BE559" s="257" t="n"/>
      <c r="BF559" s="258" t="n"/>
      <c r="BG559" s="89" t="n"/>
      <c r="BH5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59">
        <f>_xlfn.LET(r,ROW(),oc,INDEX($A:$A,r),cv,TRIM(INDEX($Y:$Y,r)&amp;""),IF(oc&lt;&gt;"P1","",IF(cv="45","V45 - novo, nao alimentado pelo spool atual","V44 - alimentado pelo spool atual")))</f>
        <v/>
      </c>
    </row>
    <row r="560" ht="54" customFormat="1" customHeight="1" s="91">
      <c r="A560" s="306" t="inlineStr">
        <is>
          <t>P1</t>
        </is>
      </c>
      <c r="B560" s="307" t="n">
        <v>325</v>
      </c>
      <c r="C560" s="269" t="inlineStr">
        <is>
          <t>06 - Caractéristiques échéancier</t>
        </is>
      </c>
      <c r="D560" s="236" t="inlineStr">
        <is>
          <t>06 - Schedule characteristics</t>
        </is>
      </c>
      <c r="E560" s="307" t="inlineStr">
        <is>
          <t>P1 22.61</t>
        </is>
      </c>
      <c r="F560" s="308" t="inlineStr">
        <is>
          <t>Devise du montant de l'échéance en cours</t>
        </is>
      </c>
      <c r="G560" s="309" t="inlineStr">
        <is>
          <t>Currency of current due date amount</t>
        </is>
      </c>
      <c r="H560" s="1493">
        <f>"RPAD( "&amp;SUBSTITUTE(SUBSTITUTE(E560," ","_"),".","_")&amp;","&amp;W560&amp;",' '); -- "&amp;E560</f>
        <v/>
      </c>
      <c r="I560" s="308" t="inlineStr">
        <is>
          <t>Devise du montant de l'échéance en cours</t>
        </is>
      </c>
      <c r="J560" s="309" t="inlineStr">
        <is>
          <t>Currency of current due date amount</t>
        </is>
      </c>
      <c r="K560" s="370" t="inlineStr">
        <is>
          <t>ND</t>
        </is>
      </c>
      <c r="L560" s="371" t="inlineStr">
        <is>
          <t>ND</t>
        </is>
      </c>
      <c r="M560" s="1420" t="inlineStr">
        <is>
          <t>cdDevMtEchEnc</t>
        </is>
      </c>
      <c r="N560" s="257" t="inlineStr">
        <is>
          <t>Obligatoire sous conditions</t>
        </is>
      </c>
      <c r="O560" s="371" t="inlineStr">
        <is>
          <t>Mandatory under conditions</t>
        </is>
      </c>
      <c r="P560" s="269" t="inlineStr">
        <is>
          <t>LC.0005</t>
        </is>
      </c>
      <c r="Q560" s="269" t="inlineStr">
        <is>
          <t>TA NM253</t>
        </is>
      </c>
      <c r="R560" s="241" t="inlineStr">
        <is>
          <t>NA</t>
        </is>
      </c>
      <c r="S560" s="233" t="inlineStr">
        <is>
          <t>NA</t>
        </is>
      </c>
      <c r="T560" s="307" t="inlineStr">
        <is>
          <t>ALPHA</t>
        </is>
      </c>
      <c r="U560" s="237" t="inlineStr">
        <is>
          <t>NA</t>
        </is>
      </c>
      <c r="V560" s="238" t="inlineStr">
        <is>
          <t>NA</t>
        </is>
      </c>
      <c r="W560" s="257" t="n">
        <v>3</v>
      </c>
      <c r="X560" s="945" t="inlineStr">
        <is>
          <t>NA</t>
        </is>
      </c>
      <c r="Y560" s="237" t="n">
        <v>41</v>
      </c>
      <c r="Z560" s="237" t="inlineStr">
        <is>
          <t>NA</t>
        </is>
      </c>
      <c r="AA560" s="237" t="inlineStr">
        <is>
          <t>NA</t>
        </is>
      </c>
      <c r="AB560" s="269" t="inlineStr">
        <is>
          <t>ANACREDIT, OMP, PALMA</t>
        </is>
      </c>
      <c r="AC560" s="231" t="inlineStr">
        <is>
          <t>ND</t>
        </is>
      </c>
      <c r="AD560" s="257" t="inlineStr">
        <is>
          <t>N</t>
        </is>
      </c>
      <c r="AE560" s="257" t="inlineStr">
        <is>
          <t>TRE2 à 4XX hors 203,205,206,207
TRE5XX
SIG</t>
        </is>
      </c>
      <c r="AF560" s="257" t="inlineStr">
        <is>
          <t>NA</t>
        </is>
      </c>
      <c r="AG560" s="258" t="inlineStr">
        <is>
          <t>NA</t>
        </is>
      </c>
      <c r="AH560" s="89" t="n"/>
      <c r="AI560" s="621" t="inlineStr">
        <is>
          <t>La donnée est obligatoire si le montant de l'échéance en cours [P1 22.60] est renseigné</t>
        </is>
      </c>
      <c r="AJ560" s="317" t="inlineStr">
        <is>
          <t>The data is mandatory if Current due date amount [P1 22.60] is filled</t>
        </is>
      </c>
      <c r="AK560" s="257" t="n">
        <v>7</v>
      </c>
      <c r="AL560" s="335" t="inlineStr">
        <is>
          <t>TPG0002</t>
        </is>
      </c>
      <c r="AM560" s="318" t="inlineStr">
        <is>
          <t>Si elle est renseignée, la valeur doit être connue du Langage Commun associé</t>
        </is>
      </c>
      <c r="AN560" s="317" t="inlineStr">
        <is>
          <t>If specified, the value must be known to the associated Common Language</t>
        </is>
      </c>
      <c r="AO560" s="257" t="n">
        <v>7</v>
      </c>
      <c r="AP560" s="212" t="inlineStr">
        <is>
          <t>TIG0001</t>
        </is>
      </c>
      <c r="AQ560" s="318" t="n"/>
      <c r="AR560" s="317" t="n"/>
      <c r="AS560" s="257" t="n"/>
      <c r="AT560" s="258" t="n"/>
      <c r="AU560" s="318" t="n"/>
      <c r="AV560" s="317" t="n"/>
      <c r="AW560" s="257" t="n"/>
      <c r="AX560" s="258" t="n"/>
      <c r="AY560" s="318" t="n"/>
      <c r="AZ560" s="317" t="n"/>
      <c r="BA560" s="257" t="n"/>
      <c r="BB560" s="258" t="n"/>
      <c r="BC560" s="316" t="n"/>
      <c r="BD560" s="317" t="n"/>
      <c r="BE560" s="257" t="n"/>
      <c r="BF560" s="258" t="n"/>
      <c r="BG560" s="89" t="n"/>
      <c r="BH5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60">
        <f>_xlfn.LET(r,ROW(),oc,INDEX($A:$A,r),cv,TRIM(INDEX($Y:$Y,r)&amp;""),IF(oc&lt;&gt;"P1","",IF(cv="45","V45 - novo, nao alimentado pelo spool atual","V44 - alimentado pelo spool atual")))</f>
        <v/>
      </c>
    </row>
    <row r="561" ht="54" customFormat="1" customHeight="1" s="91">
      <c r="A561" s="306" t="inlineStr">
        <is>
          <t>P1</t>
        </is>
      </c>
      <c r="B561" s="307" t="n">
        <v>326</v>
      </c>
      <c r="C561" s="269" t="inlineStr">
        <is>
          <t>06 - Caractéristiques échéancier</t>
        </is>
      </c>
      <c r="D561" s="236" t="inlineStr">
        <is>
          <t>06 - Schedule characteristics</t>
        </is>
      </c>
      <c r="E561" s="307" t="inlineStr">
        <is>
          <t>P1 22.62</t>
        </is>
      </c>
      <c r="F561" s="1263" t="inlineStr">
        <is>
          <t>Indicateur pré / post fixé</t>
        </is>
      </c>
      <c r="G561" s="309" t="inlineStr">
        <is>
          <t>Fixed pre / post indicator</t>
        </is>
      </c>
      <c r="H561" s="1493">
        <f>"RPAD( "&amp;SUBSTITUTE(SUBSTITUTE(E561," ","_"),".","_")&amp;","&amp;W561&amp;",' '); -- "&amp;E561</f>
        <v/>
      </c>
      <c r="I561" s="278" t="inlineStr">
        <is>
          <t>Indique l'utilisation pré ou post fixé de l'index du palier</t>
        </is>
      </c>
      <c r="J561" s="160" t="inlineStr">
        <is>
          <t>Indicates the use pre or post fixed of the index of the stage</t>
        </is>
      </c>
      <c r="K561" s="370" t="inlineStr">
        <is>
          <t>ND</t>
        </is>
      </c>
      <c r="L561" s="371" t="inlineStr">
        <is>
          <t>ND</t>
        </is>
      </c>
      <c r="M561" s="1420" t="inlineStr">
        <is>
          <t>cdFix</t>
        </is>
      </c>
      <c r="N561" s="257" t="inlineStr">
        <is>
          <t>Obligatoire sous conditions</t>
        </is>
      </c>
      <c r="O561" s="371" t="inlineStr">
        <is>
          <t>Mandatory under conditions</t>
        </is>
      </c>
      <c r="P561" s="269" t="inlineStr">
        <is>
          <t>LC.0243</t>
        </is>
      </c>
      <c r="Q561" s="269" t="inlineStr">
        <is>
          <t>TA XPINDPPF</t>
        </is>
      </c>
      <c r="R561" s="278" t="inlineStr">
        <is>
          <t>Pré fixé : la valeur de l'index est connu en début de la période, post fixé : la valeur est connue en fin de période</t>
        </is>
      </c>
      <c r="S561" s="591" t="inlineStr">
        <is>
          <t>Fixed pre, the index value is known at the beginning of the period; fixed post the value is known at the end of the period</t>
        </is>
      </c>
      <c r="T561" s="307" t="inlineStr">
        <is>
          <t>ALPHA</t>
        </is>
      </c>
      <c r="U561" s="237" t="inlineStr">
        <is>
          <t>NA</t>
        </is>
      </c>
      <c r="V561" s="238" t="inlineStr">
        <is>
          <t>NA</t>
        </is>
      </c>
      <c r="W561" s="257" t="n">
        <v>1</v>
      </c>
      <c r="X561" s="945" t="inlineStr">
        <is>
          <t>NA</t>
        </is>
      </c>
      <c r="Y561" s="237" t="n">
        <v>41</v>
      </c>
      <c r="Z561" s="237" t="inlineStr">
        <is>
          <t>NA</t>
        </is>
      </c>
      <c r="AA561" s="1019" t="inlineStr">
        <is>
          <t>45.00</t>
        </is>
      </c>
      <c r="AB561" s="932" t="inlineStr">
        <is>
          <t>ANACREDIT, LIQUIDITE, OMP, PALMA</t>
        </is>
      </c>
      <c r="AC561" s="231" t="inlineStr">
        <is>
          <t>ND</t>
        </is>
      </c>
      <c r="AD561" s="257" t="inlineStr">
        <is>
          <t>N</t>
        </is>
      </c>
      <c r="AE561" s="257" t="inlineStr">
        <is>
          <t xml:space="preserve">ISS200 et 300
TRE2 à 4XX hors 203,205,206,207
TRE5XX
SIG
</t>
        </is>
      </c>
      <c r="AF561" s="257" t="inlineStr">
        <is>
          <t>NA</t>
        </is>
      </c>
      <c r="AG561" s="258" t="inlineStr">
        <is>
          <t>NA</t>
        </is>
      </c>
      <c r="AH561" s="89" t="n"/>
      <c r="AI561" s="1233" t="inlineStr">
        <is>
          <t>La donnée est obligatoire si le type de risque [P1 2.0] = [ISS200, ISS300, TRE2xx à TRE5xx (hors TRE203, TRE205, TRE206, TRE207)] et si le type de taux [P1 22.14] = 'V' ou 'R'</t>
        </is>
      </c>
      <c r="AJ561" s="931" t="inlineStr">
        <is>
          <t>The data is mandatory if Risk type [P1 2.0] = [ISS200, ISS300, TRE2xx to TRE5xx (except TRE203, TRE205, TRE206, TRE207)] and if the type of interest rate [P1 22.14] = 'V' or 'R'</t>
        </is>
      </c>
      <c r="AK561" s="958" t="n">
        <v>6</v>
      </c>
      <c r="AL561" s="1234" t="inlineStr">
        <is>
          <t>TPSXXX (ex-TPS0866)</t>
        </is>
      </c>
      <c r="AM561" s="318" t="inlineStr">
        <is>
          <t>Si elle est renseignée, la valeur doit être connue du Langage Commun associé</t>
        </is>
      </c>
      <c r="AN561" s="317" t="inlineStr">
        <is>
          <t>If specified, the value must be known to the associated Common Language</t>
        </is>
      </c>
      <c r="AO561" s="257" t="n">
        <v>7</v>
      </c>
      <c r="AP561" s="212" t="inlineStr">
        <is>
          <t>TIG0001</t>
        </is>
      </c>
      <c r="AQ561" s="318" t="n"/>
      <c r="AR561" s="317" t="n"/>
      <c r="AS561" s="257" t="n"/>
      <c r="AT561" s="258" t="n"/>
      <c r="AU561" s="318" t="n"/>
      <c r="AV561" s="317" t="n"/>
      <c r="AW561" s="257" t="n"/>
      <c r="AX561" s="258" t="n"/>
      <c r="AY561" s="318" t="n"/>
      <c r="AZ561" s="317" t="n"/>
      <c r="BA561" s="257" t="n"/>
      <c r="BB561" s="258" t="n"/>
      <c r="BC561" s="316" t="n"/>
      <c r="BD561" s="317" t="n"/>
      <c r="BE561" s="257" t="n"/>
      <c r="BF561" s="258" t="n"/>
      <c r="BG561" s="89" t="n"/>
      <c r="BH5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61">
        <f>_xlfn.LET(r,ROW(),oc,INDEX($A:$A,r),cv,TRIM(INDEX($Y:$Y,r)&amp;""),IF(oc&lt;&gt;"P1","",IF(cv="45","V45 - novo, nao alimentado pelo spool atual","V44 - alimentado pelo spool atual")))</f>
        <v/>
      </c>
    </row>
    <row r="562" ht="54" customFormat="1" customHeight="1" s="91">
      <c r="A562" s="306" t="inlineStr">
        <is>
          <t>P1</t>
        </is>
      </c>
      <c r="B562" s="307" t="n">
        <v>327</v>
      </c>
      <c r="C562" s="269" t="inlineStr">
        <is>
          <t>06 - Caractéristiques échéancier</t>
        </is>
      </c>
      <c r="D562" s="236" t="inlineStr">
        <is>
          <t>06 - Schedule characteristics</t>
        </is>
      </c>
      <c r="E562" s="307" t="inlineStr">
        <is>
          <t>P1 22.63</t>
        </is>
      </c>
      <c r="F562" s="622" t="inlineStr">
        <is>
          <t xml:space="preserve">Date de début de l'engagement renouvelé </t>
        </is>
      </c>
      <c r="G562" s="309" t="inlineStr">
        <is>
          <t>Start date of renewed commitment</t>
        </is>
      </c>
      <c r="H562" s="1493">
        <f>"RPAD( "&amp;SUBSTITUTE(SUBSTITUTE(E562," ","_"),".","_")&amp;","&amp;W562&amp;",' '); -- "&amp;E562</f>
        <v/>
      </c>
      <c r="I562" s="969" t="inlineStr">
        <is>
          <t xml:space="preserve">Date de début de validité de la ligne d'autorisation quand elle est renouvelée (pour tout type d'opérations renouvelables : découverts, revolving,…) </t>
        </is>
      </c>
      <c r="J562" s="968" t="inlineStr">
        <is>
          <t>Start date of validity of the authorisation line when it is renewed (for any type of renewable operations: overdrafts, revolving, etc.)</t>
        </is>
      </c>
      <c r="K562" s="370" t="inlineStr">
        <is>
          <t>ND</t>
        </is>
      </c>
      <c r="L562" s="371" t="inlineStr">
        <is>
          <t>ND</t>
        </is>
      </c>
      <c r="M562" s="1420" t="inlineStr">
        <is>
          <t>DdtDebEngRen</t>
        </is>
      </c>
      <c r="N562" s="623" t="inlineStr">
        <is>
          <t>Obligatoire (SC)</t>
        </is>
      </c>
      <c r="O562" s="371" t="inlineStr">
        <is>
          <t>Mandatory (SC)</t>
        </is>
      </c>
      <c r="P562" s="269" t="inlineStr">
        <is>
          <t>NA</t>
        </is>
      </c>
      <c r="Q562" s="269" t="inlineStr">
        <is>
          <t>NA</t>
        </is>
      </c>
      <c r="R562" s="967" t="inlineStr">
        <is>
          <t>La date de renouvellement correspond à la définition de la date d'origination, en cas de novation pour les opérations renouvelables et les restructurations commerciales, décrite dans les prinicipes IFRS9 Groupe. Les caractéristiques de risques à l'origination des opérations concernées sont mises à jour en date de renouvellement. Cette date doit être renseignée en cas de renouvellement et laisser à vide pour les autres opérations</t>
        </is>
      </c>
      <c r="S562" s="966" t="inlineStr">
        <is>
          <t>The renewal date corresponds to the definition of the date of origination, in case of novation for renewable transactions and commercial restructuring, described in IFRS9 Group principles. The risk characteristics at the origin of the transactions concerned are updated on the renewal date. This date must be entered in case of renewal and leave empty for other operations</t>
        </is>
      </c>
      <c r="T562" s="206" t="inlineStr">
        <is>
          <t>DATE</t>
        </is>
      </c>
      <c r="U562" s="237" t="inlineStr">
        <is>
          <t>AAAAMMJJ</t>
        </is>
      </c>
      <c r="V562" s="238" t="inlineStr">
        <is>
          <t>YYYYMMDD</t>
        </is>
      </c>
      <c r="W562" s="257" t="n">
        <v>8</v>
      </c>
      <c r="X562" s="945" t="inlineStr">
        <is>
          <t>NA</t>
        </is>
      </c>
      <c r="Y562" s="237" t="n">
        <v>41</v>
      </c>
      <c r="Z562" s="237" t="inlineStr">
        <is>
          <t>NA</t>
        </is>
      </c>
      <c r="AA562" s="283" t="inlineStr">
        <is>
          <t>45.00</t>
        </is>
      </c>
      <c r="AB562" s="269" t="inlineStr">
        <is>
          <t>OMP</t>
        </is>
      </c>
      <c r="AC562" s="231" t="inlineStr">
        <is>
          <t>ND</t>
        </is>
      </c>
      <c r="AD562" s="257" t="inlineStr">
        <is>
          <t>N</t>
        </is>
      </c>
      <c r="AE562" s="257" t="inlineStr">
        <is>
          <t xml:space="preserve">TRE2 à 4XX hors 203,205,206,207
TRE5XX
</t>
        </is>
      </c>
      <c r="AF562" s="257" t="inlineStr">
        <is>
          <t>NA</t>
        </is>
      </c>
      <c r="AG562" s="258" t="inlineStr">
        <is>
          <t>NA</t>
        </is>
      </c>
      <c r="AH562" s="89" t="n"/>
      <c r="AI562" s="316" t="n"/>
      <c r="AJ562" s="317" t="n"/>
      <c r="AK562" s="257" t="n"/>
      <c r="AL562" s="624" t="n"/>
      <c r="AM562" s="318" t="n"/>
      <c r="AN562" s="317" t="n"/>
      <c r="AO562" s="257" t="n"/>
      <c r="AP562" s="258" t="n"/>
      <c r="AQ562" s="318" t="inlineStr">
        <is>
          <t>Si renseignée, la donnée doit être supérieure ou égale à '19000101'</t>
        </is>
      </c>
      <c r="AR562" s="317" t="inlineStr">
        <is>
          <t>If filled, data must be greater or equal to '19000101'</t>
        </is>
      </c>
      <c r="AS562" s="257" t="n">
        <v>7</v>
      </c>
      <c r="AT562" s="258" t="inlineStr">
        <is>
          <t>TVG0005</t>
        </is>
      </c>
      <c r="AU562" s="963" t="inlineStr">
        <is>
          <t>Si renseignée, la date de début de l'engagement renouvelé doit être supérieure ou égale à la date de début de l'engagement
---
La donnée doit être inférieure ou égale à la date d'arrêté</t>
        </is>
      </c>
      <c r="AV562" s="964" t="inlineStr">
        <is>
          <t>If filled, the start date of renewed commitment must be higher or equal to the start date of commitment
---
Data must be lower or equal than closing date</t>
        </is>
      </c>
      <c r="AW562" s="965" t="n">
        <v>6</v>
      </c>
      <c r="AX562" s="959" t="inlineStr">
        <is>
          <t>TCS0900
TCG0004</t>
        </is>
      </c>
      <c r="AY562" s="318" t="n"/>
      <c r="AZ562" s="317" t="n"/>
      <c r="BA562" s="257" t="n"/>
      <c r="BB562" s="258" t="n"/>
      <c r="BC562" s="316" t="n"/>
      <c r="BD562" s="317" t="n"/>
      <c r="BE562" s="257" t="n"/>
      <c r="BF562" s="258" t="n"/>
      <c r="BG562" s="89" t="n"/>
      <c r="BH5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62">
        <f>_xlfn.LET(r,ROW(),oc,INDEX($A:$A,r),cv,TRIM(INDEX($Y:$Y,r)&amp;""),IF(oc&lt;&gt;"P1","",IF(cv="45","V45 - novo, nao alimentado pelo spool atual","V44 - alimentado pelo spool atual")))</f>
        <v/>
      </c>
    </row>
    <row r="563" ht="54" customFormat="1" customHeight="1" s="91">
      <c r="A563" s="306" t="inlineStr">
        <is>
          <t>P1</t>
        </is>
      </c>
      <c r="B563" s="307" t="n">
        <v>328</v>
      </c>
      <c r="C563" s="269" t="inlineStr">
        <is>
          <t>06 - Caractéristiques échéancier</t>
        </is>
      </c>
      <c r="D563" s="236" t="inlineStr">
        <is>
          <t>06 - Schedule characteristics</t>
        </is>
      </c>
      <c r="E563" s="307" t="inlineStr">
        <is>
          <t>P1 22.64</t>
        </is>
      </c>
      <c r="F563" s="278" t="inlineStr">
        <is>
          <t>Type de prêt habitat</t>
        </is>
      </c>
      <c r="G563" s="160" t="inlineStr">
        <is>
          <t>Home loan type</t>
        </is>
      </c>
      <c r="H563" s="1493">
        <f>"RPAD( "&amp;SUBSTITUTE(SUBSTITUTE(E563," ","_"),".","_")&amp;","&amp;W563&amp;",' '); -- "&amp;E563</f>
        <v/>
      </c>
      <c r="I563" s="278" t="inlineStr">
        <is>
          <t>Le type de prêt permet d'identifier si le prêt est un prêt principal, un prêt relai, un prêt travaux</t>
        </is>
      </c>
      <c r="J563" s="160" t="inlineStr">
        <is>
          <t>The loan type identifies if the loan is a principal loan, bridging loan or loan for works</t>
        </is>
      </c>
      <c r="K563" s="370" t="inlineStr">
        <is>
          <t>ND</t>
        </is>
      </c>
      <c r="L563" s="371" t="inlineStr">
        <is>
          <t>ND</t>
        </is>
      </c>
      <c r="M563" s="1420" t="inlineStr">
        <is>
          <t>Typret</t>
        </is>
      </c>
      <c r="N563" s="257" t="inlineStr">
        <is>
          <t>Obligatoire sous conditions</t>
        </is>
      </c>
      <c r="O563" s="371" t="inlineStr">
        <is>
          <t>Mandatory under conditions</t>
        </is>
      </c>
      <c r="P563" s="269" t="inlineStr">
        <is>
          <t>LC.0246</t>
        </is>
      </c>
      <c r="Q563" s="269" t="inlineStr">
        <is>
          <t>RB TG316</t>
        </is>
      </c>
      <c r="R563" s="241" t="inlineStr">
        <is>
          <t>Si prêt immobilier commercial</t>
        </is>
      </c>
      <c r="S563" s="233" t="inlineStr">
        <is>
          <t>If commercial real estate loan</t>
        </is>
      </c>
      <c r="T563" s="307" t="inlineStr">
        <is>
          <t>ALPHA</t>
        </is>
      </c>
      <c r="U563" s="237" t="inlineStr">
        <is>
          <t>NA</t>
        </is>
      </c>
      <c r="V563" s="238" t="inlineStr">
        <is>
          <t>NA</t>
        </is>
      </c>
      <c r="W563" s="257" t="n">
        <v>2</v>
      </c>
      <c r="X563" s="945" t="inlineStr">
        <is>
          <t>NA</t>
        </is>
      </c>
      <c r="Y563" s="237" t="n">
        <v>41</v>
      </c>
      <c r="Z563" s="237" t="inlineStr">
        <is>
          <t>NA</t>
        </is>
      </c>
      <c r="AA563" s="283" t="inlineStr">
        <is>
          <t>NA</t>
        </is>
      </c>
      <c r="AB563" s="269" t="inlineStr">
        <is>
          <t>NZBA</t>
        </is>
      </c>
      <c r="AC563" s="231" t="inlineStr">
        <is>
          <t>ND</t>
        </is>
      </c>
      <c r="AD563" s="257" t="inlineStr">
        <is>
          <t>N</t>
        </is>
      </c>
      <c r="AE563" s="257" t="inlineStr">
        <is>
          <t xml:space="preserve">TRE2 à 4XX hors 203,205,206,207
TRE5XX
</t>
        </is>
      </c>
      <c r="AF563" s="257" t="inlineStr">
        <is>
          <t>NA</t>
        </is>
      </c>
      <c r="AG563" s="258" t="inlineStr">
        <is>
          <t>NA</t>
        </is>
      </c>
      <c r="AH563" s="89" t="n"/>
      <c r="AI563" s="619" t="inlineStr">
        <is>
          <t>La donnée est obligatoire, si le type de risque [P1 2.0] = 'TRExx' (hors 'TRE203, TRE205, TRE206, TRE207'), 'SIGxx' ET si l'Usage du bien immobilier financé [P1 8.13] ='2'</t>
        </is>
      </c>
      <c r="AJ563" s="317" t="inlineStr">
        <is>
          <t>The data is mandatory, if the Risk type [P1 2.0] = 'TRExx' (except 'TRE203, TRE205, TRE206, TRE207'), 'SIGxx' AND if Use of financed property [P1 8.13] ='2'</t>
        </is>
      </c>
      <c r="AK563" s="257" t="n">
        <v>6</v>
      </c>
      <c r="AL563" s="335" t="inlineStr">
        <is>
          <t>TPS0865</t>
        </is>
      </c>
      <c r="AM563" s="318" t="inlineStr">
        <is>
          <t>Si elle est renseignée, la valeur doit être connue du Langage Commun associé</t>
        </is>
      </c>
      <c r="AN563" s="317" t="inlineStr">
        <is>
          <t>If specified, the value must be known to the associated Common Language</t>
        </is>
      </c>
      <c r="AO563" s="257" t="n">
        <v>7</v>
      </c>
      <c r="AP563" s="212" t="inlineStr">
        <is>
          <t>TIG0001</t>
        </is>
      </c>
      <c r="AQ563" s="318" t="n"/>
      <c r="AR563" s="317" t="n"/>
      <c r="AS563" s="257" t="n"/>
      <c r="AT563" s="258" t="n"/>
      <c r="AU563" s="318" t="n"/>
      <c r="AV563" s="317" t="n"/>
      <c r="AW563" s="257" t="n"/>
      <c r="AX563" s="258" t="n"/>
      <c r="AY563" s="318" t="n"/>
      <c r="AZ563" s="317" t="n"/>
      <c r="BA563" s="257" t="n"/>
      <c r="BB563" s="258" t="n"/>
      <c r="BC563" s="316" t="n"/>
      <c r="BD563" s="317" t="n"/>
      <c r="BE563" s="257" t="n"/>
      <c r="BF563" s="258" t="n"/>
      <c r="BG563" s="89" t="n"/>
      <c r="BH5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63">
        <f>_xlfn.LET(r,ROW(),oc,INDEX($A:$A,r),cv,TRIM(INDEX($Y:$Y,r)&amp;""),IF(oc&lt;&gt;"P1","",IF(cv="45","V45 - novo, nao alimentado pelo spool atual","V44 - alimentado pelo spool atual")))</f>
        <v/>
      </c>
    </row>
    <row r="564" ht="54.6" customFormat="1" customHeight="1" s="91">
      <c r="A564" s="306" t="inlineStr">
        <is>
          <t>P1</t>
        </is>
      </c>
      <c r="B564" s="307" t="n">
        <v>329</v>
      </c>
      <c r="C564" s="269" t="inlineStr">
        <is>
          <t>22 - Caractéristiques de taux</t>
        </is>
      </c>
      <c r="D564" s="236" t="inlineStr">
        <is>
          <t>22 - Rate characteristics</t>
        </is>
      </c>
      <c r="E564" s="307" t="inlineStr">
        <is>
          <t>P1 22.65</t>
        </is>
      </c>
      <c r="F564" s="375" t="inlineStr">
        <is>
          <t>Taux d'endettement à l'octroi</t>
        </is>
      </c>
      <c r="G564" s="309" t="inlineStr">
        <is>
          <t>Rate of indebtedness granted</t>
        </is>
      </c>
      <c r="H564" s="1493">
        <f>"RPAD( "&amp;SUBSTITUTE(SUBSTITUTE(E564," ","_"),".","_")&amp;","&amp;W564&amp;",' '); -- "&amp;E564</f>
        <v/>
      </c>
      <c r="I564" s="590" t="inlineStr">
        <is>
          <t>Le taux d'endettement est le taux utilisé par les métiers pour analyser la capacité de remboursement de l'emprunteur. Ce taux rapporte l'ensemble des charges de l'emprunteur (telles que définies par chaque entité dans sa politique d'octroi) à ses revenus : charges de remboursement des crédits et toutes les charges récurrentes du client (loyers, assurances, etc).
Exprimé en %</t>
        </is>
      </c>
      <c r="J564" s="160" t="inlineStr">
        <is>
          <t>The debt ratio is the rate used by the business lines to analyze the borrower's repayment capacity. This rate relates all of the borrower's expenses (as defined by each entity in its grant policy) to his income: repayment expenses and all recurring expenses (rent, insurance, etc).
Expressed as %</t>
        </is>
      </c>
      <c r="K564" s="370" t="inlineStr">
        <is>
          <t>ND</t>
        </is>
      </c>
      <c r="L564" s="371" t="inlineStr">
        <is>
          <t>ND</t>
        </is>
      </c>
      <c r="M564" s="1420" t="inlineStr">
        <is>
          <t>TxEndettOctroi</t>
        </is>
      </c>
      <c r="N564" s="257" t="inlineStr">
        <is>
          <t>Obligatoire sous conditions</t>
        </is>
      </c>
      <c r="O564" s="371" t="inlineStr">
        <is>
          <t>Mandatory under conditions</t>
        </is>
      </c>
      <c r="P564" s="269" t="inlineStr">
        <is>
          <t>NA</t>
        </is>
      </c>
      <c r="Q564" s="269" t="inlineStr">
        <is>
          <t>NA</t>
        </is>
      </c>
      <c r="R564" s="241" t="inlineStr">
        <is>
          <t>NA</t>
        </is>
      </c>
      <c r="S564" s="233" t="inlineStr">
        <is>
          <t>NA</t>
        </is>
      </c>
      <c r="T564" s="307" t="inlineStr">
        <is>
          <t>NUM</t>
        </is>
      </c>
      <c r="U564" s="237" t="inlineStr">
        <is>
          <t>10 dont signe et 5 décimales</t>
        </is>
      </c>
      <c r="V564" s="238" t="inlineStr">
        <is>
          <t>10 including sign and 5 decimals</t>
        </is>
      </c>
      <c r="W564" s="257" t="n">
        <v>10</v>
      </c>
      <c r="X564" s="945" t="inlineStr">
        <is>
          <t>NA</t>
        </is>
      </c>
      <c r="Y564" s="237" t="n">
        <v>41</v>
      </c>
      <c r="Z564" s="237" t="inlineStr">
        <is>
          <t>NA</t>
        </is>
      </c>
      <c r="AA564" s="283" t="inlineStr">
        <is>
          <t>NA</t>
        </is>
      </c>
      <c r="AB564" s="269" t="inlineStr">
        <is>
          <t>OCTROI DE CREDIT</t>
        </is>
      </c>
      <c r="AC564" s="231" t="inlineStr">
        <is>
          <t>ND</t>
        </is>
      </c>
      <c r="AD564" s="257" t="inlineStr">
        <is>
          <t>N</t>
        </is>
      </c>
      <c r="AE564" s="1401" t="inlineStr">
        <is>
          <t>TRE2 à 4XX hors 203,205,206,207
TRE5XX</t>
        </is>
      </c>
      <c r="AF564" s="257" t="inlineStr">
        <is>
          <t>NA</t>
        </is>
      </c>
      <c r="AG564" s="258" t="inlineStr">
        <is>
          <t>NA</t>
        </is>
      </c>
      <c r="AH564" s="89" t="n"/>
      <c r="AI564" s="487" t="inlineStr">
        <is>
          <t>La donnée est obligatoire, si le type de risque [P1 2.0] = 'TRExx' (hors 'TRE203, TRE205, TRE206, TRE207'), 'SIGxx' ET si l'Usage du bien immobilier financé [P1 8.13] ='2'</t>
        </is>
      </c>
      <c r="AJ564" s="317" t="inlineStr">
        <is>
          <t>The data is mandatory, if the Risk type [P1 2.0] = 'TRExx' (except 'TRE203, TRE205, TRE206, TRE207'), 'SIGxx' AND if Use of financed property [P1 8.13] ='2'</t>
        </is>
      </c>
      <c r="AK564" s="257" t="n">
        <v>5</v>
      </c>
      <c r="AL564" s="335" t="inlineStr">
        <is>
          <t>TPS0865</t>
        </is>
      </c>
      <c r="AM564" s="318" t="n"/>
      <c r="AN564" s="317" t="n"/>
      <c r="AO564" s="257" t="n"/>
      <c r="AP564" s="258" t="n"/>
      <c r="AQ564" s="322" t="inlineStr">
        <is>
          <t>Si renseignée, la donnée doit être positive (supérieure ou égale à 0)</t>
        </is>
      </c>
      <c r="AR564" s="317" t="inlineStr">
        <is>
          <t xml:space="preserve">If filled, data must be positive (greater or equal to 0) </t>
        </is>
      </c>
      <c r="AS564" s="257" t="n">
        <v>7</v>
      </c>
      <c r="AT564" s="345" t="inlineStr">
        <is>
          <t>TVG0001</t>
        </is>
      </c>
      <c r="AU564" s="318" t="n"/>
      <c r="AV564" s="317" t="n"/>
      <c r="AW564" s="257" t="n"/>
      <c r="AX564" s="258" t="n"/>
      <c r="AY564" s="318" t="n"/>
      <c r="AZ564" s="317" t="n"/>
      <c r="BA564" s="257" t="n"/>
      <c r="BB564" s="258" t="n"/>
      <c r="BC564" s="316" t="n"/>
      <c r="BD564" s="317" t="n"/>
      <c r="BE564" s="257" t="n"/>
      <c r="BF564" s="258" t="n"/>
      <c r="BG564" s="89" t="n"/>
      <c r="BH5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64">
        <f>_xlfn.LET(r,ROW(),oc,INDEX($A:$A,r),cv,TRIM(INDEX($Y:$Y,r)&amp;""),IF(oc&lt;&gt;"P1","",IF(cv="45","V45 - novo, nao alimentado pelo spool atual","V44 - alimentado pelo spool atual")))</f>
        <v/>
      </c>
    </row>
    <row r="565" ht="54" customFormat="1" customHeight="1" s="91">
      <c r="A565" s="306" t="inlineStr">
        <is>
          <t>P1</t>
        </is>
      </c>
      <c r="B565" s="307" t="n">
        <v>330</v>
      </c>
      <c r="C565" s="269" t="inlineStr">
        <is>
          <t>06 - Caractéristiques échéancier</t>
        </is>
      </c>
      <c r="D565" s="236" t="inlineStr">
        <is>
          <t>06 - Schedule characteristics</t>
        </is>
      </c>
      <c r="E565" s="372" t="inlineStr">
        <is>
          <t>P1 22.66</t>
        </is>
      </c>
      <c r="F565" s="470" t="inlineStr">
        <is>
          <t>Pays de juridiction du contrat</t>
        </is>
      </c>
      <c r="G565" s="309" t="inlineStr">
        <is>
          <t>Country of jurisdiction of the contract</t>
        </is>
      </c>
      <c r="H565" s="1493">
        <f>"RPAD( "&amp;SUBSTITUTE(SUBSTITUTE(E565," ","_"),".","_")&amp;","&amp;W565&amp;",' '); -- "&amp;E565</f>
        <v/>
      </c>
      <c r="I565" s="241" t="inlineStr">
        <is>
          <t>Code du pays de juridiction du contrat en norme ISO2</t>
        </is>
      </c>
      <c r="J565" s="309" t="inlineStr">
        <is>
          <t>Country Code of jurisdiction of contract</t>
        </is>
      </c>
      <c r="K565" s="370" t="inlineStr">
        <is>
          <t>ND</t>
        </is>
      </c>
      <c r="L565" s="371" t="inlineStr">
        <is>
          <t>ND</t>
        </is>
      </c>
      <c r="M565" s="1420" t="inlineStr">
        <is>
          <t>cdPaysJuriContr</t>
        </is>
      </c>
      <c r="N565" s="257" t="inlineStr">
        <is>
          <t>Obligatoire sous conditions</t>
        </is>
      </c>
      <c r="O565" s="371" t="inlineStr">
        <is>
          <t>Mandatory under conditions</t>
        </is>
      </c>
      <c r="P565" s="269" t="inlineStr">
        <is>
          <t>LC.0004
LC.0273</t>
        </is>
      </c>
      <c r="Q565" s="269" t="inlineStr">
        <is>
          <t>TA NM252 (pour la partie ISO 3166)
TA NM258 (organisation supra nationales)</t>
        </is>
      </c>
      <c r="R565" s="241" t="inlineStr">
        <is>
          <t>NA</t>
        </is>
      </c>
      <c r="S565" s="233" t="inlineStr">
        <is>
          <t>NA</t>
        </is>
      </c>
      <c r="T565" s="307" t="inlineStr">
        <is>
          <t>ALPHA</t>
        </is>
      </c>
      <c r="U565" s="237" t="inlineStr">
        <is>
          <t>NA</t>
        </is>
      </c>
      <c r="V565" s="238" t="inlineStr">
        <is>
          <t>NA</t>
        </is>
      </c>
      <c r="W565" s="269" t="n">
        <v>2</v>
      </c>
      <c r="X565" s="231" t="inlineStr">
        <is>
          <t>NA</t>
        </is>
      </c>
      <c r="Y565" s="237" t="n">
        <v>42</v>
      </c>
      <c r="Z565" s="237" t="inlineStr">
        <is>
          <t>NA</t>
        </is>
      </c>
      <c r="AA565" s="237" t="inlineStr">
        <is>
          <t>NA</t>
        </is>
      </c>
      <c r="AB565" s="269" t="inlineStr">
        <is>
          <t>MREL, SRB VALUATION</t>
        </is>
      </c>
      <c r="AC565" s="231" t="inlineStr">
        <is>
          <t>ND</t>
        </is>
      </c>
      <c r="AD565" s="257" t="inlineStr">
        <is>
          <t>N</t>
        </is>
      </c>
      <c r="AE565" s="971" t="inlineStr">
        <is>
          <t>TRE2 à 4XX hors 203,205,206,207
TRE5XX
SIG
VAR*
INT</t>
        </is>
      </c>
      <c r="AF565" s="257" t="inlineStr">
        <is>
          <t>NA</t>
        </is>
      </c>
      <c r="AG565" s="258" t="inlineStr">
        <is>
          <t>NA</t>
        </is>
      </c>
      <c r="AH565" s="89" t="n"/>
      <c r="AI565" s="435" t="inlineStr">
        <is>
          <t>La donnée est obligatoire, si le type de risque [P1 2.0] est égal à 'TRE2xx' à 'TRE5xx', 'SIGxx', 'VARxx', 'INTxx' hors ('TRE203', 'TRE205', 'TRE206', 'TRE207')</t>
        </is>
      </c>
      <c r="AJ565" s="317" t="inlineStr">
        <is>
          <t>The data is mandatory, if Risk type [P1 2.0] is equal to 'TRE2xx' to 'TRE5xx', 'SIGxx', 'VARxx', 'INTxx' except ('TRE203', 'TRE205', 'TRE206', 'TRE207')</t>
        </is>
      </c>
      <c r="AK565" s="257" t="n">
        <v>6</v>
      </c>
      <c r="AL565" s="366" t="inlineStr">
        <is>
          <t>TPS0868</t>
        </is>
      </c>
      <c r="AM565" s="318" t="inlineStr">
        <is>
          <t>Si elle est renseignée, la valeur doit être connue du Langage Commun associé</t>
        </is>
      </c>
      <c r="AN565" s="317" t="inlineStr">
        <is>
          <t>If specified, the value must be known to the associated Common Language</t>
        </is>
      </c>
      <c r="AO565" s="257" t="n">
        <v>7</v>
      </c>
      <c r="AP565" s="212" t="inlineStr">
        <is>
          <t>TIG0001</t>
        </is>
      </c>
      <c r="AQ565" s="318" t="n"/>
      <c r="AR565" s="317" t="n"/>
      <c r="AS565" s="257" t="n"/>
      <c r="AT565" s="258" t="n"/>
      <c r="AU565" s="318" t="n"/>
      <c r="AV565" s="317" t="n"/>
      <c r="AW565" s="257" t="n"/>
      <c r="AX565" s="258" t="n"/>
      <c r="AY565" s="318" t="n"/>
      <c r="AZ565" s="317" t="n"/>
      <c r="BA565" s="257" t="n"/>
      <c r="BB565" s="258" t="n"/>
      <c r="BC565" s="316" t="n"/>
      <c r="BD565" s="317" t="n"/>
      <c r="BE565" s="257" t="n"/>
      <c r="BF565" s="258" t="n"/>
      <c r="BG565" s="89" t="n"/>
      <c r="BH5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65">
        <f>_xlfn.LET(r,ROW(),oc,INDEX($A:$A,r),cv,TRIM(INDEX($Y:$Y,r)&amp;""),IF(oc&lt;&gt;"P1","",IF(cv="45","V45 - novo, nao alimentado pelo spool atual","V44 - alimentado pelo spool atual")))</f>
        <v/>
      </c>
    </row>
    <row r="566" ht="54" customFormat="1" customHeight="1" s="91">
      <c r="A566" s="306" t="inlineStr">
        <is>
          <t>P1</t>
        </is>
      </c>
      <c r="B566" s="307" t="n">
        <v>331</v>
      </c>
      <c r="C566" s="269" t="inlineStr">
        <is>
          <t>06 - Caractéristiques échéancier</t>
        </is>
      </c>
      <c r="D566" s="236" t="inlineStr">
        <is>
          <t>06 - Schedule characteristics</t>
        </is>
      </c>
      <c r="E566" s="372" t="inlineStr">
        <is>
          <t>P1 22.67</t>
        </is>
      </c>
      <c r="F566" s="308" t="inlineStr">
        <is>
          <t>Date de signature du contrat initial</t>
        </is>
      </c>
      <c r="G566" s="309" t="inlineStr">
        <is>
          <t>Date of signature of the initial contract</t>
        </is>
      </c>
      <c r="H566" s="1493">
        <f>"RPAD( "&amp;SUBSTITUTE(SUBSTITUTE(E566," ","_"),".","_")&amp;","&amp;W566&amp;",' '); -- "&amp;E566</f>
        <v/>
      </c>
      <c r="I566" s="241" t="inlineStr">
        <is>
          <t>Date de signature du contrat initial</t>
        </is>
      </c>
      <c r="J566" s="309" t="inlineStr">
        <is>
          <t>Date of signature of the initial contract</t>
        </is>
      </c>
      <c r="K566" s="370" t="inlineStr">
        <is>
          <t>ND</t>
        </is>
      </c>
      <c r="L566" s="371" t="inlineStr">
        <is>
          <t>ND</t>
        </is>
      </c>
      <c r="M566" s="1420" t="inlineStr">
        <is>
          <t>dtSigCtrtInit</t>
        </is>
      </c>
      <c r="N566" s="257" t="inlineStr">
        <is>
          <t>Obligatoire sous conditions</t>
        </is>
      </c>
      <c r="O566" s="371" t="inlineStr">
        <is>
          <t>Mandatory under conditions</t>
        </is>
      </c>
      <c r="P566" s="269" t="inlineStr">
        <is>
          <t>NA</t>
        </is>
      </c>
      <c r="Q566" s="269" t="inlineStr">
        <is>
          <t>NA</t>
        </is>
      </c>
      <c r="R566" s="241" t="inlineStr">
        <is>
          <t>NA</t>
        </is>
      </c>
      <c r="S566" s="233" t="inlineStr">
        <is>
          <t>NA</t>
        </is>
      </c>
      <c r="T566" s="206" t="inlineStr">
        <is>
          <t>DATE</t>
        </is>
      </c>
      <c r="U566" s="237" t="inlineStr">
        <is>
          <t>AAAAMMJJ</t>
        </is>
      </c>
      <c r="V566" s="238" t="inlineStr">
        <is>
          <t>YYYYMMDD</t>
        </is>
      </c>
      <c r="W566" s="269" t="n">
        <v>8</v>
      </c>
      <c r="X566" s="231" t="inlineStr">
        <is>
          <t>NA</t>
        </is>
      </c>
      <c r="Y566" s="237" t="n">
        <v>42</v>
      </c>
      <c r="Z566" s="237" t="inlineStr">
        <is>
          <t>NA</t>
        </is>
      </c>
      <c r="AA566" s="283" t="inlineStr">
        <is>
          <t>NA</t>
        </is>
      </c>
      <c r="AB566" s="269" t="inlineStr">
        <is>
          <t>ANACREDIT, ASTRE, LOAN TAPE, NPE, NZBA</t>
        </is>
      </c>
      <c r="AC566" s="231" t="inlineStr">
        <is>
          <t>ND</t>
        </is>
      </c>
      <c r="AD566" s="257" t="inlineStr">
        <is>
          <t>N</t>
        </is>
      </c>
      <c r="AE566" s="257" t="inlineStr">
        <is>
          <t xml:space="preserve">TRE100
TRE2 à 4XX hors 203,205,206,207
TRE5XX
SIG
VAR105 et 302
</t>
        </is>
      </c>
      <c r="AF566" s="257" t="inlineStr">
        <is>
          <t>NA</t>
        </is>
      </c>
      <c r="AG566" s="258" t="inlineStr">
        <is>
          <t>NA</t>
        </is>
      </c>
      <c r="AH566" s="89" t="n"/>
      <c r="AI566" s="425" t="inlineStr">
        <is>
          <t>La donnée est obligatoire si le type de risque [P1 2.0] = 'TRE100, TRE2xx à TRE5xx, SIGxx, VAR105, VAR302 (sauf TRE203, TRE205, TRE206, TRE207)'</t>
        </is>
      </c>
      <c r="AJ566" s="317" t="inlineStr">
        <is>
          <t>The data is mandatory if risk type [P1 2.0] = 'TRE100, TRE2xx to TRE5xx, SIGxx, VAR105, VAR302 (except TRE203, TRE205, TRE206, TRE207)'</t>
        </is>
      </c>
      <c r="AK566" s="257" t="n">
        <v>6</v>
      </c>
      <c r="AL566" s="625" t="inlineStr">
        <is>
          <t>TPS0948</t>
        </is>
      </c>
      <c r="AM566" s="318" t="n"/>
      <c r="AN566" s="317" t="n"/>
      <c r="AO566" s="257" t="n"/>
      <c r="AP566" s="258" t="n"/>
      <c r="AQ566" s="318" t="inlineStr">
        <is>
          <t>Si renseignée, la donnée doit être supérieure ou égale à '19000101'</t>
        </is>
      </c>
      <c r="AR566" s="317" t="inlineStr">
        <is>
          <t>If filled, data must be greater or equal to '19000101'</t>
        </is>
      </c>
      <c r="AS566" s="257" t="n">
        <v>7</v>
      </c>
      <c r="AT566" s="258" t="inlineStr">
        <is>
          <t>TVG0005</t>
        </is>
      </c>
      <c r="AU566" s="318" t="inlineStr">
        <is>
          <t>La donnée doit être inférieure ou égale à la date d'arrêté</t>
        </is>
      </c>
      <c r="AV566" s="317" t="inlineStr">
        <is>
          <t>Data must be lower or equal than closing date</t>
        </is>
      </c>
      <c r="AW566" s="257" t="n">
        <v>6</v>
      </c>
      <c r="AX566" s="626" t="inlineStr">
        <is>
          <t>TCG0004</t>
        </is>
      </c>
      <c r="AY566" s="318" t="n"/>
      <c r="AZ566" s="317" t="n"/>
      <c r="BA566" s="257" t="n"/>
      <c r="BB566" s="258" t="n"/>
      <c r="BC566" s="316" t="n"/>
      <c r="BD566" s="317" t="n"/>
      <c r="BE566" s="257" t="n"/>
      <c r="BF566" s="258" t="n"/>
      <c r="BG566" s="89" t="n"/>
      <c r="BH5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66">
        <f>_xlfn.LET(r,ROW(),oc,INDEX($A:$A,r),cv,TRIM(INDEX($Y:$Y,r)&amp;""),IF(oc&lt;&gt;"P1","",IF(cv="45","V45 - novo, nao alimentado pelo spool atual","V44 - alimentado pelo spool atual")))</f>
        <v/>
      </c>
    </row>
    <row r="567" ht="54" customFormat="1" customHeight="1" s="91">
      <c r="A567" s="306" t="inlineStr">
        <is>
          <t>P1</t>
        </is>
      </c>
      <c r="B567" s="307" t="n">
        <v>332</v>
      </c>
      <c r="C567" s="269" t="inlineStr">
        <is>
          <t>06 - Caractéristiques échéancier</t>
        </is>
      </c>
      <c r="D567" s="236" t="inlineStr">
        <is>
          <t>06 - Schedule characteristics</t>
        </is>
      </c>
      <c r="E567" s="372" t="inlineStr">
        <is>
          <t>P1 22.68</t>
        </is>
      </c>
      <c r="F567" s="308" t="inlineStr">
        <is>
          <t>Evénement déclencheur de la garantie</t>
        </is>
      </c>
      <c r="G567" s="309" t="inlineStr">
        <is>
          <t>Guarantee Trigger</t>
        </is>
      </c>
      <c r="H567" s="1493">
        <f>"RPAD( "&amp;SUBSTITUTE(SUBSTITUTE(E567," ","_"),".","_")&amp;","&amp;W567&amp;",' '); -- "&amp;E567</f>
        <v/>
      </c>
      <c r="I567" s="241" t="inlineStr">
        <is>
          <t>Evénement susceptible de déclencher la mise en jeu de la garantie (ex défaut, solvabilité...)</t>
        </is>
      </c>
      <c r="J567" s="309" t="inlineStr">
        <is>
          <t>Event susceptible to trigger the involvement of the guarantee (ex. default, solvency, liquidity, others)</t>
        </is>
      </c>
      <c r="K567" s="370" t="inlineStr">
        <is>
          <t>ND</t>
        </is>
      </c>
      <c r="L567" s="371" t="inlineStr">
        <is>
          <t>ND</t>
        </is>
      </c>
      <c r="M567" s="1420" t="inlineStr">
        <is>
          <t>cdEventDeclenGar</t>
        </is>
      </c>
      <c r="N567" s="257" t="inlineStr">
        <is>
          <t>Obligatoire sous conditions</t>
        </is>
      </c>
      <c r="O567" s="371" t="inlineStr">
        <is>
          <t>Mandatory under conditions</t>
        </is>
      </c>
      <c r="P567" s="269" t="inlineStr">
        <is>
          <t>LC.0295</t>
        </is>
      </c>
      <c r="Q567" s="269" t="inlineStr">
        <is>
          <t>TA KVEVDEGA</t>
        </is>
      </c>
      <c r="R567" s="241" t="inlineStr">
        <is>
          <t>NA</t>
        </is>
      </c>
      <c r="S567" s="233" t="inlineStr">
        <is>
          <t>NA</t>
        </is>
      </c>
      <c r="T567" s="307" t="inlineStr">
        <is>
          <t>ALPHA</t>
        </is>
      </c>
      <c r="U567" s="237" t="inlineStr">
        <is>
          <t>NA</t>
        </is>
      </c>
      <c r="V567" s="238" t="inlineStr">
        <is>
          <t>NA</t>
        </is>
      </c>
      <c r="W567" s="269" t="n">
        <v>2</v>
      </c>
      <c r="X567" s="231" t="inlineStr">
        <is>
          <t>NA</t>
        </is>
      </c>
      <c r="Y567" s="237" t="n">
        <v>42</v>
      </c>
      <c r="Z567" s="237" t="inlineStr">
        <is>
          <t>NA</t>
        </is>
      </c>
      <c r="AA567" s="237" t="inlineStr">
        <is>
          <t>NA</t>
        </is>
      </c>
      <c r="AB567" s="269" t="inlineStr">
        <is>
          <t>CONGLOMERATS, MREL</t>
        </is>
      </c>
      <c r="AC567" s="231" t="inlineStr">
        <is>
          <t>ND</t>
        </is>
      </c>
      <c r="AD567" s="257" t="inlineStr">
        <is>
          <t>N</t>
        </is>
      </c>
      <c r="AE567" s="257" t="inlineStr">
        <is>
          <t>SIG2xx</t>
        </is>
      </c>
      <c r="AF567" s="257" t="inlineStr">
        <is>
          <t>NA</t>
        </is>
      </c>
      <c r="AG567" s="258" t="inlineStr">
        <is>
          <t>NA</t>
        </is>
      </c>
      <c r="AH567" s="89" t="n"/>
      <c r="AI567" s="939" t="inlineStr">
        <is>
          <t xml:space="preserve">La donnée est obligatoire si le type de risque [P1 2.0] = 'SIG2xx' </t>
        </is>
      </c>
      <c r="AJ567" s="317" t="inlineStr">
        <is>
          <t xml:space="preserve">The data is mandatory if risk type [P1 2.0] = 'SIG2xx' </t>
        </is>
      </c>
      <c r="AK567" s="257" t="n">
        <v>6</v>
      </c>
      <c r="AL567" s="335" t="inlineStr">
        <is>
          <t>TPS0869</t>
        </is>
      </c>
      <c r="AM567" s="318" t="inlineStr">
        <is>
          <t>Si elle est renseignée, la valeur doit être connue du Langage Commun associé</t>
        </is>
      </c>
      <c r="AN567" s="317" t="inlineStr">
        <is>
          <t>If specified, the value must be known to the associated Common Language</t>
        </is>
      </c>
      <c r="AO567" s="257" t="n">
        <v>7</v>
      </c>
      <c r="AP567" s="212" t="inlineStr">
        <is>
          <t>TIG0001</t>
        </is>
      </c>
      <c r="AQ567" s="318" t="n"/>
      <c r="AR567" s="317" t="n"/>
      <c r="AS567" s="257" t="n"/>
      <c r="AT567" s="258" t="n"/>
      <c r="AU567" s="318" t="n"/>
      <c r="AV567" s="317" t="n"/>
      <c r="AW567" s="257" t="n"/>
      <c r="AX567" s="258" t="n"/>
      <c r="AY567" s="318" t="n"/>
      <c r="AZ567" s="317" t="n"/>
      <c r="BA567" s="257" t="n"/>
      <c r="BB567" s="258" t="n"/>
      <c r="BC567" s="316" t="n"/>
      <c r="BD567" s="317" t="n"/>
      <c r="BE567" s="257" t="n"/>
      <c r="BF567" s="258" t="n"/>
      <c r="BG567" s="89" t="n"/>
      <c r="BH5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67">
        <f>_xlfn.LET(r,ROW(),oc,INDEX($A:$A,r),cv,TRIM(INDEX($Y:$Y,r)&amp;""),IF(oc&lt;&gt;"P1","",IF(cv="45","V45 - novo, nao alimentado pelo spool atual","V44 - alimentado pelo spool atual")))</f>
        <v/>
      </c>
    </row>
    <row r="568" ht="54" customFormat="1" customHeight="1" s="91">
      <c r="A568" s="306" t="inlineStr">
        <is>
          <t>P1</t>
        </is>
      </c>
      <c r="B568" s="307" t="n">
        <v>333</v>
      </c>
      <c r="C568" s="269" t="inlineStr">
        <is>
          <t>06 - Caractéristiques échéancier</t>
        </is>
      </c>
      <c r="D568" s="236" t="inlineStr">
        <is>
          <t>06 - Schedule characteristics</t>
        </is>
      </c>
      <c r="E568" s="372" t="inlineStr">
        <is>
          <t>P1 22.69</t>
        </is>
      </c>
      <c r="F568" s="627" t="inlineStr">
        <is>
          <t xml:space="preserve">Indicateur Différé carte de paiement </t>
        </is>
      </c>
      <c r="G568" s="309" t="inlineStr">
        <is>
          <t>Credit granted via delayed debit cards indicator</t>
        </is>
      </c>
      <c r="H568" s="1493">
        <f>"RPAD( "&amp;SUBSTITUTE(SUBSTITUTE(E568," ","_"),".","_")&amp;","&amp;W568&amp;",' '); -- "&amp;E568</f>
        <v/>
      </c>
      <c r="I568" s="241" t="inlineStr">
        <is>
          <t>Permet de distinguer les différés de paiement sur cartes de crédit dans les engagements déclarés en TRE201 (Découvert)</t>
        </is>
      </c>
      <c r="J568" s="309" t="inlineStr">
        <is>
          <t>Allows to distinguish the recordings of payment on cards credit in the commitments declared in TRE201 (overdraft)</t>
        </is>
      </c>
      <c r="K568" s="370" t="inlineStr">
        <is>
          <t>ND</t>
        </is>
      </c>
      <c r="L568" s="371" t="inlineStr">
        <is>
          <t>ND</t>
        </is>
      </c>
      <c r="M568" s="1420" t="inlineStr">
        <is>
          <t>indDiffCartePaie</t>
        </is>
      </c>
      <c r="N568" s="257" t="inlineStr">
        <is>
          <t>Obligatoire sous conditions</t>
        </is>
      </c>
      <c r="O568" s="371" t="inlineStr">
        <is>
          <t>Mandatory under conditions</t>
        </is>
      </c>
      <c r="P568" s="269" t="inlineStr">
        <is>
          <t>LC.0301</t>
        </is>
      </c>
      <c r="Q568" s="269" t="inlineStr">
        <is>
          <t>TA KVIDIFCP</t>
        </is>
      </c>
      <c r="R568" s="241" t="inlineStr">
        <is>
          <t>Obligatoire pour les engagements déclarés en TRE201 (Découvert), sinon non applicable (renseigner à vide)</t>
        </is>
      </c>
      <c r="S568" s="233" t="inlineStr">
        <is>
          <t>Mandatory for funds in use reported in TRE201 (Discovery), otherwise not applicable (empty)</t>
        </is>
      </c>
      <c r="T568" s="307" t="inlineStr">
        <is>
          <t>ALPHA</t>
        </is>
      </c>
      <c r="U568" s="237" t="inlineStr">
        <is>
          <t>NA</t>
        </is>
      </c>
      <c r="V568" s="238" t="inlineStr">
        <is>
          <t>NA</t>
        </is>
      </c>
      <c r="W568" s="269" t="n">
        <v>1</v>
      </c>
      <c r="X568" s="231" t="inlineStr">
        <is>
          <t>NA</t>
        </is>
      </c>
      <c r="Y568" s="237" t="n">
        <v>42</v>
      </c>
      <c r="Z568" s="237" t="inlineStr">
        <is>
          <t>NA</t>
        </is>
      </c>
      <c r="AA568" s="237" t="inlineStr">
        <is>
          <t>NA</t>
        </is>
      </c>
      <c r="AB568" s="269" t="inlineStr">
        <is>
          <t>ANACREDIT, LOAN TAPE</t>
        </is>
      </c>
      <c r="AC568" s="231" t="inlineStr">
        <is>
          <t>ND</t>
        </is>
      </c>
      <c r="AD568" s="257" t="inlineStr">
        <is>
          <t>N</t>
        </is>
      </c>
      <c r="AE568" s="628" t="inlineStr">
        <is>
          <t>TRE201</t>
        </is>
      </c>
      <c r="AF568" s="257" t="inlineStr">
        <is>
          <t>NA</t>
        </is>
      </c>
      <c r="AG568" s="258" t="inlineStr">
        <is>
          <t>NA</t>
        </is>
      </c>
      <c r="AH568" s="89" t="n"/>
      <c r="AI568" s="461" t="inlineStr">
        <is>
          <t>La donnée est obligatoire si le type de risque [P1 2.0] = ‘TRE201'</t>
        </is>
      </c>
      <c r="AJ568" s="317" t="inlineStr">
        <is>
          <t>The data is mandatory if Risk type [P1 2.0] = ‘TRE201'</t>
        </is>
      </c>
      <c r="AK568" s="257" t="n">
        <v>6</v>
      </c>
      <c r="AL568" s="458" t="inlineStr">
        <is>
          <t>TPS0753</t>
        </is>
      </c>
      <c r="AM568" s="318" t="inlineStr">
        <is>
          <t>Si elle est renseignée, la valeur doit être connue du Langage Commun associé</t>
        </is>
      </c>
      <c r="AN568" s="317" t="inlineStr">
        <is>
          <t>If specified, the value must be known to the associated Common Language</t>
        </is>
      </c>
      <c r="AO568" s="257" t="n">
        <v>7</v>
      </c>
      <c r="AP568" s="212" t="inlineStr">
        <is>
          <t>TIG0001</t>
        </is>
      </c>
      <c r="AQ568" s="318" t="n"/>
      <c r="AR568" s="317" t="n"/>
      <c r="AS568" s="257" t="n"/>
      <c r="AT568" s="258" t="n"/>
      <c r="AU568" s="318" t="n"/>
      <c r="AV568" s="317" t="n"/>
      <c r="AW568" s="257" t="n"/>
      <c r="AX568" s="258" t="n"/>
      <c r="AY568" s="318" t="n"/>
      <c r="AZ568" s="317" t="n"/>
      <c r="BA568" s="257" t="n"/>
      <c r="BB568" s="258" t="n"/>
      <c r="BC568" s="316" t="n"/>
      <c r="BD568" s="317" t="n"/>
      <c r="BE568" s="257" t="n"/>
      <c r="BF568" s="258" t="n"/>
      <c r="BG568" s="89" t="n"/>
      <c r="BH5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68">
        <f>_xlfn.LET(r,ROW(),oc,INDEX($A:$A,r),cv,TRIM(INDEX($Y:$Y,r)&amp;""),IF(oc&lt;&gt;"P1","",IF(cv="45","V45 - novo, nao alimentado pelo spool atual","V44 - alimentado pelo spool atual")))</f>
        <v/>
      </c>
    </row>
    <row r="569" ht="54" customFormat="1" customHeight="1" s="91">
      <c r="A569" s="306" t="inlineStr">
        <is>
          <t>P1</t>
        </is>
      </c>
      <c r="B569" s="307" t="n">
        <v>334</v>
      </c>
      <c r="C569" s="269" t="inlineStr">
        <is>
          <t>06 - Caractéristiques échéancier</t>
        </is>
      </c>
      <c r="D569" s="236" t="inlineStr">
        <is>
          <t>06 - Schedule characteristics</t>
        </is>
      </c>
      <c r="E569" s="372" t="inlineStr">
        <is>
          <t>P1 22.70</t>
        </is>
      </c>
      <c r="F569" s="308" t="inlineStr">
        <is>
          <t>Nombre de jours de retard de paiement</t>
        </is>
      </c>
      <c r="G569" s="309" t="inlineStr">
        <is>
          <t xml:space="preserve">Number of days in payment delay </t>
        </is>
      </c>
      <c r="H569" s="1493">
        <f>"RPAD( "&amp;SUBSTITUTE(SUBSTITUTE(E569," ","_"),".","_")&amp;","&amp;W569&amp;",' '); -- "&amp;E569</f>
        <v/>
      </c>
      <c r="I569" s="241" t="inlineStr">
        <is>
          <t>Nombre de jours de retard de paiement</t>
        </is>
      </c>
      <c r="J569" s="309" t="inlineStr">
        <is>
          <t>Number of days in payment delay</t>
        </is>
      </c>
      <c r="K569" s="370" t="inlineStr">
        <is>
          <t>ND</t>
        </is>
      </c>
      <c r="L569" s="371" t="inlineStr">
        <is>
          <t>ND</t>
        </is>
      </c>
      <c r="M569" s="1420" t="inlineStr">
        <is>
          <t>nbJRetPaimt</t>
        </is>
      </c>
      <c r="N569" s="257" t="inlineStr">
        <is>
          <t>Obligatoire sous conditions</t>
        </is>
      </c>
      <c r="O569" s="371" t="inlineStr">
        <is>
          <t>Mandatory under conditions</t>
        </is>
      </c>
      <c r="P569" s="269" t="inlineStr">
        <is>
          <t>NA</t>
        </is>
      </c>
      <c r="Q569" s="269" t="inlineStr">
        <is>
          <t>NA</t>
        </is>
      </c>
      <c r="R569" s="241" t="inlineStr">
        <is>
          <t>NA</t>
        </is>
      </c>
      <c r="S569" s="233" t="inlineStr">
        <is>
          <t>NA</t>
        </is>
      </c>
      <c r="T569" s="307" t="inlineStr">
        <is>
          <t>ALPHA</t>
        </is>
      </c>
      <c r="U569" s="237" t="inlineStr">
        <is>
          <t>NA</t>
        </is>
      </c>
      <c r="V569" s="238" t="inlineStr">
        <is>
          <t>NA</t>
        </is>
      </c>
      <c r="W569" s="269" t="n">
        <v>5</v>
      </c>
      <c r="X569" s="231" t="inlineStr">
        <is>
          <t>NA</t>
        </is>
      </c>
      <c r="Y569" s="237" t="n">
        <v>42</v>
      </c>
      <c r="Z569" s="237" t="inlineStr">
        <is>
          <t>NA</t>
        </is>
      </c>
      <c r="AA569" s="237" t="inlineStr">
        <is>
          <t>NA</t>
        </is>
      </c>
      <c r="AB569" s="269" t="inlineStr">
        <is>
          <t>ANACREDIT, ASTRE, LOAN TAPE</t>
        </is>
      </c>
      <c r="AC569" s="231" t="inlineStr">
        <is>
          <t>ND</t>
        </is>
      </c>
      <c r="AD569" s="257" t="inlineStr">
        <is>
          <t>N</t>
        </is>
      </c>
      <c r="AE569" s="257" t="inlineStr">
        <is>
          <t xml:space="preserve">TRE2 à 4XX hors 203,205,206,207
TRE5XX
SIG
</t>
        </is>
      </c>
      <c r="AF569" s="257" t="inlineStr">
        <is>
          <t>NA</t>
        </is>
      </c>
      <c r="AG569" s="258" t="inlineStr">
        <is>
          <t>NA</t>
        </is>
      </c>
      <c r="AH569" s="89" t="n"/>
      <c r="AI569" s="453" t="inlineStr">
        <is>
          <t>La donnée est obligatoire si le type de risque [P1 2.0] = 'TRE2xx' à 'TRE5xx' (hors 'TRE203, TRE205, TRE206, TRE207'), 'SIGxx' ET si l'indicateur "Arriéré de paiement" [P1 5.5] = 'Y'</t>
        </is>
      </c>
      <c r="AJ569" s="317" t="inlineStr">
        <is>
          <t>The data is mandatory if the Risk type [P1 2.0] = 'TRE2xx' to 'TRE5xx' (except 'TRE203, TRE205, TRE206, TRE207'), 'SIGxx' AND if the indicator "Overdue to pay" [P1 5.5] = 'Y'</t>
        </is>
      </c>
      <c r="AK569" s="257" t="n">
        <v>6</v>
      </c>
      <c r="AL569" s="366" t="inlineStr">
        <is>
          <t>TPS0861</t>
        </is>
      </c>
      <c r="AM569" s="318" t="n"/>
      <c r="AN569" s="317" t="n"/>
      <c r="AO569" s="257" t="n"/>
      <c r="AP569" s="258" t="n"/>
      <c r="AQ569" s="318" t="n"/>
      <c r="AR569" s="317" t="n"/>
      <c r="AS569" s="257" t="n"/>
      <c r="AT569" s="258" t="n"/>
      <c r="AU569" s="318" t="n"/>
      <c r="AV569" s="317" t="n"/>
      <c r="AW569" s="257" t="n"/>
      <c r="AX569" s="258" t="n"/>
      <c r="AY569" s="318" t="n"/>
      <c r="AZ569" s="317" t="n"/>
      <c r="BA569" s="257" t="n"/>
      <c r="BB569" s="258" t="n"/>
      <c r="BC569" s="316" t="n"/>
      <c r="BD569" s="317" t="n"/>
      <c r="BE569" s="257" t="n"/>
      <c r="BF569" s="258" t="n"/>
      <c r="BG569" s="89" t="n"/>
      <c r="BH5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69">
        <f>_xlfn.LET(r,ROW(),oc,INDEX($A:$A,r),cv,TRIM(INDEX($Y:$Y,r)&amp;""),IF(oc&lt;&gt;"P1","",IF(cv="45","V45 - novo, nao alimentado pelo spool atual","V44 - alimentado pelo spool atual")))</f>
        <v/>
      </c>
    </row>
    <row r="570" ht="54" customFormat="1" customHeight="1" s="91">
      <c r="A570" s="306" t="inlineStr">
        <is>
          <t>P1</t>
        </is>
      </c>
      <c r="B570" s="307" t="n">
        <v>335</v>
      </c>
      <c r="C570" s="269" t="inlineStr">
        <is>
          <t>06 - Caractéristiques échéancier</t>
        </is>
      </c>
      <c r="D570" s="236" t="inlineStr">
        <is>
          <t>06 - Schedule characteristics</t>
        </is>
      </c>
      <c r="E570" s="372" t="inlineStr">
        <is>
          <t>P1 22.71</t>
        </is>
      </c>
      <c r="F570" s="1269" t="inlineStr">
        <is>
          <t xml:space="preserve">Motif du passage en engagement en défaut </t>
        </is>
      </c>
      <c r="G570" s="968" t="inlineStr">
        <is>
          <t>Reason of classification as commitment into default</t>
        </is>
      </c>
      <c r="H570" s="1493">
        <f>"RPAD( "&amp;SUBSTITUTE(SUBSTITUTE(E570," ","_"),".","_")&amp;","&amp;W570&amp;",' '); -- "&amp;E570</f>
        <v/>
      </c>
      <c r="I570" s="1008" t="inlineStr">
        <is>
          <t>Motif du passage de l'opération en engagement en défaut (ex douteux)</t>
        </is>
      </c>
      <c r="J570" s="968" t="inlineStr">
        <is>
          <t>Reason of classification as commitment into default (ex doubtful)</t>
        </is>
      </c>
      <c r="K570" s="370" t="inlineStr">
        <is>
          <t>ND</t>
        </is>
      </c>
      <c r="L570" s="371" t="inlineStr">
        <is>
          <t>ND</t>
        </is>
      </c>
      <c r="M570" s="1420" t="inlineStr">
        <is>
          <t>cdPasEngDout</t>
        </is>
      </c>
      <c r="N570" s="231" t="inlineStr">
        <is>
          <t>Facultatif</t>
        </is>
      </c>
      <c r="O570" s="371" t="inlineStr">
        <is>
          <t>Optional</t>
        </is>
      </c>
      <c r="P570" s="269" t="inlineStr">
        <is>
          <t>LC.0267</t>
        </is>
      </c>
      <c r="Q570" s="269" t="inlineStr">
        <is>
          <t>TA NM690</t>
        </is>
      </c>
      <c r="R570" s="241" t="inlineStr">
        <is>
          <t>NA</t>
        </is>
      </c>
      <c r="S570" s="233" t="inlineStr">
        <is>
          <t>NA</t>
        </is>
      </c>
      <c r="T570" s="307" t="inlineStr">
        <is>
          <t>ALPHA</t>
        </is>
      </c>
      <c r="U570" s="237" t="inlineStr">
        <is>
          <t>NA</t>
        </is>
      </c>
      <c r="V570" s="238" t="inlineStr">
        <is>
          <t>NA</t>
        </is>
      </c>
      <c r="W570" s="269" t="n">
        <v>3</v>
      </c>
      <c r="X570" s="231" t="inlineStr">
        <is>
          <t>NA</t>
        </is>
      </c>
      <c r="Y570" s="237" t="n">
        <v>42</v>
      </c>
      <c r="Z570" s="237" t="inlineStr">
        <is>
          <t>NA</t>
        </is>
      </c>
      <c r="AA570" s="270" t="inlineStr">
        <is>
          <t>45.00</t>
        </is>
      </c>
      <c r="AB570" s="269" t="inlineStr">
        <is>
          <t>ANACREDIT, SHS</t>
        </is>
      </c>
      <c r="AC570" s="231" t="inlineStr">
        <is>
          <t>ND</t>
        </is>
      </c>
      <c r="AD570" s="257" t="inlineStr">
        <is>
          <t>N</t>
        </is>
      </c>
      <c r="AE570" s="971" t="inlineStr">
        <is>
          <t>EQU101
EQU201
ISS100
ISS200 et 300
TRE100
TRE2 à 4XX hors 203,205,206,207
TRE5XX
SIG
VAR*
INT</t>
        </is>
      </c>
      <c r="AF570" s="257" t="inlineStr">
        <is>
          <t>NA</t>
        </is>
      </c>
      <c r="AG570" s="258" t="inlineStr">
        <is>
          <t>NA</t>
        </is>
      </c>
      <c r="AH570" s="89" t="n"/>
      <c r="AI570" s="629" t="n"/>
      <c r="AJ570" s="317" t="n"/>
      <c r="AK570" s="630" t="n"/>
      <c r="AL570" s="258" t="n"/>
      <c r="AM570" s="452" t="inlineStr">
        <is>
          <t>Si elle est renseignée, la valeur doit être connue du Langage Commun associé</t>
        </is>
      </c>
      <c r="AN570" s="377" t="inlineStr">
        <is>
          <t>If specified, the value must be known to the associated Common Language</t>
        </is>
      </c>
      <c r="AO570" s="257" t="n">
        <v>7</v>
      </c>
      <c r="AP570" s="212" t="inlineStr">
        <is>
          <t>TIG0001</t>
        </is>
      </c>
      <c r="AQ570" s="318" t="n"/>
      <c r="AR570" s="317" t="n"/>
      <c r="AS570" s="257" t="n"/>
      <c r="AT570" s="258" t="n"/>
      <c r="AU570" s="318" t="n"/>
      <c r="AV570" s="317" t="n"/>
      <c r="AW570" s="257" t="n"/>
      <c r="AX570" s="258" t="n"/>
      <c r="AY570" s="318" t="n"/>
      <c r="AZ570" s="317" t="n"/>
      <c r="BA570" s="257" t="n"/>
      <c r="BB570" s="258" t="n"/>
      <c r="BC570" s="316" t="n"/>
      <c r="BD570" s="317" t="n"/>
      <c r="BE570" s="257" t="n"/>
      <c r="BF570" s="258" t="n"/>
      <c r="BG570" s="89" t="n"/>
      <c r="BH5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70">
        <f>_xlfn.LET(r,ROW(),oc,INDEX($A:$A,r),cv,TRIM(INDEX($Y:$Y,r)&amp;""),IF(oc&lt;&gt;"P1","",IF(cv="45","V45 - novo, nao alimentado pelo spool atual","V44 - alimentado pelo spool atual")))</f>
        <v/>
      </c>
    </row>
    <row r="571" ht="54" customFormat="1" customHeight="1" s="91">
      <c r="A571" s="306" t="inlineStr">
        <is>
          <t>P1</t>
        </is>
      </c>
      <c r="B571" s="307" t="n">
        <v>336</v>
      </c>
      <c r="C571" s="269" t="inlineStr">
        <is>
          <t>06 - Caractéristiques échéancier</t>
        </is>
      </c>
      <c r="D571" s="236" t="inlineStr">
        <is>
          <t>06 - Schedule characteristics</t>
        </is>
      </c>
      <c r="E571" s="372" t="inlineStr">
        <is>
          <t>P1 22.72</t>
        </is>
      </c>
      <c r="F571" s="631" t="inlineStr">
        <is>
          <t>Bucket IFRS9</t>
        </is>
      </c>
      <c r="G571" s="309" t="inlineStr">
        <is>
          <t>Bucket IFRS9</t>
        </is>
      </c>
      <c r="H571" s="1493">
        <f>"RPAD( "&amp;SUBSTITUTE(SUBSTITUTE(E571," ","_"),".","_")&amp;","&amp;W571&amp;",' '); -- "&amp;E571</f>
        <v/>
      </c>
      <c r="I571" s="241" t="inlineStr">
        <is>
          <t>Permet d'indiquer le classement de l'encours en norme IFRS9</t>
        </is>
      </c>
      <c r="J571" s="309" t="inlineStr">
        <is>
          <t>Used to indicate the classification of outstanding in IFRS9</t>
        </is>
      </c>
      <c r="K571" s="370" t="inlineStr">
        <is>
          <t>ND</t>
        </is>
      </c>
      <c r="L571" s="371" t="inlineStr">
        <is>
          <t>ND</t>
        </is>
      </c>
      <c r="M571" s="1420" t="inlineStr">
        <is>
          <t>cdBcktIFRS9</t>
        </is>
      </c>
      <c r="N571" s="257" t="inlineStr">
        <is>
          <t>Obligatoire sous conditions</t>
        </is>
      </c>
      <c r="O571" s="371" t="inlineStr">
        <is>
          <t>Mandatory under conditions</t>
        </is>
      </c>
      <c r="P571" s="269" t="inlineStr">
        <is>
          <t>LC.0257</t>
        </is>
      </c>
      <c r="Q571" s="269" t="inlineStr">
        <is>
          <t>TA KVBUCKET</t>
        </is>
      </c>
      <c r="R571" s="632" t="inlineStr">
        <is>
          <t>Pour le premier mois : 
- Application du B3 pour les encours associés aux tiers en défaut ;
- Application du B1 dans les autres cas</t>
        </is>
      </c>
      <c r="S571" s="633" t="inlineStr">
        <is>
          <t>For the first month:
- Application of the B3 for outstandings associated with defaulting third parties;
- Application of B1 in other cases"</t>
        </is>
      </c>
      <c r="T571" s="307" t="inlineStr">
        <is>
          <t>ALPHA</t>
        </is>
      </c>
      <c r="U571" s="237" t="inlineStr">
        <is>
          <t>NA</t>
        </is>
      </c>
      <c r="V571" s="238" t="inlineStr">
        <is>
          <t>NA</t>
        </is>
      </c>
      <c r="W571" s="269" t="n">
        <v>2</v>
      </c>
      <c r="X571" s="231" t="inlineStr">
        <is>
          <t>NA</t>
        </is>
      </c>
      <c r="Y571" s="237" t="n">
        <v>42</v>
      </c>
      <c r="Z571" s="237" t="inlineStr">
        <is>
          <t>NA</t>
        </is>
      </c>
      <c r="AA571" s="978" t="inlineStr">
        <is>
          <t>45.00</t>
        </is>
      </c>
      <c r="AB571" s="932" t="inlineStr">
        <is>
          <t>ASTRE, CALCULS PRUDENTIELS, ESG PILIER 3, GRR, LIQUIDITE, NPE, PALMA</t>
        </is>
      </c>
      <c r="AC571" s="231" t="inlineStr">
        <is>
          <t>ND</t>
        </is>
      </c>
      <c r="AD571" s="257" t="inlineStr">
        <is>
          <t>N</t>
        </is>
      </c>
      <c r="AE571" s="971" t="inlineStr">
        <is>
          <t>EQU101
EQU201
ISS100
ISS200 et 300
TRE100
TRE2 à 4XX hors 203,205,206,207
TRE203, 205, 207
TRE206
TRE5XX
SIG
VAR*
INT</t>
        </is>
      </c>
      <c r="AF571" s="257" t="inlineStr">
        <is>
          <t>NA</t>
        </is>
      </c>
      <c r="AG571" s="258" t="inlineStr">
        <is>
          <t>NA</t>
        </is>
      </c>
      <c r="AH571" s="89" t="n"/>
      <c r="AI571" s="634" t="inlineStr">
        <is>
          <t>La donnée est obligatoire si ([P1 19.5] = ‘CAM') et ([P1 3.2] &lt;= dernier jour du mois ([EN 0.1] moins 1 mois)*)
* si [EN 0.1] = 20180228 alors on prend la valeur 20180131</t>
        </is>
      </c>
      <c r="AJ571" s="317" t="inlineStr">
        <is>
          <t xml:space="preserve">The data is mandatory if ([P1 19.5] = ‘CAM') and ([P1 3.2] &lt;= last day of the month ([EN 0.1] minus 1 month)*)
* if [EN 0.1] = 20180228 then the value 20180131 is taken
</t>
        </is>
      </c>
      <c r="AK571" s="257" t="n">
        <v>6</v>
      </c>
      <c r="AL571" s="411" t="inlineStr">
        <is>
          <t>TPS0870</t>
        </is>
      </c>
      <c r="AM571" s="318" t="inlineStr">
        <is>
          <t>Si elle est renseignée, la valeur doit être connue du Langage Commun associé</t>
        </is>
      </c>
      <c r="AN571" s="317" t="inlineStr">
        <is>
          <t>If specified, the value must be known to the associated Common Language</t>
        </is>
      </c>
      <c r="AO571" s="257" t="n">
        <v>7</v>
      </c>
      <c r="AP571" s="212" t="inlineStr">
        <is>
          <t>TIG0001</t>
        </is>
      </c>
      <c r="AQ571" s="318" t="n"/>
      <c r="AR571" s="317" t="n"/>
      <c r="AS571" s="257" t="n"/>
      <c r="AT571" s="258" t="n"/>
      <c r="AU571" s="318" t="n"/>
      <c r="AV571" s="317" t="n"/>
      <c r="AW571" s="257" t="n"/>
      <c r="AX571" s="258" t="n"/>
      <c r="AY571" s="318" t="n"/>
      <c r="AZ571" s="317" t="n"/>
      <c r="BA571" s="257" t="n"/>
      <c r="BB571" s="258" t="n"/>
      <c r="BC571" s="316" t="n"/>
      <c r="BD571" s="317" t="n"/>
      <c r="BE571" s="257" t="n"/>
      <c r="BF571" s="258" t="n"/>
      <c r="BG571" s="89" t="n"/>
      <c r="BH5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71">
        <f>_xlfn.LET(r,ROW(),oc,INDEX($A:$A,r),cv,TRIM(INDEX($Y:$Y,r)&amp;""),IF(oc&lt;&gt;"P1","",IF(cv="45","V45 - novo, nao alimentado pelo spool atual","V44 - alimentado pelo spool atual")))</f>
        <v/>
      </c>
    </row>
    <row r="572" ht="54" customFormat="1" customHeight="1" s="92">
      <c r="A572" s="306" t="inlineStr">
        <is>
          <t>P1</t>
        </is>
      </c>
      <c r="B572" s="307" t="n">
        <v>337</v>
      </c>
      <c r="C572" s="269" t="inlineStr">
        <is>
          <t>06 - Caractéristiques échéancier</t>
        </is>
      </c>
      <c r="D572" s="236" t="inlineStr">
        <is>
          <t>06 - Schedule characteristics</t>
        </is>
      </c>
      <c r="E572" s="372" t="inlineStr">
        <is>
          <t>P1 22.73</t>
        </is>
      </c>
      <c r="F572" s="635" t="inlineStr">
        <is>
          <t xml:space="preserve">Probabilité de défaut à l'origine calculée en local </t>
        </is>
      </c>
      <c r="G572" s="528" t="inlineStr">
        <is>
          <t xml:space="preserve">Initial probability of default calculated locally </t>
        </is>
      </c>
      <c r="H572" s="1493">
        <f>"RPAD( "&amp;SUBSTITUTE(SUBSTITUTE(E572," ","_"),".","_")&amp;","&amp;W572&amp;",' '); -- "&amp;E572</f>
        <v/>
      </c>
      <c r="I572" s="527" t="inlineStr">
        <is>
          <t xml:space="preserve">Probabilité de défaut à l'origine calculée en local </t>
        </is>
      </c>
      <c r="J572" s="528" t="inlineStr">
        <is>
          <t xml:space="preserve">Initial probability of default calculated locally </t>
        </is>
      </c>
      <c r="K572" s="370" t="inlineStr">
        <is>
          <t>ND</t>
        </is>
      </c>
      <c r="L572" s="371" t="inlineStr">
        <is>
          <t>ND</t>
        </is>
      </c>
      <c r="M572" s="1420" t="inlineStr">
        <is>
          <t>cdPDOr</t>
        </is>
      </c>
      <c r="N572" s="449" t="inlineStr">
        <is>
          <t>Facultatif</t>
        </is>
      </c>
      <c r="O572" s="371" t="inlineStr">
        <is>
          <t>Optional</t>
        </is>
      </c>
      <c r="P572" s="269" t="inlineStr">
        <is>
          <t>NA</t>
        </is>
      </c>
      <c r="Q572" s="269" t="inlineStr">
        <is>
          <t>NA</t>
        </is>
      </c>
      <c r="R572" s="475" t="inlineStr">
        <is>
          <t>Exprimée en %.
Obligatoire si Probabilité de Défaut à l'origine calculée en local (concerne les encours retail sans note) sinon laisser à vide – spécifique Cariparma pour le type du retail avec encours &gt; 1M€ traité en corporate STD</t>
        </is>
      </c>
      <c r="S572" s="233" t="inlineStr">
        <is>
          <t>Expressed as %
Mandatory if the probability of default originally calculated locally (concerns retail without rating) or leave empty - specific Cariparma for the retail type with outstanding &gt; €1M processed in corporate STD</t>
        </is>
      </c>
      <c r="T572" s="372" t="inlineStr">
        <is>
          <t>NUM</t>
        </is>
      </c>
      <c r="U572" s="237" t="inlineStr">
        <is>
          <t>10 dont signe et 5 décimales</t>
        </is>
      </c>
      <c r="V572" s="238" t="inlineStr">
        <is>
          <t>10 including sign and 5 decimals</t>
        </is>
      </c>
      <c r="W572" s="636" t="n">
        <v>10</v>
      </c>
      <c r="X572" s="231" t="inlineStr">
        <is>
          <t>NA</t>
        </is>
      </c>
      <c r="Y572" s="237" t="n">
        <v>42</v>
      </c>
      <c r="Z572" s="237" t="inlineStr">
        <is>
          <t>NA</t>
        </is>
      </c>
      <c r="AA572" s="237" t="inlineStr">
        <is>
          <t>NA</t>
        </is>
      </c>
      <c r="AB572" s="269" t="inlineStr">
        <is>
          <t>ASTRE, LOAN TAPE, OMP</t>
        </is>
      </c>
      <c r="AC572" s="231" t="inlineStr">
        <is>
          <t>ND</t>
        </is>
      </c>
      <c r="AD572" s="257" t="inlineStr">
        <is>
          <t>N</t>
        </is>
      </c>
      <c r="AE572" s="257" t="inlineStr">
        <is>
          <t>TRE2 à 4XX hors 203,205,206,207
TRE5XX
SIG</t>
        </is>
      </c>
      <c r="AF572" s="257" t="inlineStr">
        <is>
          <t>NA</t>
        </is>
      </c>
      <c r="AG572" s="258" t="inlineStr">
        <is>
          <t>NA</t>
        </is>
      </c>
      <c r="AH572" s="89" t="n"/>
      <c r="AI572" s="316" t="n"/>
      <c r="AJ572" s="317" t="n"/>
      <c r="AK572" s="257" t="n"/>
      <c r="AL572" s="258" t="n"/>
      <c r="AM572" s="318" t="n"/>
      <c r="AN572" s="317" t="n"/>
      <c r="AO572" s="257" t="n"/>
      <c r="AP572" s="258" t="n"/>
      <c r="AQ572" s="322" t="inlineStr">
        <is>
          <t>Si renseignée, la donnée doit être positive (supérieure ou égale à 0)
---
Si renseignée, la donnée doit être comprise entre '0' et '100'</t>
        </is>
      </c>
      <c r="AR572" s="317" t="inlineStr">
        <is>
          <t>If filled, data must be positive (greater or equal to 0) 
—
If filled, the data must be between '0' and '100'</t>
        </is>
      </c>
      <c r="AS572" s="257" t="inlineStr">
        <is>
          <t>7
6</t>
        </is>
      </c>
      <c r="AT572" s="530" t="inlineStr">
        <is>
          <t>TVG0001
TVG0004</t>
        </is>
      </c>
      <c r="AU572" s="318" t="n"/>
      <c r="AV572" s="317" t="n"/>
      <c r="AW572" s="257" t="n"/>
      <c r="AX572" s="258" t="n"/>
      <c r="AY572" s="318" t="n"/>
      <c r="AZ572" s="317" t="n"/>
      <c r="BA572" s="257" t="n"/>
      <c r="BB572" s="258" t="n"/>
      <c r="BC572" s="316" t="n"/>
      <c r="BD572" s="317" t="n"/>
      <c r="BE572" s="257" t="n"/>
      <c r="BF572" s="258" t="n"/>
      <c r="BG572" s="89" t="n"/>
      <c r="BH5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72">
        <f>_xlfn.LET(r,ROW(),oc,INDEX($A:$A,r),cv,TRIM(INDEX($Y:$Y,r)&amp;""),IF(oc&lt;&gt;"P1","",IF(cv="45","V45 - novo, nao alimentado pelo spool atual","V44 - alimentado pelo spool atual")))</f>
        <v/>
      </c>
    </row>
    <row r="573" ht="54" customFormat="1" customHeight="1" s="92">
      <c r="A573" s="306" t="inlineStr">
        <is>
          <t>P1</t>
        </is>
      </c>
      <c r="B573" s="307" t="n">
        <v>338</v>
      </c>
      <c r="C573" s="269" t="inlineStr">
        <is>
          <t>06 - Caractéristiques échéancier</t>
        </is>
      </c>
      <c r="D573" s="236" t="inlineStr">
        <is>
          <t>06 - Schedule characteristics</t>
        </is>
      </c>
      <c r="E573" s="372" t="inlineStr">
        <is>
          <t>P1 22.74</t>
        </is>
      </c>
      <c r="F573" s="527" t="inlineStr">
        <is>
          <t xml:space="preserve">Probabilité de défaut à date calculée en local </t>
        </is>
      </c>
      <c r="G573" s="528" t="inlineStr">
        <is>
          <t xml:space="preserve">Probability of default calculated locally </t>
        </is>
      </c>
      <c r="H573" s="1493">
        <f>"RPAD( "&amp;SUBSTITUTE(SUBSTITUTE(E573," ","_"),".","_")&amp;","&amp;W573&amp;",' '); -- "&amp;E573</f>
        <v/>
      </c>
      <c r="I573" s="527" t="inlineStr">
        <is>
          <t xml:space="preserve">Probabilité de défaut à date calculée en local </t>
        </is>
      </c>
      <c r="J573" s="528" t="inlineStr">
        <is>
          <t xml:space="preserve">Probability of default calculated locally </t>
        </is>
      </c>
      <c r="K573" s="370" t="inlineStr">
        <is>
          <t>ND</t>
        </is>
      </c>
      <c r="L573" s="371" t="inlineStr">
        <is>
          <t>ND</t>
        </is>
      </c>
      <c r="M573" s="1420" t="inlineStr">
        <is>
          <t>ProbDef</t>
        </is>
      </c>
      <c r="N573" s="449" t="inlineStr">
        <is>
          <t>Facultatif</t>
        </is>
      </c>
      <c r="O573" s="371" t="inlineStr">
        <is>
          <t>Optional</t>
        </is>
      </c>
      <c r="P573" s="269" t="inlineStr">
        <is>
          <t>NA</t>
        </is>
      </c>
      <c r="Q573" s="269" t="inlineStr">
        <is>
          <t>NA</t>
        </is>
      </c>
      <c r="R573" s="475" t="inlineStr">
        <is>
          <t>Exprimée en %.
Obligatoire si Probabilité de Défaut à date calculée en local (concerne les encours retail sans note) sinon laisser à vide – spécifique Cariparma pour le type du retail avec encours &gt; 1M€ traité en corporate STD</t>
        </is>
      </c>
      <c r="S573" s="233" t="inlineStr">
        <is>
          <t>Expressed as %
Mandatory if Default probability calculated locally (applies to retail without rating) or leave empty - specific Cariparma for the retail type with outstanding &gt; €1M processed in corporate STD</t>
        </is>
      </c>
      <c r="T573" s="372" t="inlineStr">
        <is>
          <t>NUM</t>
        </is>
      </c>
      <c r="U573" s="237" t="inlineStr">
        <is>
          <t>10 dont signe et 5 décimales</t>
        </is>
      </c>
      <c r="V573" s="238" t="inlineStr">
        <is>
          <t>10 including sign and 5 decimals</t>
        </is>
      </c>
      <c r="W573" s="636" t="n">
        <v>10</v>
      </c>
      <c r="X573" s="231" t="inlineStr">
        <is>
          <t>NA</t>
        </is>
      </c>
      <c r="Y573" s="237" t="n">
        <v>42</v>
      </c>
      <c r="Z573" s="237" t="inlineStr">
        <is>
          <t>NA</t>
        </is>
      </c>
      <c r="AA573" s="283" t="inlineStr">
        <is>
          <t>NA</t>
        </is>
      </c>
      <c r="AB573" s="269" t="inlineStr">
        <is>
          <t>ASTRE, LOAN TAPE, OMP</t>
        </is>
      </c>
      <c r="AC573" s="231" t="inlineStr">
        <is>
          <t>ND</t>
        </is>
      </c>
      <c r="AD573" s="257" t="inlineStr">
        <is>
          <t>N</t>
        </is>
      </c>
      <c r="AE573" s="257" t="inlineStr">
        <is>
          <t xml:space="preserve">TRE2 à 4XX hors 203,205,206,207
TRE5XX
SIG
</t>
        </is>
      </c>
      <c r="AF573" s="257" t="inlineStr">
        <is>
          <t>NA</t>
        </is>
      </c>
      <c r="AG573" s="258" t="inlineStr">
        <is>
          <t>NA</t>
        </is>
      </c>
      <c r="AH573" s="89" t="n"/>
      <c r="AI573" s="316" t="n"/>
      <c r="AJ573" s="317" t="n"/>
      <c r="AK573" s="257" t="n"/>
      <c r="AL573" s="258" t="n"/>
      <c r="AM573" s="318" t="n"/>
      <c r="AN573" s="317" t="n"/>
      <c r="AO573" s="257" t="n"/>
      <c r="AP573" s="258" t="n"/>
      <c r="AQ573" s="322" t="inlineStr">
        <is>
          <t>Si renseignée, la donnée doit être comprise entre '0' et '100'</t>
        </is>
      </c>
      <c r="AR573" s="317" t="inlineStr">
        <is>
          <t>If filled, the data must be between '0' and '100'</t>
        </is>
      </c>
      <c r="AS573" s="257" t="n">
        <v>7</v>
      </c>
      <c r="AT573" s="530" t="inlineStr">
        <is>
          <t>TVG0004</t>
        </is>
      </c>
      <c r="AU573" s="318" t="n"/>
      <c r="AV573" s="317" t="n"/>
      <c r="AW573" s="257" t="n"/>
      <c r="AX573" s="258" t="n"/>
      <c r="AY573" s="318" t="n"/>
      <c r="AZ573" s="317" t="n"/>
      <c r="BA573" s="257" t="n"/>
      <c r="BB573" s="258" t="n"/>
      <c r="BC573" s="316" t="n"/>
      <c r="BD573" s="317" t="n"/>
      <c r="BE573" s="257" t="n"/>
      <c r="BF573" s="258" t="n"/>
      <c r="BG573" s="89" t="n"/>
      <c r="BH5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73">
        <f>_xlfn.LET(r,ROW(),oc,INDEX($A:$A,r),cv,TRIM(INDEX($Y:$Y,r)&amp;""),IF(oc&lt;&gt;"P1","",IF(cv="45","V45 - novo, nao alimentado pelo spool atual","V44 - alimentado pelo spool atual")))</f>
        <v/>
      </c>
    </row>
    <row r="574" ht="54" customFormat="1" customHeight="1" s="91">
      <c r="A574" s="306" t="inlineStr">
        <is>
          <t>P1</t>
        </is>
      </c>
      <c r="B574" s="307" t="n">
        <v>339</v>
      </c>
      <c r="C574" s="269" t="inlineStr">
        <is>
          <t>13 - Caractéristiques Provision</t>
        </is>
      </c>
      <c r="D574" s="310" t="inlineStr">
        <is>
          <t>13 - Provision characteristics</t>
        </is>
      </c>
      <c r="E574" s="307" t="inlineStr">
        <is>
          <t>P1 23.1</t>
        </is>
      </c>
      <c r="F574" s="308" t="inlineStr">
        <is>
          <t>Eligibilité Outil Mutualisé de provisionnement</t>
        </is>
      </c>
      <c r="G574" s="309" t="inlineStr">
        <is>
          <t>Mutualised provisioning tool eligibility</t>
        </is>
      </c>
      <c r="H574" s="1493">
        <f>"RPAD( "&amp;SUBSTITUTE(SUBSTITUTE(E574," ","_"),".","_")&amp;","&amp;W574&amp;",' '); -- "&amp;E574</f>
        <v/>
      </c>
      <c r="I574" s="241" t="inlineStr">
        <is>
          <t xml:space="preserve">Indicateur d'éligibilité à l'Outil Mutualisé de provisionnement </t>
        </is>
      </c>
      <c r="J574" s="309" t="inlineStr">
        <is>
          <t>Indicator of eligibility of the mutualised provisioning tool</t>
        </is>
      </c>
      <c r="K574" s="370" t="inlineStr">
        <is>
          <t>ND</t>
        </is>
      </c>
      <c r="L574" s="371" t="inlineStr">
        <is>
          <t>ND</t>
        </is>
      </c>
      <c r="M574" s="1420" t="inlineStr">
        <is>
          <t>cdOMP</t>
        </is>
      </c>
      <c r="N574" s="257" t="inlineStr">
        <is>
          <t>Obligatoire</t>
        </is>
      </c>
      <c r="O574" s="371" t="inlineStr">
        <is>
          <t>Mandatory</t>
        </is>
      </c>
      <c r="P574" s="269" t="inlineStr">
        <is>
          <t>LC.0216</t>
        </is>
      </c>
      <c r="Q574" s="269" t="inlineStr">
        <is>
          <t>TA KVELIOMP</t>
        </is>
      </c>
      <c r="R574" s="241" t="inlineStr">
        <is>
          <t>NA</t>
        </is>
      </c>
      <c r="S574" s="233" t="inlineStr">
        <is>
          <t>NA</t>
        </is>
      </c>
      <c r="T574" s="313" t="inlineStr">
        <is>
          <t>ALPHA</t>
        </is>
      </c>
      <c r="U574" s="237" t="inlineStr">
        <is>
          <t>NA</t>
        </is>
      </c>
      <c r="V574" s="238" t="inlineStr">
        <is>
          <t>NA</t>
        </is>
      </c>
      <c r="W574" s="257" t="n">
        <v>1</v>
      </c>
      <c r="X574" s="945" t="inlineStr">
        <is>
          <t>NA</t>
        </is>
      </c>
      <c r="Y574" s="237" t="n">
        <v>41</v>
      </c>
      <c r="Z574" s="237" t="inlineStr">
        <is>
          <t>NA</t>
        </is>
      </c>
      <c r="AA574" s="237" t="inlineStr">
        <is>
          <t>NA</t>
        </is>
      </c>
      <c r="AB574" s="269" t="inlineStr">
        <is>
          <t>ASTRE, LOAN TAPE, OMP</t>
        </is>
      </c>
      <c r="AC574" s="231" t="inlineStr">
        <is>
          <t>ND</t>
        </is>
      </c>
      <c r="AD574" s="257" t="inlineStr">
        <is>
          <t>N</t>
        </is>
      </c>
      <c r="AE574" s="971" t="inlineStr">
        <is>
          <t>EQU101
EQU201
ISS100
ISS200 et 300
TRE100
TRE2 à 4XX hors 203,205,206,207
TRE203, 205, 207
TRE206
TRE5XX
SIG
VAR*
INT</t>
        </is>
      </c>
      <c r="AF574" s="257" t="inlineStr">
        <is>
          <t>NA</t>
        </is>
      </c>
      <c r="AG574" s="258" t="inlineStr">
        <is>
          <t>NA</t>
        </is>
      </c>
      <c r="AH574" s="89" t="n"/>
      <c r="AI574" s="316" t="inlineStr">
        <is>
          <t>La donnée est obligatoire</t>
        </is>
      </c>
      <c r="AJ574" s="317" t="inlineStr">
        <is>
          <t>The data is mandatory</t>
        </is>
      </c>
      <c r="AK574" s="257" t="n">
        <v>7</v>
      </c>
      <c r="AL574" s="335" t="inlineStr">
        <is>
          <t>TPG0001</t>
        </is>
      </c>
      <c r="AM574" s="318" t="inlineStr">
        <is>
          <t>Si elle est renseignée, la valeur doit être connue du Langage Commun associé</t>
        </is>
      </c>
      <c r="AN574" s="317" t="inlineStr">
        <is>
          <t>If specified, the value must be known to the associated Common Language</t>
        </is>
      </c>
      <c r="AO574" s="257" t="n">
        <v>7</v>
      </c>
      <c r="AP574" s="212" t="inlineStr">
        <is>
          <t>TIG0001</t>
        </is>
      </c>
      <c r="AQ574" s="318" t="n"/>
      <c r="AR574" s="317" t="n"/>
      <c r="AS574" s="257" t="n"/>
      <c r="AT574" s="258" t="n"/>
      <c r="AU574" s="318" t="n"/>
      <c r="AV574" s="317" t="n"/>
      <c r="AW574" s="257" t="n"/>
      <c r="AX574" s="258" t="n"/>
      <c r="AY574" s="318" t="n"/>
      <c r="AZ574" s="317" t="n"/>
      <c r="BA574" s="257" t="n"/>
      <c r="BB574" s="258" t="n"/>
      <c r="BC574" s="316" t="n"/>
      <c r="BD574" s="317" t="n"/>
      <c r="BE574" s="257" t="n"/>
      <c r="BF574" s="258" t="n"/>
      <c r="BG574" s="89" t="n"/>
      <c r="BH5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74">
        <f>_xlfn.LET(r,ROW(),oc,INDEX($A:$A,r),cv,TRIM(INDEX($Y:$Y,r)&amp;""),IF(oc&lt;&gt;"P1","",IF(cv="45","V45 - novo, nao alimentado pelo spool atual","V44 - alimentado pelo spool atual")))</f>
        <v/>
      </c>
    </row>
    <row r="575" ht="54" customFormat="1" customHeight="1" s="91">
      <c r="A575" s="306" t="inlineStr">
        <is>
          <t>P1</t>
        </is>
      </c>
      <c r="B575" s="307" t="n">
        <v>340</v>
      </c>
      <c r="C575" s="269" t="inlineStr">
        <is>
          <t>13 - Caractéristiques Provision</t>
        </is>
      </c>
      <c r="D575" s="310" t="inlineStr">
        <is>
          <t>13 - Provision characteristics</t>
        </is>
      </c>
      <c r="E575" s="307" t="inlineStr">
        <is>
          <t>P1 23.2</t>
        </is>
      </c>
      <c r="F575" s="637" t="inlineStr">
        <is>
          <t>Centre de résultat</t>
        </is>
      </c>
      <c r="G575" s="309" t="inlineStr">
        <is>
          <t>Result center</t>
        </is>
      </c>
      <c r="H575" s="1493">
        <f>"RPAD( "&amp;SUBSTITUTE(SUBSTITUTE(E575," ","_"),".","_")&amp;","&amp;W575&amp;",' '); -- "&amp;E575</f>
        <v/>
      </c>
      <c r="I575" s="241" t="inlineStr">
        <is>
          <t>Identification de sous-périmètre dans une entité
Correspond à un centre de responsabilité comptable, ou un centre de résultat ou un Business Unit en fonction des entités
Codification libre</t>
        </is>
      </c>
      <c r="J575" s="233" t="inlineStr">
        <is>
          <t>Identification of sub-scope in an entity. 
Corresponds to an accounting responsibility center, or a result center or business unit depending on the entities.
Free codification</t>
        </is>
      </c>
      <c r="K575" s="269" t="inlineStr">
        <is>
          <t>ND</t>
        </is>
      </c>
      <c r="L575" s="310" t="inlineStr">
        <is>
          <t>ND</t>
        </is>
      </c>
      <c r="M575" s="1420" t="inlineStr">
        <is>
          <t>cdCtreRes</t>
        </is>
      </c>
      <c r="N575" s="986" t="inlineStr">
        <is>
          <t>Obligatoire (SC)</t>
        </is>
      </c>
      <c r="O575" s="987" t="inlineStr">
        <is>
          <t>Mandatory (SC)</t>
        </is>
      </c>
      <c r="P575" s="269" t="inlineStr">
        <is>
          <t>NA</t>
        </is>
      </c>
      <c r="Q575" s="269" t="inlineStr">
        <is>
          <t>NA</t>
        </is>
      </c>
      <c r="R575" s="1043" t="inlineStr">
        <is>
          <t>NA</t>
        </is>
      </c>
      <c r="S575" s="1009" t="inlineStr">
        <is>
          <t>NA</t>
        </is>
      </c>
      <c r="T575" s="313" t="inlineStr">
        <is>
          <t>ALPHA</t>
        </is>
      </c>
      <c r="U575" s="237" t="inlineStr">
        <is>
          <t>NA</t>
        </is>
      </c>
      <c r="V575" s="238" t="inlineStr">
        <is>
          <t>NA</t>
        </is>
      </c>
      <c r="W575" s="257" t="n">
        <v>7</v>
      </c>
      <c r="X575" s="945" t="inlineStr">
        <is>
          <t>NA</t>
        </is>
      </c>
      <c r="Y575" s="237" t="n">
        <v>41</v>
      </c>
      <c r="Z575" s="237" t="inlineStr">
        <is>
          <t>NA</t>
        </is>
      </c>
      <c r="AA575" s="237" t="inlineStr">
        <is>
          <t>45.00</t>
        </is>
      </c>
      <c r="AB575" s="932" t="inlineStr">
        <is>
          <t>LIQUIDITE, MREL, OMP, PALMA</t>
        </is>
      </c>
      <c r="AC575" s="231" t="inlineStr">
        <is>
          <t>ND</t>
        </is>
      </c>
      <c r="AD575" s="257" t="inlineStr">
        <is>
          <t>N</t>
        </is>
      </c>
      <c r="AE575" s="971" t="inlineStr">
        <is>
          <t>EQU101
EQU201
ISS100
ISS200 et 300
TRE100
TRE2 à 4XX hors 203,205,206,207
TRE203, 205, 207
TRE206
TRE5XX
SIG
VAR*
INT</t>
        </is>
      </c>
      <c r="AF575" s="257" t="inlineStr">
        <is>
          <t>NA</t>
        </is>
      </c>
      <c r="AG575" s="258" t="inlineStr">
        <is>
          <t>NA</t>
        </is>
      </c>
      <c r="AH575" s="89" t="n"/>
      <c r="AI575" s="316" t="n"/>
      <c r="AJ575" s="317" t="n"/>
      <c r="AK575" s="257" t="n"/>
      <c r="AL575" s="258" t="n"/>
      <c r="AM575" s="318" t="n"/>
      <c r="AN575" s="317" t="n"/>
      <c r="AO575" s="257" t="n"/>
      <c r="AP575" s="258" t="n"/>
      <c r="AQ575" s="318" t="n"/>
      <c r="AR575" s="317" t="n"/>
      <c r="AS575" s="257" t="n"/>
      <c r="AT575" s="258" t="n"/>
      <c r="AU575" s="318" t="n"/>
      <c r="AV575" s="317" t="n"/>
      <c r="AW575" s="257" t="n"/>
      <c r="AX575" s="258" t="n"/>
      <c r="AY575" s="318" t="n"/>
      <c r="AZ575" s="317" t="n"/>
      <c r="BA575" s="257" t="n"/>
      <c r="BB575" s="258" t="n"/>
      <c r="BC575" s="316" t="n"/>
      <c r="BD575" s="317" t="n"/>
      <c r="BE575" s="257" t="n"/>
      <c r="BF575" s="258" t="n"/>
      <c r="BG575" s="89" t="n"/>
      <c r="BH5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75">
        <f>_xlfn.LET(r,ROW(),oc,INDEX($A:$A,r),cv,TRIM(INDEX($Y:$Y,r)&amp;""),IF(oc&lt;&gt;"P1","",IF(cv="45","V45 - novo, nao alimentado pelo spool atual","V44 - alimentado pelo spool atual")))</f>
        <v/>
      </c>
    </row>
    <row r="576" ht="54" customFormat="1" customHeight="1" s="91">
      <c r="A576" s="306" t="inlineStr">
        <is>
          <t>P1</t>
        </is>
      </c>
      <c r="B576" s="307" t="n">
        <v>341</v>
      </c>
      <c r="C576" s="269" t="inlineStr">
        <is>
          <t>13 - Caractéristiques Provision</t>
        </is>
      </c>
      <c r="D576" s="310" t="inlineStr">
        <is>
          <t>13 - Provision characteristics</t>
        </is>
      </c>
      <c r="E576" s="307" t="inlineStr">
        <is>
          <t>P1 23.3</t>
        </is>
      </c>
      <c r="F576" s="308" t="inlineStr">
        <is>
          <t>Système de gestion source</t>
        </is>
      </c>
      <c r="G576" s="309" t="inlineStr">
        <is>
          <t>Source management system</t>
        </is>
      </c>
      <c r="H576" s="1493">
        <f>"RPAD( "&amp;SUBSTITUTE(SUBSTITUTE(E576," ","_"),".","_")&amp;","&amp;W576&amp;",' '); -- "&amp;E576</f>
        <v/>
      </c>
      <c r="I576" s="241" t="inlineStr">
        <is>
          <t>Code du système opérationnel de gestion de l'opération de l'entité</t>
        </is>
      </c>
      <c r="J576" s="233" t="inlineStr">
        <is>
          <t>Code of the operational management system of the entity file's content</t>
        </is>
      </c>
      <c r="K576" s="269" t="inlineStr">
        <is>
          <t>ND</t>
        </is>
      </c>
      <c r="L576" s="310" t="inlineStr">
        <is>
          <t>ND</t>
        </is>
      </c>
      <c r="M576" s="1420" t="inlineStr">
        <is>
          <t>appliSysGestSource</t>
        </is>
      </c>
      <c r="N576" s="257" t="inlineStr">
        <is>
          <t>Obligatoire</t>
        </is>
      </c>
      <c r="O576" s="371" t="inlineStr">
        <is>
          <t>Mandatory</t>
        </is>
      </c>
      <c r="P576" s="269" t="inlineStr">
        <is>
          <t>NA</t>
        </is>
      </c>
      <c r="Q576" s="269" t="inlineStr">
        <is>
          <t>NA</t>
        </is>
      </c>
      <c r="R576" s="241" t="inlineStr">
        <is>
          <t>Codification libre</t>
        </is>
      </c>
      <c r="S576" s="233" t="inlineStr">
        <is>
          <t>Free codification</t>
        </is>
      </c>
      <c r="T576" s="313" t="inlineStr">
        <is>
          <t>ALPHA</t>
        </is>
      </c>
      <c r="U576" s="237" t="inlineStr">
        <is>
          <t>NA</t>
        </is>
      </c>
      <c r="V576" s="238" t="inlineStr">
        <is>
          <t>NA</t>
        </is>
      </c>
      <c r="W576" s="257" t="n">
        <v>20</v>
      </c>
      <c r="X576" s="945" t="inlineStr">
        <is>
          <t>NA</t>
        </is>
      </c>
      <c r="Y576" s="237" t="n">
        <v>41</v>
      </c>
      <c r="Z576" s="237" t="inlineStr">
        <is>
          <t>NA</t>
        </is>
      </c>
      <c r="AA576" s="283" t="inlineStr">
        <is>
          <t>NA</t>
        </is>
      </c>
      <c r="AB576" s="269" t="inlineStr">
        <is>
          <t>ALMM, ASTRE, NPE, NSFR, OMP</t>
        </is>
      </c>
      <c r="AC576" s="231" t="inlineStr">
        <is>
          <t>ND</t>
        </is>
      </c>
      <c r="AD576" s="257" t="inlineStr">
        <is>
          <t>N</t>
        </is>
      </c>
      <c r="AE576" s="971" t="inlineStr">
        <is>
          <t>EQU101
EQU201
ISS100
ISS200 et 300
TRE100
TRE2 à 4XX hors 203,205,206,207
TRE203, 205, 207
TRE206
TRE5XX
SIG
VAR*
INT</t>
        </is>
      </c>
      <c r="AF576" s="257" t="inlineStr">
        <is>
          <t>NA</t>
        </is>
      </c>
      <c r="AG576" s="258" t="inlineStr">
        <is>
          <t>NA</t>
        </is>
      </c>
      <c r="AH576" s="89" t="n"/>
      <c r="AI576" s="353" t="inlineStr">
        <is>
          <t>La donnée est obligatoire</t>
        </is>
      </c>
      <c r="AJ576" s="317" t="inlineStr">
        <is>
          <t>The data is mandatory</t>
        </is>
      </c>
      <c r="AK576" s="269" t="n">
        <v>7</v>
      </c>
      <c r="AL576" s="335" t="inlineStr">
        <is>
          <t>TPG0001</t>
        </is>
      </c>
      <c r="AM576" s="318" t="n"/>
      <c r="AN576" s="317" t="n"/>
      <c r="AO576" s="257" t="n"/>
      <c r="AP576" s="258" t="n"/>
      <c r="AQ576" s="318" t="n"/>
      <c r="AR576" s="317" t="n"/>
      <c r="AS576" s="257" t="n"/>
      <c r="AT576" s="258" t="n"/>
      <c r="AU576" s="318" t="n"/>
      <c r="AV576" s="317" t="n"/>
      <c r="AW576" s="257" t="n"/>
      <c r="AX576" s="258" t="n"/>
      <c r="AY576" s="318" t="n"/>
      <c r="AZ576" s="317" t="n"/>
      <c r="BA576" s="257" t="n"/>
      <c r="BB576" s="258" t="n"/>
      <c r="BC576" s="316" t="n"/>
      <c r="BD576" s="317" t="n"/>
      <c r="BE576" s="257" t="n"/>
      <c r="BF576" s="258" t="n"/>
      <c r="BG576" s="89" t="n"/>
      <c r="BH5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76">
        <f>_xlfn.LET(r,ROW(),oc,INDEX($A:$A,r),cv,TRIM(INDEX($Y:$Y,r)&amp;""),IF(oc&lt;&gt;"P1","",IF(cv="45","V45 - novo, nao alimentado pelo spool atual","V44 - alimentado pelo spool atual")))</f>
        <v/>
      </c>
    </row>
    <row r="577" ht="54" customFormat="1" customHeight="1" s="57">
      <c r="A577" s="325" t="inlineStr">
        <is>
          <t>P1</t>
        </is>
      </c>
      <c r="B577" s="326" t="n">
        <v>342</v>
      </c>
      <c r="C577" s="284" t="inlineStr">
        <is>
          <t>13 - Caractéristiques Provision</t>
        </is>
      </c>
      <c r="D577" s="284" t="inlineStr">
        <is>
          <t>13 - Provision characteristics</t>
        </is>
      </c>
      <c r="E577" s="326" t="inlineStr">
        <is>
          <t>P1 23.4</t>
        </is>
      </c>
      <c r="F577" s="327" t="inlineStr">
        <is>
          <t>Classification comptable des actifs en norme IFRS9</t>
        </is>
      </c>
      <c r="G577" s="327" t="inlineStr">
        <is>
          <t>Accounting classification of assets under IFRS 9</t>
        </is>
      </c>
      <c r="H577" s="1493">
        <f>"RPAD( "&amp;SUBSTITUTE(SUBSTITUTE(E577," ","_"),".","_")&amp;","&amp;W577&amp;",' '); -- "&amp;E577</f>
        <v/>
      </c>
      <c r="I577" s="245" t="inlineStr">
        <is>
          <t>Permet d'identifier le périmètre devant faire l'objet d'un provisionnement au titre des normes internationales IFRS9</t>
        </is>
      </c>
      <c r="J577" s="327" t="inlineStr">
        <is>
          <t>Identifies the scope that must be provisioned under IFRS 9</t>
        </is>
      </c>
      <c r="K577" s="284" t="inlineStr">
        <is>
          <t>NA</t>
        </is>
      </c>
      <c r="L577" s="388" t="inlineStr">
        <is>
          <t>NA</t>
        </is>
      </c>
      <c r="M577" s="1421" t="inlineStr">
        <is>
          <t>cdClasIFRS9</t>
        </is>
      </c>
      <c r="N577" s="284" t="inlineStr">
        <is>
          <t>NA</t>
        </is>
      </c>
      <c r="O577" s="388" t="inlineStr">
        <is>
          <t>NA</t>
        </is>
      </c>
      <c r="P577" s="284" t="inlineStr">
        <is>
          <t>LC.0066</t>
        </is>
      </c>
      <c r="Q577" s="284" t="inlineStr">
        <is>
          <t>TA KVCLCOMP</t>
        </is>
      </c>
      <c r="R577" s="245" t="inlineStr">
        <is>
          <t>NA</t>
        </is>
      </c>
      <c r="S577" s="245" t="inlineStr">
        <is>
          <t>NA</t>
        </is>
      </c>
      <c r="T577" s="326" t="inlineStr">
        <is>
          <t>ALPHA</t>
        </is>
      </c>
      <c r="U577" s="248" t="inlineStr">
        <is>
          <t>NA</t>
        </is>
      </c>
      <c r="V577" s="248" t="inlineStr">
        <is>
          <t>NA</t>
        </is>
      </c>
      <c r="W577" s="284" t="n">
        <v>3</v>
      </c>
      <c r="X577" s="244" t="inlineStr">
        <is>
          <t>NA</t>
        </is>
      </c>
      <c r="Y577" s="248" t="n">
        <v>41</v>
      </c>
      <c r="Z577" s="782" t="inlineStr">
        <is>
          <t>45</t>
        </is>
      </c>
      <c r="AA577" s="782" t="inlineStr">
        <is>
          <t>45.00</t>
        </is>
      </c>
      <c r="AB577" s="284" t="inlineStr">
        <is>
          <t>ANACREDIT, CALCULS PRUDENTIELS, CONGLOMERATS, OMP, SHS</t>
        </is>
      </c>
      <c r="AC577" s="244" t="inlineStr">
        <is>
          <t>NA</t>
        </is>
      </c>
      <c r="AD577" s="284" t="inlineStr">
        <is>
          <t>N</t>
        </is>
      </c>
      <c r="AE577" s="284" t="inlineStr">
        <is>
          <t>EQU101
EQU201
ISS100
ISS200 et 300
TRE100
TRE2 à 4XX hors 203,205,206,207
TRE203, 205, 207
TRE206
TRE5XX
SIG
VAR*
INT</t>
        </is>
      </c>
      <c r="AF577" s="284" t="inlineStr">
        <is>
          <t>NA</t>
        </is>
      </c>
      <c r="AG577" s="285" t="inlineStr">
        <is>
          <t>NA</t>
        </is>
      </c>
      <c r="AH577" s="1362" t="n"/>
      <c r="AI577" s="951" t="n"/>
      <c r="AJ577" s="952" t="n"/>
      <c r="AK577" s="953" t="n"/>
      <c r="AL577" s="954" t="n"/>
      <c r="AM577" s="952" t="n"/>
      <c r="AN577" s="952" t="n"/>
      <c r="AO577" s="953" t="n"/>
      <c r="AP577" s="955" t="n"/>
      <c r="AQ577" s="331" t="n"/>
      <c r="AR577" s="331" t="n"/>
      <c r="AS577" s="284" t="n"/>
      <c r="AT577" s="285" t="n"/>
      <c r="AU577" s="952" t="n"/>
      <c r="AV577" s="952" t="n"/>
      <c r="AW577" s="953" t="n"/>
      <c r="AX577" s="954" t="n"/>
      <c r="AY577" s="331" t="n"/>
      <c r="AZ577" s="331" t="n"/>
      <c r="BA577" s="284" t="n"/>
      <c r="BB577" s="285" t="n"/>
      <c r="BC577" s="330" t="n"/>
      <c r="BD577" s="331" t="n"/>
      <c r="BE577" s="284" t="n"/>
      <c r="BF577" s="285" t="n"/>
      <c r="BG577" s="89" t="n"/>
      <c r="BH5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77">
        <f>_xlfn.LET(r,ROW(),oc,INDEX($A:$A,r),cv,TRIM(INDEX($Y:$Y,r)&amp;""),IF(oc&lt;&gt;"P1","",IF(cv="45","V45 - novo, nao alimentado pelo spool atual","V44 - alimentado pelo spool atual")))</f>
        <v/>
      </c>
    </row>
    <row r="578" ht="54" customFormat="1" customHeight="1" s="91">
      <c r="A578" s="306" t="inlineStr">
        <is>
          <t>P1</t>
        </is>
      </c>
      <c r="B578" s="307" t="n">
        <v>343</v>
      </c>
      <c r="C578" s="269" t="inlineStr">
        <is>
          <t>13 - Caractéristiques Provision</t>
        </is>
      </c>
      <c r="D578" s="310" t="inlineStr">
        <is>
          <t>13 - Provision characteristics</t>
        </is>
      </c>
      <c r="E578" s="307" t="inlineStr">
        <is>
          <t>P1 23.5</t>
        </is>
      </c>
      <c r="F578" s="638" t="inlineStr">
        <is>
          <t>Classification comptable des actifs en norme nationale</t>
        </is>
      </c>
      <c r="G578" s="309" t="inlineStr">
        <is>
          <t>Accounting classification of assets under national standards</t>
        </is>
      </c>
      <c r="H578" s="1493">
        <f>"RPAD( "&amp;SUBSTITUTE(SUBSTITUTE(E578," ","_"),".","_")&amp;","&amp;W578&amp;",' '); -- "&amp;E578</f>
        <v/>
      </c>
      <c r="I578" s="241" t="inlineStr">
        <is>
          <t>Permet d'identifier le périmètre devant faire l'objet d'un provisionnement au titre des normes nationales (French GAP, ….) et qui ne ferait pas l'objet d'un provisionnement au titre des normes internationales IFRS9</t>
        </is>
      </c>
      <c r="J578" s="309" t="inlineStr">
        <is>
          <t>Identifies scope for which provisions must be made under national accounting standards (French GAP, etc.), but not under IFRS 9 standard</t>
        </is>
      </c>
      <c r="K578" s="370" t="inlineStr">
        <is>
          <t>ND</t>
        </is>
      </c>
      <c r="L578" s="371" t="inlineStr">
        <is>
          <t>ND</t>
        </is>
      </c>
      <c r="M578" s="1425" t="inlineStr">
        <is>
          <t>cdClasLoc</t>
        </is>
      </c>
      <c r="N578" s="639" t="inlineStr">
        <is>
          <t>Obligatoire sous conditions</t>
        </is>
      </c>
      <c r="O578" s="371" t="inlineStr">
        <is>
          <t>Mandatory under conditions</t>
        </is>
      </c>
      <c r="P578" s="269" t="inlineStr">
        <is>
          <t>LC.0223</t>
        </is>
      </c>
      <c r="Q578" s="640" t="inlineStr">
        <is>
          <t>TA KVCCPTNN</t>
        </is>
      </c>
      <c r="R578" s="641" t="inlineStr">
        <is>
          <t>Dans un premier temps, seule la classification en norme française sera prise en compte. Cette donnée concerne les contrats de droit français</t>
        </is>
      </c>
      <c r="S578" s="233" t="inlineStr">
        <is>
          <t>As a first step, only the French standard classification will be taken into account. This data concerns contracts governed by French law</t>
        </is>
      </c>
      <c r="T578" s="313" t="inlineStr">
        <is>
          <t>ALPHA</t>
        </is>
      </c>
      <c r="U578" s="237" t="inlineStr">
        <is>
          <t>NA</t>
        </is>
      </c>
      <c r="V578" s="238" t="inlineStr">
        <is>
          <t>NA</t>
        </is>
      </c>
      <c r="W578" s="257" t="n">
        <v>3</v>
      </c>
      <c r="X578" s="945" t="inlineStr">
        <is>
          <t>NA</t>
        </is>
      </c>
      <c r="Y578" s="237" t="n">
        <v>41</v>
      </c>
      <c r="Z578" s="237" t="inlineStr">
        <is>
          <t>NA</t>
        </is>
      </c>
      <c r="AA578" s="237" t="inlineStr">
        <is>
          <t>45.00</t>
        </is>
      </c>
      <c r="AB578" s="269" t="inlineStr">
        <is>
          <t>CORFOU, OMP</t>
        </is>
      </c>
      <c r="AC578" s="231" t="inlineStr">
        <is>
          <t>ND</t>
        </is>
      </c>
      <c r="AD578" s="257" t="inlineStr">
        <is>
          <t>N</t>
        </is>
      </c>
      <c r="AE578" s="971" t="inlineStr">
        <is>
          <t>EQU101
EQU201
ISS100
ISS200 et 300
TRE100
TRE2 à 4XX hors 203,205,206,207
TRE203, 205, 207
TRE206
TRE5XX
SIG
VAR*
INT</t>
        </is>
      </c>
      <c r="AF578" s="257" t="inlineStr">
        <is>
          <t>NA</t>
        </is>
      </c>
      <c r="AG578" s="258" t="inlineStr">
        <is>
          <t>NA</t>
        </is>
      </c>
      <c r="AH578" s="89" t="n"/>
      <c r="AI578" s="1260" t="inlineStr">
        <is>
          <t>La donnée est obligatoire, si le 'Type de risque' [P1 2.0] = 'EQU101, ISS200, ISS300' ET si le 'Portefeuille de booking Intention de Gestion' [P1 2.4] = 'B'
---
La donnée est obligatoire, si le 'Type de risque' [P1 2.0] = 'TRE2xx' à 'TRE5xx', 'SIGxx', 'VARxx', 'INTxx' hors ('TRE203', 'TRE205', 'TRE206', 'TRE207')' ET si 'Pays de juridiction du contrat' [P1 22.66] = ‘FR'</t>
        </is>
      </c>
      <c r="AJ578" s="931" t="inlineStr">
        <is>
          <t>The data is mandatory, if 'Risk type' [P1 2.0] = 'EQU101, ISS200, ISS300' AND if the 'Booking portfolio Management intent' [P1 2.4] = 'B'
---
The data is mandatory, if Risk type [P1 2.0] is equal to 'TRE2xx' to 'TRE5xx', 'SIGxx', 'VARxx', 'INTxx' except ('TRE203', 'TRE205', 'TRE206', 'TRE207') AND if Country of jurisdiction of the contract [P1 22.66] = 'FR'</t>
        </is>
      </c>
      <c r="AK578" s="1261" t="n">
        <v>6</v>
      </c>
      <c r="AL578" s="1262" t="inlineStr">
        <is>
          <t>TPS0763
TPSxxxx (ex TPS0871)</t>
        </is>
      </c>
      <c r="AM578" s="642" t="inlineStr">
        <is>
          <t>Si 'Pays de juridiction du contrat' [P1 22.66] = ‘FR', alors la valeur doit être connue du Langage Commun associé</t>
        </is>
      </c>
      <c r="AN578" s="317" t="inlineStr">
        <is>
          <t>If Country of jurisdiction of the contract [P1 22.66] = 'FR', then the value must be known to the associated Common Language</t>
        </is>
      </c>
      <c r="AO578" s="643" t="n">
        <v>7</v>
      </c>
      <c r="AP578" s="644" t="inlineStr">
        <is>
          <t>TISXXXX</t>
        </is>
      </c>
      <c r="AQ578" s="318" t="n"/>
      <c r="AR578" s="317" t="n"/>
      <c r="AS578" s="257" t="n"/>
      <c r="AT578" s="258" t="n"/>
      <c r="AU578" s="318" t="n"/>
      <c r="AV578" s="317" t="n"/>
      <c r="AW578" s="257" t="n"/>
      <c r="AX578" s="258" t="n"/>
      <c r="AY578" s="318" t="n"/>
      <c r="AZ578" s="317" t="n"/>
      <c r="BA578" s="257" t="n"/>
      <c r="BB578" s="258" t="n"/>
      <c r="BC578" s="316" t="n"/>
      <c r="BD578" s="317" t="n"/>
      <c r="BE578" s="257" t="n"/>
      <c r="BF578" s="258" t="n"/>
      <c r="BG578" s="89" t="n"/>
      <c r="BH5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78">
        <f>_xlfn.LET(r,ROW(),oc,INDEX($A:$A,r),cv,TRIM(INDEX($Y:$Y,r)&amp;""),IF(oc&lt;&gt;"P1","",IF(cv="45","V45 - novo, nao alimentado pelo spool atual","V44 - alimentado pelo spool atual")))</f>
        <v/>
      </c>
    </row>
    <row r="579" ht="54" customFormat="1" customHeight="1" s="91">
      <c r="A579" s="306" t="inlineStr">
        <is>
          <t>P1</t>
        </is>
      </c>
      <c r="B579" s="307" t="n">
        <v>344</v>
      </c>
      <c r="C579" s="269" t="inlineStr">
        <is>
          <t>13 - Caractéristiques Provision</t>
        </is>
      </c>
      <c r="D579" s="310" t="inlineStr">
        <is>
          <t>13 - Provision characteristics</t>
        </is>
      </c>
      <c r="E579" s="307" t="inlineStr">
        <is>
          <t>P1 23.6</t>
        </is>
      </c>
      <c r="F579" s="308" t="inlineStr">
        <is>
          <t>Indicateur Actif déprécié dès l'origination</t>
        </is>
      </c>
      <c r="G579" s="309" t="inlineStr">
        <is>
          <t>Asset impaired as of origination indicator</t>
        </is>
      </c>
      <c r="H579" s="1493">
        <f>"RPAD( "&amp;SUBSTITUTE(SUBSTITUTE(E579," ","_"),".","_")&amp;","&amp;W579&amp;",' '); -- "&amp;E579</f>
        <v/>
      </c>
      <c r="I579" s="241" t="inlineStr">
        <is>
          <t>Permet d'indiquer si l'opération est en défaut dès l'origination</t>
        </is>
      </c>
      <c r="J579" s="309" t="inlineStr">
        <is>
          <t>Indicates whether the transaction is in default as of origination</t>
        </is>
      </c>
      <c r="K579" s="370" t="inlineStr">
        <is>
          <t>ND</t>
        </is>
      </c>
      <c r="L579" s="371" t="inlineStr">
        <is>
          <t>ND</t>
        </is>
      </c>
      <c r="M579" s="1420" t="inlineStr">
        <is>
          <t>cdIndAct</t>
        </is>
      </c>
      <c r="N579" s="257" t="inlineStr">
        <is>
          <t>Obligatoire sous conditions</t>
        </is>
      </c>
      <c r="O579" s="371" t="inlineStr">
        <is>
          <t>Mandatory under conditions</t>
        </is>
      </c>
      <c r="P579" s="269" t="inlineStr">
        <is>
          <t>LC.0217</t>
        </is>
      </c>
      <c r="Q579" s="269" t="inlineStr">
        <is>
          <t>TA KVINPOCI</t>
        </is>
      </c>
      <c r="R579" s="241" t="inlineStr">
        <is>
          <t>Obligatoire si 
- Eligibilité OMP &lt;&gt; '1' (instrument éligible à l'outil de provissionnement) 
- et Classification comptable des actifs en norme IFRS9 (P1 23.4) &lt;&gt; de "Juste valeur par résultat" et de "Juste valeur par capitaux propres non recyclables"</t>
        </is>
      </c>
      <c r="S579" s="233" t="inlineStr">
        <is>
          <t>Mandatory if 
- OMP eligibility &lt;&gt; '1' (instrument eligible for the provisioning tool) 
- and Accounting classification of asset under IFRS9 (P1 23.4) &lt;&gt; "Fair value through P&amp;L" and "Fair value through non-recyclable shareholders equity"</t>
        </is>
      </c>
      <c r="T579" s="313" t="inlineStr">
        <is>
          <t>ALPHA</t>
        </is>
      </c>
      <c r="U579" s="237" t="inlineStr">
        <is>
          <t>NA</t>
        </is>
      </c>
      <c r="V579" s="238" t="inlineStr">
        <is>
          <t>NA</t>
        </is>
      </c>
      <c r="W579" s="257" t="n">
        <v>1</v>
      </c>
      <c r="X579" s="945" t="inlineStr">
        <is>
          <t>NA</t>
        </is>
      </c>
      <c r="Y579" s="237" t="n">
        <v>41</v>
      </c>
      <c r="Z579" s="237" t="inlineStr">
        <is>
          <t>NA</t>
        </is>
      </c>
      <c r="AA579" s="283" t="inlineStr">
        <is>
          <t>NA</t>
        </is>
      </c>
      <c r="AB579" s="269" t="inlineStr">
        <is>
          <t>ANACREDIT, LOAN TAPE, OMP</t>
        </is>
      </c>
      <c r="AC579" s="231" t="inlineStr">
        <is>
          <t>ND</t>
        </is>
      </c>
      <c r="AD579" s="257" t="inlineStr">
        <is>
          <t>N</t>
        </is>
      </c>
      <c r="AE579" s="971" t="inlineStr">
        <is>
          <t>EQU101
EQU201
ISS100
ISS200 et 300
TRE100
TRE2 à 4XX hors 203,205,206,207
TRE203, 205, 207
TRE206
TRE5XX
SIG
VAR*
INT</t>
        </is>
      </c>
      <c r="AF579" s="257" t="inlineStr">
        <is>
          <t>NA</t>
        </is>
      </c>
      <c r="AG579" s="258" t="inlineStr">
        <is>
          <t>NA</t>
        </is>
      </c>
      <c r="AH579" s="89" t="n"/>
      <c r="AI579" s="353" t="inlineStr">
        <is>
          <t>La donnée est obligatoire si [l'éligibilité OMP [P1 23.1] est renseignée et différente de '1' ET la classification comptable des actifs en norme IFRS9 [P1 23.4] est différente de ('JVR', 'JCN')] OU si Eligibilité Outil Central ANACREDIT [P1 27.3] = '2'</t>
        </is>
      </c>
      <c r="AJ579" s="317" t="inlineStr">
        <is>
          <t>The data is mandatory if [OMP eligibility [P1 23.1] is filled and different from '1' AND the accounting classification of assets in IFRS9 [P1 23.4] is different from ('JVR', 'JCN')] OR if Eligibility for the ANACREDIT Central tool [P1 27.3] = '2'</t>
        </is>
      </c>
      <c r="AK579" s="257" t="n">
        <v>6</v>
      </c>
      <c r="AL579" s="345" t="inlineStr">
        <is>
          <t>TPS0872</t>
        </is>
      </c>
      <c r="AM579" s="318" t="inlineStr">
        <is>
          <t>Si elle est renseignée, la valeur doit être connue du Langage Commun associé</t>
        </is>
      </c>
      <c r="AN579" s="317" t="inlineStr">
        <is>
          <t>If specified, the value must be known to the associated Common Language</t>
        </is>
      </c>
      <c r="AO579" s="257" t="n">
        <v>7</v>
      </c>
      <c r="AP579" s="212" t="inlineStr">
        <is>
          <t>TIG0001</t>
        </is>
      </c>
      <c r="AQ579" s="318" t="n"/>
      <c r="AR579" s="317" t="n"/>
      <c r="AS579" s="257" t="n"/>
      <c r="AT579" s="258" t="n"/>
      <c r="AU579" s="318" t="n"/>
      <c r="AV579" s="317" t="n"/>
      <c r="AW579" s="257" t="n"/>
      <c r="AX579" s="258" t="n"/>
      <c r="AY579" s="318" t="n"/>
      <c r="AZ579" s="317" t="n"/>
      <c r="BA579" s="257" t="n"/>
      <c r="BB579" s="258" t="n"/>
      <c r="BC579" s="316" t="n"/>
      <c r="BD579" s="317" t="n"/>
      <c r="BE579" s="257" t="n"/>
      <c r="BF579" s="258" t="n"/>
      <c r="BG579" s="89" t="n"/>
      <c r="BH5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79">
        <f>_xlfn.LET(r,ROW(),oc,INDEX($A:$A,r),cv,TRIM(INDEX($Y:$Y,r)&amp;""),IF(oc&lt;&gt;"P1","",IF(cv="45","V45 - novo, nao alimentado pelo spool atual","V44 - alimentado pelo spool atual")))</f>
        <v/>
      </c>
    </row>
    <row r="580" ht="54" customFormat="1" customHeight="1" s="91">
      <c r="A580" s="306" t="inlineStr">
        <is>
          <t>P1</t>
        </is>
      </c>
      <c r="B580" s="307" t="n">
        <v>345</v>
      </c>
      <c r="C580" s="269" t="inlineStr">
        <is>
          <t>13 - Caractéristiques Provision</t>
        </is>
      </c>
      <c r="D580" s="310" t="inlineStr">
        <is>
          <t>13 - Provision characteristics</t>
        </is>
      </c>
      <c r="E580" s="307" t="inlineStr">
        <is>
          <t>P1 23.7</t>
        </is>
      </c>
      <c r="F580" s="308" t="inlineStr">
        <is>
          <t>Zone libre d'appariement comptable</t>
        </is>
      </c>
      <c r="G580" s="309" t="inlineStr">
        <is>
          <t>Accounting matching free field</t>
        </is>
      </c>
      <c r="H580" s="1493">
        <f>"RPAD( "&amp;SUBSTITUTE(SUBSTITUTE(E580," ","_"),".","_")&amp;","&amp;W580&amp;",' '); -- "&amp;E580</f>
        <v/>
      </c>
      <c r="I580" s="241" t="inlineStr">
        <is>
          <t xml:space="preserve">Zone libre, permet à l'entité d'indiquer ces critères d'appariement comptable IFRS9 </t>
        </is>
      </c>
      <c r="J580" s="309" t="inlineStr">
        <is>
          <t>Free zone – enables the entity to indicate these IFRS 9 accounting matching criteria</t>
        </is>
      </c>
      <c r="K580" s="370" t="inlineStr">
        <is>
          <t>ND</t>
        </is>
      </c>
      <c r="L580" s="371" t="inlineStr">
        <is>
          <t>ND</t>
        </is>
      </c>
      <c r="M580" s="1420" t="inlineStr">
        <is>
          <t>cdAppCmpt</t>
        </is>
      </c>
      <c r="N580" s="449" t="inlineStr">
        <is>
          <t>Facultatif</t>
        </is>
      </c>
      <c r="O580" s="371" t="inlineStr">
        <is>
          <t>Optional</t>
        </is>
      </c>
      <c r="P580" s="269" t="inlineStr">
        <is>
          <t>NA</t>
        </is>
      </c>
      <c r="Q580" s="269" t="inlineStr">
        <is>
          <t>NA</t>
        </is>
      </c>
      <c r="R580" s="241" t="inlineStr">
        <is>
          <t>Obligatoire si 
- Eligibilité OMP &lt;&gt; '1' (instrument éligible à l'outil de provissionnement) 
- et Classification comptable des actifs en norme IFRS9 (P1 23.4) &lt;&gt; de "Juste valeur par résultat" et de "Juste valeur par capitaux propres non recyclables"
Champ libre à la main de l'entité permettant de collecter des informations facilitant les appariements comptables</t>
        </is>
      </c>
      <c r="S580" s="233" t="inlineStr">
        <is>
          <t>Mandatory if 
- OMP eligibility &lt;&gt; '1' (instrument eligible for the provisioning tool) 
- and Accounting classification of asset under IFRS9 (P1 23.4) &lt;&gt; "Fair value through P&amp;L" and "Fair value through non-recyclable shareholders equity"
Free field in the hand of the entity to collect information facilitating accounting matches</t>
        </is>
      </c>
      <c r="T580" s="307" t="inlineStr">
        <is>
          <t>ALPHA</t>
        </is>
      </c>
      <c r="U580" s="237" t="inlineStr">
        <is>
          <t>NA</t>
        </is>
      </c>
      <c r="V580" s="238" t="inlineStr">
        <is>
          <t>NA</t>
        </is>
      </c>
      <c r="W580" s="269" t="n">
        <v>40</v>
      </c>
      <c r="X580" s="231" t="inlineStr">
        <is>
          <t>NA</t>
        </is>
      </c>
      <c r="Y580" s="237" t="n">
        <v>41</v>
      </c>
      <c r="Z580" s="237" t="inlineStr">
        <is>
          <t>NA</t>
        </is>
      </c>
      <c r="AA580" s="237" t="inlineStr">
        <is>
          <t>NA</t>
        </is>
      </c>
      <c r="AB580" s="269" t="inlineStr">
        <is>
          <t>OMP</t>
        </is>
      </c>
      <c r="AC580" s="231" t="inlineStr">
        <is>
          <t>ND</t>
        </is>
      </c>
      <c r="AD580" s="257" t="inlineStr">
        <is>
          <t>N</t>
        </is>
      </c>
      <c r="AE580" s="971" t="inlineStr">
        <is>
          <t>EQU101
EQU201
ISS100
ISS200 et 300
TRE100
TRE2 à 4XX hors 203,205,206,207
TRE203, 205, 207
TRE206
TRE5XX
SIG
VAR*
INT</t>
        </is>
      </c>
      <c r="AF580" s="257" t="inlineStr">
        <is>
          <t>NA</t>
        </is>
      </c>
      <c r="AG580" s="258" t="inlineStr">
        <is>
          <t>NA</t>
        </is>
      </c>
      <c r="AH580" s="89" t="n"/>
      <c r="AI580" s="316" t="n"/>
      <c r="AJ580" s="317" t="n"/>
      <c r="AK580" s="257" t="n"/>
      <c r="AL580" s="258" t="n"/>
      <c r="AM580" s="318" t="n"/>
      <c r="AN580" s="317" t="n"/>
      <c r="AO580" s="257" t="n"/>
      <c r="AP580" s="258" t="n"/>
      <c r="AQ580" s="318" t="n"/>
      <c r="AR580" s="317" t="n"/>
      <c r="AS580" s="257" t="n"/>
      <c r="AT580" s="258" t="n"/>
      <c r="AU580" s="318" t="n"/>
      <c r="AV580" s="317" t="n"/>
      <c r="AW580" s="257" t="n"/>
      <c r="AX580" s="258" t="n"/>
      <c r="AY580" s="318" t="n"/>
      <c r="AZ580" s="317" t="n"/>
      <c r="BA580" s="257" t="n"/>
      <c r="BB580" s="258" t="n"/>
      <c r="BC580" s="316" t="n"/>
      <c r="BD580" s="317" t="n"/>
      <c r="BE580" s="257" t="n"/>
      <c r="BF580" s="258" t="n"/>
      <c r="BG580" s="89" t="n"/>
      <c r="BH5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80">
        <f>_xlfn.LET(r,ROW(),oc,INDEX($A:$A,r),cv,TRIM(INDEX($Y:$Y,r)&amp;""),IF(oc&lt;&gt;"P1","",IF(cv="45","V45 - novo, nao alimentado pelo spool atual","V44 - alimentado pelo spool atual")))</f>
        <v/>
      </c>
    </row>
    <row r="581" ht="54" customFormat="1" customHeight="1" s="91">
      <c r="A581" s="306" t="inlineStr">
        <is>
          <t>P1</t>
        </is>
      </c>
      <c r="B581" s="307" t="n">
        <v>346</v>
      </c>
      <c r="C581" s="269" t="inlineStr">
        <is>
          <t>13 - Caractéristiques Provision</t>
        </is>
      </c>
      <c r="D581" s="310" t="inlineStr">
        <is>
          <t>13 - Provision characteristics</t>
        </is>
      </c>
      <c r="E581" s="307" t="inlineStr">
        <is>
          <t>P1 23.12</t>
        </is>
      </c>
      <c r="F581" s="308" t="inlineStr">
        <is>
          <t>Zone OMP locale 1</t>
        </is>
      </c>
      <c r="G581" s="309" t="inlineStr">
        <is>
          <t>Zone MPT local 1</t>
        </is>
      </c>
      <c r="H581" s="1493">
        <f>"RPAD( "&amp;SUBSTITUTE(SUBSTITUTE(E581," ","_"),".","_")&amp;","&amp;W581&amp;",' '); -- "&amp;E581</f>
        <v/>
      </c>
      <c r="I581" s="241" t="inlineStr">
        <is>
          <t>Premier critère local de sélection des portefeuilles à stresser</t>
        </is>
      </c>
      <c r="J581" s="309" t="inlineStr">
        <is>
          <t>First local selection criteria portfolios to stress</t>
        </is>
      </c>
      <c r="K581" s="370" t="inlineStr">
        <is>
          <t>ND</t>
        </is>
      </c>
      <c r="L581" s="371" t="inlineStr">
        <is>
          <t>ND</t>
        </is>
      </c>
      <c r="M581" s="1420" t="inlineStr">
        <is>
          <t>cdZoneLibOMP1</t>
        </is>
      </c>
      <c r="N581" s="257" t="inlineStr">
        <is>
          <t>Facultatif</t>
        </is>
      </c>
      <c r="O581" s="371" t="inlineStr">
        <is>
          <t>Optional</t>
        </is>
      </c>
      <c r="P581" s="269" t="inlineStr">
        <is>
          <t>NA</t>
        </is>
      </c>
      <c r="Q581" s="269" t="inlineStr">
        <is>
          <t>NA</t>
        </is>
      </c>
      <c r="R581" s="241" t="inlineStr">
        <is>
          <t>Zone libre à la main de l'entité permettant de véhiculer un premier critère local de sélection des portefeuilles à stresser</t>
        </is>
      </c>
      <c r="S581" s="233" t="inlineStr">
        <is>
          <t>Free zone to be used by the entity allowing to convey the first local criteria of the portfolios selection to be stressed</t>
        </is>
      </c>
      <c r="T581" s="307" t="inlineStr">
        <is>
          <t>ALPHA</t>
        </is>
      </c>
      <c r="U581" s="237" t="inlineStr">
        <is>
          <t>NA</t>
        </is>
      </c>
      <c r="V581" s="238" t="inlineStr">
        <is>
          <t>NA</t>
        </is>
      </c>
      <c r="W581" s="269" t="n">
        <v>5</v>
      </c>
      <c r="X581" s="231" t="inlineStr">
        <is>
          <t>NA</t>
        </is>
      </c>
      <c r="Y581" s="237" t="n">
        <v>41</v>
      </c>
      <c r="Z581" s="237" t="inlineStr">
        <is>
          <t>NA</t>
        </is>
      </c>
      <c r="AA581" s="237" t="inlineStr">
        <is>
          <t>NA</t>
        </is>
      </c>
      <c r="AB581" s="269" t="inlineStr">
        <is>
          <t>OMP</t>
        </is>
      </c>
      <c r="AC581" s="231" t="inlineStr">
        <is>
          <t>ND</t>
        </is>
      </c>
      <c r="AD581" s="257" t="inlineStr">
        <is>
          <t>N</t>
        </is>
      </c>
      <c r="AE581" s="971" t="inlineStr">
        <is>
          <t>EQU101
EQU201
ISS100
ISS200 et 300
TRE100
TRE2 à 4XX hors 203,205,206,207
TRE203, 205, 207
TRE206
TRE5XX
SIG
VAR*
INT</t>
        </is>
      </c>
      <c r="AF581" s="257" t="inlineStr">
        <is>
          <t>NA</t>
        </is>
      </c>
      <c r="AG581" s="258" t="inlineStr">
        <is>
          <t>NA</t>
        </is>
      </c>
      <c r="AH581" s="89" t="n"/>
      <c r="AI581" s="316" t="n"/>
      <c r="AJ581" s="317" t="n"/>
      <c r="AK581" s="257" t="n"/>
      <c r="AL581" s="258" t="n"/>
      <c r="AM581" s="318" t="n"/>
      <c r="AN581" s="317" t="n"/>
      <c r="AO581" s="257" t="n"/>
      <c r="AP581" s="258" t="n"/>
      <c r="AQ581" s="318" t="n"/>
      <c r="AR581" s="317" t="n"/>
      <c r="AS581" s="257" t="n"/>
      <c r="AT581" s="258" t="n"/>
      <c r="AU581" s="318" t="n"/>
      <c r="AV581" s="317" t="n"/>
      <c r="AW581" s="257" t="n"/>
      <c r="AX581" s="258" t="n"/>
      <c r="AY581" s="318" t="n"/>
      <c r="AZ581" s="317" t="n"/>
      <c r="BA581" s="257" t="n"/>
      <c r="BB581" s="258" t="n"/>
      <c r="BC581" s="316" t="n"/>
      <c r="BD581" s="317" t="n"/>
      <c r="BE581" s="257" t="n"/>
      <c r="BF581" s="258" t="n"/>
      <c r="BG581" s="89" t="n"/>
      <c r="BH5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81">
        <f>_xlfn.LET(r,ROW(),oc,INDEX($A:$A,r),cv,TRIM(INDEX($Y:$Y,r)&amp;""),IF(oc&lt;&gt;"P1","",IF(cv="45","V45 - novo, nao alimentado pelo spool atual","V44 - alimentado pelo spool atual")))</f>
        <v/>
      </c>
    </row>
    <row r="582" ht="54" customFormat="1" customHeight="1" s="91">
      <c r="A582" s="306" t="inlineStr">
        <is>
          <t>P1</t>
        </is>
      </c>
      <c r="B582" s="307" t="n">
        <v>347</v>
      </c>
      <c r="C582" s="269" t="inlineStr">
        <is>
          <t>13 - Caractéristiques Provision</t>
        </is>
      </c>
      <c r="D582" s="310" t="inlineStr">
        <is>
          <t>13 - Provision characteristics</t>
        </is>
      </c>
      <c r="E582" s="307" t="inlineStr">
        <is>
          <t>P1 23.13</t>
        </is>
      </c>
      <c r="F582" s="308" t="inlineStr">
        <is>
          <t>Zone OMP locale 2</t>
        </is>
      </c>
      <c r="G582" s="309" t="inlineStr">
        <is>
          <t>Zone MPT local 2</t>
        </is>
      </c>
      <c r="H582" s="1493">
        <f>"RPAD( "&amp;SUBSTITUTE(SUBSTITUTE(E582," ","_"),".","_")&amp;","&amp;W582&amp;",' '); -- "&amp;E582</f>
        <v/>
      </c>
      <c r="I582" s="241" t="inlineStr">
        <is>
          <t>Deuxième critère local de sélection des portefeuilles à stresser</t>
        </is>
      </c>
      <c r="J582" s="309" t="inlineStr">
        <is>
          <t>Second local selection criteria portfolios to stress</t>
        </is>
      </c>
      <c r="K582" s="370" t="inlineStr">
        <is>
          <t>ND</t>
        </is>
      </c>
      <c r="L582" s="371" t="inlineStr">
        <is>
          <t>ND</t>
        </is>
      </c>
      <c r="M582" s="1420" t="inlineStr">
        <is>
          <t>cdZoneLibOMP2</t>
        </is>
      </c>
      <c r="N582" s="257" t="inlineStr">
        <is>
          <t>Facultatif</t>
        </is>
      </c>
      <c r="O582" s="371" t="inlineStr">
        <is>
          <t>Optional</t>
        </is>
      </c>
      <c r="P582" s="269" t="inlineStr">
        <is>
          <t>NA</t>
        </is>
      </c>
      <c r="Q582" s="269" t="inlineStr">
        <is>
          <t>NA</t>
        </is>
      </c>
      <c r="R582" s="241" t="inlineStr">
        <is>
          <t>Zone libre à la main de l'entité permettant de véhiculer un deuxième critère local de sélection des portefeuilles à stresser</t>
        </is>
      </c>
      <c r="S582" s="233" t="inlineStr">
        <is>
          <t>Free zone to be used by the entity allowing to convey the second local criteria of the portfolios selection to be stressed</t>
        </is>
      </c>
      <c r="T582" s="307" t="inlineStr">
        <is>
          <t>ALPHA</t>
        </is>
      </c>
      <c r="U582" s="237" t="inlineStr">
        <is>
          <t>NA</t>
        </is>
      </c>
      <c r="V582" s="238" t="inlineStr">
        <is>
          <t>NA</t>
        </is>
      </c>
      <c r="W582" s="269" t="n">
        <v>5</v>
      </c>
      <c r="X582" s="231" t="inlineStr">
        <is>
          <t>NA</t>
        </is>
      </c>
      <c r="Y582" s="237" t="n">
        <v>41</v>
      </c>
      <c r="Z582" s="237" t="inlineStr">
        <is>
          <t>NA</t>
        </is>
      </c>
      <c r="AA582" s="237" t="inlineStr">
        <is>
          <t>NA</t>
        </is>
      </c>
      <c r="AB582" s="269" t="inlineStr">
        <is>
          <t>OMP</t>
        </is>
      </c>
      <c r="AC582" s="231" t="inlineStr">
        <is>
          <t>ND</t>
        </is>
      </c>
      <c r="AD582" s="257" t="inlineStr">
        <is>
          <t>N</t>
        </is>
      </c>
      <c r="AE582" s="971" t="inlineStr">
        <is>
          <t>EQU101
EQU201
ISS100
ISS200 et 300
TRE100
TRE2 à 4XX hors 203,205,206,207
TRE203, 205, 207
TRE206
TRE5XX
SIG
VAR*
INT</t>
        </is>
      </c>
      <c r="AF582" s="257" t="inlineStr">
        <is>
          <t>NA</t>
        </is>
      </c>
      <c r="AG582" s="258" t="inlineStr">
        <is>
          <t>NA</t>
        </is>
      </c>
      <c r="AH582" s="89" t="n"/>
      <c r="AI582" s="316" t="n"/>
      <c r="AJ582" s="317" t="n"/>
      <c r="AK582" s="257" t="n"/>
      <c r="AL582" s="258" t="n"/>
      <c r="AM582" s="318" t="n"/>
      <c r="AN582" s="317" t="n"/>
      <c r="AO582" s="257" t="n"/>
      <c r="AP582" s="258" t="n"/>
      <c r="AQ582" s="318" t="n"/>
      <c r="AR582" s="317" t="n"/>
      <c r="AS582" s="257" t="n"/>
      <c r="AT582" s="258" t="n"/>
      <c r="AU582" s="318" t="n"/>
      <c r="AV582" s="317" t="n"/>
      <c r="AW582" s="257" t="n"/>
      <c r="AX582" s="258" t="n"/>
      <c r="AY582" s="318" t="n"/>
      <c r="AZ582" s="317" t="n"/>
      <c r="BA582" s="257" t="n"/>
      <c r="BB582" s="258" t="n"/>
      <c r="BC582" s="316" t="n"/>
      <c r="BD582" s="317" t="n"/>
      <c r="BE582" s="257" t="n"/>
      <c r="BF582" s="258" t="n"/>
      <c r="BG582" s="89" t="n"/>
      <c r="BH5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82">
        <f>_xlfn.LET(r,ROW(),oc,INDEX($A:$A,r),cv,TRIM(INDEX($Y:$Y,r)&amp;""),IF(oc&lt;&gt;"P1","",IF(cv="45","V45 - novo, nao alimentado pelo spool atual","V44 - alimentado pelo spool atual")))</f>
        <v/>
      </c>
    </row>
    <row r="583" ht="54" customFormat="1" customHeight="1" s="91">
      <c r="A583" s="306" t="inlineStr">
        <is>
          <t>P1</t>
        </is>
      </c>
      <c r="B583" s="307" t="n">
        <v>348</v>
      </c>
      <c r="C583" s="269" t="inlineStr">
        <is>
          <t>31 - Paramètres bâlois</t>
        </is>
      </c>
      <c r="D583" s="310" t="inlineStr">
        <is>
          <t>31 - Basel settings</t>
        </is>
      </c>
      <c r="E583" s="307" t="inlineStr">
        <is>
          <t>P1 23.8</t>
        </is>
      </c>
      <c r="F583" s="308" t="inlineStr">
        <is>
          <t>Code méthode IFRS9 - PD</t>
        </is>
      </c>
      <c r="G583" s="309" t="inlineStr">
        <is>
          <t>Method code IFRS9 - PD</t>
        </is>
      </c>
      <c r="H583" s="1493">
        <f>"RPAD( "&amp;SUBSTITUTE(SUBSTITUTE(E583," ","_"),".","_")&amp;","&amp;W583&amp;",' '); -- "&amp;E583</f>
        <v/>
      </c>
      <c r="I583" s="241" t="inlineStr">
        <is>
          <t>Clé d'appariement avec les courbes de PD du référentiel IFRS 9</t>
        </is>
      </c>
      <c r="J583" s="309" t="inlineStr">
        <is>
          <t>Matching code with IFRS 9 referential PD curves</t>
        </is>
      </c>
      <c r="K583" s="370" t="inlineStr">
        <is>
          <t>ND</t>
        </is>
      </c>
      <c r="L583" s="371" t="inlineStr">
        <is>
          <t>ND</t>
        </is>
      </c>
      <c r="M583" s="1420" t="inlineStr">
        <is>
          <t>cdMetPD</t>
        </is>
      </c>
      <c r="N583" s="231" t="inlineStr">
        <is>
          <t>Facultatif</t>
        </is>
      </c>
      <c r="O583" s="371" t="inlineStr">
        <is>
          <t>Optional</t>
        </is>
      </c>
      <c r="P583" s="269" t="inlineStr">
        <is>
          <t>NA</t>
        </is>
      </c>
      <c r="Q583" s="269" t="inlineStr">
        <is>
          <t>NA</t>
        </is>
      </c>
      <c r="R583" s="1013" t="inlineStr">
        <is>
          <t>NA</t>
        </is>
      </c>
      <c r="S583" s="233" t="inlineStr">
        <is>
          <t>NA</t>
        </is>
      </c>
      <c r="T583" s="313" t="inlineStr">
        <is>
          <t>ALPHA</t>
        </is>
      </c>
      <c r="U583" s="237" t="inlineStr">
        <is>
          <t>NA</t>
        </is>
      </c>
      <c r="V583" s="238" t="inlineStr">
        <is>
          <t>NA</t>
        </is>
      </c>
      <c r="W583" s="257" t="n">
        <v>12</v>
      </c>
      <c r="X583" s="945" t="inlineStr">
        <is>
          <t>NA</t>
        </is>
      </c>
      <c r="Y583" s="237" t="n">
        <v>41</v>
      </c>
      <c r="Z583" s="237" t="inlineStr">
        <is>
          <t>NA</t>
        </is>
      </c>
      <c r="AA583" s="237" t="inlineStr">
        <is>
          <t>NA</t>
        </is>
      </c>
      <c r="AB583" s="269" t="inlineStr">
        <is>
          <t>ASTRE, OMP, SRB VALUATION</t>
        </is>
      </c>
      <c r="AC583" s="231" t="inlineStr">
        <is>
          <t>ND</t>
        </is>
      </c>
      <c r="AD583" s="257" t="inlineStr">
        <is>
          <t>N</t>
        </is>
      </c>
      <c r="AE583" s="971" t="inlineStr">
        <is>
          <t>EQU101
EQU201
ISS100
ISS200 et 300
TRE100
TRE2 à 4XX hors 203,205,206,207
TRE203, 205, 207
TRE206
TRE5XX
SIG
VAR*
INT</t>
        </is>
      </c>
      <c r="AF583" s="257" t="inlineStr">
        <is>
          <t>NA</t>
        </is>
      </c>
      <c r="AG583" s="258" t="inlineStr">
        <is>
          <t>NA</t>
        </is>
      </c>
      <c r="AH583" s="89" t="n"/>
      <c r="AI583" s="316" t="n"/>
      <c r="AJ583" s="317" t="n"/>
      <c r="AK583" s="257" t="n"/>
      <c r="AL583" s="258" t="n"/>
      <c r="AM583" s="318" t="n"/>
      <c r="AN583" s="317" t="n"/>
      <c r="AO583" s="257" t="n"/>
      <c r="AP583" s="258" t="n"/>
      <c r="AQ583" s="318" t="n"/>
      <c r="AR583" s="317" t="n"/>
      <c r="AS583" s="257" t="n"/>
      <c r="AT583" s="258" t="n"/>
      <c r="AU583" s="318" t="n"/>
      <c r="AV583" s="317" t="n"/>
      <c r="AW583" s="257" t="n"/>
      <c r="AX583" s="258" t="n"/>
      <c r="AY583" s="318" t="n"/>
      <c r="AZ583" s="317" t="n"/>
      <c r="BA583" s="257" t="n"/>
      <c r="BB583" s="258" t="n"/>
      <c r="BC583" s="316" t="n"/>
      <c r="BD583" s="317" t="n"/>
      <c r="BE583" s="257" t="n"/>
      <c r="BF583" s="258" t="n"/>
      <c r="BG583" s="89" t="n"/>
      <c r="BH5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83">
        <f>_xlfn.LET(r,ROW(),oc,INDEX($A:$A,r),cv,TRIM(INDEX($Y:$Y,r)&amp;""),IF(oc&lt;&gt;"P1","",IF(cv="45","V45 - novo, nao alimentado pelo spool atual","V44 - alimentado pelo spool atual")))</f>
        <v/>
      </c>
    </row>
    <row r="584" ht="54" customFormat="1" customHeight="1" s="91">
      <c r="A584" s="306" t="inlineStr">
        <is>
          <t>P1</t>
        </is>
      </c>
      <c r="B584" s="307" t="n">
        <v>349</v>
      </c>
      <c r="C584" s="269" t="inlineStr">
        <is>
          <t>31 - Paramètres bâlois</t>
        </is>
      </c>
      <c r="D584" s="310" t="inlineStr">
        <is>
          <t>31 - Basel settings</t>
        </is>
      </c>
      <c r="E584" s="307" t="inlineStr">
        <is>
          <t>P1 23.9</t>
        </is>
      </c>
      <c r="F584" s="308" t="inlineStr">
        <is>
          <t>Code méthode IFRS9 - Loss Given Default (LGD)</t>
        </is>
      </c>
      <c r="G584" s="309" t="inlineStr">
        <is>
          <t>Method code IFRS9 - Loss Given Default (LGD)</t>
        </is>
      </c>
      <c r="H584" s="1493">
        <f>"RPAD( "&amp;SUBSTITUTE(SUBSTITUTE(E584," ","_"),".","_")&amp;","&amp;W584&amp;",' '); -- "&amp;E584</f>
        <v/>
      </c>
      <c r="I584" s="645" t="inlineStr">
        <is>
          <t>Clé d'appariement avec les courbes de LGD du référentiel IFRS 9</t>
        </is>
      </c>
      <c r="J584" s="309" t="inlineStr">
        <is>
          <t>Pairing key with the LGD curves of IFRS 9 reference</t>
        </is>
      </c>
      <c r="K584" s="370" t="inlineStr">
        <is>
          <t>ND</t>
        </is>
      </c>
      <c r="L584" s="371" t="inlineStr">
        <is>
          <t>ND</t>
        </is>
      </c>
      <c r="M584" s="1420" t="inlineStr">
        <is>
          <t>cdMetLGD</t>
        </is>
      </c>
      <c r="N584" s="231" t="inlineStr">
        <is>
          <t>Facultatif</t>
        </is>
      </c>
      <c r="O584" s="371" t="inlineStr">
        <is>
          <t>Optional</t>
        </is>
      </c>
      <c r="P584" s="269" t="inlineStr">
        <is>
          <t>NA</t>
        </is>
      </c>
      <c r="Q584" s="269" t="inlineStr">
        <is>
          <t>NA</t>
        </is>
      </c>
      <c r="R584" s="241" t="inlineStr">
        <is>
          <t>NA</t>
        </is>
      </c>
      <c r="S584" s="233" t="inlineStr">
        <is>
          <t>NA</t>
        </is>
      </c>
      <c r="T584" s="313" t="inlineStr">
        <is>
          <t>ALPHA</t>
        </is>
      </c>
      <c r="U584" s="237" t="inlineStr">
        <is>
          <t>NA</t>
        </is>
      </c>
      <c r="V584" s="238" t="inlineStr">
        <is>
          <t>NA</t>
        </is>
      </c>
      <c r="W584" s="257" t="n">
        <v>12</v>
      </c>
      <c r="X584" s="945" t="inlineStr">
        <is>
          <t>NA</t>
        </is>
      </c>
      <c r="Y584" s="237" t="n">
        <v>41</v>
      </c>
      <c r="Z584" s="237" t="inlineStr">
        <is>
          <t>NA</t>
        </is>
      </c>
      <c r="AA584" s="237" t="inlineStr">
        <is>
          <t>NA</t>
        </is>
      </c>
      <c r="AB584" s="269" t="inlineStr">
        <is>
          <t>ASTRE, OMP, SRB VALUATION</t>
        </is>
      </c>
      <c r="AC584" s="231" t="inlineStr">
        <is>
          <t>ND</t>
        </is>
      </c>
      <c r="AD584" s="257" t="inlineStr">
        <is>
          <t>N</t>
        </is>
      </c>
      <c r="AE584" s="971" t="inlineStr">
        <is>
          <t>EQU101
EQU201
ISS100
ISS200 et 300
TRE100
TRE2 à 4XX hors 203,205,206,207
TRE203, 205, 207
TRE206
TRE5XX
SIG
VAR*
INT</t>
        </is>
      </c>
      <c r="AF584" s="257" t="inlineStr">
        <is>
          <t>NA</t>
        </is>
      </c>
      <c r="AG584" s="258" t="inlineStr">
        <is>
          <t>NA</t>
        </is>
      </c>
      <c r="AH584" s="89" t="n"/>
      <c r="AI584" s="316" t="n"/>
      <c r="AJ584" s="317" t="n"/>
      <c r="AK584" s="257" t="n"/>
      <c r="AL584" s="258" t="n"/>
      <c r="AM584" s="318" t="n"/>
      <c r="AN584" s="317" t="n"/>
      <c r="AO584" s="257" t="n"/>
      <c r="AP584" s="258" t="n"/>
      <c r="AQ584" s="318" t="n"/>
      <c r="AR584" s="317" t="n"/>
      <c r="AS584" s="257" t="n"/>
      <c r="AT584" s="258" t="n"/>
      <c r="AU584" s="318" t="n"/>
      <c r="AV584" s="317" t="n"/>
      <c r="AW584" s="257" t="n"/>
      <c r="AX584" s="258" t="n"/>
      <c r="AY584" s="318" t="n"/>
      <c r="AZ584" s="317" t="n"/>
      <c r="BA584" s="257" t="n"/>
      <c r="BB584" s="258" t="n"/>
      <c r="BC584" s="316" t="n"/>
      <c r="BD584" s="317" t="n"/>
      <c r="BE584" s="257" t="n"/>
      <c r="BF584" s="258" t="n"/>
      <c r="BG584" s="89" t="n"/>
      <c r="BH5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84">
        <f>_xlfn.LET(r,ROW(),oc,INDEX($A:$A,r),cv,TRIM(INDEX($Y:$Y,r)&amp;""),IF(oc&lt;&gt;"P1","",IF(cv="45","V45 - novo, nao alimentado pelo spool atual","V44 - alimentado pelo spool atual")))</f>
        <v/>
      </c>
    </row>
    <row r="585" ht="54" customFormat="1" customHeight="1" s="91">
      <c r="A585" s="306" t="inlineStr">
        <is>
          <t>P1</t>
        </is>
      </c>
      <c r="B585" s="307" t="n">
        <v>350</v>
      </c>
      <c r="C585" s="269" t="inlineStr">
        <is>
          <t>31 - Paramètres bâlois</t>
        </is>
      </c>
      <c r="D585" s="310" t="inlineStr">
        <is>
          <t>31 - Basel settings</t>
        </is>
      </c>
      <c r="E585" s="307" t="inlineStr">
        <is>
          <t>P1 23.10</t>
        </is>
      </c>
      <c r="F585" s="308" t="inlineStr">
        <is>
          <t>Code méthode IFRS9 - CCF</t>
        </is>
      </c>
      <c r="G585" s="309" t="inlineStr">
        <is>
          <t>IFRS9 method code - CCF</t>
        </is>
      </c>
      <c r="H585" s="1493">
        <f>"RPAD( "&amp;SUBSTITUTE(SUBSTITUTE(E585," ","_"),".","_")&amp;","&amp;W585&amp;",' '); -- "&amp;E585</f>
        <v/>
      </c>
      <c r="I585" s="386" t="inlineStr">
        <is>
          <t>Clé d'appariement avec les courbes de CCF du référentiel IFRS9</t>
        </is>
      </c>
      <c r="J585" s="309" t="inlineStr">
        <is>
          <t>Matching code with IFRS9 referential CCF curves</t>
        </is>
      </c>
      <c r="K585" s="370" t="inlineStr">
        <is>
          <t>ND</t>
        </is>
      </c>
      <c r="L585" s="371" t="inlineStr">
        <is>
          <t>ND</t>
        </is>
      </c>
      <c r="M585" s="1420" t="inlineStr">
        <is>
          <t>cdMetCCF</t>
        </is>
      </c>
      <c r="N585" s="231" t="inlineStr">
        <is>
          <t>Facultatif</t>
        </is>
      </c>
      <c r="O585" s="371" t="inlineStr">
        <is>
          <t>Optional</t>
        </is>
      </c>
      <c r="P585" s="269" t="inlineStr">
        <is>
          <t>NA</t>
        </is>
      </c>
      <c r="Q585" s="269" t="inlineStr">
        <is>
          <t>NA</t>
        </is>
      </c>
      <c r="R585" s="241" t="inlineStr">
        <is>
          <t>NA</t>
        </is>
      </c>
      <c r="S585" s="233" t="inlineStr">
        <is>
          <t>NA</t>
        </is>
      </c>
      <c r="T585" s="313" t="inlineStr">
        <is>
          <t>ALPHA</t>
        </is>
      </c>
      <c r="U585" s="237" t="inlineStr">
        <is>
          <t>NA</t>
        </is>
      </c>
      <c r="V585" s="238" t="inlineStr">
        <is>
          <t>NA</t>
        </is>
      </c>
      <c r="W585" s="257" t="n">
        <v>12</v>
      </c>
      <c r="X585" s="945" t="inlineStr">
        <is>
          <t>NA</t>
        </is>
      </c>
      <c r="Y585" s="237" t="n">
        <v>41</v>
      </c>
      <c r="Z585" s="237" t="inlineStr">
        <is>
          <t>NA</t>
        </is>
      </c>
      <c r="AA585" s="237" t="inlineStr">
        <is>
          <t>NA</t>
        </is>
      </c>
      <c r="AB585" s="269" t="inlineStr">
        <is>
          <t>ASTRE, OMP</t>
        </is>
      </c>
      <c r="AC585" s="231" t="inlineStr">
        <is>
          <t>ND</t>
        </is>
      </c>
      <c r="AD585" s="257" t="inlineStr">
        <is>
          <t>N</t>
        </is>
      </c>
      <c r="AE585" s="971" t="inlineStr">
        <is>
          <t>EQU101
EQU201
ISS100
ISS200 et 300
TRE100
TRE2 à 4XX hors 203,205,206,207
TRE203, 205, 207
TRE206
TRE5XX
SIG
VAR*
INT</t>
        </is>
      </c>
      <c r="AF585" s="257" t="inlineStr">
        <is>
          <t>NA</t>
        </is>
      </c>
      <c r="AG585" s="258" t="inlineStr">
        <is>
          <t>NA</t>
        </is>
      </c>
      <c r="AH585" s="89" t="n"/>
      <c r="AI585" s="316" t="n"/>
      <c r="AJ585" s="317" t="n"/>
      <c r="AK585" s="257" t="n"/>
      <c r="AL585" s="258" t="n"/>
      <c r="AM585" s="318" t="n"/>
      <c r="AN585" s="317" t="n"/>
      <c r="AO585" s="257" t="n"/>
      <c r="AP585" s="258" t="n"/>
      <c r="AQ585" s="318" t="n"/>
      <c r="AR585" s="317" t="n"/>
      <c r="AS585" s="257" t="n"/>
      <c r="AT585" s="258" t="n"/>
      <c r="AU585" s="318" t="n"/>
      <c r="AV585" s="317" t="n"/>
      <c r="AW585" s="257" t="n"/>
      <c r="AX585" s="258" t="n"/>
      <c r="AY585" s="318" t="n"/>
      <c r="AZ585" s="317" t="n"/>
      <c r="BA585" s="257" t="n"/>
      <c r="BB585" s="258" t="n"/>
      <c r="BC585" s="316" t="n"/>
      <c r="BD585" s="317" t="n"/>
      <c r="BE585" s="257" t="n"/>
      <c r="BF585" s="258" t="n"/>
      <c r="BG585" s="89" t="n"/>
      <c r="BH5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85">
        <f>_xlfn.LET(r,ROW(),oc,INDEX($A:$A,r),cv,TRIM(INDEX($Y:$Y,r)&amp;""),IF(oc&lt;&gt;"P1","",IF(cv="45","V45 - novo, nao alimentado pelo spool atual","V44 - alimentado pelo spool atual")))</f>
        <v/>
      </c>
    </row>
    <row r="586" ht="54" customFormat="1" customHeight="1" s="91">
      <c r="A586" s="306" t="inlineStr">
        <is>
          <t>P1</t>
        </is>
      </c>
      <c r="B586" s="307" t="n">
        <v>351</v>
      </c>
      <c r="C586" s="269" t="inlineStr">
        <is>
          <t>13 - Caractéristiques Provision</t>
        </is>
      </c>
      <c r="D586" s="310" t="inlineStr">
        <is>
          <t>13 - Provision characteristics</t>
        </is>
      </c>
      <c r="E586" s="307" t="inlineStr">
        <is>
          <t>P1 23.11</t>
        </is>
      </c>
      <c r="F586" s="646" t="inlineStr">
        <is>
          <t>Code méthode IFRS9 - Taux de remboursement anticipé</t>
        </is>
      </c>
      <c r="G586" s="309" t="inlineStr">
        <is>
          <t>Method code IFRS9 - Prepayment rate</t>
        </is>
      </c>
      <c r="H586" s="1493">
        <f>"RPAD( "&amp;SUBSTITUTE(SUBSTITUTE(E586," ","_"),".","_")&amp;","&amp;W586&amp;",' '); -- "&amp;E586</f>
        <v/>
      </c>
      <c r="I586" s="475" t="inlineStr">
        <is>
          <t>Clé d'appariement avec les courbes de taux de remboursement anticipé du référentiel IFRS 9</t>
        </is>
      </c>
      <c r="J586" s="309" t="inlineStr">
        <is>
          <t>Pairing key with the prepayment rate curves of IFRS 9 reference</t>
        </is>
      </c>
      <c r="K586" s="370" t="inlineStr">
        <is>
          <t>ND</t>
        </is>
      </c>
      <c r="L586" s="371" t="inlineStr">
        <is>
          <t>ND</t>
        </is>
      </c>
      <c r="M586" s="1420" t="inlineStr">
        <is>
          <t>cdMetRembAnt</t>
        </is>
      </c>
      <c r="N586" s="449" t="inlineStr">
        <is>
          <t>Facultatif</t>
        </is>
      </c>
      <c r="O586" s="371" t="inlineStr">
        <is>
          <t>Optional</t>
        </is>
      </c>
      <c r="P586" s="269" t="inlineStr">
        <is>
          <t>NA</t>
        </is>
      </c>
      <c r="Q586" s="269" t="inlineStr">
        <is>
          <t>NA</t>
        </is>
      </c>
      <c r="R586" s="241" t="inlineStr">
        <is>
          <t>NA</t>
        </is>
      </c>
      <c r="S586" s="233" t="inlineStr">
        <is>
          <t>NA</t>
        </is>
      </c>
      <c r="T586" s="313" t="inlineStr">
        <is>
          <t>ALPHA</t>
        </is>
      </c>
      <c r="U586" s="237" t="inlineStr">
        <is>
          <t>NA</t>
        </is>
      </c>
      <c r="V586" s="238" t="inlineStr">
        <is>
          <t>NA</t>
        </is>
      </c>
      <c r="W586" s="257" t="n">
        <v>12</v>
      </c>
      <c r="X586" s="945" t="inlineStr">
        <is>
          <t>NA</t>
        </is>
      </c>
      <c r="Y586" s="237" t="n">
        <v>41</v>
      </c>
      <c r="Z586" s="237" t="inlineStr">
        <is>
          <t>NA</t>
        </is>
      </c>
      <c r="AA586" s="283" t="inlineStr">
        <is>
          <t>NA</t>
        </is>
      </c>
      <c r="AB586" s="269" t="inlineStr">
        <is>
          <t>ASTRE, OMP</t>
        </is>
      </c>
      <c r="AC586" s="231" t="inlineStr">
        <is>
          <t>ND</t>
        </is>
      </c>
      <c r="AD586" s="257" t="inlineStr">
        <is>
          <t>N</t>
        </is>
      </c>
      <c r="AE586" s="971" t="inlineStr">
        <is>
          <t>EQU101
EQU201
ISS100
ISS200 et 300
TRE100
TRE2 à 4XX hors 203,205,206,207
TRE203, 205, 207
TRE206
TRE5XX
SIG
VAR*
INT</t>
        </is>
      </c>
      <c r="AF586" s="257" t="inlineStr">
        <is>
          <t>NA</t>
        </is>
      </c>
      <c r="AG586" s="258" t="inlineStr">
        <is>
          <t>NA</t>
        </is>
      </c>
      <c r="AH586" s="89" t="n"/>
      <c r="AI586" s="316" t="n"/>
      <c r="AJ586" s="317" t="n"/>
      <c r="AK586" s="257" t="n"/>
      <c r="AL586" s="258" t="n"/>
      <c r="AM586" s="318" t="n"/>
      <c r="AN586" s="317" t="n"/>
      <c r="AO586" s="257" t="n"/>
      <c r="AP586" s="258" t="n"/>
      <c r="AQ586" s="318" t="n"/>
      <c r="AR586" s="317" t="n"/>
      <c r="AS586" s="257" t="n"/>
      <c r="AT586" s="258" t="n"/>
      <c r="AU586" s="318" t="n"/>
      <c r="AV586" s="317" t="n"/>
      <c r="AW586" s="257" t="n"/>
      <c r="AX586" s="258" t="n"/>
      <c r="AY586" s="318" t="n"/>
      <c r="AZ586" s="317" t="n"/>
      <c r="BA586" s="257" t="n"/>
      <c r="BB586" s="258" t="n"/>
      <c r="BC586" s="316" t="n"/>
      <c r="BD586" s="317" t="n"/>
      <c r="BE586" s="257" t="n"/>
      <c r="BF586" s="258" t="n"/>
      <c r="BG586" s="89" t="n"/>
      <c r="BH5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86">
        <f>_xlfn.LET(r,ROW(),oc,INDEX($A:$A,r),cv,TRIM(INDEX($Y:$Y,r)&amp;""),IF(oc&lt;&gt;"P1","",IF(cv="45","V45 - novo, nao alimentado pelo spool atual","V44 - alimentado pelo spool atual")))</f>
        <v/>
      </c>
    </row>
    <row r="587" ht="54" customFormat="1" customHeight="1" s="57">
      <c r="A587" s="325" t="inlineStr">
        <is>
          <t>P1</t>
        </is>
      </c>
      <c r="B587" s="326" t="n">
        <v>352</v>
      </c>
      <c r="C587" s="284" t="inlineStr">
        <is>
          <t>NA</t>
        </is>
      </c>
      <c r="D587" s="284" t="inlineStr">
        <is>
          <t>NA</t>
        </is>
      </c>
      <c r="E587" s="326" t="inlineStr">
        <is>
          <t>P1 23.99</t>
        </is>
      </c>
      <c r="F587" s="327" t="inlineStr">
        <is>
          <t xml:space="preserve">Filler </t>
        </is>
      </c>
      <c r="G587" s="327" t="inlineStr">
        <is>
          <t xml:space="preserve">Filler </t>
        </is>
      </c>
      <c r="H587" s="1493">
        <f>"RPAD( "&amp;SUBSTITUTE(SUBSTITUTE(E587," ","_"),".","_")&amp;","&amp;W587&amp;",' '); -- "&amp;E587</f>
        <v/>
      </c>
      <c r="I587" s="247" t="inlineStr">
        <is>
          <t>Zone libre</t>
        </is>
      </c>
      <c r="J587" s="327" t="inlineStr">
        <is>
          <t>Free zone</t>
        </is>
      </c>
      <c r="K587" s="388" t="inlineStr">
        <is>
          <t>NA</t>
        </is>
      </c>
      <c r="L587" s="388" t="inlineStr">
        <is>
          <t>NA</t>
        </is>
      </c>
      <c r="M587" s="1421" t="inlineStr">
        <is>
          <t>ZoneLibre23</t>
        </is>
      </c>
      <c r="N587" s="284" t="inlineStr">
        <is>
          <t>NA</t>
        </is>
      </c>
      <c r="O587" s="284" t="inlineStr">
        <is>
          <t>NA</t>
        </is>
      </c>
      <c r="P587" s="284" t="inlineStr">
        <is>
          <t>NA</t>
        </is>
      </c>
      <c r="Q587" s="284" t="inlineStr">
        <is>
          <t>NA</t>
        </is>
      </c>
      <c r="R587" s="247" t="inlineStr">
        <is>
          <t>Laisser à vide</t>
        </is>
      </c>
      <c r="S587" s="247" t="inlineStr">
        <is>
          <t>Leave empty</t>
        </is>
      </c>
      <c r="T587" s="326" t="inlineStr">
        <is>
          <t>ALPHA</t>
        </is>
      </c>
      <c r="U587" s="248" t="inlineStr">
        <is>
          <t>NA</t>
        </is>
      </c>
      <c r="V587" s="248" t="inlineStr">
        <is>
          <t>NA</t>
        </is>
      </c>
      <c r="W587" s="284" t="n">
        <v>2</v>
      </c>
      <c r="X587" s="244" t="inlineStr">
        <is>
          <t>NA</t>
        </is>
      </c>
      <c r="Y587" s="248" t="inlineStr">
        <is>
          <t>NA</t>
        </is>
      </c>
      <c r="Z587" s="248" t="inlineStr">
        <is>
          <t>NA</t>
        </is>
      </c>
      <c r="AA587" s="248" t="inlineStr">
        <is>
          <t>NA</t>
        </is>
      </c>
      <c r="AB587" s="284" t="inlineStr">
        <is>
          <t>NA</t>
        </is>
      </c>
      <c r="AC587" s="244" t="inlineStr">
        <is>
          <t>NA</t>
        </is>
      </c>
      <c r="AD587" s="284" t="inlineStr">
        <is>
          <t>N</t>
        </is>
      </c>
      <c r="AE587" s="284" t="inlineStr">
        <is>
          <t>NA</t>
        </is>
      </c>
      <c r="AF587" s="284" t="inlineStr">
        <is>
          <t>NA</t>
        </is>
      </c>
      <c r="AG587" s="285" t="inlineStr">
        <is>
          <t>NA</t>
        </is>
      </c>
      <c r="AH587" s="89" t="n"/>
      <c r="AI587" s="330" t="n"/>
      <c r="AJ587" s="331" t="n"/>
      <c r="AK587" s="284" t="n"/>
      <c r="AL587" s="285" t="n"/>
      <c r="AM587" s="331" t="n"/>
      <c r="AN587" s="331" t="n"/>
      <c r="AO587" s="284" t="n"/>
      <c r="AP587" s="285" t="n"/>
      <c r="AQ587" s="331" t="n"/>
      <c r="AR587" s="331" t="n"/>
      <c r="AS587" s="284" t="n"/>
      <c r="AT587" s="285" t="n"/>
      <c r="AU587" s="331" t="n"/>
      <c r="AV587" s="331" t="n"/>
      <c r="AW587" s="284" t="n"/>
      <c r="AX587" s="285" t="n"/>
      <c r="AY587" s="331" t="n"/>
      <c r="AZ587" s="331" t="n"/>
      <c r="BA587" s="284" t="n"/>
      <c r="BB587" s="285" t="n"/>
      <c r="BC587" s="330" t="n"/>
      <c r="BD587" s="331" t="n"/>
      <c r="BE587" s="284" t="n"/>
      <c r="BF587" s="285" t="n"/>
      <c r="BG587" s="89" t="n"/>
      <c r="BH5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87">
        <f>_xlfn.LET(r,ROW(),oc,INDEX($A:$A,r),cv,TRIM(INDEX($Y:$Y,r)&amp;""),IF(oc&lt;&gt;"P1","",IF(cv="45","V45 - novo, nao alimentado pelo spool atual","V44 - alimentado pelo spool atual")))</f>
        <v/>
      </c>
    </row>
    <row r="588" ht="54" customFormat="1" customHeight="1" s="91">
      <c r="A588" s="306" t="inlineStr">
        <is>
          <t>P1</t>
        </is>
      </c>
      <c r="B588" s="307" t="n">
        <v>353</v>
      </c>
      <c r="C588" s="269" t="inlineStr">
        <is>
          <t>03 - Caractéristiques Générales</t>
        </is>
      </c>
      <c r="D588" s="236" t="inlineStr">
        <is>
          <t>03 - General characteristics</t>
        </is>
      </c>
      <c r="E588" s="307" t="inlineStr">
        <is>
          <t>P1 24.1</t>
        </is>
      </c>
      <c r="F588" s="647" t="inlineStr">
        <is>
          <t>Eligibilité Prudent Valuation</t>
        </is>
      </c>
      <c r="G588" s="309" t="inlineStr">
        <is>
          <t>Prudent Valuation eligibility</t>
        </is>
      </c>
      <c r="H588" s="1493">
        <f>"RPAD( "&amp;SUBSTITUTE(SUBSTITUTE(E588," ","_"),".","_")&amp;","&amp;W588&amp;",' '); -- "&amp;E588</f>
        <v/>
      </c>
      <c r="I588" s="241" t="inlineStr">
        <is>
          <t>Indicateur d' éligibilité à la Prudent Valuation</t>
        </is>
      </c>
      <c r="J588" s="309" t="inlineStr">
        <is>
          <t>Indicator of eligibility of the Prudent Valuation</t>
        </is>
      </c>
      <c r="K588" s="370" t="inlineStr">
        <is>
          <t>ND</t>
        </is>
      </c>
      <c r="L588" s="371" t="inlineStr">
        <is>
          <t>ND</t>
        </is>
      </c>
      <c r="M588" s="1420" t="inlineStr">
        <is>
          <t>indEligPrudValua</t>
        </is>
      </c>
      <c r="N588" s="257" t="inlineStr">
        <is>
          <t>Obligatoire sous conditions</t>
        </is>
      </c>
      <c r="O588" s="310" t="inlineStr">
        <is>
          <t>Mandatory under conditions</t>
        </is>
      </c>
      <c r="P588" s="269" t="inlineStr">
        <is>
          <t>LC.0210</t>
        </is>
      </c>
      <c r="Q588" s="269" t="inlineStr">
        <is>
          <t>TA KVELIPVA</t>
        </is>
      </c>
      <c r="R588" s="1014" t="inlineStr">
        <is>
          <t>NA</t>
        </is>
      </c>
      <c r="S588" s="233" t="inlineStr">
        <is>
          <t>NA</t>
        </is>
      </c>
      <c r="T588" s="313" t="inlineStr">
        <is>
          <t>ALPHA</t>
        </is>
      </c>
      <c r="U588" s="237" t="inlineStr">
        <is>
          <t>NA</t>
        </is>
      </c>
      <c r="V588" s="238" t="inlineStr">
        <is>
          <t>NA</t>
        </is>
      </c>
      <c r="W588" s="257" t="n">
        <v>1</v>
      </c>
      <c r="X588" s="945" t="inlineStr">
        <is>
          <t>NA</t>
        </is>
      </c>
      <c r="Y588" s="237" t="n">
        <v>41</v>
      </c>
      <c r="Z588" s="237" t="inlineStr">
        <is>
          <t>NA</t>
        </is>
      </c>
      <c r="AA588" s="237" t="inlineStr">
        <is>
          <t>NA</t>
        </is>
      </c>
      <c r="AB588" s="269" t="inlineStr">
        <is>
          <t>PVA</t>
        </is>
      </c>
      <c r="AC588" s="231" t="inlineStr">
        <is>
          <t>ND</t>
        </is>
      </c>
      <c r="AD588" s="257" t="inlineStr">
        <is>
          <t>N</t>
        </is>
      </c>
      <c r="AE588" s="971" t="inlineStr">
        <is>
          <t>EQU101
ISS100
ISS200 et 300
VAR*
INT</t>
        </is>
      </c>
      <c r="AF588" s="257" t="inlineStr">
        <is>
          <t>NA</t>
        </is>
      </c>
      <c r="AG588" s="258" t="inlineStr">
        <is>
          <t>NA</t>
        </is>
      </c>
      <c r="AH588" s="89" t="n"/>
      <c r="AI588" s="648" t="inlineStr">
        <is>
          <t>La donnée est obligatoire, si le type de risque [P1 2.0] = 'EQU101, ISS*, VAR*, INT*'</t>
        </is>
      </c>
      <c r="AJ588" s="317" t="inlineStr">
        <is>
          <t>The data is mandatory, if Risk type [P1 2.0] = 'EQU101, ISS*, VAR*, INT*'</t>
        </is>
      </c>
      <c r="AK588" s="257" t="n">
        <v>6</v>
      </c>
      <c r="AL588" s="345" t="inlineStr">
        <is>
          <t>TPS0873</t>
        </is>
      </c>
      <c r="AM588" s="318" t="inlineStr">
        <is>
          <t>Si elle est renseignée, la valeur doit être connue du Langage Commun associé</t>
        </is>
      </c>
      <c r="AN588" s="317" t="inlineStr">
        <is>
          <t>If specified, the value must be known to the associated Common Language</t>
        </is>
      </c>
      <c r="AO588" s="257" t="n">
        <v>7</v>
      </c>
      <c r="AP588" s="212" t="inlineStr">
        <is>
          <t>TIG0001</t>
        </is>
      </c>
      <c r="AQ588" s="421" t="n"/>
      <c r="AR588" s="422" t="n"/>
      <c r="AS588" s="348" t="n"/>
      <c r="AT588" s="423" t="n"/>
      <c r="AU588" s="649" t="inlineStr">
        <is>
          <t>Si renseignée et si la 'Classification comptable de référence des actifs' [P1 19.5] = 'JVR','JCN','JCR' alors l'indicateur doit prendre la valeur 'Y'
---
Si renseignée et si la 'Classification comptable de référence des actifs' [P1 19.5] = 'CAM' (Coût Amorti) alors l'indicateur doit prendre la valeur 'N'</t>
        </is>
      </c>
      <c r="AV588" s="317" t="inlineStr">
        <is>
          <t>If filled and if the 'Reference accounting classification of assets' [P1 19.5] = 'JVR','JCN','JCR' then the indicator must be filled to 'Y'
---
If filled and if the 'Reference accounting classification of assets' [P1 19.5] = 'CAM' (Amortized cost) then the indicator must be filled to 'N'</t>
        </is>
      </c>
      <c r="AW588" s="257" t="n">
        <v>6</v>
      </c>
      <c r="AX588" s="418" t="inlineStr">
        <is>
          <t>TCS0731
TCS0732</t>
        </is>
      </c>
      <c r="AY588" s="318" t="n"/>
      <c r="AZ588" s="317" t="n"/>
      <c r="BA588" s="257" t="n"/>
      <c r="BB588" s="258" t="n"/>
      <c r="BC588" s="316" t="n"/>
      <c r="BD588" s="317" t="n"/>
      <c r="BE588" s="257" t="n"/>
      <c r="BF588" s="258" t="n"/>
      <c r="BG588" s="89" t="n"/>
      <c r="BH5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88">
        <f>_xlfn.LET(r,ROW(),oc,INDEX($A:$A,r),cv,TRIM(INDEX($Y:$Y,r)&amp;""),IF(oc&lt;&gt;"P1","",IF(cv="45","V45 - novo, nao alimentado pelo spool atual","V44 - alimentado pelo spool atual")))</f>
        <v/>
      </c>
    </row>
    <row r="589" ht="54" customFormat="1" customHeight="1" s="91">
      <c r="A589" s="306" t="inlineStr">
        <is>
          <t>P1</t>
        </is>
      </c>
      <c r="B589" s="307" t="n">
        <v>354</v>
      </c>
      <c r="C589" s="269" t="inlineStr">
        <is>
          <t>03 - Caractéristiques Générales</t>
        </is>
      </c>
      <c r="D589" s="236" t="inlineStr">
        <is>
          <t>03 - General characteristics</t>
        </is>
      </c>
      <c r="E589" s="307" t="inlineStr">
        <is>
          <t>P1 24.2</t>
        </is>
      </c>
      <c r="F589" s="308" t="inlineStr">
        <is>
          <t>Motif d'exemption déclaré à l'ajustement à la juste valeur</t>
        </is>
      </c>
      <c r="G589" s="309" t="inlineStr">
        <is>
          <t xml:space="preserve">Reason for reported fair value adjustment exemption </t>
        </is>
      </c>
      <c r="H589" s="1493">
        <f>"RPAD( "&amp;SUBSTITUTE(SUBSTITUTE(E589," ","_"),".","_")&amp;","&amp;W589&amp;",' '); -- "&amp;E589</f>
        <v/>
      </c>
      <c r="I589" s="241" t="inlineStr">
        <is>
          <t>Motif d'exemption déclaré à l'ajustement à la juste valeur</t>
        </is>
      </c>
      <c r="J589" s="309" t="inlineStr">
        <is>
          <t>Reason for reported fair value adjustment exemption</t>
        </is>
      </c>
      <c r="K589" s="370" t="inlineStr">
        <is>
          <t>ND</t>
        </is>
      </c>
      <c r="L589" s="371" t="inlineStr">
        <is>
          <t>ND</t>
        </is>
      </c>
      <c r="M589" s="1420" t="inlineStr">
        <is>
          <t>cdExemptAjustJustVal</t>
        </is>
      </c>
      <c r="N589" s="257" t="inlineStr">
        <is>
          <t>Facultatif</t>
        </is>
      </c>
      <c r="O589" s="310" t="inlineStr">
        <is>
          <t>Optional</t>
        </is>
      </c>
      <c r="P589" s="269" t="inlineStr">
        <is>
          <t>LC.0220</t>
        </is>
      </c>
      <c r="Q589" s="269" t="inlineStr">
        <is>
          <t>TA KVMEXAVA</t>
        </is>
      </c>
      <c r="R589" s="241" t="inlineStr">
        <is>
          <t>Si l'opération est éligible à la PVA i.e comptabilisée à la juste valeur, cette donnée permet à l'entité de justifier le caractère prudent de la valorisation et donc l'exemption au calcul de l'AVA</t>
        </is>
      </c>
      <c r="S589" s="233" t="inlineStr">
        <is>
          <t>If asset is eligible to PVA i.e at fair value, this data allows the entity to justify the prudence of the valuation and thus the exemption from the calculation of the AVA</t>
        </is>
      </c>
      <c r="T589" s="313" t="inlineStr">
        <is>
          <t>ALPHA</t>
        </is>
      </c>
      <c r="U589" s="237" t="inlineStr">
        <is>
          <t>NA</t>
        </is>
      </c>
      <c r="V589" s="238" t="inlineStr">
        <is>
          <t>NA</t>
        </is>
      </c>
      <c r="W589" s="257" t="n">
        <v>2</v>
      </c>
      <c r="X589" s="945" t="inlineStr">
        <is>
          <t>NA</t>
        </is>
      </c>
      <c r="Y589" s="237" t="n">
        <v>41</v>
      </c>
      <c r="Z589" s="237" t="inlineStr">
        <is>
          <t>NA</t>
        </is>
      </c>
      <c r="AA589" s="237" t="inlineStr">
        <is>
          <t>NA</t>
        </is>
      </c>
      <c r="AB589" s="269" t="inlineStr">
        <is>
          <t>PVA</t>
        </is>
      </c>
      <c r="AC589" s="231" t="inlineStr">
        <is>
          <t>ND</t>
        </is>
      </c>
      <c r="AD589" s="257" t="inlineStr">
        <is>
          <t>N</t>
        </is>
      </c>
      <c r="AE589" s="971" t="inlineStr">
        <is>
          <t>EQU101
ISS100
ISS200 et 300
VAR*
INT</t>
        </is>
      </c>
      <c r="AF589" s="257" t="inlineStr">
        <is>
          <t>NA</t>
        </is>
      </c>
      <c r="AG589" s="258" t="inlineStr">
        <is>
          <t>NA</t>
        </is>
      </c>
      <c r="AH589" s="89" t="n"/>
      <c r="AI589" s="316" t="n"/>
      <c r="AJ589" s="317" t="n"/>
      <c r="AK589" s="257" t="n"/>
      <c r="AL589" s="258" t="n"/>
      <c r="AM589" s="318" t="inlineStr">
        <is>
          <t>Si elle est renseignée, la valeur doit être connue du Langage Commun associé</t>
        </is>
      </c>
      <c r="AN589" s="317" t="inlineStr">
        <is>
          <t>If specified, the value must be known to the associated Common Language</t>
        </is>
      </c>
      <c r="AO589" s="257" t="n">
        <v>7</v>
      </c>
      <c r="AP589" s="212" t="inlineStr">
        <is>
          <t>TIG0001</t>
        </is>
      </c>
      <c r="AQ589" s="318" t="n"/>
      <c r="AR589" s="317" t="n"/>
      <c r="AS589" s="257" t="n"/>
      <c r="AT589" s="258" t="n"/>
      <c r="AU589" s="318" t="n"/>
      <c r="AV589" s="317" t="n"/>
      <c r="AW589" s="257" t="n"/>
      <c r="AX589" s="258" t="n"/>
      <c r="AY589" s="318" t="n"/>
      <c r="AZ589" s="317" t="n"/>
      <c r="BA589" s="257" t="n"/>
      <c r="BB589" s="258" t="n"/>
      <c r="BC589" s="316" t="n"/>
      <c r="BD589" s="317" t="n"/>
      <c r="BE589" s="257" t="n"/>
      <c r="BF589" s="258" t="n"/>
      <c r="BG589" s="89" t="n"/>
      <c r="BH5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89">
        <f>_xlfn.LET(r,ROW(),oc,INDEX($A:$A,r),cv,TRIM(INDEX($Y:$Y,r)&amp;""),IF(oc&lt;&gt;"P1","",IF(cv="45","V45 - novo, nao alimentado pelo spool atual","V44 - alimentado pelo spool atual")))</f>
        <v/>
      </c>
    </row>
    <row r="590" ht="54" customFormat="1" customHeight="1" s="91">
      <c r="A590" s="306" t="inlineStr">
        <is>
          <t>P1</t>
        </is>
      </c>
      <c r="B590" s="307" t="n">
        <v>355</v>
      </c>
      <c r="C590" s="269" t="inlineStr">
        <is>
          <t>03 - Caractéristiques Générales</t>
        </is>
      </c>
      <c r="D590" s="236" t="inlineStr">
        <is>
          <t>03 - General characteristics</t>
        </is>
      </c>
      <c r="E590" s="307" t="inlineStr">
        <is>
          <t>P1 24.3</t>
        </is>
      </c>
      <c r="F590" s="308" t="inlineStr">
        <is>
          <t>Hiérarchie de la juste valeur</t>
        </is>
      </c>
      <c r="G590" s="309" t="inlineStr">
        <is>
          <t>Fair value hierarchy</t>
        </is>
      </c>
      <c r="H590" s="1493">
        <f>"RPAD( "&amp;SUBSTITUTE(SUBSTITUTE(E590," ","_"),".","_")&amp;","&amp;W590&amp;",' '); -- "&amp;E590</f>
        <v/>
      </c>
      <c r="I590" s="241" t="inlineStr">
        <is>
          <t>Indicateur du mode de valorisation de la juste valeur de l'instrument financier</t>
        </is>
      </c>
      <c r="J590" s="309" t="inlineStr">
        <is>
          <t>Indicator of type of measurement of financial instrument's fair value</t>
        </is>
      </c>
      <c r="K590" s="370" t="inlineStr">
        <is>
          <t>ND</t>
        </is>
      </c>
      <c r="L590" s="371" t="inlineStr">
        <is>
          <t>ND</t>
        </is>
      </c>
      <c r="M590" s="1420" t="inlineStr">
        <is>
          <t>indJustVal</t>
        </is>
      </c>
      <c r="N590" s="257" t="inlineStr">
        <is>
          <t>Obligatoire sous conditions</t>
        </is>
      </c>
      <c r="O590" s="310" t="inlineStr">
        <is>
          <t>Mandatory under conditions</t>
        </is>
      </c>
      <c r="P590" s="269" t="inlineStr">
        <is>
          <t>LC.0211</t>
        </is>
      </c>
      <c r="Q590" s="269" t="inlineStr">
        <is>
          <t>TA KVHIERFV</t>
        </is>
      </c>
      <c r="R590" s="241" t="inlineStr">
        <is>
          <t>Ne concerne que les opérations enregistrées en norme comptable IFRS Juste Valeur</t>
        </is>
      </c>
      <c r="S590" s="233" t="inlineStr">
        <is>
          <t>Only concerns transactions recorded under IFRS Fair Value accounting standard</t>
        </is>
      </c>
      <c r="T590" s="313" t="inlineStr">
        <is>
          <t>ALPHA</t>
        </is>
      </c>
      <c r="U590" s="237" t="inlineStr">
        <is>
          <t>NA</t>
        </is>
      </c>
      <c r="V590" s="238" t="inlineStr">
        <is>
          <t>NA</t>
        </is>
      </c>
      <c r="W590" s="257" t="n">
        <v>1</v>
      </c>
      <c r="X590" s="945" t="inlineStr">
        <is>
          <t>NA</t>
        </is>
      </c>
      <c r="Y590" s="237" t="n">
        <v>41</v>
      </c>
      <c r="Z590" s="237" t="inlineStr">
        <is>
          <t>NA</t>
        </is>
      </c>
      <c r="AA590" s="239" t="inlineStr">
        <is>
          <t>45.00</t>
        </is>
      </c>
      <c r="AB590" s="932" t="inlineStr">
        <is>
          <t>CORFOU, LIQUIDITE, MREL, PVA, SRB VALUATION</t>
        </is>
      </c>
      <c r="AC590" s="231" t="inlineStr">
        <is>
          <t>ND</t>
        </is>
      </c>
      <c r="AD590" s="257" t="inlineStr">
        <is>
          <t>N</t>
        </is>
      </c>
      <c r="AE590" s="971" t="inlineStr">
        <is>
          <t>EQU101
ISS100
ISS200 et 300
TRE2 à 4XX hors 203,205,206,207
VAR*
INT</t>
        </is>
      </c>
      <c r="AF590" s="257" t="inlineStr">
        <is>
          <t>NA</t>
        </is>
      </c>
      <c r="AG590" s="258" t="inlineStr">
        <is>
          <t>NA</t>
        </is>
      </c>
      <c r="AH590" s="89" t="n"/>
      <c r="AI590" s="316" t="inlineStr">
        <is>
          <t>La donnée est obligatoire si la classification comptable de référence des actifs [P1 19.5] = 'JCN','JCR','JVR'</t>
        </is>
      </c>
      <c r="AJ590" s="317" t="inlineStr">
        <is>
          <t>The data is mandatory if Reference accounting classification of assets [P1 19.5] = 'JCN','JCR','JVR'</t>
        </is>
      </c>
      <c r="AK590" s="257" t="n">
        <v>6</v>
      </c>
      <c r="AL590" s="447" t="inlineStr">
        <is>
          <t>TPS0874</t>
        </is>
      </c>
      <c r="AM590" s="318" t="inlineStr">
        <is>
          <t>Si elle est renseignée, la valeur doit être connue du Langage Commun associé</t>
        </is>
      </c>
      <c r="AN590" s="317" t="inlineStr">
        <is>
          <t>If specified, the value must be known to the associated Common Language</t>
        </is>
      </c>
      <c r="AO590" s="257" t="n">
        <v>7</v>
      </c>
      <c r="AP590" s="212" t="inlineStr">
        <is>
          <t>TIG0001</t>
        </is>
      </c>
      <c r="AQ590" s="318" t="n"/>
      <c r="AR590" s="317" t="n"/>
      <c r="AS590" s="257" t="n"/>
      <c r="AT590" s="258" t="n"/>
      <c r="AU590" s="318" t="n"/>
      <c r="AV590" s="317" t="n"/>
      <c r="AW590" s="257" t="n"/>
      <c r="AX590" s="258" t="n"/>
      <c r="AY590" s="318" t="n"/>
      <c r="AZ590" s="317" t="n"/>
      <c r="BA590" s="257" t="n"/>
      <c r="BB590" s="258" t="n"/>
      <c r="BC590" s="316" t="n"/>
      <c r="BD590" s="317" t="n"/>
      <c r="BE590" s="257" t="n"/>
      <c r="BF590" s="258" t="n"/>
      <c r="BG590" s="89" t="n"/>
      <c r="BH5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90">
        <f>_xlfn.LET(r,ROW(),oc,INDEX($A:$A,r),cv,TRIM(INDEX($Y:$Y,r)&amp;""),IF(oc&lt;&gt;"P1","",IF(cv="45","V45 - novo, nao alimentado pelo spool atual","V44 - alimentado pelo spool atual")))</f>
        <v/>
      </c>
    </row>
    <row r="591" ht="54" customFormat="1" customHeight="1" s="91">
      <c r="A591" s="306" t="inlineStr">
        <is>
          <t>P1</t>
        </is>
      </c>
      <c r="B591" s="307" t="n">
        <v>356</v>
      </c>
      <c r="C591" s="269" t="inlineStr">
        <is>
          <t>03 - Caractéristiques Générales</t>
        </is>
      </c>
      <c r="D591" s="236" t="inlineStr">
        <is>
          <t>03 - General characteristics</t>
        </is>
      </c>
      <c r="E591" s="307" t="inlineStr">
        <is>
          <t>P1 24.4</t>
        </is>
      </c>
      <c r="F591" s="650" t="inlineStr">
        <is>
          <t>Complexité du produit</t>
        </is>
      </c>
      <c r="G591" s="309" t="inlineStr">
        <is>
          <t>Product's complexity</t>
        </is>
      </c>
      <c r="H591" s="1493">
        <f>"RPAD( "&amp;SUBSTITUTE(SUBSTITUTE(E591," ","_"),".","_")&amp;","&amp;W591&amp;",' '); -- "&amp;E591</f>
        <v/>
      </c>
      <c r="I591" s="241" t="inlineStr">
        <is>
          <t>Indique si le produit d'une opération est "vanille" (produit simple) ou "non vanille" (produit complexe)</t>
        </is>
      </c>
      <c r="J591" s="309" t="inlineStr">
        <is>
          <t>Indicates if the product of an operation is ‘vanilla' (simple product) or ‘not vanilla' (complex product)</t>
        </is>
      </c>
      <c r="K591" s="370" t="inlineStr">
        <is>
          <t>ND</t>
        </is>
      </c>
      <c r="L591" s="371" t="inlineStr">
        <is>
          <t>ND</t>
        </is>
      </c>
      <c r="M591" s="1420" t="inlineStr">
        <is>
          <t>cdComplexProd</t>
        </is>
      </c>
      <c r="N591" s="257" t="inlineStr">
        <is>
          <t>Obligatoire sous conditions</t>
        </is>
      </c>
      <c r="O591" s="310" t="inlineStr">
        <is>
          <t>Mandatory under conditions</t>
        </is>
      </c>
      <c r="P591" s="269" t="inlineStr">
        <is>
          <t>LC.0221</t>
        </is>
      </c>
      <c r="Q591" s="269" t="inlineStr">
        <is>
          <t>TA KVCXPROD</t>
        </is>
      </c>
      <c r="R591" s="241" t="inlineStr">
        <is>
          <t>Concerne les opérations enregistrées en norme comptable IFRS Juste Valeur</t>
        </is>
      </c>
      <c r="S591" s="233" t="inlineStr">
        <is>
          <t>Concerns transactions recorded under IFRS Fair Value accounting standard</t>
        </is>
      </c>
      <c r="T591" s="313" t="inlineStr">
        <is>
          <t>ALPHA</t>
        </is>
      </c>
      <c r="U591" s="237" t="inlineStr">
        <is>
          <t>NA</t>
        </is>
      </c>
      <c r="V591" s="238" t="inlineStr">
        <is>
          <t>NA</t>
        </is>
      </c>
      <c r="W591" s="257" t="n">
        <v>1</v>
      </c>
      <c r="X591" s="945" t="inlineStr">
        <is>
          <t>NA</t>
        </is>
      </c>
      <c r="Y591" s="237" t="n">
        <v>41</v>
      </c>
      <c r="Z591" s="237" t="inlineStr">
        <is>
          <t>NA</t>
        </is>
      </c>
      <c r="AA591" s="283" t="inlineStr">
        <is>
          <t>NA</t>
        </is>
      </c>
      <c r="AB591" s="994" t="inlineStr">
        <is>
          <t>PVA</t>
        </is>
      </c>
      <c r="AC591" s="231" t="inlineStr">
        <is>
          <t>ND</t>
        </is>
      </c>
      <c r="AD591" s="257" t="inlineStr">
        <is>
          <t>N</t>
        </is>
      </c>
      <c r="AE591" s="971" t="inlineStr">
        <is>
          <t>EQU101
ISS100
ISS200 et 300
VAR*
INT</t>
        </is>
      </c>
      <c r="AF591" s="257" t="inlineStr">
        <is>
          <t>NA</t>
        </is>
      </c>
      <c r="AG591" s="258" t="inlineStr">
        <is>
          <t>NA</t>
        </is>
      </c>
      <c r="AH591" s="89" t="n"/>
      <c r="AI591" s="651" t="inlineStr">
        <is>
          <t>La donnée est obligatoire si le type de risque [P1 2.0] = 'EQU, ISS, VAR, INT, TRE203, TRE205, TRE206, TRE207, TRE405, TRE406' ET si la classification comptable de référence des actifs [P1 19.5] = 'JCN','JCR','JVR'</t>
        </is>
      </c>
      <c r="AJ591" s="317" t="inlineStr">
        <is>
          <t>The data is mandatory if Risk type [P1 2.0] = 'EQU, ISS, VAR, INT, TRE203, TRE205, TRE206, TRE207, TRE405, TRE406' AND if Reference accounting classification of assets [P1 19.5] = 'JCN','JCR','JVR'</t>
        </is>
      </c>
      <c r="AK591" s="257" t="n">
        <v>6</v>
      </c>
      <c r="AL591" s="447" t="inlineStr">
        <is>
          <t>TPS0875</t>
        </is>
      </c>
      <c r="AM591" s="318" t="inlineStr">
        <is>
          <t>Si elle est renseignée, la valeur doit être connue du Langage Commun associé</t>
        </is>
      </c>
      <c r="AN591" s="317" t="inlineStr">
        <is>
          <t>If specified, the value must be known to the associated Common Language</t>
        </is>
      </c>
      <c r="AO591" s="257" t="n">
        <v>7</v>
      </c>
      <c r="AP591" s="212" t="inlineStr">
        <is>
          <t>TIG0001</t>
        </is>
      </c>
      <c r="AQ591" s="318" t="n"/>
      <c r="AR591" s="317" t="n"/>
      <c r="AS591" s="257" t="n"/>
      <c r="AT591" s="258" t="n"/>
      <c r="AU591" s="318" t="n"/>
      <c r="AV591" s="317" t="n"/>
      <c r="AW591" s="257" t="n"/>
      <c r="AX591" s="258" t="n"/>
      <c r="AY591" s="318" t="n"/>
      <c r="AZ591" s="317" t="n"/>
      <c r="BA591" s="257" t="n"/>
      <c r="BB591" s="258" t="n"/>
      <c r="BC591" s="316" t="n"/>
      <c r="BD591" s="317" t="n"/>
      <c r="BE591" s="257" t="n"/>
      <c r="BF591" s="258" t="n"/>
      <c r="BG591" s="89" t="n"/>
      <c r="BH5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91">
        <f>_xlfn.LET(r,ROW(),oc,INDEX($A:$A,r),cv,TRIM(INDEX($Y:$Y,r)&amp;""),IF(oc&lt;&gt;"P1","",IF(cv="45","V45 - novo, nao alimentado pelo spool atual","V44 - alimentado pelo spool atual")))</f>
        <v/>
      </c>
    </row>
    <row r="592" ht="54" customFormat="1" customHeight="1" s="91">
      <c r="A592" s="306" t="inlineStr">
        <is>
          <t>P1</t>
        </is>
      </c>
      <c r="B592" s="307" t="n">
        <v>357</v>
      </c>
      <c r="C592" s="269" t="inlineStr">
        <is>
          <t>03 - Caractéristiques Générales</t>
        </is>
      </c>
      <c r="D592" s="236" t="inlineStr">
        <is>
          <t>03 - General characteristics</t>
        </is>
      </c>
      <c r="E592" s="307" t="inlineStr">
        <is>
          <t>P1 24.5</t>
        </is>
      </c>
      <c r="F592" s="652" t="inlineStr">
        <is>
          <t xml:space="preserve">Indicateur actif coté </t>
        </is>
      </c>
      <c r="G592" s="309" t="inlineStr">
        <is>
          <t xml:space="preserve">Quoted asset indicator </t>
        </is>
      </c>
      <c r="H592" s="1493">
        <f>"RPAD( "&amp;SUBSTITUTE(SUBSTITUTE(E592," ","_"),".","_")&amp;","&amp;W592&amp;",' '); -- "&amp;E592</f>
        <v/>
      </c>
      <c r="I592" s="241" t="inlineStr">
        <is>
          <t>Permet de savoir si le titre est côté</t>
        </is>
      </c>
      <c r="J592" s="309" t="inlineStr">
        <is>
          <t>Identifies whether the financial security is listed</t>
        </is>
      </c>
      <c r="K592" s="370" t="inlineStr">
        <is>
          <t>ND</t>
        </is>
      </c>
      <c r="L592" s="371" t="inlineStr">
        <is>
          <t>ND</t>
        </is>
      </c>
      <c r="M592" s="1420" t="inlineStr">
        <is>
          <t>indACtifCote</t>
        </is>
      </c>
      <c r="N592" s="257" t="inlineStr">
        <is>
          <t>Obligatoire sous conditions</t>
        </is>
      </c>
      <c r="O592" s="310" t="inlineStr">
        <is>
          <t>Mandatory under conditions</t>
        </is>
      </c>
      <c r="P592" s="269" t="inlineStr">
        <is>
          <t>LC.0230</t>
        </is>
      </c>
      <c r="Q592" s="269" t="inlineStr">
        <is>
          <t>TA KVIACTCO</t>
        </is>
      </c>
      <c r="R592" s="241" t="inlineStr">
        <is>
          <t>NA</t>
        </is>
      </c>
      <c r="S592" s="233" t="inlineStr">
        <is>
          <t>NA</t>
        </is>
      </c>
      <c r="T592" s="313" t="inlineStr">
        <is>
          <t>ALPHA</t>
        </is>
      </c>
      <c r="U592" s="237" t="inlineStr">
        <is>
          <t>NA</t>
        </is>
      </c>
      <c r="V592" s="238" t="inlineStr">
        <is>
          <t>NA</t>
        </is>
      </c>
      <c r="W592" s="257" t="n">
        <v>1</v>
      </c>
      <c r="X592" s="945" t="inlineStr">
        <is>
          <t>NA</t>
        </is>
      </c>
      <c r="Y592" s="237" t="n">
        <v>41</v>
      </c>
      <c r="Z592" s="237" t="inlineStr">
        <is>
          <t>NA</t>
        </is>
      </c>
      <c r="AA592" s="283" t="inlineStr">
        <is>
          <t>NA</t>
        </is>
      </c>
      <c r="AB592" s="269" t="inlineStr">
        <is>
          <t>CORFOU, PVA</t>
        </is>
      </c>
      <c r="AC592" s="231" t="inlineStr">
        <is>
          <t>ND</t>
        </is>
      </c>
      <c r="AD592" s="257" t="inlineStr">
        <is>
          <t>N</t>
        </is>
      </c>
      <c r="AE592" s="257" t="inlineStr">
        <is>
          <t>EQU101
ISS100
ISS200 et 300
VAR (hors Repos)
INT</t>
        </is>
      </c>
      <c r="AF592" s="257" t="inlineStr">
        <is>
          <t>NA</t>
        </is>
      </c>
      <c r="AG592" s="258" t="inlineStr">
        <is>
          <t>NA</t>
        </is>
      </c>
      <c r="AH592" s="89" t="n"/>
      <c r="AI592" s="653" t="inlineStr">
        <is>
          <t>La donnée est obligatoire si le type de risque [P1 2.0] = 'EQU101', 'ISSxxx' 
---
La donnée est obligatoire si Type de risque [P1 2.0] =(VAR*, INT*) et si Référence du titre sous-jacent [P1 12.3] est renseignée</t>
        </is>
      </c>
      <c r="AJ592" s="317" t="inlineStr">
        <is>
          <t>The data is mandatory if Risk type [P1 2.0] = 'EQU101', 'ISSxxx'
---
The data is mandatory if Risk type [P1 2.0] =(VAR*, INT*) and if Underlying security reference [P1 12.3] is filled in</t>
        </is>
      </c>
      <c r="AK592" s="257" t="n">
        <v>6</v>
      </c>
      <c r="AL592" s="378" t="inlineStr">
        <is>
          <t>TPS0876
TPS0877</t>
        </is>
      </c>
      <c r="AM592" s="318" t="inlineStr">
        <is>
          <t>Si elle est renseignée, la valeur doit être connue du Langage Commun associé</t>
        </is>
      </c>
      <c r="AN592" s="317" t="inlineStr">
        <is>
          <t>If specified, the value must be known to the associated Common Language</t>
        </is>
      </c>
      <c r="AO592" s="257" t="n">
        <v>7</v>
      </c>
      <c r="AP592" s="212" t="inlineStr">
        <is>
          <t>TIG0001</t>
        </is>
      </c>
      <c r="AQ592" s="318" t="n"/>
      <c r="AR592" s="317" t="n"/>
      <c r="AS592" s="257" t="n"/>
      <c r="AT592" s="258" t="n"/>
      <c r="AU592" s="318" t="n"/>
      <c r="AV592" s="317" t="n"/>
      <c r="AW592" s="257" t="n"/>
      <c r="AX592" s="258" t="n"/>
      <c r="AY592" s="318" t="n"/>
      <c r="AZ592" s="317" t="n"/>
      <c r="BA592" s="257" t="n"/>
      <c r="BB592" s="258" t="n"/>
      <c r="BC592" s="316" t="n"/>
      <c r="BD592" s="317" t="n"/>
      <c r="BE592" s="257" t="n"/>
      <c r="BF592" s="258" t="n"/>
      <c r="BG592" s="89" t="n"/>
      <c r="BH5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92">
        <f>_xlfn.LET(r,ROW(),oc,INDEX($A:$A,r),cv,TRIM(INDEX($Y:$Y,r)&amp;""),IF(oc&lt;&gt;"P1","",IF(cv="45","V45 - novo, nao alimentado pelo spool atual","V44 - alimentado pelo spool atual")))</f>
        <v/>
      </c>
    </row>
    <row r="593" ht="54" customFormat="1" customHeight="1" s="91">
      <c r="A593" s="306" t="inlineStr">
        <is>
          <t>P1</t>
        </is>
      </c>
      <c r="B593" s="307" t="n">
        <v>358</v>
      </c>
      <c r="C593" s="269" t="inlineStr">
        <is>
          <t>17 - Caractéristiques Titres</t>
        </is>
      </c>
      <c r="D593" s="236" t="inlineStr">
        <is>
          <t>17 - Securities characteristics</t>
        </is>
      </c>
      <c r="E593" s="307" t="inlineStr">
        <is>
          <t>P1 24.6</t>
        </is>
      </c>
      <c r="F593" s="1257" t="inlineStr">
        <is>
          <t>Quantité de titres ou de dérivés</t>
        </is>
      </c>
      <c r="G593" s="309" t="inlineStr">
        <is>
          <t>Quantity of securities or derivatives</t>
        </is>
      </c>
      <c r="H593" s="1493">
        <f>"RPAD( "&amp;SUBSTITUTE(SUBSTITUTE(E593," ","_"),".","_")&amp;","&amp;W593&amp;",' '); -- "&amp;E593</f>
        <v/>
      </c>
      <c r="I593" s="654" t="inlineStr">
        <is>
          <t>Nombre de titres ou dérivés émis à date d'arrêté</t>
        </is>
      </c>
      <c r="J593" s="309" t="inlineStr">
        <is>
          <t>Number of securities or derivatives issued at reporting date</t>
        </is>
      </c>
      <c r="K593" s="370" t="inlineStr">
        <is>
          <t>ND</t>
        </is>
      </c>
      <c r="L593" s="371" t="inlineStr">
        <is>
          <t>ND</t>
        </is>
      </c>
      <c r="M593" s="1420" t="inlineStr">
        <is>
          <t>qtyTitre</t>
        </is>
      </c>
      <c r="N593" s="257" t="inlineStr">
        <is>
          <t>Obligatoire sous conditions</t>
        </is>
      </c>
      <c r="O593" s="310" t="inlineStr">
        <is>
          <t>Mandatory under conditions</t>
        </is>
      </c>
      <c r="P593" s="269" t="inlineStr">
        <is>
          <t>NA</t>
        </is>
      </c>
      <c r="Q593" s="269" t="inlineStr">
        <is>
          <t>NA</t>
        </is>
      </c>
      <c r="R593" s="241" t="inlineStr">
        <is>
          <t>NA</t>
        </is>
      </c>
      <c r="S593" s="233" t="inlineStr">
        <is>
          <t>NA</t>
        </is>
      </c>
      <c r="T593" s="307" t="inlineStr">
        <is>
          <t>NUM</t>
        </is>
      </c>
      <c r="U593" s="237" t="inlineStr">
        <is>
          <t>13 dont signe et 2 décimales</t>
        </is>
      </c>
      <c r="V593" s="238" t="inlineStr">
        <is>
          <t>13 including sign and 2 decimals</t>
        </is>
      </c>
      <c r="W593" s="257" t="n">
        <v>13</v>
      </c>
      <c r="X593" s="945" t="inlineStr">
        <is>
          <t>NA</t>
        </is>
      </c>
      <c r="Y593" s="237" t="n">
        <v>41</v>
      </c>
      <c r="Z593" s="237" t="inlineStr">
        <is>
          <t>NA</t>
        </is>
      </c>
      <c r="AA593" s="283" t="inlineStr">
        <is>
          <t>45.00</t>
        </is>
      </c>
      <c r="AB593" s="932" t="inlineStr">
        <is>
          <t>CORFOU, LIQUIDITE, PALMA, SRB VALUATION</t>
        </is>
      </c>
      <c r="AC593" s="231" t="inlineStr">
        <is>
          <t>ND</t>
        </is>
      </c>
      <c r="AD593" s="257" t="inlineStr">
        <is>
          <t>N</t>
        </is>
      </c>
      <c r="AE593" s="1255" t="inlineStr">
        <is>
          <t>EQU101
ISS100
ISS200 et 300
VAR (hors VAR105, VAR302, VAR5*)
INT</t>
        </is>
      </c>
      <c r="AF593" s="257" t="inlineStr">
        <is>
          <t>NA</t>
        </is>
      </c>
      <c r="AG593" s="258" t="inlineStr">
        <is>
          <t>NA</t>
        </is>
      </c>
      <c r="AH593" s="89" t="n"/>
      <c r="AI593" s="1049" t="inlineStr">
        <is>
          <t>La donnée est obligatoire si le type de risque [P1 2.0] = 'EQU101', 'ISS100', 'ISS200', 'ISS300'
---
La donné est obligatoire pour les dérivés de marché, Si Type de risque [P1 2.0] ='VAR* (hors VAR105, VAR302, VAR5*)' ET si la Nature du sous-jacent [P1 12.1] = '01', '02', '04', '05', '06', '07', '08', '09', '11', '12', '13', '14', '15', '16', '17', '32', '34'</t>
        </is>
      </c>
      <c r="AJ593" s="931" t="inlineStr">
        <is>
          <t>The data is mandatory if risk type [P1 2.0] = 'EQU101', 'ISS100', 'ISS200', 'ISS300'
---
The data is mandatory if Risk type [P1 2.0] = 'VAR* (except VAR105, VAR302, VAR5*)' AND if Nature of underlying [P1 12.1] = '01', '02', '04', '05', '06', '07', '08', '09', '11', '12', '13', '14', '15', '16', '17', '32', '34'</t>
        </is>
      </c>
      <c r="AK593" s="932" t="inlineStr">
        <is>
          <t>7
6</t>
        </is>
      </c>
      <c r="AL593" s="1256" t="inlineStr">
        <is>
          <t>TPS0878
TPSxxxx (ex TPS0879)</t>
        </is>
      </c>
      <c r="AM593" s="318" t="n"/>
      <c r="AN593" s="317" t="n"/>
      <c r="AO593" s="257" t="n"/>
      <c r="AP593" s="258" t="n"/>
      <c r="AQ593" s="930" t="inlineStr">
        <is>
          <t>Si renseignée, ET si le type de risque [P1 2.0] = 'EQU101', 'ISS100', 'ISS200', 'ISS300', 'VAR*(hors VAR105 et VAR302)', ALORS la donnée doit être strictement supérieure à 0</t>
        </is>
      </c>
      <c r="AR593" s="931" t="inlineStr">
        <is>
          <t>If filled in, AND if risk type [P1 2.0] = 'EQU101', 'ISS100', 'ISS200', 'ISS300', 'VAR* (except VAR105 and VAR302)', THEN data must strictly be greater than 0</t>
        </is>
      </c>
      <c r="AS593" s="932" t="n">
        <v>7</v>
      </c>
      <c r="AT593" s="933" t="inlineStr">
        <is>
          <t>TBD</t>
        </is>
      </c>
      <c r="AU593" s="318" t="n"/>
      <c r="AV593" s="317" t="n"/>
      <c r="AW593" s="257" t="n"/>
      <c r="AX593" s="258" t="n"/>
      <c r="AY593" s="318" t="n"/>
      <c r="AZ593" s="317" t="n"/>
      <c r="BA593" s="257" t="n"/>
      <c r="BB593" s="258" t="n"/>
      <c r="BC593" s="316" t="n"/>
      <c r="BD593" s="317" t="n"/>
      <c r="BE593" s="257" t="n"/>
      <c r="BF593" s="258" t="n"/>
      <c r="BG593" s="89" t="n"/>
      <c r="BH5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93">
        <f>_xlfn.LET(r,ROW(),oc,INDEX($A:$A,r),cv,TRIM(INDEX($Y:$Y,r)&amp;""),IF(oc&lt;&gt;"P1","",IF(cv="45","V45 - novo, nao alimentado pelo spool atual","V44 - alimentado pelo spool atual")))</f>
        <v/>
      </c>
    </row>
    <row r="594" ht="54" customFormat="1" customHeight="1" s="91">
      <c r="A594" s="306" t="inlineStr">
        <is>
          <t>P1</t>
        </is>
      </c>
      <c r="B594" s="307" t="n">
        <v>359</v>
      </c>
      <c r="C594" s="269" t="inlineStr">
        <is>
          <t>17 - Caractéristiques Titres</t>
        </is>
      </c>
      <c r="D594" s="236" t="inlineStr">
        <is>
          <t>17 - Securities characteristics</t>
        </is>
      </c>
      <c r="E594" s="307" t="inlineStr">
        <is>
          <t>P1 24.7</t>
        </is>
      </c>
      <c r="F594" s="308" t="inlineStr">
        <is>
          <t xml:space="preserve">Libellé du titre </t>
        </is>
      </c>
      <c r="G594" s="309" t="inlineStr">
        <is>
          <t xml:space="preserve">Name of financial security </t>
        </is>
      </c>
      <c r="H594" s="1493">
        <f>"RPAD( "&amp;SUBSTITUTE(SUBSTITUTE(E594," ","_"),".","_")&amp;","&amp;W594&amp;",' '); -- "&amp;E594</f>
        <v/>
      </c>
      <c r="I594" s="241" t="inlineStr">
        <is>
          <t>Libellé associé à la référence du titre</t>
        </is>
      </c>
      <c r="J594" s="309" t="inlineStr">
        <is>
          <t>Name associated with the security's reference</t>
        </is>
      </c>
      <c r="K594" s="370" t="inlineStr">
        <is>
          <t>ND</t>
        </is>
      </c>
      <c r="L594" s="371" t="inlineStr">
        <is>
          <t>ND</t>
        </is>
      </c>
      <c r="M594" s="1420" t="inlineStr">
        <is>
          <t>descTitre</t>
        </is>
      </c>
      <c r="N594" s="257" t="inlineStr">
        <is>
          <t>Obligatoire sous conditions</t>
        </is>
      </c>
      <c r="O594" s="310" t="inlineStr">
        <is>
          <t>Mandatory under conditions</t>
        </is>
      </c>
      <c r="P594" s="269" t="inlineStr">
        <is>
          <t>NA</t>
        </is>
      </c>
      <c r="Q594" s="269" t="inlineStr">
        <is>
          <t>NA</t>
        </is>
      </c>
      <c r="R594" s="241" t="inlineStr">
        <is>
          <t>NA</t>
        </is>
      </c>
      <c r="S594" s="233" t="inlineStr">
        <is>
          <t>NA</t>
        </is>
      </c>
      <c r="T594" s="313" t="inlineStr">
        <is>
          <t>ALPHA</t>
        </is>
      </c>
      <c r="U594" s="237" t="inlineStr">
        <is>
          <t>NA</t>
        </is>
      </c>
      <c r="V594" s="238" t="inlineStr">
        <is>
          <t>NA</t>
        </is>
      </c>
      <c r="W594" s="257" t="n">
        <v>50</v>
      </c>
      <c r="X594" s="945" t="inlineStr">
        <is>
          <t>NA</t>
        </is>
      </c>
      <c r="Y594" s="237" t="n">
        <v>41</v>
      </c>
      <c r="Z594" s="237" t="inlineStr">
        <is>
          <t>NA</t>
        </is>
      </c>
      <c r="AA594" s="237" t="inlineStr">
        <is>
          <t>NA</t>
        </is>
      </c>
      <c r="AB594" s="269" t="inlineStr">
        <is>
          <t>CORFOU, PVA</t>
        </is>
      </c>
      <c r="AC594" s="231" t="inlineStr">
        <is>
          <t>ND</t>
        </is>
      </c>
      <c r="AD594" s="257" t="inlineStr">
        <is>
          <t>N</t>
        </is>
      </c>
      <c r="AE594" s="257" t="inlineStr">
        <is>
          <t>EQU101
ISS100
ISS200 et 300
VAR (hors Repos)
INT</t>
        </is>
      </c>
      <c r="AF594" s="257" t="inlineStr">
        <is>
          <t>NA</t>
        </is>
      </c>
      <c r="AG594" s="258" t="inlineStr">
        <is>
          <t>NA</t>
        </is>
      </c>
      <c r="AH594" s="89" t="n"/>
      <c r="AI594" s="316" t="inlineStr">
        <is>
          <t>La donnée est obligatoire si le type de risque [P1 2.0] = 'VARxxx' (hors VAR105 et VAR302), 'ISSxxx', 'EQU101' et 'INTxxx' ET si la référence du titre sous-jacent [P1 12.3] est renseignée</t>
        </is>
      </c>
      <c r="AJ594" s="317" t="inlineStr">
        <is>
          <t>The data is mandatory if Risk type [P1 2.0] = 'VARxxx' (excluding VAR105 and VAR302), 'ISSxxx', 'EQU101' and 'INTxxx' AND if Underlying security reference [P1 12.3] is filled</t>
        </is>
      </c>
      <c r="AK594" s="257" t="n">
        <v>6</v>
      </c>
      <c r="AL594" s="463" t="inlineStr">
        <is>
          <t>TPS0880</t>
        </is>
      </c>
      <c r="AM594" s="318" t="n"/>
      <c r="AN594" s="317" t="n"/>
      <c r="AO594" s="257" t="n"/>
      <c r="AP594" s="258" t="n"/>
      <c r="AQ594" s="318" t="n"/>
      <c r="AR594" s="317" t="n"/>
      <c r="AS594" s="257" t="n"/>
      <c r="AT594" s="258" t="n"/>
      <c r="AU594" s="318" t="n"/>
      <c r="AV594" s="317" t="n"/>
      <c r="AW594" s="257" t="n"/>
      <c r="AX594" s="258" t="n"/>
      <c r="AY594" s="318" t="n"/>
      <c r="AZ594" s="317" t="n"/>
      <c r="BA594" s="257" t="n"/>
      <c r="BB594" s="258" t="n"/>
      <c r="BC594" s="316" t="n"/>
      <c r="BD594" s="317" t="n"/>
      <c r="BE594" s="257" t="n"/>
      <c r="BF594" s="258" t="n"/>
      <c r="BG594" s="89" t="n"/>
      <c r="BH5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94">
        <f>_xlfn.LET(r,ROW(),oc,INDEX($A:$A,r),cv,TRIM(INDEX($Y:$Y,r)&amp;""),IF(oc&lt;&gt;"P1","",IF(cv="45","V45 - novo, nao alimentado pelo spool atual","V44 - alimentado pelo spool atual")))</f>
        <v/>
      </c>
    </row>
    <row r="595" ht="54" customFormat="1" customHeight="1" s="91">
      <c r="A595" s="306" t="inlineStr">
        <is>
          <t>P1</t>
        </is>
      </c>
      <c r="B595" s="307" t="n">
        <v>360</v>
      </c>
      <c r="C595" s="269" t="inlineStr">
        <is>
          <t>03 - Caractéristiques Générales</t>
        </is>
      </c>
      <c r="D595" s="236" t="inlineStr">
        <is>
          <t>03 - General characteristics</t>
        </is>
      </c>
      <c r="E595" s="307" t="inlineStr">
        <is>
          <t>P1 24.8</t>
        </is>
      </c>
      <c r="F595" s="308" t="inlineStr">
        <is>
          <t xml:space="preserve">Type d'identification des valeurs mobilières </t>
        </is>
      </c>
      <c r="G595" s="309" t="inlineStr">
        <is>
          <t xml:space="preserve">Type of identification of marketable securities </t>
        </is>
      </c>
      <c r="H595" s="1493">
        <f>"RPAD( "&amp;SUBSTITUTE(SUBSTITUTE(E595," ","_"),".","_")&amp;","&amp;W595&amp;",' '); -- "&amp;E595</f>
        <v/>
      </c>
      <c r="I595" s="241" t="inlineStr">
        <is>
          <t>Permet de connaître le type d'identifiant du titre renseigné dans la référence du titre sous-jacent – besoin asset encumbrance</t>
        </is>
      </c>
      <c r="J595" s="309" t="inlineStr">
        <is>
          <t>Identifies the type of identifier of the financial security specified in the reference of the underlying security – asset encumbrance need</t>
        </is>
      </c>
      <c r="K595" s="370" t="inlineStr">
        <is>
          <t>ND</t>
        </is>
      </c>
      <c r="L595" s="371" t="inlineStr">
        <is>
          <t>ND</t>
        </is>
      </c>
      <c r="M595" s="1420" t="inlineStr">
        <is>
          <t>cdTypIdValBien</t>
        </is>
      </c>
      <c r="N595" s="257" t="inlineStr">
        <is>
          <t>Obligatoire sous conditions</t>
        </is>
      </c>
      <c r="O595" s="310" t="inlineStr">
        <is>
          <t>Mandatory under conditions</t>
        </is>
      </c>
      <c r="P595" s="269" t="inlineStr">
        <is>
          <t>LC.0241</t>
        </is>
      </c>
      <c r="Q595" s="269" t="inlineStr">
        <is>
          <t>TA KVTIDTIT</t>
        </is>
      </c>
      <c r="R595" s="241" t="inlineStr">
        <is>
          <t>NA</t>
        </is>
      </c>
      <c r="S595" s="233" t="inlineStr">
        <is>
          <t>NA</t>
        </is>
      </c>
      <c r="T595" s="313" t="inlineStr">
        <is>
          <t>ALPHA</t>
        </is>
      </c>
      <c r="U595" s="237" t="inlineStr">
        <is>
          <t>NA</t>
        </is>
      </c>
      <c r="V595" s="238" t="inlineStr">
        <is>
          <t>NA</t>
        </is>
      </c>
      <c r="W595" s="257" t="n">
        <v>1</v>
      </c>
      <c r="X595" s="945" t="inlineStr">
        <is>
          <t>NA</t>
        </is>
      </c>
      <c r="Y595" s="237" t="n">
        <v>41</v>
      </c>
      <c r="Z595" s="237" t="inlineStr">
        <is>
          <t>NA</t>
        </is>
      </c>
      <c r="AA595" s="283" t="inlineStr">
        <is>
          <t>NA</t>
        </is>
      </c>
      <c r="AB595" s="269" t="inlineStr">
        <is>
          <t>ALMM, CONGLOMERATS, CORFOU, PVA, SHS</t>
        </is>
      </c>
      <c r="AC595" s="231" t="inlineStr">
        <is>
          <t>ND</t>
        </is>
      </c>
      <c r="AD595" s="257" t="inlineStr">
        <is>
          <t>N</t>
        </is>
      </c>
      <c r="AE595" s="655" t="inlineStr">
        <is>
          <t>EQU101
ISS100
ISS200 et 300
TRE203, 205, 207
TRE206
TRE405, TRE406
VAR (hors Repos)
INT</t>
        </is>
      </c>
      <c r="AF595" s="257" t="inlineStr">
        <is>
          <t>NA</t>
        </is>
      </c>
      <c r="AG595" s="258" t="inlineStr">
        <is>
          <t>NA</t>
        </is>
      </c>
      <c r="AH595" s="89" t="n"/>
      <c r="AI595" s="656" t="inlineStr">
        <is>
          <t>La donnée est obligatoire si le type de risque [P1 2.0] = 'EQU, ISS, VAR, INT, TRE203, TRE205, TRE206, TRE207, TRE405, TRE406' ET si la référence du titre sous-jacent [P1 12.3] est renseignée</t>
        </is>
      </c>
      <c r="AJ595" s="317" t="inlineStr">
        <is>
          <t>The data is mandatory if Risk type [P1 2.0] = 'EQU, ISS, VAR, INT, TRE203, TRE205, TRE206, TRE207, TRE405, TRE406' AND if the reference of the underlying security [P1 12.3] is filled</t>
        </is>
      </c>
      <c r="AK595" s="257" t="n">
        <v>6</v>
      </c>
      <c r="AL595" s="345" t="inlineStr">
        <is>
          <t>TPS0881</t>
        </is>
      </c>
      <c r="AM595" s="318" t="inlineStr">
        <is>
          <t>Si elle est renseignée, la valeur doit être connue du Langage Commun associé</t>
        </is>
      </c>
      <c r="AN595" s="317" t="inlineStr">
        <is>
          <t>If specified, the value must be known to the associated Common Language</t>
        </is>
      </c>
      <c r="AO595" s="257" t="n">
        <v>7</v>
      </c>
      <c r="AP595" s="212" t="inlineStr">
        <is>
          <t>TIG0001</t>
        </is>
      </c>
      <c r="AQ595" s="318" t="n"/>
      <c r="AR595" s="317" t="n"/>
      <c r="AS595" s="257" t="n"/>
      <c r="AT595" s="258" t="n"/>
      <c r="AU595" s="318" t="n"/>
      <c r="AV595" s="317" t="n"/>
      <c r="AW595" s="257" t="n"/>
      <c r="AX595" s="258" t="n"/>
      <c r="AY595" s="318" t="n"/>
      <c r="AZ595" s="317" t="n"/>
      <c r="BA595" s="257" t="n"/>
      <c r="BB595" s="258" t="n"/>
      <c r="BC595" s="316" t="n"/>
      <c r="BD595" s="317" t="n"/>
      <c r="BE595" s="257" t="n"/>
      <c r="BF595" s="258" t="n"/>
      <c r="BG595" s="89" t="n"/>
      <c r="BH5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95">
        <f>_xlfn.LET(r,ROW(),oc,INDEX($A:$A,r),cv,TRIM(INDEX($Y:$Y,r)&amp;""),IF(oc&lt;&gt;"P1","",IF(cv="45","V45 - novo, nao alimentado pelo spool atual","V44 - alimentado pelo spool atual")))</f>
        <v/>
      </c>
    </row>
    <row r="596" ht="54" customFormat="1" customHeight="1" s="91">
      <c r="A596" s="306" t="inlineStr">
        <is>
          <t>P1</t>
        </is>
      </c>
      <c r="B596" s="307" t="n">
        <v>361</v>
      </c>
      <c r="C596" s="269" t="inlineStr">
        <is>
          <t>03 - Caractéristiques Générales</t>
        </is>
      </c>
      <c r="D596" s="236" t="inlineStr">
        <is>
          <t>03 - General characteristics</t>
        </is>
      </c>
      <c r="E596" s="307" t="inlineStr">
        <is>
          <t>P1 24.9</t>
        </is>
      </c>
      <c r="F596" s="308" t="inlineStr">
        <is>
          <t xml:space="preserve">Fréquence de valorisation </t>
        </is>
      </c>
      <c r="G596" s="309" t="inlineStr">
        <is>
          <t xml:space="preserve">Valuation frequency </t>
        </is>
      </c>
      <c r="H596" s="1493">
        <f>"RPAD( "&amp;SUBSTITUTE(SUBSTITUTE(E596," ","_"),".","_")&amp;","&amp;W596&amp;",' '); -- "&amp;E596</f>
        <v/>
      </c>
      <c r="I596" s="241" t="inlineStr">
        <is>
          <t>Fréquence de valorisation du fonds</t>
        </is>
      </c>
      <c r="J596" s="309" t="inlineStr">
        <is>
          <t>Fund's valuation frequency</t>
        </is>
      </c>
      <c r="K596" s="370" t="inlineStr">
        <is>
          <t>ND</t>
        </is>
      </c>
      <c r="L596" s="371" t="inlineStr">
        <is>
          <t>ND</t>
        </is>
      </c>
      <c r="M596" s="1420" t="inlineStr">
        <is>
          <t>cdFreqValo</t>
        </is>
      </c>
      <c r="N596" s="257" t="inlineStr">
        <is>
          <t>Obligatoire sous conditions</t>
        </is>
      </c>
      <c r="O596" s="310" t="inlineStr">
        <is>
          <t>Mandatory under conditions</t>
        </is>
      </c>
      <c r="P596" s="269" t="inlineStr">
        <is>
          <t>LC.0056</t>
        </is>
      </c>
      <c r="Q596" s="269" t="inlineStr">
        <is>
          <t>TA KVFREQU</t>
        </is>
      </c>
      <c r="R596" s="241" t="inlineStr">
        <is>
          <t>NA</t>
        </is>
      </c>
      <c r="S596" s="233" t="inlineStr">
        <is>
          <t>NA</t>
        </is>
      </c>
      <c r="T596" s="313" t="inlineStr">
        <is>
          <t>ALPHA</t>
        </is>
      </c>
      <c r="U596" s="237" t="inlineStr">
        <is>
          <t>NA</t>
        </is>
      </c>
      <c r="V596" s="238" t="inlineStr">
        <is>
          <t>NA</t>
        </is>
      </c>
      <c r="W596" s="257" t="n">
        <v>1</v>
      </c>
      <c r="X596" s="945" t="inlineStr">
        <is>
          <t>NA</t>
        </is>
      </c>
      <c r="Y596" s="237" t="n">
        <v>41</v>
      </c>
      <c r="Z596" s="237" t="inlineStr">
        <is>
          <t>NA</t>
        </is>
      </c>
      <c r="AA596" s="283" t="inlineStr">
        <is>
          <t>NA</t>
        </is>
      </c>
      <c r="AB596" s="269" t="inlineStr">
        <is>
          <t>PVA</t>
        </is>
      </c>
      <c r="AC596" s="231" t="inlineStr">
        <is>
          <t>ND</t>
        </is>
      </c>
      <c r="AD596" s="257" t="inlineStr">
        <is>
          <t>N</t>
        </is>
      </c>
      <c r="AE596" s="496" t="inlineStr">
        <is>
          <t>ISS200 et 300</t>
        </is>
      </c>
      <c r="AF596" s="257" t="inlineStr">
        <is>
          <t>NA</t>
        </is>
      </c>
      <c r="AG596" s="258" t="inlineStr">
        <is>
          <t>NA</t>
        </is>
      </c>
      <c r="AH596" s="89" t="n"/>
      <c r="AI596" s="657" t="inlineStr">
        <is>
          <t>La donnée est obligatoire si le type de risque [P1 2.0] = 'EQU, ISS, VAR, INT, TRE203, TRE205, TRE206, TRE207, TRE405, TRE406' ET si la classification comptable de référence des actifs [P1 19.5] = 'JCN','JCR','JVR' ET si le type d'Instrument financier [P1 3.75] = '13'</t>
        </is>
      </c>
      <c r="AJ596" s="317" t="inlineStr">
        <is>
          <t>The data is mandatory if Risk type [P1 2.0] = 'EQU, ISS, VAR, INT, TRE203, TRE205, TRE206, TRE207, TRE405, TRE406' AND if Reference accounting classification of assets [P1 19.5] = 'JCN','JCR','JVR' AND if the type of Financial instrument [P1 3.75] ='13'</t>
        </is>
      </c>
      <c r="AK596" s="257" t="n">
        <v>6</v>
      </c>
      <c r="AL596" s="366" t="inlineStr">
        <is>
          <t>TPS0882</t>
        </is>
      </c>
      <c r="AM596" s="318" t="inlineStr">
        <is>
          <t>Si elle est renseignée, la valeur doit être connue du Langage Commun associé</t>
        </is>
      </c>
      <c r="AN596" s="317" t="inlineStr">
        <is>
          <t>If specified, the value must be known to the associated Common Language</t>
        </is>
      </c>
      <c r="AO596" s="257" t="n">
        <v>7</v>
      </c>
      <c r="AP596" s="345" t="inlineStr">
        <is>
          <t>TIG0001</t>
        </is>
      </c>
      <c r="AQ596" s="318" t="n"/>
      <c r="AR596" s="317" t="n"/>
      <c r="AS596" s="257" t="n"/>
      <c r="AT596" s="258" t="n"/>
      <c r="AU596" s="318" t="n"/>
      <c r="AV596" s="317" t="n"/>
      <c r="AW596" s="257" t="n"/>
      <c r="AX596" s="258" t="n"/>
      <c r="AY596" s="318" t="n"/>
      <c r="AZ596" s="317" t="n"/>
      <c r="BA596" s="257" t="n"/>
      <c r="BB596" s="258" t="n"/>
      <c r="BC596" s="316" t="n"/>
      <c r="BD596" s="317" t="n"/>
      <c r="BE596" s="257" t="n"/>
      <c r="BF596" s="258" t="n"/>
      <c r="BG596" s="89" t="n"/>
      <c r="BH5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96">
        <f>_xlfn.LET(r,ROW(),oc,INDEX($A:$A,r),cv,TRIM(INDEX($Y:$Y,r)&amp;""),IF(oc&lt;&gt;"P1","",IF(cv="45","V45 - novo, nao alimentado pelo spool atual","V44 - alimentado pelo spool atual")))</f>
        <v/>
      </c>
    </row>
    <row r="597" ht="54" customFormat="1" customHeight="1" s="91">
      <c r="A597" s="306" t="inlineStr">
        <is>
          <t>P1</t>
        </is>
      </c>
      <c r="B597" s="307" t="n">
        <v>362</v>
      </c>
      <c r="C597" s="269" t="inlineStr">
        <is>
          <t>03 - Caractéristiques Générales</t>
        </is>
      </c>
      <c r="D597" s="236" t="inlineStr">
        <is>
          <t>03 - General characteristics</t>
        </is>
      </c>
      <c r="E597" s="307" t="inlineStr">
        <is>
          <t>P1 24.10</t>
        </is>
      </c>
      <c r="F597" s="308" t="inlineStr">
        <is>
          <t>Montant actif net comptable du fonds</t>
        </is>
      </c>
      <c r="G597" s="309" t="inlineStr">
        <is>
          <t xml:space="preserve">Fund's accounting net asset value amount </t>
        </is>
      </c>
      <c r="H597" s="1493">
        <f>"RPAD( "&amp;SUBSTITUTE(SUBSTITUTE(E597," ","_"),".","_")&amp;","&amp;W597&amp;",' '); -- "&amp;E597</f>
        <v/>
      </c>
      <c r="I597" s="308" t="inlineStr">
        <is>
          <t>Montant actif net comptable du fonds</t>
        </is>
      </c>
      <c r="J597" s="309" t="inlineStr">
        <is>
          <t xml:space="preserve">Fund's accounting net asset value amount </t>
        </is>
      </c>
      <c r="K597" s="370" t="inlineStr">
        <is>
          <t>ND</t>
        </is>
      </c>
      <c r="L597" s="371" t="inlineStr">
        <is>
          <t>ND</t>
        </is>
      </c>
      <c r="M597" s="1420" t="inlineStr">
        <is>
          <t>mtActifNetFond</t>
        </is>
      </c>
      <c r="N597" s="257" t="inlineStr">
        <is>
          <t>Obligatoire sous conditions</t>
        </is>
      </c>
      <c r="O597" s="310" t="inlineStr">
        <is>
          <t>Mandatory under conditions</t>
        </is>
      </c>
      <c r="P597" s="269" t="inlineStr">
        <is>
          <t>NA</t>
        </is>
      </c>
      <c r="Q597" s="269" t="inlineStr">
        <is>
          <t>NA</t>
        </is>
      </c>
      <c r="R597" s="241" t="inlineStr">
        <is>
          <t>NA</t>
        </is>
      </c>
      <c r="S597" s="233" t="inlineStr">
        <is>
          <t>NA</t>
        </is>
      </c>
      <c r="T597" s="313" t="inlineStr">
        <is>
          <t>NUM</t>
        </is>
      </c>
      <c r="U597" s="237" t="inlineStr">
        <is>
          <t>19 dont signe et 2 décimales</t>
        </is>
      </c>
      <c r="V597" s="238" t="inlineStr">
        <is>
          <t>19 including sign and 2 decimals</t>
        </is>
      </c>
      <c r="W597" s="257" t="n">
        <v>19</v>
      </c>
      <c r="X597" s="945" t="inlineStr">
        <is>
          <t>NA</t>
        </is>
      </c>
      <c r="Y597" s="237" t="n">
        <v>41</v>
      </c>
      <c r="Z597" s="237" t="inlineStr">
        <is>
          <t>NA</t>
        </is>
      </c>
      <c r="AA597" s="283" t="inlineStr">
        <is>
          <t>NA</t>
        </is>
      </c>
      <c r="AB597" s="269" t="inlineStr">
        <is>
          <t>ANACREDIT, PVA</t>
        </is>
      </c>
      <c r="AC597" s="231" t="inlineStr">
        <is>
          <t>ND</t>
        </is>
      </c>
      <c r="AD597" s="257" t="inlineStr">
        <is>
          <t>N</t>
        </is>
      </c>
      <c r="AE597" s="496" t="inlineStr">
        <is>
          <t>ISS200 et 300</t>
        </is>
      </c>
      <c r="AF597" s="257" t="inlineStr">
        <is>
          <t>NA</t>
        </is>
      </c>
      <c r="AG597" s="258" t="inlineStr">
        <is>
          <t>NA</t>
        </is>
      </c>
      <c r="AH597" s="89" t="n"/>
      <c r="AI597" s="657" t="inlineStr">
        <is>
          <t>La donnée est obligatoire si la classification comptable de référence des actifs [P1 19.5] = 'JCN','JCR','JVR' et si le type d'Instrument financier [P1 3.75] = '13'</t>
        </is>
      </c>
      <c r="AJ597" s="317" t="inlineStr">
        <is>
          <t>The data is mandatory if Reference accounting classification of assets [P1 19.5] = 'JCN','JCR','JVR' and if the type of Financial instrument [P1 3.75] ='13'</t>
        </is>
      </c>
      <c r="AK597" s="257" t="n">
        <v>6</v>
      </c>
      <c r="AL597" s="447" t="inlineStr">
        <is>
          <t>TPS0883</t>
        </is>
      </c>
      <c r="AM597" s="318" t="n"/>
      <c r="AN597" s="317" t="n"/>
      <c r="AO597" s="257" t="n"/>
      <c r="AP597" s="258" t="n"/>
      <c r="AQ597" s="318" t="n"/>
      <c r="AR597" s="317" t="n"/>
      <c r="AS597" s="257" t="n"/>
      <c r="AT597" s="258" t="n"/>
      <c r="AU597" s="318" t="n"/>
      <c r="AV597" s="317" t="n"/>
      <c r="AW597" s="257" t="n"/>
      <c r="AX597" s="258" t="n"/>
      <c r="AY597" s="318" t="n"/>
      <c r="AZ597" s="317" t="n"/>
      <c r="BA597" s="257" t="n"/>
      <c r="BB597" s="258" t="n"/>
      <c r="BC597" s="316" t="n"/>
      <c r="BD597" s="317" t="n"/>
      <c r="BE597" s="257" t="n"/>
      <c r="BF597" s="258" t="n"/>
      <c r="BG597" s="89" t="n"/>
      <c r="BH5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97">
        <f>_xlfn.LET(r,ROW(),oc,INDEX($A:$A,r),cv,TRIM(INDEX($Y:$Y,r)&amp;""),IF(oc&lt;&gt;"P1","",IF(cv="45","V45 - novo, nao alimentado pelo spool atual","V44 - alimentado pelo spool atual")))</f>
        <v/>
      </c>
    </row>
    <row r="598" ht="54" customFormat="1" customHeight="1" s="91">
      <c r="A598" s="306" t="inlineStr">
        <is>
          <t>P1</t>
        </is>
      </c>
      <c r="B598" s="307" t="n">
        <v>363</v>
      </c>
      <c r="C598" s="269" t="inlineStr">
        <is>
          <t>03 - Caractéristiques Générales</t>
        </is>
      </c>
      <c r="D598" s="236" t="inlineStr">
        <is>
          <t>03 - General characteristics</t>
        </is>
      </c>
      <c r="E598" s="307" t="inlineStr">
        <is>
          <t>P1 24.11</t>
        </is>
      </c>
      <c r="F598" s="308" t="inlineStr">
        <is>
          <t>Devise du montant actif net comptable du fonds</t>
        </is>
      </c>
      <c r="G598" s="309" t="inlineStr">
        <is>
          <t>Currency of the fund's accounting net asset value amount</t>
        </is>
      </c>
      <c r="H598" s="1493">
        <f>"RPAD( "&amp;SUBSTITUTE(SUBSTITUTE(E598," ","_"),".","_")&amp;","&amp;W598&amp;",' '); -- "&amp;E598</f>
        <v/>
      </c>
      <c r="I598" s="241" t="inlineStr">
        <is>
          <t xml:space="preserve">Devise du montant initial du bien immobilier à l'achat </t>
        </is>
      </c>
      <c r="J598" s="309" t="inlineStr">
        <is>
          <t xml:space="preserve">Currency of Initial amount of the real property when purchased </t>
        </is>
      </c>
      <c r="K598" s="370" t="inlineStr">
        <is>
          <t>ND</t>
        </is>
      </c>
      <c r="L598" s="371" t="inlineStr">
        <is>
          <t>ND</t>
        </is>
      </c>
      <c r="M598" s="1420" t="inlineStr">
        <is>
          <t>cdDevMtActifNetFond</t>
        </is>
      </c>
      <c r="N598" s="257" t="inlineStr">
        <is>
          <t>Obligatoire sous conditions</t>
        </is>
      </c>
      <c r="O598" s="310" t="inlineStr">
        <is>
          <t>Mandatory under conditions</t>
        </is>
      </c>
      <c r="P598" s="269" t="inlineStr">
        <is>
          <t>LC.0005</t>
        </is>
      </c>
      <c r="Q598" s="269" t="inlineStr">
        <is>
          <t>TA NM253</t>
        </is>
      </c>
      <c r="R598" s="241" t="inlineStr">
        <is>
          <t>NA</t>
        </is>
      </c>
      <c r="S598" s="233" t="inlineStr">
        <is>
          <t>NA</t>
        </is>
      </c>
      <c r="T598" s="313" t="inlineStr">
        <is>
          <t>ALPHA</t>
        </is>
      </c>
      <c r="U598" s="237" t="inlineStr">
        <is>
          <t>NA</t>
        </is>
      </c>
      <c r="V598" s="238" t="inlineStr">
        <is>
          <t>NA</t>
        </is>
      </c>
      <c r="W598" s="257" t="n">
        <v>3</v>
      </c>
      <c r="X598" s="945" t="inlineStr">
        <is>
          <t>NA</t>
        </is>
      </c>
      <c r="Y598" s="237" t="n">
        <v>41</v>
      </c>
      <c r="Z598" s="237" t="inlineStr">
        <is>
          <t>NA</t>
        </is>
      </c>
      <c r="AA598" s="237" t="inlineStr">
        <is>
          <t>NA</t>
        </is>
      </c>
      <c r="AB598" s="269" t="inlineStr">
        <is>
          <t>ANACREDIT, PVA</t>
        </is>
      </c>
      <c r="AC598" s="231" t="inlineStr">
        <is>
          <t>ND</t>
        </is>
      </c>
      <c r="AD598" s="257" t="inlineStr">
        <is>
          <t>N</t>
        </is>
      </c>
      <c r="AE598" s="496" t="inlineStr">
        <is>
          <t>ISS200 et 300</t>
        </is>
      </c>
      <c r="AF598" s="257" t="inlineStr">
        <is>
          <t>NA</t>
        </is>
      </c>
      <c r="AG598" s="258" t="inlineStr">
        <is>
          <t>NA</t>
        </is>
      </c>
      <c r="AH598" s="89" t="n"/>
      <c r="AI598" s="316" t="inlineStr">
        <is>
          <t>La donnée est obligatoire si le montant actif net comptable du fonds [P1 24.10] est renseigné</t>
        </is>
      </c>
      <c r="AJ598" s="317" t="inlineStr">
        <is>
          <t>The data is mandatory if the net accounting asset amount of the fund [P1 24.10] is filled</t>
        </is>
      </c>
      <c r="AK598" s="257" t="n">
        <v>7</v>
      </c>
      <c r="AL598" s="335" t="inlineStr">
        <is>
          <t>TPG0002</t>
        </is>
      </c>
      <c r="AM598" s="318" t="inlineStr">
        <is>
          <t>Si elle est renseignée, la valeur doit être connue du Langage Commun associé</t>
        </is>
      </c>
      <c r="AN598" s="317" t="inlineStr">
        <is>
          <t>If specified, the value must be known to the associated Common Language</t>
        </is>
      </c>
      <c r="AO598" s="257" t="n">
        <v>7</v>
      </c>
      <c r="AP598" s="212" t="inlineStr">
        <is>
          <t>TIG0001</t>
        </is>
      </c>
      <c r="AQ598" s="318" t="n"/>
      <c r="AR598" s="317" t="n"/>
      <c r="AS598" s="257" t="n"/>
      <c r="AT598" s="258" t="n"/>
      <c r="AU598" s="318" t="n"/>
      <c r="AV598" s="317" t="n"/>
      <c r="AW598" s="257" t="n"/>
      <c r="AX598" s="258" t="n"/>
      <c r="AY598" s="318" t="n"/>
      <c r="AZ598" s="317" t="n"/>
      <c r="BA598" s="257" t="n"/>
      <c r="BB598" s="258" t="n"/>
      <c r="BC598" s="316" t="n"/>
      <c r="BD598" s="317" t="n"/>
      <c r="BE598" s="257" t="n"/>
      <c r="BF598" s="258" t="n"/>
      <c r="BG598" s="89" t="n"/>
      <c r="BH5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98">
        <f>_xlfn.LET(r,ROW(),oc,INDEX($A:$A,r),cv,TRIM(INDEX($Y:$Y,r)&amp;""),IF(oc&lt;&gt;"P1","",IF(cv="45","V45 - novo, nao alimentado pelo spool atual","V44 - alimentado pelo spool atual")))</f>
        <v/>
      </c>
    </row>
    <row r="599" ht="54" customFormat="1" customHeight="1" s="91">
      <c r="A599" s="306" t="inlineStr">
        <is>
          <t>P1</t>
        </is>
      </c>
      <c r="B599" s="307" t="n">
        <v>364</v>
      </c>
      <c r="C599" s="269" t="inlineStr">
        <is>
          <t>29 - Ratio</t>
        </is>
      </c>
      <c r="D599" s="236" t="inlineStr">
        <is>
          <t>29 - Ratio</t>
        </is>
      </c>
      <c r="E599" s="307" t="inlineStr">
        <is>
          <t>P1 24.12</t>
        </is>
      </c>
      <c r="F599" s="308" t="inlineStr">
        <is>
          <t>Ratio d'emprise</t>
        </is>
      </c>
      <c r="G599" s="309" t="inlineStr">
        <is>
          <t>Investment ratio</t>
        </is>
      </c>
      <c r="H599" s="1493">
        <f>"RPAD( "&amp;SUBSTITUTE(SUBSTITUTE(E599," ","_"),".","_")&amp;","&amp;W599&amp;",' '); -- "&amp;E599</f>
        <v/>
      </c>
      <c r="I599" s="970" t="inlineStr">
        <is>
          <t>Pourcentage calculé par rapport au nombre de titres (ou capital) émis. Il peut etre déduit de l'actif net des fonds ou de sa valeur liquidative (MtM)</t>
        </is>
      </c>
      <c r="J599" s="309" t="inlineStr">
        <is>
          <t>The percentage calculated based on the number of securities (or capital) issued. It may be deducted from the fund's net asset or its net asset value (MtM)</t>
        </is>
      </c>
      <c r="K599" s="370" t="inlineStr">
        <is>
          <t>ND</t>
        </is>
      </c>
      <c r="L599" s="371" t="inlineStr">
        <is>
          <t>ND</t>
        </is>
      </c>
      <c r="M599" s="1420" t="inlineStr">
        <is>
          <t>ratioEmprise</t>
        </is>
      </c>
      <c r="N599" s="257" t="inlineStr">
        <is>
          <t>Obligatoire sous conditions</t>
        </is>
      </c>
      <c r="O599" s="310" t="inlineStr">
        <is>
          <t>Mandatory under conditions</t>
        </is>
      </c>
      <c r="P599" s="269" t="inlineStr">
        <is>
          <t>NA</t>
        </is>
      </c>
      <c r="Q599" s="269" t="inlineStr">
        <is>
          <t>NA</t>
        </is>
      </c>
      <c r="R599" s="241" t="inlineStr">
        <is>
          <t>NA</t>
        </is>
      </c>
      <c r="S599" s="233" t="inlineStr">
        <is>
          <t>NA</t>
        </is>
      </c>
      <c r="T599" s="313" t="inlineStr">
        <is>
          <t>NUM</t>
        </is>
      </c>
      <c r="U599" s="237" t="inlineStr">
        <is>
          <t>10 dont signe et 5 décimales</t>
        </is>
      </c>
      <c r="V599" s="238" t="inlineStr">
        <is>
          <t>10 including sign and 5 decimals</t>
        </is>
      </c>
      <c r="W599" s="257" t="n">
        <v>10</v>
      </c>
      <c r="X599" s="945" t="inlineStr">
        <is>
          <t>NA</t>
        </is>
      </c>
      <c r="Y599" s="237" t="n">
        <v>41</v>
      </c>
      <c r="Z599" s="237" t="inlineStr">
        <is>
          <t>NA</t>
        </is>
      </c>
      <c r="AA599" s="283" t="inlineStr">
        <is>
          <t>NA</t>
        </is>
      </c>
      <c r="AB599" s="269" t="inlineStr">
        <is>
          <t>PVA</t>
        </is>
      </c>
      <c r="AC599" s="231" t="inlineStr">
        <is>
          <t>ND</t>
        </is>
      </c>
      <c r="AD599" s="257" t="inlineStr">
        <is>
          <t>N</t>
        </is>
      </c>
      <c r="AE599" s="496" t="inlineStr">
        <is>
          <t>ISS200 et 300</t>
        </is>
      </c>
      <c r="AF599" s="257" t="inlineStr">
        <is>
          <t>NA</t>
        </is>
      </c>
      <c r="AG599" s="258" t="inlineStr">
        <is>
          <t>NA</t>
        </is>
      </c>
      <c r="AH599" s="89" t="n"/>
      <c r="AI599" s="657" t="inlineStr">
        <is>
          <t>La donnée est obligatoire si le type de risque [P1 2.0] = 'EQU, ISS, VAR, INT, TRE203, TRE205, TRE206, TRE207, TRE405, TRE406' ET si la classification comptable de référence des actifs [P1 19.5] = 'JCN','JCR','JVR' ET si le type d'Instrument financier [P1 3.75] = '13'</t>
        </is>
      </c>
      <c r="AJ599" s="317" t="inlineStr">
        <is>
          <t>The data is mandatory if Risk type [P1 2.0] = 'EQU, ISS, VAR, INT, TRE203, TRE205, TRE206, TRE207, TRE405, TRE406' AND if Reference accounting classification of assets [P1 19.5] = 'JCN','JCR','JVR' AND if the type of Financial instrument [P1 3.75] ='13'</t>
        </is>
      </c>
      <c r="AK599" s="257" t="n">
        <v>6</v>
      </c>
      <c r="AL599" s="366" t="inlineStr">
        <is>
          <t>TPS0882</t>
        </is>
      </c>
      <c r="AM599" s="318" t="n"/>
      <c r="AN599" s="317" t="n"/>
      <c r="AO599" s="257" t="n"/>
      <c r="AP599" s="258" t="n"/>
      <c r="AQ599" s="318" t="n"/>
      <c r="AR599" s="317" t="n"/>
      <c r="AS599" s="257" t="n"/>
      <c r="AT599" s="258" t="n"/>
      <c r="AU599" s="318" t="n"/>
      <c r="AV599" s="317" t="n"/>
      <c r="AW599" s="257" t="n"/>
      <c r="AX599" s="258" t="n"/>
      <c r="AY599" s="318" t="n"/>
      <c r="AZ599" s="317" t="n"/>
      <c r="BA599" s="257" t="n"/>
      <c r="BB599" s="258" t="n"/>
      <c r="BC599" s="316" t="n"/>
      <c r="BD599" s="317" t="n"/>
      <c r="BE599" s="257" t="n"/>
      <c r="BF599" s="258" t="n"/>
      <c r="BG599" s="89" t="n"/>
      <c r="BH5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599">
        <f>_xlfn.LET(r,ROW(),oc,INDEX($A:$A,r),cv,TRIM(INDEX($Y:$Y,r)&amp;""),IF(oc&lt;&gt;"P1","",IF(cv="45","V45 - novo, nao alimentado pelo spool atual","V44 - alimentado pelo spool atual")))</f>
        <v/>
      </c>
    </row>
    <row r="600" ht="54" customFormat="1" customHeight="1" s="91">
      <c r="A600" s="306" t="inlineStr">
        <is>
          <t>P1</t>
        </is>
      </c>
      <c r="B600" s="307" t="n">
        <v>365</v>
      </c>
      <c r="C600" s="269" t="inlineStr">
        <is>
          <t>03 - Caractéristiques Générales</t>
        </is>
      </c>
      <c r="D600" s="236" t="inlineStr">
        <is>
          <t>03 - General characteristics</t>
        </is>
      </c>
      <c r="E600" s="307" t="inlineStr">
        <is>
          <t>P1 24.13</t>
        </is>
      </c>
      <c r="F600" s="308" t="inlineStr">
        <is>
          <t>Cotation spread émetteur (%)</t>
        </is>
      </c>
      <c r="G600" s="309" t="inlineStr">
        <is>
          <t>Issuer spread price (%)</t>
        </is>
      </c>
      <c r="H600" s="1493">
        <f>"RPAD( "&amp;SUBSTITUTE(SUBSTITUTE(E600," ","_"),".","_")&amp;","&amp;W600&amp;",' '); -- "&amp;E600</f>
        <v/>
      </c>
      <c r="I600" s="308" t="inlineStr">
        <is>
          <t>Cotation spread émetteur (%)
Exprimé en %</t>
        </is>
      </c>
      <c r="J600" s="309" t="inlineStr">
        <is>
          <t>Issuer spread price (%)
Expressed as %</t>
        </is>
      </c>
      <c r="K600" s="370" t="inlineStr">
        <is>
          <t>ND</t>
        </is>
      </c>
      <c r="L600" s="371" t="inlineStr">
        <is>
          <t>ND</t>
        </is>
      </c>
      <c r="M600" s="1420" t="inlineStr">
        <is>
          <t>ratioCotaSpredEmet</t>
        </is>
      </c>
      <c r="N600" s="449" t="inlineStr">
        <is>
          <t>Facultatif</t>
        </is>
      </c>
      <c r="O600" s="310" t="inlineStr">
        <is>
          <t>Optional</t>
        </is>
      </c>
      <c r="P600" s="269" t="inlineStr">
        <is>
          <t>NA</t>
        </is>
      </c>
      <c r="Q600" s="269" t="inlineStr">
        <is>
          <t>NA</t>
        </is>
      </c>
      <c r="R600" s="241" t="inlineStr">
        <is>
          <t>Dans le cadre de bons à moyen terme négociables avec contrat/clause de liquidité, l'émetteur s'engage à racheter le titre sur la base d'une fourchette (bid/offer) maximum (Spread bid émetteur).
Le cas échéant, à renseigner pour les titres obligataires et les TCN non obligataires (instruments financiers de types 11 et 12) éligibles à la PVA i.e comptabilisés à la juste valeur</t>
        </is>
      </c>
      <c r="S600" s="233" t="inlineStr">
        <is>
          <t>In the context of marketable medium - term bonds with a liquidity contract/clause, the issuer undertakes to repurchase the security on the basis of a maximum bid/offer (Spread bid issuer).
Where applicable, for bond securities and non-bond TCNs (financial instruments types 11 and 12) eligible to PVA i.e at fair value</t>
        </is>
      </c>
      <c r="T600" s="313" t="inlineStr">
        <is>
          <t>NUM</t>
        </is>
      </c>
      <c r="U600" s="237" t="inlineStr">
        <is>
          <t>10 dont signe et 5 décimales</t>
        </is>
      </c>
      <c r="V600" s="238" t="inlineStr">
        <is>
          <t>10 including sign and 5 decimals</t>
        </is>
      </c>
      <c r="W600" s="257" t="n">
        <v>10</v>
      </c>
      <c r="X600" s="945" t="inlineStr">
        <is>
          <t>NA</t>
        </is>
      </c>
      <c r="Y600" s="237" t="n">
        <v>41</v>
      </c>
      <c r="Z600" s="237" t="inlineStr">
        <is>
          <t>NA</t>
        </is>
      </c>
      <c r="AA600" s="237" t="inlineStr">
        <is>
          <t>NA</t>
        </is>
      </c>
      <c r="AB600" s="269" t="inlineStr">
        <is>
          <t>PVA</t>
        </is>
      </c>
      <c r="AC600" s="231" t="inlineStr">
        <is>
          <t>ND</t>
        </is>
      </c>
      <c r="AD600" s="257" t="inlineStr">
        <is>
          <t>N</t>
        </is>
      </c>
      <c r="AE600" s="496" t="inlineStr">
        <is>
          <t>ISS200 et 300</t>
        </is>
      </c>
      <c r="AF600" s="257" t="inlineStr">
        <is>
          <t>NA</t>
        </is>
      </c>
      <c r="AG600" s="258" t="inlineStr">
        <is>
          <t>NA</t>
        </is>
      </c>
      <c r="AH600" s="89" t="n"/>
      <c r="AI600" s="316" t="n"/>
      <c r="AJ600" s="317" t="n"/>
      <c r="AK600" s="257" t="n"/>
      <c r="AL600" s="258" t="n"/>
      <c r="AM600" s="318" t="n"/>
      <c r="AN600" s="317" t="n"/>
      <c r="AO600" s="257" t="n"/>
      <c r="AP600" s="258" t="n"/>
      <c r="AQ600" s="318" t="n"/>
      <c r="AR600" s="317" t="n"/>
      <c r="AS600" s="257" t="n"/>
      <c r="AT600" s="258" t="n"/>
      <c r="AU600" s="318" t="n"/>
      <c r="AV600" s="317" t="n"/>
      <c r="AW600" s="257" t="n"/>
      <c r="AX600" s="258" t="n"/>
      <c r="AY600" s="318" t="n"/>
      <c r="AZ600" s="317" t="n"/>
      <c r="BA600" s="257" t="n"/>
      <c r="BB600" s="258" t="n"/>
      <c r="BC600" s="316" t="n"/>
      <c r="BD600" s="317" t="n"/>
      <c r="BE600" s="257" t="n"/>
      <c r="BF600" s="258" t="n"/>
      <c r="BG600" s="89" t="n"/>
      <c r="BH6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00">
        <f>_xlfn.LET(r,ROW(),oc,INDEX($A:$A,r),cv,TRIM(INDEX($Y:$Y,r)&amp;""),IF(oc&lt;&gt;"P1","",IF(cv="45","V45 - novo, nao alimentado pelo spool atual","V44 - alimentado pelo spool atual")))</f>
        <v/>
      </c>
    </row>
    <row r="601" ht="54" customFormat="1" customHeight="1" s="91">
      <c r="A601" s="306" t="inlineStr">
        <is>
          <t>P1</t>
        </is>
      </c>
      <c r="B601" s="307" t="n">
        <v>366</v>
      </c>
      <c r="C601" s="269" t="inlineStr">
        <is>
          <t>03 - Caractéristiques Générales</t>
        </is>
      </c>
      <c r="D601" s="236" t="inlineStr">
        <is>
          <t>03 - General characteristics</t>
        </is>
      </c>
      <c r="E601" s="307" t="inlineStr">
        <is>
          <t>P1 24.14</t>
        </is>
      </c>
      <c r="F601" s="342" t="inlineStr">
        <is>
          <t xml:space="preserve">Montant d'acquisition initial unitaire </t>
        </is>
      </c>
      <c r="G601" s="309" t="inlineStr">
        <is>
          <t xml:space="preserve">Initial unit purchase price amount </t>
        </is>
      </c>
      <c r="H601" s="1493">
        <f>"RPAD( "&amp;SUBSTITUTE(SUBSTITUTE(E601," ","_"),".","_")&amp;","&amp;W601&amp;",' '); -- "&amp;E601</f>
        <v/>
      </c>
      <c r="I601" s="241" t="inlineStr">
        <is>
          <t>Prix d'achat unitaire moyen pondéré des titres</t>
        </is>
      </c>
      <c r="J601" s="233" t="inlineStr">
        <is>
          <t>Weighted average unit purchase price of securities</t>
        </is>
      </c>
      <c r="K601" s="269" t="inlineStr">
        <is>
          <t>ND</t>
        </is>
      </c>
      <c r="L601" s="310" t="inlineStr">
        <is>
          <t>ND</t>
        </is>
      </c>
      <c r="M601" s="1420" t="inlineStr">
        <is>
          <t>mtAcquiInitUnitaire</t>
        </is>
      </c>
      <c r="N601" s="257" t="inlineStr">
        <is>
          <t>Obligatoire sous conditions</t>
        </is>
      </c>
      <c r="O601" s="310" t="inlineStr">
        <is>
          <t>Mandatory under conditions</t>
        </is>
      </c>
      <c r="P601" s="269" t="inlineStr">
        <is>
          <t>NA</t>
        </is>
      </c>
      <c r="Q601" s="269" t="inlineStr">
        <is>
          <t>NA</t>
        </is>
      </c>
      <c r="R601" s="241" t="inlineStr">
        <is>
          <t>NA</t>
        </is>
      </c>
      <c r="S601" s="233" t="inlineStr">
        <is>
          <t>NA</t>
        </is>
      </c>
      <c r="T601" s="313" t="inlineStr">
        <is>
          <t>NUM</t>
        </is>
      </c>
      <c r="U601" s="237" t="inlineStr">
        <is>
          <t>19 dont signe et 2 décimales</t>
        </is>
      </c>
      <c r="V601" s="238" t="inlineStr">
        <is>
          <t>19 including sign and 2 decimals</t>
        </is>
      </c>
      <c r="W601" s="257" t="n">
        <v>19</v>
      </c>
      <c r="X601" s="945" t="inlineStr">
        <is>
          <t>NA</t>
        </is>
      </c>
      <c r="Y601" s="237" t="n">
        <v>41</v>
      </c>
      <c r="Z601" s="237" t="inlineStr">
        <is>
          <t>NA</t>
        </is>
      </c>
      <c r="AA601" s="237" t="inlineStr">
        <is>
          <t>NA</t>
        </is>
      </c>
      <c r="AB601" s="269" t="inlineStr">
        <is>
          <t>ANACREDIT, CORFOU, PVA</t>
        </is>
      </c>
      <c r="AC601" s="231" t="inlineStr">
        <is>
          <t>ND</t>
        </is>
      </c>
      <c r="AD601" s="257" t="inlineStr">
        <is>
          <t>N</t>
        </is>
      </c>
      <c r="AE601" s="257" t="inlineStr">
        <is>
          <t xml:space="preserve">EQU101
ISS100
ISS200 et 300
</t>
        </is>
      </c>
      <c r="AF601" s="257" t="inlineStr">
        <is>
          <t>NA</t>
        </is>
      </c>
      <c r="AG601" s="258" t="inlineStr">
        <is>
          <t>NA</t>
        </is>
      </c>
      <c r="AH601" s="89" t="n"/>
      <c r="AI601" s="316" t="inlineStr">
        <is>
          <t>La donnée est obligatoire si le type de risque [P1 2.0] = 'EQU101, 'ISS100', 'ISS200', 'ISS300' et si la classification comptable de référence des actifs [P1 19.5] = 'JCN','JCR','JVR'</t>
        </is>
      </c>
      <c r="AJ601" s="317" t="inlineStr">
        <is>
          <t>The data is mandatory if risk type [P1 2.0] = 'EQU101, 'ISS100', 'ISS200', 'ISS300' and if Reference accounting classification of assets [P1 19.5] = 'JCN','JCR','JVR'</t>
        </is>
      </c>
      <c r="AK601" s="257" t="n">
        <v>6</v>
      </c>
      <c r="AL601" s="420" t="inlineStr">
        <is>
          <t>TPS0884</t>
        </is>
      </c>
      <c r="AM601" s="318" t="n"/>
      <c r="AN601" s="317" t="n"/>
      <c r="AO601" s="257" t="n"/>
      <c r="AP601" s="258" t="n"/>
      <c r="AQ601" s="322" t="inlineStr">
        <is>
          <t>Si renseignée, la donnée doit être positive (supérieure ou égale à 0)</t>
        </is>
      </c>
      <c r="AR601" s="317" t="inlineStr">
        <is>
          <t xml:space="preserve">If filled, data must be positive (greater or equal to 0) </t>
        </is>
      </c>
      <c r="AS601" s="257" t="n">
        <v>7</v>
      </c>
      <c r="AT601" s="345" t="inlineStr">
        <is>
          <t>TVG0001</t>
        </is>
      </c>
      <c r="AU601" s="318" t="n"/>
      <c r="AV601" s="317" t="n"/>
      <c r="AW601" s="257" t="n"/>
      <c r="AX601" s="258" t="n"/>
      <c r="AY601" s="318" t="n"/>
      <c r="AZ601" s="317" t="n"/>
      <c r="BA601" s="257" t="n"/>
      <c r="BB601" s="258" t="n"/>
      <c r="BC601" s="316" t="n"/>
      <c r="BD601" s="317" t="n"/>
      <c r="BE601" s="257" t="n"/>
      <c r="BF601" s="258" t="n"/>
      <c r="BG601" s="89" t="n"/>
      <c r="BH6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01">
        <f>_xlfn.LET(r,ROW(),oc,INDEX($A:$A,r),cv,TRIM(INDEX($Y:$Y,r)&amp;""),IF(oc&lt;&gt;"P1","",IF(cv="45","V45 - novo, nao alimentado pelo spool atual","V44 - alimentado pelo spool atual")))</f>
        <v/>
      </c>
    </row>
    <row r="602" ht="54" customFormat="1" customHeight="1" s="91">
      <c r="A602" s="306" t="inlineStr">
        <is>
          <t>P1</t>
        </is>
      </c>
      <c r="B602" s="307" t="n">
        <v>367</v>
      </c>
      <c r="C602" s="269" t="inlineStr">
        <is>
          <t>03 - Caractéristiques Générales</t>
        </is>
      </c>
      <c r="D602" s="236" t="inlineStr">
        <is>
          <t>03 - General characteristics</t>
        </is>
      </c>
      <c r="E602" s="307" t="inlineStr">
        <is>
          <t>P1 24.15</t>
        </is>
      </c>
      <c r="F602" s="308" t="inlineStr">
        <is>
          <t xml:space="preserve">Devise du montant d'acquisition initial unitaire </t>
        </is>
      </c>
      <c r="G602" s="309" t="inlineStr">
        <is>
          <t xml:space="preserve">Currency of the initial unit purchase price amount </t>
        </is>
      </c>
      <c r="H602" s="1493">
        <f>"RPAD( "&amp;SUBSTITUTE(SUBSTITUTE(E602," ","_"),".","_")&amp;","&amp;W602&amp;",' '); -- "&amp;E602</f>
        <v/>
      </c>
      <c r="I602" s="475" t="inlineStr">
        <is>
          <t>Devise du montant d'acquisition initial unitaire</t>
        </is>
      </c>
      <c r="J602" s="309" t="inlineStr">
        <is>
          <t>Currency of the initial unit purchase price amount</t>
        </is>
      </c>
      <c r="K602" s="370" t="inlineStr">
        <is>
          <t>ND</t>
        </is>
      </c>
      <c r="L602" s="371" t="inlineStr">
        <is>
          <t>ND</t>
        </is>
      </c>
      <c r="M602" s="1420" t="inlineStr">
        <is>
          <t>cdDevMtAcquiInitUnitaire</t>
        </is>
      </c>
      <c r="N602" s="257" t="inlineStr">
        <is>
          <t>Obligatoire sous conditions</t>
        </is>
      </c>
      <c r="O602" s="310" t="inlineStr">
        <is>
          <t>Mandatory under conditions</t>
        </is>
      </c>
      <c r="P602" s="269" t="inlineStr">
        <is>
          <t>LC.0005</t>
        </is>
      </c>
      <c r="Q602" s="269" t="inlineStr">
        <is>
          <t>TA NM253</t>
        </is>
      </c>
      <c r="R602" s="241" t="inlineStr">
        <is>
          <t>NA</t>
        </is>
      </c>
      <c r="S602" s="233" t="inlineStr">
        <is>
          <t>NA</t>
        </is>
      </c>
      <c r="T602" s="313" t="inlineStr">
        <is>
          <t>ALPHA</t>
        </is>
      </c>
      <c r="U602" s="237" t="inlineStr">
        <is>
          <t>NA</t>
        </is>
      </c>
      <c r="V602" s="238" t="inlineStr">
        <is>
          <t>NA</t>
        </is>
      </c>
      <c r="W602" s="257" t="n">
        <v>3</v>
      </c>
      <c r="X602" s="945" t="inlineStr">
        <is>
          <t>NA</t>
        </is>
      </c>
      <c r="Y602" s="237" t="n">
        <v>41</v>
      </c>
      <c r="Z602" s="237" t="inlineStr">
        <is>
          <t>NA</t>
        </is>
      </c>
      <c r="AA602" s="237" t="inlineStr">
        <is>
          <t>NA</t>
        </is>
      </c>
      <c r="AB602" s="269" t="inlineStr">
        <is>
          <t>ANACREDIT, CORFOU, PVA</t>
        </is>
      </c>
      <c r="AC602" s="231" t="inlineStr">
        <is>
          <t>ND</t>
        </is>
      </c>
      <c r="AD602" s="257" t="inlineStr">
        <is>
          <t>N</t>
        </is>
      </c>
      <c r="AE602" s="257" t="inlineStr">
        <is>
          <t xml:space="preserve">EQU101
ISS100
ISS200 et 300
</t>
        </is>
      </c>
      <c r="AF602" s="257" t="inlineStr">
        <is>
          <t>NA</t>
        </is>
      </c>
      <c r="AG602" s="258" t="inlineStr">
        <is>
          <t>NA</t>
        </is>
      </c>
      <c r="AH602" s="89" t="n"/>
      <c r="AI602" s="316" t="inlineStr">
        <is>
          <t>La donnée est obligatoire si le montant d'acquisition initial unitaire [P1 24.14] est renseigné</t>
        </is>
      </c>
      <c r="AJ602" s="317" t="inlineStr">
        <is>
          <t>The data is mandatory if the unit initial acquisition amount [P1 24.14] is filled</t>
        </is>
      </c>
      <c r="AK602" s="257" t="n">
        <v>7</v>
      </c>
      <c r="AL602" s="447" t="inlineStr">
        <is>
          <t>TPG0002</t>
        </is>
      </c>
      <c r="AM602" s="452" t="inlineStr">
        <is>
          <t>Si elle est renseignée, la valeur doit être connue du Langage Commun associé</t>
        </is>
      </c>
      <c r="AN602" s="377" t="inlineStr">
        <is>
          <t>If specified, the value must be known to the associated Common Language</t>
        </is>
      </c>
      <c r="AO602" s="257" t="n">
        <v>7</v>
      </c>
      <c r="AP602" s="212" t="inlineStr">
        <is>
          <t>TIG0001</t>
        </is>
      </c>
      <c r="AQ602" s="318" t="n"/>
      <c r="AR602" s="317" t="n"/>
      <c r="AS602" s="257" t="n"/>
      <c r="AT602" s="258" t="n"/>
      <c r="AU602" s="318" t="n"/>
      <c r="AV602" s="317" t="n"/>
      <c r="AW602" s="257" t="n"/>
      <c r="AX602" s="258" t="n"/>
      <c r="AY602" s="318" t="n"/>
      <c r="AZ602" s="317" t="n"/>
      <c r="BA602" s="257" t="n"/>
      <c r="BB602" s="258" t="n"/>
      <c r="BC602" s="316" t="n"/>
      <c r="BD602" s="317" t="n"/>
      <c r="BE602" s="257" t="n"/>
      <c r="BF602" s="258" t="n"/>
      <c r="BG602" s="89" t="n"/>
      <c r="BH6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02">
        <f>_xlfn.LET(r,ROW(),oc,INDEX($A:$A,r),cv,TRIM(INDEX($Y:$Y,r)&amp;""),IF(oc&lt;&gt;"P1","",IF(cv="45","V45 - novo, nao alimentado pelo spool atual","V44 - alimentado pelo spool atual")))</f>
        <v/>
      </c>
    </row>
    <row r="603" ht="54" customFormat="1" customHeight="1" s="91">
      <c r="A603" s="306" t="inlineStr">
        <is>
          <t>P1</t>
        </is>
      </c>
      <c r="B603" s="307" t="n">
        <v>368</v>
      </c>
      <c r="C603" s="269" t="inlineStr">
        <is>
          <t>03 - Caractéristiques Générales</t>
        </is>
      </c>
      <c r="D603" s="236" t="inlineStr">
        <is>
          <t>03 - General characteristics</t>
        </is>
      </c>
      <c r="E603" s="307" t="inlineStr">
        <is>
          <t>P1 24.16</t>
        </is>
      </c>
      <c r="F603" s="1248" t="inlineStr">
        <is>
          <t>Montant du Mark-to-Market (MtM) Pied de coupon</t>
        </is>
      </c>
      <c r="G603" s="309" t="inlineStr">
        <is>
          <t>Amount of Mark-to-Market (MtM) excluding accrued interest</t>
        </is>
      </c>
      <c r="H603" s="1493">
        <f>"RPAD( "&amp;SUBSTITUTE(SUBSTITUTE(E603," ","_"),".","_")&amp;","&amp;W603&amp;",' '); -- "&amp;E603</f>
        <v/>
      </c>
      <c r="I603" s="1248" t="inlineStr">
        <is>
          <t>Montant du Mark-to-Market (MtM) Pied de coupon</t>
        </is>
      </c>
      <c r="J603" s="309" t="inlineStr">
        <is>
          <t>Amount of Mark-to-Market (MtM) excluding accrued interest</t>
        </is>
      </c>
      <c r="K603" s="370" t="inlineStr">
        <is>
          <t>ND</t>
        </is>
      </c>
      <c r="L603" s="371" t="inlineStr">
        <is>
          <t>ND</t>
        </is>
      </c>
      <c r="M603" s="1420" t="inlineStr">
        <is>
          <t>mtMTMPdCoup</t>
        </is>
      </c>
      <c r="N603" s="257" t="inlineStr">
        <is>
          <t>Obligatoire sous conditions</t>
        </is>
      </c>
      <c r="O603" s="310" t="inlineStr">
        <is>
          <t>Mandatory under conditions</t>
        </is>
      </c>
      <c r="P603" s="269" t="inlineStr">
        <is>
          <t>NA</t>
        </is>
      </c>
      <c r="Q603" s="269" t="inlineStr">
        <is>
          <t>NA</t>
        </is>
      </c>
      <c r="R603" s="241" t="inlineStr">
        <is>
          <t>Valeur MtM du coupon couru exclu</t>
        </is>
      </c>
      <c r="S603" s="233" t="inlineStr">
        <is>
          <t>MtM value of accrued coupon excluded</t>
        </is>
      </c>
      <c r="T603" s="313" t="inlineStr">
        <is>
          <t>NUM</t>
        </is>
      </c>
      <c r="U603" s="237" t="inlineStr">
        <is>
          <t>19 dont signe et 2 décimales</t>
        </is>
      </c>
      <c r="V603" s="238" t="inlineStr">
        <is>
          <t>19 including sign and 2 decimals</t>
        </is>
      </c>
      <c r="W603" s="257" t="n">
        <v>19</v>
      </c>
      <c r="X603" s="945" t="inlineStr">
        <is>
          <t>NA</t>
        </is>
      </c>
      <c r="Y603" s="237" t="n">
        <v>41</v>
      </c>
      <c r="Z603" s="237" t="inlineStr">
        <is>
          <t>NA</t>
        </is>
      </c>
      <c r="AA603" s="283" t="inlineStr">
        <is>
          <t>NA</t>
        </is>
      </c>
      <c r="AB603" s="269" t="inlineStr">
        <is>
          <t>ANACREDIT, CORFOU, PVA</t>
        </is>
      </c>
      <c r="AC603" s="231" t="inlineStr">
        <is>
          <t>ND</t>
        </is>
      </c>
      <c r="AD603" s="257" t="inlineStr">
        <is>
          <t>N</t>
        </is>
      </c>
      <c r="AE603" s="496" t="inlineStr">
        <is>
          <t>ISS200 et 300</t>
        </is>
      </c>
      <c r="AF603" s="257" t="inlineStr">
        <is>
          <t>NA</t>
        </is>
      </c>
      <c r="AG603" s="258" t="inlineStr">
        <is>
          <t>NA</t>
        </is>
      </c>
      <c r="AH603" s="89" t="n"/>
      <c r="AI603" s="658" t="inlineStr">
        <is>
          <t>La donnée est obligatoire si la classification comptable de référence des actifs [P1 19.5] = 'JCN','JCR','JVR' et si le type d'instrument financier [P1 3.75] prend la valeur '11'</t>
        </is>
      </c>
      <c r="AJ603" s="317" t="inlineStr">
        <is>
          <t>The data is mandatory if Reference accounting classification of assets [P1 19.5] = 'JCN','JCR','JVR' and if the financial instrument type [P1 3.75] takes the value '11'</t>
        </is>
      </c>
      <c r="AK603" s="257" t="n">
        <v>6</v>
      </c>
      <c r="AL603" s="345" t="inlineStr">
        <is>
          <t>TPS0885</t>
        </is>
      </c>
      <c r="AM603" s="318" t="n"/>
      <c r="AN603" s="317" t="n"/>
      <c r="AO603" s="257" t="n"/>
      <c r="AP603" s="258" t="n"/>
      <c r="AQ603" s="318" t="n"/>
      <c r="AR603" s="317" t="n"/>
      <c r="AS603" s="257" t="n"/>
      <c r="AT603" s="258" t="n"/>
      <c r="AU603" s="318" t="n"/>
      <c r="AV603" s="317" t="n"/>
      <c r="AW603" s="257" t="n"/>
      <c r="AX603" s="258" t="n"/>
      <c r="AY603" s="318" t="n"/>
      <c r="AZ603" s="317" t="n"/>
      <c r="BA603" s="257" t="n"/>
      <c r="BB603" s="258" t="n"/>
      <c r="BC603" s="316" t="n"/>
      <c r="BD603" s="317" t="n"/>
      <c r="BE603" s="257" t="n"/>
      <c r="BF603" s="258" t="n"/>
      <c r="BG603" s="89" t="n"/>
      <c r="BH6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03">
        <f>_xlfn.LET(r,ROW(),oc,INDEX($A:$A,r),cv,TRIM(INDEX($Y:$Y,r)&amp;""),IF(oc&lt;&gt;"P1","",IF(cv="45","V45 - novo, nao alimentado pelo spool atual","V44 - alimentado pelo spool atual")))</f>
        <v/>
      </c>
    </row>
    <row r="604" ht="54" customFormat="1" customHeight="1" s="91">
      <c r="A604" s="306" t="inlineStr">
        <is>
          <t>P1</t>
        </is>
      </c>
      <c r="B604" s="307" t="n">
        <v>369</v>
      </c>
      <c r="C604" s="269" t="inlineStr">
        <is>
          <t>03 - Caractéristiques Générales</t>
        </is>
      </c>
      <c r="D604" s="236" t="inlineStr">
        <is>
          <t>03 - General characteristics</t>
        </is>
      </c>
      <c r="E604" s="307" t="inlineStr">
        <is>
          <t>P1 24.17</t>
        </is>
      </c>
      <c r="F604" s="1248" t="inlineStr">
        <is>
          <t>Devise du montant du Mark-to-Market (MtM) Pied de coupon</t>
        </is>
      </c>
      <c r="G604" s="309" t="inlineStr">
        <is>
          <t>Currency of the amount of the mark-to-market (MtM) excluding accrued interest</t>
        </is>
      </c>
      <c r="H604" s="1493">
        <f>"RPAD( "&amp;SUBSTITUTE(SUBSTITUTE(E604," ","_"),".","_")&amp;","&amp;W604&amp;",' '); -- "&amp;E604</f>
        <v/>
      </c>
      <c r="I604" s="1249" t="inlineStr">
        <is>
          <t>Devise du montant du Mark-to-Market (MtM) Pied de coupon</t>
        </is>
      </c>
      <c r="J604" s="309" t="inlineStr">
        <is>
          <t xml:space="preserve">Currency of the Amount of Mark-to-Market (MtM) excluding accrued interest </t>
        </is>
      </c>
      <c r="K604" s="370" t="inlineStr">
        <is>
          <t>ND</t>
        </is>
      </c>
      <c r="L604" s="371" t="inlineStr">
        <is>
          <t>ND</t>
        </is>
      </c>
      <c r="M604" s="1420" t="inlineStr">
        <is>
          <t>cdDevMtMTMPdCoup</t>
        </is>
      </c>
      <c r="N604" s="257" t="inlineStr">
        <is>
          <t>Obligatoire sous conditions</t>
        </is>
      </c>
      <c r="O604" s="310" t="inlineStr">
        <is>
          <t>Mandatory under conditions</t>
        </is>
      </c>
      <c r="P604" s="269" t="inlineStr">
        <is>
          <t>LC.0005</t>
        </is>
      </c>
      <c r="Q604" s="269" t="inlineStr">
        <is>
          <t>TA NM253</t>
        </is>
      </c>
      <c r="R604" s="241" t="inlineStr">
        <is>
          <t>NA</t>
        </is>
      </c>
      <c r="S604" s="233" t="inlineStr">
        <is>
          <t>NA</t>
        </is>
      </c>
      <c r="T604" s="313" t="inlineStr">
        <is>
          <t>ALPHA</t>
        </is>
      </c>
      <c r="U604" s="237" t="inlineStr">
        <is>
          <t>NA</t>
        </is>
      </c>
      <c r="V604" s="238" t="inlineStr">
        <is>
          <t>NA</t>
        </is>
      </c>
      <c r="W604" s="257" t="n">
        <v>3</v>
      </c>
      <c r="X604" s="945" t="inlineStr">
        <is>
          <t>NA</t>
        </is>
      </c>
      <c r="Y604" s="237" t="n">
        <v>41</v>
      </c>
      <c r="Z604" s="237" t="inlineStr">
        <is>
          <t>NA</t>
        </is>
      </c>
      <c r="AA604" s="237" t="inlineStr">
        <is>
          <t>NA</t>
        </is>
      </c>
      <c r="AB604" s="269" t="inlineStr">
        <is>
          <t>ANACREDIT, CORFOU, PVA</t>
        </is>
      </c>
      <c r="AC604" s="231" t="inlineStr">
        <is>
          <t>ND</t>
        </is>
      </c>
      <c r="AD604" s="257" t="inlineStr">
        <is>
          <t>N</t>
        </is>
      </c>
      <c r="AE604" s="496" t="inlineStr">
        <is>
          <t>ISS200 et 300</t>
        </is>
      </c>
      <c r="AF604" s="257" t="inlineStr">
        <is>
          <t>NA</t>
        </is>
      </c>
      <c r="AG604" s="258" t="inlineStr">
        <is>
          <t>NA</t>
        </is>
      </c>
      <c r="AH604" s="89" t="n"/>
      <c r="AI604" s="316" t="inlineStr">
        <is>
          <t>La donnée est obligatoire si le MtM Pied de coupon [P1 24.16] est renseigné</t>
        </is>
      </c>
      <c r="AJ604" s="317" t="inlineStr">
        <is>
          <t>The data is mandatory if the MtM Coupon Footer [P1 24.16] is filled</t>
        </is>
      </c>
      <c r="AK604" s="257" t="n">
        <v>7</v>
      </c>
      <c r="AL604" s="335" t="inlineStr">
        <is>
          <t>TPG0002</t>
        </is>
      </c>
      <c r="AM604" s="318" t="inlineStr">
        <is>
          <t>Si elle est renseignée, la valeur doit être connue du Langage Commun associé</t>
        </is>
      </c>
      <c r="AN604" s="317" t="inlineStr">
        <is>
          <t>If specified, the value must be known to the associated Common Language</t>
        </is>
      </c>
      <c r="AO604" s="257" t="n">
        <v>7</v>
      </c>
      <c r="AP604" s="212" t="inlineStr">
        <is>
          <t>TIG0001</t>
        </is>
      </c>
      <c r="AQ604" s="318" t="n"/>
      <c r="AR604" s="317" t="n"/>
      <c r="AS604" s="257" t="n"/>
      <c r="AT604" s="258" t="n"/>
      <c r="AU604" s="318" t="n"/>
      <c r="AV604" s="317" t="n"/>
      <c r="AW604" s="257" t="n"/>
      <c r="AX604" s="258" t="n"/>
      <c r="AY604" s="318" t="n"/>
      <c r="AZ604" s="317" t="n"/>
      <c r="BA604" s="257" t="n"/>
      <c r="BB604" s="258" t="n"/>
      <c r="BC604" s="316" t="n"/>
      <c r="BD604" s="317" t="n"/>
      <c r="BE604" s="257" t="n"/>
      <c r="BF604" s="258" t="n"/>
      <c r="BG604" s="89" t="n"/>
      <c r="BH6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04">
        <f>_xlfn.LET(r,ROW(),oc,INDEX($A:$A,r),cv,TRIM(INDEX($Y:$Y,r)&amp;""),IF(oc&lt;&gt;"P1","",IF(cv="45","V45 - novo, nao alimentado pelo spool atual","V44 - alimentado pelo spool atual")))</f>
        <v/>
      </c>
    </row>
    <row r="605" ht="54" customFormat="1" customHeight="1" s="91">
      <c r="A605" s="306" t="inlineStr">
        <is>
          <t>P1</t>
        </is>
      </c>
      <c r="B605" s="307" t="n">
        <v>370</v>
      </c>
      <c r="C605" s="269" t="inlineStr">
        <is>
          <t>03 - Caractéristiques Générales</t>
        </is>
      </c>
      <c r="D605" s="236" t="inlineStr">
        <is>
          <t>03 - General characteristics</t>
        </is>
      </c>
      <c r="E605" s="307" t="inlineStr">
        <is>
          <t>P1 24.18</t>
        </is>
      </c>
      <c r="F605" s="1248" t="inlineStr">
        <is>
          <t xml:space="preserve">Montant du Mark-to-Market (MtM) de la part non libérée </t>
        </is>
      </c>
      <c r="G605" s="309" t="inlineStr">
        <is>
          <t xml:space="preserve">Amount of Mark-to-Market (MtM) of the portion not paid-up </t>
        </is>
      </c>
      <c r="H605" s="1493">
        <f>"RPAD( "&amp;SUBSTITUTE(SUBSTITUTE(E605," ","_"),".","_")&amp;","&amp;W605&amp;",' '); -- "&amp;E605</f>
        <v/>
      </c>
      <c r="I605" s="1248" t="inlineStr">
        <is>
          <t xml:space="preserve">Montant du Mark-to-Market (MtM) de la part non libérée </t>
        </is>
      </c>
      <c r="J605" s="309" t="inlineStr">
        <is>
          <t xml:space="preserve">Amount of Mark-to-Market (MtM) of the portion not paid-up </t>
        </is>
      </c>
      <c r="K605" s="370" t="inlineStr">
        <is>
          <t>ND</t>
        </is>
      </c>
      <c r="L605" s="371" t="inlineStr">
        <is>
          <t>ND</t>
        </is>
      </c>
      <c r="M605" s="1420" t="inlineStr">
        <is>
          <t>mtMTMPartNonLib</t>
        </is>
      </c>
      <c r="N605" s="449" t="inlineStr">
        <is>
          <t>Facultatif</t>
        </is>
      </c>
      <c r="O605" s="310" t="inlineStr">
        <is>
          <t>Optional</t>
        </is>
      </c>
      <c r="P605" s="269" t="inlineStr">
        <is>
          <t>NA</t>
        </is>
      </c>
      <c r="Q605" s="269" t="inlineStr">
        <is>
          <t>NA</t>
        </is>
      </c>
      <c r="R605" s="241" t="inlineStr">
        <is>
          <t>Investissement FCPR : Montant du capital encore non engagé par l'investisseur du fait du délai que prend un investissement dans des entreprises non côtées. 
Le gestionnaire peut, au moment de la souscription, ne pas appeler la totalité du montant que l'investisseur souhaite engager . Il le fera dans ce cas petit à petit au fur et à mesure des investissements dans les sociétés ciblées</t>
        </is>
      </c>
      <c r="S605" s="233" t="inlineStr">
        <is>
          <t>FCPR investment: Amount of capital not yet committed by the investor due to the waiting period /timeframe of an investment in unlisted companies
The AIFM may, at the time of subscription, not call the full amount the investor wishes to enter into. It will do so gradually as investments in targeted companies take place</t>
        </is>
      </c>
      <c r="T605" s="313" t="inlineStr">
        <is>
          <t>NUM</t>
        </is>
      </c>
      <c r="U605" s="237" t="inlineStr">
        <is>
          <t>19 dont signe et 2 décimales</t>
        </is>
      </c>
      <c r="V605" s="238" t="inlineStr">
        <is>
          <t>19 including sign and 2 decimals</t>
        </is>
      </c>
      <c r="W605" s="257" t="n">
        <v>19</v>
      </c>
      <c r="X605" s="945" t="inlineStr">
        <is>
          <t>NA</t>
        </is>
      </c>
      <c r="Y605" s="237" t="n">
        <v>41</v>
      </c>
      <c r="Z605" s="237" t="inlineStr">
        <is>
          <t>NA</t>
        </is>
      </c>
      <c r="AA605" s="237" t="inlineStr">
        <is>
          <t>NA</t>
        </is>
      </c>
      <c r="AB605" s="269" t="inlineStr">
        <is>
          <t>ANACREDIT, PVA</t>
        </is>
      </c>
      <c r="AC605" s="231" t="inlineStr">
        <is>
          <t>ND</t>
        </is>
      </c>
      <c r="AD605" s="257" t="inlineStr">
        <is>
          <t>N</t>
        </is>
      </c>
      <c r="AE605" s="496" t="inlineStr">
        <is>
          <t>ISS200 et 300</t>
        </is>
      </c>
      <c r="AF605" s="257" t="inlineStr">
        <is>
          <t>NA</t>
        </is>
      </c>
      <c r="AG605" s="258" t="inlineStr">
        <is>
          <t>NA</t>
        </is>
      </c>
      <c r="AH605" s="89" t="n"/>
      <c r="AI605" s="316" t="n"/>
      <c r="AJ605" s="317" t="n"/>
      <c r="AK605" s="257" t="n"/>
      <c r="AL605" s="258" t="n"/>
      <c r="AM605" s="318" t="n"/>
      <c r="AN605" s="317" t="n"/>
      <c r="AO605" s="257" t="n"/>
      <c r="AP605" s="258" t="n"/>
      <c r="AQ605" s="318" t="n"/>
      <c r="AR605" s="317" t="n"/>
      <c r="AS605" s="257" t="n"/>
      <c r="AT605" s="258" t="n"/>
      <c r="AU605" s="318" t="n"/>
      <c r="AV605" s="317" t="n"/>
      <c r="AW605" s="257" t="n"/>
      <c r="AX605" s="258" t="n"/>
      <c r="AY605" s="318" t="n"/>
      <c r="AZ605" s="317" t="n"/>
      <c r="BA605" s="257" t="n"/>
      <c r="BB605" s="258" t="n"/>
      <c r="BC605" s="316" t="n"/>
      <c r="BD605" s="317" t="n"/>
      <c r="BE605" s="257" t="n"/>
      <c r="BF605" s="258" t="n"/>
      <c r="BG605" s="89" t="n"/>
      <c r="BH6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05">
        <f>_xlfn.LET(r,ROW(),oc,INDEX($A:$A,r),cv,TRIM(INDEX($Y:$Y,r)&amp;""),IF(oc&lt;&gt;"P1","",IF(cv="45","V45 - novo, nao alimentado pelo spool atual","V44 - alimentado pelo spool atual")))</f>
        <v/>
      </c>
    </row>
    <row r="606" ht="54" customFormat="1" customHeight="1" s="91">
      <c r="A606" s="306" t="inlineStr">
        <is>
          <t>P1</t>
        </is>
      </c>
      <c r="B606" s="307" t="n">
        <v>371</v>
      </c>
      <c r="C606" s="269" t="inlineStr">
        <is>
          <t>03 - Caractéristiques Générales</t>
        </is>
      </c>
      <c r="D606" s="236" t="inlineStr">
        <is>
          <t>03 - General characteristics</t>
        </is>
      </c>
      <c r="E606" s="307" t="inlineStr">
        <is>
          <t>P1 24.19</t>
        </is>
      </c>
      <c r="F606" s="1253" t="inlineStr">
        <is>
          <t>Devise du montant du Mark-to-Market (MtM) de la part non libérée</t>
        </is>
      </c>
      <c r="G606" s="309" t="inlineStr">
        <is>
          <t>Currency of the amount of the mark-to-market (MtM) of the portion not paid-up</t>
        </is>
      </c>
      <c r="H606" s="1493">
        <f>"RPAD( "&amp;SUBSTITUTE(SUBSTITUTE(E606," ","_"),".","_")&amp;","&amp;W606&amp;",' '); -- "&amp;E606</f>
        <v/>
      </c>
      <c r="I606" s="1254" t="inlineStr">
        <is>
          <t>Devise du montant du Mark-to-Market (MtM) de la part non libérée</t>
        </is>
      </c>
      <c r="J606" s="309" t="inlineStr">
        <is>
          <t>Currency of the amount of the mark-to-market (MtM) of the portion not paid-up</t>
        </is>
      </c>
      <c r="K606" s="370" t="inlineStr">
        <is>
          <t>ND</t>
        </is>
      </c>
      <c r="L606" s="371" t="inlineStr">
        <is>
          <t>ND</t>
        </is>
      </c>
      <c r="M606" s="1420" t="inlineStr">
        <is>
          <t>cdDevMtMTMPartNonLib</t>
        </is>
      </c>
      <c r="N606" s="257" t="inlineStr">
        <is>
          <t>Obligatoire sous conditions</t>
        </is>
      </c>
      <c r="O606" s="310" t="inlineStr">
        <is>
          <t>Mandatory under conditions</t>
        </is>
      </c>
      <c r="P606" s="269" t="inlineStr">
        <is>
          <t>LC.0005</t>
        </is>
      </c>
      <c r="Q606" s="269" t="inlineStr">
        <is>
          <t>TA NM253</t>
        </is>
      </c>
      <c r="R606" s="241" t="inlineStr">
        <is>
          <t>NA</t>
        </is>
      </c>
      <c r="S606" s="233" t="inlineStr">
        <is>
          <t>NA</t>
        </is>
      </c>
      <c r="T606" s="313" t="inlineStr">
        <is>
          <t>ALPHA</t>
        </is>
      </c>
      <c r="U606" s="237" t="inlineStr">
        <is>
          <t>NA</t>
        </is>
      </c>
      <c r="V606" s="238" t="inlineStr">
        <is>
          <t>NA</t>
        </is>
      </c>
      <c r="W606" s="257" t="n">
        <v>3</v>
      </c>
      <c r="X606" s="945" t="inlineStr">
        <is>
          <t>NA</t>
        </is>
      </c>
      <c r="Y606" s="237" t="n">
        <v>41</v>
      </c>
      <c r="Z606" s="237" t="inlineStr">
        <is>
          <t>NA</t>
        </is>
      </c>
      <c r="AA606" s="237" t="inlineStr">
        <is>
          <t>NA</t>
        </is>
      </c>
      <c r="AB606" s="269" t="inlineStr">
        <is>
          <t>ANACREDIT, PVA</t>
        </is>
      </c>
      <c r="AC606" s="231" t="inlineStr">
        <is>
          <t>ND</t>
        </is>
      </c>
      <c r="AD606" s="257" t="inlineStr">
        <is>
          <t>N</t>
        </is>
      </c>
      <c r="AE606" s="496" t="inlineStr">
        <is>
          <t>ISS200 et 300</t>
        </is>
      </c>
      <c r="AF606" s="257" t="inlineStr">
        <is>
          <t>NA</t>
        </is>
      </c>
      <c r="AG606" s="258" t="inlineStr">
        <is>
          <t>NA</t>
        </is>
      </c>
      <c r="AH606" s="89" t="n"/>
      <c r="AI606" s="316" t="inlineStr">
        <is>
          <t>La donnée est obligatoire si le montant MtM de la part non liberée [P1 24.18] est renseigné</t>
        </is>
      </c>
      <c r="AJ606" s="317" t="inlineStr">
        <is>
          <t>The data is mandatory if the amount MtM of the unpaid share [P1 24.18] is filled</t>
        </is>
      </c>
      <c r="AK606" s="257" t="n">
        <v>7</v>
      </c>
      <c r="AL606" s="335" t="inlineStr">
        <is>
          <t>TPG0002</t>
        </is>
      </c>
      <c r="AM606" s="318" t="inlineStr">
        <is>
          <t>Si elle est renseignée, la valeur doit être connue du Langage Commun associé</t>
        </is>
      </c>
      <c r="AN606" s="317" t="inlineStr">
        <is>
          <t>If specified, the value must be known to the associated Common Language</t>
        </is>
      </c>
      <c r="AO606" s="257" t="n">
        <v>7</v>
      </c>
      <c r="AP606" s="212" t="inlineStr">
        <is>
          <t>TIG0001</t>
        </is>
      </c>
      <c r="AQ606" s="318" t="n"/>
      <c r="AR606" s="317" t="n"/>
      <c r="AS606" s="257" t="n"/>
      <c r="AT606" s="258" t="n"/>
      <c r="AU606" s="318" t="n"/>
      <c r="AV606" s="317" t="n"/>
      <c r="AW606" s="257" t="n"/>
      <c r="AX606" s="258" t="n"/>
      <c r="AY606" s="318" t="n"/>
      <c r="AZ606" s="317" t="n"/>
      <c r="BA606" s="257" t="n"/>
      <c r="BB606" s="258" t="n"/>
      <c r="BC606" s="316" t="n"/>
      <c r="BD606" s="317" t="n"/>
      <c r="BE606" s="257" t="n"/>
      <c r="BF606" s="258" t="n"/>
      <c r="BG606" s="89" t="n"/>
      <c r="BH6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06">
        <f>_xlfn.LET(r,ROW(),oc,INDEX($A:$A,r),cv,TRIM(INDEX($Y:$Y,r)&amp;""),IF(oc&lt;&gt;"P1","",IF(cv="45","V45 - novo, nao alimentado pelo spool atual","V44 - alimentado pelo spool atual")))</f>
        <v/>
      </c>
    </row>
    <row r="607" ht="54" customFormat="1" customHeight="1" s="91">
      <c r="A607" s="306" t="inlineStr">
        <is>
          <t>P1</t>
        </is>
      </c>
      <c r="B607" s="307" t="n">
        <v>372</v>
      </c>
      <c r="C607" s="269" t="inlineStr">
        <is>
          <t>03 - Caractéristiques Générales</t>
        </is>
      </c>
      <c r="D607" s="236" t="inlineStr">
        <is>
          <t>03 - General characteristics</t>
        </is>
      </c>
      <c r="E607" s="307" t="inlineStr">
        <is>
          <t>P1 24.20</t>
        </is>
      </c>
      <c r="F607" s="308" t="inlineStr">
        <is>
          <t>Indicateur back to back</t>
        </is>
      </c>
      <c r="G607" s="309" t="inlineStr">
        <is>
          <t>Back-to-back indicator</t>
        </is>
      </c>
      <c r="H607" s="1493">
        <f>"RPAD( "&amp;SUBSTITUTE(SUBSTITUTE(E607," ","_"),".","_")&amp;","&amp;W607&amp;",' '); -- "&amp;E607</f>
        <v/>
      </c>
      <c r="I607" s="241" t="inlineStr">
        <is>
          <t>Indicateur back to back</t>
        </is>
      </c>
      <c r="J607" s="309" t="inlineStr">
        <is>
          <t>Back-to-back indicator</t>
        </is>
      </c>
      <c r="K607" s="370" t="inlineStr">
        <is>
          <t>ND</t>
        </is>
      </c>
      <c r="L607" s="371" t="inlineStr">
        <is>
          <t>ND</t>
        </is>
      </c>
      <c r="M607" s="1420" t="inlineStr">
        <is>
          <t>indBack2Back</t>
        </is>
      </c>
      <c r="N607" s="257" t="inlineStr">
        <is>
          <t>Obligatoire sous conditions</t>
        </is>
      </c>
      <c r="O607" s="310" t="inlineStr">
        <is>
          <t>Mandatory under conditions</t>
        </is>
      </c>
      <c r="P607" s="269" t="inlineStr">
        <is>
          <t>LC.0212</t>
        </is>
      </c>
      <c r="Q607" s="269" t="inlineStr">
        <is>
          <t>TA KVINB2B</t>
        </is>
      </c>
      <c r="R607" s="241" t="inlineStr">
        <is>
          <t>Concerne les opérations enregistrées en norme comptable IFRS Juste Valeur</t>
        </is>
      </c>
      <c r="S607" s="233" t="inlineStr">
        <is>
          <t>Concerns transactions recorded under IFRS Fair Value accounting standard</t>
        </is>
      </c>
      <c r="T607" s="313" t="inlineStr">
        <is>
          <t>ALPHA</t>
        </is>
      </c>
      <c r="U607" s="237" t="inlineStr">
        <is>
          <t>NA</t>
        </is>
      </c>
      <c r="V607" s="238" t="inlineStr">
        <is>
          <t>NA</t>
        </is>
      </c>
      <c r="W607" s="257" t="n">
        <v>1</v>
      </c>
      <c r="X607" s="945" t="inlineStr">
        <is>
          <t>NA</t>
        </is>
      </c>
      <c r="Y607" s="237" t="n">
        <v>41</v>
      </c>
      <c r="Z607" s="237" t="inlineStr">
        <is>
          <t>NA</t>
        </is>
      </c>
      <c r="AA607" s="283" t="inlineStr">
        <is>
          <t>NA</t>
        </is>
      </c>
      <c r="AB607" s="269" t="inlineStr">
        <is>
          <t>CORFOU, PVA</t>
        </is>
      </c>
      <c r="AC607" s="231" t="inlineStr">
        <is>
          <t>ND</t>
        </is>
      </c>
      <c r="AD607" s="257" t="inlineStr">
        <is>
          <t>N</t>
        </is>
      </c>
      <c r="AE607" s="257" t="inlineStr">
        <is>
          <t>VAR (hors Repos)
INT</t>
        </is>
      </c>
      <c r="AF607" s="257" t="inlineStr">
        <is>
          <t>NA</t>
        </is>
      </c>
      <c r="AG607" s="258" t="inlineStr">
        <is>
          <t>NA</t>
        </is>
      </c>
      <c r="AH607" s="89" t="n"/>
      <c r="AI607" s="316" t="inlineStr">
        <is>
          <t>La donnée est obligatoire si le type de risque [P1 2.0] = 'VARXXX' hors (VAR105, VAR302)
---
La donnée est obligatoire si le type de risque [P1 2.0] = INT et si la classification comptable de référence des actifs [P1 19.5] = 'JCN','JCR','JVR'</t>
        </is>
      </c>
      <c r="AJ607" s="317" t="inlineStr">
        <is>
          <t>The data is mandatory if risk type [P1 2.0] = 'VARXXX' out (VAR105, VAR302)
---
The data is mandatory if risk type [P1 2.0] = INT and if Reference accounting classification of assets [P1 19.5] = 'JCN','JCR','JVR'</t>
        </is>
      </c>
      <c r="AK607" s="257" t="n">
        <v>6</v>
      </c>
      <c r="AL607" s="378" t="inlineStr">
        <is>
          <t>TPS0886
TPS0887</t>
        </is>
      </c>
      <c r="AM607" s="452" t="inlineStr">
        <is>
          <t>Si elle est renseignée, la valeur doit être connue du Langage Commun associé</t>
        </is>
      </c>
      <c r="AN607" s="377" t="inlineStr">
        <is>
          <t>If specified, the value must be known to the associated Common Language</t>
        </is>
      </c>
      <c r="AO607" s="257" t="n">
        <v>7</v>
      </c>
      <c r="AP607" s="212" t="inlineStr">
        <is>
          <t>TIG0001</t>
        </is>
      </c>
      <c r="AQ607" s="318" t="n"/>
      <c r="AR607" s="317" t="n"/>
      <c r="AS607" s="257" t="n"/>
      <c r="AT607" s="258" t="n"/>
      <c r="AU607" s="318" t="n"/>
      <c r="AV607" s="317" t="n"/>
      <c r="AW607" s="257" t="n"/>
      <c r="AX607" s="258" t="n"/>
      <c r="AY607" s="318" t="n"/>
      <c r="AZ607" s="317" t="n"/>
      <c r="BA607" s="257" t="n"/>
      <c r="BB607" s="258" t="n"/>
      <c r="BC607" s="316" t="n"/>
      <c r="BD607" s="317" t="n"/>
      <c r="BE607" s="257" t="n"/>
      <c r="BF607" s="258" t="n"/>
      <c r="BG607" s="89" t="n"/>
      <c r="BH6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07">
        <f>_xlfn.LET(r,ROW(),oc,INDEX($A:$A,r),cv,TRIM(INDEX($Y:$Y,r)&amp;""),IF(oc&lt;&gt;"P1","",IF(cv="45","V45 - novo, nao alimentado pelo spool atual","V44 - alimentado pelo spool atual")))</f>
        <v/>
      </c>
    </row>
    <row r="608" ht="54" customFormat="1" customHeight="1" s="91">
      <c r="A608" s="306" t="inlineStr">
        <is>
          <t>P1</t>
        </is>
      </c>
      <c r="B608" s="307" t="n">
        <v>373</v>
      </c>
      <c r="C608" s="269" t="inlineStr">
        <is>
          <t>02 - Caractéristiques d'identification fonctionnelles</t>
        </is>
      </c>
      <c r="D608" s="236" t="inlineStr">
        <is>
          <t>02 - Functional identification characteristics</t>
        </is>
      </c>
      <c r="E608" s="307" t="inlineStr">
        <is>
          <t>P1 24.21</t>
        </is>
      </c>
      <c r="F608" s="308" t="inlineStr">
        <is>
          <t>Référence unique de l'opération associée en back to back</t>
        </is>
      </c>
      <c r="G608" s="309" t="inlineStr">
        <is>
          <t>Single reference of the associated back-to-back transaction</t>
        </is>
      </c>
      <c r="H608" s="1493">
        <f>"RPAD( "&amp;SUBSTITUTE(SUBSTITUTE(E608," ","_"),".","_")&amp;","&amp;W608&amp;",' '); -- "&amp;E608</f>
        <v/>
      </c>
      <c r="I608" s="241" t="inlineStr">
        <is>
          <t>Référence unique de l'opération associée en back to back</t>
        </is>
      </c>
      <c r="J608" s="309" t="inlineStr">
        <is>
          <t>Single reference of the associated back-to-back transaction</t>
        </is>
      </c>
      <c r="K608" s="370" t="inlineStr">
        <is>
          <t>ND</t>
        </is>
      </c>
      <c r="L608" s="371" t="inlineStr">
        <is>
          <t>ND</t>
        </is>
      </c>
      <c r="M608" s="1420" t="inlineStr">
        <is>
          <t>refOpeBack2Back</t>
        </is>
      </c>
      <c r="N608" s="257" t="inlineStr">
        <is>
          <t>Obligatoire sous conditions</t>
        </is>
      </c>
      <c r="O608" s="310" t="inlineStr">
        <is>
          <t>Mandatory under conditions</t>
        </is>
      </c>
      <c r="P608" s="269" t="inlineStr">
        <is>
          <t>NA</t>
        </is>
      </c>
      <c r="Q608" s="269" t="inlineStr">
        <is>
          <t>NA</t>
        </is>
      </c>
      <c r="R608" s="241" t="inlineStr">
        <is>
          <t>NA</t>
        </is>
      </c>
      <c r="S608" s="233" t="inlineStr">
        <is>
          <t>NA</t>
        </is>
      </c>
      <c r="T608" s="313" t="inlineStr">
        <is>
          <t>ALPHA</t>
        </is>
      </c>
      <c r="U608" s="237" t="inlineStr">
        <is>
          <t>NA</t>
        </is>
      </c>
      <c r="V608" s="238" t="inlineStr">
        <is>
          <t>NA</t>
        </is>
      </c>
      <c r="W608" s="257" t="n">
        <v>40</v>
      </c>
      <c r="X608" s="945" t="inlineStr">
        <is>
          <t>NA</t>
        </is>
      </c>
      <c r="Y608" s="237" t="n">
        <v>41</v>
      </c>
      <c r="Z608" s="237" t="inlineStr">
        <is>
          <t>NA</t>
        </is>
      </c>
      <c r="AA608" s="237" t="inlineStr">
        <is>
          <t>NA</t>
        </is>
      </c>
      <c r="AB608" s="269" t="inlineStr">
        <is>
          <t>PVA, SRB VALUATION</t>
        </is>
      </c>
      <c r="AC608" s="231" t="inlineStr">
        <is>
          <t>ND</t>
        </is>
      </c>
      <c r="AD608" s="257" t="inlineStr">
        <is>
          <t>N</t>
        </is>
      </c>
      <c r="AE608" s="257" t="inlineStr">
        <is>
          <t>VAR (hors Repos)
INT</t>
        </is>
      </c>
      <c r="AF608" s="257" t="inlineStr">
        <is>
          <t>NA</t>
        </is>
      </c>
      <c r="AG608" s="258" t="inlineStr">
        <is>
          <t>NA</t>
        </is>
      </c>
      <c r="AH608" s="89" t="n"/>
      <c r="AI608" s="316" t="inlineStr">
        <is>
          <t>La donnée est obligatoire si le type de risque [P1 2.0] = 'INT, VAR hors ('VAR105, VAR302')' ET si l'indicateur back to back [P1 24.20] = 'Y'</t>
        </is>
      </c>
      <c r="AJ608" s="317" t="inlineStr">
        <is>
          <t>The data is mandatory if Risk type [P1 2.0] = 'INT, VAR except ('VAR105, VAR302')' AND if the back to back flag [P1 24.20] = 'Y'</t>
        </is>
      </c>
      <c r="AK608" s="257" t="n">
        <v>6</v>
      </c>
      <c r="AL608" s="345" t="inlineStr">
        <is>
          <t>TPS0888</t>
        </is>
      </c>
      <c r="AM608" s="318" t="n"/>
      <c r="AN608" s="317" t="n"/>
      <c r="AO608" s="257" t="n"/>
      <c r="AP608" s="258" t="n"/>
      <c r="AQ608" s="318" t="n"/>
      <c r="AR608" s="317" t="n"/>
      <c r="AS608" s="257" t="n"/>
      <c r="AT608" s="258" t="n"/>
      <c r="AU608" s="318" t="n"/>
      <c r="AV608" s="317" t="n"/>
      <c r="AW608" s="257" t="n"/>
      <c r="AX608" s="258" t="n"/>
      <c r="AY608" s="318" t="n"/>
      <c r="AZ608" s="317" t="n"/>
      <c r="BA608" s="257" t="n"/>
      <c r="BB608" s="258" t="n"/>
      <c r="BC608" s="316" t="n"/>
      <c r="BD608" s="317" t="n"/>
      <c r="BE608" s="257" t="n"/>
      <c r="BF608" s="258" t="n"/>
      <c r="BG608" s="89" t="n"/>
      <c r="BH6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08">
        <f>_xlfn.LET(r,ROW(),oc,INDEX($A:$A,r),cv,TRIM(INDEX($Y:$Y,r)&amp;""),IF(oc&lt;&gt;"P1","",IF(cv="45","V45 - novo, nao alimentado pelo spool atual","V44 - alimentado pelo spool atual")))</f>
        <v/>
      </c>
    </row>
    <row r="609" ht="54" customFormat="1" customHeight="1" s="91">
      <c r="A609" s="306" t="inlineStr">
        <is>
          <t>P1</t>
        </is>
      </c>
      <c r="B609" s="307" t="n">
        <v>374</v>
      </c>
      <c r="C609" s="269" t="inlineStr">
        <is>
          <t>02 - Caractéristiques d'identification fonctionnelles</t>
        </is>
      </c>
      <c r="D609" s="236" t="inlineStr">
        <is>
          <t>02 - Functional identification characteristics</t>
        </is>
      </c>
      <c r="E609" s="307" t="inlineStr">
        <is>
          <t>P1 24.22</t>
        </is>
      </c>
      <c r="F609" s="1056" t="inlineStr">
        <is>
          <t>Référence unique de l'opération de dérivé en couverture</t>
        </is>
      </c>
      <c r="G609" s="309" t="inlineStr">
        <is>
          <t>Single reference of the derivative hedging transaction</t>
        </is>
      </c>
      <c r="H609" s="1493">
        <f>"RPAD( "&amp;SUBSTITUTE(SUBSTITUTE(E609," ","_"),".","_")&amp;","&amp;W609&amp;",' '); -- "&amp;E609</f>
        <v/>
      </c>
      <c r="I609" s="241" t="inlineStr">
        <is>
          <t>Identifiant technique d'engagement du dérivé venant en couverture du titre</t>
        </is>
      </c>
      <c r="J609" s="309" t="inlineStr">
        <is>
          <t>Technical identifier of the derivative hedging the securitie</t>
        </is>
      </c>
      <c r="K609" s="370" t="inlineStr">
        <is>
          <t>ND</t>
        </is>
      </c>
      <c r="L609" s="371" t="inlineStr">
        <is>
          <t>ND</t>
        </is>
      </c>
      <c r="M609" s="1420" t="inlineStr">
        <is>
          <t>refOpeDerCouv</t>
        </is>
      </c>
      <c r="N609" s="231" t="inlineStr">
        <is>
          <t>Obligatoire sous conditions</t>
        </is>
      </c>
      <c r="O609" s="310" t="inlineStr">
        <is>
          <t>Mandatory under conditions</t>
        </is>
      </c>
      <c r="P609" s="269" t="inlineStr">
        <is>
          <t>NA</t>
        </is>
      </c>
      <c r="Q609" s="269" t="inlineStr">
        <is>
          <t>NA</t>
        </is>
      </c>
      <c r="R609" s="1173" t="inlineStr">
        <is>
          <t xml:space="preserve">Donnée obligatoire si exposition micro-couverte par un dérivé 
Si l'exposition est couverte par plusieurs dérivés, indiquer la référence du dérivé principal </t>
        </is>
      </c>
      <c r="S609" s="1009" t="inlineStr">
        <is>
          <t>Mandatory data if exposure micro-hedged by derivative
If the exposure is hedged by more than one derivative, the reference of the principal derivative</t>
        </is>
      </c>
      <c r="T609" s="313" t="inlineStr">
        <is>
          <t>ALPHA</t>
        </is>
      </c>
      <c r="U609" s="237" t="inlineStr">
        <is>
          <t>NA</t>
        </is>
      </c>
      <c r="V609" s="238" t="inlineStr">
        <is>
          <t>NA</t>
        </is>
      </c>
      <c r="W609" s="257" t="n">
        <v>40</v>
      </c>
      <c r="X609" s="945" t="inlineStr">
        <is>
          <t>NA</t>
        </is>
      </c>
      <c r="Y609" s="237" t="n">
        <v>41</v>
      </c>
      <c r="Z609" s="237" t="inlineStr">
        <is>
          <t>NA</t>
        </is>
      </c>
      <c r="AA609" s="237" t="inlineStr">
        <is>
          <t>45.00</t>
        </is>
      </c>
      <c r="AB609" s="994" t="inlineStr">
        <is>
          <t>PALMA, SRB VALUATION</t>
        </is>
      </c>
      <c r="AC609" s="231" t="inlineStr">
        <is>
          <t>ND</t>
        </is>
      </c>
      <c r="AD609" s="257" t="inlineStr">
        <is>
          <t>N</t>
        </is>
      </c>
      <c r="AE609" s="1175" t="inlineStr">
        <is>
          <t>EQU101
ISS200 et 300
TRE4xx</t>
        </is>
      </c>
      <c r="AF609" s="257" t="inlineStr">
        <is>
          <t>NA</t>
        </is>
      </c>
      <c r="AG609" s="258" t="inlineStr">
        <is>
          <t>NA</t>
        </is>
      </c>
      <c r="AH609" s="89" t="n"/>
      <c r="AI609" s="1222" t="inlineStr">
        <is>
          <t>La donnée est obligatoire, si type de risque [P1 2.0] = 'EQU101, ISS200 et 300, TRE4xx' ET si Indicateur dérivé en couverture [P1 24.22.1] = 'Y'</t>
        </is>
      </c>
      <c r="AJ609" s="931" t="inlineStr">
        <is>
          <t>The date is mandatory, if Risk type [P1 2.0] = 'EQU101, ISS200 et 300, TRE4xx' AND if Indicator of Derived in hedge [P1 24.22.1] = 'Y'</t>
        </is>
      </c>
      <c r="AK609" s="932" t="n">
        <v>7</v>
      </c>
      <c r="AL609" s="1055" t="inlineStr">
        <is>
          <t>TPSxxx</t>
        </is>
      </c>
      <c r="AM609" s="318" t="n"/>
      <c r="AN609" s="317" t="n"/>
      <c r="AO609" s="257" t="n"/>
      <c r="AP609" s="258" t="n"/>
      <c r="AQ609" s="318" t="n"/>
      <c r="AR609" s="317" t="n"/>
      <c r="AS609" s="257" t="n"/>
      <c r="AT609" s="258" t="n"/>
      <c r="AU609" s="318" t="n"/>
      <c r="AV609" s="317" t="n"/>
      <c r="AW609" s="257" t="n"/>
      <c r="AX609" s="258" t="n"/>
      <c r="AY609" s="318" t="n"/>
      <c r="AZ609" s="317" t="n"/>
      <c r="BA609" s="257" t="n"/>
      <c r="BB609" s="258" t="n"/>
      <c r="BC609" s="316" t="n"/>
      <c r="BD609" s="317" t="n"/>
      <c r="BE609" s="257" t="n"/>
      <c r="BF609" s="258" t="n"/>
      <c r="BG609" s="89" t="n"/>
      <c r="BH6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09">
        <f>_xlfn.LET(r,ROW(),oc,INDEX($A:$A,r),cv,TRIM(INDEX($Y:$Y,r)&amp;""),IF(oc&lt;&gt;"P1","",IF(cv="45","V45 - novo, nao alimentado pelo spool atual","V44 - alimentado pelo spool atual")))</f>
        <v/>
      </c>
    </row>
    <row r="610" ht="54" customFormat="1" customHeight="1" s="91">
      <c r="A610" s="306" t="inlineStr">
        <is>
          <t>P1</t>
        </is>
      </c>
      <c r="B610" s="307" t="n">
        <v>375</v>
      </c>
      <c r="C610" s="269" t="inlineStr">
        <is>
          <t>03 - Caractéristiques Générales</t>
        </is>
      </c>
      <c r="D610" s="236" t="inlineStr">
        <is>
          <t>03 - General characteristics</t>
        </is>
      </c>
      <c r="E610" s="307" t="inlineStr">
        <is>
          <t>P1 24.23</t>
        </is>
      </c>
      <c r="F610" s="374" t="inlineStr">
        <is>
          <t>Intention de couverture</t>
        </is>
      </c>
      <c r="G610" s="309" t="inlineStr">
        <is>
          <t>Purpose of hedging</t>
        </is>
      </c>
      <c r="H610" s="1493">
        <f>"RPAD( "&amp;SUBSTITUTE(SUBSTITUTE(E610," ","_"),".","_")&amp;","&amp;W610&amp;",' '); -- "&amp;E610</f>
        <v/>
      </c>
      <c r="I610" s="241" t="inlineStr">
        <is>
          <t>Intention de couverture</t>
        </is>
      </c>
      <c r="J610" s="309" t="inlineStr">
        <is>
          <t>Purpose of hedging</t>
        </is>
      </c>
      <c r="K610" s="370" t="inlineStr">
        <is>
          <t>ND</t>
        </is>
      </c>
      <c r="L610" s="371" t="inlineStr">
        <is>
          <t>ND</t>
        </is>
      </c>
      <c r="M610" s="1420" t="inlineStr">
        <is>
          <t>cdIntentionCouv</t>
        </is>
      </c>
      <c r="N610" s="257" t="inlineStr">
        <is>
          <t>Obligatoire sous conditions</t>
        </is>
      </c>
      <c r="O610" s="310" t="inlineStr">
        <is>
          <t>Mandatory under conditions</t>
        </is>
      </c>
      <c r="P610" s="269" t="inlineStr">
        <is>
          <t>LC.0214</t>
        </is>
      </c>
      <c r="Q610" s="269" t="inlineStr">
        <is>
          <t>TA KVINTCOV</t>
        </is>
      </c>
      <c r="R610" s="241" t="inlineStr">
        <is>
          <t>Concerne les opérations enregistrées en norme comptable IFRS Juste Valeur</t>
        </is>
      </c>
      <c r="S610" s="233" t="inlineStr">
        <is>
          <t>Concerns transactions recorded under IFRS Fair Value accounting standard</t>
        </is>
      </c>
      <c r="T610" s="313" t="inlineStr">
        <is>
          <t>ALPHA</t>
        </is>
      </c>
      <c r="U610" s="237" t="inlineStr">
        <is>
          <t>NA</t>
        </is>
      </c>
      <c r="V610" s="238" t="inlineStr">
        <is>
          <t>NA</t>
        </is>
      </c>
      <c r="W610" s="257" t="n">
        <v>1</v>
      </c>
      <c r="X610" s="945" t="inlineStr">
        <is>
          <t>NA</t>
        </is>
      </c>
      <c r="Y610" s="237" t="n">
        <v>41</v>
      </c>
      <c r="Z610" s="237" t="inlineStr">
        <is>
          <t>NA</t>
        </is>
      </c>
      <c r="AA610" s="283" t="inlineStr">
        <is>
          <t>NA</t>
        </is>
      </c>
      <c r="AB610" s="269" t="inlineStr">
        <is>
          <t>CONGLOMERATS, CORFOU, PVA</t>
        </is>
      </c>
      <c r="AC610" s="231" t="inlineStr">
        <is>
          <t>ND</t>
        </is>
      </c>
      <c r="AD610" s="257" t="inlineStr">
        <is>
          <t>N</t>
        </is>
      </c>
      <c r="AE610" s="257" t="inlineStr">
        <is>
          <t>VAR (hors Repos)
INT</t>
        </is>
      </c>
      <c r="AF610" s="257" t="inlineStr">
        <is>
          <t>NA</t>
        </is>
      </c>
      <c r="AG610" s="258" t="inlineStr">
        <is>
          <t>NA</t>
        </is>
      </c>
      <c r="AH610" s="89" t="n"/>
      <c r="AI610" s="353" t="inlineStr">
        <is>
          <t>La donnée est obligatoire si le type de risque [P1 2.0] = 'VARXXX' hors (VAR105, VAR302)
---
La donnée est obligatoire si le type de risque [P1 2.0] = INT et si la classification comptable de référence des actifs [P1 19.5] = 'JCN','JCR','JVR'</t>
        </is>
      </c>
      <c r="AJ610" s="317" t="inlineStr">
        <is>
          <t>The data is mandatory if risk type [P1 2.0] = 'VARXXX' out (VAR105, VAR302)
---
The data is mandatory if risk type [P1 2.0] = INT and if Reference accounting classification of assets [P1 19.5] = 'JCN','JCR','JVR'</t>
        </is>
      </c>
      <c r="AK610" s="269" t="n">
        <v>6</v>
      </c>
      <c r="AL610" s="378" t="inlineStr">
        <is>
          <t>TPS0886
TPS0887</t>
        </is>
      </c>
      <c r="AM610" s="452" t="inlineStr">
        <is>
          <t>Si elle est renseignée, la valeur doit être connue du Langage Commun associé</t>
        </is>
      </c>
      <c r="AN610" s="377" t="inlineStr">
        <is>
          <t>If specified, the value must be known to the associated Common Language</t>
        </is>
      </c>
      <c r="AO610" s="257" t="n">
        <v>7</v>
      </c>
      <c r="AP610" s="212" t="inlineStr">
        <is>
          <t>TIG0001</t>
        </is>
      </c>
      <c r="AQ610" s="318" t="n"/>
      <c r="AR610" s="317" t="n"/>
      <c r="AS610" s="257" t="n"/>
      <c r="AT610" s="258" t="n"/>
      <c r="AU610" s="318" t="inlineStr">
        <is>
          <t>Si le Type de relation de couverture [P1 24.24] = '3', alors Intention de couverture [P1 24.23] = '1'</t>
        </is>
      </c>
      <c r="AV610" s="317" t="inlineStr">
        <is>
          <t>If the Type of hedging relationship [P1 24.24] = '3', then Purpose of hedging [P1 24.23] = '1'</t>
        </is>
      </c>
      <c r="AW610" s="257" t="n">
        <v>6</v>
      </c>
      <c r="AX610" s="345" t="inlineStr">
        <is>
          <t>TCS0733</t>
        </is>
      </c>
      <c r="AY610" s="318" t="n"/>
      <c r="AZ610" s="317" t="n"/>
      <c r="BA610" s="257" t="n"/>
      <c r="BB610" s="258" t="n"/>
      <c r="BC610" s="316" t="n"/>
      <c r="BD610" s="317" t="n"/>
      <c r="BE610" s="257" t="n"/>
      <c r="BF610" s="258" t="n"/>
      <c r="BG610" s="89" t="n"/>
      <c r="BH6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10">
        <f>_xlfn.LET(r,ROW(),oc,INDEX($A:$A,r),cv,TRIM(INDEX($Y:$Y,r)&amp;""),IF(oc&lt;&gt;"P1","",IF(cv="45","V45 - novo, nao alimentado pelo spool atual","V44 - alimentado pelo spool atual")))</f>
        <v/>
      </c>
    </row>
    <row r="611" ht="54" customFormat="1" customHeight="1" s="91">
      <c r="A611" s="306" t="inlineStr">
        <is>
          <t>P1</t>
        </is>
      </c>
      <c r="B611" s="307" t="n">
        <v>376</v>
      </c>
      <c r="C611" s="269" t="inlineStr">
        <is>
          <t>03 - Caractéristiques Générales</t>
        </is>
      </c>
      <c r="D611" s="236" t="inlineStr">
        <is>
          <t>03 - General characteristics</t>
        </is>
      </c>
      <c r="E611" s="307" t="inlineStr">
        <is>
          <t>P1 24.24</t>
        </is>
      </c>
      <c r="F611" s="374" t="inlineStr">
        <is>
          <t>Type de relation de couverture</t>
        </is>
      </c>
      <c r="G611" s="309" t="inlineStr">
        <is>
          <t>Type of hedging relationship</t>
        </is>
      </c>
      <c r="H611" s="1493">
        <f>"RPAD( "&amp;SUBSTITUTE(SUBSTITUTE(E611," ","_"),".","_")&amp;","&amp;W611&amp;",' '); -- "&amp;E611</f>
        <v/>
      </c>
      <c r="I611" s="241" t="inlineStr">
        <is>
          <t>Type de relation de couverture</t>
        </is>
      </c>
      <c r="J611" s="309" t="inlineStr">
        <is>
          <t>Type of hedging relationship</t>
        </is>
      </c>
      <c r="K611" s="370" t="inlineStr">
        <is>
          <t>ND</t>
        </is>
      </c>
      <c r="L611" s="371" t="inlineStr">
        <is>
          <t>ND</t>
        </is>
      </c>
      <c r="M611" s="1420" t="inlineStr">
        <is>
          <t>cdTypRelatCouv</t>
        </is>
      </c>
      <c r="N611" s="257" t="inlineStr">
        <is>
          <t>Obligatoire sous conditions</t>
        </is>
      </c>
      <c r="O611" s="310" t="inlineStr">
        <is>
          <t>Mandatory under conditions</t>
        </is>
      </c>
      <c r="P611" s="269" t="inlineStr">
        <is>
          <t>LC.0213</t>
        </is>
      </c>
      <c r="Q611" s="269" t="inlineStr">
        <is>
          <t>TA KVTCVRSQ</t>
        </is>
      </c>
      <c r="R611" s="241" t="inlineStr">
        <is>
          <t>Concerne les opérations enregistrées en norme comptable IFRS Juste Valeur</t>
        </is>
      </c>
      <c r="S611" s="233" t="inlineStr">
        <is>
          <t>Concerns transactions recorded under IFRS Fair Value accounting standard</t>
        </is>
      </c>
      <c r="T611" s="313" t="inlineStr">
        <is>
          <t>ALPHA</t>
        </is>
      </c>
      <c r="U611" s="237" t="inlineStr">
        <is>
          <t>NA</t>
        </is>
      </c>
      <c r="V611" s="238" t="inlineStr">
        <is>
          <t>NA</t>
        </is>
      </c>
      <c r="W611" s="257" t="n">
        <v>1</v>
      </c>
      <c r="X611" s="945" t="inlineStr">
        <is>
          <t>NA</t>
        </is>
      </c>
      <c r="Y611" s="237" t="n">
        <v>41</v>
      </c>
      <c r="Z611" s="237" t="inlineStr">
        <is>
          <t>NA</t>
        </is>
      </c>
      <c r="AA611" s="283" t="inlineStr">
        <is>
          <t>NA</t>
        </is>
      </c>
      <c r="AB611" s="269" t="inlineStr">
        <is>
          <t>CONGLOMERATS, CORFOU, PVA</t>
        </is>
      </c>
      <c r="AC611" s="231" t="inlineStr">
        <is>
          <t>ND</t>
        </is>
      </c>
      <c r="AD611" s="257" t="inlineStr">
        <is>
          <t>N</t>
        </is>
      </c>
      <c r="AE611" s="257" t="inlineStr">
        <is>
          <t>VAR (hors Repos)
INT</t>
        </is>
      </c>
      <c r="AF611" s="257" t="inlineStr">
        <is>
          <t>NA</t>
        </is>
      </c>
      <c r="AG611" s="258" t="inlineStr">
        <is>
          <t>NA</t>
        </is>
      </c>
      <c r="AH611" s="89" t="n"/>
      <c r="AI611" s="353" t="inlineStr">
        <is>
          <t>La donnée est obligatoire si le type de risque [P1 2.0] = 'VARXXX' hors (VAR105, VAR302)
---
La donnée est obligatoire si le type de risque [P1 2.0] = INT et si la classification comptable de référence des actifs [P1 19.5] = 'JCN','JCR','JVR'</t>
        </is>
      </c>
      <c r="AJ611" s="317" t="inlineStr">
        <is>
          <t>The data is mandatory if risk type [P1 2.0] = 'VARXXX' out (VAR105, VAR302)
---
The data is mandatory if risk type [P1 2.0] = INT and if Reference accounting classification of assets [P1 19.5] = 'JCN','JCR','JVR'</t>
        </is>
      </c>
      <c r="AK611" s="269" t="n">
        <v>6</v>
      </c>
      <c r="AL611" s="378" t="inlineStr">
        <is>
          <t>TPS0886
TPS0887</t>
        </is>
      </c>
      <c r="AM611" s="452" t="inlineStr">
        <is>
          <t>Si elle est renseignée, la valeur doit être connue du Langage Commun associé</t>
        </is>
      </c>
      <c r="AN611" s="377" t="inlineStr">
        <is>
          <t>If specified, the value must be known to the associated Common Language</t>
        </is>
      </c>
      <c r="AO611" s="257" t="n">
        <v>7</v>
      </c>
      <c r="AP611" s="212" t="inlineStr">
        <is>
          <t>TIG0001</t>
        </is>
      </c>
      <c r="AQ611" s="318" t="n"/>
      <c r="AR611" s="317" t="n"/>
      <c r="AS611" s="257" t="n"/>
      <c r="AT611" s="258" t="n"/>
      <c r="AU611" s="318" t="inlineStr">
        <is>
          <t>Si l'Intention de couverture [P1 24.23] = '1', alors Type de relation de couverture [P1 24.24] = '3'</t>
        </is>
      </c>
      <c r="AV611" s="317" t="inlineStr">
        <is>
          <t>If the Purpose of hedging [P1 24.23] = '1', then Type of hedging relationship [P1 24.24] = '3'</t>
        </is>
      </c>
      <c r="AW611" s="257" t="n">
        <v>6</v>
      </c>
      <c r="AX611" s="345" t="inlineStr">
        <is>
          <t>TCS0734</t>
        </is>
      </c>
      <c r="AY611" s="318" t="n"/>
      <c r="AZ611" s="317" t="n"/>
      <c r="BA611" s="257" t="n"/>
      <c r="BB611" s="258" t="n"/>
      <c r="BC611" s="316" t="n"/>
      <c r="BD611" s="317" t="n"/>
      <c r="BE611" s="257" t="n"/>
      <c r="BF611" s="258" t="n"/>
      <c r="BG611" s="89" t="n"/>
      <c r="BH6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11">
        <f>_xlfn.LET(r,ROW(),oc,INDEX($A:$A,r),cv,TRIM(INDEX($Y:$Y,r)&amp;""),IF(oc&lt;&gt;"P1","",IF(cv="45","V45 - novo, nao alimentado pelo spool atual","V44 - alimentado pelo spool atual")))</f>
        <v/>
      </c>
    </row>
    <row r="612" ht="54" customFormat="1" customHeight="1" s="57">
      <c r="A612" s="325" t="inlineStr">
        <is>
          <t>P1</t>
        </is>
      </c>
      <c r="B612" s="326" t="n">
        <v>377</v>
      </c>
      <c r="C612" s="284" t="inlineStr">
        <is>
          <t>NA</t>
        </is>
      </c>
      <c r="D612" s="244" t="inlineStr">
        <is>
          <t>NA</t>
        </is>
      </c>
      <c r="E612" s="326" t="inlineStr">
        <is>
          <t>P1 24.25</t>
        </is>
      </c>
      <c r="F612" s="327" t="inlineStr">
        <is>
          <t xml:space="preserve">Jambe prêteuse : Indicateur actif coté </t>
        </is>
      </c>
      <c r="G612" s="327" t="inlineStr">
        <is>
          <t xml:space="preserve">Lending leg: Quoted asset indicator </t>
        </is>
      </c>
      <c r="H612" s="1493">
        <f>"RPAD( "&amp;SUBSTITUTE(SUBSTITUTE(E612," ","_"),".","_")&amp;","&amp;W612&amp;",' '); -- "&amp;E612</f>
        <v/>
      </c>
      <c r="I612" s="245" t="inlineStr">
        <is>
          <t>Permet de savoir si le titre est côté</t>
        </is>
      </c>
      <c r="J612" s="245" t="inlineStr">
        <is>
          <t>Identifies whether the financial security is listed</t>
        </is>
      </c>
      <c r="K612" s="284" t="inlineStr">
        <is>
          <t>NA</t>
        </is>
      </c>
      <c r="L612" s="284" t="inlineStr">
        <is>
          <t>NA</t>
        </is>
      </c>
      <c r="M612" s="1421" t="inlineStr">
        <is>
          <t>indACtifCoteJamPret</t>
        </is>
      </c>
      <c r="N612" s="284" t="inlineStr">
        <is>
          <t>NA</t>
        </is>
      </c>
      <c r="O612" s="284" t="inlineStr">
        <is>
          <t>NA</t>
        </is>
      </c>
      <c r="P612" s="284" t="inlineStr">
        <is>
          <t>NA</t>
        </is>
      </c>
      <c r="Q612" s="284" t="inlineStr">
        <is>
          <t>NA</t>
        </is>
      </c>
      <c r="R612" s="247" t="inlineStr">
        <is>
          <t>Laisser à vide</t>
        </is>
      </c>
      <c r="S612" s="247" t="inlineStr">
        <is>
          <t>Leave empty</t>
        </is>
      </c>
      <c r="T612" s="326" t="inlineStr">
        <is>
          <t>ALPHA</t>
        </is>
      </c>
      <c r="U612" s="248" t="inlineStr">
        <is>
          <t>NA</t>
        </is>
      </c>
      <c r="V612" s="248" t="inlineStr">
        <is>
          <t>NA</t>
        </is>
      </c>
      <c r="W612" s="284" t="n">
        <v>1</v>
      </c>
      <c r="X612" s="244" t="inlineStr">
        <is>
          <t>NA</t>
        </is>
      </c>
      <c r="Y612" s="248" t="n">
        <v>41</v>
      </c>
      <c r="Z612" s="248" t="n">
        <v>42</v>
      </c>
      <c r="AA612" s="248" t="inlineStr">
        <is>
          <t>NA</t>
        </is>
      </c>
      <c r="AB612" s="284" t="inlineStr">
        <is>
          <t>NA</t>
        </is>
      </c>
      <c r="AC612" s="244" t="inlineStr">
        <is>
          <t>NA</t>
        </is>
      </c>
      <c r="AD612" s="284" t="inlineStr">
        <is>
          <t>N</t>
        </is>
      </c>
      <c r="AE612" s="284" t="inlineStr">
        <is>
          <t>NA</t>
        </is>
      </c>
      <c r="AF612" s="284" t="inlineStr">
        <is>
          <t>NA</t>
        </is>
      </c>
      <c r="AG612" s="285" t="inlineStr">
        <is>
          <t>NA</t>
        </is>
      </c>
      <c r="AH612" s="89" t="n"/>
      <c r="AI612" s="330" t="n"/>
      <c r="AJ612" s="331" t="n"/>
      <c r="AK612" s="284" t="n"/>
      <c r="AL612" s="285" t="n"/>
      <c r="AM612" s="331" t="n"/>
      <c r="AN612" s="331" t="n"/>
      <c r="AO612" s="284" t="n"/>
      <c r="AP612" s="285" t="n"/>
      <c r="AQ612" s="331" t="n"/>
      <c r="AR612" s="331" t="n"/>
      <c r="AS612" s="284" t="n"/>
      <c r="AT612" s="285" t="n"/>
      <c r="AU612" s="331" t="n"/>
      <c r="AV612" s="331" t="n"/>
      <c r="AW612" s="284" t="n"/>
      <c r="AX612" s="285" t="n"/>
      <c r="AY612" s="331" t="n"/>
      <c r="AZ612" s="331" t="n"/>
      <c r="BA612" s="284" t="n"/>
      <c r="BB612" s="285" t="n"/>
      <c r="BC612" s="330" t="n"/>
      <c r="BD612" s="331" t="n"/>
      <c r="BE612" s="284" t="n"/>
      <c r="BF612" s="285" t="n"/>
      <c r="BG612" s="89" t="n"/>
      <c r="BH6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12">
        <f>_xlfn.LET(r,ROW(),oc,INDEX($A:$A,r),cv,TRIM(INDEX($Y:$Y,r)&amp;""),IF(oc&lt;&gt;"P1","",IF(cv="45","V45 - novo, nao alimentado pelo spool atual","V44 - alimentado pelo spool atual")))</f>
        <v/>
      </c>
    </row>
    <row r="613" ht="54" customFormat="1" customHeight="1" s="57">
      <c r="A613" s="325" t="inlineStr">
        <is>
          <t>P1</t>
        </is>
      </c>
      <c r="B613" s="326" t="n">
        <v>378</v>
      </c>
      <c r="C613" s="284" t="inlineStr">
        <is>
          <t>17 - Caractéristiques Titres</t>
        </is>
      </c>
      <c r="D613" s="244" t="inlineStr">
        <is>
          <t>17 - Securities characteristics</t>
        </is>
      </c>
      <c r="E613" s="326" t="inlineStr">
        <is>
          <t>P1 24.26</t>
        </is>
      </c>
      <c r="F613" s="327" t="inlineStr">
        <is>
          <t xml:space="preserve">Jambe prêteuse : quantité de titres </t>
        </is>
      </c>
      <c r="G613" s="327" t="inlineStr">
        <is>
          <t xml:space="preserve">Lending leg: quantity of financial securities </t>
        </is>
      </c>
      <c r="H613" s="1493">
        <f>"RPAD( "&amp;SUBSTITUTE(SUBSTITUTE(E613," ","_"),".","_")&amp;","&amp;W613&amp;",' '); -- "&amp;E613</f>
        <v/>
      </c>
      <c r="I613" s="245" t="inlineStr">
        <is>
          <t>Quantité de titres</t>
        </is>
      </c>
      <c r="J613" s="245" t="inlineStr">
        <is>
          <t>Quantity of financial securities</t>
        </is>
      </c>
      <c r="K613" s="284" t="inlineStr">
        <is>
          <t>NA</t>
        </is>
      </c>
      <c r="L613" s="284" t="inlineStr">
        <is>
          <t>NA</t>
        </is>
      </c>
      <c r="M613" s="1421" t="inlineStr">
        <is>
          <t>qtyTitreJamPret</t>
        </is>
      </c>
      <c r="N613" s="284" t="inlineStr">
        <is>
          <t>NA</t>
        </is>
      </c>
      <c r="O613" s="284" t="inlineStr">
        <is>
          <t>NA</t>
        </is>
      </c>
      <c r="P613" s="284" t="inlineStr">
        <is>
          <t>NA</t>
        </is>
      </c>
      <c r="Q613" s="284" t="inlineStr">
        <is>
          <t>NA</t>
        </is>
      </c>
      <c r="R613" s="247" t="inlineStr">
        <is>
          <t>Laisser à vide</t>
        </is>
      </c>
      <c r="S613" s="247" t="inlineStr">
        <is>
          <t>Leave empty</t>
        </is>
      </c>
      <c r="T613" s="326" t="inlineStr">
        <is>
          <t>NUM</t>
        </is>
      </c>
      <c r="U613" s="248" t="inlineStr">
        <is>
          <t>NA</t>
        </is>
      </c>
      <c r="V613" s="248" t="inlineStr">
        <is>
          <t>NA</t>
        </is>
      </c>
      <c r="W613" s="284" t="n">
        <v>10</v>
      </c>
      <c r="X613" s="244" t="inlineStr">
        <is>
          <t>NA</t>
        </is>
      </c>
      <c r="Y613" s="248" t="n">
        <v>41</v>
      </c>
      <c r="Z613" s="248" t="n">
        <v>42</v>
      </c>
      <c r="AA613" s="248" t="inlineStr">
        <is>
          <t>NA</t>
        </is>
      </c>
      <c r="AB613" s="284" t="inlineStr">
        <is>
          <t>NA</t>
        </is>
      </c>
      <c r="AC613" s="244" t="inlineStr">
        <is>
          <t>NA</t>
        </is>
      </c>
      <c r="AD613" s="284" t="inlineStr">
        <is>
          <t>N</t>
        </is>
      </c>
      <c r="AE613" s="284" t="inlineStr">
        <is>
          <t>NA</t>
        </is>
      </c>
      <c r="AF613" s="284" t="inlineStr">
        <is>
          <t>NA</t>
        </is>
      </c>
      <c r="AG613" s="285" t="inlineStr">
        <is>
          <t>NA</t>
        </is>
      </c>
      <c r="AH613" s="89" t="n"/>
      <c r="AI613" s="330" t="n"/>
      <c r="AJ613" s="331" t="n"/>
      <c r="AK613" s="284" t="n"/>
      <c r="AL613" s="285" t="n"/>
      <c r="AM613" s="331" t="n"/>
      <c r="AN613" s="331" t="n"/>
      <c r="AO613" s="284" t="n"/>
      <c r="AP613" s="285" t="n"/>
      <c r="AQ613" s="331" t="n"/>
      <c r="AR613" s="331" t="n"/>
      <c r="AS613" s="284" t="n"/>
      <c r="AT613" s="285" t="n"/>
      <c r="AU613" s="331" t="n"/>
      <c r="AV613" s="331" t="n"/>
      <c r="AW613" s="284" t="n"/>
      <c r="AX613" s="285" t="n"/>
      <c r="AY613" s="331" t="n"/>
      <c r="AZ613" s="331" t="n"/>
      <c r="BA613" s="284" t="n"/>
      <c r="BB613" s="285" t="n"/>
      <c r="BC613" s="330" t="n"/>
      <c r="BD613" s="331" t="n"/>
      <c r="BE613" s="284" t="n"/>
      <c r="BF613" s="285" t="n"/>
      <c r="BG613" s="89" t="n"/>
      <c r="BH6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13">
        <f>_xlfn.LET(r,ROW(),oc,INDEX($A:$A,r),cv,TRIM(INDEX($Y:$Y,r)&amp;""),IF(oc&lt;&gt;"P1","",IF(cv="45","V45 - novo, nao alimentado pelo spool atual","V44 - alimentado pelo spool atual")))</f>
        <v/>
      </c>
    </row>
    <row r="614" ht="54" customFormat="1" customHeight="1" s="57">
      <c r="A614" s="325" t="inlineStr">
        <is>
          <t>P1</t>
        </is>
      </c>
      <c r="B614" s="326" t="n">
        <v>379</v>
      </c>
      <c r="C614" s="284" t="inlineStr">
        <is>
          <t>17 - Caractéristiques Titres</t>
        </is>
      </c>
      <c r="D614" s="244" t="inlineStr">
        <is>
          <t>17 - Securities characteristics</t>
        </is>
      </c>
      <c r="E614" s="326" t="inlineStr">
        <is>
          <t>P1 24.27</t>
        </is>
      </c>
      <c r="F614" s="327" t="inlineStr">
        <is>
          <t xml:space="preserve">Jambe prêteuse : libellé du titre </t>
        </is>
      </c>
      <c r="G614" s="327" t="inlineStr">
        <is>
          <t xml:space="preserve">Lending leg: name of the financial security </t>
        </is>
      </c>
      <c r="H614" s="1493">
        <f>"RPAD( "&amp;SUBSTITUTE(SUBSTITUTE(E614," ","_"),".","_")&amp;","&amp;W614&amp;",' '); -- "&amp;E614</f>
        <v/>
      </c>
      <c r="I614" s="245" t="inlineStr">
        <is>
          <t>Libellé associé à la référence du titre</t>
        </is>
      </c>
      <c r="J614" s="245" t="inlineStr">
        <is>
          <t>Name associated with the security's reference</t>
        </is>
      </c>
      <c r="K614" s="284" t="inlineStr">
        <is>
          <t>NA</t>
        </is>
      </c>
      <c r="L614" s="284" t="inlineStr">
        <is>
          <t>NA</t>
        </is>
      </c>
      <c r="M614" s="1421" t="inlineStr">
        <is>
          <t>descTitreJamPret</t>
        </is>
      </c>
      <c r="N614" s="284" t="inlineStr">
        <is>
          <t>NA</t>
        </is>
      </c>
      <c r="O614" s="284" t="inlineStr">
        <is>
          <t>NA</t>
        </is>
      </c>
      <c r="P614" s="284" t="inlineStr">
        <is>
          <t>NA</t>
        </is>
      </c>
      <c r="Q614" s="284" t="inlineStr">
        <is>
          <t>NA</t>
        </is>
      </c>
      <c r="R614" s="247" t="inlineStr">
        <is>
          <t>Laisser à vide</t>
        </is>
      </c>
      <c r="S614" s="247" t="inlineStr">
        <is>
          <t>Leave empty</t>
        </is>
      </c>
      <c r="T614" s="326" t="inlineStr">
        <is>
          <t>ALPHA</t>
        </is>
      </c>
      <c r="U614" s="248" t="inlineStr">
        <is>
          <t>NA</t>
        </is>
      </c>
      <c r="V614" s="248" t="inlineStr">
        <is>
          <t>NA</t>
        </is>
      </c>
      <c r="W614" s="284" t="n">
        <v>50</v>
      </c>
      <c r="X614" s="244" t="inlineStr">
        <is>
          <t>NA</t>
        </is>
      </c>
      <c r="Y614" s="248" t="n">
        <v>41</v>
      </c>
      <c r="Z614" s="248" t="n">
        <v>42</v>
      </c>
      <c r="AA614" s="248" t="inlineStr">
        <is>
          <t>NA</t>
        </is>
      </c>
      <c r="AB614" s="284" t="inlineStr">
        <is>
          <t>NA</t>
        </is>
      </c>
      <c r="AC614" s="244" t="inlineStr">
        <is>
          <t>NA</t>
        </is>
      </c>
      <c r="AD614" s="284" t="inlineStr">
        <is>
          <t>N</t>
        </is>
      </c>
      <c r="AE614" s="284" t="inlineStr">
        <is>
          <t>NA</t>
        </is>
      </c>
      <c r="AF614" s="284" t="inlineStr">
        <is>
          <t>NA</t>
        </is>
      </c>
      <c r="AG614" s="285" t="inlineStr">
        <is>
          <t>NA</t>
        </is>
      </c>
      <c r="AH614" s="89" t="n"/>
      <c r="AI614" s="330" t="n"/>
      <c r="AJ614" s="331" t="n"/>
      <c r="AK614" s="284" t="n"/>
      <c r="AL614" s="285" t="n"/>
      <c r="AM614" s="331" t="n"/>
      <c r="AN614" s="331" t="n"/>
      <c r="AO614" s="284" t="n"/>
      <c r="AP614" s="285" t="n"/>
      <c r="AQ614" s="331" t="n"/>
      <c r="AR614" s="331" t="n"/>
      <c r="AS614" s="284" t="n"/>
      <c r="AT614" s="285" t="n"/>
      <c r="AU614" s="331" t="n"/>
      <c r="AV614" s="331" t="n"/>
      <c r="AW614" s="284" t="n"/>
      <c r="AX614" s="285" t="n"/>
      <c r="AY614" s="331" t="n"/>
      <c r="AZ614" s="331" t="n"/>
      <c r="BA614" s="284" t="n"/>
      <c r="BB614" s="285" t="n"/>
      <c r="BC614" s="330" t="n"/>
      <c r="BD614" s="331" t="n"/>
      <c r="BE614" s="284" t="n"/>
      <c r="BF614" s="285" t="n"/>
      <c r="BG614" s="89" t="n"/>
      <c r="BH6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14">
        <f>_xlfn.LET(r,ROW(),oc,INDEX($A:$A,r),cv,TRIM(INDEX($Y:$Y,r)&amp;""),IF(oc&lt;&gt;"P1","",IF(cv="45","V45 - novo, nao alimentado pelo spool atual","V44 - alimentado pelo spool atual")))</f>
        <v/>
      </c>
    </row>
    <row r="615" ht="54" customFormat="1" customHeight="1" s="57">
      <c r="A615" s="325" t="inlineStr">
        <is>
          <t>P1</t>
        </is>
      </c>
      <c r="B615" s="326" t="n">
        <v>380</v>
      </c>
      <c r="C615" s="284" t="inlineStr">
        <is>
          <t>NA</t>
        </is>
      </c>
      <c r="D615" s="244" t="inlineStr">
        <is>
          <t>NA</t>
        </is>
      </c>
      <c r="E615" s="326" t="inlineStr">
        <is>
          <t>P1 24.28</t>
        </is>
      </c>
      <c r="F615" s="327" t="inlineStr">
        <is>
          <t xml:space="preserve">Jambe prêteuse : type d'identification des valeurs mobilières </t>
        </is>
      </c>
      <c r="G615" s="327" t="inlineStr">
        <is>
          <t xml:space="preserve">Lending leg: type of identification of marketable securities </t>
        </is>
      </c>
      <c r="H615" s="1493">
        <f>"RPAD( "&amp;SUBSTITUTE(SUBSTITUTE(E615," ","_"),".","_")&amp;","&amp;W615&amp;",' '); -- "&amp;E615</f>
        <v/>
      </c>
      <c r="I615" s="245" t="inlineStr">
        <is>
          <t>Permet de connaître le type d'identifiant du titre renseigné dans la référence du titre sous-jacent – besoin asset encumbrance</t>
        </is>
      </c>
      <c r="J615" s="245" t="inlineStr">
        <is>
          <t xml:space="preserve">Identifies the type of identifier of the financial security specified in the reference of the underlying security – asset encumbrance need </t>
        </is>
      </c>
      <c r="K615" s="284" t="inlineStr">
        <is>
          <t>NA</t>
        </is>
      </c>
      <c r="L615" s="284" t="inlineStr">
        <is>
          <t>NA</t>
        </is>
      </c>
      <c r="M615" s="1421" t="inlineStr">
        <is>
          <t>cdTypIdValBienJamPret</t>
        </is>
      </c>
      <c r="N615" s="284" t="inlineStr">
        <is>
          <t>NA</t>
        </is>
      </c>
      <c r="O615" s="284" t="inlineStr">
        <is>
          <t>NA</t>
        </is>
      </c>
      <c r="P615" s="284" t="inlineStr">
        <is>
          <t>NA</t>
        </is>
      </c>
      <c r="Q615" s="284" t="inlineStr">
        <is>
          <t>NA</t>
        </is>
      </c>
      <c r="R615" s="247" t="inlineStr">
        <is>
          <t>Laisser à vide</t>
        </is>
      </c>
      <c r="S615" s="247" t="inlineStr">
        <is>
          <t>Leave empty</t>
        </is>
      </c>
      <c r="T615" s="326" t="inlineStr">
        <is>
          <t>ALPHA</t>
        </is>
      </c>
      <c r="U615" s="248" t="inlineStr">
        <is>
          <t>NA</t>
        </is>
      </c>
      <c r="V615" s="248" t="inlineStr">
        <is>
          <t>NA</t>
        </is>
      </c>
      <c r="W615" s="284" t="n">
        <v>1</v>
      </c>
      <c r="X615" s="244" t="inlineStr">
        <is>
          <t>NA</t>
        </is>
      </c>
      <c r="Y615" s="248" t="n">
        <v>41</v>
      </c>
      <c r="Z615" s="248" t="n">
        <v>42</v>
      </c>
      <c r="AA615" s="248" t="inlineStr">
        <is>
          <t>NA</t>
        </is>
      </c>
      <c r="AB615" s="284" t="inlineStr">
        <is>
          <t>NA</t>
        </is>
      </c>
      <c r="AC615" s="244" t="inlineStr">
        <is>
          <t>NA</t>
        </is>
      </c>
      <c r="AD615" s="284" t="inlineStr">
        <is>
          <t>N</t>
        </is>
      </c>
      <c r="AE615" s="284" t="inlineStr">
        <is>
          <t>NA</t>
        </is>
      </c>
      <c r="AF615" s="284" t="inlineStr">
        <is>
          <t>NA</t>
        </is>
      </c>
      <c r="AG615" s="285" t="inlineStr">
        <is>
          <t>NA</t>
        </is>
      </c>
      <c r="AH615" s="89" t="n"/>
      <c r="AI615" s="330" t="n"/>
      <c r="AJ615" s="331" t="n"/>
      <c r="AK615" s="284" t="n"/>
      <c r="AL615" s="285" t="n"/>
      <c r="AM615" s="331" t="n"/>
      <c r="AN615" s="331" t="n"/>
      <c r="AO615" s="284" t="n"/>
      <c r="AP615" s="285" t="n"/>
      <c r="AQ615" s="331" t="n"/>
      <c r="AR615" s="331" t="n"/>
      <c r="AS615" s="284" t="n"/>
      <c r="AT615" s="285" t="n"/>
      <c r="AU615" s="331" t="n"/>
      <c r="AV615" s="331" t="n"/>
      <c r="AW615" s="284" t="n"/>
      <c r="AX615" s="285" t="n"/>
      <c r="AY615" s="331" t="n"/>
      <c r="AZ615" s="331" t="n"/>
      <c r="BA615" s="284" t="n"/>
      <c r="BB615" s="285" t="n"/>
      <c r="BC615" s="330" t="n"/>
      <c r="BD615" s="331" t="n"/>
      <c r="BE615" s="284" t="n"/>
      <c r="BF615" s="285" t="n"/>
      <c r="BG615" s="89" t="n"/>
      <c r="BH6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15">
        <f>_xlfn.LET(r,ROW(),oc,INDEX($A:$A,r),cv,TRIM(INDEX($Y:$Y,r)&amp;""),IF(oc&lt;&gt;"P1","",IF(cv="45","V45 - novo, nao alimentado pelo spool atual","V44 - alimentado pelo spool atual")))</f>
        <v/>
      </c>
    </row>
    <row r="616" ht="54" customFormat="1" customHeight="1" s="57">
      <c r="A616" s="325" t="inlineStr">
        <is>
          <t>P1</t>
        </is>
      </c>
      <c r="B616" s="326" t="n">
        <v>381</v>
      </c>
      <c r="C616" s="284" t="inlineStr">
        <is>
          <t>NA</t>
        </is>
      </c>
      <c r="D616" s="244" t="inlineStr">
        <is>
          <t>NA</t>
        </is>
      </c>
      <c r="E616" s="326" t="inlineStr">
        <is>
          <t>P1 24.29</t>
        </is>
      </c>
      <c r="F616" s="327" t="inlineStr">
        <is>
          <t>Jambe prêteuse : indicateur mobilisation de l'actif</t>
        </is>
      </c>
      <c r="G616" s="327" t="inlineStr">
        <is>
          <t>Lending leg: asset's mobilisation indicator</t>
        </is>
      </c>
      <c r="H616" s="1493">
        <f>"RPAD( "&amp;SUBSTITUTE(SUBSTITUTE(E616," ","_"),".","_")&amp;","&amp;W616&amp;",' '); -- "&amp;E616</f>
        <v/>
      </c>
      <c r="I616" s="245" t="inlineStr">
        <is>
          <t>Indicateur mobilisation de l'actif – besoin Asset Encumbrance</t>
        </is>
      </c>
      <c r="J616" s="245" t="inlineStr">
        <is>
          <t>Asset's mobilisation indicator - Asset Encumbrance need</t>
        </is>
      </c>
      <c r="K616" s="284" t="inlineStr">
        <is>
          <t>NA</t>
        </is>
      </c>
      <c r="L616" s="284" t="inlineStr">
        <is>
          <t>NA</t>
        </is>
      </c>
      <c r="M616" s="1421" t="inlineStr">
        <is>
          <t>indMobilActifJamPret</t>
        </is>
      </c>
      <c r="N616" s="284" t="inlineStr">
        <is>
          <t>NA</t>
        </is>
      </c>
      <c r="O616" s="284" t="inlineStr">
        <is>
          <t>NA</t>
        </is>
      </c>
      <c r="P616" s="284" t="inlineStr">
        <is>
          <t>LC.0237</t>
        </is>
      </c>
      <c r="Q616" s="284" t="inlineStr">
        <is>
          <t>TA KVIMA</t>
        </is>
      </c>
      <c r="R616" s="247" t="inlineStr">
        <is>
          <t>Laisser à vide</t>
        </is>
      </c>
      <c r="S616" s="247" t="inlineStr">
        <is>
          <t>Leave empty</t>
        </is>
      </c>
      <c r="T616" s="326" t="inlineStr">
        <is>
          <t>ALPHA</t>
        </is>
      </c>
      <c r="U616" s="248" t="inlineStr">
        <is>
          <t>NA</t>
        </is>
      </c>
      <c r="V616" s="248" t="inlineStr">
        <is>
          <t>NA</t>
        </is>
      </c>
      <c r="W616" s="284" t="n">
        <v>1</v>
      </c>
      <c r="X616" s="244" t="inlineStr">
        <is>
          <t>NA</t>
        </is>
      </c>
      <c r="Y616" s="248" t="n">
        <v>41</v>
      </c>
      <c r="Z616" s="248" t="n">
        <v>42</v>
      </c>
      <c r="AA616" s="248" t="inlineStr">
        <is>
          <t>NA</t>
        </is>
      </c>
      <c r="AB616" s="284" t="inlineStr">
        <is>
          <t>NA</t>
        </is>
      </c>
      <c r="AC616" s="244" t="inlineStr">
        <is>
          <t>NA</t>
        </is>
      </c>
      <c r="AD616" s="284" t="inlineStr">
        <is>
          <t>N</t>
        </is>
      </c>
      <c r="AE616" s="284" t="inlineStr">
        <is>
          <t>NA</t>
        </is>
      </c>
      <c r="AF616" s="284" t="inlineStr">
        <is>
          <t>NA</t>
        </is>
      </c>
      <c r="AG616" s="285" t="inlineStr">
        <is>
          <t>NA</t>
        </is>
      </c>
      <c r="AH616" s="89" t="n"/>
      <c r="AI616" s="330" t="n"/>
      <c r="AJ616" s="331" t="n"/>
      <c r="AK616" s="284" t="n"/>
      <c r="AL616" s="285" t="n"/>
      <c r="AM616" s="331" t="n"/>
      <c r="AN616" s="331" t="n"/>
      <c r="AO616" s="284" t="n"/>
      <c r="AP616" s="285" t="n"/>
      <c r="AQ616" s="331" t="n"/>
      <c r="AR616" s="331" t="n"/>
      <c r="AS616" s="284" t="n"/>
      <c r="AT616" s="285" t="n"/>
      <c r="AU616" s="331" t="n"/>
      <c r="AV616" s="331" t="n"/>
      <c r="AW616" s="284" t="n"/>
      <c r="AX616" s="285" t="n"/>
      <c r="AY616" s="331" t="n"/>
      <c r="AZ616" s="331" t="n"/>
      <c r="BA616" s="284" t="n"/>
      <c r="BB616" s="285" t="n"/>
      <c r="BC616" s="330" t="n"/>
      <c r="BD616" s="331" t="n"/>
      <c r="BE616" s="284" t="n"/>
      <c r="BF616" s="285" t="n"/>
      <c r="BG616" s="89" t="n"/>
      <c r="BH6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16">
        <f>_xlfn.LET(r,ROW(),oc,INDEX($A:$A,r),cv,TRIM(INDEX($Y:$Y,r)&amp;""),IF(oc&lt;&gt;"P1","",IF(cv="45","V45 - novo, nao alimentado pelo spool atual","V44 - alimentado pelo spool atual")))</f>
        <v/>
      </c>
    </row>
    <row r="617" ht="54" customFormat="1" customHeight="1" s="57">
      <c r="A617" s="325" t="inlineStr">
        <is>
          <t>P1</t>
        </is>
      </c>
      <c r="B617" s="326" t="n">
        <v>382</v>
      </c>
      <c r="C617" s="284" t="inlineStr">
        <is>
          <t>NA</t>
        </is>
      </c>
      <c r="D617" s="244" t="inlineStr">
        <is>
          <t>NA</t>
        </is>
      </c>
      <c r="E617" s="326" t="inlineStr">
        <is>
          <t>P1 24.30</t>
        </is>
      </c>
      <c r="F617" s="327" t="inlineStr">
        <is>
          <t>Jambe prêteuse : indicateur collatéral reçu</t>
        </is>
      </c>
      <c r="G617" s="327" t="inlineStr">
        <is>
          <t>Lending leg: received collateral indicator</t>
        </is>
      </c>
      <c r="H617" s="1493">
        <f>"RPAD( "&amp;SUBSTITUTE(SUBSTITUTE(E617," ","_"),".","_")&amp;","&amp;W617&amp;",' '); -- "&amp;E617</f>
        <v/>
      </c>
      <c r="I617" s="245" t="inlineStr">
        <is>
          <t>Indique si l'actif constitue un collatéral obtenu d'une autre contrepartie – besoin Asset Encumbrance</t>
        </is>
      </c>
      <c r="J617" s="245" t="inlineStr">
        <is>
          <t>Indicates whether the asset constitutes collateral obtained from another counterparty – Asset Encumbrance need</t>
        </is>
      </c>
      <c r="K617" s="284" t="inlineStr">
        <is>
          <t>NA</t>
        </is>
      </c>
      <c r="L617" s="284" t="inlineStr">
        <is>
          <t>NA</t>
        </is>
      </c>
      <c r="M617" s="1421" t="inlineStr">
        <is>
          <t>indCollaRecuJamPret</t>
        </is>
      </c>
      <c r="N617" s="284" t="inlineStr">
        <is>
          <t>NA</t>
        </is>
      </c>
      <c r="O617" s="284" t="inlineStr">
        <is>
          <t>NA</t>
        </is>
      </c>
      <c r="P617" s="284" t="inlineStr">
        <is>
          <t>NA</t>
        </is>
      </c>
      <c r="Q617" s="284" t="inlineStr">
        <is>
          <t>NA</t>
        </is>
      </c>
      <c r="R617" s="247" t="inlineStr">
        <is>
          <t>Laisser à vide</t>
        </is>
      </c>
      <c r="S617" s="247" t="inlineStr">
        <is>
          <t>Leave empty</t>
        </is>
      </c>
      <c r="T617" s="326" t="inlineStr">
        <is>
          <t>ALPHA</t>
        </is>
      </c>
      <c r="U617" s="248" t="inlineStr">
        <is>
          <t>NA</t>
        </is>
      </c>
      <c r="V617" s="248" t="inlineStr">
        <is>
          <t>NA</t>
        </is>
      </c>
      <c r="W617" s="284" t="n">
        <v>1</v>
      </c>
      <c r="X617" s="244" t="inlineStr">
        <is>
          <t>NA</t>
        </is>
      </c>
      <c r="Y617" s="248" t="n">
        <v>41</v>
      </c>
      <c r="Z617" s="248" t="n">
        <v>42</v>
      </c>
      <c r="AA617" s="248" t="inlineStr">
        <is>
          <t>NA</t>
        </is>
      </c>
      <c r="AB617" s="284" t="inlineStr">
        <is>
          <t>NA</t>
        </is>
      </c>
      <c r="AC617" s="244" t="inlineStr">
        <is>
          <t>NA</t>
        </is>
      </c>
      <c r="AD617" s="284" t="inlineStr">
        <is>
          <t>N</t>
        </is>
      </c>
      <c r="AE617" s="284" t="inlineStr">
        <is>
          <t>NA</t>
        </is>
      </c>
      <c r="AF617" s="284" t="inlineStr">
        <is>
          <t>NA</t>
        </is>
      </c>
      <c r="AG617" s="285" t="inlineStr">
        <is>
          <t>NA</t>
        </is>
      </c>
      <c r="AH617" s="89" t="n"/>
      <c r="AI617" s="330" t="n"/>
      <c r="AJ617" s="331" t="n"/>
      <c r="AK617" s="284" t="n"/>
      <c r="AL617" s="285" t="n"/>
      <c r="AM617" s="331" t="n"/>
      <c r="AN617" s="331" t="n"/>
      <c r="AO617" s="284" t="n"/>
      <c r="AP617" s="285" t="n"/>
      <c r="AQ617" s="331" t="n"/>
      <c r="AR617" s="331" t="n"/>
      <c r="AS617" s="284" t="n"/>
      <c r="AT617" s="285" t="n"/>
      <c r="AU617" s="331" t="n"/>
      <c r="AV617" s="331" t="n"/>
      <c r="AW617" s="284" t="n"/>
      <c r="AX617" s="285" t="n"/>
      <c r="AY617" s="331" t="n"/>
      <c r="AZ617" s="331" t="n"/>
      <c r="BA617" s="284" t="n"/>
      <c r="BB617" s="285" t="n"/>
      <c r="BC617" s="330" t="n"/>
      <c r="BD617" s="331" t="n"/>
      <c r="BE617" s="284" t="n"/>
      <c r="BF617" s="285" t="n"/>
      <c r="BG617" s="89" t="n"/>
      <c r="BH6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17">
        <f>_xlfn.LET(r,ROW(),oc,INDEX($A:$A,r),cv,TRIM(INDEX($Y:$Y,r)&amp;""),IF(oc&lt;&gt;"P1","",IF(cv="45","V45 - novo, nao alimentado pelo spool atual","V44 - alimentado pelo spool atual")))</f>
        <v/>
      </c>
    </row>
    <row r="618" ht="54" customFormat="1" customHeight="1" s="57">
      <c r="A618" s="325" t="inlineStr">
        <is>
          <t>P1</t>
        </is>
      </c>
      <c r="B618" s="326" t="n">
        <v>383</v>
      </c>
      <c r="C618" s="284" t="inlineStr">
        <is>
          <t>NA</t>
        </is>
      </c>
      <c r="D618" s="244" t="inlineStr">
        <is>
          <t>NA</t>
        </is>
      </c>
      <c r="E618" s="326" t="inlineStr">
        <is>
          <t>P1 24.97</t>
        </is>
      </c>
      <c r="F618" s="327" t="inlineStr">
        <is>
          <t xml:space="preserve">Jambe prêteuse : zone réservée </t>
        </is>
      </c>
      <c r="G618" s="327" t="inlineStr">
        <is>
          <t xml:space="preserve">Lending leg: reserved field </t>
        </is>
      </c>
      <c r="H618" s="1493">
        <f>"RPAD( "&amp;SUBSTITUTE(SUBSTITUTE(E618," ","_"),".","_")&amp;","&amp;W618&amp;",' '); -- "&amp;E618</f>
        <v/>
      </c>
      <c r="I618" s="245" t="inlineStr">
        <is>
          <t xml:space="preserve">Zone réservée </t>
        </is>
      </c>
      <c r="J618" s="245" t="inlineStr">
        <is>
          <t xml:space="preserve">Reserved field </t>
        </is>
      </c>
      <c r="K618" s="284" t="inlineStr">
        <is>
          <t>NA</t>
        </is>
      </c>
      <c r="L618" s="284" t="inlineStr">
        <is>
          <t>NA</t>
        </is>
      </c>
      <c r="M618" s="1421" t="inlineStr">
        <is>
          <t>ZoneResJamPret</t>
        </is>
      </c>
      <c r="N618" s="284" t="inlineStr">
        <is>
          <t>NA</t>
        </is>
      </c>
      <c r="O618" s="284" t="inlineStr">
        <is>
          <t>NA</t>
        </is>
      </c>
      <c r="P618" s="284" t="inlineStr">
        <is>
          <t>NA</t>
        </is>
      </c>
      <c r="Q618" s="284" t="inlineStr">
        <is>
          <t>NA</t>
        </is>
      </c>
      <c r="R618" s="247" t="inlineStr">
        <is>
          <t>Laisser à vide</t>
        </is>
      </c>
      <c r="S618" s="247" t="inlineStr">
        <is>
          <t>Leave empty</t>
        </is>
      </c>
      <c r="T618" s="326" t="inlineStr">
        <is>
          <t>ALPHA</t>
        </is>
      </c>
      <c r="U618" s="248" t="inlineStr">
        <is>
          <t>NA</t>
        </is>
      </c>
      <c r="V618" s="248" t="inlineStr">
        <is>
          <t>NA</t>
        </is>
      </c>
      <c r="W618" s="284" t="n">
        <v>30</v>
      </c>
      <c r="X618" s="244" t="inlineStr">
        <is>
          <t>NA</t>
        </is>
      </c>
      <c r="Y618" s="248" t="n">
        <v>41</v>
      </c>
      <c r="Z618" s="248" t="n">
        <v>42</v>
      </c>
      <c r="AA618" s="248" t="inlineStr">
        <is>
          <t>NA</t>
        </is>
      </c>
      <c r="AB618" s="284" t="inlineStr">
        <is>
          <t>NA</t>
        </is>
      </c>
      <c r="AC618" s="244" t="inlineStr">
        <is>
          <t>NA</t>
        </is>
      </c>
      <c r="AD618" s="284" t="inlineStr">
        <is>
          <t>N</t>
        </is>
      </c>
      <c r="AE618" s="284" t="inlineStr">
        <is>
          <t>NA</t>
        </is>
      </c>
      <c r="AF618" s="284" t="inlineStr">
        <is>
          <t>NA</t>
        </is>
      </c>
      <c r="AG618" s="285" t="inlineStr">
        <is>
          <t>NA</t>
        </is>
      </c>
      <c r="AH618" s="89" t="n"/>
      <c r="AI618" s="330" t="n"/>
      <c r="AJ618" s="331" t="n"/>
      <c r="AK618" s="284" t="n"/>
      <c r="AL618" s="285" t="n"/>
      <c r="AM618" s="331" t="n"/>
      <c r="AN618" s="331" t="n"/>
      <c r="AO618" s="284" t="n"/>
      <c r="AP618" s="285" t="n"/>
      <c r="AQ618" s="331" t="n"/>
      <c r="AR618" s="331" t="n"/>
      <c r="AS618" s="284" t="n"/>
      <c r="AT618" s="285" t="n"/>
      <c r="AU618" s="331" t="n"/>
      <c r="AV618" s="331" t="n"/>
      <c r="AW618" s="284" t="n"/>
      <c r="AX618" s="285" t="n"/>
      <c r="AY618" s="331" t="n"/>
      <c r="AZ618" s="331" t="n"/>
      <c r="BA618" s="284" t="n"/>
      <c r="BB618" s="285" t="n"/>
      <c r="BC618" s="330" t="n"/>
      <c r="BD618" s="331" t="n"/>
      <c r="BE618" s="284" t="n"/>
      <c r="BF618" s="285" t="n"/>
      <c r="BG618" s="89" t="n"/>
      <c r="BH6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18">
        <f>_xlfn.LET(r,ROW(),oc,INDEX($A:$A,r),cv,TRIM(INDEX($Y:$Y,r)&amp;""),IF(oc&lt;&gt;"P1","",IF(cv="45","V45 - novo, nao alimentado pelo spool atual","V44 - alimentado pelo spool atual")))</f>
        <v/>
      </c>
    </row>
    <row r="619" ht="54" customFormat="1" customHeight="1" s="57">
      <c r="A619" s="325" t="inlineStr">
        <is>
          <t>P1</t>
        </is>
      </c>
      <c r="B619" s="326" t="n">
        <v>384</v>
      </c>
      <c r="C619" s="284" t="inlineStr">
        <is>
          <t>NA</t>
        </is>
      </c>
      <c r="D619" s="244" t="inlineStr">
        <is>
          <t>NA</t>
        </is>
      </c>
      <c r="E619" s="326" t="inlineStr">
        <is>
          <t>P1 24.31</t>
        </is>
      </c>
      <c r="F619" s="327" t="inlineStr">
        <is>
          <t xml:space="preserve">Jambe emprunteuse : Indicateur actif coté </t>
        </is>
      </c>
      <c r="G619" s="327" t="inlineStr">
        <is>
          <t xml:space="preserve">Borrowing leg: Quoted asset indicator </t>
        </is>
      </c>
      <c r="H619" s="1493">
        <f>"RPAD( "&amp;SUBSTITUTE(SUBSTITUTE(E619," ","_"),".","_")&amp;","&amp;W619&amp;",' '); -- "&amp;E619</f>
        <v/>
      </c>
      <c r="I619" s="245" t="inlineStr">
        <is>
          <t>Permet de savoir si le titre est côté
Pour les cessions temporaires de titres, il s'agit du titre de la jambe emprunteuse</t>
        </is>
      </c>
      <c r="J619" s="245" t="inlineStr">
        <is>
          <t>Identifies whether the financial security is listed
For repos, it is the security of the Borrowing leg</t>
        </is>
      </c>
      <c r="K619" s="284" t="inlineStr">
        <is>
          <t>NA</t>
        </is>
      </c>
      <c r="L619" s="284" t="inlineStr">
        <is>
          <t>NA</t>
        </is>
      </c>
      <c r="M619" s="1421" t="inlineStr">
        <is>
          <t>indACtifCoteJamEmpr</t>
        </is>
      </c>
      <c r="N619" s="284" t="inlineStr">
        <is>
          <t>NA</t>
        </is>
      </c>
      <c r="O619" s="284" t="inlineStr">
        <is>
          <t>NA</t>
        </is>
      </c>
      <c r="P619" s="284" t="inlineStr">
        <is>
          <t>NA</t>
        </is>
      </c>
      <c r="Q619" s="284" t="inlineStr">
        <is>
          <t>NA</t>
        </is>
      </c>
      <c r="R619" s="247" t="inlineStr">
        <is>
          <t>Laisser à vide</t>
        </is>
      </c>
      <c r="S619" s="247" t="inlineStr">
        <is>
          <t>Leave empty</t>
        </is>
      </c>
      <c r="T619" s="326" t="inlineStr">
        <is>
          <t>ALPHA</t>
        </is>
      </c>
      <c r="U619" s="248" t="inlineStr">
        <is>
          <t>NA</t>
        </is>
      </c>
      <c r="V619" s="248" t="inlineStr">
        <is>
          <t>NA</t>
        </is>
      </c>
      <c r="W619" s="284" t="n">
        <v>1</v>
      </c>
      <c r="X619" s="244" t="inlineStr">
        <is>
          <t>NA</t>
        </is>
      </c>
      <c r="Y619" s="248" t="n">
        <v>41</v>
      </c>
      <c r="Z619" s="248" t="n">
        <v>42</v>
      </c>
      <c r="AA619" s="248" t="inlineStr">
        <is>
          <t>NA</t>
        </is>
      </c>
      <c r="AB619" s="284" t="inlineStr">
        <is>
          <t>NA</t>
        </is>
      </c>
      <c r="AC619" s="244" t="inlineStr">
        <is>
          <t>NA</t>
        </is>
      </c>
      <c r="AD619" s="284" t="inlineStr">
        <is>
          <t>N</t>
        </is>
      </c>
      <c r="AE619" s="284" t="inlineStr">
        <is>
          <t>NA</t>
        </is>
      </c>
      <c r="AF619" s="284" t="inlineStr">
        <is>
          <t>NA</t>
        </is>
      </c>
      <c r="AG619" s="285" t="inlineStr">
        <is>
          <t>NA</t>
        </is>
      </c>
      <c r="AH619" s="89" t="n"/>
      <c r="AI619" s="330" t="n"/>
      <c r="AJ619" s="331" t="n"/>
      <c r="AK619" s="284" t="n"/>
      <c r="AL619" s="285" t="n"/>
      <c r="AM619" s="331" t="n"/>
      <c r="AN619" s="331" t="n"/>
      <c r="AO619" s="284" t="n"/>
      <c r="AP619" s="285" t="n"/>
      <c r="AQ619" s="331" t="n"/>
      <c r="AR619" s="331" t="n"/>
      <c r="AS619" s="284" t="n"/>
      <c r="AT619" s="285" t="n"/>
      <c r="AU619" s="331" t="n"/>
      <c r="AV619" s="331" t="n"/>
      <c r="AW619" s="284" t="n"/>
      <c r="AX619" s="285" t="n"/>
      <c r="AY619" s="331" t="n"/>
      <c r="AZ619" s="331" t="n"/>
      <c r="BA619" s="284" t="n"/>
      <c r="BB619" s="285" t="n"/>
      <c r="BC619" s="330" t="n"/>
      <c r="BD619" s="331" t="n"/>
      <c r="BE619" s="284" t="n"/>
      <c r="BF619" s="285" t="n"/>
      <c r="BG619" s="89" t="n"/>
      <c r="BH6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19">
        <f>_xlfn.LET(r,ROW(),oc,INDEX($A:$A,r),cv,TRIM(INDEX($Y:$Y,r)&amp;""),IF(oc&lt;&gt;"P1","",IF(cv="45","V45 - novo, nao alimentado pelo spool atual","V44 - alimentado pelo spool atual")))</f>
        <v/>
      </c>
    </row>
    <row r="620" ht="54" customFormat="1" customHeight="1" s="57">
      <c r="A620" s="325" t="inlineStr">
        <is>
          <t>P1</t>
        </is>
      </c>
      <c r="B620" s="326" t="n">
        <v>385</v>
      </c>
      <c r="C620" s="284" t="inlineStr">
        <is>
          <t>17 - Caractéristiques Titres</t>
        </is>
      </c>
      <c r="D620" s="244" t="inlineStr">
        <is>
          <t>17 - Securities characteristics</t>
        </is>
      </c>
      <c r="E620" s="326" t="inlineStr">
        <is>
          <t>P1 24.32</t>
        </is>
      </c>
      <c r="F620" s="327" t="inlineStr">
        <is>
          <t xml:space="preserve">Jambe emprunteuse : quantité de titres </t>
        </is>
      </c>
      <c r="G620" s="327" t="inlineStr">
        <is>
          <t xml:space="preserve">Borrowing leg: quantity of financial securities </t>
        </is>
      </c>
      <c r="H620" s="1493">
        <f>"RPAD( "&amp;SUBSTITUTE(SUBSTITUTE(E620," ","_"),".","_")&amp;","&amp;W620&amp;",' '); -- "&amp;E620</f>
        <v/>
      </c>
      <c r="I620" s="245" t="inlineStr">
        <is>
          <t>Pour les cessions temporaires de titres, indiquer la quantité de titres de la jambe emprunteuse</t>
        </is>
      </c>
      <c r="J620" s="245" t="inlineStr">
        <is>
          <t>For repos, indicates the quantity of securities of the Borrowing leg</t>
        </is>
      </c>
      <c r="K620" s="284" t="inlineStr">
        <is>
          <t>NA</t>
        </is>
      </c>
      <c r="L620" s="284" t="inlineStr">
        <is>
          <t>NA</t>
        </is>
      </c>
      <c r="M620" s="1421" t="inlineStr">
        <is>
          <t>qtyTitreJamEmpr</t>
        </is>
      </c>
      <c r="N620" s="284" t="inlineStr">
        <is>
          <t>NA</t>
        </is>
      </c>
      <c r="O620" s="284" t="inlineStr">
        <is>
          <t>NA</t>
        </is>
      </c>
      <c r="P620" s="284" t="inlineStr">
        <is>
          <t>NA</t>
        </is>
      </c>
      <c r="Q620" s="284" t="inlineStr">
        <is>
          <t>NA</t>
        </is>
      </c>
      <c r="R620" s="247" t="inlineStr">
        <is>
          <t>Laisser à vide</t>
        </is>
      </c>
      <c r="S620" s="247" t="inlineStr">
        <is>
          <t>Leave empty</t>
        </is>
      </c>
      <c r="T620" s="326" t="inlineStr">
        <is>
          <t>NUM</t>
        </is>
      </c>
      <c r="U620" s="248" t="inlineStr">
        <is>
          <t>NA</t>
        </is>
      </c>
      <c r="V620" s="248" t="inlineStr">
        <is>
          <t>NA</t>
        </is>
      </c>
      <c r="W620" s="284" t="n">
        <v>10</v>
      </c>
      <c r="X620" s="244" t="inlineStr">
        <is>
          <t>NA</t>
        </is>
      </c>
      <c r="Y620" s="248" t="n">
        <v>41</v>
      </c>
      <c r="Z620" s="248" t="n">
        <v>42</v>
      </c>
      <c r="AA620" s="248" t="inlineStr">
        <is>
          <t>NA</t>
        </is>
      </c>
      <c r="AB620" s="284" t="inlineStr">
        <is>
          <t>NA</t>
        </is>
      </c>
      <c r="AC620" s="244" t="inlineStr">
        <is>
          <t>NA</t>
        </is>
      </c>
      <c r="AD620" s="284" t="inlineStr">
        <is>
          <t>N</t>
        </is>
      </c>
      <c r="AE620" s="284" t="inlineStr">
        <is>
          <t>NA</t>
        </is>
      </c>
      <c r="AF620" s="284" t="inlineStr">
        <is>
          <t>NA</t>
        </is>
      </c>
      <c r="AG620" s="285" t="inlineStr">
        <is>
          <t>NA</t>
        </is>
      </c>
      <c r="AH620" s="89" t="n"/>
      <c r="AI620" s="330" t="n"/>
      <c r="AJ620" s="331" t="n"/>
      <c r="AK620" s="284" t="n"/>
      <c r="AL620" s="285" t="n"/>
      <c r="AM620" s="331" t="n"/>
      <c r="AN620" s="331" t="n"/>
      <c r="AO620" s="284" t="n"/>
      <c r="AP620" s="285" t="n"/>
      <c r="AQ620" s="331" t="n"/>
      <c r="AR620" s="331" t="n"/>
      <c r="AS620" s="284" t="n"/>
      <c r="AT620" s="285" t="n"/>
      <c r="AU620" s="331" t="n"/>
      <c r="AV620" s="331" t="n"/>
      <c r="AW620" s="284" t="n"/>
      <c r="AX620" s="285" t="n"/>
      <c r="AY620" s="331" t="n"/>
      <c r="AZ620" s="331" t="n"/>
      <c r="BA620" s="284" t="n"/>
      <c r="BB620" s="285" t="n"/>
      <c r="BC620" s="330" t="n"/>
      <c r="BD620" s="331" t="n"/>
      <c r="BE620" s="284" t="n"/>
      <c r="BF620" s="285" t="n"/>
      <c r="BG620" s="89" t="n"/>
      <c r="BH6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20">
        <f>_xlfn.LET(r,ROW(),oc,INDEX($A:$A,r),cv,TRIM(INDEX($Y:$Y,r)&amp;""),IF(oc&lt;&gt;"P1","",IF(cv="45","V45 - novo, nao alimentado pelo spool atual","V44 - alimentado pelo spool atual")))</f>
        <v/>
      </c>
    </row>
    <row r="621" ht="54" customFormat="1" customHeight="1" s="57">
      <c r="A621" s="325" t="inlineStr">
        <is>
          <t>P1</t>
        </is>
      </c>
      <c r="B621" s="326" t="n">
        <v>386</v>
      </c>
      <c r="C621" s="284" t="inlineStr">
        <is>
          <t>17 - Caractéristiques Titres</t>
        </is>
      </c>
      <c r="D621" s="244" t="inlineStr">
        <is>
          <t>17 - Securities characteristics</t>
        </is>
      </c>
      <c r="E621" s="326" t="inlineStr">
        <is>
          <t>P1 24.33</t>
        </is>
      </c>
      <c r="F621" s="327" t="inlineStr">
        <is>
          <t xml:space="preserve">Jambe emprunteuse : libellé du titre </t>
        </is>
      </c>
      <c r="G621" s="327" t="inlineStr">
        <is>
          <t xml:space="preserve">Borrowing leg: name of the financial security </t>
        </is>
      </c>
      <c r="H621" s="1493">
        <f>"RPAD( "&amp;SUBSTITUTE(SUBSTITUTE(E621," ","_"),".","_")&amp;","&amp;W621&amp;",' '); -- "&amp;E621</f>
        <v/>
      </c>
      <c r="I621" s="245" t="inlineStr">
        <is>
          <t>Pour les cessions temporaires de titres, indiquer le libellé du titre de la jambe emprunteuse</t>
        </is>
      </c>
      <c r="J621" s="245" t="inlineStr">
        <is>
          <t>For repos, indicates the name of the security of the Borrowing leg</t>
        </is>
      </c>
      <c r="K621" s="284" t="inlineStr">
        <is>
          <t>NA</t>
        </is>
      </c>
      <c r="L621" s="284" t="inlineStr">
        <is>
          <t>NA</t>
        </is>
      </c>
      <c r="M621" s="1421" t="inlineStr">
        <is>
          <t>descTitreJamEmpr</t>
        </is>
      </c>
      <c r="N621" s="284" t="inlineStr">
        <is>
          <t>NA</t>
        </is>
      </c>
      <c r="O621" s="284" t="inlineStr">
        <is>
          <t>NA</t>
        </is>
      </c>
      <c r="P621" s="284" t="inlineStr">
        <is>
          <t>NA</t>
        </is>
      </c>
      <c r="Q621" s="284" t="inlineStr">
        <is>
          <t>NA</t>
        </is>
      </c>
      <c r="R621" s="247" t="inlineStr">
        <is>
          <t>Laisser à vide</t>
        </is>
      </c>
      <c r="S621" s="247" t="inlineStr">
        <is>
          <t>Leave empty</t>
        </is>
      </c>
      <c r="T621" s="326" t="inlineStr">
        <is>
          <t>ALPHA</t>
        </is>
      </c>
      <c r="U621" s="248" t="inlineStr">
        <is>
          <t>NA</t>
        </is>
      </c>
      <c r="V621" s="248" t="inlineStr">
        <is>
          <t>NA</t>
        </is>
      </c>
      <c r="W621" s="284" t="n">
        <v>50</v>
      </c>
      <c r="X621" s="244" t="inlineStr">
        <is>
          <t>NA</t>
        </is>
      </c>
      <c r="Y621" s="248" t="n">
        <v>41</v>
      </c>
      <c r="Z621" s="248" t="n">
        <v>42</v>
      </c>
      <c r="AA621" s="248" t="inlineStr">
        <is>
          <t>NA</t>
        </is>
      </c>
      <c r="AB621" s="284" t="inlineStr">
        <is>
          <t>NA</t>
        </is>
      </c>
      <c r="AC621" s="244" t="inlineStr">
        <is>
          <t>NA</t>
        </is>
      </c>
      <c r="AD621" s="284" t="inlineStr">
        <is>
          <t>N</t>
        </is>
      </c>
      <c r="AE621" s="284" t="inlineStr">
        <is>
          <t>NA</t>
        </is>
      </c>
      <c r="AF621" s="284" t="inlineStr">
        <is>
          <t>NA</t>
        </is>
      </c>
      <c r="AG621" s="285" t="inlineStr">
        <is>
          <t>NA</t>
        </is>
      </c>
      <c r="AH621" s="89" t="n"/>
      <c r="AI621" s="330" t="n"/>
      <c r="AJ621" s="331" t="n"/>
      <c r="AK621" s="284" t="n"/>
      <c r="AL621" s="285" t="n"/>
      <c r="AM621" s="331" t="n"/>
      <c r="AN621" s="331" t="n"/>
      <c r="AO621" s="284" t="n"/>
      <c r="AP621" s="285" t="n"/>
      <c r="AQ621" s="331" t="n"/>
      <c r="AR621" s="331" t="n"/>
      <c r="AS621" s="284" t="n"/>
      <c r="AT621" s="285" t="n"/>
      <c r="AU621" s="331" t="n"/>
      <c r="AV621" s="331" t="n"/>
      <c r="AW621" s="284" t="n"/>
      <c r="AX621" s="285" t="n"/>
      <c r="AY621" s="331" t="n"/>
      <c r="AZ621" s="331" t="n"/>
      <c r="BA621" s="284" t="n"/>
      <c r="BB621" s="285" t="n"/>
      <c r="BC621" s="330" t="n"/>
      <c r="BD621" s="331" t="n"/>
      <c r="BE621" s="284" t="n"/>
      <c r="BF621" s="285" t="n"/>
      <c r="BG621" s="89" t="n"/>
      <c r="BH6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21">
        <f>_xlfn.LET(r,ROW(),oc,INDEX($A:$A,r),cv,TRIM(INDEX($Y:$Y,r)&amp;""),IF(oc&lt;&gt;"P1","",IF(cv="45","V45 - novo, nao alimentado pelo spool atual","V44 - alimentado pelo spool atual")))</f>
        <v/>
      </c>
    </row>
    <row r="622" ht="54" customFormat="1" customHeight="1" s="57">
      <c r="A622" s="325" t="inlineStr">
        <is>
          <t>P1</t>
        </is>
      </c>
      <c r="B622" s="326" t="n">
        <v>387</v>
      </c>
      <c r="C622" s="284" t="inlineStr">
        <is>
          <t>NA</t>
        </is>
      </c>
      <c r="D622" s="244" t="inlineStr">
        <is>
          <t>NA</t>
        </is>
      </c>
      <c r="E622" s="326" t="inlineStr">
        <is>
          <t>P1 24.34</t>
        </is>
      </c>
      <c r="F622" s="327" t="inlineStr">
        <is>
          <t xml:space="preserve">Jambe emprunteuse : type d'identification des valeurs mobilières </t>
        </is>
      </c>
      <c r="G622" s="327" t="inlineStr">
        <is>
          <t xml:space="preserve">Borrowing leg: type of identification of marketable securities </t>
        </is>
      </c>
      <c r="H622" s="1493">
        <f>"RPAD( "&amp;SUBSTITUTE(SUBSTITUTE(E622," ","_"),".","_")&amp;","&amp;W622&amp;",' '); -- "&amp;E622</f>
        <v/>
      </c>
      <c r="I622" s="245" t="inlineStr">
        <is>
          <t>Pour les cessions temporaires de titres, indiquer le type d'identification des valeurs mobilières de la jambe emprunteuse – besoin asset encumbrance</t>
        </is>
      </c>
      <c r="J622" s="245" t="inlineStr">
        <is>
          <t>For repos, indicates the type of identification of marketable securities of the Borrowing leg – asset encumbrance need</t>
        </is>
      </c>
      <c r="K622" s="284" t="inlineStr">
        <is>
          <t>NA</t>
        </is>
      </c>
      <c r="L622" s="284" t="inlineStr">
        <is>
          <t>NA</t>
        </is>
      </c>
      <c r="M622" s="1421" t="inlineStr">
        <is>
          <t>cdTypIdValBienJamEmpr</t>
        </is>
      </c>
      <c r="N622" s="284" t="inlineStr">
        <is>
          <t>NA</t>
        </is>
      </c>
      <c r="O622" s="284" t="inlineStr">
        <is>
          <t>NA</t>
        </is>
      </c>
      <c r="P622" s="284" t="inlineStr">
        <is>
          <t>NA</t>
        </is>
      </c>
      <c r="Q622" s="284" t="inlineStr">
        <is>
          <t>NA</t>
        </is>
      </c>
      <c r="R622" s="247" t="inlineStr">
        <is>
          <t>Laisser à vide</t>
        </is>
      </c>
      <c r="S622" s="247" t="inlineStr">
        <is>
          <t>Leave empty</t>
        </is>
      </c>
      <c r="T622" s="326" t="inlineStr">
        <is>
          <t>ALPHA</t>
        </is>
      </c>
      <c r="U622" s="248" t="inlineStr">
        <is>
          <t>NA</t>
        </is>
      </c>
      <c r="V622" s="248" t="inlineStr">
        <is>
          <t>NA</t>
        </is>
      </c>
      <c r="W622" s="284" t="n">
        <v>1</v>
      </c>
      <c r="X622" s="244" t="inlineStr">
        <is>
          <t>NA</t>
        </is>
      </c>
      <c r="Y622" s="248" t="n">
        <v>41</v>
      </c>
      <c r="Z622" s="248" t="n">
        <v>42</v>
      </c>
      <c r="AA622" s="248" t="inlineStr">
        <is>
          <t>NA</t>
        </is>
      </c>
      <c r="AB622" s="284" t="inlineStr">
        <is>
          <t>NA</t>
        </is>
      </c>
      <c r="AC622" s="244" t="inlineStr">
        <is>
          <t>NA</t>
        </is>
      </c>
      <c r="AD622" s="284" t="inlineStr">
        <is>
          <t>N</t>
        </is>
      </c>
      <c r="AE622" s="284" t="inlineStr">
        <is>
          <t>NA</t>
        </is>
      </c>
      <c r="AF622" s="284" t="inlineStr">
        <is>
          <t>NA</t>
        </is>
      </c>
      <c r="AG622" s="285" t="inlineStr">
        <is>
          <t>NA</t>
        </is>
      </c>
      <c r="AH622" s="89" t="n"/>
      <c r="AI622" s="330" t="n"/>
      <c r="AJ622" s="331" t="n"/>
      <c r="AK622" s="284" t="n"/>
      <c r="AL622" s="285" t="n"/>
      <c r="AM622" s="331" t="n"/>
      <c r="AN622" s="331" t="n"/>
      <c r="AO622" s="284" t="n"/>
      <c r="AP622" s="285" t="n"/>
      <c r="AQ622" s="331" t="n"/>
      <c r="AR622" s="331" t="n"/>
      <c r="AS622" s="284" t="n"/>
      <c r="AT622" s="285" t="n"/>
      <c r="AU622" s="331" t="n"/>
      <c r="AV622" s="331" t="n"/>
      <c r="AW622" s="284" t="n"/>
      <c r="AX622" s="285" t="n"/>
      <c r="AY622" s="331" t="n"/>
      <c r="AZ622" s="331" t="n"/>
      <c r="BA622" s="284" t="n"/>
      <c r="BB622" s="285" t="n"/>
      <c r="BC622" s="330" t="n"/>
      <c r="BD622" s="331" t="n"/>
      <c r="BE622" s="284" t="n"/>
      <c r="BF622" s="285" t="n"/>
      <c r="BG622" s="89" t="n"/>
      <c r="BH6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22">
        <f>_xlfn.LET(r,ROW(),oc,INDEX($A:$A,r),cv,TRIM(INDEX($Y:$Y,r)&amp;""),IF(oc&lt;&gt;"P1","",IF(cv="45","V45 - novo, nao alimentado pelo spool atual","V44 - alimentado pelo spool atual")))</f>
        <v/>
      </c>
    </row>
    <row r="623" ht="54" customFormat="1" customHeight="1" s="57">
      <c r="A623" s="325" t="inlineStr">
        <is>
          <t>P1</t>
        </is>
      </c>
      <c r="B623" s="326" t="n">
        <v>388</v>
      </c>
      <c r="C623" s="284" t="inlineStr">
        <is>
          <t>NA</t>
        </is>
      </c>
      <c r="D623" s="244" t="inlineStr">
        <is>
          <t>NA</t>
        </is>
      </c>
      <c r="E623" s="326" t="inlineStr">
        <is>
          <t>P1 24.35</t>
        </is>
      </c>
      <c r="F623" s="327" t="inlineStr">
        <is>
          <t>Jambe emprunteuse : indicateur mobilisation de l'actif</t>
        </is>
      </c>
      <c r="G623" s="327" t="inlineStr">
        <is>
          <t>Borrowing leg: asset's mobilisation indicator</t>
        </is>
      </c>
      <c r="H623" s="1493">
        <f>"RPAD( "&amp;SUBSTITUTE(SUBSTITUTE(E623," ","_"),".","_")&amp;","&amp;W623&amp;",' '); -- "&amp;E623</f>
        <v/>
      </c>
      <c r="I623" s="245" t="inlineStr">
        <is>
          <t>Indicateur mobilisation de l'actif – besoin Asset Encumbrance</t>
        </is>
      </c>
      <c r="J623" s="245" t="inlineStr">
        <is>
          <t>Asset's mobilisation indicator - Asset Encumbrance need</t>
        </is>
      </c>
      <c r="K623" s="284" t="inlineStr">
        <is>
          <t>NA</t>
        </is>
      </c>
      <c r="L623" s="284" t="inlineStr">
        <is>
          <t>NA</t>
        </is>
      </c>
      <c r="M623" s="1421" t="inlineStr">
        <is>
          <t>indMobilActifJamEmpr</t>
        </is>
      </c>
      <c r="N623" s="284" t="inlineStr">
        <is>
          <t>NA</t>
        </is>
      </c>
      <c r="O623" s="284" t="inlineStr">
        <is>
          <t>NA</t>
        </is>
      </c>
      <c r="P623" s="284" t="inlineStr">
        <is>
          <t>LC.0237</t>
        </is>
      </c>
      <c r="Q623" s="284" t="inlineStr">
        <is>
          <t>TA KVIMA</t>
        </is>
      </c>
      <c r="R623" s="247" t="inlineStr">
        <is>
          <t>Laisser à vide</t>
        </is>
      </c>
      <c r="S623" s="247" t="inlineStr">
        <is>
          <t>Leave empty</t>
        </is>
      </c>
      <c r="T623" s="326" t="inlineStr">
        <is>
          <t>ALPHA</t>
        </is>
      </c>
      <c r="U623" s="248" t="inlineStr">
        <is>
          <t>NA</t>
        </is>
      </c>
      <c r="V623" s="248" t="inlineStr">
        <is>
          <t>NA</t>
        </is>
      </c>
      <c r="W623" s="284" t="n">
        <v>1</v>
      </c>
      <c r="X623" s="244" t="inlineStr">
        <is>
          <t>NA</t>
        </is>
      </c>
      <c r="Y623" s="248" t="n">
        <v>41</v>
      </c>
      <c r="Z623" s="248" t="n">
        <v>42</v>
      </c>
      <c r="AA623" s="248" t="inlineStr">
        <is>
          <t>NA</t>
        </is>
      </c>
      <c r="AB623" s="284" t="inlineStr">
        <is>
          <t>NA</t>
        </is>
      </c>
      <c r="AC623" s="244" t="inlineStr">
        <is>
          <t>NA</t>
        </is>
      </c>
      <c r="AD623" s="284" t="inlineStr">
        <is>
          <t>N</t>
        </is>
      </c>
      <c r="AE623" s="284" t="inlineStr">
        <is>
          <t>NA</t>
        </is>
      </c>
      <c r="AF623" s="284" t="inlineStr">
        <is>
          <t>NA</t>
        </is>
      </c>
      <c r="AG623" s="285" t="inlineStr">
        <is>
          <t>NA</t>
        </is>
      </c>
      <c r="AH623" s="89" t="n"/>
      <c r="AI623" s="330" t="n"/>
      <c r="AJ623" s="331" t="n"/>
      <c r="AK623" s="284" t="n"/>
      <c r="AL623" s="285" t="n"/>
      <c r="AM623" s="331" t="n"/>
      <c r="AN623" s="331" t="n"/>
      <c r="AO623" s="284" t="n"/>
      <c r="AP623" s="285" t="n"/>
      <c r="AQ623" s="331" t="n"/>
      <c r="AR623" s="331" t="n"/>
      <c r="AS623" s="284" t="n"/>
      <c r="AT623" s="285" t="n"/>
      <c r="AU623" s="331" t="n"/>
      <c r="AV623" s="331" t="n"/>
      <c r="AW623" s="284" t="n"/>
      <c r="AX623" s="285" t="n"/>
      <c r="AY623" s="331" t="n"/>
      <c r="AZ623" s="331" t="n"/>
      <c r="BA623" s="284" t="n"/>
      <c r="BB623" s="285" t="n"/>
      <c r="BC623" s="330" t="n"/>
      <c r="BD623" s="331" t="n"/>
      <c r="BE623" s="284" t="n"/>
      <c r="BF623" s="285" t="n"/>
      <c r="BG623" s="89" t="n"/>
      <c r="BH6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23">
        <f>_xlfn.LET(r,ROW(),oc,INDEX($A:$A,r),cv,TRIM(INDEX($Y:$Y,r)&amp;""),IF(oc&lt;&gt;"P1","",IF(cv="45","V45 - novo, nao alimentado pelo spool atual","V44 - alimentado pelo spool atual")))</f>
        <v/>
      </c>
    </row>
    <row r="624" ht="54" customFormat="1" customHeight="1" s="57">
      <c r="A624" s="325" t="inlineStr">
        <is>
          <t>P1</t>
        </is>
      </c>
      <c r="B624" s="326" t="n">
        <v>389</v>
      </c>
      <c r="C624" s="284" t="inlineStr">
        <is>
          <t>NA</t>
        </is>
      </c>
      <c r="D624" s="244" t="inlineStr">
        <is>
          <t>NA</t>
        </is>
      </c>
      <c r="E624" s="326" t="inlineStr">
        <is>
          <t>P1 24.36</t>
        </is>
      </c>
      <c r="F624" s="327" t="inlineStr">
        <is>
          <t>Jambe emprunteuse : indicateur collatéral reçu</t>
        </is>
      </c>
      <c r="G624" s="327" t="inlineStr">
        <is>
          <t>Borrowing leg: received collateral indicator</t>
        </is>
      </c>
      <c r="H624" s="1493">
        <f>"RPAD( "&amp;SUBSTITUTE(SUBSTITUTE(E624," ","_"),".","_")&amp;","&amp;W624&amp;",' '); -- "&amp;E624</f>
        <v/>
      </c>
      <c r="I624" s="245" t="inlineStr">
        <is>
          <t>Indique si l'actif constitue un collatéral obtenu d'une autre contrepartie – besoin Asset Encumbrance</t>
        </is>
      </c>
      <c r="J624" s="245" t="inlineStr">
        <is>
          <t>Indicates whether the asset constitutes collateral obtained from another counterparty – Asset Encumbrance need</t>
        </is>
      </c>
      <c r="K624" s="284" t="inlineStr">
        <is>
          <t>NA</t>
        </is>
      </c>
      <c r="L624" s="284" t="inlineStr">
        <is>
          <t>NA</t>
        </is>
      </c>
      <c r="M624" s="1421" t="inlineStr">
        <is>
          <t>indCollaRecuJamEmpr</t>
        </is>
      </c>
      <c r="N624" s="284" t="inlineStr">
        <is>
          <t>NA</t>
        </is>
      </c>
      <c r="O624" s="284" t="inlineStr">
        <is>
          <t>NA</t>
        </is>
      </c>
      <c r="P624" s="284" t="inlineStr">
        <is>
          <t>NA</t>
        </is>
      </c>
      <c r="Q624" s="284" t="inlineStr">
        <is>
          <t>NA</t>
        </is>
      </c>
      <c r="R624" s="247" t="inlineStr">
        <is>
          <t>Laisser à vide</t>
        </is>
      </c>
      <c r="S624" s="247" t="inlineStr">
        <is>
          <t>Leave empty</t>
        </is>
      </c>
      <c r="T624" s="326" t="inlineStr">
        <is>
          <t>ALPHA</t>
        </is>
      </c>
      <c r="U624" s="248" t="inlineStr">
        <is>
          <t>NA</t>
        </is>
      </c>
      <c r="V624" s="248" t="inlineStr">
        <is>
          <t>NA</t>
        </is>
      </c>
      <c r="W624" s="284" t="n">
        <v>1</v>
      </c>
      <c r="X624" s="244" t="inlineStr">
        <is>
          <t>NA</t>
        </is>
      </c>
      <c r="Y624" s="248" t="n">
        <v>41</v>
      </c>
      <c r="Z624" s="248" t="n">
        <v>42</v>
      </c>
      <c r="AA624" s="248" t="inlineStr">
        <is>
          <t>NA</t>
        </is>
      </c>
      <c r="AB624" s="284" t="inlineStr">
        <is>
          <t>NA</t>
        </is>
      </c>
      <c r="AC624" s="244" t="inlineStr">
        <is>
          <t>NA</t>
        </is>
      </c>
      <c r="AD624" s="284" t="inlineStr">
        <is>
          <t>N</t>
        </is>
      </c>
      <c r="AE624" s="284" t="inlineStr">
        <is>
          <t>NA</t>
        </is>
      </c>
      <c r="AF624" s="284" t="inlineStr">
        <is>
          <t>NA</t>
        </is>
      </c>
      <c r="AG624" s="285" t="inlineStr">
        <is>
          <t>NA</t>
        </is>
      </c>
      <c r="AH624" s="89" t="n"/>
      <c r="AI624" s="330" t="n"/>
      <c r="AJ624" s="331" t="n"/>
      <c r="AK624" s="284" t="n"/>
      <c r="AL624" s="285" t="n"/>
      <c r="AM624" s="331" t="n"/>
      <c r="AN624" s="331" t="n"/>
      <c r="AO624" s="284" t="n"/>
      <c r="AP624" s="285" t="n"/>
      <c r="AQ624" s="331" t="n"/>
      <c r="AR624" s="331" t="n"/>
      <c r="AS624" s="284" t="n"/>
      <c r="AT624" s="285" t="n"/>
      <c r="AU624" s="331" t="n"/>
      <c r="AV624" s="331" t="n"/>
      <c r="AW624" s="284" t="n"/>
      <c r="AX624" s="285" t="n"/>
      <c r="AY624" s="331" t="n"/>
      <c r="AZ624" s="331" t="n"/>
      <c r="BA624" s="284" t="n"/>
      <c r="BB624" s="285" t="n"/>
      <c r="BC624" s="330" t="n"/>
      <c r="BD624" s="331" t="n"/>
      <c r="BE624" s="284" t="n"/>
      <c r="BF624" s="285" t="n"/>
      <c r="BG624" s="89" t="n"/>
      <c r="BH6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24">
        <f>_xlfn.LET(r,ROW(),oc,INDEX($A:$A,r),cv,TRIM(INDEX($Y:$Y,r)&amp;""),IF(oc&lt;&gt;"P1","",IF(cv="45","V45 - novo, nao alimentado pelo spool atual","V44 - alimentado pelo spool atual")))</f>
        <v/>
      </c>
    </row>
    <row r="625" ht="54" customFormat="1" customHeight="1" s="57">
      <c r="A625" s="325" t="inlineStr">
        <is>
          <t>P1</t>
        </is>
      </c>
      <c r="B625" s="326" t="n">
        <v>390</v>
      </c>
      <c r="C625" s="284" t="inlineStr">
        <is>
          <t>NA</t>
        </is>
      </c>
      <c r="D625" s="244" t="inlineStr">
        <is>
          <t>NA</t>
        </is>
      </c>
      <c r="E625" s="326" t="inlineStr">
        <is>
          <t>P1 24.98</t>
        </is>
      </c>
      <c r="F625" s="327" t="inlineStr">
        <is>
          <t xml:space="preserve">Jambe emprunteuse : zone réservée </t>
        </is>
      </c>
      <c r="G625" s="327" t="inlineStr">
        <is>
          <t xml:space="preserve">Borrowing leg: reserved field </t>
        </is>
      </c>
      <c r="H625" s="1493">
        <f>"RPAD( "&amp;SUBSTITUTE(SUBSTITUTE(E625," ","_"),".","_")&amp;","&amp;W625&amp;",' '); -- "&amp;E625</f>
        <v/>
      </c>
      <c r="I625" s="245" t="inlineStr">
        <is>
          <t xml:space="preserve">Zone réservée </t>
        </is>
      </c>
      <c r="J625" s="245" t="inlineStr">
        <is>
          <t xml:space="preserve">Reserved field </t>
        </is>
      </c>
      <c r="K625" s="284" t="inlineStr">
        <is>
          <t>NA</t>
        </is>
      </c>
      <c r="L625" s="284" t="inlineStr">
        <is>
          <t>NA</t>
        </is>
      </c>
      <c r="M625" s="1421" t="inlineStr">
        <is>
          <t>ZoneResJamEmpr</t>
        </is>
      </c>
      <c r="N625" s="284" t="inlineStr">
        <is>
          <t>NA</t>
        </is>
      </c>
      <c r="O625" s="284" t="inlineStr">
        <is>
          <t>NA</t>
        </is>
      </c>
      <c r="P625" s="284" t="inlineStr">
        <is>
          <t>NA</t>
        </is>
      </c>
      <c r="Q625" s="284" t="inlineStr">
        <is>
          <t>NA</t>
        </is>
      </c>
      <c r="R625" s="247" t="inlineStr">
        <is>
          <t>Laisser à vide</t>
        </is>
      </c>
      <c r="S625" s="247" t="inlineStr">
        <is>
          <t>Leave empty</t>
        </is>
      </c>
      <c r="T625" s="326" t="inlineStr">
        <is>
          <t>ALPHA</t>
        </is>
      </c>
      <c r="U625" s="248" t="inlineStr">
        <is>
          <t>NA</t>
        </is>
      </c>
      <c r="V625" s="248" t="inlineStr">
        <is>
          <t>NA</t>
        </is>
      </c>
      <c r="W625" s="284" t="n">
        <v>30</v>
      </c>
      <c r="X625" s="244" t="inlineStr">
        <is>
          <t>NA</t>
        </is>
      </c>
      <c r="Y625" s="248" t="inlineStr">
        <is>
          <t>NA</t>
        </is>
      </c>
      <c r="Z625" s="248" t="n">
        <v>42</v>
      </c>
      <c r="AA625" s="248" t="inlineStr">
        <is>
          <t>NA</t>
        </is>
      </c>
      <c r="AB625" s="284" t="inlineStr">
        <is>
          <t>NA</t>
        </is>
      </c>
      <c r="AC625" s="244" t="inlineStr">
        <is>
          <t>NA</t>
        </is>
      </c>
      <c r="AD625" s="284" t="inlineStr">
        <is>
          <t>N</t>
        </is>
      </c>
      <c r="AE625" s="284" t="inlineStr">
        <is>
          <t>NA</t>
        </is>
      </c>
      <c r="AF625" s="284" t="inlineStr">
        <is>
          <t>NA</t>
        </is>
      </c>
      <c r="AG625" s="285" t="inlineStr">
        <is>
          <t>NA</t>
        </is>
      </c>
      <c r="AH625" s="89" t="n"/>
      <c r="AI625" s="330" t="n"/>
      <c r="AJ625" s="331" t="n"/>
      <c r="AK625" s="284" t="n"/>
      <c r="AL625" s="285" t="n"/>
      <c r="AM625" s="331" t="n"/>
      <c r="AN625" s="331" t="n"/>
      <c r="AO625" s="284" t="n"/>
      <c r="AP625" s="285" t="n"/>
      <c r="AQ625" s="331" t="n"/>
      <c r="AR625" s="331" t="n"/>
      <c r="AS625" s="284" t="n"/>
      <c r="AT625" s="285" t="n"/>
      <c r="AU625" s="331" t="n"/>
      <c r="AV625" s="331" t="n"/>
      <c r="AW625" s="284" t="n"/>
      <c r="AX625" s="285" t="n"/>
      <c r="AY625" s="331" t="n"/>
      <c r="AZ625" s="331" t="n"/>
      <c r="BA625" s="284" t="n"/>
      <c r="BB625" s="285" t="n"/>
      <c r="BC625" s="330" t="n"/>
      <c r="BD625" s="331" t="n"/>
      <c r="BE625" s="284" t="n"/>
      <c r="BF625" s="285" t="n"/>
      <c r="BG625" s="89" t="n"/>
      <c r="BH6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25">
        <f>_xlfn.LET(r,ROW(),oc,INDEX($A:$A,r),cv,TRIM(INDEX($Y:$Y,r)&amp;""),IF(oc&lt;&gt;"P1","",IF(cv="45","V45 - novo, nao alimentado pelo spool atual","V44 - alimentado pelo spool atual")))</f>
        <v/>
      </c>
    </row>
    <row r="626" ht="54" customFormat="1" customHeight="1" s="91">
      <c r="A626" s="306" t="inlineStr">
        <is>
          <t>P1</t>
        </is>
      </c>
      <c r="B626" s="307" t="n">
        <v>391</v>
      </c>
      <c r="C626" s="269" t="inlineStr">
        <is>
          <t>17 - Caractéristiques Titres</t>
        </is>
      </c>
      <c r="D626" s="236" t="inlineStr">
        <is>
          <t>17 - Securities characteristics</t>
        </is>
      </c>
      <c r="E626" s="307" t="inlineStr">
        <is>
          <t>P1 24.37</t>
        </is>
      </c>
      <c r="F626" s="375" t="inlineStr">
        <is>
          <t xml:space="preserve">Référence unique du titre couvert par l'opération de dérivé </t>
        </is>
      </c>
      <c r="G626" s="309" t="inlineStr">
        <is>
          <t>Unique reference of the security covered by the derivative transaction</t>
        </is>
      </c>
      <c r="H626" s="1493">
        <f>"RPAD( "&amp;SUBSTITUTE(SUBSTITUTE(E626," ","_"),".","_")&amp;","&amp;W626&amp;",' '); -- "&amp;E626</f>
        <v/>
      </c>
      <c r="I626" s="241" t="inlineStr">
        <is>
          <t>Référence unique du titre couvert par l'opération de dérivé</t>
        </is>
      </c>
      <c r="J626" s="233" t="inlineStr">
        <is>
          <t>Unique reference of the security covered by the derivative transaction</t>
        </is>
      </c>
      <c r="K626" s="269" t="inlineStr">
        <is>
          <t>ND</t>
        </is>
      </c>
      <c r="L626" s="310" t="inlineStr">
        <is>
          <t>ND</t>
        </is>
      </c>
      <c r="M626" s="1420" t="inlineStr">
        <is>
          <t>refTitrecouvOpeDeriv</t>
        </is>
      </c>
      <c r="N626" s="257" t="inlineStr">
        <is>
          <t>Facultatif</t>
        </is>
      </c>
      <c r="O626" s="284" t="inlineStr">
        <is>
          <t>Optional</t>
        </is>
      </c>
      <c r="P626" s="269" t="inlineStr">
        <is>
          <t>NA</t>
        </is>
      </c>
      <c r="Q626" s="269" t="inlineStr">
        <is>
          <t>NA</t>
        </is>
      </c>
      <c r="R626" s="241" t="inlineStr">
        <is>
          <t>Indiquer le code ISIN du titre couvert par le dérivé</t>
        </is>
      </c>
      <c r="S626" s="233" t="inlineStr">
        <is>
          <t>Specify the ISIN code of the security hedged by the derivative</t>
        </is>
      </c>
      <c r="T626" s="313" t="inlineStr">
        <is>
          <t>ALPHA</t>
        </is>
      </c>
      <c r="U626" s="237" t="inlineStr">
        <is>
          <t>NA</t>
        </is>
      </c>
      <c r="V626" s="238" t="inlineStr">
        <is>
          <t>NA</t>
        </is>
      </c>
      <c r="W626" s="269" t="n">
        <v>12</v>
      </c>
      <c r="X626" s="231" t="inlineStr">
        <is>
          <t>NA</t>
        </is>
      </c>
      <c r="Y626" s="237" t="n">
        <v>41</v>
      </c>
      <c r="Z626" s="237" t="inlineStr">
        <is>
          <t>NA</t>
        </is>
      </c>
      <c r="AA626" s="283" t="inlineStr">
        <is>
          <t>NA</t>
        </is>
      </c>
      <c r="AB626" s="269" t="inlineStr">
        <is>
          <t>CORFOU, PVA, SRB VALUATION</t>
        </is>
      </c>
      <c r="AC626" s="231" t="inlineStr">
        <is>
          <t>ND</t>
        </is>
      </c>
      <c r="AD626" s="257" t="inlineStr">
        <is>
          <t>N</t>
        </is>
      </c>
      <c r="AE626" s="257" t="inlineStr">
        <is>
          <t>VAR (hors Repos)
INT</t>
        </is>
      </c>
      <c r="AF626" s="257" t="inlineStr">
        <is>
          <t>NA</t>
        </is>
      </c>
      <c r="AG626" s="258" t="inlineStr">
        <is>
          <t>NA</t>
        </is>
      </c>
      <c r="AH626" s="89" t="n"/>
      <c r="AI626" s="614" t="n"/>
      <c r="AJ626" s="317" t="n"/>
      <c r="AK626" s="257" t="n"/>
      <c r="AL626" s="258" t="n"/>
      <c r="AM626" s="318" t="n"/>
      <c r="AN626" s="317" t="n"/>
      <c r="AO626" s="257" t="n"/>
      <c r="AP626" s="258" t="n"/>
      <c r="AQ626" s="502" t="inlineStr">
        <is>
          <t>Si la donnée est renseignée, alors la donnée doit commencer par 2 caractères alphabétiques et avoir une longueur de 12 caractères avec un caractère numérique pour le dernier caractère ET la donnée doit être validée comme un code ISIN à l'aide de l'algorithme de Luhn</t>
        </is>
      </c>
      <c r="AR626" s="317" t="inlineStr">
        <is>
          <t>If filled, then the data must start with 2 alphabetic characters and have a length of 12 characters with a numeric character for the last character AND the data must be validated as an ISIN code using the Luhn algorithm</t>
        </is>
      </c>
      <c r="AS626" s="659" t="n">
        <v>6</v>
      </c>
      <c r="AT626" s="258" t="inlineStr">
        <is>
          <t>TVG0006</t>
        </is>
      </c>
      <c r="AU626" s="1247" t="inlineStr">
        <is>
          <t>Si la donnée est renseignée, alors la donnée doit exister dans Référence du titre sous-jacent [P1 12.3] déclarée par l'entité dans le même lot PACT.</t>
        </is>
      </c>
      <c r="AV626" s="317" t="inlineStr">
        <is>
          <t>If the data is filled, then the data must exist in the Underlying asset's reference [P1 12.3] reported by the entity in the same PACT batch.</t>
        </is>
      </c>
      <c r="AW626" s="257" t="n">
        <v>6</v>
      </c>
      <c r="AX626" s="554" t="inlineStr">
        <is>
          <t>TC0218</t>
        </is>
      </c>
      <c r="AY626" s="318" t="n"/>
      <c r="AZ626" s="317" t="n"/>
      <c r="BA626" s="257" t="n"/>
      <c r="BB626" s="258" t="n"/>
      <c r="BC626" s="316" t="n"/>
      <c r="BD626" s="317" t="n"/>
      <c r="BE626" s="257" t="n"/>
      <c r="BF626" s="258" t="n"/>
      <c r="BG626" s="89" t="n"/>
      <c r="BH6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26">
        <f>_xlfn.LET(r,ROW(),oc,INDEX($A:$A,r),cv,TRIM(INDEX($Y:$Y,r)&amp;""),IF(oc&lt;&gt;"P1","",IF(cv="45","V45 - novo, nao alimentado pelo spool atual","V44 - alimentado pelo spool atual")))</f>
        <v/>
      </c>
    </row>
    <row r="627" ht="54" customFormat="1" customHeight="1" s="57">
      <c r="A627" s="325" t="inlineStr">
        <is>
          <t>P1</t>
        </is>
      </c>
      <c r="B627" s="326" t="n">
        <v>392</v>
      </c>
      <c r="C627" s="284" t="inlineStr">
        <is>
          <t>NA</t>
        </is>
      </c>
      <c r="D627" s="244" t="inlineStr">
        <is>
          <t>NA</t>
        </is>
      </c>
      <c r="E627" s="326" t="inlineStr">
        <is>
          <t>P1 24.99</t>
        </is>
      </c>
      <c r="F627" s="327" t="inlineStr">
        <is>
          <t xml:space="preserve">Filler </t>
        </is>
      </c>
      <c r="G627" s="327" t="inlineStr">
        <is>
          <t xml:space="preserve">Filler </t>
        </is>
      </c>
      <c r="H627" s="1493">
        <f>"RPAD( "&amp;SUBSTITUTE(SUBSTITUTE(E627," ","_"),".","_")&amp;","&amp;W627&amp;",' '); -- "&amp;E627</f>
        <v/>
      </c>
      <c r="I627" s="247" t="inlineStr">
        <is>
          <t>Zone libre</t>
        </is>
      </c>
      <c r="J627" s="245" t="inlineStr">
        <is>
          <t xml:space="preserve">Free zone </t>
        </is>
      </c>
      <c r="K627" s="284" t="inlineStr">
        <is>
          <t>NA</t>
        </is>
      </c>
      <c r="L627" s="284" t="inlineStr">
        <is>
          <t>NA</t>
        </is>
      </c>
      <c r="M627" s="1421" t="inlineStr">
        <is>
          <t>ZoneLibre24</t>
        </is>
      </c>
      <c r="N627" s="284" t="inlineStr">
        <is>
          <t>NA</t>
        </is>
      </c>
      <c r="O627" s="284" t="inlineStr">
        <is>
          <t>NA</t>
        </is>
      </c>
      <c r="P627" s="284" t="inlineStr">
        <is>
          <t>NA</t>
        </is>
      </c>
      <c r="Q627" s="284" t="inlineStr">
        <is>
          <t>NA</t>
        </is>
      </c>
      <c r="R627" s="247" t="inlineStr">
        <is>
          <t>Laisser à vide</t>
        </is>
      </c>
      <c r="S627" s="247" t="inlineStr">
        <is>
          <t>Leave empty</t>
        </is>
      </c>
      <c r="T627" s="326" t="inlineStr">
        <is>
          <t>ALPHA</t>
        </is>
      </c>
      <c r="U627" s="248" t="inlineStr">
        <is>
          <t>NA</t>
        </is>
      </c>
      <c r="V627" s="248" t="inlineStr">
        <is>
          <t>NA</t>
        </is>
      </c>
      <c r="W627" s="284" t="n">
        <v>10</v>
      </c>
      <c r="X627" s="244" t="inlineStr">
        <is>
          <t>NA</t>
        </is>
      </c>
      <c r="Y627" s="248" t="inlineStr">
        <is>
          <t>NA</t>
        </is>
      </c>
      <c r="Z627" s="248" t="inlineStr">
        <is>
          <t>NA</t>
        </is>
      </c>
      <c r="AA627" s="248" t="inlineStr">
        <is>
          <t>NA</t>
        </is>
      </c>
      <c r="AB627" s="284" t="inlineStr">
        <is>
          <t>NA</t>
        </is>
      </c>
      <c r="AC627" s="244" t="inlineStr">
        <is>
          <t>NA</t>
        </is>
      </c>
      <c r="AD627" s="284" t="inlineStr">
        <is>
          <t>N</t>
        </is>
      </c>
      <c r="AE627" s="284" t="inlineStr">
        <is>
          <t>NA</t>
        </is>
      </c>
      <c r="AF627" s="284" t="inlineStr">
        <is>
          <t>NA</t>
        </is>
      </c>
      <c r="AG627" s="285" t="inlineStr">
        <is>
          <t>NA</t>
        </is>
      </c>
      <c r="AH627" s="89" t="n"/>
      <c r="AI627" s="330" t="n"/>
      <c r="AJ627" s="331" t="n"/>
      <c r="AK627" s="284" t="n"/>
      <c r="AL627" s="285" t="n"/>
      <c r="AM627" s="331" t="n"/>
      <c r="AN627" s="331" t="n"/>
      <c r="AO627" s="284" t="n"/>
      <c r="AP627" s="285" t="n"/>
      <c r="AQ627" s="331" t="n"/>
      <c r="AR627" s="331" t="n"/>
      <c r="AS627" s="284" t="n"/>
      <c r="AT627" s="285" t="n"/>
      <c r="AU627" s="331" t="n"/>
      <c r="AV627" s="331" t="n"/>
      <c r="AW627" s="284" t="n"/>
      <c r="AX627" s="285" t="n"/>
      <c r="AY627" s="331" t="n"/>
      <c r="AZ627" s="331" t="n"/>
      <c r="BA627" s="284" t="n"/>
      <c r="BB627" s="285" t="n"/>
      <c r="BC627" s="330" t="n"/>
      <c r="BD627" s="331" t="n"/>
      <c r="BE627" s="284" t="n"/>
      <c r="BF627" s="285" t="n"/>
      <c r="BG627" s="89" t="n"/>
      <c r="BH6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27">
        <f>_xlfn.LET(r,ROW(),oc,INDEX($A:$A,r),cv,TRIM(INDEX($Y:$Y,r)&amp;""),IF(oc&lt;&gt;"P1","",IF(cv="45","V45 - novo, nao alimentado pelo spool atual","V44 - alimentado pelo spool atual")))</f>
        <v/>
      </c>
    </row>
    <row r="628" ht="54" customFormat="1" customHeight="1" s="91">
      <c r="A628" s="306" t="inlineStr">
        <is>
          <t>P1</t>
        </is>
      </c>
      <c r="B628" s="307" t="n">
        <v>393</v>
      </c>
      <c r="C628" s="269" t="inlineStr">
        <is>
          <t>03 - Caractéristiques Générales</t>
        </is>
      </c>
      <c r="D628" s="310" t="inlineStr">
        <is>
          <t>03 - General characteristics</t>
        </is>
      </c>
      <c r="E628" s="307" t="inlineStr">
        <is>
          <t>P1 25.1</t>
        </is>
      </c>
      <c r="F628" s="308" t="inlineStr">
        <is>
          <t>Montant Add-on CAD</t>
        </is>
      </c>
      <c r="G628" s="309" t="inlineStr">
        <is>
          <t>Amount of CAD add-on.</t>
        </is>
      </c>
      <c r="H628" s="1493">
        <f>"RPAD( "&amp;SUBSTITUTE(SUBSTITUTE(E628," ","_"),".","_")&amp;","&amp;W628&amp;",' '); -- "&amp;E628</f>
        <v/>
      </c>
      <c r="I628" s="308" t="inlineStr">
        <is>
          <t>Montant Add-on CAD</t>
        </is>
      </c>
      <c r="J628" s="309" t="inlineStr">
        <is>
          <t>Amount of CAD add-on</t>
        </is>
      </c>
      <c r="K628" s="370" t="inlineStr">
        <is>
          <t>ND</t>
        </is>
      </c>
      <c r="L628" s="371" t="inlineStr">
        <is>
          <t>ND</t>
        </is>
      </c>
      <c r="M628" s="1420" t="inlineStr">
        <is>
          <t>mtAddonCAD</t>
        </is>
      </c>
      <c r="N628" s="449" t="inlineStr">
        <is>
          <t>Facultatif</t>
        </is>
      </c>
      <c r="O628" s="310" t="inlineStr">
        <is>
          <t>Optional</t>
        </is>
      </c>
      <c r="P628" s="269" t="inlineStr">
        <is>
          <t>NA</t>
        </is>
      </c>
      <c r="Q628" s="269" t="inlineStr">
        <is>
          <t>NA</t>
        </is>
      </c>
      <c r="R628" s="241" t="inlineStr">
        <is>
          <t>NA</t>
        </is>
      </c>
      <c r="S628" s="233" t="inlineStr">
        <is>
          <t>NA</t>
        </is>
      </c>
      <c r="T628" s="313" t="inlineStr">
        <is>
          <t>NUM</t>
        </is>
      </c>
      <c r="U628" s="237" t="inlineStr">
        <is>
          <t>19 dont signe et 2 décimales</t>
        </is>
      </c>
      <c r="V628" s="238" t="inlineStr">
        <is>
          <t>19 including sign and 2 decimals</t>
        </is>
      </c>
      <c r="W628" s="257" t="n">
        <v>19</v>
      </c>
      <c r="X628" s="945" t="inlineStr">
        <is>
          <t>NA</t>
        </is>
      </c>
      <c r="Y628" s="237" t="n">
        <v>41</v>
      </c>
      <c r="Z628" s="237" t="inlineStr">
        <is>
          <t>NA</t>
        </is>
      </c>
      <c r="AA628" s="270" t="inlineStr">
        <is>
          <t>NA</t>
        </is>
      </c>
      <c r="AB628" s="1287" t="inlineStr">
        <is>
          <t>USAGE ZP</t>
        </is>
      </c>
      <c r="AC628" s="231" t="inlineStr">
        <is>
          <t>ND</t>
        </is>
      </c>
      <c r="AD628" s="257" t="inlineStr">
        <is>
          <t>N</t>
        </is>
      </c>
      <c r="AE628" s="971" t="inlineStr">
        <is>
          <t>VAR*
INT</t>
        </is>
      </c>
      <c r="AF628" s="257" t="inlineStr">
        <is>
          <t>NA</t>
        </is>
      </c>
      <c r="AG628" s="258" t="inlineStr">
        <is>
          <t>NA</t>
        </is>
      </c>
      <c r="AH628" s="89" t="n"/>
      <c r="AI628" s="316" t="n"/>
      <c r="AJ628" s="317" t="n"/>
      <c r="AK628" s="257" t="n"/>
      <c r="AL628" s="258" t="n"/>
      <c r="AM628" s="318" t="n"/>
      <c r="AN628" s="317" t="n"/>
      <c r="AO628" s="257" t="n"/>
      <c r="AP628" s="258" t="n"/>
      <c r="AQ628" s="318" t="n"/>
      <c r="AR628" s="317" t="n"/>
      <c r="AS628" s="257" t="n"/>
      <c r="AT628" s="258" t="n"/>
      <c r="AU628" s="318" t="n"/>
      <c r="AV628" s="317" t="n"/>
      <c r="AW628" s="257" t="n"/>
      <c r="AX628" s="258" t="n"/>
      <c r="AY628" s="318" t="n"/>
      <c r="AZ628" s="317" t="n"/>
      <c r="BA628" s="257" t="n"/>
      <c r="BB628" s="258" t="n"/>
      <c r="BC628" s="316" t="n"/>
      <c r="BD628" s="317" t="n"/>
      <c r="BE628" s="257" t="n"/>
      <c r="BF628" s="258" t="n"/>
      <c r="BG628" s="89" t="n"/>
      <c r="BH6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28">
        <f>_xlfn.LET(r,ROW(),oc,INDEX($A:$A,r),cv,TRIM(INDEX($Y:$Y,r)&amp;""),IF(oc&lt;&gt;"P1","",IF(cv="45","V45 - novo, nao alimentado pelo spool atual","V44 - alimentado pelo spool atual")))</f>
        <v/>
      </c>
    </row>
    <row r="629" ht="54" customFormat="1" customHeight="1" s="91">
      <c r="A629" s="306" t="inlineStr">
        <is>
          <t>P1</t>
        </is>
      </c>
      <c r="B629" s="307" t="n">
        <v>394</v>
      </c>
      <c r="C629" s="269" t="inlineStr">
        <is>
          <t>03 - Caractéristiques Générales</t>
        </is>
      </c>
      <c r="D629" s="310" t="inlineStr">
        <is>
          <t>03 - General characteristics</t>
        </is>
      </c>
      <c r="E629" s="307" t="inlineStr">
        <is>
          <t>P1 25.2</t>
        </is>
      </c>
      <c r="F629" s="308" t="inlineStr">
        <is>
          <t>Devise du montant de add-on CAD</t>
        </is>
      </c>
      <c r="G629" s="309" t="inlineStr">
        <is>
          <t>Currency of the CAD add-on amount.</t>
        </is>
      </c>
      <c r="H629" s="1493">
        <f>"RPAD( "&amp;SUBSTITUTE(SUBSTITUTE(E629," ","_"),".","_")&amp;","&amp;W629&amp;",' '); -- "&amp;E629</f>
        <v/>
      </c>
      <c r="I629" s="241" t="inlineStr">
        <is>
          <t xml:space="preserve">Devise du montant Add-on CAD </t>
        </is>
      </c>
      <c r="J629" s="309" t="inlineStr">
        <is>
          <t xml:space="preserve">Currency of the CAD add-on amount </t>
        </is>
      </c>
      <c r="K629" s="370" t="inlineStr">
        <is>
          <t>ND</t>
        </is>
      </c>
      <c r="L629" s="371" t="inlineStr">
        <is>
          <t>ND</t>
        </is>
      </c>
      <c r="M629" s="1420" t="inlineStr">
        <is>
          <t>cdDevMtAddonCAD</t>
        </is>
      </c>
      <c r="N629" s="257" t="inlineStr">
        <is>
          <t>Obligatoire sous conditions</t>
        </is>
      </c>
      <c r="O629" s="310" t="inlineStr">
        <is>
          <t>Mandatory under conditions</t>
        </is>
      </c>
      <c r="P629" s="269" t="inlineStr">
        <is>
          <t>LC.0005</t>
        </is>
      </c>
      <c r="Q629" s="269" t="inlineStr">
        <is>
          <t>TA NM253</t>
        </is>
      </c>
      <c r="R629" s="241" t="inlineStr">
        <is>
          <t>NA</t>
        </is>
      </c>
      <c r="S629" s="233" t="inlineStr">
        <is>
          <t>NA</t>
        </is>
      </c>
      <c r="T629" s="313" t="inlineStr">
        <is>
          <t>ALPHA</t>
        </is>
      </c>
      <c r="U629" s="237" t="inlineStr">
        <is>
          <t>NA</t>
        </is>
      </c>
      <c r="V629" s="238" t="inlineStr">
        <is>
          <t>NA</t>
        </is>
      </c>
      <c r="W629" s="257" t="n">
        <v>3</v>
      </c>
      <c r="X629" s="945" t="inlineStr">
        <is>
          <t>NA</t>
        </is>
      </c>
      <c r="Y629" s="237" t="n">
        <v>41</v>
      </c>
      <c r="Z629" s="237" t="inlineStr">
        <is>
          <t>NA</t>
        </is>
      </c>
      <c r="AA629" s="270" t="inlineStr">
        <is>
          <t>NA</t>
        </is>
      </c>
      <c r="AB629" s="1287" t="inlineStr">
        <is>
          <t>USAGE ZP</t>
        </is>
      </c>
      <c r="AC629" s="231" t="inlineStr">
        <is>
          <t>ND</t>
        </is>
      </c>
      <c r="AD629" s="257" t="inlineStr">
        <is>
          <t>N</t>
        </is>
      </c>
      <c r="AE629" s="971" t="inlineStr">
        <is>
          <t>VAR*
INT</t>
        </is>
      </c>
      <c r="AF629" s="257" t="inlineStr">
        <is>
          <t>NA</t>
        </is>
      </c>
      <c r="AG629" s="258" t="inlineStr">
        <is>
          <t>NA</t>
        </is>
      </c>
      <c r="AH629" s="89" t="n"/>
      <c r="AI629" s="446" t="inlineStr">
        <is>
          <t>La donnée est obligatoire, si le montant Add-on CAD [P1 25.1] est renseigné</t>
        </is>
      </c>
      <c r="AJ629" s="317" t="inlineStr">
        <is>
          <t>The data is mandatory, if the amount Add-on CAD [P1 25.1] is filled</t>
        </is>
      </c>
      <c r="AK629" s="257" t="n">
        <v>7</v>
      </c>
      <c r="AL629" s="447" t="inlineStr">
        <is>
          <t>TPG0002</t>
        </is>
      </c>
      <c r="AM629" s="318" t="inlineStr">
        <is>
          <t>Si elle est renseignée, la valeur doit être connue du Langage Commun associé</t>
        </is>
      </c>
      <c r="AN629" s="317" t="inlineStr">
        <is>
          <t>If specified, the value must be known to the associated Common Language</t>
        </is>
      </c>
      <c r="AO629" s="257" t="n">
        <v>7</v>
      </c>
      <c r="AP629" s="212" t="inlineStr">
        <is>
          <t>TIG0001</t>
        </is>
      </c>
      <c r="AQ629" s="318" t="n"/>
      <c r="AR629" s="317" t="n"/>
      <c r="AS629" s="257" t="n"/>
      <c r="AT629" s="258" t="n"/>
      <c r="AU629" s="318" t="n"/>
      <c r="AV629" s="317" t="n"/>
      <c r="AW629" s="257" t="n"/>
      <c r="AX629" s="258" t="n"/>
      <c r="AY629" s="318" t="n"/>
      <c r="AZ629" s="317" t="n"/>
      <c r="BA629" s="257" t="n"/>
      <c r="BB629" s="258" t="n"/>
      <c r="BC629" s="316" t="n"/>
      <c r="BD629" s="317" t="n"/>
      <c r="BE629" s="257" t="n"/>
      <c r="BF629" s="258" t="n"/>
      <c r="BG629" s="89" t="n"/>
      <c r="BH6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29">
        <f>_xlfn.LET(r,ROW(),oc,INDEX($A:$A,r),cv,TRIM(INDEX($Y:$Y,r)&amp;""),IF(oc&lt;&gt;"P1","",IF(cv="45","V45 - novo, nao alimentado pelo spool atual","V44 - alimentado pelo spool atual")))</f>
        <v/>
      </c>
    </row>
    <row r="630" ht="54" customFormat="1" customHeight="1" s="91">
      <c r="A630" s="306" t="inlineStr">
        <is>
          <t>P1</t>
        </is>
      </c>
      <c r="B630" s="307" t="n">
        <v>395</v>
      </c>
      <c r="C630" s="269" t="inlineStr">
        <is>
          <t>31 - Paramètres bâlois</t>
        </is>
      </c>
      <c r="D630" s="310" t="inlineStr">
        <is>
          <t>31 - Basel settings</t>
        </is>
      </c>
      <c r="E630" s="307" t="inlineStr">
        <is>
          <t>P1 25.3</t>
        </is>
      </c>
      <c r="F630" s="660" t="inlineStr">
        <is>
          <t>Montant de l'Exposition en cas de Défaut (EAD) IMM (internal model method)</t>
        </is>
      </c>
      <c r="G630" s="309" t="inlineStr">
        <is>
          <t>IMM (internal model method) Exposure At Default (EAD) amount</t>
        </is>
      </c>
      <c r="H630" s="1493">
        <f>"RPAD( "&amp;SUBSTITUTE(SUBSTITUTE(E630," ","_"),".","_")&amp;","&amp;W630&amp;",' '); -- "&amp;E630</f>
        <v/>
      </c>
      <c r="I630" s="308" t="inlineStr">
        <is>
          <t>Montant de l'Exposition en cas de Défaut (EAD) IMM (internal model method)</t>
        </is>
      </c>
      <c r="J630" s="309" t="inlineStr">
        <is>
          <t>IMM (internal model method) Exposure At Default (EAD) amount</t>
        </is>
      </c>
      <c r="K630" s="370" t="inlineStr">
        <is>
          <t>ND</t>
        </is>
      </c>
      <c r="L630" s="371" t="inlineStr">
        <is>
          <t>ND</t>
        </is>
      </c>
      <c r="M630" s="1420" t="inlineStr">
        <is>
          <t>mtEADIMM</t>
        </is>
      </c>
      <c r="N630" s="257" t="inlineStr">
        <is>
          <t>Obligatoire sous conditions</t>
        </is>
      </c>
      <c r="O630" s="310" t="inlineStr">
        <is>
          <t>Mandatory under conditions</t>
        </is>
      </c>
      <c r="P630" s="269" t="inlineStr">
        <is>
          <t>NA</t>
        </is>
      </c>
      <c r="Q630" s="269" t="inlineStr">
        <is>
          <t>NA</t>
        </is>
      </c>
      <c r="R630" s="241" t="inlineStr">
        <is>
          <t>NA</t>
        </is>
      </c>
      <c r="S630" s="233" t="inlineStr">
        <is>
          <t>NA</t>
        </is>
      </c>
      <c r="T630" s="313" t="inlineStr">
        <is>
          <t>NUM</t>
        </is>
      </c>
      <c r="U630" s="237" t="inlineStr">
        <is>
          <t>19 dont signe et 2 décimales</t>
        </is>
      </c>
      <c r="V630" s="238" t="inlineStr">
        <is>
          <t>19 including sign and 2 decimals</t>
        </is>
      </c>
      <c r="W630" s="257" t="n">
        <v>19</v>
      </c>
      <c r="X630" s="945" t="inlineStr">
        <is>
          <t>NA</t>
        </is>
      </c>
      <c r="Y630" s="237" t="n">
        <v>41</v>
      </c>
      <c r="Z630" s="237" t="inlineStr">
        <is>
          <t>NA</t>
        </is>
      </c>
      <c r="AA630" s="270" t="inlineStr">
        <is>
          <t>NA</t>
        </is>
      </c>
      <c r="AB630" s="1286" t="inlineStr">
        <is>
          <t>CALCULS PRUDENTIELS</t>
        </is>
      </c>
      <c r="AC630" s="231" t="inlineStr">
        <is>
          <t>ND</t>
        </is>
      </c>
      <c r="AD630" s="257" t="inlineStr">
        <is>
          <t>N</t>
        </is>
      </c>
      <c r="AE630" s="971" t="inlineStr">
        <is>
          <t>VAR*
INT</t>
        </is>
      </c>
      <c r="AF630" s="257" t="inlineStr">
        <is>
          <t>NA</t>
        </is>
      </c>
      <c r="AG630" s="258" t="inlineStr">
        <is>
          <t>NA</t>
        </is>
      </c>
      <c r="AH630" s="89" t="n"/>
      <c r="AI630" s="487" t="inlineStr">
        <is>
          <t>La donnée est obligatoire, si la méthode réglementaire de calcul de l'exposition [P1 3.89] = 'IMM'</t>
        </is>
      </c>
      <c r="AJ630" s="317" t="inlineStr">
        <is>
          <t>The data is mandatory, if the Regulatory method for calculating the exposure [P1 3.89] = 'IMM'</t>
        </is>
      </c>
      <c r="AK630" s="257" t="n">
        <v>6</v>
      </c>
      <c r="AL630" s="455" t="inlineStr">
        <is>
          <t>TPS0890</t>
        </is>
      </c>
      <c r="AM630" s="318" t="n"/>
      <c r="AN630" s="317" t="n"/>
      <c r="AO630" s="257" t="n"/>
      <c r="AP630" s="258" t="n"/>
      <c r="AQ630" s="318" t="n"/>
      <c r="AR630" s="317" t="n"/>
      <c r="AS630" s="257" t="n"/>
      <c r="AT630" s="258" t="n"/>
      <c r="AU630" s="318" t="n"/>
      <c r="AV630" s="317" t="n"/>
      <c r="AW630" s="257" t="n"/>
      <c r="AX630" s="258" t="n"/>
      <c r="AY630" s="318" t="n"/>
      <c r="AZ630" s="317" t="n"/>
      <c r="BA630" s="257" t="n"/>
      <c r="BB630" s="258" t="n"/>
      <c r="BC630" s="316" t="n"/>
      <c r="BD630" s="317" t="n"/>
      <c r="BE630" s="257" t="n"/>
      <c r="BF630" s="258" t="n"/>
      <c r="BG630" s="89" t="n"/>
      <c r="BH6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30">
        <f>_xlfn.LET(r,ROW(),oc,INDEX($A:$A,r),cv,TRIM(INDEX($Y:$Y,r)&amp;""),IF(oc&lt;&gt;"P1","",IF(cv="45","V45 - novo, nao alimentado pelo spool atual","V44 - alimentado pelo spool atual")))</f>
        <v/>
      </c>
    </row>
    <row r="631" ht="54" customFormat="1" customHeight="1" s="91">
      <c r="A631" s="306" t="inlineStr">
        <is>
          <t>P1</t>
        </is>
      </c>
      <c r="B631" s="307" t="n">
        <v>396</v>
      </c>
      <c r="C631" s="269" t="inlineStr">
        <is>
          <t>31 - Paramètres bâlois</t>
        </is>
      </c>
      <c r="D631" s="310" t="inlineStr">
        <is>
          <t>31 - Basel settings</t>
        </is>
      </c>
      <c r="E631" s="307" t="inlineStr">
        <is>
          <t>P1 25.4</t>
        </is>
      </c>
      <c r="F631" s="308" t="inlineStr">
        <is>
          <t>Devise du montant de l'Exposition en cas de Défaut (EAD) IMM (internal model method)</t>
        </is>
      </c>
      <c r="G631" s="309" t="inlineStr">
        <is>
          <t>Currency of IMM (internal model method) Exposure At Default (EAD) amount</t>
        </is>
      </c>
      <c r="H631" s="1493">
        <f>"RPAD( "&amp;SUBSTITUTE(SUBSTITUTE(E631," ","_"),".","_")&amp;","&amp;W631&amp;",' '); -- "&amp;E631</f>
        <v/>
      </c>
      <c r="I631" s="308" t="inlineStr">
        <is>
          <t>Devise du montant de l'Exposition en cas de Défaut (EAD) IMM (internal model method)</t>
        </is>
      </c>
      <c r="J631" s="309" t="inlineStr">
        <is>
          <t>Currency of IMM (internal model method) Exposure At Default (EAD) amount</t>
        </is>
      </c>
      <c r="K631" s="370" t="inlineStr">
        <is>
          <t>ND</t>
        </is>
      </c>
      <c r="L631" s="371" t="inlineStr">
        <is>
          <t>ND</t>
        </is>
      </c>
      <c r="M631" s="1420" t="inlineStr">
        <is>
          <t>cdDEVMtEADIMM</t>
        </is>
      </c>
      <c r="N631" s="257" t="inlineStr">
        <is>
          <t>Obligatoire sous conditions</t>
        </is>
      </c>
      <c r="O631" s="310" t="inlineStr">
        <is>
          <t>Mandatory under conditions</t>
        </is>
      </c>
      <c r="P631" s="269" t="inlineStr">
        <is>
          <t>LC.0005</t>
        </is>
      </c>
      <c r="Q631" s="269" t="inlineStr">
        <is>
          <t>TA NM253</t>
        </is>
      </c>
      <c r="R631" s="241" t="inlineStr">
        <is>
          <t>NA</t>
        </is>
      </c>
      <c r="S631" s="233" t="inlineStr">
        <is>
          <t>NA</t>
        </is>
      </c>
      <c r="T631" s="313" t="inlineStr">
        <is>
          <t>ALPHA</t>
        </is>
      </c>
      <c r="U631" s="237" t="inlineStr">
        <is>
          <t>NA</t>
        </is>
      </c>
      <c r="V631" s="238" t="inlineStr">
        <is>
          <t>NA</t>
        </is>
      </c>
      <c r="W631" s="257" t="n">
        <v>3</v>
      </c>
      <c r="X631" s="945" t="inlineStr">
        <is>
          <t>NA</t>
        </is>
      </c>
      <c r="Y631" s="237" t="n">
        <v>41</v>
      </c>
      <c r="Z631" s="237" t="inlineStr">
        <is>
          <t>NA</t>
        </is>
      </c>
      <c r="AA631" s="270" t="inlineStr">
        <is>
          <t>NA</t>
        </is>
      </c>
      <c r="AB631" s="1286" t="inlineStr">
        <is>
          <t>CALCULS PRUDENTIELS</t>
        </is>
      </c>
      <c r="AC631" s="231" t="inlineStr">
        <is>
          <t>ND</t>
        </is>
      </c>
      <c r="AD631" s="257" t="inlineStr">
        <is>
          <t>N</t>
        </is>
      </c>
      <c r="AE631" s="971" t="inlineStr">
        <is>
          <t>VAR*
INT</t>
        </is>
      </c>
      <c r="AF631" s="257" t="inlineStr">
        <is>
          <t>NA</t>
        </is>
      </c>
      <c r="AG631" s="258" t="inlineStr">
        <is>
          <t>NA</t>
        </is>
      </c>
      <c r="AH631" s="89" t="n"/>
      <c r="AI631" s="446" t="inlineStr">
        <is>
          <t>La donnée est obligatoire, si le Montant de l'Exposition en cas de Défaut (EAD) IMM (internal model method) [P1 25.3] est renseigné</t>
        </is>
      </c>
      <c r="AJ631" s="317" t="inlineStr">
        <is>
          <t>The data is mandatory, if the IMM (internal model method) Exposure At Default (EAD) amount [P1 25.3] is filled</t>
        </is>
      </c>
      <c r="AK631" s="257" t="n">
        <v>7</v>
      </c>
      <c r="AL631" s="447" t="inlineStr">
        <is>
          <t>TPG0002</t>
        </is>
      </c>
      <c r="AM631" s="318" t="inlineStr">
        <is>
          <t>Si elle est renseignée, la valeur doit être connue du Langage Commun associé</t>
        </is>
      </c>
      <c r="AN631" s="317" t="inlineStr">
        <is>
          <t>If specified, the value must be known to the associated Common Language</t>
        </is>
      </c>
      <c r="AO631" s="257" t="n">
        <v>7</v>
      </c>
      <c r="AP631" s="212" t="inlineStr">
        <is>
          <t>TIG0001</t>
        </is>
      </c>
      <c r="AQ631" s="318" t="n"/>
      <c r="AR631" s="317" t="n"/>
      <c r="AS631" s="257" t="n"/>
      <c r="AT631" s="258" t="n"/>
      <c r="AU631" s="318" t="n"/>
      <c r="AV631" s="317" t="n"/>
      <c r="AW631" s="257" t="n"/>
      <c r="AX631" s="258" t="n"/>
      <c r="AY631" s="318" t="n"/>
      <c r="AZ631" s="317" t="n"/>
      <c r="BA631" s="257" t="n"/>
      <c r="BB631" s="258" t="n"/>
      <c r="BC631" s="316" t="n"/>
      <c r="BD631" s="317" t="n"/>
      <c r="BE631" s="257" t="n"/>
      <c r="BF631" s="258" t="n"/>
      <c r="BG631" s="89" t="n"/>
      <c r="BH6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31">
        <f>_xlfn.LET(r,ROW(),oc,INDEX($A:$A,r),cv,TRIM(INDEX($Y:$Y,r)&amp;""),IF(oc&lt;&gt;"P1","",IF(cv="45","V45 - novo, nao alimentado pelo spool atual","V44 - alimentado pelo spool atual")))</f>
        <v/>
      </c>
    </row>
    <row r="632" ht="54" customFormat="1" customHeight="1" s="91">
      <c r="A632" s="306" t="inlineStr">
        <is>
          <t>P1</t>
        </is>
      </c>
      <c r="B632" s="307" t="n">
        <v>397</v>
      </c>
      <c r="C632" s="269" t="inlineStr">
        <is>
          <t>31 - Paramètres bâlois</t>
        </is>
      </c>
      <c r="D632" s="310" t="inlineStr">
        <is>
          <t>31 - Basel settings</t>
        </is>
      </c>
      <c r="E632" s="307" t="inlineStr">
        <is>
          <t>P1 25.5</t>
        </is>
      </c>
      <c r="F632" s="660" t="inlineStr">
        <is>
          <t>Montant de l'Exposition en cas de Défaut (EAD) IMM (internal model method) Stressé</t>
        </is>
      </c>
      <c r="G632" s="309" t="inlineStr">
        <is>
          <t>Stressed IMM (internal model method) Exposure At Default (EAD) amount</t>
        </is>
      </c>
      <c r="H632" s="1493">
        <f>"RPAD( "&amp;SUBSTITUTE(SUBSTITUTE(E632," ","_"),".","_")&amp;","&amp;W632&amp;",' '); -- "&amp;E632</f>
        <v/>
      </c>
      <c r="I632" s="308" t="inlineStr">
        <is>
          <t>Montant de l'Exposition en cas de Défaut (EAD) IMM (internal model method) Stressé</t>
        </is>
      </c>
      <c r="J632" s="309" t="inlineStr">
        <is>
          <t>Stressed IMM (internal model method) Exposure At Default (EAD) amount</t>
        </is>
      </c>
      <c r="K632" s="370" t="inlineStr">
        <is>
          <t>ND</t>
        </is>
      </c>
      <c r="L632" s="371" t="inlineStr">
        <is>
          <t>ND</t>
        </is>
      </c>
      <c r="M632" s="1420" t="inlineStr">
        <is>
          <t>mtEADIMMStres</t>
        </is>
      </c>
      <c r="N632" s="257" t="inlineStr">
        <is>
          <t>Obligatoire sous conditions</t>
        </is>
      </c>
      <c r="O632" s="310" t="inlineStr">
        <is>
          <t>Mandatory under conditions</t>
        </is>
      </c>
      <c r="P632" s="269" t="inlineStr">
        <is>
          <t>NA</t>
        </is>
      </c>
      <c r="Q632" s="269" t="inlineStr">
        <is>
          <t>NA</t>
        </is>
      </c>
      <c r="R632" s="241" t="inlineStr">
        <is>
          <t>NA</t>
        </is>
      </c>
      <c r="S632" s="233" t="inlineStr">
        <is>
          <t>NA</t>
        </is>
      </c>
      <c r="T632" s="313" t="inlineStr">
        <is>
          <t>NUM</t>
        </is>
      </c>
      <c r="U632" s="237" t="inlineStr">
        <is>
          <t>19 dont signe et 2 décimales</t>
        </is>
      </c>
      <c r="V632" s="238" t="inlineStr">
        <is>
          <t>19 including sign and 2 decimals</t>
        </is>
      </c>
      <c r="W632" s="257" t="n">
        <v>19</v>
      </c>
      <c r="X632" s="945" t="inlineStr">
        <is>
          <t>NA</t>
        </is>
      </c>
      <c r="Y632" s="237" t="n">
        <v>41</v>
      </c>
      <c r="Z632" s="237" t="inlineStr">
        <is>
          <t>NA</t>
        </is>
      </c>
      <c r="AA632" s="270" t="inlineStr">
        <is>
          <t>NA</t>
        </is>
      </c>
      <c r="AB632" s="1286" t="inlineStr">
        <is>
          <t>CALCULS PRUDENTIELS</t>
        </is>
      </c>
      <c r="AC632" s="231" t="inlineStr">
        <is>
          <t>ND</t>
        </is>
      </c>
      <c r="AD632" s="257" t="inlineStr">
        <is>
          <t>N</t>
        </is>
      </c>
      <c r="AE632" s="971" t="inlineStr">
        <is>
          <t>VAR*
INT</t>
        </is>
      </c>
      <c r="AF632" s="257" t="inlineStr">
        <is>
          <t>NA</t>
        </is>
      </c>
      <c r="AG632" s="258" t="inlineStr">
        <is>
          <t>NA</t>
        </is>
      </c>
      <c r="AH632" s="89" t="n"/>
      <c r="AI632" s="487" t="inlineStr">
        <is>
          <t>La donnée est obligatoire, si la méthode réglementaire de calcul de l'exposition [P1 3.89] = 'IMM'</t>
        </is>
      </c>
      <c r="AJ632" s="317" t="inlineStr">
        <is>
          <t>The data is mandatory, if the Regulatory method for calculating the exposure [P1 3.89] = 'IMM'</t>
        </is>
      </c>
      <c r="AK632" s="257" t="n">
        <v>6</v>
      </c>
      <c r="AL632" s="455" t="inlineStr">
        <is>
          <t>TPS0890</t>
        </is>
      </c>
      <c r="AM632" s="318" t="n"/>
      <c r="AN632" s="317" t="n"/>
      <c r="AO632" s="257" t="n"/>
      <c r="AP632" s="258" t="n"/>
      <c r="AQ632" s="322" t="inlineStr">
        <is>
          <t>Si renseignée, la donnée doit être positive (supérieure ou égale à 0)</t>
        </is>
      </c>
      <c r="AR632" s="317" t="inlineStr">
        <is>
          <t xml:space="preserve">If filled, data must be positive (greater or equal to 0) </t>
        </is>
      </c>
      <c r="AS632" s="257" t="n">
        <v>7</v>
      </c>
      <c r="AT632" s="345" t="inlineStr">
        <is>
          <t>TVG0001</t>
        </is>
      </c>
      <c r="AU632" s="318" t="n"/>
      <c r="AV632" s="317" t="n"/>
      <c r="AW632" s="257" t="n"/>
      <c r="AX632" s="258" t="n"/>
      <c r="AY632" s="318" t="n"/>
      <c r="AZ632" s="317" t="n"/>
      <c r="BA632" s="257" t="n"/>
      <c r="BB632" s="258" t="n"/>
      <c r="BC632" s="316" t="n"/>
      <c r="BD632" s="317" t="n"/>
      <c r="BE632" s="257" t="n"/>
      <c r="BF632" s="258" t="n"/>
      <c r="BG632" s="89" t="n"/>
      <c r="BH6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32">
        <f>_xlfn.LET(r,ROW(),oc,INDEX($A:$A,r),cv,TRIM(INDEX($Y:$Y,r)&amp;""),IF(oc&lt;&gt;"P1","",IF(cv="45","V45 - novo, nao alimentado pelo spool atual","V44 - alimentado pelo spool atual")))</f>
        <v/>
      </c>
    </row>
    <row r="633" ht="54" customFormat="1" customHeight="1" s="91">
      <c r="A633" s="306" t="inlineStr">
        <is>
          <t>P1</t>
        </is>
      </c>
      <c r="B633" s="307" t="n">
        <v>398</v>
      </c>
      <c r="C633" s="269" t="inlineStr">
        <is>
          <t>31 - Paramètres bâlois</t>
        </is>
      </c>
      <c r="D633" s="310" t="inlineStr">
        <is>
          <t>31 - Basel settings</t>
        </is>
      </c>
      <c r="E633" s="307" t="inlineStr">
        <is>
          <t>P1 25.6</t>
        </is>
      </c>
      <c r="F633" s="308" t="inlineStr">
        <is>
          <t>Devise du montant de l'Exposition en cas de Défaut (EAD) IMM (internal model method) Stressé</t>
        </is>
      </c>
      <c r="G633" s="309" t="inlineStr">
        <is>
          <t>Currency of stressed IMM (internal model method) Exposure At Default (EAD) amount</t>
        </is>
      </c>
      <c r="H633" s="1493">
        <f>"RPAD( "&amp;SUBSTITUTE(SUBSTITUTE(E633," ","_"),".","_")&amp;","&amp;W633&amp;",' '); -- "&amp;E633</f>
        <v/>
      </c>
      <c r="I633" s="308" t="inlineStr">
        <is>
          <t>Devise du montant de l'Exposition en cas de Défaut (EAD) IMM (internal model method) Stressé</t>
        </is>
      </c>
      <c r="J633" s="309" t="inlineStr">
        <is>
          <t>Currency of stressed IMM (internal model method) Exposure At Default (EAD) amount</t>
        </is>
      </c>
      <c r="K633" s="370" t="inlineStr">
        <is>
          <t>ND</t>
        </is>
      </c>
      <c r="L633" s="371" t="inlineStr">
        <is>
          <t>ND</t>
        </is>
      </c>
      <c r="M633" s="1420" t="inlineStr">
        <is>
          <t>cdDEVMtEADIMMStres</t>
        </is>
      </c>
      <c r="N633" s="257" t="inlineStr">
        <is>
          <t>Obligatoire sous conditions</t>
        </is>
      </c>
      <c r="O633" s="310" t="inlineStr">
        <is>
          <t>Mandatory under conditions</t>
        </is>
      </c>
      <c r="P633" s="269" t="inlineStr">
        <is>
          <t>LC.0005</t>
        </is>
      </c>
      <c r="Q633" s="269" t="inlineStr">
        <is>
          <t>TA NM253</t>
        </is>
      </c>
      <c r="R633" s="241" t="inlineStr">
        <is>
          <t>NA</t>
        </is>
      </c>
      <c r="S633" s="233" t="inlineStr">
        <is>
          <t>NA</t>
        </is>
      </c>
      <c r="T633" s="313" t="inlineStr">
        <is>
          <t>ALPHA</t>
        </is>
      </c>
      <c r="U633" s="237" t="inlineStr">
        <is>
          <t>NA</t>
        </is>
      </c>
      <c r="V633" s="238" t="inlineStr">
        <is>
          <t>NA</t>
        </is>
      </c>
      <c r="W633" s="257" t="n">
        <v>3</v>
      </c>
      <c r="X633" s="945" t="inlineStr">
        <is>
          <t>NA</t>
        </is>
      </c>
      <c r="Y633" s="237" t="n">
        <v>41</v>
      </c>
      <c r="Z633" s="237" t="inlineStr">
        <is>
          <t>NA</t>
        </is>
      </c>
      <c r="AA633" s="270" t="inlineStr">
        <is>
          <t>NA</t>
        </is>
      </c>
      <c r="AB633" s="1286" t="inlineStr">
        <is>
          <t>CALCULS PRUDENTIELS</t>
        </is>
      </c>
      <c r="AC633" s="231" t="inlineStr">
        <is>
          <t>ND</t>
        </is>
      </c>
      <c r="AD633" s="257" t="inlineStr">
        <is>
          <t>N</t>
        </is>
      </c>
      <c r="AE633" s="971" t="inlineStr">
        <is>
          <t>VAR*
INT</t>
        </is>
      </c>
      <c r="AF633" s="257" t="inlineStr">
        <is>
          <t>NA</t>
        </is>
      </c>
      <c r="AG633" s="258" t="inlineStr">
        <is>
          <t>NA</t>
        </is>
      </c>
      <c r="AH633" s="89" t="n"/>
      <c r="AI633" s="446" t="inlineStr">
        <is>
          <t>La donnée est obligatoire, si le Montant de l'Exposition en cas de Défaut (EAD) IMM (internal model method) Stressé [P1 25.5] est renseigné</t>
        </is>
      </c>
      <c r="AJ633" s="317" t="inlineStr">
        <is>
          <t>The data is mandatory, if the Stressed IMM (internal model method) Exposure At Default (EAD) amount [P1 25.5] is filled</t>
        </is>
      </c>
      <c r="AK633" s="257" t="n">
        <v>7</v>
      </c>
      <c r="AL633" s="447" t="inlineStr">
        <is>
          <t>TPG0002</t>
        </is>
      </c>
      <c r="AM633" s="318" t="inlineStr">
        <is>
          <t>Si elle est renseignée, la valeur doit être connue du Langage Commun associé</t>
        </is>
      </c>
      <c r="AN633" s="317" t="inlineStr">
        <is>
          <t>If specified, the value must be known to the associated Common Language</t>
        </is>
      </c>
      <c r="AO633" s="257" t="n">
        <v>7</v>
      </c>
      <c r="AP633" s="212" t="inlineStr">
        <is>
          <t>TIG0001</t>
        </is>
      </c>
      <c r="AQ633" s="318" t="n"/>
      <c r="AR633" s="317" t="n"/>
      <c r="AS633" s="257" t="n"/>
      <c r="AT633" s="258" t="n"/>
      <c r="AU633" s="318" t="n"/>
      <c r="AV633" s="317" t="n"/>
      <c r="AW633" s="257" t="n"/>
      <c r="AX633" s="258" t="n"/>
      <c r="AY633" s="318" t="n"/>
      <c r="AZ633" s="317" t="n"/>
      <c r="BA633" s="257" t="n"/>
      <c r="BB633" s="258" t="n"/>
      <c r="BC633" s="316" t="n"/>
      <c r="BD633" s="317" t="n"/>
      <c r="BE633" s="257" t="n"/>
      <c r="BF633" s="258" t="n"/>
      <c r="BG633" s="89" t="n"/>
      <c r="BH6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33">
        <f>_xlfn.LET(r,ROW(),oc,INDEX($A:$A,r),cv,TRIM(INDEX($Y:$Y,r)&amp;""),IF(oc&lt;&gt;"P1","",IF(cv="45","V45 - novo, nao alimentado pelo spool atual","V44 - alimentado pelo spool atual")))</f>
        <v/>
      </c>
    </row>
    <row r="634" ht="54" customFormat="1" customHeight="1" s="91">
      <c r="A634" s="306" t="inlineStr">
        <is>
          <t>P1</t>
        </is>
      </c>
      <c r="B634" s="307" t="n">
        <v>399</v>
      </c>
      <c r="C634" s="269" t="inlineStr">
        <is>
          <t>03 - Caractéristiques Générales</t>
        </is>
      </c>
      <c r="D634" s="310" t="inlineStr">
        <is>
          <t>03 - General characteristics</t>
        </is>
      </c>
      <c r="E634" s="307" t="inlineStr">
        <is>
          <t>P1 25.7</t>
        </is>
      </c>
      <c r="F634" s="308" t="inlineStr">
        <is>
          <t xml:space="preserve">Maturité effective en méthode IMM (internal model method) </t>
        </is>
      </c>
      <c r="G634" s="309" t="inlineStr">
        <is>
          <t>Effective maturity under IMM (internal model method)</t>
        </is>
      </c>
      <c r="H634" s="1493">
        <f>"RPAD( "&amp;SUBSTITUTE(SUBSTITUTE(E634," ","_"),".","_")&amp;","&amp;W634&amp;",' '); -- "&amp;E634</f>
        <v/>
      </c>
      <c r="I634" s="308" t="inlineStr">
        <is>
          <t xml:space="preserve">Maturité effective en méthode IMM (internal model method) </t>
        </is>
      </c>
      <c r="J634" s="309" t="inlineStr">
        <is>
          <t>Effective maturity under IMM (internal model method)</t>
        </is>
      </c>
      <c r="K634" s="370" t="inlineStr">
        <is>
          <t>ND</t>
        </is>
      </c>
      <c r="L634" s="371" t="inlineStr">
        <is>
          <t>ND</t>
        </is>
      </c>
      <c r="M634" s="1420" t="inlineStr">
        <is>
          <t>valMatEffIMM</t>
        </is>
      </c>
      <c r="N634" s="257" t="inlineStr">
        <is>
          <t>Obligatoire sous conditions</t>
        </is>
      </c>
      <c r="O634" s="310" t="inlineStr">
        <is>
          <t>Mandatory under conditions</t>
        </is>
      </c>
      <c r="P634" s="269" t="inlineStr">
        <is>
          <t>NA</t>
        </is>
      </c>
      <c r="Q634" s="269" t="inlineStr">
        <is>
          <t>NA</t>
        </is>
      </c>
      <c r="R634" s="241" t="inlineStr">
        <is>
          <t>NA</t>
        </is>
      </c>
      <c r="S634" s="233" t="inlineStr">
        <is>
          <t>NA</t>
        </is>
      </c>
      <c r="T634" s="313" t="inlineStr">
        <is>
          <t>NUM</t>
        </is>
      </c>
      <c r="U634" s="237" t="inlineStr">
        <is>
          <t>6 dont 4 décimales</t>
        </is>
      </c>
      <c r="V634" s="238" t="inlineStr">
        <is>
          <t>6 including 4 decimals</t>
        </is>
      </c>
      <c r="W634" s="397" t="n">
        <v>6</v>
      </c>
      <c r="X634" s="945" t="inlineStr">
        <is>
          <t>NA</t>
        </is>
      </c>
      <c r="Y634" s="237" t="n">
        <v>41</v>
      </c>
      <c r="Z634" s="237" t="inlineStr">
        <is>
          <t>NA</t>
        </is>
      </c>
      <c r="AA634" s="270" t="inlineStr">
        <is>
          <t>NA</t>
        </is>
      </c>
      <c r="AB634" s="1286" t="inlineStr">
        <is>
          <t>CALCULS PRUDENTIELS</t>
        </is>
      </c>
      <c r="AC634" s="231" t="inlineStr">
        <is>
          <t>ND</t>
        </is>
      </c>
      <c r="AD634" s="257" t="inlineStr">
        <is>
          <t>N</t>
        </is>
      </c>
      <c r="AE634" s="971" t="inlineStr">
        <is>
          <t>VAR*
INT</t>
        </is>
      </c>
      <c r="AF634" s="257" t="inlineStr">
        <is>
          <t>NA</t>
        </is>
      </c>
      <c r="AG634" s="258" t="inlineStr">
        <is>
          <t>NA</t>
        </is>
      </c>
      <c r="AH634" s="89" t="n"/>
      <c r="AI634" s="487" t="inlineStr">
        <is>
          <t>La donnée est obligatoire, si la méthode réglementaire de calcul de l'exposition [P1 3.89] = 'IMM'</t>
        </is>
      </c>
      <c r="AJ634" s="317" t="inlineStr">
        <is>
          <t>The data is mandatory, if the Regulatory method for calculating the exposure [P1 3.89] = 'IMM'</t>
        </is>
      </c>
      <c r="AK634" s="257" t="n">
        <v>6</v>
      </c>
      <c r="AL634" s="455" t="inlineStr">
        <is>
          <t>TPS0890</t>
        </is>
      </c>
      <c r="AM634" s="318" t="n"/>
      <c r="AN634" s="317" t="n"/>
      <c r="AO634" s="257" t="n"/>
      <c r="AP634" s="258" t="n"/>
      <c r="AQ634" s="318" t="n"/>
      <c r="AR634" s="317" t="n"/>
      <c r="AS634" s="257" t="n"/>
      <c r="AT634" s="258" t="n"/>
      <c r="AU634" s="318" t="n"/>
      <c r="AV634" s="317" t="n"/>
      <c r="AW634" s="257" t="n"/>
      <c r="AX634" s="258" t="n"/>
      <c r="AY634" s="318" t="n"/>
      <c r="AZ634" s="317" t="n"/>
      <c r="BA634" s="257" t="n"/>
      <c r="BB634" s="258" t="n"/>
      <c r="BC634" s="316" t="n"/>
      <c r="BD634" s="317" t="n"/>
      <c r="BE634" s="257" t="n"/>
      <c r="BF634" s="258" t="n"/>
      <c r="BG634" s="89" t="n"/>
      <c r="BH6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34">
        <f>_xlfn.LET(r,ROW(),oc,INDEX($A:$A,r),cv,TRIM(INDEX($Y:$Y,r)&amp;""),IF(oc&lt;&gt;"P1","",IF(cv="45","V45 - novo, nao alimentado pelo spool atual","V44 - alimentado pelo spool atual")))</f>
        <v/>
      </c>
    </row>
    <row r="635" ht="54" customFormat="1" customHeight="1" s="91">
      <c r="A635" s="306" t="inlineStr">
        <is>
          <t>P1</t>
        </is>
      </c>
      <c r="B635" s="307" t="n">
        <v>400</v>
      </c>
      <c r="C635" s="269" t="inlineStr">
        <is>
          <t>03 - Caractéristiques Générales</t>
        </is>
      </c>
      <c r="D635" s="310" t="inlineStr">
        <is>
          <t>03 - General characteristics</t>
        </is>
      </c>
      <c r="E635" s="307" t="inlineStr">
        <is>
          <t>P1 25.8</t>
        </is>
      </c>
      <c r="F635" s="308" t="inlineStr">
        <is>
          <t>Maturité effective stressée en méthode IMM (internal model method)</t>
        </is>
      </c>
      <c r="G635" s="309" t="inlineStr">
        <is>
          <t>Stressed effective maturity under IMM (internal model method)</t>
        </is>
      </c>
      <c r="H635" s="1493">
        <f>"RPAD( "&amp;SUBSTITUTE(SUBSTITUTE(E635," ","_"),".","_")&amp;","&amp;W635&amp;",' '); -- "&amp;E635</f>
        <v/>
      </c>
      <c r="I635" s="308" t="inlineStr">
        <is>
          <t>Maturité effective stressée en méthode IMM (internal model method)</t>
        </is>
      </c>
      <c r="J635" s="309" t="inlineStr">
        <is>
          <t>Stressed effective maturity under IMM (internal model method)</t>
        </is>
      </c>
      <c r="K635" s="370" t="inlineStr">
        <is>
          <t>ND</t>
        </is>
      </c>
      <c r="L635" s="371" t="inlineStr">
        <is>
          <t>ND</t>
        </is>
      </c>
      <c r="M635" s="1420" t="inlineStr">
        <is>
          <t>valMatEffIMMStres</t>
        </is>
      </c>
      <c r="N635" s="257" t="inlineStr">
        <is>
          <t>Obligatoire sous conditions</t>
        </is>
      </c>
      <c r="O635" s="310" t="inlineStr">
        <is>
          <t>Mandatory under conditions</t>
        </is>
      </c>
      <c r="P635" s="269" t="inlineStr">
        <is>
          <t>NA</t>
        </is>
      </c>
      <c r="Q635" s="269" t="inlineStr">
        <is>
          <t>NA</t>
        </is>
      </c>
      <c r="R635" s="241" t="inlineStr">
        <is>
          <t>NA</t>
        </is>
      </c>
      <c r="S635" s="233" t="inlineStr">
        <is>
          <t>NA</t>
        </is>
      </c>
      <c r="T635" s="313" t="inlineStr">
        <is>
          <t>NUM</t>
        </is>
      </c>
      <c r="U635" s="237" t="inlineStr">
        <is>
          <t>6 dont 4 décimales</t>
        </is>
      </c>
      <c r="V635" s="238" t="inlineStr">
        <is>
          <t>6 including 4 decimals</t>
        </is>
      </c>
      <c r="W635" s="397" t="n">
        <v>6</v>
      </c>
      <c r="X635" s="945" t="inlineStr">
        <is>
          <t>NA</t>
        </is>
      </c>
      <c r="Y635" s="237" t="n">
        <v>41</v>
      </c>
      <c r="Z635" s="237" t="inlineStr">
        <is>
          <t>NA</t>
        </is>
      </c>
      <c r="AA635" s="270" t="inlineStr">
        <is>
          <t>NA</t>
        </is>
      </c>
      <c r="AB635" s="1286" t="inlineStr">
        <is>
          <t>CALCULS PRUDENTIELS</t>
        </is>
      </c>
      <c r="AC635" s="231" t="inlineStr">
        <is>
          <t>ND</t>
        </is>
      </c>
      <c r="AD635" s="257" t="inlineStr">
        <is>
          <t>N</t>
        </is>
      </c>
      <c r="AE635" s="971" t="inlineStr">
        <is>
          <t>VAR*
INT</t>
        </is>
      </c>
      <c r="AF635" s="257" t="inlineStr">
        <is>
          <t>NA</t>
        </is>
      </c>
      <c r="AG635" s="258" t="inlineStr">
        <is>
          <t>NA</t>
        </is>
      </c>
      <c r="AH635" s="89" t="n"/>
      <c r="AI635" s="487" t="inlineStr">
        <is>
          <t>La donnée est obligatoire, si la méthode réglementaire de calcul de l'exposition [P1 3.89] = 'IMM'</t>
        </is>
      </c>
      <c r="AJ635" s="317" t="inlineStr">
        <is>
          <t>The data is mandatory, if the Regulatory method for calculating the exposure [P1 3.89] = 'IMM'</t>
        </is>
      </c>
      <c r="AK635" s="257" t="n">
        <v>6</v>
      </c>
      <c r="AL635" s="455" t="inlineStr">
        <is>
          <t>TPS0890</t>
        </is>
      </c>
      <c r="AM635" s="318" t="n"/>
      <c r="AN635" s="317" t="n"/>
      <c r="AO635" s="257" t="n"/>
      <c r="AP635" s="258" t="n"/>
      <c r="AQ635" s="318" t="n"/>
      <c r="AR635" s="317" t="n"/>
      <c r="AS635" s="257" t="n"/>
      <c r="AT635" s="258" t="n"/>
      <c r="AU635" s="318" t="n"/>
      <c r="AV635" s="317" t="n"/>
      <c r="AW635" s="257" t="n"/>
      <c r="AX635" s="258" t="n"/>
      <c r="AY635" s="318" t="n"/>
      <c r="AZ635" s="317" t="n"/>
      <c r="BA635" s="257" t="n"/>
      <c r="BB635" s="258" t="n"/>
      <c r="BC635" s="316" t="n"/>
      <c r="BD635" s="317" t="n"/>
      <c r="BE635" s="257" t="n"/>
      <c r="BF635" s="258" t="n"/>
      <c r="BG635" s="89" t="n"/>
      <c r="BH6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35">
        <f>_xlfn.LET(r,ROW(),oc,INDEX($A:$A,r),cv,TRIM(INDEX($Y:$Y,r)&amp;""),IF(oc&lt;&gt;"P1","",IF(cv="45","V45 - novo, nao alimentado pelo spool atual","V44 - alimentado pelo spool atual")))</f>
        <v/>
      </c>
    </row>
    <row r="636" ht="54" customFormat="1" customHeight="1" s="57">
      <c r="A636" s="325" t="inlineStr">
        <is>
          <t>P1</t>
        </is>
      </c>
      <c r="B636" s="326" t="n">
        <v>401</v>
      </c>
      <c r="C636" s="284" t="inlineStr">
        <is>
          <t>NA</t>
        </is>
      </c>
      <c r="D636" s="284" t="inlineStr">
        <is>
          <t>NA</t>
        </is>
      </c>
      <c r="E636" s="326" t="inlineStr">
        <is>
          <t>P1 25.99</t>
        </is>
      </c>
      <c r="F636" s="327" t="inlineStr">
        <is>
          <t>Filler</t>
        </is>
      </c>
      <c r="G636" s="327" t="inlineStr">
        <is>
          <t>Filler</t>
        </is>
      </c>
      <c r="H636" s="1493">
        <f>"RPAD( "&amp;SUBSTITUTE(SUBSTITUTE(E636," ","_"),".","_")&amp;","&amp;W636&amp;",' '); -- "&amp;E636</f>
        <v/>
      </c>
      <c r="I636" s="247" t="inlineStr">
        <is>
          <t>Zone libre</t>
        </is>
      </c>
      <c r="J636" s="245" t="inlineStr">
        <is>
          <t>Free zone</t>
        </is>
      </c>
      <c r="K636" s="284" t="inlineStr">
        <is>
          <t>NA</t>
        </is>
      </c>
      <c r="L636" s="284" t="inlineStr">
        <is>
          <t>NA</t>
        </is>
      </c>
      <c r="M636" s="1421" t="inlineStr">
        <is>
          <t>ZoneLibre25</t>
        </is>
      </c>
      <c r="N636" s="284" t="inlineStr">
        <is>
          <t>NA</t>
        </is>
      </c>
      <c r="O636" s="284" t="inlineStr">
        <is>
          <t>NA</t>
        </is>
      </c>
      <c r="P636" s="284" t="inlineStr">
        <is>
          <t>NA</t>
        </is>
      </c>
      <c r="Q636" s="284" t="inlineStr">
        <is>
          <t>NA</t>
        </is>
      </c>
      <c r="R636" s="247" t="inlineStr">
        <is>
          <t>Laisser à vide</t>
        </is>
      </c>
      <c r="S636" s="247" t="inlineStr">
        <is>
          <t>Leave empty</t>
        </is>
      </c>
      <c r="T636" s="326" t="inlineStr">
        <is>
          <t>ALPHA</t>
        </is>
      </c>
      <c r="U636" s="248" t="inlineStr">
        <is>
          <t>NA</t>
        </is>
      </c>
      <c r="V636" s="248" t="inlineStr">
        <is>
          <t>NA</t>
        </is>
      </c>
      <c r="W636" s="284" t="n">
        <v>100</v>
      </c>
      <c r="X636" s="244" t="inlineStr">
        <is>
          <t>NA</t>
        </is>
      </c>
      <c r="Y636" s="248" t="inlineStr">
        <is>
          <t>NA</t>
        </is>
      </c>
      <c r="Z636" s="248" t="inlineStr">
        <is>
          <t>NA</t>
        </is>
      </c>
      <c r="AA636" s="248" t="inlineStr">
        <is>
          <t>NA</t>
        </is>
      </c>
      <c r="AB636" s="284" t="inlineStr">
        <is>
          <t>NA</t>
        </is>
      </c>
      <c r="AC636" s="244" t="inlineStr">
        <is>
          <t>NA</t>
        </is>
      </c>
      <c r="AD636" s="284" t="inlineStr">
        <is>
          <t>N</t>
        </is>
      </c>
      <c r="AE636" s="284" t="inlineStr">
        <is>
          <t>NA</t>
        </is>
      </c>
      <c r="AF636" s="284" t="inlineStr">
        <is>
          <t>NA</t>
        </is>
      </c>
      <c r="AG636" s="285" t="inlineStr">
        <is>
          <t>NA</t>
        </is>
      </c>
      <c r="AH636" s="89" t="n"/>
      <c r="AI636" s="330" t="n"/>
      <c r="AJ636" s="331" t="n"/>
      <c r="AK636" s="284" t="n"/>
      <c r="AL636" s="285" t="n"/>
      <c r="AM636" s="331" t="n"/>
      <c r="AN636" s="331" t="n"/>
      <c r="AO636" s="284" t="n"/>
      <c r="AP636" s="285" t="n"/>
      <c r="AQ636" s="331" t="n"/>
      <c r="AR636" s="331" t="n"/>
      <c r="AS636" s="284" t="n"/>
      <c r="AT636" s="285" t="n"/>
      <c r="AU636" s="331" t="n"/>
      <c r="AV636" s="331" t="n"/>
      <c r="AW636" s="284" t="n"/>
      <c r="AX636" s="285" t="n"/>
      <c r="AY636" s="331" t="n"/>
      <c r="AZ636" s="331" t="n"/>
      <c r="BA636" s="284" t="n"/>
      <c r="BB636" s="285" t="n"/>
      <c r="BC636" s="330" t="n"/>
      <c r="BD636" s="331" t="n"/>
      <c r="BE636" s="284" t="n"/>
      <c r="BF636" s="285" t="n"/>
      <c r="BG636" s="89" t="n"/>
      <c r="BH6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36">
        <f>_xlfn.LET(r,ROW(),oc,INDEX($A:$A,r),cv,TRIM(INDEX($Y:$Y,r)&amp;""),IF(oc&lt;&gt;"P1","",IF(cv="45","V45 - novo, nao alimentado pelo spool atual","V44 - alimentado pelo spool atual")))</f>
        <v/>
      </c>
    </row>
    <row r="637" ht="54" customFormat="1" customHeight="1" s="91">
      <c r="A637" s="306" t="inlineStr">
        <is>
          <t>P1</t>
        </is>
      </c>
      <c r="B637" s="307" t="n">
        <v>402</v>
      </c>
      <c r="C637" s="269" t="inlineStr">
        <is>
          <t xml:space="preserve">26 - Caractéristiques d'encombrement </t>
        </is>
      </c>
      <c r="D637" s="236" t="inlineStr">
        <is>
          <t>26 - Encumbrance caracteristics</t>
        </is>
      </c>
      <c r="E637" s="307" t="inlineStr">
        <is>
          <t>P1 26.1</t>
        </is>
      </c>
      <c r="F637" s="661" t="inlineStr">
        <is>
          <t>Indicateur mobilisation de l'actif</t>
        </is>
      </c>
      <c r="G637" s="309" t="inlineStr">
        <is>
          <t>Asset mobilisation indicator</t>
        </is>
      </c>
      <c r="H637" s="1493">
        <f>"RPAD( "&amp;SUBSTITUTE(SUBSTITUTE(E637," ","_"),".","_")&amp;","&amp;W637&amp;",' '); -- "&amp;E637</f>
        <v/>
      </c>
      <c r="I637" s="241" t="inlineStr">
        <is>
          <t>Indicateur mobilisation de l'actif</t>
        </is>
      </c>
      <c r="J637" s="309" t="inlineStr">
        <is>
          <t>Asset's mobilisation indicator</t>
        </is>
      </c>
      <c r="K637" s="370" t="inlineStr">
        <is>
          <t>ND</t>
        </is>
      </c>
      <c r="L637" s="371" t="inlineStr">
        <is>
          <t>ND</t>
        </is>
      </c>
      <c r="M637" s="1420" t="inlineStr">
        <is>
          <t>indMobilActif</t>
        </is>
      </c>
      <c r="N637" s="662" t="inlineStr">
        <is>
          <t>Facultatif</t>
        </is>
      </c>
      <c r="O637" s="310" t="inlineStr">
        <is>
          <t>Optional</t>
        </is>
      </c>
      <c r="P637" s="269" t="inlineStr">
        <is>
          <t>LC.0237</t>
        </is>
      </c>
      <c r="Q637" s="269" t="inlineStr">
        <is>
          <t>TA KVIMA</t>
        </is>
      </c>
      <c r="R637" s="558" t="inlineStr">
        <is>
          <t>A renseigner pour le périmètre des créances titrisées des Caisses régionales</t>
        </is>
      </c>
      <c r="S637" s="233" t="inlineStr">
        <is>
          <t>To be provided for the scope of the Regional Banks' securitised receivables</t>
        </is>
      </c>
      <c r="T637" s="313" t="inlineStr">
        <is>
          <t>ALPHA</t>
        </is>
      </c>
      <c r="U637" s="237" t="inlineStr">
        <is>
          <t>NA</t>
        </is>
      </c>
      <c r="V637" s="238" t="inlineStr">
        <is>
          <t>NA</t>
        </is>
      </c>
      <c r="W637" s="257" t="n">
        <v>1</v>
      </c>
      <c r="X637" s="945" t="inlineStr">
        <is>
          <t>NA</t>
        </is>
      </c>
      <c r="Y637" s="237" t="n">
        <v>41</v>
      </c>
      <c r="Z637" s="237" t="inlineStr">
        <is>
          <t>NA</t>
        </is>
      </c>
      <c r="AA637" s="237" t="inlineStr">
        <is>
          <t>NA</t>
        </is>
      </c>
      <c r="AB637" s="269" t="inlineStr">
        <is>
          <t>AER</t>
        </is>
      </c>
      <c r="AC637" s="231" t="inlineStr">
        <is>
          <t>ND</t>
        </is>
      </c>
      <c r="AD637" s="257" t="inlineStr">
        <is>
          <t>N</t>
        </is>
      </c>
      <c r="AE637" s="971" t="inlineStr">
        <is>
          <t>EQU101
EQU201
ISS100
ISS200 et 300
TRE100
TRE2 à 4XX hors 203,205,206,207
TRE203, 205, 207
TRE206
TRE5XX
SIG
VAR*
INT</t>
        </is>
      </c>
      <c r="AF637" s="257" t="inlineStr">
        <is>
          <t>NA</t>
        </is>
      </c>
      <c r="AG637" s="258" t="inlineStr">
        <is>
          <t>NA</t>
        </is>
      </c>
      <c r="AH637" s="89" t="n"/>
      <c r="AI637" s="316" t="n"/>
      <c r="AJ637" s="317" t="n"/>
      <c r="AK637" s="257" t="n"/>
      <c r="AL637" s="663" t="n"/>
      <c r="AM637" s="318" t="inlineStr">
        <is>
          <t>Si elle est renseignée, la valeur doit être connue du Langage Commun associé</t>
        </is>
      </c>
      <c r="AN637" s="317" t="inlineStr">
        <is>
          <t>If specified, the value must be known to the associated Common Language</t>
        </is>
      </c>
      <c r="AO637" s="257" t="n">
        <v>7</v>
      </c>
      <c r="AP637" s="212" t="inlineStr">
        <is>
          <t>TIG0001</t>
        </is>
      </c>
      <c r="AQ637" s="318" t="n"/>
      <c r="AR637" s="317" t="n"/>
      <c r="AS637" s="257" t="n"/>
      <c r="AT637" s="258" t="n"/>
      <c r="AU637" s="318" t="n"/>
      <c r="AV637" s="317" t="n"/>
      <c r="AW637" s="257" t="n"/>
      <c r="AX637" s="258" t="n"/>
      <c r="AY637" s="318" t="n"/>
      <c r="AZ637" s="317" t="n"/>
      <c r="BA637" s="257" t="n"/>
      <c r="BB637" s="258" t="n"/>
      <c r="BC637" s="316" t="n"/>
      <c r="BD637" s="317" t="n"/>
      <c r="BE637" s="257" t="n"/>
      <c r="BF637" s="258" t="n"/>
      <c r="BG637" s="89" t="n"/>
      <c r="BH6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37">
        <f>_xlfn.LET(r,ROW(),oc,INDEX($A:$A,r),cv,TRIM(INDEX($Y:$Y,r)&amp;""),IF(oc&lt;&gt;"P1","",IF(cv="45","V45 - novo, nao alimentado pelo spool atual","V44 - alimentado pelo spool atual")))</f>
        <v/>
      </c>
    </row>
    <row r="638" ht="54" customFormat="1" customHeight="1" s="91">
      <c r="A638" s="306" t="inlineStr">
        <is>
          <t>P1</t>
        </is>
      </c>
      <c r="B638" s="307" t="n">
        <v>403</v>
      </c>
      <c r="C638" s="269" t="inlineStr">
        <is>
          <t xml:space="preserve">26 - Caractéristiques d'encombrement </t>
        </is>
      </c>
      <c r="D638" s="236" t="inlineStr">
        <is>
          <t>26 - Encumbrance caracteristics</t>
        </is>
      </c>
      <c r="E638" s="307" t="inlineStr">
        <is>
          <t>P1 22.11</t>
        </is>
      </c>
      <c r="F638" s="664" t="inlineStr">
        <is>
          <t>Indicateur éligibilité de l'actif à une mobilisation banque centrale</t>
        </is>
      </c>
      <c r="G638" s="309" t="inlineStr">
        <is>
          <t xml:space="preserve"> Indicator of the asset's eligibility for mobilization with a central bank</t>
        </is>
      </c>
      <c r="H638" s="1493">
        <f>"RPAD( "&amp;SUBSTITUTE(SUBSTITUTE(E638," ","_"),".","_")&amp;","&amp;W638&amp;",' '); -- "&amp;E638</f>
        <v/>
      </c>
      <c r="I638" s="241" t="inlineStr">
        <is>
          <t>Indicateur d'éligibilité de l'actif à une mobilisation auprès d'une banque centrale</t>
        </is>
      </c>
      <c r="J638" s="233" t="inlineStr">
        <is>
          <t>Indicator of the asset's eligibility for mobilization with a central bank</t>
        </is>
      </c>
      <c r="K638" s="269" t="inlineStr">
        <is>
          <t>ND</t>
        </is>
      </c>
      <c r="L638" s="310" t="inlineStr">
        <is>
          <t>ND</t>
        </is>
      </c>
      <c r="M638" s="1420" t="inlineStr">
        <is>
          <t>IndMobAct</t>
        </is>
      </c>
      <c r="N638" s="257" t="inlineStr">
        <is>
          <t>Obligatoire sous conditions</t>
        </is>
      </c>
      <c r="O638" s="310" t="inlineStr">
        <is>
          <t>Mandatory under conditions</t>
        </is>
      </c>
      <c r="P638" s="269" t="inlineStr">
        <is>
          <t>LC.0345</t>
        </is>
      </c>
      <c r="Q638" s="269" t="inlineStr">
        <is>
          <t>TA Z8IEAMBC</t>
        </is>
      </c>
      <c r="R638" s="241" t="inlineStr">
        <is>
          <t>NA</t>
        </is>
      </c>
      <c r="S638" s="233" t="inlineStr">
        <is>
          <t>NA</t>
        </is>
      </c>
      <c r="T638" s="313" t="inlineStr">
        <is>
          <t>ALPHA</t>
        </is>
      </c>
      <c r="U638" s="237" t="inlineStr">
        <is>
          <t>NA</t>
        </is>
      </c>
      <c r="V638" s="238" t="inlineStr">
        <is>
          <t>NA</t>
        </is>
      </c>
      <c r="W638" s="257" t="n">
        <v>1</v>
      </c>
      <c r="X638" s="945" t="inlineStr">
        <is>
          <t>NA</t>
        </is>
      </c>
      <c r="Y638" s="237" t="n">
        <v>43</v>
      </c>
      <c r="Z638" s="237" t="inlineStr">
        <is>
          <t>NA</t>
        </is>
      </c>
      <c r="AA638" s="270" t="inlineStr">
        <is>
          <t>NA</t>
        </is>
      </c>
      <c r="AB638" s="994" t="inlineStr">
        <is>
          <t>AER, PALMA</t>
        </is>
      </c>
      <c r="AC638" s="231" t="inlineStr">
        <is>
          <t>ND</t>
        </is>
      </c>
      <c r="AD638" s="257" t="inlineStr">
        <is>
          <t>N</t>
        </is>
      </c>
      <c r="AE638" s="257" t="inlineStr">
        <is>
          <t xml:space="preserve">TRE2 à 4XX hors 203,205,206,207
TRE203, 205, 207
TRE206
TRE5XX
</t>
        </is>
      </c>
      <c r="AF638" s="257" t="inlineStr">
        <is>
          <t>NA</t>
        </is>
      </c>
      <c r="AG638" s="258" t="inlineStr">
        <is>
          <t>NA</t>
        </is>
      </c>
      <c r="AH638" s="89" t="n"/>
      <c r="AI638" s="316" t="inlineStr">
        <is>
          <t>La donnée est obligatoire si le type de risque [P1 2.0] = 'TRE2xx' à 'TRE4xx','TRE5xx'</t>
        </is>
      </c>
      <c r="AJ638" s="317" t="inlineStr">
        <is>
          <t>The data is mandatory if risk type [P1 2.0] = 'TRE2xx' to 'TRE4xx','TRE5xx'</t>
        </is>
      </c>
      <c r="AK638" s="257" t="n">
        <v>6</v>
      </c>
      <c r="AL638" s="335" t="inlineStr">
        <is>
          <t>TPS0891</t>
        </is>
      </c>
      <c r="AM638" s="452" t="inlineStr">
        <is>
          <t>Si elle est renseignée, la valeur doit être connue du Langage Commun associé</t>
        </is>
      </c>
      <c r="AN638" s="377" t="inlineStr">
        <is>
          <t>If specified, the value must be known to the associated Common Language</t>
        </is>
      </c>
      <c r="AO638" s="257" t="n">
        <v>7</v>
      </c>
      <c r="AP638" s="212" t="inlineStr">
        <is>
          <t>TIG0001</t>
        </is>
      </c>
      <c r="AQ638" s="318" t="n"/>
      <c r="AR638" s="317" t="n"/>
      <c r="AS638" s="257" t="n"/>
      <c r="AT638" s="258" t="n"/>
      <c r="AU638" s="318" t="n"/>
      <c r="AV638" s="317" t="n"/>
      <c r="AW638" s="257" t="n"/>
      <c r="AX638" s="258" t="n"/>
      <c r="AY638" s="318" t="n"/>
      <c r="AZ638" s="317" t="n"/>
      <c r="BA638" s="257" t="n"/>
      <c r="BB638" s="258" t="n"/>
      <c r="BC638" s="316" t="n"/>
      <c r="BD638" s="317" t="n"/>
      <c r="BE638" s="257" t="n"/>
      <c r="BF638" s="258" t="n"/>
      <c r="BG638" s="89" t="n"/>
      <c r="BH6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38">
        <f>_xlfn.LET(r,ROW(),oc,INDEX($A:$A,r),cv,TRIM(INDEX($Y:$Y,r)&amp;""),IF(oc&lt;&gt;"P1","",IF(cv="45","V45 - novo, nao alimentado pelo spool atual","V44 - alimentado pelo spool atual")))</f>
        <v/>
      </c>
    </row>
    <row r="639" ht="54" customFormat="1" customHeight="1" s="91">
      <c r="A639" s="306" t="inlineStr">
        <is>
          <t>P1</t>
        </is>
      </c>
      <c r="B639" s="307" t="n">
        <v>404</v>
      </c>
      <c r="C639" s="269" t="inlineStr">
        <is>
          <t xml:space="preserve">26 - Caractéristiques d'encombrement </t>
        </is>
      </c>
      <c r="D639" s="236" t="inlineStr">
        <is>
          <t>26 - Encumbrance caracteristics</t>
        </is>
      </c>
      <c r="E639" s="307" t="inlineStr">
        <is>
          <t>P1 26.3</t>
        </is>
      </c>
      <c r="F639" s="374" t="inlineStr">
        <is>
          <t xml:space="preserve">Référence de mobilisation de l'actif </t>
        </is>
      </c>
      <c r="G639" s="309" t="inlineStr">
        <is>
          <t>Asset mobilization reference</t>
        </is>
      </c>
      <c r="H639" s="1493">
        <f>"RPAD( "&amp;SUBSTITUTE(SUBSTITUTE(E639," ","_"),".","_")&amp;","&amp;W639&amp;",' '); -- "&amp;E639</f>
        <v/>
      </c>
      <c r="I639" s="665" t="inlineStr">
        <is>
          <t>Référence locale de mobilisation de l'actif qui sert de clé dans la fabrication du lien de mobilisation</t>
        </is>
      </c>
      <c r="J639" s="233" t="inlineStr">
        <is>
          <t>Local asset mobilization reference which serves as a key in the fabrication of the mobilization link</t>
        </is>
      </c>
      <c r="K639" s="269" t="inlineStr">
        <is>
          <t>ND</t>
        </is>
      </c>
      <c r="L639" s="310" t="inlineStr">
        <is>
          <t>ND</t>
        </is>
      </c>
      <c r="M639" s="1420" t="inlineStr">
        <is>
          <t>RefMobAct</t>
        </is>
      </c>
      <c r="N639" s="269" t="inlineStr">
        <is>
          <t>Obligatoire sous conditions</t>
        </is>
      </c>
      <c r="O639" s="310" t="inlineStr">
        <is>
          <t>Mandatory under conditions</t>
        </is>
      </c>
      <c r="P639" s="269" t="inlineStr">
        <is>
          <t>NA</t>
        </is>
      </c>
      <c r="Q639" s="269" t="inlineStr">
        <is>
          <t>NA</t>
        </is>
      </c>
      <c r="R639" s="1015" t="inlineStr">
        <is>
          <t>NA</t>
        </is>
      </c>
      <c r="S639" s="233" t="inlineStr">
        <is>
          <t>NA</t>
        </is>
      </c>
      <c r="T639" s="313" t="inlineStr">
        <is>
          <t>ALPHA</t>
        </is>
      </c>
      <c r="U639" s="237" t="inlineStr">
        <is>
          <t>NA</t>
        </is>
      </c>
      <c r="V639" s="238" t="inlineStr">
        <is>
          <t>NA</t>
        </is>
      </c>
      <c r="W639" s="257" t="n">
        <v>3</v>
      </c>
      <c r="X639" s="945" t="inlineStr">
        <is>
          <t>NA</t>
        </is>
      </c>
      <c r="Y639" s="237" t="n">
        <v>43</v>
      </c>
      <c r="Z639" s="237" t="inlineStr">
        <is>
          <t>NA</t>
        </is>
      </c>
      <c r="AA639" s="239" t="inlineStr">
        <is>
          <t>NA</t>
        </is>
      </c>
      <c r="AB639" s="269" t="inlineStr">
        <is>
          <t>AER</t>
        </is>
      </c>
      <c r="AC639" s="231" t="inlineStr">
        <is>
          <t>ND</t>
        </is>
      </c>
      <c r="AD639" s="257" t="inlineStr">
        <is>
          <t>N</t>
        </is>
      </c>
      <c r="AE639" s="666" t="inlineStr">
        <is>
          <t>TRE100
TRE2 à 4XX hors 203,205,206,207
TRE5XX</t>
        </is>
      </c>
      <c r="AF639" s="257" t="inlineStr">
        <is>
          <t>NA</t>
        </is>
      </c>
      <c r="AG639" s="258" t="inlineStr">
        <is>
          <t>NA</t>
        </is>
      </c>
      <c r="AH639" s="89" t="n"/>
      <c r="AI639" s="667" t="inlineStr">
        <is>
          <t>La donnée est obligatoire, si Type de risque [P1 2.0] = 'TRE100, TRE2XX à 5XX (hors TRE203, TRE205, TRE206, TRE207)', ET si l''Indicateur mobilisation de l'actif' [P1 26.1] = ‘3' (Actif mobilisé) ET si le ‘Code organisme de mobilisation' [P1 26.4] n'est pas renseigné</t>
        </is>
      </c>
      <c r="AJ639" s="317" t="inlineStr">
        <is>
          <t>The data is mandatory if Risk type [P1 2.0] = 'TRE100, TRE2XX à 5XX (except TRE203, TRE205, TRE206, TRE207)' AND if the 'Asset mobilisation indicator' [P1 26.1] = ‘3' (Encumbrance asset) AND if ‘Mobilization organization code' [P1 26.4] is not filled</t>
        </is>
      </c>
      <c r="AK639" s="257" t="n">
        <v>6</v>
      </c>
      <c r="AL639" s="345" t="inlineStr">
        <is>
          <t>TPS0892</t>
        </is>
      </c>
      <c r="AM639" s="318" t="n"/>
      <c r="AN639" s="317" t="n"/>
      <c r="AO639" s="257" t="n"/>
      <c r="AP639" s="258" t="n"/>
      <c r="AQ639" s="318" t="n"/>
      <c r="AR639" s="317" t="n"/>
      <c r="AS639" s="257" t="n"/>
      <c r="AT639" s="258" t="n"/>
      <c r="AU639" s="398" t="inlineStr">
        <is>
          <t>Si l'Indicateur mobilisation de l'actif [P1 26.1] = '3' (Actif mobilisé) ET le Code organisme de mobilisation [P1 26.4] est renseigné, alors la Référence de mobilisation de l'actif [P1 26.3] doit être non renseignée</t>
        </is>
      </c>
      <c r="AV639" s="317" t="inlineStr">
        <is>
          <t>If Asset mobilisation indicator [P1 26.1] = '3' (Encumbrance asset) AND Mobilization organization code [P1 26.4] is filled, then the Asset mobilization reference [P1 26.3] must not be filled</t>
        </is>
      </c>
      <c r="AW639" s="257" t="n">
        <v>6</v>
      </c>
      <c r="AX639" s="345" t="inlineStr">
        <is>
          <t>TCS0736</t>
        </is>
      </c>
      <c r="AY639" s="318" t="n"/>
      <c r="AZ639" s="317" t="n"/>
      <c r="BA639" s="257" t="n"/>
      <c r="BB639" s="258" t="n"/>
      <c r="BC639" s="316" t="n"/>
      <c r="BD639" s="317" t="n"/>
      <c r="BE639" s="257" t="n"/>
      <c r="BF639" s="258" t="n"/>
      <c r="BG639" s="89" t="n"/>
      <c r="BH6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39">
        <f>_xlfn.LET(r,ROW(),oc,INDEX($A:$A,r),cv,TRIM(INDEX($Y:$Y,r)&amp;""),IF(oc&lt;&gt;"P1","",IF(cv="45","V45 - novo, nao alimentado pelo spool atual","V44 - alimentado pelo spool atual")))</f>
        <v/>
      </c>
    </row>
    <row r="640" ht="54" customFormat="1" customHeight="1" s="91">
      <c r="A640" s="306" t="inlineStr">
        <is>
          <t>P1</t>
        </is>
      </c>
      <c r="B640" s="307" t="n">
        <v>405</v>
      </c>
      <c r="C640" s="269" t="inlineStr">
        <is>
          <t xml:space="preserve">26 - Caractéristiques d'encombrement </t>
        </is>
      </c>
      <c r="D640" s="236" t="inlineStr">
        <is>
          <t>26 - Encumbrance caracteristics</t>
        </is>
      </c>
      <c r="E640" s="307" t="inlineStr">
        <is>
          <t>P1 26.4</t>
        </is>
      </c>
      <c r="F640" s="374" t="inlineStr">
        <is>
          <t xml:space="preserve">Code organisme de mobilisation </t>
        </is>
      </c>
      <c r="G640" s="309" t="inlineStr">
        <is>
          <t xml:space="preserve">Mobilization organization code </t>
        </is>
      </c>
      <c r="H640" s="1493">
        <f>"RPAD( "&amp;SUBSTITUTE(SUBSTITUTE(E640," ","_"),".","_")&amp;","&amp;W640&amp;",' '); -- "&amp;E640</f>
        <v/>
      </c>
      <c r="I640" s="665" t="inlineStr">
        <is>
          <t>Référence normalisée de l'organisme de mobilisation gérée par le système Crédit Agricole SA ACREA</t>
        </is>
      </c>
      <c r="J640" s="233" t="inlineStr">
        <is>
          <t>Standard reference of the mobilization organization managed by the Crédit Agricole SA ACREA system</t>
        </is>
      </c>
      <c r="K640" s="269" t="inlineStr">
        <is>
          <t>ND</t>
        </is>
      </c>
      <c r="L640" s="310" t="inlineStr">
        <is>
          <t>ND</t>
        </is>
      </c>
      <c r="M640" s="1420" t="inlineStr">
        <is>
          <t>CdOrgMob</t>
        </is>
      </c>
      <c r="N640" s="269" t="inlineStr">
        <is>
          <t>Obligatoire sous conditions</t>
        </is>
      </c>
      <c r="O640" s="310" t="inlineStr">
        <is>
          <t>Mandatory under conditions</t>
        </is>
      </c>
      <c r="P640" s="269" t="inlineStr">
        <is>
          <t>LC.0346</t>
        </is>
      </c>
      <c r="Q640" s="269" t="inlineStr">
        <is>
          <t>RB 0793</t>
        </is>
      </c>
      <c r="R640" s="668" t="inlineStr">
        <is>
          <t xml:space="preserve">Ce champ est obligatoire pour les mobilisations de créances notamment dans le cadre d'opération de refinancement et de titrisation.
Les opérations suivantes ne sont pas concernées par ce champ : 
- REPO : utilisation du code isin pour faire le lien entre titre et repo
- Dérivés : utilisation du contrat de collatéralisation / netting 
</t>
        </is>
      </c>
      <c r="S640" s="233" t="inlineStr">
        <is>
          <t>This field is mandatory for the mobilization of receivables, particularly in the context of refinancing and securitization transactions.
The following operations are not covered by this field:
- REPO: use of isin code to link security and repo
- Derivatives: use of the collateralization / netting agreement</t>
        </is>
      </c>
      <c r="T640" s="313" t="inlineStr">
        <is>
          <t>ALPHA</t>
        </is>
      </c>
      <c r="U640" s="237" t="inlineStr">
        <is>
          <t>NA</t>
        </is>
      </c>
      <c r="V640" s="238" t="inlineStr">
        <is>
          <t>NA</t>
        </is>
      </c>
      <c r="W640" s="257" t="n">
        <v>3</v>
      </c>
      <c r="X640" s="945" t="inlineStr">
        <is>
          <t>NA</t>
        </is>
      </c>
      <c r="Y640" s="237" t="n">
        <v>43</v>
      </c>
      <c r="Z640" s="237" t="inlineStr">
        <is>
          <t>NA</t>
        </is>
      </c>
      <c r="AA640" s="270" t="inlineStr">
        <is>
          <t>NA</t>
        </is>
      </c>
      <c r="AB640" s="994" t="inlineStr">
        <is>
          <t>AER, PALMA</t>
        </is>
      </c>
      <c r="AC640" s="231" t="inlineStr">
        <is>
          <t>ND</t>
        </is>
      </c>
      <c r="AD640" s="257" t="inlineStr">
        <is>
          <t>N</t>
        </is>
      </c>
      <c r="AE640" s="666" t="inlineStr">
        <is>
          <t>TRE100
TRE2 à 4XX hors 203,205,206,207
TRE5XX</t>
        </is>
      </c>
      <c r="AF640" s="257" t="inlineStr">
        <is>
          <t>NA</t>
        </is>
      </c>
      <c r="AG640" s="258" t="inlineStr">
        <is>
          <t>NA</t>
        </is>
      </c>
      <c r="AH640" s="89" t="n"/>
      <c r="AI640" s="667" t="inlineStr">
        <is>
          <t>La donnée est obligatoire, si Type de risque [P1 2.0] = 'TRE100, TRE2XX à 5XX (hors TRE203, TRE205, TRE206, TRE207)', ET si l''Indicateur mobilisation de l'actif' [P1 26.1] = ‘3' (Actif mobilisé) ET si la ‘Référence de mobilisation de l'actif' [P1 26.3] n'est pas renseignée</t>
        </is>
      </c>
      <c r="AJ640" s="317" t="inlineStr">
        <is>
          <t>The data is mandatory if Risk type [P1 2.0] = 'TRE100, TRE2XX à 5XX (except TRE203, TRE205, TRE206, TRE207)' AND if 'Asset mobilisation indicator' [P1 26.1] = ‘3' (Encumbrance asset) AND if the ‘Asset mobilization reference' [P1 26.3] is not filled</t>
        </is>
      </c>
      <c r="AK640" s="257" t="n">
        <v>6</v>
      </c>
      <c r="AL640" s="345" t="inlineStr">
        <is>
          <t>TPS0893</t>
        </is>
      </c>
      <c r="AM640" s="452" t="inlineStr">
        <is>
          <t>Si elle est renseignée, la valeur doit être connue du Langage Commun associé</t>
        </is>
      </c>
      <c r="AN640" s="377" t="inlineStr">
        <is>
          <t>If specified, the value must be known to the associated Common Language</t>
        </is>
      </c>
      <c r="AO640" s="257" t="n">
        <v>7</v>
      </c>
      <c r="AP640" s="212" t="inlineStr">
        <is>
          <t>TIG0001</t>
        </is>
      </c>
      <c r="AQ640" s="318" t="n"/>
      <c r="AR640" s="317" t="n"/>
      <c r="AS640" s="257" t="n"/>
      <c r="AT640" s="258" t="n"/>
      <c r="AU640" s="398" t="inlineStr">
        <is>
          <t>Si l'Indicateur mobilisation de l'actif [P1 26.1] = '3' (Actif mobilisé) ET la Référence de mobilisation de l'actif [P1 26.3] est renseignée, alors le Code organisme de mobilisation [P1 26.4] doit être non renseigné</t>
        </is>
      </c>
      <c r="AV640" s="317" t="inlineStr">
        <is>
          <t>If Asset mobilisation indicator [P1 26.1] = ‘3' (Encumbrance asset) AND Asset mobilization reference [P1 26.3] is filled in, then the Mobilization organization code [P1 26.4] must not be filled</t>
        </is>
      </c>
      <c r="AW640" s="257" t="n">
        <v>6</v>
      </c>
      <c r="AX640" s="345" t="inlineStr">
        <is>
          <t>TCS0737</t>
        </is>
      </c>
      <c r="AY640" s="318" t="n"/>
      <c r="AZ640" s="317" t="n"/>
      <c r="BA640" s="257" t="n"/>
      <c r="BB640" s="258" t="n"/>
      <c r="BC640" s="316" t="n"/>
      <c r="BD640" s="317" t="n"/>
      <c r="BE640" s="257" t="n"/>
      <c r="BF640" s="258" t="n"/>
      <c r="BG640" s="89" t="n"/>
      <c r="BH6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40">
        <f>_xlfn.LET(r,ROW(),oc,INDEX($A:$A,r),cv,TRIM(INDEX($Y:$Y,r)&amp;""),IF(oc&lt;&gt;"P1","",IF(cv="45","V45 - novo, nao alimentado pelo spool atual","V44 - alimentado pelo spool atual")))</f>
        <v/>
      </c>
    </row>
    <row r="641" ht="54" customFormat="1" customHeight="1" s="57">
      <c r="A641" s="325" t="inlineStr">
        <is>
          <t>P1</t>
        </is>
      </c>
      <c r="B641" s="326" t="n">
        <v>406</v>
      </c>
      <c r="C641" s="284" t="inlineStr">
        <is>
          <t>03 - Caractéristiques Générales</t>
        </is>
      </c>
      <c r="D641" s="244" t="inlineStr">
        <is>
          <t>03 - General characteristics</t>
        </is>
      </c>
      <c r="E641" s="326" t="inlineStr">
        <is>
          <t>P1 26.99</t>
        </is>
      </c>
      <c r="F641" s="327" t="inlineStr">
        <is>
          <t>Zone réservée Asset Encumbrance</t>
        </is>
      </c>
      <c r="G641" s="327" t="inlineStr">
        <is>
          <t>Zone reserved Asset Encumbrance</t>
        </is>
      </c>
      <c r="H641" s="1493">
        <f>"RPAD( "&amp;SUBSTITUTE(SUBSTITUTE(E641," ","_"),".","_")&amp;","&amp;W641&amp;",' '); -- "&amp;E641</f>
        <v/>
      </c>
      <c r="I641" s="245" t="inlineStr">
        <is>
          <t>Zone réservée Asset Encumbrance</t>
        </is>
      </c>
      <c r="J641" s="327" t="inlineStr">
        <is>
          <t>Zone reserved Asset Encumbrance</t>
        </is>
      </c>
      <c r="K641" s="328" t="inlineStr">
        <is>
          <t>NA</t>
        </is>
      </c>
      <c r="L641" s="328" t="inlineStr">
        <is>
          <t>NA</t>
        </is>
      </c>
      <c r="M641" s="1421" t="inlineStr">
        <is>
          <t>ZoneResASSEncumb</t>
        </is>
      </c>
      <c r="N641" s="284" t="inlineStr">
        <is>
          <t>NA</t>
        </is>
      </c>
      <c r="O641" s="284" t="inlineStr">
        <is>
          <t>NA</t>
        </is>
      </c>
      <c r="P641" s="284" t="inlineStr">
        <is>
          <t>NA</t>
        </is>
      </c>
      <c r="Q641" s="284" t="inlineStr">
        <is>
          <t>NA</t>
        </is>
      </c>
      <c r="R641" s="245" t="inlineStr">
        <is>
          <t>NA</t>
        </is>
      </c>
      <c r="S641" s="245" t="inlineStr">
        <is>
          <t>NA</t>
        </is>
      </c>
      <c r="T641" s="326" t="inlineStr">
        <is>
          <t>ALPHA</t>
        </is>
      </c>
      <c r="U641" s="248" t="inlineStr">
        <is>
          <t>NA</t>
        </is>
      </c>
      <c r="V641" s="248" t="inlineStr">
        <is>
          <t>NA</t>
        </is>
      </c>
      <c r="W641" s="284" t="n">
        <v>44</v>
      </c>
      <c r="X641" s="244" t="inlineStr">
        <is>
          <t>NA</t>
        </is>
      </c>
      <c r="Y641" s="248" t="inlineStr">
        <is>
          <t>NA</t>
        </is>
      </c>
      <c r="Z641" s="248" t="inlineStr">
        <is>
          <t>NA</t>
        </is>
      </c>
      <c r="AA641" s="249" t="inlineStr">
        <is>
          <t>NA</t>
        </is>
      </c>
      <c r="AB641" s="284" t="inlineStr">
        <is>
          <t>NA</t>
        </is>
      </c>
      <c r="AC641" s="244" t="inlineStr">
        <is>
          <t>NA</t>
        </is>
      </c>
      <c r="AD641" s="284" t="inlineStr">
        <is>
          <t>N</t>
        </is>
      </c>
      <c r="AE641" s="284" t="inlineStr">
        <is>
          <t>NA</t>
        </is>
      </c>
      <c r="AF641" s="284" t="inlineStr">
        <is>
          <t>NA</t>
        </is>
      </c>
      <c r="AG641" s="285" t="inlineStr">
        <is>
          <t>NA</t>
        </is>
      </c>
      <c r="AH641" s="89" t="n"/>
      <c r="AI641" s="330" t="n"/>
      <c r="AJ641" s="331" t="n"/>
      <c r="AK641" s="284" t="n"/>
      <c r="AL641" s="285" t="n"/>
      <c r="AM641" s="331" t="n"/>
      <c r="AN641" s="331" t="n"/>
      <c r="AO641" s="284" t="n"/>
      <c r="AP641" s="285" t="n"/>
      <c r="AQ641" s="331" t="n"/>
      <c r="AR641" s="331" t="n"/>
      <c r="AS641" s="284" t="n"/>
      <c r="AT641" s="285" t="n"/>
      <c r="AU641" s="331" t="n"/>
      <c r="AV641" s="331" t="n"/>
      <c r="AW641" s="284" t="n"/>
      <c r="AX641" s="285" t="n"/>
      <c r="AY641" s="331" t="n"/>
      <c r="AZ641" s="331" t="n"/>
      <c r="BA641" s="284" t="n"/>
      <c r="BB641" s="285" t="n"/>
      <c r="BC641" s="330" t="n"/>
      <c r="BD641" s="331" t="n"/>
      <c r="BE641" s="284" t="n"/>
      <c r="BF641" s="285" t="n"/>
      <c r="BG641" s="89" t="n"/>
      <c r="BH6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41">
        <f>_xlfn.LET(r,ROW(),oc,INDEX($A:$A,r),cv,TRIM(INDEX($Y:$Y,r)&amp;""),IF(oc&lt;&gt;"P1","",IF(cv="45","V45 - novo, nao alimentado pelo spool atual","V44 - alimentado pelo spool atual")))</f>
        <v/>
      </c>
    </row>
    <row r="642" ht="54" customFormat="1" customHeight="1" s="91">
      <c r="A642" s="306" t="inlineStr">
        <is>
          <t>P1</t>
        </is>
      </c>
      <c r="B642" s="307" t="n">
        <v>407</v>
      </c>
      <c r="C642" s="269" t="inlineStr">
        <is>
          <t>03 - Caractéristiques Générales</t>
        </is>
      </c>
      <c r="D642" s="310" t="inlineStr">
        <is>
          <t>03 - General characteristics</t>
        </is>
      </c>
      <c r="E642" s="307" t="inlineStr">
        <is>
          <t>P1 27.1</t>
        </is>
      </c>
      <c r="F642" s="375" t="inlineStr">
        <is>
          <t xml:space="preserve">Montant cumulé des recouvrements depuis le défaut </t>
        </is>
      </c>
      <c r="G642" s="309" t="inlineStr">
        <is>
          <t>Amount of cumulative recoveries since default</t>
        </is>
      </c>
      <c r="H642" s="1493">
        <f>"RPAD( "&amp;SUBSTITUTE(SUBSTITUTE(E642," ","_"),".","_")&amp;","&amp;W642&amp;",' '); -- "&amp;E642</f>
        <v/>
      </c>
      <c r="I642" s="375" t="inlineStr">
        <is>
          <t>Montant cumulé des recouvrements depuis le défaut associé à l'encours</t>
        </is>
      </c>
      <c r="J642" s="309" t="inlineStr">
        <is>
          <t>Cumulative recoveries since the default associated with outstanding</t>
        </is>
      </c>
      <c r="K642" s="370" t="inlineStr">
        <is>
          <t>ND</t>
        </is>
      </c>
      <c r="L642" s="371" t="inlineStr">
        <is>
          <t>ND</t>
        </is>
      </c>
      <c r="M642" s="1420" t="inlineStr">
        <is>
          <t>mtCumRecouvr</t>
        </is>
      </c>
      <c r="N642" s="449" t="inlineStr">
        <is>
          <t>Facultatif</t>
        </is>
      </c>
      <c r="O642" s="284" t="inlineStr">
        <is>
          <t>Optional</t>
        </is>
      </c>
      <c r="P642" s="269" t="inlineStr">
        <is>
          <t>NA</t>
        </is>
      </c>
      <c r="Q642" s="269" t="inlineStr">
        <is>
          <t>NA</t>
        </is>
      </c>
      <c r="R642" s="241" t="inlineStr">
        <is>
          <t>NA</t>
        </is>
      </c>
      <c r="S642" s="233" t="inlineStr">
        <is>
          <t>NA</t>
        </is>
      </c>
      <c r="T642" s="313" t="inlineStr">
        <is>
          <t>NUM</t>
        </is>
      </c>
      <c r="U642" s="237" t="inlineStr">
        <is>
          <t>19 dont signe et 2 décimales</t>
        </is>
      </c>
      <c r="V642" s="238" t="inlineStr">
        <is>
          <t>19 including sign and 2 decimals</t>
        </is>
      </c>
      <c r="W642" s="257" t="n">
        <v>19</v>
      </c>
      <c r="X642" s="945" t="inlineStr">
        <is>
          <t>NA</t>
        </is>
      </c>
      <c r="Y642" s="237" t="n">
        <v>41</v>
      </c>
      <c r="Z642" s="237" t="inlineStr">
        <is>
          <t>NA</t>
        </is>
      </c>
      <c r="AA642" s="237" t="inlineStr">
        <is>
          <t>NA</t>
        </is>
      </c>
      <c r="AB642" s="269" t="inlineStr">
        <is>
          <t>ANACREDIT, LOAN TAPE, SHS</t>
        </is>
      </c>
      <c r="AC642" s="231" t="inlineStr">
        <is>
          <t>ND</t>
        </is>
      </c>
      <c r="AD642" s="257" t="inlineStr">
        <is>
          <t>N</t>
        </is>
      </c>
      <c r="AE642" s="971" t="inlineStr">
        <is>
          <t>EQU101
EQU201
ISS100
ISS200 et 300
TRE100
TRE2 à 4XX hors 203,205,206,207
TRE203, 205, 207
TRE206
TRE5XX
SIG
VAR*
INT</t>
        </is>
      </c>
      <c r="AF642" s="257" t="inlineStr">
        <is>
          <t>NA</t>
        </is>
      </c>
      <c r="AG642" s="258" t="inlineStr">
        <is>
          <t>NA</t>
        </is>
      </c>
      <c r="AH642" s="89" t="n"/>
      <c r="AI642" s="316" t="n"/>
      <c r="AJ642" s="317" t="n"/>
      <c r="AK642" s="257" t="n"/>
      <c r="AL642" s="258" t="n"/>
      <c r="AM642" s="318" t="n"/>
      <c r="AN642" s="317" t="n"/>
      <c r="AO642" s="257" t="n"/>
      <c r="AP642" s="258" t="n"/>
      <c r="AQ642" s="318" t="inlineStr">
        <is>
          <t>Si renseignée, la donnée doit être positive (supérieure ou égale à 0)</t>
        </is>
      </c>
      <c r="AR642" s="317" t="inlineStr">
        <is>
          <t xml:space="preserve">If filled, data must be positive (greater or equal to 0) </t>
        </is>
      </c>
      <c r="AS642" s="257" t="n">
        <v>7</v>
      </c>
      <c r="AT642" s="366" t="inlineStr">
        <is>
          <t>TVG0001</t>
        </is>
      </c>
      <c r="AU642" s="318" t="n"/>
      <c r="AV642" s="317" t="n"/>
      <c r="AW642" s="257" t="n"/>
      <c r="AX642" s="258" t="n"/>
      <c r="AY642" s="318" t="n"/>
      <c r="AZ642" s="317" t="n"/>
      <c r="BA642" s="257" t="n"/>
      <c r="BB642" s="258" t="n"/>
      <c r="BC642" s="316" t="n"/>
      <c r="BD642" s="317" t="n"/>
      <c r="BE642" s="257" t="n"/>
      <c r="BF642" s="258" t="n"/>
      <c r="BG642" s="89" t="n"/>
      <c r="BH6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42">
        <f>_xlfn.LET(r,ROW(),oc,INDEX($A:$A,r),cv,TRIM(INDEX($Y:$Y,r)&amp;""),IF(oc&lt;&gt;"P1","",IF(cv="45","V45 - novo, nao alimentado pelo spool atual","V44 - alimentado pelo spool atual")))</f>
        <v/>
      </c>
    </row>
    <row r="643" ht="54" customFormat="1" customHeight="1" s="91">
      <c r="A643" s="306" t="inlineStr">
        <is>
          <t>P1</t>
        </is>
      </c>
      <c r="B643" s="307" t="n">
        <v>408</v>
      </c>
      <c r="C643" s="269" t="inlineStr">
        <is>
          <t>03 - Caractéristiques Générales</t>
        </is>
      </c>
      <c r="D643" s="310" t="inlineStr">
        <is>
          <t>03 - General characteristics</t>
        </is>
      </c>
      <c r="E643" s="307" t="inlineStr">
        <is>
          <t>P1 27.2</t>
        </is>
      </c>
      <c r="F643" s="375" t="inlineStr">
        <is>
          <t xml:space="preserve">Devise du montant cumulé des recouvrements depuis le défaut </t>
        </is>
      </c>
      <c r="G643" s="309" t="inlineStr">
        <is>
          <t>Currency of the amount of cumulative recoveries since default</t>
        </is>
      </c>
      <c r="H643" s="1493">
        <f>"RPAD( "&amp;SUBSTITUTE(SUBSTITUTE(E643," ","_"),".","_")&amp;","&amp;W643&amp;",' '); -- "&amp;E643</f>
        <v/>
      </c>
      <c r="I643" s="241" t="inlineStr">
        <is>
          <t>Devise des montants recouvrés depuis le défaut</t>
        </is>
      </c>
      <c r="J643" s="309" t="inlineStr">
        <is>
          <t>Currency of the amount of cumulative recoveries since default</t>
        </is>
      </c>
      <c r="K643" s="370" t="inlineStr">
        <is>
          <t>ND</t>
        </is>
      </c>
      <c r="L643" s="371" t="inlineStr">
        <is>
          <t>ND</t>
        </is>
      </c>
      <c r="M643" s="1420" t="inlineStr">
        <is>
          <t>cdDevMtCumRecouvr</t>
        </is>
      </c>
      <c r="N643" s="257" t="inlineStr">
        <is>
          <t>Obligatoire sous conditions</t>
        </is>
      </c>
      <c r="O643" s="284" t="inlineStr">
        <is>
          <t>Mandatory under conditions</t>
        </is>
      </c>
      <c r="P643" s="269" t="inlineStr">
        <is>
          <t>LC.0005</t>
        </is>
      </c>
      <c r="Q643" s="269" t="inlineStr">
        <is>
          <t>TA NM253</t>
        </is>
      </c>
      <c r="R643" s="241" t="inlineStr">
        <is>
          <t>NA</t>
        </is>
      </c>
      <c r="S643" s="233" t="inlineStr">
        <is>
          <t>NA</t>
        </is>
      </c>
      <c r="T643" s="313" t="inlineStr">
        <is>
          <t>ALPHA</t>
        </is>
      </c>
      <c r="U643" s="237" t="inlineStr">
        <is>
          <t>NA</t>
        </is>
      </c>
      <c r="V643" s="238" t="inlineStr">
        <is>
          <t>NA</t>
        </is>
      </c>
      <c r="W643" s="257" t="n">
        <v>3</v>
      </c>
      <c r="X643" s="945" t="inlineStr">
        <is>
          <t>NA</t>
        </is>
      </c>
      <c r="Y643" s="237" t="n">
        <v>41</v>
      </c>
      <c r="Z643" s="237" t="inlineStr">
        <is>
          <t>NA</t>
        </is>
      </c>
      <c r="AA643" s="237" t="inlineStr">
        <is>
          <t>NA</t>
        </is>
      </c>
      <c r="AB643" s="269" t="inlineStr">
        <is>
          <t>ANACREDIT, LOAN TAPE, SHS</t>
        </is>
      </c>
      <c r="AC643" s="231" t="inlineStr">
        <is>
          <t>ND</t>
        </is>
      </c>
      <c r="AD643" s="257" t="inlineStr">
        <is>
          <t>N</t>
        </is>
      </c>
      <c r="AE643" s="971" t="inlineStr">
        <is>
          <t>EQU101
EQU201
ISS100
ISS200 et 300
TRE100
TRE2 à 4XX hors 203,205,206,207
TRE203, 205, 207
TRE206
TRE5XX
SIG
VAR*
INT</t>
        </is>
      </c>
      <c r="AF643" s="257" t="inlineStr">
        <is>
          <t>NA</t>
        </is>
      </c>
      <c r="AG643" s="258" t="inlineStr">
        <is>
          <t>NA</t>
        </is>
      </c>
      <c r="AH643" s="89" t="n"/>
      <c r="AI643" s="316" t="inlineStr">
        <is>
          <t>La donnée est obligatoire si le montant cumulé des recouvrements depuis le défaut [P1 27.1] est renseigné</t>
        </is>
      </c>
      <c r="AJ643" s="317" t="inlineStr">
        <is>
          <t>The data is mandatory if the cumulative amount of collections since default [P1 27.1] is filled</t>
        </is>
      </c>
      <c r="AK643" s="257" t="n">
        <v>7</v>
      </c>
      <c r="AL643" s="335" t="inlineStr">
        <is>
          <t>TPG0002</t>
        </is>
      </c>
      <c r="AM643" s="318" t="inlineStr">
        <is>
          <t>Si elle est renseignée, la valeur doit être connue du Langage Commun associé</t>
        </is>
      </c>
      <c r="AN643" s="317" t="inlineStr">
        <is>
          <t>If specified, the value must be known to the associated Common Language</t>
        </is>
      </c>
      <c r="AO643" s="257" t="n">
        <v>7</v>
      </c>
      <c r="AP643" s="212" t="inlineStr">
        <is>
          <t>TIG0001</t>
        </is>
      </c>
      <c r="AQ643" s="318" t="n"/>
      <c r="AR643" s="317" t="n"/>
      <c r="AS643" s="257" t="n"/>
      <c r="AT643" s="258" t="n"/>
      <c r="AU643" s="318" t="n"/>
      <c r="AV643" s="317" t="n"/>
      <c r="AW643" s="257" t="n"/>
      <c r="AX643" s="258" t="n"/>
      <c r="AY643" s="318" t="n"/>
      <c r="AZ643" s="317" t="n"/>
      <c r="BA643" s="257" t="n"/>
      <c r="BB643" s="258" t="n"/>
      <c r="BC643" s="316" t="n"/>
      <c r="BD643" s="317" t="n"/>
      <c r="BE643" s="257" t="n"/>
      <c r="BF643" s="258" t="n"/>
      <c r="BG643" s="89" t="n"/>
      <c r="BH6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43">
        <f>_xlfn.LET(r,ROW(),oc,INDEX($A:$A,r),cv,TRIM(INDEX($Y:$Y,r)&amp;""),IF(oc&lt;&gt;"P1","",IF(cv="45","V45 - novo, nao alimentado pelo spool atual","V44 - alimentado pelo spool atual")))</f>
        <v/>
      </c>
    </row>
    <row r="644" ht="54" customFormat="1" customHeight="1" s="91">
      <c r="A644" s="306" t="inlineStr">
        <is>
          <t>P1</t>
        </is>
      </c>
      <c r="B644" s="307" t="n">
        <v>409</v>
      </c>
      <c r="C644" s="269" t="inlineStr">
        <is>
          <t>03 - Caractéristiques Générales</t>
        </is>
      </c>
      <c r="D644" s="310" t="inlineStr">
        <is>
          <t>03 - General characteristics</t>
        </is>
      </c>
      <c r="E644" s="307" t="inlineStr">
        <is>
          <t>P1 27.3</t>
        </is>
      </c>
      <c r="F644" s="308" t="inlineStr">
        <is>
          <t>Eligibilité Outil Central ANACREDIT</t>
        </is>
      </c>
      <c r="G644" s="309" t="inlineStr">
        <is>
          <t>Eligibility for the ANACREDIT Central tool</t>
        </is>
      </c>
      <c r="H644" s="1493">
        <f>"RPAD( "&amp;SUBSTITUTE(SUBSTITUTE(E644," ","_"),".","_")&amp;","&amp;W644&amp;",' '); -- "&amp;E644</f>
        <v/>
      </c>
      <c r="I644" s="241" t="inlineStr">
        <is>
          <t>Permet à l'entité d'indiquer si l'opération est éligible à l'outil Central AnaCredit</t>
        </is>
      </c>
      <c r="J644" s="233" t="inlineStr">
        <is>
          <t>Allows the entity to indicate whether the transaction is eligible for AnaCredit Central tool</t>
        </is>
      </c>
      <c r="K644" s="269" t="inlineStr">
        <is>
          <t>ND</t>
        </is>
      </c>
      <c r="L644" s="310" t="inlineStr">
        <is>
          <t>ND</t>
        </is>
      </c>
      <c r="M644" s="1420" t="inlineStr">
        <is>
          <t>cdAnaCred</t>
        </is>
      </c>
      <c r="N644" s="257" t="inlineStr">
        <is>
          <t>Obligatoire</t>
        </is>
      </c>
      <c r="O644" s="310" t="inlineStr">
        <is>
          <t>Mandatory</t>
        </is>
      </c>
      <c r="P644" s="269" t="inlineStr">
        <is>
          <t>LC.0329</t>
        </is>
      </c>
      <c r="Q644" s="269" t="inlineStr">
        <is>
          <t>TA Z8ELIANA</t>
        </is>
      </c>
      <c r="R644" s="241" t="inlineStr">
        <is>
          <t>NA</t>
        </is>
      </c>
      <c r="S644" s="233" t="inlineStr">
        <is>
          <t>NA</t>
        </is>
      </c>
      <c r="T644" s="313" t="inlineStr">
        <is>
          <t>ALPHA</t>
        </is>
      </c>
      <c r="U644" s="237" t="inlineStr">
        <is>
          <t>NA</t>
        </is>
      </c>
      <c r="V644" s="238" t="inlineStr">
        <is>
          <t>NA</t>
        </is>
      </c>
      <c r="W644" s="257" t="n">
        <v>1</v>
      </c>
      <c r="X644" s="945" t="inlineStr">
        <is>
          <t>NA</t>
        </is>
      </c>
      <c r="Y644" s="237" t="n">
        <v>43</v>
      </c>
      <c r="Z644" s="237" t="inlineStr">
        <is>
          <t>NA</t>
        </is>
      </c>
      <c r="AA644" s="239" t="inlineStr">
        <is>
          <t>NA</t>
        </is>
      </c>
      <c r="AB644" s="269" t="inlineStr">
        <is>
          <t>ANACREDIT</t>
        </is>
      </c>
      <c r="AC644" s="231" t="inlineStr">
        <is>
          <t>ND</t>
        </is>
      </c>
      <c r="AD644" s="257" t="inlineStr">
        <is>
          <t>N</t>
        </is>
      </c>
      <c r="AE644" s="971" t="inlineStr">
        <is>
          <t>EQU101
EQU201
ISS100
ISS200 et 300
TRE100
TRE2 à 4XX hors 203,205,206,207
TRE203, 205, 207
TRE206
TRE5XX
SIG
VAR*
INT</t>
        </is>
      </c>
      <c r="AF644" s="257" t="inlineStr">
        <is>
          <t>NA</t>
        </is>
      </c>
      <c r="AG644" s="258" t="inlineStr">
        <is>
          <t>NA</t>
        </is>
      </c>
      <c r="AH644" s="89" t="n"/>
      <c r="AI644" s="316" t="inlineStr">
        <is>
          <t>La donnée est obligatoire</t>
        </is>
      </c>
      <c r="AJ644" s="317" t="inlineStr">
        <is>
          <t>The data is mandatory</t>
        </is>
      </c>
      <c r="AK644" s="257" t="n">
        <v>7</v>
      </c>
      <c r="AL644" s="335" t="inlineStr">
        <is>
          <t>TPG0001</t>
        </is>
      </c>
      <c r="AM644" s="452" t="inlineStr">
        <is>
          <t>Si elle est renseignée, la valeur doit être connue du Langage Commun associé</t>
        </is>
      </c>
      <c r="AN644" s="377" t="inlineStr">
        <is>
          <t>If specified, the value must be known to the associated Common Language</t>
        </is>
      </c>
      <c r="AO644" s="257" t="n">
        <v>7</v>
      </c>
      <c r="AP644" s="212" t="inlineStr">
        <is>
          <t>TIG0001</t>
        </is>
      </c>
      <c r="AQ644" s="318" t="n"/>
      <c r="AR644" s="317" t="n"/>
      <c r="AS644" s="257" t="n"/>
      <c r="AT644" s="258" t="n"/>
      <c r="AU644" s="318" t="n"/>
      <c r="AV644" s="317" t="n"/>
      <c r="AW644" s="257" t="n"/>
      <c r="AX644" s="258" t="n"/>
      <c r="AY644" s="318" t="n"/>
      <c r="AZ644" s="317" t="n"/>
      <c r="BA644" s="257" t="n"/>
      <c r="BB644" s="258" t="n"/>
      <c r="BC644" s="316" t="n"/>
      <c r="BD644" s="317" t="n"/>
      <c r="BE644" s="257" t="n"/>
      <c r="BF644" s="258" t="n"/>
      <c r="BG644" s="89" t="n"/>
      <c r="BH6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44">
        <f>_xlfn.LET(r,ROW(),oc,INDEX($A:$A,r),cv,TRIM(INDEX($Y:$Y,r)&amp;""),IF(oc&lt;&gt;"P1","",IF(cv="45","V45 - novo, nao alimentado pelo spool atual","V44 - alimentado pelo spool atual")))</f>
        <v/>
      </c>
    </row>
    <row r="645" ht="54" customFormat="1" customHeight="1" s="91">
      <c r="A645" s="306" t="inlineStr">
        <is>
          <t>P1</t>
        </is>
      </c>
      <c r="B645" s="307" t="n">
        <v>410</v>
      </c>
      <c r="C645" s="269" t="inlineStr">
        <is>
          <t>03 - Caractéristiques Générales</t>
        </is>
      </c>
      <c r="D645" s="310" t="inlineStr">
        <is>
          <t>03 - General characteristics</t>
        </is>
      </c>
      <c r="E645" s="307" t="inlineStr">
        <is>
          <t>P1 27.4</t>
        </is>
      </c>
      <c r="F645" s="308" t="inlineStr">
        <is>
          <t>Motif exclusion à la déclaration ANACREDIT</t>
        </is>
      </c>
      <c r="G645" s="309" t="inlineStr">
        <is>
          <t>Exclusion reason to ANACREDIT reporting</t>
        </is>
      </c>
      <c r="H645" s="1493">
        <f>"RPAD( "&amp;SUBSTITUTE(SUBSTITUTE(E645," ","_"),".","_")&amp;","&amp;W645&amp;",' '); -- "&amp;E645</f>
        <v/>
      </c>
      <c r="I645" s="241" t="inlineStr">
        <is>
          <t>Indique le motif d'exclusion de l'opération à la déclaration AnaCredit</t>
        </is>
      </c>
      <c r="J645" s="233" t="inlineStr">
        <is>
          <t>Indicates the reason for excluding the transaction from the AnaCredit declaration</t>
        </is>
      </c>
      <c r="K645" s="269" t="inlineStr">
        <is>
          <t>ND</t>
        </is>
      </c>
      <c r="L645" s="310" t="inlineStr">
        <is>
          <t>ND</t>
        </is>
      </c>
      <c r="M645" s="1420" t="inlineStr">
        <is>
          <t>cdMotifExcluAnaCred</t>
        </is>
      </c>
      <c r="N645" s="257" t="inlineStr">
        <is>
          <t>Facultatif</t>
        </is>
      </c>
      <c r="O645" s="310" t="inlineStr">
        <is>
          <t>Optional</t>
        </is>
      </c>
      <c r="P645" s="269" t="inlineStr">
        <is>
          <t>LC.0330</t>
        </is>
      </c>
      <c r="Q645" s="269" t="inlineStr">
        <is>
          <t>TA Z8MEXANA</t>
        </is>
      </c>
      <c r="R645" s="241" t="inlineStr">
        <is>
          <t>NA</t>
        </is>
      </c>
      <c r="S645" s="233" t="inlineStr">
        <is>
          <t>NA</t>
        </is>
      </c>
      <c r="T645" s="313" t="inlineStr">
        <is>
          <t>ALPHA</t>
        </is>
      </c>
      <c r="U645" s="237" t="inlineStr">
        <is>
          <t>NA</t>
        </is>
      </c>
      <c r="V645" s="238" t="inlineStr">
        <is>
          <t>NA</t>
        </is>
      </c>
      <c r="W645" s="257" t="n">
        <v>2</v>
      </c>
      <c r="X645" s="945" t="inlineStr">
        <is>
          <t>NA</t>
        </is>
      </c>
      <c r="Y645" s="237" t="n">
        <v>43</v>
      </c>
      <c r="Z645" s="237" t="inlineStr">
        <is>
          <t>NA</t>
        </is>
      </c>
      <c r="AA645" s="239" t="inlineStr">
        <is>
          <t>NA</t>
        </is>
      </c>
      <c r="AB645" s="269" t="inlineStr">
        <is>
          <t>ANACREDIT</t>
        </is>
      </c>
      <c r="AC645" s="231" t="inlineStr">
        <is>
          <t>ND</t>
        </is>
      </c>
      <c r="AD645" s="257" t="inlineStr">
        <is>
          <t>N</t>
        </is>
      </c>
      <c r="AE645" s="971" t="inlineStr">
        <is>
          <t>EQU101
EQU201
ISS100
ISS200 et 300
TRE100
TRE2 à 4XX hors 203,205,206,207
TRE203, 205, 207
TRE206
TRE5XX
SIG
VAR*
INT</t>
        </is>
      </c>
      <c r="AF645" s="257" t="inlineStr">
        <is>
          <t>NA</t>
        </is>
      </c>
      <c r="AG645" s="258" t="inlineStr">
        <is>
          <t>NA</t>
        </is>
      </c>
      <c r="AH645" s="89" t="n"/>
      <c r="AI645" s="316" t="n"/>
      <c r="AJ645" s="317" t="n"/>
      <c r="AK645" s="257" t="n"/>
      <c r="AL645" s="258" t="n"/>
      <c r="AM645" s="452" t="inlineStr">
        <is>
          <t>Si elle est renseignée, la valeur doit être connue du Langage Commun associé</t>
        </is>
      </c>
      <c r="AN645" s="377" t="inlineStr">
        <is>
          <t>If specified, the value must be known to the associated Common Language</t>
        </is>
      </c>
      <c r="AO645" s="257" t="n">
        <v>7</v>
      </c>
      <c r="AP645" s="212" t="inlineStr">
        <is>
          <t>TIG0001</t>
        </is>
      </c>
      <c r="AQ645" s="318" t="n"/>
      <c r="AR645" s="317" t="n"/>
      <c r="AS645" s="257" t="n"/>
      <c r="AT645" s="258" t="n"/>
      <c r="AU645" s="318" t="n"/>
      <c r="AV645" s="317" t="n"/>
      <c r="AW645" s="257" t="n"/>
      <c r="AX645" s="258" t="n"/>
      <c r="AY645" s="318" t="n"/>
      <c r="AZ645" s="317" t="n"/>
      <c r="BA645" s="257" t="n"/>
      <c r="BB645" s="258" t="n"/>
      <c r="BC645" s="316" t="n"/>
      <c r="BD645" s="317" t="n"/>
      <c r="BE645" s="257" t="n"/>
      <c r="BF645" s="258" t="n"/>
      <c r="BG645" s="89" t="n"/>
      <c r="BH6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45">
        <f>_xlfn.LET(r,ROW(),oc,INDEX($A:$A,r),cv,TRIM(INDEX($Y:$Y,r)&amp;""),IF(oc&lt;&gt;"P1","",IF(cv="45","V45 - novo, nao alimentado pelo spool atual","V44 - alimentado pelo spool atual")))</f>
        <v/>
      </c>
    </row>
    <row r="646" ht="54" customFormat="1" customHeight="1" s="57">
      <c r="A646" s="325" t="inlineStr">
        <is>
          <t>P1</t>
        </is>
      </c>
      <c r="B646" s="326" t="n">
        <v>411</v>
      </c>
      <c r="C646" s="284" t="inlineStr">
        <is>
          <t>NA</t>
        </is>
      </c>
      <c r="D646" s="284" t="inlineStr">
        <is>
          <t>NA</t>
        </is>
      </c>
      <c r="E646" s="326" t="inlineStr">
        <is>
          <t>P1 27.99</t>
        </is>
      </c>
      <c r="F646" s="327" t="inlineStr">
        <is>
          <t xml:space="preserve">Filler </t>
        </is>
      </c>
      <c r="G646" s="327" t="inlineStr">
        <is>
          <t>Filler</t>
        </is>
      </c>
      <c r="H646" s="1493">
        <f>"RPAD( "&amp;SUBSTITUTE(SUBSTITUTE(E646," ","_"),".","_")&amp;","&amp;W646&amp;",' '); -- "&amp;E646</f>
        <v/>
      </c>
      <c r="I646" s="247" t="inlineStr">
        <is>
          <t>Zone libre</t>
        </is>
      </c>
      <c r="J646" s="327" t="inlineStr">
        <is>
          <t>Free zone</t>
        </is>
      </c>
      <c r="K646" s="388" t="inlineStr">
        <is>
          <t>NA</t>
        </is>
      </c>
      <c r="L646" s="388" t="inlineStr">
        <is>
          <t>NA</t>
        </is>
      </c>
      <c r="M646" s="1421" t="inlineStr">
        <is>
          <t>ZoneLibre27</t>
        </is>
      </c>
      <c r="N646" s="284" t="inlineStr">
        <is>
          <t>NA</t>
        </is>
      </c>
      <c r="O646" s="284" t="inlineStr">
        <is>
          <t>NA</t>
        </is>
      </c>
      <c r="P646" s="284" t="inlineStr">
        <is>
          <t>NA</t>
        </is>
      </c>
      <c r="Q646" s="284" t="inlineStr">
        <is>
          <t>NA</t>
        </is>
      </c>
      <c r="R646" s="247" t="inlineStr">
        <is>
          <t>Laisser à vide</t>
        </is>
      </c>
      <c r="S646" s="247" t="inlineStr">
        <is>
          <t>Leave empty</t>
        </is>
      </c>
      <c r="T646" s="326" t="inlineStr">
        <is>
          <t>ALPHA</t>
        </is>
      </c>
      <c r="U646" s="248" t="inlineStr">
        <is>
          <t>NA</t>
        </is>
      </c>
      <c r="V646" s="248" t="inlineStr">
        <is>
          <t>NA</t>
        </is>
      </c>
      <c r="W646" s="284" t="n">
        <v>23</v>
      </c>
      <c r="X646" s="244" t="inlineStr">
        <is>
          <t>NA</t>
        </is>
      </c>
      <c r="Y646" s="248" t="inlineStr">
        <is>
          <t>NA</t>
        </is>
      </c>
      <c r="Z646" s="248" t="inlineStr">
        <is>
          <t>NA</t>
        </is>
      </c>
      <c r="AA646" s="249" t="inlineStr">
        <is>
          <t>NA</t>
        </is>
      </c>
      <c r="AB646" s="284" t="inlineStr">
        <is>
          <t>NA</t>
        </is>
      </c>
      <c r="AC646" s="244" t="inlineStr">
        <is>
          <t>NA</t>
        </is>
      </c>
      <c r="AD646" s="284" t="inlineStr">
        <is>
          <t>N</t>
        </is>
      </c>
      <c r="AE646" s="284" t="inlineStr">
        <is>
          <t>NA</t>
        </is>
      </c>
      <c r="AF646" s="284" t="inlineStr">
        <is>
          <t>NA</t>
        </is>
      </c>
      <c r="AG646" s="285" t="inlineStr">
        <is>
          <t>NA</t>
        </is>
      </c>
      <c r="AH646" s="89" t="n"/>
      <c r="AI646" s="330" t="n"/>
      <c r="AJ646" s="331" t="n"/>
      <c r="AK646" s="284" t="n"/>
      <c r="AL646" s="285" t="n"/>
      <c r="AM646" s="331" t="n"/>
      <c r="AN646" s="331" t="n"/>
      <c r="AO646" s="284" t="n"/>
      <c r="AP646" s="285" t="n"/>
      <c r="AQ646" s="331" t="n"/>
      <c r="AR646" s="331" t="n"/>
      <c r="AS646" s="284" t="n"/>
      <c r="AT646" s="285" t="n"/>
      <c r="AU646" s="331" t="n"/>
      <c r="AV646" s="331" t="n"/>
      <c r="AW646" s="284" t="n"/>
      <c r="AX646" s="285" t="n"/>
      <c r="AY646" s="331" t="n"/>
      <c r="AZ646" s="331" t="n"/>
      <c r="BA646" s="284" t="n"/>
      <c r="BB646" s="285" t="n"/>
      <c r="BC646" s="330" t="n"/>
      <c r="BD646" s="331" t="n"/>
      <c r="BE646" s="284" t="n"/>
      <c r="BF646" s="285" t="n"/>
      <c r="BG646" s="89" t="n"/>
      <c r="BH6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46">
        <f>_xlfn.LET(r,ROW(),oc,INDEX($A:$A,r),cv,TRIM(INDEX($Y:$Y,r)&amp;""),IF(oc&lt;&gt;"P1","",IF(cv="45","V45 - novo, nao alimentado pelo spool atual","V44 - alimentado pelo spool atual")))</f>
        <v/>
      </c>
    </row>
    <row r="647" ht="54" customFormat="1" customHeight="1" s="91">
      <c r="A647" s="306" t="inlineStr">
        <is>
          <t>P1</t>
        </is>
      </c>
      <c r="B647" s="307" t="n">
        <v>412</v>
      </c>
      <c r="C647" s="269" t="inlineStr">
        <is>
          <t>11 - Caractéristiques Opérations à effet de levier</t>
        </is>
      </c>
      <c r="D647" s="236" t="inlineStr">
        <is>
          <t>11 - Leveraged Operations characteristics</t>
        </is>
      </c>
      <c r="E647" s="372" t="inlineStr">
        <is>
          <t>P1 28.1</t>
        </is>
      </c>
      <c r="F647" s="375" t="inlineStr">
        <is>
          <t>Indicateur opération effet de levier</t>
        </is>
      </c>
      <c r="G647" s="309" t="inlineStr">
        <is>
          <t>Leveraged transaction Indicator</t>
        </is>
      </c>
      <c r="H647" s="1493">
        <f>"RPAD( "&amp;SUBSTITUTE(SUBSTITUTE(E647," ","_"),".","_")&amp;","&amp;W647&amp;",' '); -- "&amp;E647</f>
        <v/>
      </c>
      <c r="I647" s="241" t="inlineStr">
        <is>
          <t>Indicateur permettant d'identifier les encours sur opérations de financement à effet de levier</t>
        </is>
      </c>
      <c r="J647" s="309" t="inlineStr">
        <is>
          <t>Indicator to identify leveraged transaction outstandings</t>
        </is>
      </c>
      <c r="K647" s="370" t="inlineStr">
        <is>
          <t>ND</t>
        </is>
      </c>
      <c r="L647" s="371" t="inlineStr">
        <is>
          <t>ND</t>
        </is>
      </c>
      <c r="M647" s="1420" t="inlineStr">
        <is>
          <t>indOpeEffetLevier</t>
        </is>
      </c>
      <c r="N647" s="257" t="inlineStr">
        <is>
          <t>Obligatoire sous conditions</t>
        </is>
      </c>
      <c r="O647" s="284" t="inlineStr">
        <is>
          <t>Mandatory under conditions</t>
        </is>
      </c>
      <c r="P647" s="269" t="inlineStr">
        <is>
          <t>LC.0299</t>
        </is>
      </c>
      <c r="Q647" s="269" t="inlineStr">
        <is>
          <t>TA KVIOPEFL</t>
        </is>
      </c>
      <c r="R647" s="241" t="inlineStr">
        <is>
          <t>NA</t>
        </is>
      </c>
      <c r="S647" s="233" t="inlineStr">
        <is>
          <t>NA</t>
        </is>
      </c>
      <c r="T647" s="313" t="inlineStr">
        <is>
          <t>ALPHA</t>
        </is>
      </c>
      <c r="U647" s="237" t="inlineStr">
        <is>
          <t>NA</t>
        </is>
      </c>
      <c r="V647" s="238" t="inlineStr">
        <is>
          <t>NA</t>
        </is>
      </c>
      <c r="W647" s="671" t="n">
        <v>1</v>
      </c>
      <c r="X647" s="945" t="inlineStr">
        <is>
          <t>NA</t>
        </is>
      </c>
      <c r="Y647" s="237" t="n">
        <v>42</v>
      </c>
      <c r="Z647" s="237" t="inlineStr">
        <is>
          <t>NA</t>
        </is>
      </c>
      <c r="AA647" s="283" t="inlineStr">
        <is>
          <t>45.00</t>
        </is>
      </c>
      <c r="AB647" s="269" t="inlineStr">
        <is>
          <t>FEL, LOAN TAPE</t>
        </is>
      </c>
      <c r="AC647" s="231" t="inlineStr">
        <is>
          <t>ND</t>
        </is>
      </c>
      <c r="AD647" s="257" t="inlineStr">
        <is>
          <t>N</t>
        </is>
      </c>
      <c r="AE647" s="257" t="inlineStr">
        <is>
          <t xml:space="preserve">EQU101
EQU201
TRE2 à 4XX hors 203,205,206,207
TRE5XX
SIG
</t>
        </is>
      </c>
      <c r="AF647" s="257" t="inlineStr">
        <is>
          <t>NA</t>
        </is>
      </c>
      <c r="AG647" s="258" t="inlineStr">
        <is>
          <t>NA</t>
        </is>
      </c>
      <c r="AH647" s="89" t="n"/>
      <c r="AI647" s="316" t="inlineStr">
        <is>
          <t>La donnée est obligatoire si le type de risque [P1 2.0] = 'EQUxxx', 'SIGxxx', hors (SIG1xx, SIG203, SIG205), 'TRE2xx' à 'TRE4xx', hors (TRE203, TRE205, TRE206, TRE207, TRE3xx)</t>
        </is>
      </c>
      <c r="AJ647" s="317" t="inlineStr">
        <is>
          <t>The data is mandatory if Risk type [P1 2.0] = 'EQUxxx', 'SIGxxx', out (SIG1xx, SIG203, SIG205), 'TRE2xx' to 'TRE4xx', out (TRE203, TRE205, TRE206, TRE207, TRE3xx)</t>
        </is>
      </c>
      <c r="AK647" s="958" t="n">
        <v>7</v>
      </c>
      <c r="AL647" s="345" t="inlineStr">
        <is>
          <t>TPS0894</t>
        </is>
      </c>
      <c r="AM647" s="452" t="inlineStr">
        <is>
          <t>Si elle est renseignée, la valeur doit être connue du Langage Commun associé</t>
        </is>
      </c>
      <c r="AN647" s="377" t="inlineStr">
        <is>
          <t>If specified, the value must be known to the associated Common Language</t>
        </is>
      </c>
      <c r="AO647" s="257" t="n">
        <v>7</v>
      </c>
      <c r="AP647" s="212" t="inlineStr">
        <is>
          <t>TIG0001</t>
        </is>
      </c>
      <c r="AQ647" s="318" t="n"/>
      <c r="AR647" s="317" t="n"/>
      <c r="AS647" s="257" t="n"/>
      <c r="AT647" s="258" t="n"/>
      <c r="AU647" s="318" t="n"/>
      <c r="AV647" s="317" t="n"/>
      <c r="AW647" s="257" t="n"/>
      <c r="AX647" s="258" t="n"/>
      <c r="AY647" s="318" t="n"/>
      <c r="AZ647" s="317" t="n"/>
      <c r="BA647" s="257" t="n"/>
      <c r="BB647" s="258" t="n"/>
      <c r="BC647" s="316" t="n"/>
      <c r="BD647" s="317" t="n"/>
      <c r="BE647" s="257" t="n"/>
      <c r="BF647" s="258" t="n"/>
      <c r="BG647" s="89" t="n"/>
      <c r="BH6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47">
        <f>_xlfn.LET(r,ROW(),oc,INDEX($A:$A,r),cv,TRIM(INDEX($Y:$Y,r)&amp;""),IF(oc&lt;&gt;"P1","",IF(cv="45","V45 - novo, nao alimentado pelo spool atual","V44 - alimentado pelo spool atual")))</f>
        <v/>
      </c>
    </row>
    <row r="648" ht="54" customFormat="1" customHeight="1" s="91">
      <c r="A648" s="306" t="inlineStr">
        <is>
          <t>P1</t>
        </is>
      </c>
      <c r="B648" s="307" t="n">
        <v>413</v>
      </c>
      <c r="C648" s="269" t="inlineStr">
        <is>
          <t>11 - Caractéristiques Opérations à effet de levier</t>
        </is>
      </c>
      <c r="D648" s="236" t="inlineStr">
        <is>
          <t>11 - Leveraged Operations characteristics</t>
        </is>
      </c>
      <c r="E648" s="372" t="inlineStr">
        <is>
          <t>P1 28.2</t>
        </is>
      </c>
      <c r="F648" s="375" t="inlineStr">
        <is>
          <t>Indicateur sponsor financier majoritaire au capital</t>
        </is>
      </c>
      <c r="G648" s="309" t="inlineStr">
        <is>
          <t>Financial sponsor major shareholder indicator</t>
        </is>
      </c>
      <c r="H648" s="1493">
        <f>"RPAD( "&amp;SUBSTITUTE(SUBSTITUTE(E648," ","_"),".","_")&amp;","&amp;W648&amp;",' '); -- "&amp;E648</f>
        <v/>
      </c>
      <c r="I648" s="241" t="inlineStr">
        <is>
          <t>Indicateur de présence d'un sponsor financier majoritaire sur opération de financement à effet de levier</t>
        </is>
      </c>
      <c r="J648" s="309" t="inlineStr">
        <is>
          <t>Indicator of the presence of Financial sponsor major shareholder on a leveraged financing transaction</t>
        </is>
      </c>
      <c r="K648" s="370" t="inlineStr">
        <is>
          <t>ND</t>
        </is>
      </c>
      <c r="L648" s="371" t="inlineStr">
        <is>
          <t>ND</t>
        </is>
      </c>
      <c r="M648" s="1420" t="inlineStr">
        <is>
          <t>indSponsFinanMajCap</t>
        </is>
      </c>
      <c r="N648" s="257" t="inlineStr">
        <is>
          <t>Obligatoire sous conditions</t>
        </is>
      </c>
      <c r="O648" s="284" t="inlineStr">
        <is>
          <t>Mandatory under conditions</t>
        </is>
      </c>
      <c r="P648" s="269" t="inlineStr">
        <is>
          <t>LC.0300</t>
        </is>
      </c>
      <c r="Q648" s="269" t="inlineStr">
        <is>
          <t>TA KVISPFMC</t>
        </is>
      </c>
      <c r="R648" s="241" t="inlineStr">
        <is>
          <t>NA</t>
        </is>
      </c>
      <c r="S648" s="233" t="inlineStr">
        <is>
          <t>NA</t>
        </is>
      </c>
      <c r="T648" s="313" t="inlineStr">
        <is>
          <t>ALPHA</t>
        </is>
      </c>
      <c r="U648" s="669" t="inlineStr">
        <is>
          <t>NA</t>
        </is>
      </c>
      <c r="V648" s="670" t="inlineStr">
        <is>
          <t>NA</t>
        </is>
      </c>
      <c r="W648" s="671" t="n">
        <v>1</v>
      </c>
      <c r="X648" s="945" t="inlineStr">
        <is>
          <t>NA</t>
        </is>
      </c>
      <c r="Y648" s="237" t="n">
        <v>42</v>
      </c>
      <c r="Z648" s="237" t="inlineStr">
        <is>
          <t>NA</t>
        </is>
      </c>
      <c r="AA648" s="237" t="inlineStr">
        <is>
          <t>NA</t>
        </is>
      </c>
      <c r="AB648" s="269" t="inlineStr">
        <is>
          <t>FEL, LOAN TAPE</t>
        </is>
      </c>
      <c r="AC648" s="231" t="inlineStr">
        <is>
          <t>ND</t>
        </is>
      </c>
      <c r="AD648" s="257" t="inlineStr">
        <is>
          <t>N</t>
        </is>
      </c>
      <c r="AE648" s="257" t="inlineStr">
        <is>
          <t xml:space="preserve">EQU101
EQU201
TRE2 à 4XX hors 203,205,206,207
TRE5XX
SIG
</t>
        </is>
      </c>
      <c r="AF648" s="257" t="inlineStr">
        <is>
          <t>NA</t>
        </is>
      </c>
      <c r="AG648" s="258" t="inlineStr">
        <is>
          <t>NA</t>
        </is>
      </c>
      <c r="AH648" s="89" t="n"/>
      <c r="AI648" s="316" t="inlineStr">
        <is>
          <t>La donnée est obligatoire si le type de risque [P1 2.0] = 'EQUxxx', 'SIGxxx', hors (SIG1xx, SIG203, SIG205), 'TRE2xx' à 'TRE4xx', hors (TRE203, TRE205, TRE206, TRE207, TRE3xx) et si la donnée indicateur opération effet de levier [P1 28.1] est renseignée et est &lt;&gt; '0'</t>
        </is>
      </c>
      <c r="AJ648" s="317" t="inlineStr">
        <is>
          <t>The data is mandatory if Risk type [P1 2.0] = 'EQUxxx', 'SIGxxx', out (SIG1xx, SIG203, SIG205), 'TRE2xx' to 'TRE4xx', out (TRE203, TRE205, TRE206, TRE207, TRE3xx) and the leverage operation indicator data [P1 28.1] is filled in and is &lt;&gt; '0'</t>
        </is>
      </c>
      <c r="AK648" s="257" t="n">
        <v>6</v>
      </c>
      <c r="AL648" s="463" t="inlineStr">
        <is>
          <t>TPS0895</t>
        </is>
      </c>
      <c r="AM648" s="452" t="inlineStr">
        <is>
          <t>Si elle est renseignée, la valeur doit être connue du Langage Commun associé</t>
        </is>
      </c>
      <c r="AN648" s="377" t="inlineStr">
        <is>
          <t>If specified, the value must be known to the associated Common Language</t>
        </is>
      </c>
      <c r="AO648" s="257" t="n">
        <v>7</v>
      </c>
      <c r="AP648" s="212" t="inlineStr">
        <is>
          <t>TIG0001</t>
        </is>
      </c>
      <c r="AQ648" s="318" t="n"/>
      <c r="AR648" s="317" t="n"/>
      <c r="AS648" s="257" t="n"/>
      <c r="AT648" s="258" t="n"/>
      <c r="AU648" s="421" t="n"/>
      <c r="AV648" s="422" t="n"/>
      <c r="AW648" s="348" t="n"/>
      <c r="AX648" s="258" t="n"/>
      <c r="AY648" s="318" t="n"/>
      <c r="AZ648" s="317" t="n"/>
      <c r="BA648" s="257" t="n"/>
      <c r="BB648" s="258" t="n"/>
      <c r="BC648" s="316" t="n"/>
      <c r="BD648" s="317" t="n"/>
      <c r="BE648" s="257" t="n"/>
      <c r="BF648" s="258" t="n"/>
      <c r="BG648" s="89" t="n"/>
      <c r="BH6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48">
        <f>_xlfn.LET(r,ROW(),oc,INDEX($A:$A,r),cv,TRIM(INDEX($Y:$Y,r)&amp;""),IF(oc&lt;&gt;"P1","",IF(cv="45","V45 - novo, nao alimentado pelo spool atual","V44 - alimentado pelo spool atual")))</f>
        <v/>
      </c>
    </row>
    <row r="649" ht="54" customFormat="1" customHeight="1" s="91">
      <c r="A649" s="306" t="inlineStr">
        <is>
          <t>P1</t>
        </is>
      </c>
      <c r="B649" s="307" t="n">
        <v>414</v>
      </c>
      <c r="C649" s="269" t="inlineStr">
        <is>
          <t>07 - Caractéristiques Crédit Bail</t>
        </is>
      </c>
      <c r="D649" s="310" t="inlineStr">
        <is>
          <t>07 - Credit Lease characteristics</t>
        </is>
      </c>
      <c r="E649" s="372" t="inlineStr">
        <is>
          <t>P1 29.1</t>
        </is>
      </c>
      <c r="F649" s="375" t="inlineStr">
        <is>
          <t>Montant de l'indemnité de résiliation</t>
        </is>
      </c>
      <c r="G649" s="309" t="inlineStr">
        <is>
          <t xml:space="preserve">Amount of the termination indemnity </t>
        </is>
      </c>
      <c r="H649" s="1493">
        <f>"RPAD( "&amp;SUBSTITUTE(SUBSTITUTE(E649," ","_"),".","_")&amp;","&amp;W649&amp;",' '); -- "&amp;E649</f>
        <v/>
      </c>
      <c r="I649" s="375" t="inlineStr">
        <is>
          <t>Montant de l'indemnité à payer par le client si ce dernier résilie son contrat avant la date d'échéance</t>
        </is>
      </c>
      <c r="J649" s="309" t="inlineStr">
        <is>
          <t>Amount of compensation to be paid by the customer if the latter terminates his contract before the due date</t>
        </is>
      </c>
      <c r="K649" s="370" t="inlineStr">
        <is>
          <t>ND</t>
        </is>
      </c>
      <c r="L649" s="371" t="inlineStr">
        <is>
          <t>ND</t>
        </is>
      </c>
      <c r="M649" s="1420" t="inlineStr">
        <is>
          <t>mtIndmRes</t>
        </is>
      </c>
      <c r="N649" s="257" t="inlineStr">
        <is>
          <t>Facultatif</t>
        </is>
      </c>
      <c r="O649" s="284" t="inlineStr">
        <is>
          <t>Optional</t>
        </is>
      </c>
      <c r="P649" s="269" t="inlineStr">
        <is>
          <t>NA</t>
        </is>
      </c>
      <c r="Q649" s="269" t="inlineStr">
        <is>
          <t>NA</t>
        </is>
      </c>
      <c r="R649" s="241" t="inlineStr">
        <is>
          <t>NA</t>
        </is>
      </c>
      <c r="S649" s="233" t="inlineStr">
        <is>
          <t>NA</t>
        </is>
      </c>
      <c r="T649" s="313" t="inlineStr">
        <is>
          <t>NUM</t>
        </is>
      </c>
      <c r="U649" s="237" t="inlineStr">
        <is>
          <t>19 dont signe et 2 décimales</t>
        </is>
      </c>
      <c r="V649" s="238" t="inlineStr">
        <is>
          <t>19 including sign and 2 decimals</t>
        </is>
      </c>
      <c r="W649" s="257" t="n">
        <v>19</v>
      </c>
      <c r="X649" s="945" t="inlineStr">
        <is>
          <t>NA</t>
        </is>
      </c>
      <c r="Y649" s="237" t="n">
        <v>42</v>
      </c>
      <c r="Z649" s="237" t="inlineStr">
        <is>
          <t>NA</t>
        </is>
      </c>
      <c r="AA649" s="237" t="inlineStr">
        <is>
          <t>NA</t>
        </is>
      </c>
      <c r="AB649" s="269" t="inlineStr">
        <is>
          <t>ANACREDIT, LOAN TAPE</t>
        </is>
      </c>
      <c r="AC649" s="231" t="inlineStr">
        <is>
          <t>ND</t>
        </is>
      </c>
      <c r="AD649" s="257" t="inlineStr">
        <is>
          <t>N</t>
        </is>
      </c>
      <c r="AE649" s="1265" t="inlineStr">
        <is>
          <t>TRE5XX</t>
        </is>
      </c>
      <c r="AF649" s="257" t="inlineStr">
        <is>
          <t>NA</t>
        </is>
      </c>
      <c r="AG649" s="258" t="inlineStr">
        <is>
          <t>NA</t>
        </is>
      </c>
      <c r="AH649" s="89" t="n"/>
      <c r="AI649" s="316" t="n"/>
      <c r="AJ649" s="317" t="n"/>
      <c r="AK649" s="257" t="n"/>
      <c r="AL649" s="258" t="n"/>
      <c r="AM649" s="318" t="n"/>
      <c r="AN649" s="317" t="n"/>
      <c r="AO649" s="257" t="n"/>
      <c r="AP649" s="258" t="n"/>
      <c r="AQ649" s="322" t="inlineStr">
        <is>
          <t>Si renseignée, la donnée doit être positive (supérieure ou égale à 0)</t>
        </is>
      </c>
      <c r="AR649" s="317" t="inlineStr">
        <is>
          <t xml:space="preserve">If filled, data must be positive (greater or equal to 0) </t>
        </is>
      </c>
      <c r="AS649" s="257" t="n">
        <v>7</v>
      </c>
      <c r="AT649" s="345" t="inlineStr">
        <is>
          <t>TVG0001</t>
        </is>
      </c>
      <c r="AU649" s="318" t="n"/>
      <c r="AV649" s="317" t="n"/>
      <c r="AW649" s="257" t="n"/>
      <c r="AX649" s="258" t="n"/>
      <c r="AY649" s="318" t="n"/>
      <c r="AZ649" s="317" t="n"/>
      <c r="BA649" s="257" t="n"/>
      <c r="BB649" s="258" t="n"/>
      <c r="BC649" s="316" t="n"/>
      <c r="BD649" s="317" t="n"/>
      <c r="BE649" s="257" t="n"/>
      <c r="BF649" s="258" t="n"/>
      <c r="BG649" s="89" t="n"/>
      <c r="BH6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49">
        <f>_xlfn.LET(r,ROW(),oc,INDEX($A:$A,r),cv,TRIM(INDEX($Y:$Y,r)&amp;""),IF(oc&lt;&gt;"P1","",IF(cv="45","V45 - novo, nao alimentado pelo spool atual","V44 - alimentado pelo spool atual")))</f>
        <v/>
      </c>
    </row>
    <row r="650" ht="54" customFormat="1" customHeight="1" s="91">
      <c r="A650" s="306" t="inlineStr">
        <is>
          <t>P1</t>
        </is>
      </c>
      <c r="B650" s="307" t="n">
        <v>415</v>
      </c>
      <c r="C650" s="269" t="inlineStr">
        <is>
          <t>07 - Caractéristiques Crédit Bail</t>
        </is>
      </c>
      <c r="D650" s="310" t="inlineStr">
        <is>
          <t>07 - Credit Lease characteristics</t>
        </is>
      </c>
      <c r="E650" s="372" t="inlineStr">
        <is>
          <t>P1 29.2</t>
        </is>
      </c>
      <c r="F650" s="375" t="inlineStr">
        <is>
          <t>Devise du montant de l'indemnité de résiliation</t>
        </is>
      </c>
      <c r="G650" s="309" t="inlineStr">
        <is>
          <t xml:space="preserve">Currency of the amount of termination indemnity </t>
        </is>
      </c>
      <c r="H650" s="1493">
        <f>"RPAD( "&amp;SUBSTITUTE(SUBSTITUTE(E650," ","_"),".","_")&amp;","&amp;W650&amp;",' '); -- "&amp;E650</f>
        <v/>
      </c>
      <c r="I650" s="241" t="inlineStr">
        <is>
          <t>Devise du montant de l'indemnité de résiliation</t>
        </is>
      </c>
      <c r="J650" s="309" t="inlineStr">
        <is>
          <t xml:space="preserve">Currency of the amount of termination indemnity </t>
        </is>
      </c>
      <c r="K650" s="370" t="inlineStr">
        <is>
          <t>ND</t>
        </is>
      </c>
      <c r="L650" s="371" t="inlineStr">
        <is>
          <t>ND</t>
        </is>
      </c>
      <c r="M650" s="1420" t="inlineStr">
        <is>
          <t>cdDevMtIndmRes</t>
        </is>
      </c>
      <c r="N650" s="257" t="inlineStr">
        <is>
          <t>Obligatoire sous conditions</t>
        </is>
      </c>
      <c r="O650" s="284" t="inlineStr">
        <is>
          <t>Mandatory under conditions</t>
        </is>
      </c>
      <c r="P650" s="269" t="inlineStr">
        <is>
          <t>LC.0005</t>
        </is>
      </c>
      <c r="Q650" s="269" t="inlineStr">
        <is>
          <t>TA NM253</t>
        </is>
      </c>
      <c r="R650" s="241" t="inlineStr">
        <is>
          <t>NA</t>
        </is>
      </c>
      <c r="S650" s="233" t="inlineStr">
        <is>
          <t>NA</t>
        </is>
      </c>
      <c r="T650" s="313" t="inlineStr">
        <is>
          <t>ALPHA</t>
        </is>
      </c>
      <c r="U650" s="237" t="inlineStr">
        <is>
          <t>NA</t>
        </is>
      </c>
      <c r="V650" s="238" t="inlineStr">
        <is>
          <t>NA</t>
        </is>
      </c>
      <c r="W650" s="257" t="n">
        <v>3</v>
      </c>
      <c r="X650" s="945" t="inlineStr">
        <is>
          <t>NA</t>
        </is>
      </c>
      <c r="Y650" s="237" t="n">
        <v>42</v>
      </c>
      <c r="Z650" s="237" t="inlineStr">
        <is>
          <t>NA</t>
        </is>
      </c>
      <c r="AA650" s="237" t="inlineStr">
        <is>
          <t>NA</t>
        </is>
      </c>
      <c r="AB650" s="269" t="inlineStr">
        <is>
          <t>ANACREDIT</t>
        </is>
      </c>
      <c r="AC650" s="231" t="inlineStr">
        <is>
          <t>ND</t>
        </is>
      </c>
      <c r="AD650" s="257" t="inlineStr">
        <is>
          <t>N</t>
        </is>
      </c>
      <c r="AE650" s="257" t="inlineStr">
        <is>
          <t xml:space="preserve">TRE5XX
</t>
        </is>
      </c>
      <c r="AF650" s="257" t="inlineStr">
        <is>
          <t>NA</t>
        </is>
      </c>
      <c r="AG650" s="258" t="inlineStr">
        <is>
          <t>NA</t>
        </is>
      </c>
      <c r="AH650" s="89" t="n"/>
      <c r="AI650" s="446" t="inlineStr">
        <is>
          <t>La donnée est obligatoire, si Montant de l'indemnité de résiliation [P1 29.1] est renseigné</t>
        </is>
      </c>
      <c r="AJ650" s="317" t="inlineStr">
        <is>
          <t>The data is mandatory, if Amount of the termination indemnity [P1 29.1] is filled</t>
        </is>
      </c>
      <c r="AK650" s="257" t="n">
        <v>7</v>
      </c>
      <c r="AL650" s="447" t="inlineStr">
        <is>
          <t>TPG0002</t>
        </is>
      </c>
      <c r="AM650" s="318" t="inlineStr">
        <is>
          <t>Si elle est renseignée, la valeur doit être connue du Langage Commun associé</t>
        </is>
      </c>
      <c r="AN650" s="317" t="inlineStr">
        <is>
          <t>If specified, the value must be known to the associated Common Language</t>
        </is>
      </c>
      <c r="AO650" s="257" t="n">
        <v>7</v>
      </c>
      <c r="AP650" s="212" t="inlineStr">
        <is>
          <t>TIG0001</t>
        </is>
      </c>
      <c r="AQ650" s="318" t="n"/>
      <c r="AR650" s="317" t="n"/>
      <c r="AS650" s="257" t="n"/>
      <c r="AT650" s="258" t="n"/>
      <c r="AU650" s="318" t="n"/>
      <c r="AV650" s="317" t="n"/>
      <c r="AW650" s="257" t="n"/>
      <c r="AX650" s="258" t="n"/>
      <c r="AY650" s="318" t="n"/>
      <c r="AZ650" s="317" t="n"/>
      <c r="BA650" s="257" t="n"/>
      <c r="BB650" s="258" t="n"/>
      <c r="BC650" s="316" t="n"/>
      <c r="BD650" s="317" t="n"/>
      <c r="BE650" s="257" t="n"/>
      <c r="BF650" s="258" t="n"/>
      <c r="BG650" s="89" t="n"/>
      <c r="BH6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50">
        <f>_xlfn.LET(r,ROW(),oc,INDEX($A:$A,r),cv,TRIM(INDEX($Y:$Y,r)&amp;""),IF(oc&lt;&gt;"P1","",IF(cv="45","V45 - novo, nao alimentado pelo spool atual","V44 - alimentado pelo spool atual")))</f>
        <v/>
      </c>
    </row>
    <row r="651" ht="54" customFormat="1" customHeight="1" s="91">
      <c r="A651" s="306" t="inlineStr">
        <is>
          <t>P1</t>
        </is>
      </c>
      <c r="B651" s="307" t="n">
        <v>416</v>
      </c>
      <c r="C651" s="269" t="inlineStr">
        <is>
          <t>09 - Caractéristiques Dérivés</t>
        </is>
      </c>
      <c r="D651" s="236" t="inlineStr">
        <is>
          <t>09 - Derivative characteristics</t>
        </is>
      </c>
      <c r="E651" s="372" t="inlineStr">
        <is>
          <t>P1 30.1</t>
        </is>
      </c>
      <c r="F651" s="375" t="inlineStr">
        <is>
          <t>Type de contrat cadre</t>
        </is>
      </c>
      <c r="G651" s="309" t="inlineStr">
        <is>
          <t>Master agreement type</t>
        </is>
      </c>
      <c r="H651" s="1493">
        <f>"RPAD( "&amp;SUBSTITUTE(SUBSTITUTE(E651," ","_"),".","_")&amp;","&amp;W651&amp;",' '); -- "&amp;E651</f>
        <v/>
      </c>
      <c r="I651" s="241" t="inlineStr">
        <is>
          <t>Type de contrat cadre pour les cessions temporaires de titres et les dérivés</t>
        </is>
      </c>
      <c r="J651" s="309" t="inlineStr">
        <is>
          <t>Type of master agreement for temporary sales of securities and derivatives</t>
        </is>
      </c>
      <c r="K651" s="370" t="inlineStr">
        <is>
          <t>ND</t>
        </is>
      </c>
      <c r="L651" s="371" t="inlineStr">
        <is>
          <t>ND</t>
        </is>
      </c>
      <c r="M651" s="1420" t="inlineStr">
        <is>
          <t>cdTypContrCadre</t>
        </is>
      </c>
      <c r="N651" s="257" t="inlineStr">
        <is>
          <t>Obligatoire sous conditions</t>
        </is>
      </c>
      <c r="O651" s="284" t="inlineStr">
        <is>
          <t>Mandatory under conditions</t>
        </is>
      </c>
      <c r="P651" s="269" t="inlineStr">
        <is>
          <t>LC.0296</t>
        </is>
      </c>
      <c r="Q651" s="269" t="inlineStr">
        <is>
          <t>TA KVTYCOCA</t>
        </is>
      </c>
      <c r="R651" s="241" t="inlineStr">
        <is>
          <t>NA</t>
        </is>
      </c>
      <c r="S651" s="233" t="inlineStr">
        <is>
          <t>NA</t>
        </is>
      </c>
      <c r="T651" s="313" t="inlineStr">
        <is>
          <t>ALPHA</t>
        </is>
      </c>
      <c r="U651" s="237" t="inlineStr">
        <is>
          <t>NA</t>
        </is>
      </c>
      <c r="V651" s="238" t="inlineStr">
        <is>
          <t>NA</t>
        </is>
      </c>
      <c r="W651" s="257" t="n">
        <v>2</v>
      </c>
      <c r="X651" s="945" t="inlineStr">
        <is>
          <t>NA</t>
        </is>
      </c>
      <c r="Y651" s="237" t="n">
        <v>42</v>
      </c>
      <c r="Z651" s="237" t="inlineStr">
        <is>
          <t>NA</t>
        </is>
      </c>
      <c r="AA651" s="237" t="inlineStr">
        <is>
          <t>45.00</t>
        </is>
      </c>
      <c r="AB651" s="269" t="inlineStr">
        <is>
          <t>MREL</t>
        </is>
      </c>
      <c r="AC651" s="231" t="inlineStr">
        <is>
          <t>ND</t>
        </is>
      </c>
      <c r="AD651" s="257" t="inlineStr">
        <is>
          <t>N</t>
        </is>
      </c>
      <c r="AE651" s="1048" t="inlineStr">
        <is>
          <t>TRE203, TRE206, TRE207
VAR*
INT</t>
        </is>
      </c>
      <c r="AF651" s="257" t="inlineStr">
        <is>
          <t>NA</t>
        </is>
      </c>
      <c r="AG651" s="258" t="inlineStr">
        <is>
          <t>NA</t>
        </is>
      </c>
      <c r="AH651" s="89" t="n"/>
      <c r="AI651" s="1049" t="inlineStr">
        <is>
          <t>La donnée est obligatoire si le type de risque [P1 2.0] = ['INTxxx', 'TRE203', 'TRE206', 'TRE207', 'VARxxx']</t>
        </is>
      </c>
      <c r="AJ651" s="931" t="inlineStr">
        <is>
          <t>The data is mandatory if risk type [P1 2.0] = ['INTxxx', 'TRE203', 'TRE206', 'TRE207', 'VARxxx']</t>
        </is>
      </c>
      <c r="AK651" s="994" t="n">
        <v>6</v>
      </c>
      <c r="AL651" s="1061" t="inlineStr">
        <is>
          <t>TPSXXX (ex-TPS0750/TPS0896) -- TPS0750 à conserver</t>
        </is>
      </c>
      <c r="AM651" s="452" t="inlineStr">
        <is>
          <t>Si elle est renseignée, la valeur doit être connue du Langage Commun associé</t>
        </is>
      </c>
      <c r="AN651" s="377" t="inlineStr">
        <is>
          <t>If specified, the value must be known to the associated Common Language</t>
        </is>
      </c>
      <c r="AO651" s="257" t="n">
        <v>7</v>
      </c>
      <c r="AP651" s="212" t="inlineStr">
        <is>
          <t>TIG0001</t>
        </is>
      </c>
      <c r="AQ651" s="318" t="n"/>
      <c r="AR651" s="317" t="n"/>
      <c r="AS651" s="257" t="n"/>
      <c r="AT651" s="258" t="n"/>
      <c r="AU651" s="318" t="n"/>
      <c r="AV651" s="317" t="n"/>
      <c r="AW651" s="257" t="n"/>
      <c r="AX651" s="258" t="n"/>
      <c r="AY651" s="318" t="n"/>
      <c r="AZ651" s="317" t="n"/>
      <c r="BA651" s="257" t="n"/>
      <c r="BB651" s="258" t="n"/>
      <c r="BC651" s="316" t="n"/>
      <c r="BD651" s="317" t="n"/>
      <c r="BE651" s="257" t="n"/>
      <c r="BF651" s="258" t="n"/>
      <c r="BG651" s="89" t="n"/>
      <c r="BH6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51">
        <f>_xlfn.LET(r,ROW(),oc,INDEX($A:$A,r),cv,TRIM(INDEX($Y:$Y,r)&amp;""),IF(oc&lt;&gt;"P1","",IF(cv="45","V45 - novo, nao alimentado pelo spool atual","V44 - alimentado pelo spool atual")))</f>
        <v/>
      </c>
    </row>
    <row r="652" ht="54" customFormat="1" customHeight="1" s="91">
      <c r="A652" s="306" t="inlineStr">
        <is>
          <t>P1</t>
        </is>
      </c>
      <c r="B652" s="307" t="n">
        <v>417</v>
      </c>
      <c r="C652" s="269" t="inlineStr">
        <is>
          <t>09 - Caractéristiques Dérivés</t>
        </is>
      </c>
      <c r="D652" s="236" t="inlineStr">
        <is>
          <t>09 - Derivative characteristics</t>
        </is>
      </c>
      <c r="E652" s="372" t="inlineStr">
        <is>
          <t>P1 30.2</t>
        </is>
      </c>
      <c r="F652" s="375" t="inlineStr">
        <is>
          <t>Indicateur protocole ISDA de niveau entité</t>
        </is>
      </c>
      <c r="G652" s="309" t="inlineStr">
        <is>
          <t>ISDA protocol indicator on entity level</t>
        </is>
      </c>
      <c r="H652" s="1493">
        <f>"RPAD( "&amp;SUBSTITUTE(SUBSTITUTE(E652," ","_"),".","_")&amp;","&amp;W652&amp;",' '); -- "&amp;E652</f>
        <v/>
      </c>
      <c r="I652" s="241" t="inlineStr">
        <is>
          <t>Pour les dérivés (hors repos), indicateur de présence d'un protocole de niveau entité permettant de faciliter la signature numérique du CSA (Credit Support Annex)</t>
        </is>
      </c>
      <c r="J652" s="309" t="inlineStr">
        <is>
          <t>For derivatives (excluding Repos), presence of protocol indicator on the entity level allows to facilitate the CSA digital signature (Credit Support Annex)</t>
        </is>
      </c>
      <c r="K652" s="370" t="inlineStr">
        <is>
          <t>ND</t>
        </is>
      </c>
      <c r="L652" s="371" t="inlineStr">
        <is>
          <t>ND</t>
        </is>
      </c>
      <c r="M652" s="1420" t="inlineStr">
        <is>
          <t>indEntitISDA</t>
        </is>
      </c>
      <c r="N652" s="257" t="inlineStr">
        <is>
          <t>Obligatoire sous conditions</t>
        </is>
      </c>
      <c r="O652" s="284" t="inlineStr">
        <is>
          <t>Mandatory under conditions</t>
        </is>
      </c>
      <c r="P652" s="269" t="inlineStr">
        <is>
          <t>LC.0297</t>
        </is>
      </c>
      <c r="Q652" s="269" t="inlineStr">
        <is>
          <t>TA Z8IISDAE</t>
        </is>
      </c>
      <c r="R652" s="241" t="inlineStr">
        <is>
          <t>NA</t>
        </is>
      </c>
      <c r="S652" s="233" t="inlineStr">
        <is>
          <t>NA</t>
        </is>
      </c>
      <c r="T652" s="313" t="inlineStr">
        <is>
          <t>ALPHA</t>
        </is>
      </c>
      <c r="U652" s="237" t="inlineStr">
        <is>
          <t>NA</t>
        </is>
      </c>
      <c r="V652" s="238" t="inlineStr">
        <is>
          <t>NA</t>
        </is>
      </c>
      <c r="W652" s="257" t="n">
        <v>1</v>
      </c>
      <c r="X652" s="945" t="inlineStr">
        <is>
          <t>NA</t>
        </is>
      </c>
      <c r="Y652" s="237" t="n">
        <v>42</v>
      </c>
      <c r="Z652" s="237" t="inlineStr">
        <is>
          <t>NA</t>
        </is>
      </c>
      <c r="AA652" s="283" t="inlineStr">
        <is>
          <t>NA</t>
        </is>
      </c>
      <c r="AB652" s="269" t="inlineStr">
        <is>
          <t>MREL</t>
        </is>
      </c>
      <c r="AC652" s="231" t="inlineStr">
        <is>
          <t>ND</t>
        </is>
      </c>
      <c r="AD652" s="257" t="inlineStr">
        <is>
          <t>N</t>
        </is>
      </c>
      <c r="AE652" s="257" t="inlineStr">
        <is>
          <t>VAR (hors Repos)
INT</t>
        </is>
      </c>
      <c r="AF652" s="257" t="inlineStr">
        <is>
          <t>NA</t>
        </is>
      </c>
      <c r="AG652" s="258" t="inlineStr">
        <is>
          <t>NA</t>
        </is>
      </c>
      <c r="AH652" s="89" t="n"/>
      <c r="AI652" s="435" t="inlineStr">
        <is>
          <t>La donnée est obligatoire si le type de risque [P1 2.0] = 'VAR*, INT*' (hors 'VAR105' et 'VAR302')</t>
        </is>
      </c>
      <c r="AJ652" s="317" t="inlineStr">
        <is>
          <t>Mandatory data if Risk type [P1 2.0] = 'VAR*, INT* (except 'VAR105' and 'VAR302')'</t>
        </is>
      </c>
      <c r="AK652" s="257" t="n">
        <v>6</v>
      </c>
      <c r="AL652" s="463" t="inlineStr">
        <is>
          <t>TPS0897</t>
        </is>
      </c>
      <c r="AM652" s="452" t="inlineStr">
        <is>
          <t>Si elle est renseignée, la valeur doit être connue du Langage Commun associé</t>
        </is>
      </c>
      <c r="AN652" s="377" t="inlineStr">
        <is>
          <t>If specified, the value must be known to the associated Common Language</t>
        </is>
      </c>
      <c r="AO652" s="257" t="n">
        <v>7</v>
      </c>
      <c r="AP652" s="212" t="inlineStr">
        <is>
          <t>TIG0001</t>
        </is>
      </c>
      <c r="AQ652" s="354" t="n"/>
      <c r="AR652" s="317" t="n"/>
      <c r="AS652" s="269" t="n"/>
      <c r="AT652" s="672" t="n"/>
      <c r="AU652" s="318" t="n"/>
      <c r="AV652" s="317" t="n"/>
      <c r="AW652" s="257" t="n"/>
      <c r="AX652" s="258" t="n"/>
      <c r="AY652" s="318" t="n"/>
      <c r="AZ652" s="317" t="n"/>
      <c r="BA652" s="257" t="n"/>
      <c r="BB652" s="258" t="n"/>
      <c r="BC652" s="316" t="n"/>
      <c r="BD652" s="317" t="n"/>
      <c r="BE652" s="257" t="n"/>
      <c r="BF652" s="258" t="n"/>
      <c r="BG652" s="89" t="n"/>
      <c r="BH6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52">
        <f>_xlfn.LET(r,ROW(),oc,INDEX($A:$A,r),cv,TRIM(INDEX($Y:$Y,r)&amp;""),IF(oc&lt;&gt;"P1","",IF(cv="45","V45 - novo, nao alimentado pelo spool atual","V44 - alimentado pelo spool atual")))</f>
        <v/>
      </c>
    </row>
    <row r="653" ht="54" customFormat="1" customHeight="1" s="91">
      <c r="A653" s="306" t="inlineStr">
        <is>
          <t>P1</t>
        </is>
      </c>
      <c r="B653" s="307" t="n">
        <v>418</v>
      </c>
      <c r="C653" s="269" t="inlineStr">
        <is>
          <t>09 - Caractéristiques Dérivés</t>
        </is>
      </c>
      <c r="D653" s="236" t="inlineStr">
        <is>
          <t>09 - Derivative characteristics</t>
        </is>
      </c>
      <c r="E653" s="372" t="inlineStr">
        <is>
          <t>P1 30.3</t>
        </is>
      </c>
      <c r="F653" s="375" t="inlineStr">
        <is>
          <t>Indicateur protocole ISDA de niveau contrepartie</t>
        </is>
      </c>
      <c r="G653" s="309" t="inlineStr">
        <is>
          <t>ISDA protocol indicator on counterparty level</t>
        </is>
      </c>
      <c r="H653" s="1493">
        <f>"RPAD( "&amp;SUBSTITUTE(SUBSTITUTE(E653," ","_"),".","_")&amp;","&amp;W653&amp;",' '); -- "&amp;E653</f>
        <v/>
      </c>
      <c r="I653" s="241" t="inlineStr">
        <is>
          <t>Pour les dérivés (hors repos), indicateur de présence d'un protocole de niveau contrepartie permettant de faciliter la signature numérique du CSA (Credit Support Annex)</t>
        </is>
      </c>
      <c r="J653" s="309" t="inlineStr">
        <is>
          <t>For derivatives (non repos), presence of protocol indicator on the counterparty level allows to facilitate the CSA digital signature (Credit Support Annex)</t>
        </is>
      </c>
      <c r="K653" s="370" t="inlineStr">
        <is>
          <t>ND</t>
        </is>
      </c>
      <c r="L653" s="371" t="inlineStr">
        <is>
          <t>ND</t>
        </is>
      </c>
      <c r="M653" s="1420" t="inlineStr">
        <is>
          <t>indContrePartieISDA</t>
        </is>
      </c>
      <c r="N653" s="257" t="inlineStr">
        <is>
          <t>Obligatoire sous conditions</t>
        </is>
      </c>
      <c r="O653" s="284" t="inlineStr">
        <is>
          <t>Mandatory under conditions</t>
        </is>
      </c>
      <c r="P653" s="269" t="inlineStr">
        <is>
          <t>LC.0298</t>
        </is>
      </c>
      <c r="Q653" s="269" t="inlineStr">
        <is>
          <t>TA Z8IPISDA</t>
        </is>
      </c>
      <c r="R653" s="241" t="inlineStr">
        <is>
          <t>NA</t>
        </is>
      </c>
      <c r="S653" s="233" t="inlineStr">
        <is>
          <t>NA</t>
        </is>
      </c>
      <c r="T653" s="313" t="inlineStr">
        <is>
          <t>ALPHA</t>
        </is>
      </c>
      <c r="U653" s="237" t="inlineStr">
        <is>
          <t>NA</t>
        </is>
      </c>
      <c r="V653" s="238" t="inlineStr">
        <is>
          <t>NA</t>
        </is>
      </c>
      <c r="W653" s="257" t="n">
        <v>1</v>
      </c>
      <c r="X653" s="945" t="inlineStr">
        <is>
          <t>NA</t>
        </is>
      </c>
      <c r="Y653" s="237" t="n">
        <v>42</v>
      </c>
      <c r="Z653" s="237" t="inlineStr">
        <is>
          <t>NA</t>
        </is>
      </c>
      <c r="AA653" s="283" t="inlineStr">
        <is>
          <t>NA</t>
        </is>
      </c>
      <c r="AB653" s="269" t="inlineStr">
        <is>
          <t>MREL</t>
        </is>
      </c>
      <c r="AC653" s="231" t="inlineStr">
        <is>
          <t>ND</t>
        </is>
      </c>
      <c r="AD653" s="257" t="inlineStr">
        <is>
          <t>N</t>
        </is>
      </c>
      <c r="AE653" s="257" t="inlineStr">
        <is>
          <t>VAR (hors Repos)
INT</t>
        </is>
      </c>
      <c r="AF653" s="257" t="inlineStr">
        <is>
          <t>NA</t>
        </is>
      </c>
      <c r="AG653" s="258" t="inlineStr">
        <is>
          <t>NA</t>
        </is>
      </c>
      <c r="AH653" s="89" t="n"/>
      <c r="AI653" s="435" t="inlineStr">
        <is>
          <t>La donnée est obligatoire si le type de risque [P1 2.0] = 'VAR*, INT*' (hors 'VAR105' et 'VAR302')</t>
        </is>
      </c>
      <c r="AJ653" s="317" t="inlineStr">
        <is>
          <t>Mandatory data if Risk type [P1 2.0] = 'VAR*, INT* (except 'VAR105' and 'VAR302')'</t>
        </is>
      </c>
      <c r="AK653" s="257" t="n">
        <v>6</v>
      </c>
      <c r="AL653" s="463" t="inlineStr">
        <is>
          <t>TPS0897</t>
        </is>
      </c>
      <c r="AM653" s="318" t="inlineStr">
        <is>
          <t>Si elle est renseignée, la valeur doit être connue du Langage Commun associé</t>
        </is>
      </c>
      <c r="AN653" s="317" t="inlineStr">
        <is>
          <t>If specified, the value must be known to the associated Common Language</t>
        </is>
      </c>
      <c r="AO653" s="257" t="n">
        <v>7</v>
      </c>
      <c r="AP653" s="212" t="inlineStr">
        <is>
          <t>TIG0001</t>
        </is>
      </c>
      <c r="AQ653" s="318" t="n"/>
      <c r="AR653" s="317" t="n"/>
      <c r="AS653" s="257" t="n"/>
      <c r="AT653" s="258" t="n"/>
      <c r="AU653" s="318" t="n"/>
      <c r="AV653" s="317" t="n"/>
      <c r="AW653" s="257" t="n"/>
      <c r="AX653" s="258" t="n"/>
      <c r="AY653" s="318" t="n"/>
      <c r="AZ653" s="317" t="n"/>
      <c r="BA653" s="257" t="n"/>
      <c r="BB653" s="258" t="n"/>
      <c r="BC653" s="316" t="n"/>
      <c r="BD653" s="317" t="n"/>
      <c r="BE653" s="257" t="n"/>
      <c r="BF653" s="258" t="n"/>
      <c r="BG653" s="89" t="n"/>
      <c r="BH6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53">
        <f>_xlfn.LET(r,ROW(),oc,INDEX($A:$A,r),cv,TRIM(INDEX($Y:$Y,r)&amp;""),IF(oc&lt;&gt;"P1","",IF(cv="45","V45 - novo, nao alimentado pelo spool atual","V44 - alimentado pelo spool atual")))</f>
        <v/>
      </c>
    </row>
    <row r="654" ht="54" customFormat="1" customHeight="1" s="91">
      <c r="A654" s="306" t="inlineStr">
        <is>
          <t>P1</t>
        </is>
      </c>
      <c r="B654" s="307" t="n">
        <v>419</v>
      </c>
      <c r="C654" s="269" t="inlineStr">
        <is>
          <t>17 - Caractéristiques Titres</t>
        </is>
      </c>
      <c r="D654" s="236" t="inlineStr">
        <is>
          <t>17 - Securities characteristics</t>
        </is>
      </c>
      <c r="E654" s="372" t="inlineStr">
        <is>
          <t>P1 30.4</t>
        </is>
      </c>
      <c r="F654" s="1032" t="inlineStr">
        <is>
          <t>Montant du nominal des titres de la jambe prêteuse du repo (cessions temporaires de titres)</t>
        </is>
      </c>
      <c r="G654" s="309" t="inlineStr">
        <is>
          <t>Amount of the nominal securities of the lending leg from repo</t>
        </is>
      </c>
      <c r="H654" s="1493">
        <f>"RPAD( "&amp;SUBSTITUTE(SUBSTITUTE(E654," ","_"),".","_")&amp;","&amp;W654&amp;",' '); -- "&amp;E654</f>
        <v/>
      </c>
      <c r="I654" s="1032" t="inlineStr">
        <is>
          <t>Montant du nominal des titres de la jambe prêteuse du repo (cessions temporaires de titres)</t>
        </is>
      </c>
      <c r="J654" s="309" t="inlineStr">
        <is>
          <t>Amount of the nominal securities of the lending leg from repo</t>
        </is>
      </c>
      <c r="K654" s="370" t="inlineStr">
        <is>
          <t>ND</t>
        </is>
      </c>
      <c r="L654" s="371" t="inlineStr">
        <is>
          <t>ND</t>
        </is>
      </c>
      <c r="M654" s="1420" t="inlineStr">
        <is>
          <t>mtNomTitreJamPret</t>
        </is>
      </c>
      <c r="N654" s="257" t="inlineStr">
        <is>
          <t>Obligatoire sous conditions</t>
        </is>
      </c>
      <c r="O654" s="310" t="inlineStr">
        <is>
          <t>Mandatory under conditions</t>
        </is>
      </c>
      <c r="P654" s="269" t="inlineStr">
        <is>
          <t>NA</t>
        </is>
      </c>
      <c r="Q654" s="269" t="inlineStr">
        <is>
          <t>NA</t>
        </is>
      </c>
      <c r="R654" s="693" t="inlineStr">
        <is>
          <t>NA</t>
        </is>
      </c>
      <c r="S654" s="489" t="inlineStr">
        <is>
          <t>NA</t>
        </is>
      </c>
      <c r="T654" s="313" t="inlineStr">
        <is>
          <t>NUM</t>
        </is>
      </c>
      <c r="U654" s="237" t="inlineStr">
        <is>
          <t>19 dont signe et 2 décimales</t>
        </is>
      </c>
      <c r="V654" s="238" t="inlineStr">
        <is>
          <t>19 including sign and 2 decimals</t>
        </is>
      </c>
      <c r="W654" s="257" t="n">
        <v>19</v>
      </c>
      <c r="X654" s="945" t="inlineStr">
        <is>
          <t>NA</t>
        </is>
      </c>
      <c r="Y654" s="237" t="n">
        <v>42</v>
      </c>
      <c r="Z654" s="237" t="inlineStr">
        <is>
          <t>NA</t>
        </is>
      </c>
      <c r="AA654" s="270" t="inlineStr">
        <is>
          <t>45.00</t>
        </is>
      </c>
      <c r="AB654" s="932" t="inlineStr">
        <is>
          <t>AER, CALCULS PRUDENTIELS, LIQUIDITE</t>
        </is>
      </c>
      <c r="AC654" s="231" t="inlineStr">
        <is>
          <t>ND</t>
        </is>
      </c>
      <c r="AD654" s="257" t="inlineStr">
        <is>
          <t>N</t>
        </is>
      </c>
      <c r="AE654" s="1034" t="inlineStr">
        <is>
          <t>VAR105 et 302</t>
        </is>
      </c>
      <c r="AF654" s="257" t="inlineStr">
        <is>
          <t>NA</t>
        </is>
      </c>
      <c r="AG654" s="258" t="inlineStr">
        <is>
          <t>NA</t>
        </is>
      </c>
      <c r="AH654" s="89" t="n"/>
      <c r="AI654" s="316" t="inlineStr">
        <is>
          <t>La donnée est obligatoire si type de risque [P1 2.0] = VAR105 et VAR302 et si Nature du Sous-Jacent [P1 12.1] = (01, 04, 05, 06, 07, 08, 09, 11)</t>
        </is>
      </c>
      <c r="AJ654" s="317" t="inlineStr">
        <is>
          <t>The data is mandatory, if Risk type [P1 2.0] = VAR105 and VAR302 and if Nature of underlying [P1 12.1] = (01, 04, 05, 06, 07, 08, 09, 11)</t>
        </is>
      </c>
      <c r="AK654" s="257" t="n">
        <v>6</v>
      </c>
      <c r="AL654" s="420" t="inlineStr">
        <is>
          <t>TPS0898</t>
        </is>
      </c>
      <c r="AM654" s="318" t="n"/>
      <c r="AN654" s="317" t="n"/>
      <c r="AO654" s="257" t="n"/>
      <c r="AP654" s="258" t="n"/>
      <c r="AQ654" s="398" t="inlineStr">
        <is>
          <t>Si renseignée, la donnée doit être positive (supérieure ou égale à 0)</t>
        </is>
      </c>
      <c r="AR654" s="317" t="inlineStr">
        <is>
          <t xml:space="preserve">If filled, data must be positive (greater or equal to 0) </t>
        </is>
      </c>
      <c r="AS654" s="257" t="n">
        <v>7</v>
      </c>
      <c r="AT654" s="345" t="inlineStr">
        <is>
          <t>TVG0001</t>
        </is>
      </c>
      <c r="AU654" s="318" t="n"/>
      <c r="AV654" s="317" t="n"/>
      <c r="AW654" s="257" t="n"/>
      <c r="AX654" s="258" t="n"/>
      <c r="AY654" s="318" t="n"/>
      <c r="AZ654" s="317" t="n"/>
      <c r="BA654" s="257" t="n"/>
      <c r="BB654" s="258" t="n"/>
      <c r="BC654" s="316" t="n"/>
      <c r="BD654" s="317" t="n"/>
      <c r="BE654" s="257" t="n"/>
      <c r="BF654" s="258" t="n"/>
      <c r="BG654" s="89" t="n"/>
      <c r="BH6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54">
        <f>_xlfn.LET(r,ROW(),oc,INDEX($A:$A,r),cv,TRIM(INDEX($Y:$Y,r)&amp;""),IF(oc&lt;&gt;"P1","",IF(cv="45","V45 - novo, nao alimentado pelo spool atual","V44 - alimentado pelo spool atual")))</f>
        <v/>
      </c>
    </row>
    <row r="655" ht="54" customFormat="1" customHeight="1" s="91">
      <c r="A655" s="306" t="inlineStr">
        <is>
          <t>P1</t>
        </is>
      </c>
      <c r="B655" s="307" t="n">
        <v>420</v>
      </c>
      <c r="C655" s="269" t="inlineStr">
        <is>
          <t>17 - Caractéristiques Titres</t>
        </is>
      </c>
      <c r="D655" s="236" t="inlineStr">
        <is>
          <t>17 - Securities characteristics</t>
        </is>
      </c>
      <c r="E655" s="372" t="inlineStr">
        <is>
          <t>P1 30.5</t>
        </is>
      </c>
      <c r="F655" s="1032" t="inlineStr">
        <is>
          <t>Devise du montant du nominal des titres de la jambe prêteuse du repo</t>
        </is>
      </c>
      <c r="G655" s="309" t="inlineStr">
        <is>
          <t>Currency of amount of the nominal securities of the lending leg from repo</t>
        </is>
      </c>
      <c r="H655" s="1493">
        <f>"RPAD( "&amp;SUBSTITUTE(SUBSTITUTE(E655," ","_"),".","_")&amp;","&amp;W655&amp;",' '); -- "&amp;E655</f>
        <v/>
      </c>
      <c r="I655" s="1032" t="inlineStr">
        <is>
          <t>Devise du montant du nominal des titres de la jambe prêteuse du repo</t>
        </is>
      </c>
      <c r="J655" s="309" t="inlineStr">
        <is>
          <t>Currency of amount of the nominal securities of the lending leg from repo</t>
        </is>
      </c>
      <c r="K655" s="370" t="inlineStr">
        <is>
          <t>ND</t>
        </is>
      </c>
      <c r="L655" s="371" t="inlineStr">
        <is>
          <t>ND</t>
        </is>
      </c>
      <c r="M655" s="1420" t="inlineStr">
        <is>
          <t>cdDEvMtNomTitreJamPret</t>
        </is>
      </c>
      <c r="N655" s="257" t="inlineStr">
        <is>
          <t>Obligatoire sous conditions</t>
        </is>
      </c>
      <c r="O655" s="310" t="inlineStr">
        <is>
          <t>Mandatory under conditions</t>
        </is>
      </c>
      <c r="P655" s="269" t="inlineStr">
        <is>
          <t>LC.0005</t>
        </is>
      </c>
      <c r="Q655" s="269" t="inlineStr">
        <is>
          <t>TA NM253</t>
        </is>
      </c>
      <c r="R655" s="241" t="inlineStr">
        <is>
          <t>NA</t>
        </is>
      </c>
      <c r="S655" s="233" t="inlineStr">
        <is>
          <t>NA</t>
        </is>
      </c>
      <c r="T655" s="313" t="inlineStr">
        <is>
          <t>ALPHA</t>
        </is>
      </c>
      <c r="U655" s="237" t="inlineStr">
        <is>
          <t>NA</t>
        </is>
      </c>
      <c r="V655" s="238" t="inlineStr">
        <is>
          <t>NA</t>
        </is>
      </c>
      <c r="W655" s="257" t="n">
        <v>3</v>
      </c>
      <c r="X655" s="945" t="inlineStr">
        <is>
          <t>NA</t>
        </is>
      </c>
      <c r="Y655" s="237" t="n">
        <v>42</v>
      </c>
      <c r="Z655" s="237" t="inlineStr">
        <is>
          <t>NA</t>
        </is>
      </c>
      <c r="AA655" s="270" t="inlineStr">
        <is>
          <t>45.00</t>
        </is>
      </c>
      <c r="AB655" s="932" t="inlineStr">
        <is>
          <t>AER, CALCULS PRUDENTIELS, LIQUIDITE</t>
        </is>
      </c>
      <c r="AC655" s="231" t="inlineStr">
        <is>
          <t>ND</t>
        </is>
      </c>
      <c r="AD655" s="257" t="inlineStr">
        <is>
          <t>N</t>
        </is>
      </c>
      <c r="AE655" s="1034" t="inlineStr">
        <is>
          <t>VAR105 et 302</t>
        </is>
      </c>
      <c r="AF655" s="257" t="inlineStr">
        <is>
          <t>NA</t>
        </is>
      </c>
      <c r="AG655" s="258" t="inlineStr">
        <is>
          <t>NA</t>
        </is>
      </c>
      <c r="AH655" s="89" t="n"/>
      <c r="AI655" s="446" t="inlineStr">
        <is>
          <t>La donnée est obligatoire, si Montant du nominal des titres de la jambe prêteuse (cessions temporaires de titres) [P1 30.4] est renseigné</t>
        </is>
      </c>
      <c r="AJ655" s="317" t="inlineStr">
        <is>
          <t>The data is mandatory, if Amount of the nominal securities of the lending leg [P1 30.4] is filled</t>
        </is>
      </c>
      <c r="AK655" s="257" t="n">
        <v>7</v>
      </c>
      <c r="AL655" s="258" t="inlineStr">
        <is>
          <t>TPG0002</t>
        </is>
      </c>
      <c r="AM655" s="318" t="inlineStr">
        <is>
          <t>Si elle est renseignée, la valeur doit être connue du Langage Commun associé</t>
        </is>
      </c>
      <c r="AN655" s="317" t="inlineStr">
        <is>
          <t>If specified, the value must be known to the associated Common Language</t>
        </is>
      </c>
      <c r="AO655" s="257" t="n">
        <v>7</v>
      </c>
      <c r="AP655" s="212" t="inlineStr">
        <is>
          <t>TIG0001</t>
        </is>
      </c>
      <c r="AQ655" s="318" t="n"/>
      <c r="AR655" s="317" t="n"/>
      <c r="AS655" s="257" t="n"/>
      <c r="AT655" s="258" t="n"/>
      <c r="AU655" s="318" t="n"/>
      <c r="AV655" s="317" t="n"/>
      <c r="AW655" s="257" t="n"/>
      <c r="AX655" s="258" t="n"/>
      <c r="AY655" s="318" t="n"/>
      <c r="AZ655" s="317" t="n"/>
      <c r="BA655" s="257" t="n"/>
      <c r="BB655" s="258" t="n"/>
      <c r="BC655" s="316" t="n"/>
      <c r="BD655" s="317" t="n"/>
      <c r="BE655" s="257" t="n"/>
      <c r="BF655" s="258" t="n"/>
      <c r="BG655" s="89" t="n"/>
      <c r="BH6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55">
        <f>_xlfn.LET(r,ROW(),oc,INDEX($A:$A,r),cv,TRIM(INDEX($Y:$Y,r)&amp;""),IF(oc&lt;&gt;"P1","",IF(cv="45","V45 - novo, nao alimentado pelo spool atual","V44 - alimentado pelo spool atual")))</f>
        <v/>
      </c>
    </row>
    <row r="656" ht="54" customFormat="1" customHeight="1" s="91">
      <c r="A656" s="306" t="inlineStr">
        <is>
          <t>P1</t>
        </is>
      </c>
      <c r="B656" s="307" t="n">
        <v>421</v>
      </c>
      <c r="C656" s="269" t="inlineStr">
        <is>
          <t>17 - Caractéristiques Titres</t>
        </is>
      </c>
      <c r="D656" s="236" t="inlineStr">
        <is>
          <t>17 - Securities characteristics</t>
        </is>
      </c>
      <c r="E656" s="372" t="inlineStr">
        <is>
          <t>P1 30.6</t>
        </is>
      </c>
      <c r="F656" s="1252" t="inlineStr">
        <is>
          <t>Montant des coupons courus non échus de la jambe prêteuse du repo (cessions temporaires de titres)</t>
        </is>
      </c>
      <c r="G656" s="309" t="inlineStr">
        <is>
          <t>Amount of accrued coupons of the lending leg from repo</t>
        </is>
      </c>
      <c r="H656" s="1493">
        <f>"RPAD( "&amp;SUBSTITUTE(SUBSTITUTE(E656," ","_"),".","_")&amp;","&amp;W656&amp;",' '); -- "&amp;E656</f>
        <v/>
      </c>
      <c r="I656" s="1032" t="inlineStr">
        <is>
          <t>Montant des coupons courus non échus de la jambe prêteusedu repo (cessions temporaires de titres)</t>
        </is>
      </c>
      <c r="J656" s="309" t="inlineStr">
        <is>
          <t>Amount of accrued coupons of the lending leg from repo</t>
        </is>
      </c>
      <c r="K656" s="370" t="inlineStr">
        <is>
          <t>ND</t>
        </is>
      </c>
      <c r="L656" s="371" t="inlineStr">
        <is>
          <t>ND</t>
        </is>
      </c>
      <c r="M656" s="1420" t="inlineStr">
        <is>
          <t>mtCoupCouruJamPret</t>
        </is>
      </c>
      <c r="N656" s="257" t="inlineStr">
        <is>
          <t>Obligatoire sous conditions</t>
        </is>
      </c>
      <c r="O656" s="310" t="inlineStr">
        <is>
          <t>Mandatory under conditions</t>
        </is>
      </c>
      <c r="P656" s="269" t="inlineStr">
        <is>
          <t>NA</t>
        </is>
      </c>
      <c r="Q656" s="269" t="inlineStr">
        <is>
          <t>NA</t>
        </is>
      </c>
      <c r="R656" s="241" t="inlineStr">
        <is>
          <t>NA</t>
        </is>
      </c>
      <c r="S656" s="233" t="inlineStr">
        <is>
          <t>NA</t>
        </is>
      </c>
      <c r="T656" s="313" t="inlineStr">
        <is>
          <t>NUM</t>
        </is>
      </c>
      <c r="U656" s="237" t="inlineStr">
        <is>
          <t>19 dont signe et 2 décimales</t>
        </is>
      </c>
      <c r="V656" s="238" t="inlineStr">
        <is>
          <t>19 including sign and 2 decimals</t>
        </is>
      </c>
      <c r="W656" s="257" t="n">
        <v>19</v>
      </c>
      <c r="X656" s="945" t="inlineStr">
        <is>
          <t>NA</t>
        </is>
      </c>
      <c r="Y656" s="237" t="n">
        <v>42</v>
      </c>
      <c r="Z656" s="237" t="inlineStr">
        <is>
          <t>NA</t>
        </is>
      </c>
      <c r="AA656" s="270" t="inlineStr">
        <is>
          <t>45.00</t>
        </is>
      </c>
      <c r="AB656" s="932" t="inlineStr">
        <is>
          <t>AER, ANACREDIT, CALCULS PRUDENTIELS, LIQUIDITE, PALMA</t>
        </is>
      </c>
      <c r="AC656" s="231" t="inlineStr">
        <is>
          <t>ND</t>
        </is>
      </c>
      <c r="AD656" s="257" t="inlineStr">
        <is>
          <t>N</t>
        </is>
      </c>
      <c r="AE656" s="1034" t="inlineStr">
        <is>
          <t>VAR105 et 302</t>
        </is>
      </c>
      <c r="AF656" s="257" t="inlineStr">
        <is>
          <t>NA</t>
        </is>
      </c>
      <c r="AG656" s="258" t="inlineStr">
        <is>
          <t>NA</t>
        </is>
      </c>
      <c r="AH656" s="89" t="n"/>
      <c r="AI656" s="316" t="inlineStr">
        <is>
          <t>La donnée est obligatoire si type de risque [P1 2.0] = VAR105 et VAR302 et si Nature du Sous-Jacent [P1 12.1] = (01, 04, 05, 06, 07, 08, 09, 11)</t>
        </is>
      </c>
      <c r="AJ656" s="317" t="inlineStr">
        <is>
          <t>The data is mandatory, if Risk type [P1 2.0] = VAR105 and VAR302 and if Nature of underlying [P1 12.1] = (01, 04, 05, 06, 07, 08, 09, 11)</t>
        </is>
      </c>
      <c r="AK656" s="257" t="n">
        <v>6</v>
      </c>
      <c r="AL656" s="420" t="inlineStr">
        <is>
          <t>TPS0898</t>
        </is>
      </c>
      <c r="AM656" s="318" t="n"/>
      <c r="AN656" s="317" t="n"/>
      <c r="AO656" s="257" t="n"/>
      <c r="AP656" s="258" t="n"/>
      <c r="AQ656" s="421" t="n"/>
      <c r="AR656" s="422" t="n"/>
      <c r="AS656" s="348" t="n"/>
      <c r="AT656" s="258" t="n"/>
      <c r="AU656" s="421" t="n"/>
      <c r="AV656" s="422" t="n"/>
      <c r="AW656" s="348" t="n"/>
      <c r="AX656" s="258" t="n"/>
      <c r="AY656" s="318" t="n"/>
      <c r="AZ656" s="317" t="n"/>
      <c r="BA656" s="257" t="n"/>
      <c r="BB656" s="258" t="n"/>
      <c r="BC656" s="316" t="n"/>
      <c r="BD656" s="317" t="n"/>
      <c r="BE656" s="257" t="n"/>
      <c r="BF656" s="258" t="n"/>
      <c r="BG656" s="89" t="n"/>
      <c r="BH6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56">
        <f>_xlfn.LET(r,ROW(),oc,INDEX($A:$A,r),cv,TRIM(INDEX($Y:$Y,r)&amp;""),IF(oc&lt;&gt;"P1","",IF(cv="45","V45 - novo, nao alimentado pelo spool atual","V44 - alimentado pelo spool atual")))</f>
        <v/>
      </c>
    </row>
    <row r="657" ht="54" customFormat="1" customHeight="1" s="91">
      <c r="A657" s="306" t="inlineStr">
        <is>
          <t>P1</t>
        </is>
      </c>
      <c r="B657" s="307" t="n">
        <v>422</v>
      </c>
      <c r="C657" s="269" t="inlineStr">
        <is>
          <t>09 - Caractéristiques Dérivés</t>
        </is>
      </c>
      <c r="D657" s="236" t="inlineStr">
        <is>
          <t>09 - Derivative characteristics</t>
        </is>
      </c>
      <c r="E657" s="372" t="inlineStr">
        <is>
          <t>P1 30.7</t>
        </is>
      </c>
      <c r="F657" s="1032" t="inlineStr">
        <is>
          <t>Devise du montant des coupons courus non échus de la jambe prêteuse du repo</t>
        </is>
      </c>
      <c r="G657" s="309" t="inlineStr">
        <is>
          <t>Currency of amount of accrued coupons of the lending leg from repo</t>
        </is>
      </c>
      <c r="H657" s="1493">
        <f>"RPAD( "&amp;SUBSTITUTE(SUBSTITUTE(E657," ","_"),".","_")&amp;","&amp;W657&amp;",' '); -- "&amp;E657</f>
        <v/>
      </c>
      <c r="I657" s="1032" t="inlineStr">
        <is>
          <t>Devise du montant des coupons courus non échus de la jambe prêteuse du repo</t>
        </is>
      </c>
      <c r="J657" s="309" t="inlineStr">
        <is>
          <t>Currency of amount of accrued coupons of the lending leg from repo</t>
        </is>
      </c>
      <c r="K657" s="370" t="inlineStr">
        <is>
          <t>ND</t>
        </is>
      </c>
      <c r="L657" s="371" t="inlineStr">
        <is>
          <t>ND</t>
        </is>
      </c>
      <c r="M657" s="1420" t="inlineStr">
        <is>
          <t>cdDevMtCoupCouruJamPret</t>
        </is>
      </c>
      <c r="N657" s="257" t="inlineStr">
        <is>
          <t>Obligatoire sous conditions</t>
        </is>
      </c>
      <c r="O657" s="310" t="inlineStr">
        <is>
          <t>Mandatory under conditions</t>
        </is>
      </c>
      <c r="P657" s="269" t="inlineStr">
        <is>
          <t>LC.0005</t>
        </is>
      </c>
      <c r="Q657" s="269" t="inlineStr">
        <is>
          <t>TA NM253</t>
        </is>
      </c>
      <c r="R657" s="241" t="inlineStr">
        <is>
          <t>NA</t>
        </is>
      </c>
      <c r="S657" s="233" t="inlineStr">
        <is>
          <t>NA</t>
        </is>
      </c>
      <c r="T657" s="313" t="inlineStr">
        <is>
          <t>ALPHA</t>
        </is>
      </c>
      <c r="U657" s="237" t="inlineStr">
        <is>
          <t>NA</t>
        </is>
      </c>
      <c r="V657" s="238" t="inlineStr">
        <is>
          <t>NA</t>
        </is>
      </c>
      <c r="W657" s="257" t="n">
        <v>3</v>
      </c>
      <c r="X657" s="945" t="inlineStr">
        <is>
          <t>NA</t>
        </is>
      </c>
      <c r="Y657" s="237" t="n">
        <v>42</v>
      </c>
      <c r="Z657" s="237" t="inlineStr">
        <is>
          <t>NA</t>
        </is>
      </c>
      <c r="AA657" s="270" t="inlineStr">
        <is>
          <t>45.00</t>
        </is>
      </c>
      <c r="AB657" s="932" t="inlineStr">
        <is>
          <t>AER, ANACREDIT, CALCULS PRUDENTIELS, LIQUIDITE, PALMA</t>
        </is>
      </c>
      <c r="AC657" s="231" t="inlineStr">
        <is>
          <t>ND</t>
        </is>
      </c>
      <c r="AD657" s="257" t="inlineStr">
        <is>
          <t>N</t>
        </is>
      </c>
      <c r="AE657" s="1034" t="inlineStr">
        <is>
          <t>VAR105 et 302</t>
        </is>
      </c>
      <c r="AF657" s="257" t="inlineStr">
        <is>
          <t>NA</t>
        </is>
      </c>
      <c r="AG657" s="258" t="inlineStr">
        <is>
          <t>NA</t>
        </is>
      </c>
      <c r="AH657" s="89" t="n"/>
      <c r="AI657" s="446" t="inlineStr">
        <is>
          <t>La donnée est obligatoire, si Montant des coupons courus non échus de la jambe prêteuse (cessions temporaires de titres) [P1 30.6] est renseigné</t>
        </is>
      </c>
      <c r="AJ657" s="317" t="inlineStr">
        <is>
          <t>The data is mandatory, if Amount of accrued coupons of the lending leg [P1 30.6] is filled</t>
        </is>
      </c>
      <c r="AK657" s="257" t="n">
        <v>7</v>
      </c>
      <c r="AL657" s="258" t="inlineStr">
        <is>
          <t>TPG0002</t>
        </is>
      </c>
      <c r="AM657" s="318" t="inlineStr">
        <is>
          <t>Si elle est renseignée, la valeur doit être connue du Langage Commun associé</t>
        </is>
      </c>
      <c r="AN657" s="317" t="inlineStr">
        <is>
          <t>If specified, the value must be known to the associated Common Language</t>
        </is>
      </c>
      <c r="AO657" s="257" t="n">
        <v>7</v>
      </c>
      <c r="AP657" s="212" t="inlineStr">
        <is>
          <t>TIG0001</t>
        </is>
      </c>
      <c r="AQ657" s="318" t="n"/>
      <c r="AR657" s="317" t="n"/>
      <c r="AS657" s="257" t="n"/>
      <c r="AT657" s="258" t="n"/>
      <c r="AU657" s="318" t="n"/>
      <c r="AV657" s="317" t="n"/>
      <c r="AW657" s="257" t="n"/>
      <c r="AX657" s="258" t="n"/>
      <c r="AY657" s="318" t="n"/>
      <c r="AZ657" s="317" t="n"/>
      <c r="BA657" s="257" t="n"/>
      <c r="BB657" s="258" t="n"/>
      <c r="BC657" s="316" t="n"/>
      <c r="BD657" s="317" t="n"/>
      <c r="BE657" s="257" t="n"/>
      <c r="BF657" s="258" t="n"/>
      <c r="BG657" s="89" t="n"/>
      <c r="BH6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57">
        <f>_xlfn.LET(r,ROW(),oc,INDEX($A:$A,r),cv,TRIM(INDEX($Y:$Y,r)&amp;""),IF(oc&lt;&gt;"P1","",IF(cv="45","V45 - novo, nao alimentado pelo spool atual","V44 - alimentado pelo spool atual")))</f>
        <v/>
      </c>
    </row>
    <row r="658" ht="54" customFormat="1" customHeight="1" s="91">
      <c r="A658" s="306" t="inlineStr">
        <is>
          <t>P1</t>
        </is>
      </c>
      <c r="B658" s="307" t="n">
        <v>423</v>
      </c>
      <c r="C658" s="269" t="inlineStr">
        <is>
          <t>17 - Caractéristiques Titres</t>
        </is>
      </c>
      <c r="D658" s="236" t="inlineStr">
        <is>
          <t>17 - Securities characteristics</t>
        </is>
      </c>
      <c r="E658" s="372" t="inlineStr">
        <is>
          <t>P1 30.8</t>
        </is>
      </c>
      <c r="F658" s="1032" t="inlineStr">
        <is>
          <t>Montant du nominal des titres de la jambe emprunteuse du repo (cessions temporaires de titres)</t>
        </is>
      </c>
      <c r="G658" s="309" t="inlineStr">
        <is>
          <t>Amount of the nominal securities of the borrowing leg from repo</t>
        </is>
      </c>
      <c r="H658" s="1493">
        <f>"RPAD( "&amp;SUBSTITUTE(SUBSTITUTE(E658," ","_"),".","_")&amp;","&amp;W658&amp;",' '); -- "&amp;E658</f>
        <v/>
      </c>
      <c r="I658" s="1032" t="inlineStr">
        <is>
          <t>Montant du nominal des titres de la jambe emprunteuse du repo (cessions temporaires de titres)</t>
        </is>
      </c>
      <c r="J658" s="309" t="inlineStr">
        <is>
          <t>Amount of the nominal securities of the borrowing leg from repo</t>
        </is>
      </c>
      <c r="K658" s="370" t="inlineStr">
        <is>
          <t>ND</t>
        </is>
      </c>
      <c r="L658" s="371" t="inlineStr">
        <is>
          <t>ND</t>
        </is>
      </c>
      <c r="M658" s="1420" t="inlineStr">
        <is>
          <t>mtNomTitreJamEmpr</t>
        </is>
      </c>
      <c r="N658" s="257" t="inlineStr">
        <is>
          <t>Obligatoire sous conditions</t>
        </is>
      </c>
      <c r="O658" s="310" t="inlineStr">
        <is>
          <t>Mandatory under conditions</t>
        </is>
      </c>
      <c r="P658" s="269" t="inlineStr">
        <is>
          <t>NA</t>
        </is>
      </c>
      <c r="Q658" s="269" t="inlineStr">
        <is>
          <t>NA</t>
        </is>
      </c>
      <c r="R658" s="693" t="inlineStr">
        <is>
          <t xml:space="preserve">En cas de prêt sec de titres, le montant doit être égal à zéro </t>
        </is>
      </c>
      <c r="S658" s="489" t="inlineStr">
        <is>
          <t>In the case of dry securities lending, the amount must be zero</t>
        </is>
      </c>
      <c r="T658" s="313" t="inlineStr">
        <is>
          <t>NUM</t>
        </is>
      </c>
      <c r="U658" s="237" t="inlineStr">
        <is>
          <t>19 dont signe et 2 décimales</t>
        </is>
      </c>
      <c r="V658" s="238" t="inlineStr">
        <is>
          <t>19 including sign and 2 decimals</t>
        </is>
      </c>
      <c r="W658" s="257" t="n">
        <v>19</v>
      </c>
      <c r="X658" s="945" t="inlineStr">
        <is>
          <t>NA</t>
        </is>
      </c>
      <c r="Y658" s="237" t="n">
        <v>42</v>
      </c>
      <c r="Z658" s="237" t="inlineStr">
        <is>
          <t>NA</t>
        </is>
      </c>
      <c r="AA658" s="270" t="inlineStr">
        <is>
          <t>45.00</t>
        </is>
      </c>
      <c r="AB658" s="932" t="inlineStr">
        <is>
          <t>AER, CALCULS PRUDENTIELS, LIQUIDITE</t>
        </is>
      </c>
      <c r="AC658" s="231" t="inlineStr">
        <is>
          <t>ND</t>
        </is>
      </c>
      <c r="AD658" s="257" t="inlineStr">
        <is>
          <t>N</t>
        </is>
      </c>
      <c r="AE658" s="1034" t="inlineStr">
        <is>
          <t>VAR105 et 302</t>
        </is>
      </c>
      <c r="AF658" s="257" t="inlineStr">
        <is>
          <t>NA</t>
        </is>
      </c>
      <c r="AG658" s="258" t="inlineStr">
        <is>
          <t>NA</t>
        </is>
      </c>
      <c r="AH658" s="89" t="n"/>
      <c r="AI658" s="316" t="inlineStr">
        <is>
          <t>La donnée est obligatoire si type de risque [P1 2.0] = VAR105 et VAR302 et si Nature du Sous-Jacent [P1 12.1] = (01, 04, 05, 06, 07, 08, 09, 11)</t>
        </is>
      </c>
      <c r="AJ658" s="317" t="inlineStr">
        <is>
          <t>The data is mandatory, if Risk type [P1 2.0] = VAR105 and VAR302 and if Nature of underlying [P1 12.1] = (01, 04, 05, 06, 07, 08, 09, 11)</t>
        </is>
      </c>
      <c r="AK658" s="257" t="n">
        <v>6</v>
      </c>
      <c r="AL658" s="420" t="inlineStr">
        <is>
          <t>TPS0898</t>
        </is>
      </c>
      <c r="AM658" s="318" t="n"/>
      <c r="AN658" s="317" t="n"/>
      <c r="AO658" s="257" t="n"/>
      <c r="AP658" s="258" t="n"/>
      <c r="AQ658" s="398" t="inlineStr">
        <is>
          <t>Si renseignée, la donnée doit être positive (supérieure ou égale à 0)</t>
        </is>
      </c>
      <c r="AR658" s="317" t="inlineStr">
        <is>
          <t xml:space="preserve">If filled, data must be positive (greater or equal to 0) </t>
        </is>
      </c>
      <c r="AS658" s="257" t="n">
        <v>7</v>
      </c>
      <c r="AT658" s="345" t="inlineStr">
        <is>
          <t>TVG0001</t>
        </is>
      </c>
      <c r="AU658" s="318" t="n"/>
      <c r="AV658" s="317" t="n"/>
      <c r="AW658" s="257" t="n"/>
      <c r="AX658" s="258" t="n"/>
      <c r="AY658" s="318" t="n"/>
      <c r="AZ658" s="317" t="n"/>
      <c r="BA658" s="257" t="n"/>
      <c r="BB658" s="258" t="n"/>
      <c r="BC658" s="316" t="n"/>
      <c r="BD658" s="317" t="n"/>
      <c r="BE658" s="257" t="n"/>
      <c r="BF658" s="258" t="n"/>
      <c r="BG658" s="89" t="n"/>
      <c r="BH6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58">
        <f>_xlfn.LET(r,ROW(),oc,INDEX($A:$A,r),cv,TRIM(INDEX($Y:$Y,r)&amp;""),IF(oc&lt;&gt;"P1","",IF(cv="45","V45 - novo, nao alimentado pelo spool atual","V44 - alimentado pelo spool atual")))</f>
        <v/>
      </c>
    </row>
    <row r="659" ht="54" customFormat="1" customHeight="1" s="91">
      <c r="A659" s="306" t="inlineStr">
        <is>
          <t>P1</t>
        </is>
      </c>
      <c r="B659" s="307" t="n">
        <v>424</v>
      </c>
      <c r="C659" s="269" t="inlineStr">
        <is>
          <t>17 - Caractéristiques Titres</t>
        </is>
      </c>
      <c r="D659" s="236" t="inlineStr">
        <is>
          <t>17 - Securities characteristics</t>
        </is>
      </c>
      <c r="E659" s="372" t="inlineStr">
        <is>
          <t>P1 30.9</t>
        </is>
      </c>
      <c r="F659" s="1032" t="inlineStr">
        <is>
          <t>Devise du montant du nominal des titres de la jambe emprunteuse du repo</t>
        </is>
      </c>
      <c r="G659" s="309" t="inlineStr">
        <is>
          <t>Currency of amount of the nominal securities of the borrowing leg from repo</t>
        </is>
      </c>
      <c r="H659" s="1493">
        <f>"RPAD( "&amp;SUBSTITUTE(SUBSTITUTE(E659," ","_"),".","_")&amp;","&amp;W659&amp;",' '); -- "&amp;E659</f>
        <v/>
      </c>
      <c r="I659" s="1032" t="inlineStr">
        <is>
          <t>Devise du montant du nominal des titres de la jambe emprunteuse du repo</t>
        </is>
      </c>
      <c r="J659" s="309" t="inlineStr">
        <is>
          <t>Currency of amount of the nominal securities of the borrowing leg from repo</t>
        </is>
      </c>
      <c r="K659" s="370" t="inlineStr">
        <is>
          <t>ND</t>
        </is>
      </c>
      <c r="L659" s="371" t="inlineStr">
        <is>
          <t>ND</t>
        </is>
      </c>
      <c r="M659" s="1420" t="inlineStr">
        <is>
          <t>cdDevMtNomTitreJamEmpr</t>
        </is>
      </c>
      <c r="N659" s="257" t="inlineStr">
        <is>
          <t>Obligatoire sous conditions</t>
        </is>
      </c>
      <c r="O659" s="310" t="inlineStr">
        <is>
          <t>Mandatory under conditions</t>
        </is>
      </c>
      <c r="P659" s="269" t="inlineStr">
        <is>
          <t>LC.0005</t>
        </is>
      </c>
      <c r="Q659" s="269" t="inlineStr">
        <is>
          <t>TA NM253</t>
        </is>
      </c>
      <c r="R659" s="241" t="inlineStr">
        <is>
          <t>NA</t>
        </is>
      </c>
      <c r="S659" s="233" t="inlineStr">
        <is>
          <t>NA</t>
        </is>
      </c>
      <c r="T659" s="313" t="inlineStr">
        <is>
          <t>ALPHA</t>
        </is>
      </c>
      <c r="U659" s="237" t="inlineStr">
        <is>
          <t>NA</t>
        </is>
      </c>
      <c r="V659" s="238" t="inlineStr">
        <is>
          <t>NA</t>
        </is>
      </c>
      <c r="W659" s="257" t="n">
        <v>3</v>
      </c>
      <c r="X659" s="945" t="inlineStr">
        <is>
          <t>NA</t>
        </is>
      </c>
      <c r="Y659" s="237" t="n">
        <v>42</v>
      </c>
      <c r="Z659" s="237" t="inlineStr">
        <is>
          <t>NA</t>
        </is>
      </c>
      <c r="AA659" s="270" t="inlineStr">
        <is>
          <t>45.00</t>
        </is>
      </c>
      <c r="AB659" s="932" t="inlineStr">
        <is>
          <t>AER, CALCULS PRUDENTIELS, LIQUIDITE</t>
        </is>
      </c>
      <c r="AC659" s="231" t="inlineStr">
        <is>
          <t>ND</t>
        </is>
      </c>
      <c r="AD659" s="257" t="inlineStr">
        <is>
          <t>N</t>
        </is>
      </c>
      <c r="AE659" s="1034" t="inlineStr">
        <is>
          <t>VAR105 et 302</t>
        </is>
      </c>
      <c r="AF659" s="257" t="inlineStr">
        <is>
          <t>NA</t>
        </is>
      </c>
      <c r="AG659" s="258" t="inlineStr">
        <is>
          <t>NA</t>
        </is>
      </c>
      <c r="AH659" s="89" t="n"/>
      <c r="AI659" s="446" t="inlineStr">
        <is>
          <t>La donnée est obligatoire, si Montant du nominal des titres de la jambe emprunteuse (cessions temporaires de titres) [P1 30.8] est renseigné</t>
        </is>
      </c>
      <c r="AJ659" s="317" t="inlineStr">
        <is>
          <t>The data is mandatory, if Amount of the nominal securities of the borrowing leg [P1 30.8] is filled</t>
        </is>
      </c>
      <c r="AK659" s="257" t="n">
        <v>7</v>
      </c>
      <c r="AL659" s="258" t="inlineStr">
        <is>
          <t>TPG0002</t>
        </is>
      </c>
      <c r="AM659" s="318" t="inlineStr">
        <is>
          <t>Si elle est renseignée, la valeur doit être connue du Langage Commun associé</t>
        </is>
      </c>
      <c r="AN659" s="317" t="inlineStr">
        <is>
          <t>If specified, the value must be known to the associated Common Language</t>
        </is>
      </c>
      <c r="AO659" s="257" t="n">
        <v>7</v>
      </c>
      <c r="AP659" s="212" t="inlineStr">
        <is>
          <t>TIG0001</t>
        </is>
      </c>
      <c r="AQ659" s="318" t="n"/>
      <c r="AR659" s="317" t="n"/>
      <c r="AS659" s="257" t="n"/>
      <c r="AT659" s="258" t="n"/>
      <c r="AU659" s="318" t="n"/>
      <c r="AV659" s="317" t="n"/>
      <c r="AW659" s="257" t="n"/>
      <c r="AX659" s="258" t="n"/>
      <c r="AY659" s="318" t="n"/>
      <c r="AZ659" s="317" t="n"/>
      <c r="BA659" s="257" t="n"/>
      <c r="BB659" s="258" t="n"/>
      <c r="BC659" s="316" t="n"/>
      <c r="BD659" s="317" t="n"/>
      <c r="BE659" s="257" t="n"/>
      <c r="BF659" s="258" t="n"/>
      <c r="BG659" s="89" t="n"/>
      <c r="BH6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59">
        <f>_xlfn.LET(r,ROW(),oc,INDEX($A:$A,r),cv,TRIM(INDEX($Y:$Y,r)&amp;""),IF(oc&lt;&gt;"P1","",IF(cv="45","V45 - novo, nao alimentado pelo spool atual","V44 - alimentado pelo spool atual")))</f>
        <v/>
      </c>
    </row>
    <row r="660" ht="54" customFormat="1" customHeight="1" s="91">
      <c r="A660" s="306" t="inlineStr">
        <is>
          <t>P1</t>
        </is>
      </c>
      <c r="B660" s="307" t="n">
        <v>425</v>
      </c>
      <c r="C660" s="269" t="inlineStr">
        <is>
          <t>17 - Caractéristiques Titres</t>
        </is>
      </c>
      <c r="D660" s="236" t="inlineStr">
        <is>
          <t>17 - Securities characteristics</t>
        </is>
      </c>
      <c r="E660" s="372" t="inlineStr">
        <is>
          <t>P1 30.10</t>
        </is>
      </c>
      <c r="F660" s="1032" t="inlineStr">
        <is>
          <t>Montant des coupons courus non échus de la jambe emprunteuse du repo (cessions temporaires de titres)</t>
        </is>
      </c>
      <c r="G660" s="309" t="inlineStr">
        <is>
          <t>Amount of accrued coupons of the borrowing leg from repo</t>
        </is>
      </c>
      <c r="H660" s="1493">
        <f>"RPAD( "&amp;SUBSTITUTE(SUBSTITUTE(E660," ","_"),".","_")&amp;","&amp;W660&amp;",' '); -- "&amp;E660</f>
        <v/>
      </c>
      <c r="I660" s="1032" t="inlineStr">
        <is>
          <t>Montant des coupons courus non échus de la jambe emprunteuse du repo (cessions temporaires de titres)</t>
        </is>
      </c>
      <c r="J660" s="309" t="inlineStr">
        <is>
          <t>Amount of accrued coupons of the borrowing leg from repo</t>
        </is>
      </c>
      <c r="K660" s="370" t="inlineStr">
        <is>
          <t>ND</t>
        </is>
      </c>
      <c r="L660" s="371" t="inlineStr">
        <is>
          <t>ND</t>
        </is>
      </c>
      <c r="M660" s="1420" t="inlineStr">
        <is>
          <t>mtCoupCouruJamEmpr</t>
        </is>
      </c>
      <c r="N660" s="257" t="inlineStr">
        <is>
          <t>Obligatoire sous conditions</t>
        </is>
      </c>
      <c r="O660" s="310" t="inlineStr">
        <is>
          <t>Mandatory under conditions</t>
        </is>
      </c>
      <c r="P660" s="269" t="inlineStr">
        <is>
          <t>NA</t>
        </is>
      </c>
      <c r="Q660" s="269" t="inlineStr">
        <is>
          <t>NA</t>
        </is>
      </c>
      <c r="R660" s="241" t="inlineStr">
        <is>
          <t>NA</t>
        </is>
      </c>
      <c r="S660" s="233" t="inlineStr">
        <is>
          <t>NA</t>
        </is>
      </c>
      <c r="T660" s="313" t="inlineStr">
        <is>
          <t>NUM</t>
        </is>
      </c>
      <c r="U660" s="237" t="inlineStr">
        <is>
          <t>19 dont signe et 2 décimales</t>
        </is>
      </c>
      <c r="V660" s="238" t="inlineStr">
        <is>
          <t>19 including sign and 2 decimals</t>
        </is>
      </c>
      <c r="W660" s="257" t="n">
        <v>19</v>
      </c>
      <c r="X660" s="945" t="inlineStr">
        <is>
          <t>NA</t>
        </is>
      </c>
      <c r="Y660" s="237" t="n">
        <v>42</v>
      </c>
      <c r="Z660" s="237" t="inlineStr">
        <is>
          <t>NA</t>
        </is>
      </c>
      <c r="AA660" s="270" t="inlineStr">
        <is>
          <t>45.00</t>
        </is>
      </c>
      <c r="AB660" s="932" t="inlineStr">
        <is>
          <t>AER, ANACREDIT, CALCULS PRUDENTIELS, LIQUIDITE, PALMA</t>
        </is>
      </c>
      <c r="AC660" s="231" t="inlineStr">
        <is>
          <t>ND</t>
        </is>
      </c>
      <c r="AD660" s="257" t="inlineStr">
        <is>
          <t>N</t>
        </is>
      </c>
      <c r="AE660" s="1034" t="inlineStr">
        <is>
          <t>VAR105 et 302</t>
        </is>
      </c>
      <c r="AF660" s="257" t="inlineStr">
        <is>
          <t>NA</t>
        </is>
      </c>
      <c r="AG660" s="258" t="inlineStr">
        <is>
          <t>NA</t>
        </is>
      </c>
      <c r="AH660" s="89" t="n"/>
      <c r="AI660" s="316" t="inlineStr">
        <is>
          <t>La donnée est obligatoire si type de risque [P1 2.0] = VAR105 et VAR302 et si Nature du Sous-Jacent [P1 12.1] = (01, 04, 05, 06, 07, 08, 09, 11)</t>
        </is>
      </c>
      <c r="AJ660" s="317" t="inlineStr">
        <is>
          <t>The data is mandatory, if Risk type [P1 2.0] = VAR105 and VAR302 and if Nature of underlying [P1 12.1] = (01, 04, 05, 06, 07, 08, 09, 11)</t>
        </is>
      </c>
      <c r="AK660" s="257" t="n">
        <v>6</v>
      </c>
      <c r="AL660" s="420" t="inlineStr">
        <is>
          <t>TPS0898</t>
        </is>
      </c>
      <c r="AM660" s="318" t="n"/>
      <c r="AN660" s="317" t="n"/>
      <c r="AO660" s="257" t="n"/>
      <c r="AP660" s="258" t="n"/>
      <c r="AQ660" s="421" t="n"/>
      <c r="AR660" s="422" t="n"/>
      <c r="AS660" s="348" t="n"/>
      <c r="AT660" s="258" t="n"/>
      <c r="AU660" s="421" t="n"/>
      <c r="AV660" s="422" t="n"/>
      <c r="AW660" s="348" t="n"/>
      <c r="AX660" s="258" t="n"/>
      <c r="AY660" s="318" t="n"/>
      <c r="AZ660" s="317" t="n"/>
      <c r="BA660" s="257" t="n"/>
      <c r="BB660" s="258" t="n"/>
      <c r="BC660" s="316" t="n"/>
      <c r="BD660" s="317" t="n"/>
      <c r="BE660" s="257" t="n"/>
      <c r="BF660" s="258" t="n"/>
      <c r="BG660" s="89" t="n"/>
      <c r="BH6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60">
        <f>_xlfn.LET(r,ROW(),oc,INDEX($A:$A,r),cv,TRIM(INDEX($Y:$Y,r)&amp;""),IF(oc&lt;&gt;"P1","",IF(cv="45","V45 - novo, nao alimentado pelo spool atual","V44 - alimentado pelo spool atual")))</f>
        <v/>
      </c>
    </row>
    <row r="661" ht="54" customFormat="1" customHeight="1" s="91">
      <c r="A661" s="306" t="inlineStr">
        <is>
          <t>P1</t>
        </is>
      </c>
      <c r="B661" s="307" t="n">
        <v>426</v>
      </c>
      <c r="C661" s="269" t="inlineStr">
        <is>
          <t>09 - Caractéristiques Dérivés</t>
        </is>
      </c>
      <c r="D661" s="236" t="inlineStr">
        <is>
          <t>09 - Derivative characteristics</t>
        </is>
      </c>
      <c r="E661" s="372" t="inlineStr">
        <is>
          <t>P1 30.11</t>
        </is>
      </c>
      <c r="F661" s="1032" t="inlineStr">
        <is>
          <t>Devise du montant des coupons courus non échus de la jambe emprunteuse du repo</t>
        </is>
      </c>
      <c r="G661" s="309" t="inlineStr">
        <is>
          <t>Currency of amount of accrued coupons of the borrowing leg from repo</t>
        </is>
      </c>
      <c r="H661" s="1493">
        <f>"RPAD( "&amp;SUBSTITUTE(SUBSTITUTE(E661," ","_"),".","_")&amp;","&amp;W661&amp;",' '); -- "&amp;E661</f>
        <v/>
      </c>
      <c r="I661" s="1032" t="inlineStr">
        <is>
          <t>Devise du montant des coupons courus non échus de la jambe emprunteuse du repo</t>
        </is>
      </c>
      <c r="J661" s="309" t="inlineStr">
        <is>
          <t>Currency of amount of accrued coupons of the borrowing leg from repo</t>
        </is>
      </c>
      <c r="K661" s="370" t="inlineStr">
        <is>
          <t>ND</t>
        </is>
      </c>
      <c r="L661" s="371" t="inlineStr">
        <is>
          <t>ND</t>
        </is>
      </c>
      <c r="M661" s="1420" t="inlineStr">
        <is>
          <t>cdDevMtCoupCouruJamEmpr</t>
        </is>
      </c>
      <c r="N661" s="257" t="inlineStr">
        <is>
          <t>Obligatoire sous conditions</t>
        </is>
      </c>
      <c r="O661" s="310" t="inlineStr">
        <is>
          <t>Mandatory under conditions</t>
        </is>
      </c>
      <c r="P661" s="269" t="inlineStr">
        <is>
          <t>LC.0005</t>
        </is>
      </c>
      <c r="Q661" s="269" t="inlineStr">
        <is>
          <t>TA NM253</t>
        </is>
      </c>
      <c r="R661" s="241" t="inlineStr">
        <is>
          <t>NA</t>
        </is>
      </c>
      <c r="S661" s="233" t="inlineStr">
        <is>
          <t>NA</t>
        </is>
      </c>
      <c r="T661" s="313" t="inlineStr">
        <is>
          <t>ALPHA</t>
        </is>
      </c>
      <c r="U661" s="237" t="inlineStr">
        <is>
          <t>NA</t>
        </is>
      </c>
      <c r="V661" s="238" t="inlineStr">
        <is>
          <t>NA</t>
        </is>
      </c>
      <c r="W661" s="257" t="n">
        <v>3</v>
      </c>
      <c r="X661" s="945" t="inlineStr">
        <is>
          <t>NA</t>
        </is>
      </c>
      <c r="Y661" s="237" t="n">
        <v>42</v>
      </c>
      <c r="Z661" s="237" t="inlineStr">
        <is>
          <t>NA</t>
        </is>
      </c>
      <c r="AA661" s="270" t="inlineStr">
        <is>
          <t>45.00</t>
        </is>
      </c>
      <c r="AB661" s="932" t="inlineStr">
        <is>
          <t>AER, ANACREDIT, CALCULS PRUDENTIELS, LIQUIDITE, PALMA</t>
        </is>
      </c>
      <c r="AC661" s="231" t="inlineStr">
        <is>
          <t>ND</t>
        </is>
      </c>
      <c r="AD661" s="257" t="inlineStr">
        <is>
          <t>N</t>
        </is>
      </c>
      <c r="AE661" s="1034" t="inlineStr">
        <is>
          <t>VAR105 et 302</t>
        </is>
      </c>
      <c r="AF661" s="257" t="inlineStr">
        <is>
          <t>NA</t>
        </is>
      </c>
      <c r="AG661" s="258" t="inlineStr">
        <is>
          <t>NA</t>
        </is>
      </c>
      <c r="AH661" s="89" t="n"/>
      <c r="AI661" s="446" t="inlineStr">
        <is>
          <t>La donnée est obligatoire, si Montant des coupons courus non échus de la jambe emprunteuse (cessions temporaires de titres) [P1 30.10] est renseigné</t>
        </is>
      </c>
      <c r="AJ661" s="317" t="inlineStr">
        <is>
          <t>The data is mandatory, if Amount of accrued coupons of the borrowing leg [P1 30.10] is filled</t>
        </is>
      </c>
      <c r="AK661" s="257" t="n">
        <v>7</v>
      </c>
      <c r="AL661" s="258" t="inlineStr">
        <is>
          <t>TPG0002</t>
        </is>
      </c>
      <c r="AM661" s="318" t="inlineStr">
        <is>
          <t>Si elle est renseignée, la valeur doit être connue du Langage Commun associé</t>
        </is>
      </c>
      <c r="AN661" s="317" t="inlineStr">
        <is>
          <t>If specified, the value must be known to the associated Common Language</t>
        </is>
      </c>
      <c r="AO661" s="257" t="n">
        <v>7</v>
      </c>
      <c r="AP661" s="212" t="inlineStr">
        <is>
          <t>TIG0001</t>
        </is>
      </c>
      <c r="AQ661" s="318" t="n"/>
      <c r="AR661" s="317" t="n"/>
      <c r="AS661" s="257" t="n"/>
      <c r="AT661" s="258" t="n"/>
      <c r="AU661" s="318" t="n"/>
      <c r="AV661" s="317" t="n"/>
      <c r="AW661" s="257" t="n"/>
      <c r="AX661" s="258" t="n"/>
      <c r="AY661" s="318" t="n"/>
      <c r="AZ661" s="317" t="n"/>
      <c r="BA661" s="257" t="n"/>
      <c r="BB661" s="258" t="n"/>
      <c r="BC661" s="316" t="n"/>
      <c r="BD661" s="317" t="n"/>
      <c r="BE661" s="257" t="n"/>
      <c r="BF661" s="258" t="n"/>
      <c r="BG661" s="89" t="n"/>
      <c r="BH6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61">
        <f>_xlfn.LET(r,ROW(),oc,INDEX($A:$A,r),cv,TRIM(INDEX($Y:$Y,r)&amp;""),IF(oc&lt;&gt;"P1","",IF(cv="45","V45 - novo, nao alimentado pelo spool atual","V44 - alimentado pelo spool atual")))</f>
        <v/>
      </c>
    </row>
    <row r="662" ht="54" customFormat="1" customHeight="1" s="91">
      <c r="A662" s="306" t="inlineStr">
        <is>
          <t>P1</t>
        </is>
      </c>
      <c r="B662" s="307" t="n">
        <v>427</v>
      </c>
      <c r="C662" s="269" t="inlineStr">
        <is>
          <t>09 - Caractéristiques Dérivés</t>
        </is>
      </c>
      <c r="D662" s="236" t="inlineStr">
        <is>
          <t>09 - Derivative characteristics</t>
        </is>
      </c>
      <c r="E662" s="372" t="inlineStr">
        <is>
          <t>P1 30.12</t>
        </is>
      </c>
      <c r="F662" s="1032" t="inlineStr">
        <is>
          <t>Montant des coupons courus non échus de la jambe vendue des dérivés</t>
        </is>
      </c>
      <c r="G662" s="309" t="inlineStr">
        <is>
          <t>Amount of accrued coupons of the leg sold from derivatives</t>
        </is>
      </c>
      <c r="H662" s="1493">
        <f>"RPAD( "&amp;SUBSTITUTE(SUBSTITUTE(E662," ","_"),".","_")&amp;","&amp;W662&amp;",' '); -- "&amp;E662</f>
        <v/>
      </c>
      <c r="I662" s="1032" t="inlineStr">
        <is>
          <t>Montant des coupons courus non échus de la jambe vendue des dérivés</t>
        </is>
      </c>
      <c r="J662" s="309" t="inlineStr">
        <is>
          <t>Amount of accrued coupons of the leg sold from derivatives</t>
        </is>
      </c>
      <c r="K662" s="370" t="inlineStr">
        <is>
          <t>ND</t>
        </is>
      </c>
      <c r="L662" s="371" t="inlineStr">
        <is>
          <t>ND</t>
        </is>
      </c>
      <c r="M662" s="1420" t="inlineStr">
        <is>
          <t>mtCoupCouruJamVendu</t>
        </is>
      </c>
      <c r="N662" s="1406" t="inlineStr">
        <is>
          <t>Obligatoire sous conditions</t>
        </is>
      </c>
      <c r="O662" s="999" t="inlineStr">
        <is>
          <t>Mandatory under conditions</t>
        </is>
      </c>
      <c r="P662" s="269" t="inlineStr">
        <is>
          <t>NA</t>
        </is>
      </c>
      <c r="Q662" s="269" t="inlineStr">
        <is>
          <t>NA</t>
        </is>
      </c>
      <c r="R662" s="693" t="inlineStr">
        <is>
          <t>NA</t>
        </is>
      </c>
      <c r="S662" s="489" t="inlineStr">
        <is>
          <t>NA</t>
        </is>
      </c>
      <c r="T662" s="313" t="inlineStr">
        <is>
          <t>NUM</t>
        </is>
      </c>
      <c r="U662" s="237" t="inlineStr">
        <is>
          <t>19 dont signe et 2 décimales</t>
        </is>
      </c>
      <c r="V662" s="238" t="inlineStr">
        <is>
          <t>19 including sign and 2 decimals</t>
        </is>
      </c>
      <c r="W662" s="257" t="n">
        <v>19</v>
      </c>
      <c r="X662" s="945" t="inlineStr">
        <is>
          <t>NA</t>
        </is>
      </c>
      <c r="Y662" s="237" t="n">
        <v>42</v>
      </c>
      <c r="Z662" s="237" t="inlineStr">
        <is>
          <t>NA</t>
        </is>
      </c>
      <c r="AA662" s="978" t="inlineStr">
        <is>
          <t>45.00</t>
        </is>
      </c>
      <c r="AB662" s="932" t="inlineStr">
        <is>
          <t>AER, ANACREDIT, CALCULS PRUDENTIELS, CORFOU, LIQUIDITE, PALMA</t>
        </is>
      </c>
      <c r="AC662" s="231" t="inlineStr">
        <is>
          <t>ND</t>
        </is>
      </c>
      <c r="AD662" s="257" t="inlineStr">
        <is>
          <t>N</t>
        </is>
      </c>
      <c r="AE662" s="1255" t="inlineStr">
        <is>
          <t>TRE203, 205, 207
VAR (hors VAR105, VAR302, VAR5*)
INT</t>
        </is>
      </c>
      <c r="AF662" s="257" t="inlineStr">
        <is>
          <t>NA</t>
        </is>
      </c>
      <c r="AG662" s="258" t="inlineStr">
        <is>
          <t>NA</t>
        </is>
      </c>
      <c r="AH662" s="89" t="n"/>
      <c r="AI662" s="1049" t="inlineStr">
        <is>
          <t>La donnée est obligatoire, si le type de risque [P1 2.0] = 'VAR* (hors VAR105, VAR302, VAR5*)'</t>
        </is>
      </c>
      <c r="AJ662" s="931" t="inlineStr">
        <is>
          <t>The data is mandatory if risk type [P1 2.0] = 'VAR* (except VAR105, VAR302, VAR5*)</t>
        </is>
      </c>
      <c r="AK662" s="932" t="n">
        <v>6</v>
      </c>
      <c r="AL662" s="1061" t="inlineStr">
        <is>
          <t>TPSxxx</t>
        </is>
      </c>
      <c r="AM662" s="318" t="n"/>
      <c r="AN662" s="317" t="n"/>
      <c r="AO662" s="257" t="n"/>
      <c r="AP662" s="258" t="n"/>
      <c r="AQ662" s="318" t="n"/>
      <c r="AR662" s="317" t="n"/>
      <c r="AS662" s="257" t="n"/>
      <c r="AT662" s="258" t="n"/>
      <c r="AU662" s="318" t="n"/>
      <c r="AV662" s="317" t="n"/>
      <c r="AW662" s="257" t="n"/>
      <c r="AX662" s="258" t="n"/>
      <c r="AY662" s="318" t="n"/>
      <c r="AZ662" s="317" t="n"/>
      <c r="BA662" s="257" t="n"/>
      <c r="BB662" s="258" t="n"/>
      <c r="BC662" s="316" t="n"/>
      <c r="BD662" s="317" t="n"/>
      <c r="BE662" s="257" t="n"/>
      <c r="BF662" s="258" t="n"/>
      <c r="BG662" s="89" t="n"/>
      <c r="BH6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62">
        <f>_xlfn.LET(r,ROW(),oc,INDEX($A:$A,r),cv,TRIM(INDEX($Y:$Y,r)&amp;""),IF(oc&lt;&gt;"P1","",IF(cv="45","V45 - novo, nao alimentado pelo spool atual","V44 - alimentado pelo spool atual")))</f>
        <v/>
      </c>
    </row>
    <row r="663" ht="54" customFormat="1" customHeight="1" s="91">
      <c r="A663" s="306" t="inlineStr">
        <is>
          <t>P1</t>
        </is>
      </c>
      <c r="B663" s="307" t="n">
        <v>428</v>
      </c>
      <c r="C663" s="269" t="inlineStr">
        <is>
          <t>09 - Caractéristiques Dérivés</t>
        </is>
      </c>
      <c r="D663" s="236" t="inlineStr">
        <is>
          <t>09 - Derivative characteristics</t>
        </is>
      </c>
      <c r="E663" s="372" t="inlineStr">
        <is>
          <t>P1 30.13</t>
        </is>
      </c>
      <c r="F663" s="1032" t="inlineStr">
        <is>
          <t>Devise du montant des coupons courus non échus de la jambe vendue des dérivés</t>
        </is>
      </c>
      <c r="G663" s="309" t="inlineStr">
        <is>
          <t>Currency of amount of accrued coupons of the leg sold from derivatives</t>
        </is>
      </c>
      <c r="H663" s="1493">
        <f>"RPAD( "&amp;SUBSTITUTE(SUBSTITUTE(E663," ","_"),".","_")&amp;","&amp;W663&amp;",' '); -- "&amp;E663</f>
        <v/>
      </c>
      <c r="I663" s="1032" t="inlineStr">
        <is>
          <t>Devise du montant des coupons courus non échus de la jambe vendue des dérivés</t>
        </is>
      </c>
      <c r="J663" s="309" t="inlineStr">
        <is>
          <t>Currency of amount of accrued coupons of the leg sold from derivatives</t>
        </is>
      </c>
      <c r="K663" s="370" t="inlineStr">
        <is>
          <t>ND</t>
        </is>
      </c>
      <c r="L663" s="371" t="inlineStr">
        <is>
          <t>ND</t>
        </is>
      </c>
      <c r="M663" s="1420" t="inlineStr">
        <is>
          <t>cdDevmtCoupCouruJamVendu</t>
        </is>
      </c>
      <c r="N663" s="257" t="inlineStr">
        <is>
          <t>Obligatoire sous conditions</t>
        </is>
      </c>
      <c r="O663" s="310" t="inlineStr">
        <is>
          <t>Mandatory under conditions</t>
        </is>
      </c>
      <c r="P663" s="269" t="inlineStr">
        <is>
          <t>LC.0005</t>
        </is>
      </c>
      <c r="Q663" s="269" t="inlineStr">
        <is>
          <t>TA NM253</t>
        </is>
      </c>
      <c r="R663" s="241" t="inlineStr">
        <is>
          <t>NA</t>
        </is>
      </c>
      <c r="S663" s="233" t="inlineStr">
        <is>
          <t>NA</t>
        </is>
      </c>
      <c r="T663" s="313" t="inlineStr">
        <is>
          <t>ALPHA</t>
        </is>
      </c>
      <c r="U663" s="237" t="inlineStr">
        <is>
          <t>NA</t>
        </is>
      </c>
      <c r="V663" s="238" t="inlineStr">
        <is>
          <t>NA</t>
        </is>
      </c>
      <c r="W663" s="257" t="n">
        <v>3</v>
      </c>
      <c r="X663" s="945" t="inlineStr">
        <is>
          <t>NA</t>
        </is>
      </c>
      <c r="Y663" s="237" t="n">
        <v>42</v>
      </c>
      <c r="Z663" s="237" t="inlineStr">
        <is>
          <t>NA</t>
        </is>
      </c>
      <c r="AA663" s="978" t="inlineStr">
        <is>
          <t>45.00</t>
        </is>
      </c>
      <c r="AB663" s="932" t="inlineStr">
        <is>
          <t>AER, ANACREDIT, CALCULS PRUDENTIELS, CORFOU, LIQUIDITE, PALMA</t>
        </is>
      </c>
      <c r="AC663" s="231" t="inlineStr">
        <is>
          <t>ND</t>
        </is>
      </c>
      <c r="AD663" s="257" t="inlineStr">
        <is>
          <t>N</t>
        </is>
      </c>
      <c r="AE663" s="1255" t="inlineStr">
        <is>
          <t>TRE203, 205, 207
VAR (hors VAR105, VAR302, VAR5*)
INT</t>
        </is>
      </c>
      <c r="AF663" s="257" t="inlineStr">
        <is>
          <t>NA</t>
        </is>
      </c>
      <c r="AG663" s="258" t="inlineStr">
        <is>
          <t>NA</t>
        </is>
      </c>
      <c r="AH663" s="89" t="n"/>
      <c r="AI663" s="435" t="inlineStr">
        <is>
          <t>La donnée est obligatoire si Montant des coupons courus non échus de la jambe vendue (dérivés) [P1 30.12] est renseigné</t>
        </is>
      </c>
      <c r="AJ663" s="317" t="inlineStr">
        <is>
          <t>The data is mandatory if Amount of accrued coupons of the leg sold (for derivatives) [P1 30.12] is filled</t>
        </is>
      </c>
      <c r="AK663" s="257" t="n">
        <v>7</v>
      </c>
      <c r="AL663" s="258" t="inlineStr">
        <is>
          <t>TPG0002</t>
        </is>
      </c>
      <c r="AM663" s="318" t="inlineStr">
        <is>
          <t>Si elle est renseignée, la valeur doit être connue du Langage Commun associé</t>
        </is>
      </c>
      <c r="AN663" s="317" t="inlineStr">
        <is>
          <t>If specified, the value must be known to the associated Common Language</t>
        </is>
      </c>
      <c r="AO663" s="257" t="n">
        <v>7</v>
      </c>
      <c r="AP663" s="212" t="inlineStr">
        <is>
          <t>TIG0001</t>
        </is>
      </c>
      <c r="AQ663" s="318" t="n"/>
      <c r="AR663" s="317" t="n"/>
      <c r="AS663" s="257" t="n"/>
      <c r="AT663" s="258" t="n"/>
      <c r="AU663" s="318" t="n"/>
      <c r="AV663" s="317" t="n"/>
      <c r="AW663" s="257" t="n"/>
      <c r="AX663" s="258" t="n"/>
      <c r="AY663" s="318" t="n"/>
      <c r="AZ663" s="317" t="n"/>
      <c r="BA663" s="257" t="n"/>
      <c r="BB663" s="258" t="n"/>
      <c r="BC663" s="316" t="n"/>
      <c r="BD663" s="317" t="n"/>
      <c r="BE663" s="257" t="n"/>
      <c r="BF663" s="258" t="n"/>
      <c r="BG663" s="89" t="n"/>
      <c r="BH6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63">
        <f>_xlfn.LET(r,ROW(),oc,INDEX($A:$A,r),cv,TRIM(INDEX($Y:$Y,r)&amp;""),IF(oc&lt;&gt;"P1","",IF(cv="45","V45 - novo, nao alimentado pelo spool atual","V44 - alimentado pelo spool atual")))</f>
        <v/>
      </c>
    </row>
    <row r="664" ht="54" customFormat="1" customHeight="1" s="91">
      <c r="A664" s="306" t="inlineStr">
        <is>
          <t>P1</t>
        </is>
      </c>
      <c r="B664" s="307" t="n">
        <v>429</v>
      </c>
      <c r="C664" s="269" t="inlineStr">
        <is>
          <t>09 - Caractéristiques Dérivés</t>
        </is>
      </c>
      <c r="D664" s="236" t="inlineStr">
        <is>
          <t>09 - Derivative characteristics</t>
        </is>
      </c>
      <c r="E664" s="372" t="inlineStr">
        <is>
          <t>P1 30.14</t>
        </is>
      </c>
      <c r="F664" s="1032" t="inlineStr">
        <is>
          <t>Montant des coupons courus non échus de la jambe achetée des dérivés</t>
        </is>
      </c>
      <c r="G664" s="309" t="inlineStr">
        <is>
          <t>Amount of accrued coupons of the purchased leg from derivatives</t>
        </is>
      </c>
      <c r="H664" s="1493">
        <f>"RPAD( "&amp;SUBSTITUTE(SUBSTITUTE(E664," ","_"),".","_")&amp;","&amp;W664&amp;",' '); -- "&amp;E664</f>
        <v/>
      </c>
      <c r="I664" s="1032" t="inlineStr">
        <is>
          <t>Montant des coupons courus non échus de la jambe achetée des dérivés</t>
        </is>
      </c>
      <c r="J664" s="309" t="inlineStr">
        <is>
          <t>Amount of accrued coupons of the purchased leg from derivatives</t>
        </is>
      </c>
      <c r="K664" s="370" t="inlineStr">
        <is>
          <t>ND</t>
        </is>
      </c>
      <c r="L664" s="371" t="inlineStr">
        <is>
          <t>ND</t>
        </is>
      </c>
      <c r="M664" s="1420" t="inlineStr">
        <is>
          <t>mtCoupCouruJamAche</t>
        </is>
      </c>
      <c r="N664" s="1406" t="inlineStr">
        <is>
          <t>Obligatoire sous conditions</t>
        </is>
      </c>
      <c r="O664" s="999" t="inlineStr">
        <is>
          <t>Mandatory under conditions</t>
        </is>
      </c>
      <c r="P664" s="269" t="inlineStr">
        <is>
          <t>NA</t>
        </is>
      </c>
      <c r="Q664" s="269" t="inlineStr">
        <is>
          <t>NA</t>
        </is>
      </c>
      <c r="R664" s="693" t="inlineStr">
        <is>
          <t>NA</t>
        </is>
      </c>
      <c r="S664" s="489" t="inlineStr">
        <is>
          <t>NA</t>
        </is>
      </c>
      <c r="T664" s="313" t="inlineStr">
        <is>
          <t>NUM</t>
        </is>
      </c>
      <c r="U664" s="237" t="inlineStr">
        <is>
          <t>19 dont signe et 2 décimales</t>
        </is>
      </c>
      <c r="V664" s="238" t="inlineStr">
        <is>
          <t>19 including sign and 2 decimals</t>
        </is>
      </c>
      <c r="W664" s="257" t="n">
        <v>19</v>
      </c>
      <c r="X664" s="945" t="inlineStr">
        <is>
          <t>NA</t>
        </is>
      </c>
      <c r="Y664" s="237" t="n">
        <v>42</v>
      </c>
      <c r="Z664" s="237" t="inlineStr">
        <is>
          <t>NA</t>
        </is>
      </c>
      <c r="AA664" s="978" t="inlineStr">
        <is>
          <t>45.00</t>
        </is>
      </c>
      <c r="AB664" s="932" t="inlineStr">
        <is>
          <t>AER, ANACREDIT, CALCULS PRUDENTIELS, CORFOU, LIQUIDITE, PALMA</t>
        </is>
      </c>
      <c r="AC664" s="231" t="inlineStr">
        <is>
          <t>ND</t>
        </is>
      </c>
      <c r="AD664" s="257" t="inlineStr">
        <is>
          <t>N</t>
        </is>
      </c>
      <c r="AE664" s="1437" t="inlineStr">
        <is>
          <t>TRE203, 205, 207
VAR (hors VAR105, VAR302, VAR5*)
INT</t>
        </is>
      </c>
      <c r="AF664" s="257" t="inlineStr">
        <is>
          <t>NA</t>
        </is>
      </c>
      <c r="AG664" s="258" t="inlineStr">
        <is>
          <t>NA</t>
        </is>
      </c>
      <c r="AH664" s="89" t="n"/>
      <c r="AI664" s="1049" t="inlineStr">
        <is>
          <t>La donnée est obligatoire, si le type de risque [P1 2.0] = 'VAR* (hors VAR105, VAR302, VAR5*)'</t>
        </is>
      </c>
      <c r="AJ664" s="931" t="inlineStr">
        <is>
          <t>The data is mandatory if risk type [P1 2.0] = 'VAR* (except VAR105, VAR302, VAR5*)</t>
        </is>
      </c>
      <c r="AK664" s="932" t="n">
        <v>6</v>
      </c>
      <c r="AL664" s="1061" t="inlineStr">
        <is>
          <t>TPSxxx</t>
        </is>
      </c>
      <c r="AM664" s="318" t="n"/>
      <c r="AN664" s="317" t="n"/>
      <c r="AO664" s="257" t="n"/>
      <c r="AP664" s="258" t="n"/>
      <c r="AQ664" s="318" t="n"/>
      <c r="AR664" s="317" t="n"/>
      <c r="AS664" s="257" t="n"/>
      <c r="AT664" s="258" t="n"/>
      <c r="AU664" s="318" t="n"/>
      <c r="AV664" s="317" t="n"/>
      <c r="AW664" s="257" t="n"/>
      <c r="AX664" s="258" t="n"/>
      <c r="AY664" s="318" t="n"/>
      <c r="AZ664" s="317" t="n"/>
      <c r="BA664" s="257" t="n"/>
      <c r="BB664" s="258" t="n"/>
      <c r="BC664" s="316" t="n"/>
      <c r="BD664" s="317" t="n"/>
      <c r="BE664" s="257" t="n"/>
      <c r="BF664" s="258" t="n"/>
      <c r="BG664" s="89" t="n"/>
      <c r="BH6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64">
        <f>_xlfn.LET(r,ROW(),oc,INDEX($A:$A,r),cv,TRIM(INDEX($Y:$Y,r)&amp;""),IF(oc&lt;&gt;"P1","",IF(cv="45","V45 - novo, nao alimentado pelo spool atual","V44 - alimentado pelo spool atual")))</f>
        <v/>
      </c>
    </row>
    <row r="665" ht="54" customFormat="1" customHeight="1" s="91">
      <c r="A665" s="306" t="inlineStr">
        <is>
          <t>P1</t>
        </is>
      </c>
      <c r="B665" s="307" t="n">
        <v>430</v>
      </c>
      <c r="C665" s="269" t="inlineStr">
        <is>
          <t>09 - Caractéristiques Dérivés</t>
        </is>
      </c>
      <c r="D665" s="236" t="inlineStr">
        <is>
          <t>09 - Derivative characteristics</t>
        </is>
      </c>
      <c r="E665" s="372" t="inlineStr">
        <is>
          <t>P1 30.15</t>
        </is>
      </c>
      <c r="F665" s="1032" t="inlineStr">
        <is>
          <t>Devise du montant des coupons courus non échus de la jambe achetée des dérivés</t>
        </is>
      </c>
      <c r="G665" s="309" t="inlineStr">
        <is>
          <t>Currency of amount of accrued coupons of the purchased leg from derivatives</t>
        </is>
      </c>
      <c r="H665" s="1493">
        <f>"RPAD( "&amp;SUBSTITUTE(SUBSTITUTE(E665," ","_"),".","_")&amp;","&amp;W665&amp;",' '); -- "&amp;E665</f>
        <v/>
      </c>
      <c r="I665" s="1032" t="inlineStr">
        <is>
          <t>Devise du montant des coupons courus non échus de la jambe achetée des dérivés</t>
        </is>
      </c>
      <c r="J665" s="309" t="inlineStr">
        <is>
          <t>Currency of amount of accrued coupons of the purchased leg from derivatives</t>
        </is>
      </c>
      <c r="K665" s="370" t="inlineStr">
        <is>
          <t>ND</t>
        </is>
      </c>
      <c r="L665" s="371" t="inlineStr">
        <is>
          <t>ND</t>
        </is>
      </c>
      <c r="M665" s="1420" t="inlineStr">
        <is>
          <t>cdDevMtCoupCouruJamAche</t>
        </is>
      </c>
      <c r="N665" s="257" t="inlineStr">
        <is>
          <t>Obligatoire sous conditions</t>
        </is>
      </c>
      <c r="O665" s="310" t="inlineStr">
        <is>
          <t>Mandatory under conditions</t>
        </is>
      </c>
      <c r="P665" s="269" t="inlineStr">
        <is>
          <t>LC.0005</t>
        </is>
      </c>
      <c r="Q665" s="269" t="inlineStr">
        <is>
          <t>TA NM253</t>
        </is>
      </c>
      <c r="R665" s="241" t="inlineStr">
        <is>
          <t>NA</t>
        </is>
      </c>
      <c r="S665" s="233" t="inlineStr">
        <is>
          <t>NA</t>
        </is>
      </c>
      <c r="T665" s="313" t="inlineStr">
        <is>
          <t>ALPHA</t>
        </is>
      </c>
      <c r="U665" s="237" t="inlineStr">
        <is>
          <t>NA</t>
        </is>
      </c>
      <c r="V665" s="238" t="inlineStr">
        <is>
          <t>NA</t>
        </is>
      </c>
      <c r="W665" s="257" t="n">
        <v>3</v>
      </c>
      <c r="X665" s="945" t="inlineStr">
        <is>
          <t>NA</t>
        </is>
      </c>
      <c r="Y665" s="237" t="n">
        <v>42</v>
      </c>
      <c r="Z665" s="237" t="inlineStr">
        <is>
          <t>NA</t>
        </is>
      </c>
      <c r="AA665" s="978" t="inlineStr">
        <is>
          <t>45.00</t>
        </is>
      </c>
      <c r="AB665" s="932" t="inlineStr">
        <is>
          <t>AER, ANACREDIT, CALCULS PRUDENTIELS, CORFOU, LIQUIDITE, PALMA</t>
        </is>
      </c>
      <c r="AC665" s="231" t="inlineStr">
        <is>
          <t>ND</t>
        </is>
      </c>
      <c r="AD665" s="257" t="inlineStr">
        <is>
          <t>N</t>
        </is>
      </c>
      <c r="AE665" s="1255" t="inlineStr">
        <is>
          <t>TRE203, 205, 207
VAR (hors VAR105, VAR302, VAR5*)
INT</t>
        </is>
      </c>
      <c r="AF665" s="257" t="inlineStr">
        <is>
          <t>NA</t>
        </is>
      </c>
      <c r="AG665" s="258" t="inlineStr">
        <is>
          <t>NA</t>
        </is>
      </c>
      <c r="AH665" s="89" t="n"/>
      <c r="AI665" s="435" t="inlineStr">
        <is>
          <t>La donnée est obligatoire si Montant des coupons courus non échus de la jambe achetée (dérivés) [P1 30.14] est renseigné</t>
        </is>
      </c>
      <c r="AJ665" s="317" t="inlineStr">
        <is>
          <t>The data is mandatory if Amount of accrued coupons of the purchased leg [P1 30.14] is filled</t>
        </is>
      </c>
      <c r="AK665" s="257" t="n">
        <v>7</v>
      </c>
      <c r="AL665" s="258" t="inlineStr">
        <is>
          <t>TPG0002</t>
        </is>
      </c>
      <c r="AM665" s="318" t="inlineStr">
        <is>
          <t>Si elle est renseignée, la valeur doit être connue du Langage Commun associé</t>
        </is>
      </c>
      <c r="AN665" s="317" t="inlineStr">
        <is>
          <t>If specified, the value must be known to the associated Common Language</t>
        </is>
      </c>
      <c r="AO665" s="257" t="n">
        <v>7</v>
      </c>
      <c r="AP665" s="212" t="inlineStr">
        <is>
          <t>TIG0001</t>
        </is>
      </c>
      <c r="AQ665" s="318" t="n"/>
      <c r="AR665" s="317" t="n"/>
      <c r="AS665" s="257" t="n"/>
      <c r="AT665" s="258" t="n"/>
      <c r="AU665" s="318" t="n"/>
      <c r="AV665" s="317" t="n"/>
      <c r="AW665" s="257" t="n"/>
      <c r="AX665" s="258" t="n"/>
      <c r="AY665" s="318" t="n"/>
      <c r="AZ665" s="317" t="n"/>
      <c r="BA665" s="257" t="n"/>
      <c r="BB665" s="258" t="n"/>
      <c r="BC665" s="316" t="n"/>
      <c r="BD665" s="317" t="n"/>
      <c r="BE665" s="257" t="n"/>
      <c r="BF665" s="258" t="n"/>
      <c r="BG665" s="89" t="n"/>
      <c r="BH6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65">
        <f>_xlfn.LET(r,ROW(),oc,INDEX($A:$A,r),cv,TRIM(INDEX($Y:$Y,r)&amp;""),IF(oc&lt;&gt;"P1","",IF(cv="45","V45 - novo, nao alimentado pelo spool atual","V44 - alimentado pelo spool atual")))</f>
        <v/>
      </c>
    </row>
    <row r="666" ht="54" customFormat="1" customHeight="1" s="91">
      <c r="A666" s="306" t="inlineStr">
        <is>
          <t>P1</t>
        </is>
      </c>
      <c r="B666" s="307" t="n">
        <v>431</v>
      </c>
      <c r="C666" s="269" t="inlineStr">
        <is>
          <t>22 - Caractéristiques de taux</t>
        </is>
      </c>
      <c r="D666" s="236" t="inlineStr">
        <is>
          <t>22 - Rate characteristics</t>
        </is>
      </c>
      <c r="E666" s="372" t="inlineStr">
        <is>
          <t>P1 30.16</t>
        </is>
      </c>
      <c r="F666" s="308" t="inlineStr">
        <is>
          <t>Fréquence de paiement du taux reçu</t>
        </is>
      </c>
      <c r="G666" s="309" t="inlineStr">
        <is>
          <t xml:space="preserve">Frequency of payment of the interest received </t>
        </is>
      </c>
      <c r="H666" s="1493">
        <f>"RPAD( "&amp;SUBSTITUTE(SUBSTITUTE(E666," ","_"),".","_")&amp;","&amp;W666&amp;",' '); -- "&amp;E666</f>
        <v/>
      </c>
      <c r="I666" s="241" t="inlineStr">
        <is>
          <t>Fréquence à laquelle les intérêts sont reçus (calculés)</t>
        </is>
      </c>
      <c r="J666" s="309" t="inlineStr">
        <is>
          <t>Frequency at which interest is received ( calculated )</t>
        </is>
      </c>
      <c r="K666" s="370" t="inlineStr">
        <is>
          <t>ND</t>
        </is>
      </c>
      <c r="L666" s="371" t="inlineStr">
        <is>
          <t>ND</t>
        </is>
      </c>
      <c r="M666" s="1420" t="inlineStr">
        <is>
          <t>cdFreqPaieTxRecu</t>
        </is>
      </c>
      <c r="N666" s="257" t="inlineStr">
        <is>
          <t>Obligatoire sous conditions</t>
        </is>
      </c>
      <c r="O666" s="310" t="inlineStr">
        <is>
          <t>Mandatory under conditions</t>
        </is>
      </c>
      <c r="P666" s="269" t="inlineStr">
        <is>
          <t>LC.0056</t>
        </is>
      </c>
      <c r="Q666" s="269" t="inlineStr">
        <is>
          <t>TA KVFREQU</t>
        </is>
      </c>
      <c r="R666" s="241" t="inlineStr">
        <is>
          <t>NA</t>
        </is>
      </c>
      <c r="S666" s="233" t="inlineStr">
        <is>
          <t>NA</t>
        </is>
      </c>
      <c r="T666" s="313" t="inlineStr">
        <is>
          <t>ALPHA</t>
        </is>
      </c>
      <c r="U666" s="237" t="inlineStr">
        <is>
          <t>NA</t>
        </is>
      </c>
      <c r="V666" s="238" t="inlineStr">
        <is>
          <t>NA</t>
        </is>
      </c>
      <c r="W666" s="269" t="n">
        <v>1</v>
      </c>
      <c r="X666" s="231" t="inlineStr">
        <is>
          <t>NA</t>
        </is>
      </c>
      <c r="Y666" s="237" t="n">
        <v>42</v>
      </c>
      <c r="Z666" s="237" t="inlineStr">
        <is>
          <t>NA</t>
        </is>
      </c>
      <c r="AA666" s="270" t="inlineStr">
        <is>
          <t>NA</t>
        </is>
      </c>
      <c r="AB666" s="994" t="inlineStr">
        <is>
          <t>CALCULS PRUDENTIELS, CORFOU, SRB VALUATION</t>
        </is>
      </c>
      <c r="AC666" s="231" t="inlineStr">
        <is>
          <t>ND</t>
        </is>
      </c>
      <c r="AD666" s="257" t="inlineStr">
        <is>
          <t>N</t>
        </is>
      </c>
      <c r="AE666" s="257" t="inlineStr">
        <is>
          <t>VAR (hors Repos)
INT</t>
        </is>
      </c>
      <c r="AF666" s="257" t="inlineStr">
        <is>
          <t>NA</t>
        </is>
      </c>
      <c r="AG666" s="258" t="inlineStr">
        <is>
          <t>NA</t>
        </is>
      </c>
      <c r="AH666" s="89" t="n"/>
      <c r="AI666" s="453" t="inlineStr">
        <is>
          <t>La donnée est obligatoire si le type de risque [P1 2.0] = ('VAR' hors (VAR105, VAR302), 'INT') et si Instrument financier [P1 3.75] = ("22" (Swap de taux d'intérêt) ou "84" ou "85" (CDS))</t>
        </is>
      </c>
      <c r="AJ666" s="317" t="inlineStr">
        <is>
          <t>The data is mandatory if Risk type [P1 2.0] = ('VAR' out (VAR105, VAR302), 'INT') and if Financial instrument [P1 3.75] = ("22" (Interest rate swap) or "84" or "85"(CDS))</t>
        </is>
      </c>
      <c r="AK666" s="257" t="n">
        <v>6</v>
      </c>
      <c r="AL666" s="378" t="inlineStr">
        <is>
          <t>TPS0899</t>
        </is>
      </c>
      <c r="AM666" s="318" t="inlineStr">
        <is>
          <t>Si elle est renseignée, la valeur doit être connue du Langage Commun associé</t>
        </is>
      </c>
      <c r="AN666" s="317" t="inlineStr">
        <is>
          <t>If specified, the value must be known to the associated Common Language</t>
        </is>
      </c>
      <c r="AO666" s="257" t="n">
        <v>7</v>
      </c>
      <c r="AP666" s="212" t="inlineStr">
        <is>
          <t>TIG0001</t>
        </is>
      </c>
      <c r="AQ666" s="318" t="n"/>
      <c r="AR666" s="317" t="n"/>
      <c r="AS666" s="257" t="n"/>
      <c r="AT666" s="258" t="n"/>
      <c r="AU666" s="318" t="n"/>
      <c r="AV666" s="317" t="n"/>
      <c r="AW666" s="257" t="n"/>
      <c r="AX666" s="258" t="n"/>
      <c r="AY666" s="318" t="n"/>
      <c r="AZ666" s="317" t="n"/>
      <c r="BA666" s="257" t="n"/>
      <c r="BB666" s="258" t="n"/>
      <c r="BC666" s="316" t="n"/>
      <c r="BD666" s="317" t="n"/>
      <c r="BE666" s="257" t="n"/>
      <c r="BF666" s="258" t="n"/>
      <c r="BG666" s="89" t="n"/>
      <c r="BH6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66">
        <f>_xlfn.LET(r,ROW(),oc,INDEX($A:$A,r),cv,TRIM(INDEX($Y:$Y,r)&amp;""),IF(oc&lt;&gt;"P1","",IF(cv="45","V45 - novo, nao alimentado pelo spool atual","V44 - alimentado pelo spool atual")))</f>
        <v/>
      </c>
    </row>
    <row r="667" ht="54" customFormat="1" customHeight="1" s="91">
      <c r="A667" s="306" t="inlineStr">
        <is>
          <t>P1</t>
        </is>
      </c>
      <c r="B667" s="307" t="n">
        <v>432</v>
      </c>
      <c r="C667" s="269" t="inlineStr">
        <is>
          <t>22 - Caractéristiques de taux</t>
        </is>
      </c>
      <c r="D667" s="236" t="inlineStr">
        <is>
          <t>22 - Rate characteristics</t>
        </is>
      </c>
      <c r="E667" s="372" t="inlineStr">
        <is>
          <t>P1 30.17</t>
        </is>
      </c>
      <c r="F667" s="673" t="inlineStr">
        <is>
          <t>Taux de marge additive reçue</t>
        </is>
      </c>
      <c r="G667" s="309" t="inlineStr">
        <is>
          <t>Additive margin rate received</t>
        </is>
      </c>
      <c r="H667" s="1493">
        <f>"RPAD( "&amp;SUBSTITUTE(SUBSTITUTE(E667," ","_"),".","_")&amp;","&amp;W667&amp;",' '); -- "&amp;E667</f>
        <v/>
      </c>
      <c r="I667" s="1237" t="inlineStr">
        <is>
          <t>Correspond à la marge du taux reçu
Exprimé en %</t>
        </is>
      </c>
      <c r="J667" s="309" t="inlineStr">
        <is>
          <t>Margin of the interest received
Expressed as %</t>
        </is>
      </c>
      <c r="K667" s="370" t="inlineStr">
        <is>
          <t>ND</t>
        </is>
      </c>
      <c r="L667" s="371" t="inlineStr">
        <is>
          <t>ND</t>
        </is>
      </c>
      <c r="M667" s="1420" t="inlineStr">
        <is>
          <t>ratioMargeTxRecu</t>
        </is>
      </c>
      <c r="N667" s="257" t="inlineStr">
        <is>
          <t>Obligatoire sous conditions</t>
        </is>
      </c>
      <c r="O667" s="310" t="inlineStr">
        <is>
          <t>Mandatory under conditions</t>
        </is>
      </c>
      <c r="P667" s="269" t="inlineStr">
        <is>
          <t>NA</t>
        </is>
      </c>
      <c r="Q667" s="269" t="inlineStr">
        <is>
          <t>NA</t>
        </is>
      </c>
      <c r="R667" s="241" t="inlineStr">
        <is>
          <t>NA</t>
        </is>
      </c>
      <c r="S667" s="233" t="inlineStr">
        <is>
          <t>NA</t>
        </is>
      </c>
      <c r="T667" s="313" t="inlineStr">
        <is>
          <t>NUM</t>
        </is>
      </c>
      <c r="U667" s="237" t="inlineStr">
        <is>
          <t>10 dont signe et 5 décimales</t>
        </is>
      </c>
      <c r="V667" s="238" t="inlineStr">
        <is>
          <t>10 including sign and 5 decimals</t>
        </is>
      </c>
      <c r="W667" s="397" t="n">
        <v>10</v>
      </c>
      <c r="X667" s="945" t="inlineStr">
        <is>
          <t>NA</t>
        </is>
      </c>
      <c r="Y667" s="237" t="n">
        <v>42</v>
      </c>
      <c r="Z667" s="237" t="inlineStr">
        <is>
          <t>NA</t>
        </is>
      </c>
      <c r="AA667" s="237" t="inlineStr">
        <is>
          <t>45.00</t>
        </is>
      </c>
      <c r="AB667" s="932" t="inlineStr">
        <is>
          <t>CORFOU, LIQUIDITE, PALMA</t>
        </is>
      </c>
      <c r="AC667" s="231" t="inlineStr">
        <is>
          <t>ND</t>
        </is>
      </c>
      <c r="AD667" s="257" t="inlineStr">
        <is>
          <t>N</t>
        </is>
      </c>
      <c r="AE667" s="257" t="inlineStr">
        <is>
          <t>TRE203, 205, 207
VAR (hors Repos)</t>
        </is>
      </c>
      <c r="AF667" s="257" t="inlineStr">
        <is>
          <t>NA</t>
        </is>
      </c>
      <c r="AG667" s="258" t="inlineStr">
        <is>
          <t>NA</t>
        </is>
      </c>
      <c r="AH667" s="89" t="n"/>
      <c r="AI667" s="353" t="inlineStr">
        <is>
          <t>La donnée est obligatoire si le type de risque [P1 2.0] = 'VAR' hors (VAR105, VAR302) ET si Instrument financier [P1 3.75] = '22', '84', ou '85' ET type du taux reçu [P1 8.11] = 'V' ou 'R'</t>
        </is>
      </c>
      <c r="AJ667" s="317" t="inlineStr">
        <is>
          <t>The data is mandatory if Risk type [P1 2.0] = 'VAR' out (VAR105, VAR302) AND if Financial instrument [P1 3.75] = '22', '84', or '85' AND received rate type [P1 8.11] = 'V' or 'R'</t>
        </is>
      </c>
      <c r="AK667" s="269" t="n">
        <v>6</v>
      </c>
      <c r="AL667" s="345" t="inlineStr">
        <is>
          <t>TPS0900</t>
        </is>
      </c>
      <c r="AM667" s="318" t="n"/>
      <c r="AN667" s="317" t="n"/>
      <c r="AO667" s="257" t="n"/>
      <c r="AP667" s="258" t="n"/>
      <c r="AQ667" s="421" t="n"/>
      <c r="AR667" s="422" t="n"/>
      <c r="AS667" s="348" t="n"/>
      <c r="AT667" s="258" t="n"/>
      <c r="AU667" s="421" t="n"/>
      <c r="AV667" s="422" t="n"/>
      <c r="AW667" s="348" t="n"/>
      <c r="AX667" s="258" t="n"/>
      <c r="AY667" s="318" t="n"/>
      <c r="AZ667" s="317" t="n"/>
      <c r="BA667" s="257" t="n"/>
      <c r="BB667" s="258" t="n"/>
      <c r="BC667" s="316" t="n"/>
      <c r="BD667" s="317" t="n"/>
      <c r="BE667" s="257" t="n"/>
      <c r="BF667" s="258" t="n"/>
      <c r="BG667" s="89" t="n"/>
      <c r="BH6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67">
        <f>_xlfn.LET(r,ROW(),oc,INDEX($A:$A,r),cv,TRIM(INDEX($Y:$Y,r)&amp;""),IF(oc&lt;&gt;"P1","",IF(cv="45","V45 - novo, nao alimentado pelo spool atual","V44 - alimentado pelo spool atual")))</f>
        <v/>
      </c>
    </row>
    <row r="668" ht="54" customFormat="1" customHeight="1" s="91">
      <c r="A668" s="306" t="inlineStr">
        <is>
          <t>P1</t>
        </is>
      </c>
      <c r="B668" s="307" t="n">
        <v>433</v>
      </c>
      <c r="C668" s="269" t="inlineStr">
        <is>
          <t>09 - Caractéristiques Dérivés</t>
        </is>
      </c>
      <c r="D668" s="236" t="inlineStr">
        <is>
          <t>09 - Derivative characteristics</t>
        </is>
      </c>
      <c r="E668" s="372" t="inlineStr">
        <is>
          <t>P1 30.18</t>
        </is>
      </c>
      <c r="F668" s="308" t="inlineStr">
        <is>
          <t>Base de calcul des intérêts reçus</t>
        </is>
      </c>
      <c r="G668" s="309" t="inlineStr">
        <is>
          <t>Interest received calculation basis</t>
        </is>
      </c>
      <c r="H668" s="1493">
        <f>"RPAD( "&amp;SUBSTITUTE(SUBSTITUTE(E668," ","_"),".","_")&amp;","&amp;W668&amp;",' '); -- "&amp;E668</f>
        <v/>
      </c>
      <c r="I668" s="241" t="inlineStr">
        <is>
          <t>Coefficient appliqué pour passer du taux annuel au taux mensuel</t>
        </is>
      </c>
      <c r="J668" s="309" t="inlineStr">
        <is>
          <t>Coefficient applied to convert annual interest rate to monthly interest rate</t>
        </is>
      </c>
      <c r="K668" s="370" t="inlineStr">
        <is>
          <t>ND</t>
        </is>
      </c>
      <c r="L668" s="371" t="inlineStr">
        <is>
          <t>ND</t>
        </is>
      </c>
      <c r="M668" s="1420" t="inlineStr">
        <is>
          <t>cdCalcIntRecu</t>
        </is>
      </c>
      <c r="N668" s="257" t="inlineStr">
        <is>
          <t>Obligatoire sous conditions</t>
        </is>
      </c>
      <c r="O668" s="310" t="inlineStr">
        <is>
          <t>Mandatory under conditions</t>
        </is>
      </c>
      <c r="P668" s="269" t="inlineStr">
        <is>
          <t>LC.0239</t>
        </is>
      </c>
      <c r="Q668" s="269" t="inlineStr">
        <is>
          <t>RB T2INTBAS</t>
        </is>
      </c>
      <c r="R668" s="241" t="inlineStr">
        <is>
          <t>NA</t>
        </is>
      </c>
      <c r="S668" s="233" t="inlineStr">
        <is>
          <t>NA</t>
        </is>
      </c>
      <c r="T668" s="313" t="inlineStr">
        <is>
          <t>ALPHA</t>
        </is>
      </c>
      <c r="U668" s="237" t="inlineStr">
        <is>
          <t>NA</t>
        </is>
      </c>
      <c r="V668" s="238" t="inlineStr">
        <is>
          <t>NA</t>
        </is>
      </c>
      <c r="W668" s="257" t="n">
        <v>7</v>
      </c>
      <c r="X668" s="945" t="inlineStr">
        <is>
          <t>NA</t>
        </is>
      </c>
      <c r="Y668" s="237" t="n">
        <v>42</v>
      </c>
      <c r="Z668" s="237" t="inlineStr">
        <is>
          <t>NA</t>
        </is>
      </c>
      <c r="AA668" s="283" t="inlineStr">
        <is>
          <t>45.00</t>
        </is>
      </c>
      <c r="AB668" s="932" t="inlineStr">
        <is>
          <t>CORFOU, LIQUIDITE, PALMA</t>
        </is>
      </c>
      <c r="AC668" s="231" t="inlineStr">
        <is>
          <t>ND</t>
        </is>
      </c>
      <c r="AD668" s="257" t="inlineStr">
        <is>
          <t>N</t>
        </is>
      </c>
      <c r="AE668" s="257" t="inlineStr">
        <is>
          <t>VAR (hors Repos)
INT</t>
        </is>
      </c>
      <c r="AF668" s="257" t="inlineStr">
        <is>
          <t>NA</t>
        </is>
      </c>
      <c r="AG668" s="258" t="inlineStr">
        <is>
          <t>NA</t>
        </is>
      </c>
      <c r="AH668" s="89" t="n"/>
      <c r="AI668" s="316" t="inlineStr">
        <is>
          <t>La donnée est obligatoire si le type de risque [P1 2.0] = ('VAR' hors (VAR105, VAR302), 'INT') et si Instrument financier [P1 3.75] = ("22" (Swap de taux d'intérêt) ou "84" ou "85" (CDS))</t>
        </is>
      </c>
      <c r="AJ668" s="317" t="inlineStr">
        <is>
          <t>The data is mandatory if Risk type [P1 2.0] = ('VAR' out (VAR105, VAR302), 'INT') and if Financial instrument [P1 3.75] = ("22" (Interest rate swap) or "84" or "85"(CDS))</t>
        </is>
      </c>
      <c r="AK668" s="257" t="n">
        <v>6</v>
      </c>
      <c r="AL668" s="424" t="inlineStr">
        <is>
          <t>TPS0899</t>
        </is>
      </c>
      <c r="AM668" s="318" t="inlineStr">
        <is>
          <t>Si elle est renseignée, la valeur doit être connue du Langage Commun associé</t>
        </is>
      </c>
      <c r="AN668" s="317" t="inlineStr">
        <is>
          <t>If specified, the value must be known to the associated Common Language</t>
        </is>
      </c>
      <c r="AO668" s="257" t="n">
        <v>7</v>
      </c>
      <c r="AP668" s="212" t="inlineStr">
        <is>
          <t>TIG0001</t>
        </is>
      </c>
      <c r="AQ668" s="318" t="n"/>
      <c r="AR668" s="317" t="n"/>
      <c r="AS668" s="257" t="n"/>
      <c r="AT668" s="258" t="n"/>
      <c r="AU668" s="318" t="n"/>
      <c r="AV668" s="317" t="n"/>
      <c r="AW668" s="257" t="n"/>
      <c r="AX668" s="258" t="n"/>
      <c r="AY668" s="318" t="n"/>
      <c r="AZ668" s="317" t="n"/>
      <c r="BA668" s="257" t="n"/>
      <c r="BB668" s="258" t="n"/>
      <c r="BC668" s="316" t="n"/>
      <c r="BD668" s="317" t="n"/>
      <c r="BE668" s="257" t="n"/>
      <c r="BF668" s="258" t="n"/>
      <c r="BG668" s="89" t="n"/>
      <c r="BH6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68">
        <f>_xlfn.LET(r,ROW(),oc,INDEX($A:$A,r),cv,TRIM(INDEX($Y:$Y,r)&amp;""),IF(oc&lt;&gt;"P1","",IF(cv="45","V45 - novo, nao alimentado pelo spool atual","V44 - alimentado pelo spool atual")))</f>
        <v/>
      </c>
    </row>
    <row r="669" ht="54" customFormat="1" customHeight="1" s="91">
      <c r="A669" s="306" t="inlineStr">
        <is>
          <t>P1</t>
        </is>
      </c>
      <c r="B669" s="307" t="n">
        <v>434</v>
      </c>
      <c r="C669" s="269" t="inlineStr">
        <is>
          <t>22 - Caractéristiques de taux</t>
        </is>
      </c>
      <c r="D669" s="236" t="inlineStr">
        <is>
          <t>22 - Rate characteristics</t>
        </is>
      </c>
      <c r="E669" s="372" t="inlineStr">
        <is>
          <t>P1 30.19</t>
        </is>
      </c>
      <c r="F669" s="308" t="inlineStr">
        <is>
          <t>Fréquence de paiement du taux payé</t>
        </is>
      </c>
      <c r="G669" s="309" t="inlineStr">
        <is>
          <t>Frequency of payment of the interest paid</t>
        </is>
      </c>
      <c r="H669" s="1493">
        <f>"RPAD( "&amp;SUBSTITUTE(SUBSTITUTE(E669," ","_"),".","_")&amp;","&amp;W669&amp;",' '); -- "&amp;E669</f>
        <v/>
      </c>
      <c r="I669" s="241" t="inlineStr">
        <is>
          <t xml:space="preserve">Fréquence à laquelle les intérêts sont payés (calculés) </t>
        </is>
      </c>
      <c r="J669" s="309" t="inlineStr">
        <is>
          <t>Frequency at which interest is paid ( calculated)</t>
        </is>
      </c>
      <c r="K669" s="370" t="inlineStr">
        <is>
          <t>ND</t>
        </is>
      </c>
      <c r="L669" s="371" t="inlineStr">
        <is>
          <t>ND</t>
        </is>
      </c>
      <c r="M669" s="1420" t="inlineStr">
        <is>
          <t>cdFreqPaieTxPaie</t>
        </is>
      </c>
      <c r="N669" s="257" t="inlineStr">
        <is>
          <t>Obligatoire sous conditions</t>
        </is>
      </c>
      <c r="O669" s="310" t="inlineStr">
        <is>
          <t>Mandatory under conditions</t>
        </is>
      </c>
      <c r="P669" s="269" t="inlineStr">
        <is>
          <t>LC.0056</t>
        </is>
      </c>
      <c r="Q669" s="269" t="inlineStr">
        <is>
          <t>TA KVFREQU</t>
        </is>
      </c>
      <c r="R669" s="241" t="inlineStr">
        <is>
          <t>NA</t>
        </is>
      </c>
      <c r="S669" s="233" t="inlineStr">
        <is>
          <t>NA</t>
        </is>
      </c>
      <c r="T669" s="313" t="inlineStr">
        <is>
          <t>ALPHA</t>
        </is>
      </c>
      <c r="U669" s="237" t="inlineStr">
        <is>
          <t>NA</t>
        </is>
      </c>
      <c r="V669" s="238" t="inlineStr">
        <is>
          <t>NA</t>
        </is>
      </c>
      <c r="W669" s="269" t="n">
        <v>1</v>
      </c>
      <c r="X669" s="231" t="inlineStr">
        <is>
          <t>NA</t>
        </is>
      </c>
      <c r="Y669" s="237" t="n">
        <v>42</v>
      </c>
      <c r="Z669" s="237" t="inlineStr">
        <is>
          <t>NA</t>
        </is>
      </c>
      <c r="AA669" s="270" t="inlineStr">
        <is>
          <t>NA</t>
        </is>
      </c>
      <c r="AB669" s="994" t="inlineStr">
        <is>
          <t>CALCULS PRUDENTIELS, CORFOU, SRB VALUATION</t>
        </is>
      </c>
      <c r="AC669" s="231" t="inlineStr">
        <is>
          <t>ND</t>
        </is>
      </c>
      <c r="AD669" s="257" t="inlineStr">
        <is>
          <t>N</t>
        </is>
      </c>
      <c r="AE669" s="257" t="inlineStr">
        <is>
          <t>VAR (hors Repos)
INT</t>
        </is>
      </c>
      <c r="AF669" s="257" t="inlineStr">
        <is>
          <t>NA</t>
        </is>
      </c>
      <c r="AG669" s="258" t="inlineStr">
        <is>
          <t>NA</t>
        </is>
      </c>
      <c r="AH669" s="89" t="n"/>
      <c r="AI669" s="453" t="inlineStr">
        <is>
          <t>La donnée est obligatoire si le type de risque [P1 2.0] = ('VAR' hors (VAR105, VAR302), 'INT') et si Instrument financier [P1 3.75] = ("22" (Swap de taux d'intérêt) ou "84" ou "85" (CDS))</t>
        </is>
      </c>
      <c r="AJ669" s="317" t="inlineStr">
        <is>
          <t>The data is mandatory if Risk type [P1 2.0] = ('VAR' out (VAR105, VAR302), 'INT') and if Financial instrument [P1 3.75] = ("22" (Interest rate swap) or "84" or "85"(CDS))</t>
        </is>
      </c>
      <c r="AK669" s="257" t="n">
        <v>6</v>
      </c>
      <c r="AL669" s="424" t="inlineStr">
        <is>
          <t>TPS0899</t>
        </is>
      </c>
      <c r="AM669" s="318" t="inlineStr">
        <is>
          <t>Si elle est renseignée, la valeur doit être connue du Langage Commun associé</t>
        </is>
      </c>
      <c r="AN669" s="317" t="inlineStr">
        <is>
          <t>If specified, the value must be known to the associated Common Language</t>
        </is>
      </c>
      <c r="AO669" s="257" t="n">
        <v>7</v>
      </c>
      <c r="AP669" s="212" t="inlineStr">
        <is>
          <t>TIG0001</t>
        </is>
      </c>
      <c r="AQ669" s="318" t="n"/>
      <c r="AR669" s="317" t="n"/>
      <c r="AS669" s="257" t="n"/>
      <c r="AT669" s="258" t="n"/>
      <c r="AU669" s="318" t="n"/>
      <c r="AV669" s="317" t="n"/>
      <c r="AW669" s="257" t="n"/>
      <c r="AX669" s="258" t="n"/>
      <c r="AY669" s="318" t="n"/>
      <c r="AZ669" s="317" t="n"/>
      <c r="BA669" s="257" t="n"/>
      <c r="BB669" s="258" t="n"/>
      <c r="BC669" s="316" t="n"/>
      <c r="BD669" s="317" t="n"/>
      <c r="BE669" s="257" t="n"/>
      <c r="BF669" s="258" t="n"/>
      <c r="BG669" s="89" t="n"/>
      <c r="BH6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69">
        <f>_xlfn.LET(r,ROW(),oc,INDEX($A:$A,r),cv,TRIM(INDEX($Y:$Y,r)&amp;""),IF(oc&lt;&gt;"P1","",IF(cv="45","V45 - novo, nao alimentado pelo spool atual","V44 - alimentado pelo spool atual")))</f>
        <v/>
      </c>
    </row>
    <row r="670" ht="54" customFormat="1" customHeight="1" s="91">
      <c r="A670" s="306" t="inlineStr">
        <is>
          <t>P1</t>
        </is>
      </c>
      <c r="B670" s="307" t="n">
        <v>435</v>
      </c>
      <c r="C670" s="269" t="inlineStr">
        <is>
          <t>22 - Caractéristiques de taux</t>
        </is>
      </c>
      <c r="D670" s="236" t="inlineStr">
        <is>
          <t>22 - Rate characteristics</t>
        </is>
      </c>
      <c r="E670" s="372" t="inlineStr">
        <is>
          <t>P1 30.20</t>
        </is>
      </c>
      <c r="F670" s="674" t="inlineStr">
        <is>
          <t>Taux de marge additive payée</t>
        </is>
      </c>
      <c r="G670" s="309" t="inlineStr">
        <is>
          <t>Additive margin paid rate</t>
        </is>
      </c>
      <c r="H670" s="1493">
        <f>"RPAD( "&amp;SUBSTITUTE(SUBSTITUTE(E670," ","_"),".","_")&amp;","&amp;W670&amp;",' '); -- "&amp;E670</f>
        <v/>
      </c>
      <c r="I670" s="241" t="inlineStr">
        <is>
          <t>Correspond à la marge du taux payé
Exprimé en %</t>
        </is>
      </c>
      <c r="J670" s="309" t="inlineStr">
        <is>
          <t>Margin of the interest paid
Expressed as %</t>
        </is>
      </c>
      <c r="K670" s="370" t="inlineStr">
        <is>
          <t>ND</t>
        </is>
      </c>
      <c r="L670" s="371" t="inlineStr">
        <is>
          <t>ND</t>
        </is>
      </c>
      <c r="M670" s="1420" t="inlineStr">
        <is>
          <t>ratioMargeTxPaie</t>
        </is>
      </c>
      <c r="N670" s="257" t="inlineStr">
        <is>
          <t>Obligatoire sous conditions</t>
        </is>
      </c>
      <c r="O670" s="310" t="inlineStr">
        <is>
          <t>Mandatory under conditions</t>
        </is>
      </c>
      <c r="P670" s="269" t="inlineStr">
        <is>
          <t>NA</t>
        </is>
      </c>
      <c r="Q670" s="269" t="inlineStr">
        <is>
          <t>NA</t>
        </is>
      </c>
      <c r="R670" s="241" t="inlineStr">
        <is>
          <t>NA</t>
        </is>
      </c>
      <c r="S670" s="233" t="inlineStr">
        <is>
          <t>NA</t>
        </is>
      </c>
      <c r="T670" s="313" t="inlineStr">
        <is>
          <t>NUM</t>
        </is>
      </c>
      <c r="U670" s="237" t="inlineStr">
        <is>
          <t>10 dont signe et 5 décimales</t>
        </is>
      </c>
      <c r="V670" s="238" t="inlineStr">
        <is>
          <t>10 including sign and 5 decimals</t>
        </is>
      </c>
      <c r="W670" s="397" t="n">
        <v>10</v>
      </c>
      <c r="X670" s="945" t="inlineStr">
        <is>
          <t>NA</t>
        </is>
      </c>
      <c r="Y670" s="237" t="n">
        <v>42</v>
      </c>
      <c r="Z670" s="237" t="inlineStr">
        <is>
          <t>NA</t>
        </is>
      </c>
      <c r="AA670" s="237" t="inlineStr">
        <is>
          <t>45.00</t>
        </is>
      </c>
      <c r="AB670" s="932" t="inlineStr">
        <is>
          <t>CORFOU, LIQUIDITE, PALMA</t>
        </is>
      </c>
      <c r="AC670" s="231" t="inlineStr">
        <is>
          <t>ND</t>
        </is>
      </c>
      <c r="AD670" s="257" t="inlineStr">
        <is>
          <t>N</t>
        </is>
      </c>
      <c r="AE670" s="257" t="inlineStr">
        <is>
          <t>TRE203, 205, 207
VAR (hors Repos)
INT</t>
        </is>
      </c>
      <c r="AF670" s="257" t="inlineStr">
        <is>
          <t>NA</t>
        </is>
      </c>
      <c r="AG670" s="258" t="inlineStr">
        <is>
          <t>NA</t>
        </is>
      </c>
      <c r="AH670" s="89" t="n"/>
      <c r="AI670" s="353" t="inlineStr">
        <is>
          <t>La donnée est obligatoire si le type de risque [P1 2.0] = 'VAR' hors (VAR105, VAR302) ET si Instrument financier [P1 3.75] = '22', '84', ou '85' ET type du taux payé [P1 8.1] = 'V' ou 'R'</t>
        </is>
      </c>
      <c r="AJ670" s="317" t="inlineStr">
        <is>
          <t>The data is mandatory if Risk type [P1 2.0] = 'VAR' out (VAR105, VAR302) AND if Financial instrument [P1 3.75] = '22', '84', or '85' AND type of the rate paid [P1 8.1] = 'V' or 'R'</t>
        </is>
      </c>
      <c r="AK670" s="269" t="n">
        <v>6</v>
      </c>
      <c r="AL670" s="345" t="inlineStr">
        <is>
          <t>TPS0901</t>
        </is>
      </c>
      <c r="AM670" s="318" t="n"/>
      <c r="AN670" s="317" t="n"/>
      <c r="AO670" s="257" t="n"/>
      <c r="AP670" s="258" t="n"/>
      <c r="AQ670" s="421" t="n"/>
      <c r="AR670" s="422" t="n"/>
      <c r="AS670" s="348" t="n"/>
      <c r="AT670" s="258" t="n"/>
      <c r="AU670" s="421" t="n"/>
      <c r="AV670" s="422" t="n"/>
      <c r="AW670" s="348" t="n"/>
      <c r="AX670" s="258" t="n"/>
      <c r="AY670" s="318" t="n"/>
      <c r="AZ670" s="317" t="n"/>
      <c r="BA670" s="257" t="n"/>
      <c r="BB670" s="258" t="n"/>
      <c r="BC670" s="316" t="n"/>
      <c r="BD670" s="317" t="n"/>
      <c r="BE670" s="257" t="n"/>
      <c r="BF670" s="258" t="n"/>
      <c r="BG670" s="89" t="n"/>
      <c r="BH6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70">
        <f>_xlfn.LET(r,ROW(),oc,INDEX($A:$A,r),cv,TRIM(INDEX($Y:$Y,r)&amp;""),IF(oc&lt;&gt;"P1","",IF(cv="45","V45 - novo, nao alimentado pelo spool atual","V44 - alimentado pelo spool atual")))</f>
        <v/>
      </c>
    </row>
    <row r="671" ht="54" customFormat="1" customHeight="1" s="91">
      <c r="A671" s="306" t="inlineStr">
        <is>
          <t>P1</t>
        </is>
      </c>
      <c r="B671" s="307" t="n">
        <v>436</v>
      </c>
      <c r="C671" s="269" t="inlineStr">
        <is>
          <t>09 - Caractéristiques Dérivés</t>
        </is>
      </c>
      <c r="D671" s="236" t="inlineStr">
        <is>
          <t>09 - Derivative characteristics</t>
        </is>
      </c>
      <c r="E671" s="372" t="inlineStr">
        <is>
          <t>P1 30.21</t>
        </is>
      </c>
      <c r="F671" s="308" t="inlineStr">
        <is>
          <t>Base de calcul des intérêts payés</t>
        </is>
      </c>
      <c r="G671" s="309" t="inlineStr">
        <is>
          <t>Interest paid calculation basis</t>
        </is>
      </c>
      <c r="H671" s="1493">
        <f>"RPAD( "&amp;SUBSTITUTE(SUBSTITUTE(E671," ","_"),".","_")&amp;","&amp;W671&amp;",' '); -- "&amp;E671</f>
        <v/>
      </c>
      <c r="I671" s="241" t="inlineStr">
        <is>
          <t>Coefficient appliqué pour passer du taux annuel au taux mensuel</t>
        </is>
      </c>
      <c r="J671" s="309" t="inlineStr">
        <is>
          <t>Coefficient applied to convert annual interest rate to monthly interest rate</t>
        </is>
      </c>
      <c r="K671" s="370" t="inlineStr">
        <is>
          <t>ND</t>
        </is>
      </c>
      <c r="L671" s="371" t="inlineStr">
        <is>
          <t>ND</t>
        </is>
      </c>
      <c r="M671" s="1420" t="inlineStr">
        <is>
          <t>cdCalcIntPaie</t>
        </is>
      </c>
      <c r="N671" s="257" t="inlineStr">
        <is>
          <t>Obligatoire sous conditions</t>
        </is>
      </c>
      <c r="O671" s="310" t="inlineStr">
        <is>
          <t>Mandatory under conditions</t>
        </is>
      </c>
      <c r="P671" s="269" t="inlineStr">
        <is>
          <t>LC.0239</t>
        </is>
      </c>
      <c r="Q671" s="269" t="inlineStr">
        <is>
          <t>RB T2INTBAS</t>
        </is>
      </c>
      <c r="R671" s="241" t="inlineStr">
        <is>
          <t>NA</t>
        </is>
      </c>
      <c r="S671" s="233" t="inlineStr">
        <is>
          <t>NA</t>
        </is>
      </c>
      <c r="T671" s="313" t="inlineStr">
        <is>
          <t>ALPHA</t>
        </is>
      </c>
      <c r="U671" s="237" t="inlineStr">
        <is>
          <t>NA</t>
        </is>
      </c>
      <c r="V671" s="238" t="inlineStr">
        <is>
          <t>NA</t>
        </is>
      </c>
      <c r="W671" s="257" t="n">
        <v>7</v>
      </c>
      <c r="X671" s="945" t="inlineStr">
        <is>
          <t>NA</t>
        </is>
      </c>
      <c r="Y671" s="237" t="n">
        <v>42</v>
      </c>
      <c r="Z671" s="237" t="inlineStr">
        <is>
          <t>NA</t>
        </is>
      </c>
      <c r="AA671" s="283" t="inlineStr">
        <is>
          <t>45.00</t>
        </is>
      </c>
      <c r="AB671" s="932" t="inlineStr">
        <is>
          <t>CORFOU, LIQUIDITE, PALMA</t>
        </is>
      </c>
      <c r="AC671" s="231" t="inlineStr">
        <is>
          <t>ND</t>
        </is>
      </c>
      <c r="AD671" s="257" t="inlineStr">
        <is>
          <t>N</t>
        </is>
      </c>
      <c r="AE671" s="257" t="inlineStr">
        <is>
          <t>VAR (hors Repos)
INT</t>
        </is>
      </c>
      <c r="AF671" s="257" t="inlineStr">
        <is>
          <t>NA</t>
        </is>
      </c>
      <c r="AG671" s="258" t="inlineStr">
        <is>
          <t>NA</t>
        </is>
      </c>
      <c r="AH671" s="89" t="n"/>
      <c r="AI671" s="316" t="inlineStr">
        <is>
          <t>La donnée est obligatoire si le type de risque [P1 2.0] = ('VAR' hors (VAR105, VAR302), 'INT') et si Instrument financier [P1 3.75] = ("22" (Swap de taux d'intérêt) ou "84" ou "85" (CDS))</t>
        </is>
      </c>
      <c r="AJ671" s="317" t="inlineStr">
        <is>
          <t>The data is mandatory if Risk type [P1 2.0] = ('VAR' out (VAR105, VAR302), 'INT') and if Financial instrument [P1 3.75] = ("22" (Interest rate swap) or "84" or "85"(CDS))</t>
        </is>
      </c>
      <c r="AK671" s="257" t="n">
        <v>6</v>
      </c>
      <c r="AL671" s="424" t="inlineStr">
        <is>
          <t>TPS0899</t>
        </is>
      </c>
      <c r="AM671" s="318" t="inlineStr">
        <is>
          <t>Si elle est renseignée, la valeur doit être connue du Langage Commun associé</t>
        </is>
      </c>
      <c r="AN671" s="317" t="inlineStr">
        <is>
          <t>If specified, the value must be known to the associated Common Language</t>
        </is>
      </c>
      <c r="AO671" s="257" t="n">
        <v>7</v>
      </c>
      <c r="AP671" s="212" t="inlineStr">
        <is>
          <t>TIG0001</t>
        </is>
      </c>
      <c r="AQ671" s="318" t="n"/>
      <c r="AR671" s="317" t="n"/>
      <c r="AS671" s="257" t="n"/>
      <c r="AT671" s="258" t="n"/>
      <c r="AU671" s="318" t="n"/>
      <c r="AV671" s="317" t="n"/>
      <c r="AW671" s="257" t="n"/>
      <c r="AX671" s="258" t="n"/>
      <c r="AY671" s="318" t="n"/>
      <c r="AZ671" s="317" t="n"/>
      <c r="BA671" s="257" t="n"/>
      <c r="BB671" s="258" t="n"/>
      <c r="BC671" s="316" t="n"/>
      <c r="BD671" s="317" t="n"/>
      <c r="BE671" s="257" t="n"/>
      <c r="BF671" s="258" t="n"/>
      <c r="BG671" s="89" t="n"/>
      <c r="BH6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71">
        <f>_xlfn.LET(r,ROW(),oc,INDEX($A:$A,r),cv,TRIM(INDEX($Y:$Y,r)&amp;""),IF(oc&lt;&gt;"P1","",IF(cv="45","V45 - novo, nao alimentado pelo spool atual","V44 - alimentado pelo spool atual")))</f>
        <v/>
      </c>
    </row>
    <row r="672" ht="54" customFormat="1" customHeight="1" s="91">
      <c r="A672" s="306" t="inlineStr">
        <is>
          <t>P1</t>
        </is>
      </c>
      <c r="B672" s="307" t="n">
        <v>437</v>
      </c>
      <c r="C672" s="269" t="inlineStr">
        <is>
          <t>02 - Caractéristiques d'identification fonctionnelles</t>
        </is>
      </c>
      <c r="D672" s="236" t="inlineStr">
        <is>
          <t>02 - Functional identification characteristics</t>
        </is>
      </c>
      <c r="E672" s="372" t="inlineStr">
        <is>
          <t>P1 30.22</t>
        </is>
      </c>
      <c r="F672" s="308" t="inlineStr">
        <is>
          <t>Référence du contrat cadre</t>
        </is>
      </c>
      <c r="G672" s="309" t="inlineStr">
        <is>
          <t>Master agreement reference</t>
        </is>
      </c>
      <c r="H672" s="1493">
        <f>"RPAD( "&amp;SUBSTITUTE(SUBSTITUTE(E672," ","_"),".","_")&amp;","&amp;W672&amp;",' '); -- "&amp;E672</f>
        <v/>
      </c>
      <c r="I672" s="308" t="inlineStr">
        <is>
          <t xml:space="preserve">Il s'agit de l'ISDA Master Agreement ID </t>
        </is>
      </c>
      <c r="J672" s="309" t="inlineStr">
        <is>
          <t>Corresponds to the ISDA Master Agreement ID</t>
        </is>
      </c>
      <c r="K672" s="370" t="inlineStr">
        <is>
          <t>ND</t>
        </is>
      </c>
      <c r="L672" s="371" t="inlineStr">
        <is>
          <t>ND</t>
        </is>
      </c>
      <c r="M672" s="1420" t="inlineStr">
        <is>
          <t>cdContrCadre</t>
        </is>
      </c>
      <c r="N672" s="257" t="inlineStr">
        <is>
          <t>Obligatoire sous conditions</t>
        </is>
      </c>
      <c r="O672" s="310" t="inlineStr">
        <is>
          <t>Mandatory under conditions</t>
        </is>
      </c>
      <c r="P672" s="269" t="inlineStr">
        <is>
          <t>NA</t>
        </is>
      </c>
      <c r="Q672" s="269" t="inlineStr">
        <is>
          <t>NA</t>
        </is>
      </c>
      <c r="R672" s="241" t="inlineStr">
        <is>
          <t>NA</t>
        </is>
      </c>
      <c r="S672" s="233" t="inlineStr">
        <is>
          <t>NA</t>
        </is>
      </c>
      <c r="T672" s="313" t="inlineStr">
        <is>
          <t>ALPHA</t>
        </is>
      </c>
      <c r="U672" s="237" t="inlineStr">
        <is>
          <t>NA</t>
        </is>
      </c>
      <c r="V672" s="238" t="inlineStr">
        <is>
          <t>NA</t>
        </is>
      </c>
      <c r="W672" s="257" t="n">
        <v>25</v>
      </c>
      <c r="X672" s="945" t="inlineStr">
        <is>
          <t>NA</t>
        </is>
      </c>
      <c r="Y672" s="237" t="n">
        <v>43</v>
      </c>
      <c r="Z672" s="237" t="inlineStr">
        <is>
          <t>NA</t>
        </is>
      </c>
      <c r="AA672" s="270" t="inlineStr">
        <is>
          <t>NA</t>
        </is>
      </c>
      <c r="AB672" s="994" t="inlineStr">
        <is>
          <t>CALCULS PRUDENTIELS, MREL</t>
        </is>
      </c>
      <c r="AC672" s="231" t="inlineStr">
        <is>
          <t>ND</t>
        </is>
      </c>
      <c r="AD672" s="257" t="inlineStr">
        <is>
          <t>N</t>
        </is>
      </c>
      <c r="AE672" s="971" t="inlineStr">
        <is>
          <t>TRE203, 205, 207
TRE206
VAR*
INT</t>
        </is>
      </c>
      <c r="AF672" s="257" t="inlineStr">
        <is>
          <t>NA</t>
        </is>
      </c>
      <c r="AG672" s="258" t="inlineStr">
        <is>
          <t>NA</t>
        </is>
      </c>
      <c r="AH672" s="89" t="n"/>
      <c r="AI672" s="675" t="inlineStr">
        <is>
          <t>La donnée est obligatoire si le type de risque [P1 2.0] = (TRE203, TRE205, TRE206,TRE207, VARxx, INT) ET si Indicateur accord de netting contractuel [P1 30.23] = 'Y'</t>
        </is>
      </c>
      <c r="AJ672" s="317" t="inlineStr">
        <is>
          <t>The data is mandatory if risk type [P1 2.0] = (TRE203, TRE205, TRE206,TRE207, VARxx, INT) AND if Contractual netting indicator [P1 30.23] = 'Y'</t>
        </is>
      </c>
      <c r="AK672" s="257" t="n">
        <v>6</v>
      </c>
      <c r="AL672" s="345" t="inlineStr">
        <is>
          <t>TPS0902</t>
        </is>
      </c>
      <c r="AM672" s="318" t="n"/>
      <c r="AN672" s="317" t="n"/>
      <c r="AO672" s="257" t="n"/>
      <c r="AP672" s="258" t="n"/>
      <c r="AQ672" s="318" t="n"/>
      <c r="AR672" s="317" t="n"/>
      <c r="AS672" s="257" t="n"/>
      <c r="AT672" s="258" t="n"/>
      <c r="AU672" s="318" t="n"/>
      <c r="AV672" s="317" t="n"/>
      <c r="AW672" s="257" t="n"/>
      <c r="AX672" s="258" t="n"/>
      <c r="AY672" s="318" t="n"/>
      <c r="AZ672" s="317" t="n"/>
      <c r="BA672" s="257" t="n"/>
      <c r="BB672" s="258" t="n"/>
      <c r="BC672" s="316" t="n"/>
      <c r="BD672" s="317" t="n"/>
      <c r="BE672" s="257" t="n"/>
      <c r="BF672" s="258" t="n"/>
      <c r="BG672" s="89" t="n"/>
      <c r="BH6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72">
        <f>_xlfn.LET(r,ROW(),oc,INDEX($A:$A,r),cv,TRIM(INDEX($Y:$Y,r)&amp;""),IF(oc&lt;&gt;"P1","",IF(cv="45","V45 - novo, nao alimentado pelo spool atual","V44 - alimentado pelo spool atual")))</f>
        <v/>
      </c>
    </row>
    <row r="673" ht="54" customFormat="1" customHeight="1" s="91">
      <c r="A673" s="306" t="inlineStr">
        <is>
          <t>P1</t>
        </is>
      </c>
      <c r="B673" s="307" t="n">
        <v>438</v>
      </c>
      <c r="C673" s="269" t="inlineStr">
        <is>
          <t>09 - Caractéristiques Dérivés</t>
        </is>
      </c>
      <c r="D673" s="236" t="inlineStr">
        <is>
          <t>09 - Derivative characteristics</t>
        </is>
      </c>
      <c r="E673" s="372" t="inlineStr">
        <is>
          <t>P1 30.23</t>
        </is>
      </c>
      <c r="F673" s="308" t="inlineStr">
        <is>
          <t>Indicateur accord de netting contractuel</t>
        </is>
      </c>
      <c r="G673" s="309" t="inlineStr">
        <is>
          <t>Contractual netting indicator</t>
        </is>
      </c>
      <c r="H673" s="1493">
        <f>"RPAD( "&amp;SUBSTITUTE(SUBSTITUTE(E673," ","_"),".","_")&amp;","&amp;W673&amp;",' '); -- "&amp;E673</f>
        <v/>
      </c>
      <c r="I673" s="241" t="inlineStr">
        <is>
          <t>Indique que la transaction peut être nettée selon les règles du contrat de netting contractuel</t>
        </is>
      </c>
      <c r="J673" s="309" t="inlineStr">
        <is>
          <t>Indicator to specify whether the market transaction is part of a contractual netting</t>
        </is>
      </c>
      <c r="K673" s="370" t="inlineStr">
        <is>
          <t>ND</t>
        </is>
      </c>
      <c r="L673" s="371" t="inlineStr">
        <is>
          <t>ND</t>
        </is>
      </c>
      <c r="M673" s="1420" t="inlineStr">
        <is>
          <t>indAccNettContra</t>
        </is>
      </c>
      <c r="N673" s="257" t="inlineStr">
        <is>
          <t>Obligatoire sous conditions</t>
        </is>
      </c>
      <c r="O673" s="310" t="inlineStr">
        <is>
          <t>Mandatory under conditions</t>
        </is>
      </c>
      <c r="P673" s="269" t="inlineStr">
        <is>
          <t>LC.0364</t>
        </is>
      </c>
      <c r="Q673" s="269" t="inlineStr">
        <is>
          <t>TA Z8IADNCT</t>
        </is>
      </c>
      <c r="R673" s="241" t="inlineStr">
        <is>
          <t>NA</t>
        </is>
      </c>
      <c r="S673" s="233" t="inlineStr">
        <is>
          <t>NA</t>
        </is>
      </c>
      <c r="T673" s="313" t="inlineStr">
        <is>
          <t>ALPHA</t>
        </is>
      </c>
      <c r="U673" s="237" t="inlineStr">
        <is>
          <t>NA</t>
        </is>
      </c>
      <c r="V673" s="238" t="inlineStr">
        <is>
          <t>NA</t>
        </is>
      </c>
      <c r="W673" s="257" t="n">
        <v>1</v>
      </c>
      <c r="X673" s="945" t="inlineStr">
        <is>
          <t>NA</t>
        </is>
      </c>
      <c r="Y673" s="237" t="n">
        <v>43</v>
      </c>
      <c r="Z673" s="237" t="inlineStr">
        <is>
          <t>NA</t>
        </is>
      </c>
      <c r="AA673" s="239" t="inlineStr">
        <is>
          <t>NA</t>
        </is>
      </c>
      <c r="AB673" s="269" t="inlineStr">
        <is>
          <t>MREL</t>
        </is>
      </c>
      <c r="AC673" s="231" t="inlineStr">
        <is>
          <t>ND</t>
        </is>
      </c>
      <c r="AD673" s="257" t="inlineStr">
        <is>
          <t>N</t>
        </is>
      </c>
      <c r="AE673" s="971" t="inlineStr">
        <is>
          <t>TRE203,207
TRE206
VAR*
INT</t>
        </is>
      </c>
      <c r="AF673" s="257" t="inlineStr">
        <is>
          <t>NA</t>
        </is>
      </c>
      <c r="AG673" s="258" t="inlineStr">
        <is>
          <t>NA</t>
        </is>
      </c>
      <c r="AH673" s="89" t="n"/>
      <c r="AI673" s="316" t="inlineStr">
        <is>
          <t>La donnée est obligatoire si le type de risque [P1 2.0] est égal à 'INTxxx', 'VARxxx', 'TRE203', 'TRE206', 'TRE207'</t>
        </is>
      </c>
      <c r="AJ673" s="317" t="inlineStr">
        <is>
          <t>The data is mandatory if Risk type [P1 2.0] is equal to 'INTxxx', 'VARxxx', 'TRE203', 'TRE206', 'TRE207'</t>
        </is>
      </c>
      <c r="AK673" s="257" t="n">
        <v>7</v>
      </c>
      <c r="AL673" s="335" t="inlineStr">
        <is>
          <t>TPS0781</t>
        </is>
      </c>
      <c r="AM673" s="452" t="inlineStr">
        <is>
          <t>Si elle est renseignée, la valeur doit être connue du Langage Commun associé</t>
        </is>
      </c>
      <c r="AN673" s="377" t="inlineStr">
        <is>
          <t>If specified, the value must be known to the associated Common Language</t>
        </is>
      </c>
      <c r="AO673" s="257" t="n">
        <v>7</v>
      </c>
      <c r="AP673" s="212" t="inlineStr">
        <is>
          <t>TIG0001</t>
        </is>
      </c>
      <c r="AQ673" s="318" t="n"/>
      <c r="AR673" s="317" t="n"/>
      <c r="AS673" s="257" t="n"/>
      <c r="AT673" s="258" t="n"/>
      <c r="AU673" s="318" t="n"/>
      <c r="AV673" s="317" t="n"/>
      <c r="AW673" s="257" t="n"/>
      <c r="AX673" s="258" t="n"/>
      <c r="AY673" s="318" t="n"/>
      <c r="AZ673" s="317" t="n"/>
      <c r="BA673" s="257" t="n"/>
      <c r="BB673" s="258" t="n"/>
      <c r="BC673" s="316" t="n"/>
      <c r="BD673" s="317" t="n"/>
      <c r="BE673" s="257" t="n"/>
      <c r="BF673" s="258" t="n"/>
      <c r="BG673" s="89" t="n"/>
      <c r="BH6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73">
        <f>_xlfn.LET(r,ROW(),oc,INDEX($A:$A,r),cv,TRIM(INDEX($Y:$Y,r)&amp;""),IF(oc&lt;&gt;"P1","",IF(cv="45","V45 - novo, nao alimentado pelo spool atual","V44 - alimentado pelo spool atual")))</f>
        <v/>
      </c>
    </row>
    <row r="674" ht="54" customFormat="1" customHeight="1" s="91">
      <c r="A674" s="306" t="inlineStr">
        <is>
          <t>P1</t>
        </is>
      </c>
      <c r="B674" s="307" t="n">
        <v>439</v>
      </c>
      <c r="C674" s="269" t="inlineStr">
        <is>
          <t>02 - Caractéristiques d'identification fonctionnelles</t>
        </is>
      </c>
      <c r="D674" s="236" t="inlineStr">
        <is>
          <t>02 - Functional identification characteristics</t>
        </is>
      </c>
      <c r="E674" s="372" t="inlineStr">
        <is>
          <t>P1 30.24</t>
        </is>
      </c>
      <c r="F674" s="308" t="inlineStr">
        <is>
          <t>Référence du contrat de netting contractuel</t>
        </is>
      </c>
      <c r="G674" s="309" t="inlineStr">
        <is>
          <t>Reference of the contractual netting agreement</t>
        </is>
      </c>
      <c r="H674" s="1493">
        <f>"RPAD( "&amp;SUBSTITUTE(SUBSTITUTE(E674," ","_"),".","_")&amp;","&amp;W674&amp;",' '); -- "&amp;E674</f>
        <v/>
      </c>
      <c r="I674" s="308" t="inlineStr">
        <is>
          <t>Référence du contrat de netting contractuel</t>
        </is>
      </c>
      <c r="J674" s="309" t="inlineStr">
        <is>
          <t>Reference of the contractual netting agreement</t>
        </is>
      </c>
      <c r="K674" s="370" t="inlineStr">
        <is>
          <t>ND</t>
        </is>
      </c>
      <c r="L674" s="371" t="inlineStr">
        <is>
          <t>ND</t>
        </is>
      </c>
      <c r="M674" s="1420" t="inlineStr">
        <is>
          <t>cdContrNettContra</t>
        </is>
      </c>
      <c r="N674" s="257" t="inlineStr">
        <is>
          <t>Obligatoire sous conditions</t>
        </is>
      </c>
      <c r="O674" s="310" t="inlineStr">
        <is>
          <t>Mandatory under conditions</t>
        </is>
      </c>
      <c r="P674" s="269" t="inlineStr">
        <is>
          <t>NA</t>
        </is>
      </c>
      <c r="Q674" s="269" t="inlineStr">
        <is>
          <t>NA</t>
        </is>
      </c>
      <c r="R674" s="241" t="inlineStr">
        <is>
          <t>NA</t>
        </is>
      </c>
      <c r="S674" s="233" t="inlineStr">
        <is>
          <t>NA</t>
        </is>
      </c>
      <c r="T674" s="313" t="inlineStr">
        <is>
          <t>ALPHA</t>
        </is>
      </c>
      <c r="U674" s="237" t="inlineStr">
        <is>
          <t>NA</t>
        </is>
      </c>
      <c r="V674" s="238" t="inlineStr">
        <is>
          <t>NA</t>
        </is>
      </c>
      <c r="W674" s="257" t="n">
        <v>25</v>
      </c>
      <c r="X674" s="945" t="inlineStr">
        <is>
          <t>NA</t>
        </is>
      </c>
      <c r="Y674" s="237" t="n">
        <v>43</v>
      </c>
      <c r="Z674" s="237" t="inlineStr">
        <is>
          <t>NA</t>
        </is>
      </c>
      <c r="AA674" s="239" t="inlineStr">
        <is>
          <t>NA</t>
        </is>
      </c>
      <c r="AB674" s="269" t="inlineStr">
        <is>
          <t>MREL, SRB VALUATION</t>
        </is>
      </c>
      <c r="AC674" s="231" t="inlineStr">
        <is>
          <t>ND</t>
        </is>
      </c>
      <c r="AD674" s="257" t="inlineStr">
        <is>
          <t>N</t>
        </is>
      </c>
      <c r="AE674" s="971" t="inlineStr">
        <is>
          <t>TRE203,207
TRE206
VAR*
INT</t>
        </is>
      </c>
      <c r="AF674" s="257" t="inlineStr">
        <is>
          <t>NA</t>
        </is>
      </c>
      <c r="AG674" s="258" t="inlineStr">
        <is>
          <t>NA</t>
        </is>
      </c>
      <c r="AH674" s="89" t="n"/>
      <c r="AI674" s="616" t="inlineStr">
        <is>
          <t>La donnée est obligatoire si le type de risque [P1 2.0] = (TRE203, TRE206, TRE207, VARxx, INT) ET si l'indicateur accord de netting contractuel [P1 30.23] = 'Y'</t>
        </is>
      </c>
      <c r="AJ674" s="317" t="inlineStr">
        <is>
          <t>The data is mandatory if risk type [P1 2.0] = (TRE203, TRE206, TRE207, VARxx, INT) AND the contractual netting agreement indicator [P1 30.23] = 'Y'</t>
        </is>
      </c>
      <c r="AK674" s="257" t="n">
        <v>7</v>
      </c>
      <c r="AL674" s="345" t="inlineStr">
        <is>
          <t>TPS0903</t>
        </is>
      </c>
      <c r="AM674" s="318" t="n"/>
      <c r="AN674" s="317" t="n"/>
      <c r="AO674" s="257" t="n"/>
      <c r="AP674" s="258" t="n"/>
      <c r="AQ674" s="318" t="n"/>
      <c r="AR674" s="317" t="n"/>
      <c r="AS674" s="257" t="n"/>
      <c r="AT674" s="258" t="n"/>
      <c r="AU674" s="318" t="n"/>
      <c r="AV674" s="317" t="n"/>
      <c r="AW674" s="257" t="n"/>
      <c r="AX674" s="258" t="n"/>
      <c r="AY674" s="318" t="n"/>
      <c r="AZ674" s="317" t="n"/>
      <c r="BA674" s="257" t="n"/>
      <c r="BB674" s="258" t="n"/>
      <c r="BC674" s="316" t="n"/>
      <c r="BD674" s="317" t="n"/>
      <c r="BE674" s="257" t="n"/>
      <c r="BF674" s="258" t="n"/>
      <c r="BG674" s="89" t="n"/>
      <c r="BH6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74">
        <f>_xlfn.LET(r,ROW(),oc,INDEX($A:$A,r),cv,TRIM(INDEX($Y:$Y,r)&amp;""),IF(oc&lt;&gt;"P1","",IF(cv="45","V45 - novo, nao alimentado pelo spool atual","V44 - alimentado pelo spool atual")))</f>
        <v/>
      </c>
    </row>
    <row r="675" ht="54" customFormat="1" customHeight="1" s="91">
      <c r="A675" s="306" t="inlineStr">
        <is>
          <t>P1</t>
        </is>
      </c>
      <c r="B675" s="307" t="n">
        <v>440</v>
      </c>
      <c r="C675" s="269" t="inlineStr">
        <is>
          <t>09 - Caractéristiques Dérivés</t>
        </is>
      </c>
      <c r="D675" s="236" t="inlineStr">
        <is>
          <t>09 - Derivative characteristics</t>
        </is>
      </c>
      <c r="E675" s="372" t="inlineStr">
        <is>
          <t>P1 30.25</t>
        </is>
      </c>
      <c r="F675" s="308" t="inlineStr">
        <is>
          <t>Indicateur accord de netting comptable</t>
        </is>
      </c>
      <c r="G675" s="309" t="inlineStr">
        <is>
          <t>Accounting netting indicator</t>
        </is>
      </c>
      <c r="H675" s="1493">
        <f>"RPAD( "&amp;SUBSTITUTE(SUBSTITUTE(E675," ","_"),".","_")&amp;","&amp;W675&amp;",' '); -- "&amp;E675</f>
        <v/>
      </c>
      <c r="I675" s="241" t="inlineStr">
        <is>
          <t>Indique que la transaction peut être nettée selon les règles du contrat de netting comptable</t>
        </is>
      </c>
      <c r="J675" s="309" t="inlineStr">
        <is>
          <t>Indicator used to specify whether the market transaction can be netted according to the accounting netting rules</t>
        </is>
      </c>
      <c r="K675" s="370" t="inlineStr">
        <is>
          <t>ND</t>
        </is>
      </c>
      <c r="L675" s="371" t="inlineStr">
        <is>
          <t>ND</t>
        </is>
      </c>
      <c r="M675" s="1420" t="inlineStr">
        <is>
          <t>indAccNettCpt</t>
        </is>
      </c>
      <c r="N675" s="257" t="inlineStr">
        <is>
          <t>Obligatoire sous conditions</t>
        </is>
      </c>
      <c r="O675" s="310" t="inlineStr">
        <is>
          <t>Mandatory under conditions</t>
        </is>
      </c>
      <c r="P675" s="269" t="inlineStr">
        <is>
          <t>LC.0365</t>
        </is>
      </c>
      <c r="Q675" s="269" t="inlineStr">
        <is>
          <t>TA Z8IADNCP</t>
        </is>
      </c>
      <c r="R675" s="241" t="inlineStr">
        <is>
          <t>NA</t>
        </is>
      </c>
      <c r="S675" s="233" t="inlineStr">
        <is>
          <t>NA</t>
        </is>
      </c>
      <c r="T675" s="313" t="inlineStr">
        <is>
          <t>ALPHA</t>
        </is>
      </c>
      <c r="U675" s="237" t="inlineStr">
        <is>
          <t>NA</t>
        </is>
      </c>
      <c r="V675" s="238" t="inlineStr">
        <is>
          <t>NA</t>
        </is>
      </c>
      <c r="W675" s="257" t="n">
        <v>1</v>
      </c>
      <c r="X675" s="945" t="inlineStr">
        <is>
          <t>NA</t>
        </is>
      </c>
      <c r="Y675" s="237" t="n">
        <v>43</v>
      </c>
      <c r="Z675" s="237" t="inlineStr">
        <is>
          <t>NA</t>
        </is>
      </c>
      <c r="AA675" s="239" t="inlineStr">
        <is>
          <t>NA</t>
        </is>
      </c>
      <c r="AB675" s="269" t="inlineStr">
        <is>
          <t>MREL</t>
        </is>
      </c>
      <c r="AC675" s="231" t="inlineStr">
        <is>
          <t>ND</t>
        </is>
      </c>
      <c r="AD675" s="257" t="inlineStr">
        <is>
          <t>N</t>
        </is>
      </c>
      <c r="AE675" s="971" t="inlineStr">
        <is>
          <t>TRE203,207
TRE206
VAR*
INT</t>
        </is>
      </c>
      <c r="AF675" s="257" t="inlineStr">
        <is>
          <t>NA</t>
        </is>
      </c>
      <c r="AG675" s="258" t="inlineStr">
        <is>
          <t>NA</t>
        </is>
      </c>
      <c r="AH675" s="89" t="n"/>
      <c r="AI675" s="316" t="inlineStr">
        <is>
          <t>La donnée est obligatoire si le type de risque [P1 2.0] = (TRE203, TRE206, TRE207, VARxx, INT) ET si le type de contrat cadre [P1 30.1] est différent de '01' et '12'</t>
        </is>
      </c>
      <c r="AJ675" s="317" t="inlineStr">
        <is>
          <t>The data is mandatory if Risk type [P1 2.0] = (TRE203, TRE206, TRE207, VARxx, INT) AND if the framework contract type [P1 30.1] is different from '01' and '12'</t>
        </is>
      </c>
      <c r="AK675" s="269" t="n">
        <v>6</v>
      </c>
      <c r="AL675" s="345" t="inlineStr">
        <is>
          <t>TPS0904</t>
        </is>
      </c>
      <c r="AM675" s="452" t="inlineStr">
        <is>
          <t>Si elle est renseignée, la valeur doit être connue du Langage Commun associé</t>
        </is>
      </c>
      <c r="AN675" s="377" t="inlineStr">
        <is>
          <t>If specified, the value must be known to the associated Common Language</t>
        </is>
      </c>
      <c r="AO675" s="257" t="n">
        <v>7</v>
      </c>
      <c r="AP675" s="212" t="inlineStr">
        <is>
          <t>TIG0001</t>
        </is>
      </c>
      <c r="AQ675" s="318" t="n"/>
      <c r="AR675" s="317" t="n"/>
      <c r="AS675" s="257" t="n"/>
      <c r="AT675" s="258" t="n"/>
      <c r="AU675" s="318" t="n"/>
      <c r="AV675" s="317" t="n"/>
      <c r="AW675" s="257" t="n"/>
      <c r="AX675" s="258" t="n"/>
      <c r="AY675" s="318" t="n"/>
      <c r="AZ675" s="317" t="n"/>
      <c r="BA675" s="257" t="n"/>
      <c r="BB675" s="258" t="n"/>
      <c r="BC675" s="316" t="n"/>
      <c r="BD675" s="317" t="n"/>
      <c r="BE675" s="257" t="n"/>
      <c r="BF675" s="258" t="n"/>
      <c r="BG675" s="89" t="n"/>
      <c r="BH6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75">
        <f>_xlfn.LET(r,ROW(),oc,INDEX($A:$A,r),cv,TRIM(INDEX($Y:$Y,r)&amp;""),IF(oc&lt;&gt;"P1","",IF(cv="45","V45 - novo, nao alimentado pelo spool atual","V44 - alimentado pelo spool atual")))</f>
        <v/>
      </c>
    </row>
    <row r="676" ht="54" customFormat="1" customHeight="1" s="91">
      <c r="A676" s="306" t="inlineStr">
        <is>
          <t>P1</t>
        </is>
      </c>
      <c r="B676" s="307" t="n">
        <v>441</v>
      </c>
      <c r="C676" s="269" t="inlineStr">
        <is>
          <t>02 - Caractéristiques d'identification fonctionnelles</t>
        </is>
      </c>
      <c r="D676" s="236" t="inlineStr">
        <is>
          <t>02 - Functional identification characteristics</t>
        </is>
      </c>
      <c r="E676" s="372" t="inlineStr">
        <is>
          <t>P1 30.26</t>
        </is>
      </c>
      <c r="F676" s="308" t="inlineStr">
        <is>
          <t>Référence du contrat de netting comptable</t>
        </is>
      </c>
      <c r="G676" s="309" t="inlineStr">
        <is>
          <t>Reference of the accounting netting contract</t>
        </is>
      </c>
      <c r="H676" s="1493">
        <f>"RPAD( "&amp;SUBSTITUTE(SUBSTITUTE(E676," ","_"),".","_")&amp;","&amp;W676&amp;",' '); -- "&amp;E676</f>
        <v/>
      </c>
      <c r="I676" s="308" t="inlineStr">
        <is>
          <t>Référence du contrat de netting comptable</t>
        </is>
      </c>
      <c r="J676" s="309" t="inlineStr">
        <is>
          <t>Reference of the accounting netting contract</t>
        </is>
      </c>
      <c r="K676" s="370" t="inlineStr">
        <is>
          <t>ND</t>
        </is>
      </c>
      <c r="L676" s="371" t="inlineStr">
        <is>
          <t>ND</t>
        </is>
      </c>
      <c r="M676" s="1420" t="inlineStr">
        <is>
          <t>cdContrNettCpt</t>
        </is>
      </c>
      <c r="N676" s="257" t="inlineStr">
        <is>
          <t>Obligatoire sous conditions</t>
        </is>
      </c>
      <c r="O676" s="310" t="inlineStr">
        <is>
          <t>Mandatory under conditions</t>
        </is>
      </c>
      <c r="P676" s="269" t="inlineStr">
        <is>
          <t>NA</t>
        </is>
      </c>
      <c r="Q676" s="269" t="inlineStr">
        <is>
          <t>NA</t>
        </is>
      </c>
      <c r="R676" s="241" t="inlineStr">
        <is>
          <t>NA</t>
        </is>
      </c>
      <c r="S676" s="233" t="inlineStr">
        <is>
          <t>NA</t>
        </is>
      </c>
      <c r="T676" s="313" t="inlineStr">
        <is>
          <t>ALPHA</t>
        </is>
      </c>
      <c r="U676" s="237" t="inlineStr">
        <is>
          <t>NA</t>
        </is>
      </c>
      <c r="V676" s="238" t="inlineStr">
        <is>
          <t>NA</t>
        </is>
      </c>
      <c r="W676" s="257" t="n">
        <v>25</v>
      </c>
      <c r="X676" s="945" t="inlineStr">
        <is>
          <t>NA</t>
        </is>
      </c>
      <c r="Y676" s="237" t="n">
        <v>43</v>
      </c>
      <c r="Z676" s="237" t="inlineStr">
        <is>
          <t>NA</t>
        </is>
      </c>
      <c r="AA676" s="239" t="inlineStr">
        <is>
          <t>NA</t>
        </is>
      </c>
      <c r="AB676" s="269" t="inlineStr">
        <is>
          <t>MREL</t>
        </is>
      </c>
      <c r="AC676" s="231" t="inlineStr">
        <is>
          <t>ND</t>
        </is>
      </c>
      <c r="AD676" s="257" t="inlineStr">
        <is>
          <t>N</t>
        </is>
      </c>
      <c r="AE676" s="971" t="inlineStr">
        <is>
          <t>TRE203,207
TRE206
VAR*
INT</t>
        </is>
      </c>
      <c r="AF676" s="257" t="inlineStr">
        <is>
          <t>NA</t>
        </is>
      </c>
      <c r="AG676" s="258" t="inlineStr">
        <is>
          <t>NA</t>
        </is>
      </c>
      <c r="AH676" s="89" t="n"/>
      <c r="AI676" s="316" t="inlineStr">
        <is>
          <t>La donnée est obligatoire si le type de risque [P1 2.0] = (TRE203, TRE206, TRE207, VARxx, INT) ET si l'indicateur de contrat de netting comptable [P1 30.25] = 'Y'</t>
        </is>
      </c>
      <c r="AJ676" s="317" t="inlineStr">
        <is>
          <t>The data is mandatory if risk type [P1 2.0] = (TRE203, TRE206, TRE207, VARxx, INT) AND accounting netting contract indicator [P1 30.25] = 'Y'</t>
        </is>
      </c>
      <c r="AK676" s="257" t="n">
        <v>7</v>
      </c>
      <c r="AL676" s="345" t="inlineStr">
        <is>
          <t>TPS0905</t>
        </is>
      </c>
      <c r="AM676" s="318" t="n"/>
      <c r="AN676" s="317" t="n"/>
      <c r="AO676" s="257" t="n"/>
      <c r="AP676" s="258" t="n"/>
      <c r="AQ676" s="318" t="n"/>
      <c r="AR676" s="317" t="n"/>
      <c r="AS676" s="257" t="n"/>
      <c r="AT676" s="258" t="n"/>
      <c r="AU676" s="318" t="n"/>
      <c r="AV676" s="317" t="n"/>
      <c r="AW676" s="257" t="n"/>
      <c r="AX676" s="258" t="n"/>
      <c r="AY676" s="318" t="n"/>
      <c r="AZ676" s="317" t="n"/>
      <c r="BA676" s="257" t="n"/>
      <c r="BB676" s="258" t="n"/>
      <c r="BC676" s="316" t="n"/>
      <c r="BD676" s="317" t="n"/>
      <c r="BE676" s="257" t="n"/>
      <c r="BF676" s="258" t="n"/>
      <c r="BG676" s="89" t="n"/>
      <c r="BH6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76">
        <f>_xlfn.LET(r,ROW(),oc,INDEX($A:$A,r),cv,TRIM(INDEX($Y:$Y,r)&amp;""),IF(oc&lt;&gt;"P1","",IF(cv="45","V45 - novo, nao alimentado pelo spool atual","V44 - alimentado pelo spool atual")))</f>
        <v/>
      </c>
    </row>
    <row r="677" ht="54" customFormat="1" customHeight="1" s="91">
      <c r="A677" s="306" t="inlineStr">
        <is>
          <t>P1</t>
        </is>
      </c>
      <c r="B677" s="307" t="n">
        <v>442</v>
      </c>
      <c r="C677" s="269" t="inlineStr">
        <is>
          <t>09 - Caractéristiques Dérivés</t>
        </is>
      </c>
      <c r="D677" s="236" t="inlineStr">
        <is>
          <t>09 - Derivative characteristics</t>
        </is>
      </c>
      <c r="E677" s="372" t="inlineStr">
        <is>
          <t>P1 30.27</t>
        </is>
      </c>
      <c r="F677" s="308" t="inlineStr">
        <is>
          <t>Finalité de l'opération</t>
        </is>
      </c>
      <c r="G677" s="309" t="inlineStr">
        <is>
          <t>Purpose of the transaction</t>
        </is>
      </c>
      <c r="H677" s="1493">
        <f>"RPAD( "&amp;SUBSTITUTE(SUBSTITUTE(E677," ","_"),".","_")&amp;","&amp;W677&amp;",' '); -- "&amp;E677</f>
        <v/>
      </c>
      <c r="I677" s="241" t="inlineStr">
        <is>
          <t>Permet de connaitre la finalité de l'opération</t>
        </is>
      </c>
      <c r="J677" s="363" t="inlineStr">
        <is>
          <t>Allows to know the purpose of the transaction</t>
        </is>
      </c>
      <c r="K677" s="516" t="inlineStr">
        <is>
          <t>ND</t>
        </is>
      </c>
      <c r="L677" s="517" t="inlineStr">
        <is>
          <t>ND</t>
        </is>
      </c>
      <c r="M677" s="1420" t="inlineStr">
        <is>
          <t>FinalOp</t>
        </is>
      </c>
      <c r="N677" s="257" t="inlineStr">
        <is>
          <t>Obligatoire sous conditions</t>
        </is>
      </c>
      <c r="O677" s="310" t="inlineStr">
        <is>
          <t>Mandatory under conditions</t>
        </is>
      </c>
      <c r="P677" s="269" t="inlineStr">
        <is>
          <t>LC.0340</t>
        </is>
      </c>
      <c r="Q677" s="269" t="inlineStr">
        <is>
          <t>TA Z8FINOPE</t>
        </is>
      </c>
      <c r="R677" s="241" t="inlineStr">
        <is>
          <t>NA</t>
        </is>
      </c>
      <c r="S677" s="233" t="inlineStr">
        <is>
          <t>NA</t>
        </is>
      </c>
      <c r="T677" s="313" t="inlineStr">
        <is>
          <t>ALPHA</t>
        </is>
      </c>
      <c r="U677" s="237" t="inlineStr">
        <is>
          <t>NA</t>
        </is>
      </c>
      <c r="V677" s="238" t="inlineStr">
        <is>
          <t>NA</t>
        </is>
      </c>
      <c r="W677" s="257" t="n">
        <v>1</v>
      </c>
      <c r="X677" s="945" t="inlineStr">
        <is>
          <t>NA</t>
        </is>
      </c>
      <c r="Y677" s="237" t="n">
        <v>43</v>
      </c>
      <c r="Z677" s="237" t="inlineStr">
        <is>
          <t>NA</t>
        </is>
      </c>
      <c r="AA677" s="270" t="inlineStr">
        <is>
          <t>45.00</t>
        </is>
      </c>
      <c r="AB677" s="994" t="inlineStr">
        <is>
          <t>CORFOU, GRR, PVA</t>
        </is>
      </c>
      <c r="AC677" s="231" t="inlineStr">
        <is>
          <t>ND</t>
        </is>
      </c>
      <c r="AD677" s="257" t="inlineStr">
        <is>
          <t>N</t>
        </is>
      </c>
      <c r="AE677" s="932" t="inlineStr">
        <is>
          <t>VAR hors (VAR105, VAR302)
INT</t>
        </is>
      </c>
      <c r="AF677" s="269" t="inlineStr">
        <is>
          <t>NA</t>
        </is>
      </c>
      <c r="AG677" s="364" t="inlineStr">
        <is>
          <t>NA</t>
        </is>
      </c>
      <c r="AH677" s="89" t="n"/>
      <c r="AI677" s="993" t="inlineStr">
        <is>
          <t>La donnée est obligatoire si le type de risque [P1 2.0] = 'VARXXX' hors (VAR105, VAR302)</t>
        </is>
      </c>
      <c r="AJ677" s="940" t="inlineStr">
        <is>
          <t>The data is mandatory if risk type [P1 2.0] = 'VARXXX' out (VAR105, VAR302)</t>
        </is>
      </c>
      <c r="AK677" s="994" t="n">
        <v>6</v>
      </c>
      <c r="AL677" s="995" t="inlineStr">
        <is>
          <t>TPS0886</t>
        </is>
      </c>
      <c r="AM677" s="452" t="inlineStr">
        <is>
          <t>Si elle est renseignée, la valeur doit être connue du Langage Commun associé</t>
        </is>
      </c>
      <c r="AN677" s="377" t="inlineStr">
        <is>
          <t>If specified, the value must be known to the associated Common Language</t>
        </is>
      </c>
      <c r="AO677" s="257" t="n">
        <v>7</v>
      </c>
      <c r="AP677" s="212" t="inlineStr">
        <is>
          <t>TIG0001</t>
        </is>
      </c>
      <c r="AQ677" s="318" t="n"/>
      <c r="AR677" s="317" t="n"/>
      <c r="AS677" s="257" t="n"/>
      <c r="AT677" s="258" t="n"/>
      <c r="AU677" s="318" t="n"/>
      <c r="AV677" s="317" t="n"/>
      <c r="AW677" s="257" t="n"/>
      <c r="AX677" s="258" t="n"/>
      <c r="AY677" s="318" t="n"/>
      <c r="AZ677" s="317" t="n"/>
      <c r="BA677" s="257" t="n"/>
      <c r="BB677" s="258" t="n"/>
      <c r="BC677" s="316" t="n"/>
      <c r="BD677" s="317" t="n"/>
      <c r="BE677" s="257" t="n"/>
      <c r="BF677" s="258" t="n"/>
      <c r="BG677" s="89" t="n"/>
      <c r="BH6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77">
        <f>_xlfn.LET(r,ROW(),oc,INDEX($A:$A,r),cv,TRIM(INDEX($Y:$Y,r)&amp;""),IF(oc&lt;&gt;"P1","",IF(cv="45","V45 - novo, nao alimentado pelo spool atual","V44 - alimentado pelo spool atual")))</f>
        <v/>
      </c>
    </row>
    <row r="678" ht="54" customFormat="1" customHeight="1" s="91">
      <c r="A678" s="306" t="inlineStr">
        <is>
          <t>P1</t>
        </is>
      </c>
      <c r="B678" s="307" t="n">
        <v>443</v>
      </c>
      <c r="C678" s="269" t="inlineStr">
        <is>
          <t>03 - Caractéristiques Générales</t>
        </is>
      </c>
      <c r="D678" s="310" t="inlineStr">
        <is>
          <t>03 - General characteristics</t>
        </is>
      </c>
      <c r="E678" s="372" t="inlineStr">
        <is>
          <t>P1 31.1</t>
        </is>
      </c>
      <c r="F678" s="308" t="inlineStr">
        <is>
          <t>Code entité de la succursale à l'origine de l'opération</t>
        </is>
      </c>
      <c r="G678" s="309" t="inlineStr">
        <is>
          <t>Entity code of the branch that originated the transaction</t>
        </is>
      </c>
      <c r="H678" s="1493">
        <f>"RPAD( "&amp;SUBSTITUTE(SUBSTITUTE(E678," ","_"),".","_")&amp;","&amp;W678&amp;",' '); -- "&amp;E678</f>
        <v/>
      </c>
      <c r="I678" s="308" t="inlineStr">
        <is>
          <t>Permet d'indiquer le code consolidation de la succursale qui a fait l'opération/contrat dans le cas où les encours sont portés par la maison mère</t>
        </is>
      </c>
      <c r="J678" s="309" t="inlineStr">
        <is>
          <t>Allows to indicate the consolidation code of the branch that made the transaction/contract in the case where the outstandings are brought by the main company</t>
        </is>
      </c>
      <c r="K678" s="370" t="inlineStr">
        <is>
          <t>ND</t>
        </is>
      </c>
      <c r="L678" s="371" t="inlineStr">
        <is>
          <t>ND</t>
        </is>
      </c>
      <c r="M678" s="1420" t="inlineStr">
        <is>
          <t>CdEntSucc</t>
        </is>
      </c>
      <c r="N678" s="257" t="inlineStr">
        <is>
          <t>Facultatif</t>
        </is>
      </c>
      <c r="O678" s="310" t="inlineStr">
        <is>
          <t>Optional</t>
        </is>
      </c>
      <c r="P678" s="269" t="inlineStr">
        <is>
          <t>LC.0475</t>
        </is>
      </c>
      <c r="Q678" s="269" t="inlineStr">
        <is>
          <t>TA H8ENTITY</t>
        </is>
      </c>
      <c r="R678" s="311" t="inlineStr">
        <is>
          <t>Demandé pour les entités qui ont des succursales (ex : CACEIS)</t>
        </is>
      </c>
      <c r="S678" s="312" t="inlineStr">
        <is>
          <t>Required for entities that have branches (eg: CACEIS)</t>
        </is>
      </c>
      <c r="T678" s="313" t="inlineStr">
        <is>
          <t>ALPHA</t>
        </is>
      </c>
      <c r="U678" s="237" t="inlineStr">
        <is>
          <t>NA</t>
        </is>
      </c>
      <c r="V678" s="238" t="inlineStr">
        <is>
          <t>NA</t>
        </is>
      </c>
      <c r="W678" s="257" t="n">
        <v>5</v>
      </c>
      <c r="X678" s="945" t="inlineStr">
        <is>
          <t>NA</t>
        </is>
      </c>
      <c r="Y678" s="237" t="n">
        <v>43</v>
      </c>
      <c r="Z678" s="237" t="inlineStr">
        <is>
          <t>NA</t>
        </is>
      </c>
      <c r="AA678" s="239" t="inlineStr">
        <is>
          <t>NA</t>
        </is>
      </c>
      <c r="AB678" s="269" t="inlineStr">
        <is>
          <t>SRB VALUATION</t>
        </is>
      </c>
      <c r="AC678" s="231" t="inlineStr">
        <is>
          <t>ND</t>
        </is>
      </c>
      <c r="AD678" s="257" t="inlineStr">
        <is>
          <t>N</t>
        </is>
      </c>
      <c r="AE678" s="971" t="inlineStr">
        <is>
          <t>EQU101
EQU201
ISS100
ISS200 et 300
TRE100
TRE2 à 4XX hors 203,205,206,207
TRE203, 205, 207
TRE206
TRE5XX
SIG
VAR*
INT</t>
        </is>
      </c>
      <c r="AF678" s="257" t="inlineStr">
        <is>
          <t>NA</t>
        </is>
      </c>
      <c r="AG678" s="258" t="inlineStr">
        <is>
          <t>NA</t>
        </is>
      </c>
      <c r="AH678" s="89" t="n"/>
      <c r="AI678" s="316" t="n"/>
      <c r="AJ678" s="317" t="n"/>
      <c r="AK678" s="257" t="n"/>
      <c r="AL678" s="258" t="n"/>
      <c r="AM678" s="452" t="inlineStr">
        <is>
          <t>Si elle est renseignée, la valeur doit être connue du Langage Commun associé</t>
        </is>
      </c>
      <c r="AN678" s="377" t="inlineStr">
        <is>
          <t>If specified, the value must be known to the associated Common Language</t>
        </is>
      </c>
      <c r="AO678" s="257" t="n">
        <v>7</v>
      </c>
      <c r="AP678" s="212" t="inlineStr">
        <is>
          <t>TIG0001</t>
        </is>
      </c>
      <c r="AQ678" s="318" t="n"/>
      <c r="AR678" s="317" t="n"/>
      <c r="AS678" s="257" t="n"/>
      <c r="AT678" s="258" t="n"/>
      <c r="AU678" s="318" t="n"/>
      <c r="AV678" s="317" t="n"/>
      <c r="AW678" s="257" t="n"/>
      <c r="AX678" s="258" t="n"/>
      <c r="AY678" s="318" t="n"/>
      <c r="AZ678" s="317" t="n"/>
      <c r="BA678" s="257" t="n"/>
      <c r="BB678" s="258" t="n"/>
      <c r="BC678" s="316" t="n"/>
      <c r="BD678" s="317" t="n"/>
      <c r="BE678" s="257" t="n"/>
      <c r="BF678" s="258" t="n"/>
      <c r="BG678" s="89" t="n"/>
      <c r="BH6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78">
        <f>_xlfn.LET(r,ROW(),oc,INDEX($A:$A,r),cv,TRIM(INDEX($Y:$Y,r)&amp;""),IF(oc&lt;&gt;"P1","",IF(cv="45","V45 - novo, nao alimentado pelo spool atual","V44 - alimentado pelo spool atual")))</f>
        <v/>
      </c>
    </row>
    <row r="679" ht="54" customFormat="1" customHeight="1" s="91">
      <c r="A679" s="306" t="inlineStr">
        <is>
          <t>P1</t>
        </is>
      </c>
      <c r="B679" s="307" t="n">
        <v>444</v>
      </c>
      <c r="C679" s="269" t="inlineStr">
        <is>
          <t>02 - Caractéristiques d'identification fonctionnelles</t>
        </is>
      </c>
      <c r="D679" s="310" t="inlineStr">
        <is>
          <t>02 - Functional identification characteristics</t>
        </is>
      </c>
      <c r="E679" s="372" t="inlineStr">
        <is>
          <t>P1 31.2</t>
        </is>
      </c>
      <c r="F679" s="308" t="inlineStr">
        <is>
          <t>Référence unique du contrat à l'origine</t>
        </is>
      </c>
      <c r="G679" s="309" t="inlineStr">
        <is>
          <t>Unique contract reference at origination</t>
        </is>
      </c>
      <c r="H679" s="1493">
        <f>"RPAD( "&amp;SUBSTITUTE(SUBSTITUTE(E679," ","_"),".","_")&amp;","&amp;W679&amp;",' '); -- "&amp;E679</f>
        <v/>
      </c>
      <c r="I679" s="241" t="inlineStr">
        <is>
          <t>Permet de conserver la référence unique du contrat à l'origine lorsque l'entité change de système de gestion local</t>
        </is>
      </c>
      <c r="J679" s="309" t="inlineStr">
        <is>
          <t>Keeps the unique contract reference at origination when the entity changes the local management system</t>
        </is>
      </c>
      <c r="K679" s="370" t="inlineStr">
        <is>
          <t>ND</t>
        </is>
      </c>
      <c r="L679" s="371" t="inlineStr">
        <is>
          <t>ND</t>
        </is>
      </c>
      <c r="M679" s="1420" t="inlineStr">
        <is>
          <t>cdCtOri</t>
        </is>
      </c>
      <c r="N679" s="231" t="inlineStr">
        <is>
          <t>Facultatif</t>
        </is>
      </c>
      <c r="O679" s="310" t="inlineStr">
        <is>
          <t>Optional</t>
        </is>
      </c>
      <c r="P679" s="269" t="inlineStr">
        <is>
          <t>NA</t>
        </is>
      </c>
      <c r="Q679" s="269" t="inlineStr">
        <is>
          <t>NA</t>
        </is>
      </c>
      <c r="R679" s="241" t="inlineStr">
        <is>
          <t>NA</t>
        </is>
      </c>
      <c r="S679" s="233" t="inlineStr">
        <is>
          <t>NA</t>
        </is>
      </c>
      <c r="T679" s="313" t="inlineStr">
        <is>
          <t>ALPHA</t>
        </is>
      </c>
      <c r="U679" s="237" t="inlineStr">
        <is>
          <t>NA</t>
        </is>
      </c>
      <c r="V679" s="238" t="inlineStr">
        <is>
          <t>NA</t>
        </is>
      </c>
      <c r="W679" s="257" t="n">
        <v>40</v>
      </c>
      <c r="X679" s="945" t="inlineStr">
        <is>
          <t>NA</t>
        </is>
      </c>
      <c r="Y679" s="237" t="n">
        <v>43</v>
      </c>
      <c r="Z679" s="237" t="inlineStr">
        <is>
          <t>NA</t>
        </is>
      </c>
      <c r="AA679" s="239" t="inlineStr">
        <is>
          <t>NA</t>
        </is>
      </c>
      <c r="AB679" s="269" t="inlineStr">
        <is>
          <t>ANACREDIT</t>
        </is>
      </c>
      <c r="AC679" s="231" t="inlineStr">
        <is>
          <t>ND</t>
        </is>
      </c>
      <c r="AD679" s="257" t="inlineStr">
        <is>
          <t>N</t>
        </is>
      </c>
      <c r="AE679" s="971" t="inlineStr">
        <is>
          <t>EQU101
EQU201
ISS100
ISS200 et 300
TRE100
TRE2 à 4XX hors 203,205,206,207
TRE203, 205, 207
TRE206
TRE5XX
SIG
VAR*
INT</t>
        </is>
      </c>
      <c r="AF679" s="257" t="inlineStr">
        <is>
          <t>NA</t>
        </is>
      </c>
      <c r="AG679" s="258" t="inlineStr">
        <is>
          <t>NA</t>
        </is>
      </c>
      <c r="AH679" s="89" t="n"/>
      <c r="AI679" s="316" t="n"/>
      <c r="AJ679" s="317" t="n"/>
      <c r="AK679" s="257" t="n"/>
      <c r="AL679" s="258" t="n"/>
      <c r="AM679" s="318" t="n"/>
      <c r="AN679" s="317" t="n"/>
      <c r="AO679" s="257" t="n"/>
      <c r="AP679" s="258" t="n"/>
      <c r="AQ679" s="318" t="n"/>
      <c r="AR679" s="317" t="n"/>
      <c r="AS679" s="257" t="n"/>
      <c r="AT679" s="258" t="n"/>
      <c r="AU679" s="318" t="n"/>
      <c r="AV679" s="317" t="n"/>
      <c r="AW679" s="257" t="n"/>
      <c r="AX679" s="258" t="n"/>
      <c r="AY679" s="318" t="n"/>
      <c r="AZ679" s="317" t="n"/>
      <c r="BA679" s="257" t="n"/>
      <c r="BB679" s="258" t="n"/>
      <c r="BC679" s="316" t="n"/>
      <c r="BD679" s="317" t="n"/>
      <c r="BE679" s="257" t="n"/>
      <c r="BF679" s="258" t="n"/>
      <c r="BG679" s="89" t="n"/>
      <c r="BH6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79">
        <f>_xlfn.LET(r,ROW(),oc,INDEX($A:$A,r),cv,TRIM(INDEX($Y:$Y,r)&amp;""),IF(oc&lt;&gt;"P1","",IF(cv="45","V45 - novo, nao alimentado pelo spool atual","V44 - alimentado pelo spool atual")))</f>
        <v/>
      </c>
    </row>
    <row r="680" ht="54" customFormat="1" customHeight="1" s="91">
      <c r="A680" s="306" t="inlineStr">
        <is>
          <t>P1</t>
        </is>
      </c>
      <c r="B680" s="307" t="n">
        <v>445</v>
      </c>
      <c r="C680" s="269" t="inlineStr">
        <is>
          <t>02 - Caractéristiques d'identification fonctionnelles</t>
        </is>
      </c>
      <c r="D680" s="310" t="inlineStr">
        <is>
          <t>02 - Functional identification characteristics</t>
        </is>
      </c>
      <c r="E680" s="372" t="inlineStr">
        <is>
          <t>P1 31.3</t>
        </is>
      </c>
      <c r="F680" s="308" t="inlineStr">
        <is>
          <t>Référence unique de l'élément de contrat à l'origine</t>
        </is>
      </c>
      <c r="G680" s="309" t="inlineStr">
        <is>
          <t>Unique contract element reference at origination</t>
        </is>
      </c>
      <c r="H680" s="1493">
        <f>"RPAD( "&amp;SUBSTITUTE(SUBSTITUTE(E680," ","_"),".","_")&amp;","&amp;W680&amp;",' '); -- "&amp;E680</f>
        <v/>
      </c>
      <c r="I680" s="475" t="inlineStr">
        <is>
          <t>Permet de conserver la référence unique de l'élément de contrat à l'origine lorsque l'entité change de système de gestion local</t>
        </is>
      </c>
      <c r="J680" s="309" t="inlineStr">
        <is>
          <t>Keeps the unique contract element reference at origination when the entity changes the local management system</t>
        </is>
      </c>
      <c r="K680" s="370" t="inlineStr">
        <is>
          <t>ND</t>
        </is>
      </c>
      <c r="L680" s="371" t="inlineStr">
        <is>
          <t>ND</t>
        </is>
      </c>
      <c r="M680" s="1420" t="inlineStr">
        <is>
          <t>CdEDCOri</t>
        </is>
      </c>
      <c r="N680" s="231" t="inlineStr">
        <is>
          <t>Facultatif</t>
        </is>
      </c>
      <c r="O680" s="310" t="inlineStr">
        <is>
          <t>Optional</t>
        </is>
      </c>
      <c r="P680" s="269" t="inlineStr">
        <is>
          <t>NA</t>
        </is>
      </c>
      <c r="Q680" s="269" t="inlineStr">
        <is>
          <t>NA</t>
        </is>
      </c>
      <c r="R680" s="241" t="inlineStr">
        <is>
          <t>NA</t>
        </is>
      </c>
      <c r="S680" s="233" t="inlineStr">
        <is>
          <t>NA</t>
        </is>
      </c>
      <c r="T680" s="313" t="inlineStr">
        <is>
          <t>ALPHA</t>
        </is>
      </c>
      <c r="U680" s="237" t="inlineStr">
        <is>
          <t>NA</t>
        </is>
      </c>
      <c r="V680" s="238" t="inlineStr">
        <is>
          <t>NA</t>
        </is>
      </c>
      <c r="W680" s="257" t="n">
        <v>40</v>
      </c>
      <c r="X680" s="945" t="inlineStr">
        <is>
          <t>NA</t>
        </is>
      </c>
      <c r="Y680" s="237" t="n">
        <v>43</v>
      </c>
      <c r="Z680" s="237" t="inlineStr">
        <is>
          <t>NA</t>
        </is>
      </c>
      <c r="AA680" s="239" t="inlineStr">
        <is>
          <t>NA</t>
        </is>
      </c>
      <c r="AB680" s="269" t="inlineStr">
        <is>
          <t>ANACREDIT</t>
        </is>
      </c>
      <c r="AC680" s="231" t="inlineStr">
        <is>
          <t>ND</t>
        </is>
      </c>
      <c r="AD680" s="257" t="inlineStr">
        <is>
          <t>N</t>
        </is>
      </c>
      <c r="AE680" s="971" t="inlineStr">
        <is>
          <t>EQU101
EQU201
ISS100
ISS200 et 300
TRE100
TRE2 à 4XX hors 203,205,206,207
TRE203, 205, 207
TRE206
TRE5XX
SIG
VAR*
INT</t>
        </is>
      </c>
      <c r="AF680" s="257" t="inlineStr">
        <is>
          <t>NA</t>
        </is>
      </c>
      <c r="AG680" s="258" t="inlineStr">
        <is>
          <t>NA</t>
        </is>
      </c>
      <c r="AH680" s="89" t="n"/>
      <c r="AI680" s="316" t="n"/>
      <c r="AJ680" s="317" t="n"/>
      <c r="AK680" s="257" t="n"/>
      <c r="AL680" s="258" t="n"/>
      <c r="AM680" s="318" t="n"/>
      <c r="AN680" s="317" t="n"/>
      <c r="AO680" s="257" t="n"/>
      <c r="AP680" s="258" t="n"/>
      <c r="AQ680" s="318" t="n"/>
      <c r="AR680" s="317" t="n"/>
      <c r="AS680" s="257" t="n"/>
      <c r="AT680" s="258" t="n"/>
      <c r="AU680" s="318" t="n"/>
      <c r="AV680" s="317" t="n"/>
      <c r="AW680" s="257" t="n"/>
      <c r="AX680" s="258" t="n"/>
      <c r="AY680" s="318" t="n"/>
      <c r="AZ680" s="317" t="n"/>
      <c r="BA680" s="257" t="n"/>
      <c r="BB680" s="258" t="n"/>
      <c r="BC680" s="316" t="n"/>
      <c r="BD680" s="317" t="n"/>
      <c r="BE680" s="257" t="n"/>
      <c r="BF680" s="258" t="n"/>
      <c r="BG680" s="89" t="n"/>
      <c r="BH6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80">
        <f>_xlfn.LET(r,ROW(),oc,INDEX($A:$A,r),cv,TRIM(INDEX($Y:$Y,r)&amp;""),IF(oc&lt;&gt;"P1","",IF(cv="45","V45 - novo, nao alimentado pelo spool atual","V44 - alimentado pelo spool atual")))</f>
        <v/>
      </c>
    </row>
    <row r="681" ht="54" customFormat="1" customHeight="1" s="91">
      <c r="A681" s="306" t="inlineStr">
        <is>
          <t>P1</t>
        </is>
      </c>
      <c r="B681" s="307" t="n">
        <v>446</v>
      </c>
      <c r="C681" s="269" t="inlineStr">
        <is>
          <t>03 - Caractéristiques Générales</t>
        </is>
      </c>
      <c r="D681" s="310" t="inlineStr">
        <is>
          <t>03 - General characteristics</t>
        </is>
      </c>
      <c r="E681" s="372" t="inlineStr">
        <is>
          <t>P1 31.4</t>
        </is>
      </c>
      <c r="F681" s="676" t="inlineStr">
        <is>
          <t>Montant en euros de l'engagement à la date de signature du contrat</t>
        </is>
      </c>
      <c r="G681" s="309" t="inlineStr">
        <is>
          <t>Amount in euros of the commitment at the date of signature of the contract</t>
        </is>
      </c>
      <c r="H681" s="1493">
        <f>"RPAD( "&amp;SUBSTITUTE(SUBSTITUTE(E681," ","_"),".","_")&amp;","&amp;W681&amp;",' '); -- "&amp;E681</f>
        <v/>
      </c>
      <c r="I681" s="308" t="inlineStr">
        <is>
          <t>Montant de l'engagement contrevalorisé en euros à la date de signature du contrat (reste invariable sur la durée du contrat)</t>
        </is>
      </c>
      <c r="J681" s="309" t="inlineStr">
        <is>
          <t>Amount of the commitment revalued in euros on the date of signature of the contract (remains unchanged over the duration of the contract)</t>
        </is>
      </c>
      <c r="K681" s="370" t="inlineStr">
        <is>
          <t>ND</t>
        </is>
      </c>
      <c r="L681" s="371" t="inlineStr">
        <is>
          <t>ND</t>
        </is>
      </c>
      <c r="M681" s="1420" t="inlineStr">
        <is>
          <t>mtCtEuroOri</t>
        </is>
      </c>
      <c r="N681" s="257" t="inlineStr">
        <is>
          <t>Obligatoire sous conditions</t>
        </is>
      </c>
      <c r="O681" s="310" t="inlineStr">
        <is>
          <t>Mandatory under conditions</t>
        </is>
      </c>
      <c r="P681" s="269" t="inlineStr">
        <is>
          <t>NA</t>
        </is>
      </c>
      <c r="Q681" s="269" t="inlineStr">
        <is>
          <t>NA</t>
        </is>
      </c>
      <c r="R681" s="241" t="inlineStr">
        <is>
          <t>NA</t>
        </is>
      </c>
      <c r="S681" s="233" t="inlineStr">
        <is>
          <t>NA</t>
        </is>
      </c>
      <c r="T681" s="307" t="inlineStr">
        <is>
          <t>NUM</t>
        </is>
      </c>
      <c r="U681" s="237" t="inlineStr">
        <is>
          <t>19 dont signe et 2 décimales</t>
        </is>
      </c>
      <c r="V681" s="238" t="inlineStr">
        <is>
          <t>19 including sign and 2 decimals</t>
        </is>
      </c>
      <c r="W681" s="257" t="n">
        <v>19</v>
      </c>
      <c r="X681" s="945" t="inlineStr">
        <is>
          <t>NA</t>
        </is>
      </c>
      <c r="Y681" s="237" t="n">
        <v>43</v>
      </c>
      <c r="Z681" s="237" t="inlineStr">
        <is>
          <t>NA</t>
        </is>
      </c>
      <c r="AA681" s="283" t="inlineStr">
        <is>
          <t>NA</t>
        </is>
      </c>
      <c r="AB681" s="269" t="inlineStr">
        <is>
          <t>ANACREDIT</t>
        </is>
      </c>
      <c r="AC681" s="231" t="inlineStr">
        <is>
          <t>ND</t>
        </is>
      </c>
      <c r="AD681" s="257" t="inlineStr">
        <is>
          <t>N</t>
        </is>
      </c>
      <c r="AE681" s="512" t="inlineStr">
        <is>
          <t xml:space="preserve">TRE100
ISS200 et 300
TRE2 à 4XX hors 203,205,206,207
TRE5XX
SIG
VAR105 et 302
</t>
        </is>
      </c>
      <c r="AF681" s="257" t="inlineStr">
        <is>
          <t>NA</t>
        </is>
      </c>
      <c r="AG681" s="258" t="inlineStr">
        <is>
          <t>NA</t>
        </is>
      </c>
      <c r="AH681" s="89" t="n"/>
      <c r="AI681" s="353" t="inlineStr">
        <is>
          <t>La donnée est obligatoire si le type de risque [P1 2.0] = 'TRE100', 'TRE2xx' à 'TRE5xx', 'VAR105', 'VAR302', 'SIGxxx' hors (TRE203,TRE205, TRE206, TRE207) et si le montant du contrat à l'origine [P1 22.8] est renseigné et si l'indicateur"Eligibilité Outil Central ANACREDIT" [P1 27.3] = '2' et le motif exclusion à la déclaration ANACREDIT [P1 27.4] est non renseigné</t>
        </is>
      </c>
      <c r="AJ681" s="317" t="inlineStr">
        <is>
          <t>The data is mandatory if Risk type [P1 2.0] = 'TRE100', 'TRE2xx' to 'TRE5xx', 'VAR105', 'VAR302', 'SIGxxx' out (TRE203, TRE205, TRE206, TRE207) and if the original contract amount [P1 22.8] is filled in and the indicator "Eligibility ANACREDIT Central Tool" [P1 22.8] is filled in 1 27.3] = '2' and the reason exclusion to the ANACREDIT [P1 27.4] is not specified</t>
        </is>
      </c>
      <c r="AK681" s="269" t="n">
        <v>6</v>
      </c>
      <c r="AL681" s="345" t="inlineStr">
        <is>
          <t>TPS0906</t>
        </is>
      </c>
      <c r="AM681" s="318" t="n"/>
      <c r="AN681" s="317" t="n"/>
      <c r="AO681" s="257" t="n"/>
      <c r="AP681" s="258" t="n"/>
      <c r="AQ681" s="322" t="inlineStr">
        <is>
          <t>Si renseignée, la donnée doit être positive (supérieure ou égale à 0)</t>
        </is>
      </c>
      <c r="AR681" s="317" t="inlineStr">
        <is>
          <t xml:space="preserve">If filled, data must be positive (greater or equal to 0) </t>
        </is>
      </c>
      <c r="AS681" s="257" t="n">
        <v>7</v>
      </c>
      <c r="AT681" s="345" t="inlineStr">
        <is>
          <t>TVG0001</t>
        </is>
      </c>
      <c r="AU681" s="318" t="n"/>
      <c r="AV681" s="317" t="n"/>
      <c r="AW681" s="257" t="n"/>
      <c r="AX681" s="258" t="n"/>
      <c r="AY681" s="318" t="n"/>
      <c r="AZ681" s="317" t="n"/>
      <c r="BA681" s="257" t="n"/>
      <c r="BB681" s="258" t="n"/>
      <c r="BC681" s="316" t="n"/>
      <c r="BD681" s="317" t="n"/>
      <c r="BE681" s="257" t="n"/>
      <c r="BF681" s="258" t="n"/>
      <c r="BG681" s="89" t="n"/>
      <c r="BH6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81">
        <f>_xlfn.LET(r,ROW(),oc,INDEX($A:$A,r),cv,TRIM(INDEX($Y:$Y,r)&amp;""),IF(oc&lt;&gt;"P1","",IF(cv="45","V45 - novo, nao alimentado pelo spool atual","V44 - alimentado pelo spool atual")))</f>
        <v/>
      </c>
    </row>
    <row r="682" ht="54" customFormat="1" customHeight="1" s="91">
      <c r="A682" s="306" t="inlineStr">
        <is>
          <t>P1</t>
        </is>
      </c>
      <c r="B682" s="307" t="n">
        <v>447</v>
      </c>
      <c r="C682" s="269" t="inlineStr">
        <is>
          <t>03 - Caractéristiques Générales</t>
        </is>
      </c>
      <c r="D682" s="310" t="inlineStr">
        <is>
          <t>03 - General characteristics</t>
        </is>
      </c>
      <c r="E682" s="372" t="inlineStr">
        <is>
          <t>P1 31.5</t>
        </is>
      </c>
      <c r="F682" s="677" t="inlineStr">
        <is>
          <t>Indicateur responsabilité solidaire</t>
        </is>
      </c>
      <c r="G682" s="309" t="inlineStr">
        <is>
          <t>Joint liability indicator</t>
        </is>
      </c>
      <c r="H682" s="1493">
        <f>"RPAD( "&amp;SUBSTITUTE(SUBSTITUTE(E682," ","_"),".","_")&amp;","&amp;W682&amp;",' '); -- "&amp;E682</f>
        <v/>
      </c>
      <c r="I682" s="678" t="inlineStr">
        <is>
          <t>Indique si le contrat est en responsabilité commune et solidaire
Indique si le contrat est multi-débiteur</t>
        </is>
      </c>
      <c r="J682" s="309" t="inlineStr">
        <is>
          <t>Indicates whether the contract is in joint and several liability
Indicates if the contract is multi-debtor</t>
        </is>
      </c>
      <c r="K682" s="370" t="inlineStr">
        <is>
          <t>ND</t>
        </is>
      </c>
      <c r="L682" s="371" t="inlineStr">
        <is>
          <t>ND</t>
        </is>
      </c>
      <c r="M682" s="1420" t="inlineStr">
        <is>
          <t>indRespSoli</t>
        </is>
      </c>
      <c r="N682" s="257" t="inlineStr">
        <is>
          <t>Obligatoire sous conditions</t>
        </is>
      </c>
      <c r="O682" s="310" t="inlineStr">
        <is>
          <t>Mandatory under conditions</t>
        </is>
      </c>
      <c r="P682" s="269" t="inlineStr">
        <is>
          <t>LC.0350</t>
        </is>
      </c>
      <c r="Q682" s="269" t="inlineStr">
        <is>
          <t>TA Z8IRESOL</t>
        </is>
      </c>
      <c r="R682" s="241" t="inlineStr">
        <is>
          <t>NA</t>
        </is>
      </c>
      <c r="S682" s="233" t="inlineStr">
        <is>
          <t>NA</t>
        </is>
      </c>
      <c r="T682" s="307" t="inlineStr">
        <is>
          <t>ALPHA</t>
        </is>
      </c>
      <c r="U682" s="237" t="inlineStr">
        <is>
          <t>NA</t>
        </is>
      </c>
      <c r="V682" s="238" t="inlineStr">
        <is>
          <t>NA</t>
        </is>
      </c>
      <c r="W682" s="257" t="n">
        <v>1</v>
      </c>
      <c r="X682" s="945" t="inlineStr">
        <is>
          <t>NA</t>
        </is>
      </c>
      <c r="Y682" s="237" t="n">
        <v>43</v>
      </c>
      <c r="Z682" s="237" t="inlineStr">
        <is>
          <t>NA</t>
        </is>
      </c>
      <c r="AA682" s="270" t="inlineStr">
        <is>
          <t>NA</t>
        </is>
      </c>
      <c r="AB682" s="269" t="inlineStr">
        <is>
          <t>ANACREDIT</t>
        </is>
      </c>
      <c r="AC682" s="231" t="inlineStr">
        <is>
          <t>ND</t>
        </is>
      </c>
      <c r="AD682" s="257" t="inlineStr">
        <is>
          <t>N</t>
        </is>
      </c>
      <c r="AE682" s="679" t="inlineStr">
        <is>
          <t>TRE2 à 4XX hors 203,205,206,207
TRE5XX</t>
        </is>
      </c>
      <c r="AF682" s="257" t="inlineStr">
        <is>
          <t>NA</t>
        </is>
      </c>
      <c r="AG682" s="258" t="inlineStr">
        <is>
          <t>NA</t>
        </is>
      </c>
      <c r="AH682" s="89" t="n"/>
      <c r="AI682" s="680" t="inlineStr">
        <is>
          <t>La donnée est obligatoire si le type de risque [P1 2.0] = 'TRE2xx' à 'TRE5xx', hors (TRE203,TRE205, TRE206, TRE207)</t>
        </is>
      </c>
      <c r="AJ682" s="317" t="inlineStr">
        <is>
          <t>The data is mandatory if Risk type [P1 2.0] = 'TRE2xx' to 'TRE5xx', out (TRE203,TRE205,TRE206,TRE207)</t>
        </is>
      </c>
      <c r="AK682" s="257" t="n">
        <v>6</v>
      </c>
      <c r="AL682" s="463" t="inlineStr">
        <is>
          <t>TPS0907</t>
        </is>
      </c>
      <c r="AM682" s="452" t="inlineStr">
        <is>
          <t>Si elle est renseignée, la valeur doit être connue du Langage Commun associé</t>
        </is>
      </c>
      <c r="AN682" s="377" t="inlineStr">
        <is>
          <t>If specified, the value must be known to the associated Common Language</t>
        </is>
      </c>
      <c r="AO682" s="257" t="n">
        <v>7</v>
      </c>
      <c r="AP682" s="212" t="inlineStr">
        <is>
          <t>TIG0001</t>
        </is>
      </c>
      <c r="AQ682" s="318" t="n"/>
      <c r="AR682" s="317" t="n"/>
      <c r="AS682" s="257" t="n"/>
      <c r="AT682" s="258" t="n"/>
      <c r="AU682" s="318" t="n"/>
      <c r="AV682" s="317" t="n"/>
      <c r="AW682" s="257" t="n"/>
      <c r="AX682" s="258" t="n"/>
      <c r="AY682" s="318" t="n"/>
      <c r="AZ682" s="317" t="n"/>
      <c r="BA682" s="257" t="n"/>
      <c r="BB682" s="258" t="n"/>
      <c r="BC682" s="316" t="n"/>
      <c r="BD682" s="317" t="n"/>
      <c r="BE682" s="257" t="n"/>
      <c r="BF682" s="258" t="n"/>
      <c r="BG682" s="89" t="n"/>
      <c r="BH6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82">
        <f>_xlfn.LET(r,ROW(),oc,INDEX($A:$A,r),cv,TRIM(INDEX($Y:$Y,r)&amp;""),IF(oc&lt;&gt;"P1","",IF(cv="45","V45 - novo, nao alimentado pelo spool atual","V44 - alimentado pelo spool atual")))</f>
        <v/>
      </c>
    </row>
    <row r="683" ht="54" customFormat="1" customHeight="1" s="91">
      <c r="A683" s="306" t="inlineStr">
        <is>
          <t>P1</t>
        </is>
      </c>
      <c r="B683" s="307" t="n">
        <v>448</v>
      </c>
      <c r="C683" s="269" t="inlineStr">
        <is>
          <t>03 - Caractéristiques Générales</t>
        </is>
      </c>
      <c r="D683" s="310" t="inlineStr">
        <is>
          <t>03 - General characteristics</t>
        </is>
      </c>
      <c r="E683" s="372" t="inlineStr">
        <is>
          <t>P1 31.6</t>
        </is>
      </c>
      <c r="F683" s="308" t="inlineStr">
        <is>
          <t>Indicateur dossier infrastructure éligible au facteur de réduction 75%</t>
        </is>
      </c>
      <c r="G683" s="309" t="inlineStr">
        <is>
          <t>Indicator Infrastructure eligible for the reduction factor 75%</t>
        </is>
      </c>
      <c r="H683" s="1493">
        <f>"RPAD( "&amp;SUBSTITUTE(SUBSTITUTE(E683," ","_"),".","_")&amp;","&amp;W683&amp;",' '); -- "&amp;E683</f>
        <v/>
      </c>
      <c r="I683" s="308" t="inlineStr">
        <is>
          <t>Indicateur dossier infrastructure éligible au facteur de réduction 75%</t>
        </is>
      </c>
      <c r="J683" s="309" t="inlineStr">
        <is>
          <t>Indicator Infrastructure eligible for the reduction factor 75%</t>
        </is>
      </c>
      <c r="K683" s="370" t="inlineStr">
        <is>
          <t>ND</t>
        </is>
      </c>
      <c r="L683" s="371" t="inlineStr">
        <is>
          <t>ND</t>
        </is>
      </c>
      <c r="M683" s="1420" t="inlineStr">
        <is>
          <t>IndInfraFactReduc</t>
        </is>
      </c>
      <c r="N683" s="257" t="inlineStr">
        <is>
          <t>Obligatoire sous conditions</t>
        </is>
      </c>
      <c r="O683" s="310" t="inlineStr">
        <is>
          <t>Mandatory under conditions</t>
        </is>
      </c>
      <c r="P683" s="269" t="inlineStr">
        <is>
          <t>LC.0353</t>
        </is>
      </c>
      <c r="Q683" s="269" t="inlineStr">
        <is>
          <t>TA Z8IDIEFR</t>
        </is>
      </c>
      <c r="R683" s="241" t="inlineStr">
        <is>
          <t>NA</t>
        </is>
      </c>
      <c r="S683" s="233" t="inlineStr">
        <is>
          <t>NA</t>
        </is>
      </c>
      <c r="T683" s="307" t="inlineStr">
        <is>
          <t>ALPHA</t>
        </is>
      </c>
      <c r="U683" s="237" t="inlineStr">
        <is>
          <t>NA</t>
        </is>
      </c>
      <c r="V683" s="238" t="inlineStr">
        <is>
          <t>NA</t>
        </is>
      </c>
      <c r="W683" s="257" t="n">
        <v>1</v>
      </c>
      <c r="X683" s="945" t="inlineStr">
        <is>
          <t>NA</t>
        </is>
      </c>
      <c r="Y683" s="237" t="n">
        <v>43</v>
      </c>
      <c r="Z683" s="237" t="inlineStr">
        <is>
          <t>NA</t>
        </is>
      </c>
      <c r="AA683" s="270" t="inlineStr">
        <is>
          <t>NA</t>
        </is>
      </c>
      <c r="AB683" s="1287" t="inlineStr">
        <is>
          <t>USAGE ZP</t>
        </is>
      </c>
      <c r="AC683" s="231" t="inlineStr">
        <is>
          <t>ND</t>
        </is>
      </c>
      <c r="AD683" s="257" t="inlineStr">
        <is>
          <t>N</t>
        </is>
      </c>
      <c r="AE683" s="655" t="inlineStr">
        <is>
          <t>TRE2 à 4XX hors 203,205,206,207
VARxxx</t>
        </is>
      </c>
      <c r="AF683" s="257" t="inlineStr">
        <is>
          <t>NA</t>
        </is>
      </c>
      <c r="AG683" s="258" t="inlineStr">
        <is>
          <t>NA</t>
        </is>
      </c>
      <c r="AH683" s="89" t="n"/>
      <c r="AI683" s="316" t="inlineStr">
        <is>
          <t>La donnée est obligatoire si le type de risque [P1 2.0] = 'TRE2xx' à 'TRE4xx' hors (TRE201, TRE203, TRE205, TRE206, TRE207)</t>
        </is>
      </c>
      <c r="AJ683" s="317" t="inlineStr">
        <is>
          <t>The data is mandatory if Risk type [P1 2.0] = 'TRE2xx' to 'TRE4xx' out (TRE201, TRE203, TRE205, TRE206, TRE207)</t>
        </is>
      </c>
      <c r="AK683" s="257" t="n">
        <v>6</v>
      </c>
      <c r="AL683" s="345" t="inlineStr">
        <is>
          <t>TPS0908</t>
        </is>
      </c>
      <c r="AM683" s="452" t="inlineStr">
        <is>
          <t>Si elle est renseignée, la valeur doit être connue du Langage Commun associé</t>
        </is>
      </c>
      <c r="AN683" s="377" t="inlineStr">
        <is>
          <t>If specified, the value must be known to the associated Common Language</t>
        </is>
      </c>
      <c r="AO683" s="257" t="n">
        <v>7</v>
      </c>
      <c r="AP683" s="212" t="inlineStr">
        <is>
          <t>TIG0001</t>
        </is>
      </c>
      <c r="AQ683" s="318" t="n"/>
      <c r="AR683" s="317" t="n"/>
      <c r="AS683" s="257" t="n"/>
      <c r="AT683" s="258" t="n"/>
      <c r="AU683" s="318" t="n"/>
      <c r="AV683" s="317" t="n"/>
      <c r="AW683" s="257" t="n"/>
      <c r="AX683" s="258" t="n"/>
      <c r="AY683" s="318" t="n"/>
      <c r="AZ683" s="317" t="n"/>
      <c r="BA683" s="257" t="n"/>
      <c r="BB683" s="258" t="n"/>
      <c r="BC683" s="316" t="n"/>
      <c r="BD683" s="317" t="n"/>
      <c r="BE683" s="257" t="n"/>
      <c r="BF683" s="258" t="n"/>
      <c r="BG683" s="89" t="n"/>
      <c r="BH6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83">
        <f>_xlfn.LET(r,ROW(),oc,INDEX($A:$A,r),cv,TRIM(INDEX($Y:$Y,r)&amp;""),IF(oc&lt;&gt;"P1","",IF(cv="45","V45 - novo, nao alimentado pelo spool atual","V44 - alimentado pelo spool atual")))</f>
        <v/>
      </c>
    </row>
    <row r="684" ht="54" customFormat="1" customHeight="1" s="91">
      <c r="A684" s="306" t="inlineStr">
        <is>
          <t>P1</t>
        </is>
      </c>
      <c r="B684" s="307" t="n">
        <v>449</v>
      </c>
      <c r="C684" s="269" t="inlineStr">
        <is>
          <t>03 - Caractéristiques Générales</t>
        </is>
      </c>
      <c r="D684" s="310" t="inlineStr">
        <is>
          <t>03 - General characteristics</t>
        </is>
      </c>
      <c r="E684" s="372" t="inlineStr">
        <is>
          <t>P1 31.7</t>
        </is>
      </c>
      <c r="F684" s="514" t="inlineStr">
        <is>
          <t>Rang dans la hiérarchie des créanciers</t>
        </is>
      </c>
      <c r="G684" s="309" t="inlineStr">
        <is>
          <t>Insolvency Ranking</t>
        </is>
      </c>
      <c r="H684" s="1493">
        <f>"RPAD( "&amp;SUBSTITUTE(SUBSTITUTE(E684," ","_"),".","_")&amp;","&amp;W684&amp;",' '); -- "&amp;E684</f>
        <v/>
      </c>
      <c r="I684" s="241" t="inlineStr">
        <is>
          <t>Indique la hiérarchie des créanciers par pays (application législation locale)</t>
        </is>
      </c>
      <c r="J684" s="309" t="inlineStr">
        <is>
          <t>Indicates the hierarchy of creditors by country (application of local legislation)</t>
        </is>
      </c>
      <c r="K684" s="370" t="inlineStr">
        <is>
          <t>ND</t>
        </is>
      </c>
      <c r="L684" s="371" t="inlineStr">
        <is>
          <t>ND</t>
        </is>
      </c>
      <c r="M684" s="1420" t="inlineStr">
        <is>
          <t>cdRgCreanciers</t>
        </is>
      </c>
      <c r="N684" s="257" t="inlineStr">
        <is>
          <t>Obligatoire sous conditions</t>
        </is>
      </c>
      <c r="O684" s="310" t="inlineStr">
        <is>
          <t>Mandatory under conditions</t>
        </is>
      </c>
      <c r="P684" s="269" t="inlineStr">
        <is>
          <t>LC.0306</t>
        </is>
      </c>
      <c r="Q684" s="269" t="inlineStr">
        <is>
          <t xml:space="preserve">TA Z8INSORG </t>
        </is>
      </c>
      <c r="R684" s="241" t="inlineStr">
        <is>
          <t>NA</t>
        </is>
      </c>
      <c r="S684" s="233" t="inlineStr">
        <is>
          <t>NA</t>
        </is>
      </c>
      <c r="T684" s="313" t="inlineStr">
        <is>
          <t>ALPHA</t>
        </is>
      </c>
      <c r="U684" s="237" t="inlineStr">
        <is>
          <t>NA</t>
        </is>
      </c>
      <c r="V684" s="238" t="inlineStr">
        <is>
          <t>NA</t>
        </is>
      </c>
      <c r="W684" s="257" t="n">
        <v>6</v>
      </c>
      <c r="X684" s="945" t="inlineStr">
        <is>
          <t>NA</t>
        </is>
      </c>
      <c r="Y684" s="237" t="n">
        <v>43</v>
      </c>
      <c r="Z684" s="237" t="inlineStr">
        <is>
          <t>NA</t>
        </is>
      </c>
      <c r="AA684" s="239" t="inlineStr">
        <is>
          <t>NA</t>
        </is>
      </c>
      <c r="AB684" s="269" t="inlineStr">
        <is>
          <t>MREL</t>
        </is>
      </c>
      <c r="AC684" s="231" t="inlineStr">
        <is>
          <t>ND</t>
        </is>
      </c>
      <c r="AD684" s="257" t="inlineStr">
        <is>
          <t>N</t>
        </is>
      </c>
      <c r="AE684" s="971" t="inlineStr">
        <is>
          <t xml:space="preserve">SIG
VAR*
</t>
        </is>
      </c>
      <c r="AF684" s="257" t="inlineStr">
        <is>
          <t>NA</t>
        </is>
      </c>
      <c r="AG684" s="258" t="inlineStr">
        <is>
          <t>NA</t>
        </is>
      </c>
      <c r="AH684" s="89" t="n"/>
      <c r="AI684" s="316" t="inlineStr">
        <is>
          <t>La donnée est obligatoire si le type de risque [P1 2.0] = 'SIG2xx', 'VARxxx'</t>
        </is>
      </c>
      <c r="AJ684" s="317" t="inlineStr">
        <is>
          <t>The data is mandatory if risk type [P1 2.0] = 'SIG2xx', 'VARxxx'</t>
        </is>
      </c>
      <c r="AK684" s="257" t="n">
        <v>6</v>
      </c>
      <c r="AL684" s="335" t="inlineStr">
        <is>
          <t>TPS0909</t>
        </is>
      </c>
      <c r="AM684" s="452" t="inlineStr">
        <is>
          <t>Si elle est renseignée, la valeur doit être connue du Langage Commun associé</t>
        </is>
      </c>
      <c r="AN684" s="377" t="inlineStr">
        <is>
          <t>If specified, the value must be known to the associated Common Language</t>
        </is>
      </c>
      <c r="AO684" s="257" t="n">
        <v>7</v>
      </c>
      <c r="AP684" s="212" t="inlineStr">
        <is>
          <t>TIG0001</t>
        </is>
      </c>
      <c r="AQ684" s="681" t="n"/>
      <c r="AR684" s="317" t="n"/>
      <c r="AS684" s="257" t="n"/>
      <c r="AT684" s="258" t="n"/>
      <c r="AU684" s="682" t="n"/>
      <c r="AV684" s="317" t="n"/>
      <c r="AW684" s="257" t="n"/>
      <c r="AX684" s="258" t="n"/>
      <c r="AY684" s="318" t="n"/>
      <c r="AZ684" s="317" t="n"/>
      <c r="BA684" s="257" t="n"/>
      <c r="BB684" s="258" t="n"/>
      <c r="BC684" s="316" t="n"/>
      <c r="BD684" s="317" t="n"/>
      <c r="BE684" s="257" t="n"/>
      <c r="BF684" s="258" t="n"/>
      <c r="BG684" s="89" t="n"/>
      <c r="BH6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84">
        <f>_xlfn.LET(r,ROW(),oc,INDEX($A:$A,r),cv,TRIM(INDEX($Y:$Y,r)&amp;""),IF(oc&lt;&gt;"P1","",IF(cv="45","V45 - novo, nao alimentado pelo spool atual","V44 - alimentado pelo spool atual")))</f>
        <v/>
      </c>
    </row>
    <row r="685" ht="54" customFormat="1" customHeight="1" s="91">
      <c r="A685" s="306" t="inlineStr">
        <is>
          <t>P1</t>
        </is>
      </c>
      <c r="B685" s="307" t="n">
        <v>450</v>
      </c>
      <c r="C685" s="269" t="inlineStr">
        <is>
          <t>03 - Caractéristiques Générales</t>
        </is>
      </c>
      <c r="D685" s="310" t="inlineStr">
        <is>
          <t>03 - General characteristics</t>
        </is>
      </c>
      <c r="E685" s="372" t="inlineStr">
        <is>
          <t>P1 31.8</t>
        </is>
      </c>
      <c r="F685" s="308" t="inlineStr">
        <is>
          <t>Droit d'un pays tiers : reconnaissance de la clause de bail-in</t>
        </is>
      </c>
      <c r="G685" s="309" t="inlineStr">
        <is>
          <t>Third Party, bail-in contractual recognition</t>
        </is>
      </c>
      <c r="H685" s="1493">
        <f>"RPAD( "&amp;SUBSTITUTE(SUBSTITUTE(E685," ","_"),".","_")&amp;","&amp;W685&amp;",' '); -- "&amp;E685</f>
        <v/>
      </c>
      <c r="I685" s="241" t="inlineStr">
        <is>
          <t>Reconnaissance de la clause contractuelle de bail-in (renflouement interne) dans la configuration où le contrat de l'instrument est régi dans le droit d'un pays tiers</t>
        </is>
      </c>
      <c r="J685" s="233" t="inlineStr">
        <is>
          <t>Recognition of the Bail-in contractual clause in the case where the contract of the instrument is governed by the law of a third country</t>
        </is>
      </c>
      <c r="K685" s="269" t="inlineStr">
        <is>
          <t>ND</t>
        </is>
      </c>
      <c r="L685" s="310" t="inlineStr">
        <is>
          <t>ND</t>
        </is>
      </c>
      <c r="M685" s="1420" t="inlineStr">
        <is>
          <t>tpDroitPaysTiers</t>
        </is>
      </c>
      <c r="N685" s="257" t="inlineStr">
        <is>
          <t>Obligatoire sous conditions</t>
        </is>
      </c>
      <c r="O685" s="310" t="inlineStr">
        <is>
          <t>Mandatory under conditions</t>
        </is>
      </c>
      <c r="P685" s="269" t="inlineStr">
        <is>
          <t>LC.0309</t>
        </is>
      </c>
      <c r="Q685" s="269" t="inlineStr">
        <is>
          <t>TA Z8BAILIN</t>
        </is>
      </c>
      <c r="R685" s="241" t="inlineStr">
        <is>
          <t>NA</t>
        </is>
      </c>
      <c r="S685" s="233" t="inlineStr">
        <is>
          <t>NA</t>
        </is>
      </c>
      <c r="T685" s="313" t="inlineStr">
        <is>
          <t>ALPHA</t>
        </is>
      </c>
      <c r="U685" s="237" t="inlineStr">
        <is>
          <t>NA</t>
        </is>
      </c>
      <c r="V685" s="238" t="inlineStr">
        <is>
          <t>NA</t>
        </is>
      </c>
      <c r="W685" s="257" t="n">
        <v>1</v>
      </c>
      <c r="X685" s="945" t="inlineStr">
        <is>
          <t>NA</t>
        </is>
      </c>
      <c r="Y685" s="237" t="n">
        <v>43</v>
      </c>
      <c r="Z685" s="237" t="inlineStr">
        <is>
          <t>NA</t>
        </is>
      </c>
      <c r="AA685" s="239" t="inlineStr">
        <is>
          <t>NA</t>
        </is>
      </c>
      <c r="AB685" s="269" t="inlineStr">
        <is>
          <t>MREL</t>
        </is>
      </c>
      <c r="AC685" s="231" t="inlineStr">
        <is>
          <t>ND</t>
        </is>
      </c>
      <c r="AD685" s="257" t="inlineStr">
        <is>
          <t>N</t>
        </is>
      </c>
      <c r="AE685" s="971" t="inlineStr">
        <is>
          <t xml:space="preserve">SIG
VAR*
</t>
        </is>
      </c>
      <c r="AF685" s="257" t="inlineStr">
        <is>
          <t>NA</t>
        </is>
      </c>
      <c r="AG685" s="258" t="inlineStr">
        <is>
          <t>NA</t>
        </is>
      </c>
      <c r="AH685" s="89" t="n"/>
      <c r="AI685" s="316" t="inlineStr">
        <is>
          <t>La donnée est obligatoire si le type de risque [P1 2.0] = 'SIG2xx', 'VARxxx'</t>
        </is>
      </c>
      <c r="AJ685" s="317" t="inlineStr">
        <is>
          <t>The data is mandatory if risk type [P1 2.0] = 'SIG2xx', 'VARxxx'</t>
        </is>
      </c>
      <c r="AK685" s="257" t="n">
        <v>6</v>
      </c>
      <c r="AL685" s="335" t="inlineStr">
        <is>
          <t>TPS0909</t>
        </is>
      </c>
      <c r="AM685" s="452" t="inlineStr">
        <is>
          <t>Si elle est renseignée, la valeur doit être connue du Langage Commun associé</t>
        </is>
      </c>
      <c r="AN685" s="377" t="inlineStr">
        <is>
          <t>If specified, the value must be known to the associated Common Language</t>
        </is>
      </c>
      <c r="AO685" s="257" t="n">
        <v>7</v>
      </c>
      <c r="AP685" s="212" t="inlineStr">
        <is>
          <t>TIG0001</t>
        </is>
      </c>
      <c r="AQ685" s="318" t="n"/>
      <c r="AR685" s="317" t="n"/>
      <c r="AS685" s="257" t="n"/>
      <c r="AT685" s="258" t="n"/>
      <c r="AU685" s="318" t="inlineStr">
        <is>
          <t>Si renseignée et si la donnée Pays de juridiction du contrat [P1 22.66] est un pays HORS de l'UE (LC.0004 - TA 0990 H8COUNTR - liste des pays dont la zone géographique n'est pas 'XGE001' ou 'XGE002'), alors la donnée 'Droit d'un pays tiers : reconnaissance de la clause de bail-in' [P1 31.8] = '1' ou '2'
Sinon (Pays de juridiction du contrat [P1 22.66] est un pays de l'UE), alors la donnée 'Droit d'un pays tiers : reconnaissance de la clause de bail-in' [P1 31.8] = '3'</t>
        </is>
      </c>
      <c r="AV685" s="317" t="inlineStr">
        <is>
          <t>If filled and if the data Country of contract jurisdiction [P1 22.66] is a country OUTSIDE the EU (LC.0004 - TA 0990 H8COUNTR - list of countries whose geographical area is not 'XGE001' or 'XGE002'), then the data 'Third Party, bail-in contractual recognition' [P1 31.8] = '1' or '2'
Otherwise (Country of contract jurisdiction [P1 22.66] is an EU country), then the data 'Third Party, bail-in contractual recognition' [P1 31.8] = '3'</t>
        </is>
      </c>
      <c r="AW685" s="257" t="n">
        <v>6</v>
      </c>
      <c r="AX685" s="345" t="inlineStr">
        <is>
          <t>TCS0738</t>
        </is>
      </c>
      <c r="AY685" s="318" t="n"/>
      <c r="AZ685" s="317" t="n"/>
      <c r="BA685" s="257" t="n"/>
      <c r="BB685" s="258" t="n"/>
      <c r="BC685" s="316" t="n"/>
      <c r="BD685" s="317" t="n"/>
      <c r="BE685" s="257" t="n"/>
      <c r="BF685" s="258" t="n"/>
      <c r="BG685" s="89" t="n"/>
      <c r="BH6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85">
        <f>_xlfn.LET(r,ROW(),oc,INDEX($A:$A,r),cv,TRIM(INDEX($Y:$Y,r)&amp;""),IF(oc&lt;&gt;"P1","",IF(cv="45","V45 - novo, nao alimentado pelo spool atual","V44 - alimentado pelo spool atual")))</f>
        <v/>
      </c>
    </row>
    <row r="686" ht="54" customFormat="1" customHeight="1" s="91">
      <c r="A686" s="306" t="inlineStr">
        <is>
          <t>P1</t>
        </is>
      </c>
      <c r="B686" s="307" t="n">
        <v>451</v>
      </c>
      <c r="C686" s="269" t="inlineStr">
        <is>
          <t>27 - Caractéristiques extra-financière</t>
        </is>
      </c>
      <c r="D686" s="310" t="inlineStr">
        <is>
          <t>27 - Extra-financial caracteristics</t>
        </is>
      </c>
      <c r="E686" s="307" t="inlineStr">
        <is>
          <t>P1 31.9</t>
        </is>
      </c>
      <c r="F686" s="683" t="inlineStr">
        <is>
          <t>Lieu d'investissement du bien principal financé : code postal</t>
        </is>
      </c>
      <c r="G686" s="309" t="inlineStr">
        <is>
          <t>Investment location of the principal asset financed: postcode</t>
        </is>
      </c>
      <c r="H686" s="1493">
        <f>"RPAD( "&amp;SUBSTITUTE(SUBSTITUTE(E686," ","_"),".","_")&amp;","&amp;W686&amp;",' '); -- "&amp;E686</f>
        <v/>
      </c>
      <c r="I686" s="684" t="inlineStr">
        <is>
          <t>Lieu d'investissement du bien financé : code postal</t>
        </is>
      </c>
      <c r="J686" s="309" t="inlineStr">
        <is>
          <t>Investment location of the financed asset: postcode</t>
        </is>
      </c>
      <c r="K686" s="370" t="inlineStr">
        <is>
          <t>ND</t>
        </is>
      </c>
      <c r="L686" s="371" t="inlineStr">
        <is>
          <t>ND</t>
        </is>
      </c>
      <c r="M686" s="1420" t="inlineStr">
        <is>
          <t>cdCPBienF</t>
        </is>
      </c>
      <c r="N686" s="257" t="inlineStr">
        <is>
          <t>Obligatoire sous conditions</t>
        </is>
      </c>
      <c r="O686" s="310" t="inlineStr">
        <is>
          <t>Mandatory under conditions</t>
        </is>
      </c>
      <c r="P686" s="269" t="inlineStr">
        <is>
          <t>LC.0369</t>
        </is>
      </c>
      <c r="Q686" s="269" t="inlineStr">
        <is>
          <t>TA COMU0001 à COMU0098</t>
        </is>
      </c>
      <c r="R686" s="241" t="inlineStr">
        <is>
          <t>NA</t>
        </is>
      </c>
      <c r="S686" s="233" t="inlineStr">
        <is>
          <t>NA</t>
        </is>
      </c>
      <c r="T686" s="313" t="inlineStr">
        <is>
          <t>ALPHA</t>
        </is>
      </c>
      <c r="U686" s="237" t="inlineStr">
        <is>
          <t>NA</t>
        </is>
      </c>
      <c r="V686" s="238" t="inlineStr">
        <is>
          <t>NA</t>
        </is>
      </c>
      <c r="W686" s="257" t="n">
        <v>15</v>
      </c>
      <c r="X686" s="945" t="inlineStr">
        <is>
          <t>NA</t>
        </is>
      </c>
      <c r="Y686" s="237" t="n">
        <v>43</v>
      </c>
      <c r="Z686" s="237" t="inlineStr">
        <is>
          <t>NA</t>
        </is>
      </c>
      <c r="AA686" s="270" t="inlineStr">
        <is>
          <t>NA</t>
        </is>
      </c>
      <c r="AB686" s="269" t="inlineStr">
        <is>
          <t>ACTIF VERT, ESG PILIER 3, NZBA, OMP, RISQUE PHYSIQUE</t>
        </is>
      </c>
      <c r="AC686" s="231" t="inlineStr">
        <is>
          <t>ND</t>
        </is>
      </c>
      <c r="AD686" s="257" t="inlineStr">
        <is>
          <t>N</t>
        </is>
      </c>
      <c r="AE686" s="257" t="inlineStr">
        <is>
          <t xml:space="preserve">TRE2 à 4XX hors 203,205,206,207
TRE5XX
</t>
        </is>
      </c>
      <c r="AF686" s="257" t="inlineStr">
        <is>
          <t>NA</t>
        </is>
      </c>
      <c r="AG686" s="258" t="inlineStr">
        <is>
          <t>NA</t>
        </is>
      </c>
      <c r="AH686" s="89" t="n"/>
      <c r="AI686" s="685" t="inlineStr">
        <is>
          <t>La donnée est obligatoire si le type de risque [P1 2.0] = 'TRE2xx' à 'TRE5xx' hors (TRE201, TRE203, TRE205, TRE206, TRE207) et si la donnée usage du bien immobilier financé [P1 8.13] est renseignée et différente de '0' et si le Lieu d'investissement du bien financé : Code pays [P1 31.10] = 'FR'</t>
        </is>
      </c>
      <c r="AJ686" s="317" t="inlineStr">
        <is>
          <t>The data is mandatory if Risk type [P1 2.0] = 'TRE2xx' to 'TRE5xx', out (TRE201, TRE203, TRE205, TRE206, TRE207) and the use of real estate data [P1 8.13] is filled in and different from '0' and if the Investment location of the financed asset: Country code [P1 31.10]= 'FR'</t>
        </is>
      </c>
      <c r="AK686" s="257" t="n">
        <v>7</v>
      </c>
      <c r="AL686" s="458" t="inlineStr">
        <is>
          <t>TPS0910</t>
        </is>
      </c>
      <c r="AM686" s="686" t="inlineStr">
        <is>
          <t>Si Lieu d'investissement du bien financé : Code pays [P1 31.10] = 'FR', alors la valeur renseignée doit être connue du Langage Commun (colonne RQCDPOST)</t>
        </is>
      </c>
      <c r="AN686" s="377" t="inlineStr">
        <is>
          <t>If Investment location of the financed asset: Country code [P1 31.10]= 'FR', then the value filled must be known to the Common Language (column RQCDPOST)</t>
        </is>
      </c>
      <c r="AO686" s="257" t="n">
        <v>7</v>
      </c>
      <c r="AP686" s="503" t="inlineStr">
        <is>
          <t>TI0121</t>
        </is>
      </c>
      <c r="AQ686" s="318" t="n"/>
      <c r="AR686" s="317" t="n"/>
      <c r="AS686" s="257" t="n"/>
      <c r="AT686" s="258" t="n"/>
      <c r="AU686" s="318" t="n"/>
      <c r="AV686" s="317" t="n"/>
      <c r="AW686" s="257" t="n"/>
      <c r="AX686" s="258" t="n"/>
      <c r="AY686" s="318" t="n"/>
      <c r="AZ686" s="317" t="n"/>
      <c r="BA686" s="257" t="n"/>
      <c r="BB686" s="258" t="n"/>
      <c r="BC686" s="316" t="n"/>
      <c r="BD686" s="317" t="n"/>
      <c r="BE686" s="257" t="n"/>
      <c r="BF686" s="258" t="n"/>
      <c r="BG686" s="89" t="n"/>
      <c r="BH6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86">
        <f>_xlfn.LET(r,ROW(),oc,INDEX($A:$A,r),cv,TRIM(INDEX($Y:$Y,r)&amp;""),IF(oc&lt;&gt;"P1","",IF(cv="45","V45 - novo, nao alimentado pelo spool atual","V44 - alimentado pelo spool atual")))</f>
        <v/>
      </c>
    </row>
    <row r="687" ht="54" customFormat="1" customHeight="1" s="91">
      <c r="A687" s="306" t="inlineStr">
        <is>
          <t>P1</t>
        </is>
      </c>
      <c r="B687" s="307" t="n">
        <v>452</v>
      </c>
      <c r="C687" s="269" t="inlineStr">
        <is>
          <t>27 - Caractéristiques extra-financière</t>
        </is>
      </c>
      <c r="D687" s="310" t="inlineStr">
        <is>
          <t>27 - Extra-financial caracteristics</t>
        </is>
      </c>
      <c r="E687" s="307" t="inlineStr">
        <is>
          <t>P1 31.10</t>
        </is>
      </c>
      <c r="F687" s="683" t="inlineStr">
        <is>
          <t>Lieu d'investissement du bien principal financé : Code pays</t>
        </is>
      </c>
      <c r="G687" s="309" t="inlineStr">
        <is>
          <t>Investment location of the principal asset financed: Country code</t>
        </is>
      </c>
      <c r="H687" s="1493">
        <f>"RPAD( "&amp;SUBSTITUTE(SUBSTITUTE(E687," ","_"),".","_")&amp;","&amp;W687&amp;",' '); -- "&amp;E687</f>
        <v/>
      </c>
      <c r="I687" s="308" t="inlineStr">
        <is>
          <t>Lieu d'investissement du bien financé : Code pays</t>
        </is>
      </c>
      <c r="J687" s="309" t="inlineStr">
        <is>
          <t>Investment location of the financed asset: Country code</t>
        </is>
      </c>
      <c r="K687" s="370" t="inlineStr">
        <is>
          <t>ND</t>
        </is>
      </c>
      <c r="L687" s="371" t="inlineStr">
        <is>
          <t>ND</t>
        </is>
      </c>
      <c r="M687" s="1420" t="inlineStr">
        <is>
          <t>cdPayBienF</t>
        </is>
      </c>
      <c r="N687" s="257" t="inlineStr">
        <is>
          <t>Obligatoire sous conditions</t>
        </is>
      </c>
      <c r="O687" s="310" t="inlineStr">
        <is>
          <t>Mandatory under conditions</t>
        </is>
      </c>
      <c r="P687" s="269" t="inlineStr">
        <is>
          <t>LC.0004
LC.0273</t>
        </is>
      </c>
      <c r="Q687" s="269" t="inlineStr">
        <is>
          <t>TA NM252 (pour la partie ISO 3166)
TA NM258 (organisation supra nationales)</t>
        </is>
      </c>
      <c r="R687" s="241" t="inlineStr">
        <is>
          <t>NA</t>
        </is>
      </c>
      <c r="S687" s="233" t="inlineStr">
        <is>
          <t>NA</t>
        </is>
      </c>
      <c r="T687" s="313" t="inlineStr">
        <is>
          <t>ALPHA</t>
        </is>
      </c>
      <c r="U687" s="237" t="inlineStr">
        <is>
          <t>NA</t>
        </is>
      </c>
      <c r="V687" s="238" t="inlineStr">
        <is>
          <t>NA</t>
        </is>
      </c>
      <c r="W687" s="257" t="n">
        <v>2</v>
      </c>
      <c r="X687" s="945" t="inlineStr">
        <is>
          <t>NA</t>
        </is>
      </c>
      <c r="Y687" s="237" t="n">
        <v>43</v>
      </c>
      <c r="Z687" s="237" t="inlineStr">
        <is>
          <t>NA</t>
        </is>
      </c>
      <c r="AA687" s="270" t="inlineStr">
        <is>
          <t>NA</t>
        </is>
      </c>
      <c r="AB687" s="269" t="inlineStr">
        <is>
          <t>ASTRE, ESG PILIER 3, NZBA, OMP, RISQUE PHYSIQUE</t>
        </is>
      </c>
      <c r="AC687" s="231" t="inlineStr">
        <is>
          <t>ND</t>
        </is>
      </c>
      <c r="AD687" s="257" t="inlineStr">
        <is>
          <t>N</t>
        </is>
      </c>
      <c r="AE687" s="257" t="inlineStr">
        <is>
          <t xml:space="preserve">TRE2 à 4XX hors 203,205,206,207
TRE5XX
</t>
        </is>
      </c>
      <c r="AF687" s="257" t="inlineStr">
        <is>
          <t>NA</t>
        </is>
      </c>
      <c r="AG687" s="258" t="inlineStr">
        <is>
          <t>NA</t>
        </is>
      </c>
      <c r="AH687" s="89" t="n"/>
      <c r="AI687" s="316" t="inlineStr">
        <is>
          <t>La donnée est obligatoire si le type de risque [P1 2.0] = 'TRE2xx' à 'TRE5xx', hors (TRE201,TRE203,TRE205, TRE206, TRE207) ET si la donnée usage du bien immobilier financé [P1 8.13] est renseignée et différente de '0'</t>
        </is>
      </c>
      <c r="AJ687" s="317" t="inlineStr">
        <is>
          <t>The data is mandatory if Risk type [P1 2.0] = 'TRE2xx' to 'TRE5xx', out (TRE201, TRE203, TRE205, TRE206, TRE207) AND the use of real estate data [P1 8.13] is filled and different from '0'</t>
        </is>
      </c>
      <c r="AK687" s="257" t="n">
        <v>7</v>
      </c>
      <c r="AL687" s="455" t="inlineStr">
        <is>
          <t>TPS0911</t>
        </is>
      </c>
      <c r="AM687" s="452" t="inlineStr">
        <is>
          <t>Si elle est renseignée, la valeur doit être connue du Langage Commun associé</t>
        </is>
      </c>
      <c r="AN687" s="377" t="inlineStr">
        <is>
          <t>If specified, the value must be known to the associated Common Language</t>
        </is>
      </c>
      <c r="AO687" s="257" t="n">
        <v>7</v>
      </c>
      <c r="AP687" s="212" t="inlineStr">
        <is>
          <t>TIG0001</t>
        </is>
      </c>
      <c r="AQ687" s="318" t="n"/>
      <c r="AR687" s="317" t="n"/>
      <c r="AS687" s="257" t="n"/>
      <c r="AT687" s="258" t="n"/>
      <c r="AU687" s="318" t="n"/>
      <c r="AV687" s="317" t="n"/>
      <c r="AW687" s="257" t="n"/>
      <c r="AX687" s="258" t="n"/>
      <c r="AY687" s="318" t="n"/>
      <c r="AZ687" s="317" t="n"/>
      <c r="BA687" s="257" t="n"/>
      <c r="BB687" s="258" t="n"/>
      <c r="BC687" s="316" t="n"/>
      <c r="BD687" s="317" t="n"/>
      <c r="BE687" s="257" t="n"/>
      <c r="BF687" s="258" t="n"/>
      <c r="BG687" s="89" t="n"/>
      <c r="BH6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87">
        <f>_xlfn.LET(r,ROW(),oc,INDEX($A:$A,r),cv,TRIM(INDEX($Y:$Y,r)&amp;""),IF(oc&lt;&gt;"P1","",IF(cv="45","V45 - novo, nao alimentado pelo spool atual","V44 - alimentado pelo spool atual")))</f>
        <v/>
      </c>
    </row>
    <row r="688" ht="54" customFormat="1" customHeight="1" s="91">
      <c r="A688" s="306" t="inlineStr">
        <is>
          <t>P1</t>
        </is>
      </c>
      <c r="B688" s="307" t="n">
        <v>453</v>
      </c>
      <c r="C688" s="269" t="inlineStr">
        <is>
          <t>03 - Caractéristiques Générales</t>
        </is>
      </c>
      <c r="D688" s="310" t="inlineStr">
        <is>
          <t>03 - General characteristics</t>
        </is>
      </c>
      <c r="E688" s="372" t="inlineStr">
        <is>
          <t>P1 31.11</t>
        </is>
      </c>
      <c r="F688" s="308" t="inlineStr">
        <is>
          <t>Indicateur permis de construire à l'octroi</t>
        </is>
      </c>
      <c r="G688" s="309" t="inlineStr">
        <is>
          <t>Building permit indicator on grant</t>
        </is>
      </c>
      <c r="H688" s="1493">
        <f>"RPAD( "&amp;SUBSTITUTE(SUBSTITUTE(E688," ","_"),".","_")&amp;","&amp;W688&amp;",' '); -- "&amp;E688</f>
        <v/>
      </c>
      <c r="I688" s="241" t="inlineStr">
        <is>
          <t>Indicateur permis de construire à l'octroi</t>
        </is>
      </c>
      <c r="J688" s="309" t="inlineStr">
        <is>
          <t>Building permit indicator on grant</t>
        </is>
      </c>
      <c r="K688" s="370" t="inlineStr">
        <is>
          <t>ND</t>
        </is>
      </c>
      <c r="L688" s="371" t="inlineStr">
        <is>
          <t>ND</t>
        </is>
      </c>
      <c r="M688" s="1420" t="inlineStr">
        <is>
          <t>cdIndPermisCons</t>
        </is>
      </c>
      <c r="N688" s="257" t="inlineStr">
        <is>
          <t>Obligatoire sous conditions</t>
        </is>
      </c>
      <c r="O688" s="310" t="inlineStr">
        <is>
          <t>Mandatory under conditions</t>
        </is>
      </c>
      <c r="P688" s="269" t="inlineStr">
        <is>
          <t>LC.0336</t>
        </is>
      </c>
      <c r="Q688" s="269" t="inlineStr">
        <is>
          <t>TA Z8IPCONS</t>
        </is>
      </c>
      <c r="R688" s="241" t="inlineStr">
        <is>
          <t>NA</t>
        </is>
      </c>
      <c r="S688" s="233" t="inlineStr">
        <is>
          <t>NA</t>
        </is>
      </c>
      <c r="T688" s="313" t="inlineStr">
        <is>
          <t>ALPHA</t>
        </is>
      </c>
      <c r="U688" s="237" t="inlineStr">
        <is>
          <t>NA</t>
        </is>
      </c>
      <c r="V688" s="238" t="inlineStr">
        <is>
          <t>NA</t>
        </is>
      </c>
      <c r="W688" s="257" t="n">
        <v>1</v>
      </c>
      <c r="X688" s="945" t="inlineStr">
        <is>
          <t>NA</t>
        </is>
      </c>
      <c r="Y688" s="237" t="n">
        <v>43</v>
      </c>
      <c r="Z688" s="237" t="inlineStr">
        <is>
          <t>NA</t>
        </is>
      </c>
      <c r="AA688" s="239" t="inlineStr">
        <is>
          <t>NA</t>
        </is>
      </c>
      <c r="AB688" s="269" t="inlineStr">
        <is>
          <t>OCTROI DE CREDIT</t>
        </is>
      </c>
      <c r="AC688" s="231" t="inlineStr">
        <is>
          <t>ND</t>
        </is>
      </c>
      <c r="AD688" s="257" t="inlineStr">
        <is>
          <t>N</t>
        </is>
      </c>
      <c r="AE688" s="687" t="inlineStr">
        <is>
          <t xml:space="preserve">TRE2 à 4XX hors 203,205,206,207
TRE5XX
</t>
        </is>
      </c>
      <c r="AF688" s="687" t="inlineStr">
        <is>
          <t>NA</t>
        </is>
      </c>
      <c r="AG688" s="688" t="inlineStr">
        <is>
          <t>NA</t>
        </is>
      </c>
      <c r="AH688" s="89" t="n"/>
      <c r="AI688" s="689" t="inlineStr">
        <is>
          <t>La donnée est obligatoire si le type de risque [P1 2.0] = 'TRE2xx' à 'TRE5xx', hors (TRE201,TRE203,TRE205, TRE206, TRE207) et si la donnée méthodologie de notation [C1 4.3] du tiers en risque ='M1 ', 'M2', 'M41', 'M43' ou 'M44', et si l'Objet financé [P1 22.7] = '01', '02', '03' ou '04'</t>
        </is>
      </c>
      <c r="AJ688" s="317" t="inlineStr">
        <is>
          <t>The data is mandatory if Risk type [P1 2.0] = 'TRE2xx' to 'TRE5xx', out (TRE201, TRE203, TRE205, TRE206, TRE207) and if the rating methodology data [C1 4.3] of the third party in risk ='M1 ', 'M2', 'M41', 'M43' or 'M44', and if Object financed [P1 22.7] = '01', '02', '03' or '04'</t>
        </is>
      </c>
      <c r="AK688" s="257" t="n">
        <v>6</v>
      </c>
      <c r="AL688" s="463" t="inlineStr">
        <is>
          <t>TP0909</t>
        </is>
      </c>
      <c r="AM688" s="452" t="inlineStr">
        <is>
          <t>Si elle est renseignée, la valeur doit être connue du Langage Commun associé</t>
        </is>
      </c>
      <c r="AN688" s="377" t="inlineStr">
        <is>
          <t>If specified, the value must be known to the associated Common Language</t>
        </is>
      </c>
      <c r="AO688" s="257" t="n">
        <v>7</v>
      </c>
      <c r="AP688" s="212" t="inlineStr">
        <is>
          <t>TIG0001</t>
        </is>
      </c>
      <c r="AQ688" s="318" t="n"/>
      <c r="AR688" s="317" t="n"/>
      <c r="AS688" s="257" t="n"/>
      <c r="AT688" s="258" t="n"/>
      <c r="AU688" s="318" t="n"/>
      <c r="AV688" s="317" t="n"/>
      <c r="AW688" s="257" t="n"/>
      <c r="AX688" s="258" t="n"/>
      <c r="AY688" s="318" t="n"/>
      <c r="AZ688" s="317" t="n"/>
      <c r="BA688" s="257" t="n"/>
      <c r="BB688" s="258" t="n"/>
      <c r="BC688" s="316" t="n"/>
      <c r="BD688" s="317" t="n"/>
      <c r="BE688" s="257" t="n"/>
      <c r="BF688" s="258" t="n"/>
      <c r="BG688" s="89" t="n"/>
      <c r="BH6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88">
        <f>_xlfn.LET(r,ROW(),oc,INDEX($A:$A,r),cv,TRIM(INDEX($Y:$Y,r)&amp;""),IF(oc&lt;&gt;"P1","",IF(cv="45","V45 - novo, nao alimentado pelo spool atual","V44 - alimentado pelo spool atual")))</f>
        <v/>
      </c>
    </row>
    <row r="689" ht="54" customFormat="1" customHeight="1" s="91">
      <c r="A689" s="306" t="inlineStr">
        <is>
          <t>P1</t>
        </is>
      </c>
      <c r="B689" s="307" t="n">
        <v>454</v>
      </c>
      <c r="C689" s="269" t="inlineStr">
        <is>
          <t>03 - Caractéristiques Générales</t>
        </is>
      </c>
      <c r="D689" s="310" t="inlineStr">
        <is>
          <t>03 - General characteristics</t>
        </is>
      </c>
      <c r="E689" s="372" t="inlineStr">
        <is>
          <t>P1 31.12</t>
        </is>
      </c>
      <c r="F689" s="308" t="inlineStr">
        <is>
          <t>Etat du bien financé à l'octroi</t>
        </is>
      </c>
      <c r="G689" s="309" t="inlineStr">
        <is>
          <t>Statement of the property financed at grant</t>
        </is>
      </c>
      <c r="H689" s="1493">
        <f>"RPAD( "&amp;SUBSTITUTE(SUBSTITUTE(E689," ","_"),".","_")&amp;","&amp;W689&amp;",' '); -- "&amp;E689</f>
        <v/>
      </c>
      <c r="I689" s="241" t="inlineStr">
        <is>
          <t>Etat du bien financé à l'octroi</t>
        </is>
      </c>
      <c r="J689" s="309" t="inlineStr">
        <is>
          <t>Statement of the property financed at grant</t>
        </is>
      </c>
      <c r="K689" s="370" t="inlineStr">
        <is>
          <t>ND</t>
        </is>
      </c>
      <c r="L689" s="371" t="inlineStr">
        <is>
          <t>ND</t>
        </is>
      </c>
      <c r="M689" s="1420" t="inlineStr">
        <is>
          <t>cdEtatBienF</t>
        </is>
      </c>
      <c r="N689" s="597" t="inlineStr">
        <is>
          <t>Facultatif</t>
        </is>
      </c>
      <c r="O689" s="310" t="inlineStr">
        <is>
          <t>Optional</t>
        </is>
      </c>
      <c r="P689" s="269" t="inlineStr">
        <is>
          <t>LC.0334</t>
        </is>
      </c>
      <c r="Q689" s="269" t="inlineStr">
        <is>
          <t>TA Z8EBIMMO</t>
        </is>
      </c>
      <c r="R689" s="241" t="inlineStr">
        <is>
          <t>NA</t>
        </is>
      </c>
      <c r="S689" s="233" t="inlineStr">
        <is>
          <t>NA</t>
        </is>
      </c>
      <c r="T689" s="313" t="inlineStr">
        <is>
          <t>ALPHA</t>
        </is>
      </c>
      <c r="U689" s="237" t="inlineStr">
        <is>
          <t>NA</t>
        </is>
      </c>
      <c r="V689" s="238" t="inlineStr">
        <is>
          <t>NA</t>
        </is>
      </c>
      <c r="W689" s="257" t="n">
        <v>1</v>
      </c>
      <c r="X689" s="945" t="inlineStr">
        <is>
          <t>NA</t>
        </is>
      </c>
      <c r="Y689" s="237" t="n">
        <v>43</v>
      </c>
      <c r="Z689" s="237" t="inlineStr">
        <is>
          <t>NA</t>
        </is>
      </c>
      <c r="AA689" s="239" t="inlineStr">
        <is>
          <t>NA</t>
        </is>
      </c>
      <c r="AB689" s="269" t="inlineStr">
        <is>
          <t>OCTROI DE CREDIT</t>
        </is>
      </c>
      <c r="AC689" s="231" t="inlineStr">
        <is>
          <t>ND</t>
        </is>
      </c>
      <c r="AD689" s="257" t="inlineStr">
        <is>
          <t>N</t>
        </is>
      </c>
      <c r="AE689" s="257" t="inlineStr">
        <is>
          <t xml:space="preserve">TRE2 à 4XX hors 203,205,206,207
TRE5XX
</t>
        </is>
      </c>
      <c r="AF689" s="257" t="inlineStr">
        <is>
          <t>NA</t>
        </is>
      </c>
      <c r="AG689" s="258" t="inlineStr">
        <is>
          <t>NA</t>
        </is>
      </c>
      <c r="AH689" s="89" t="n"/>
      <c r="AI689" s="689" t="n"/>
      <c r="AJ689" s="317" t="n"/>
      <c r="AK689" s="257" t="n"/>
      <c r="AL689" s="463" t="n"/>
      <c r="AM689" s="452" t="inlineStr">
        <is>
          <t>Si elle est renseignée, la valeur doit être connue du Langage Commun associé</t>
        </is>
      </c>
      <c r="AN689" s="377" t="inlineStr">
        <is>
          <t>If specified, the value must be known to the associated Common Language</t>
        </is>
      </c>
      <c r="AO689" s="257" t="n">
        <v>7</v>
      </c>
      <c r="AP689" s="212" t="inlineStr">
        <is>
          <t>TIG0001</t>
        </is>
      </c>
      <c r="AQ689" s="318" t="n"/>
      <c r="AR689" s="317" t="n"/>
      <c r="AS689" s="257" t="n"/>
      <c r="AT689" s="258" t="n"/>
      <c r="AU689" s="318" t="n"/>
      <c r="AV689" s="317" t="n"/>
      <c r="AW689" s="257" t="n"/>
      <c r="AX689" s="258" t="n"/>
      <c r="AY689" s="318" t="n"/>
      <c r="AZ689" s="317" t="n"/>
      <c r="BA689" s="257" t="n"/>
      <c r="BB689" s="258" t="n"/>
      <c r="BC689" s="316" t="n"/>
      <c r="BD689" s="317" t="n"/>
      <c r="BE689" s="257" t="n"/>
      <c r="BF689" s="258" t="n"/>
      <c r="BG689" s="89" t="n"/>
      <c r="BH6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89">
        <f>_xlfn.LET(r,ROW(),oc,INDEX($A:$A,r),cv,TRIM(INDEX($Y:$Y,r)&amp;""),IF(oc&lt;&gt;"P1","",IF(cv="45","V45 - novo, nao alimentado pelo spool atual","V44 - alimentado pelo spool atual")))</f>
        <v/>
      </c>
    </row>
    <row r="690" ht="54" customFormat="1" customHeight="1" s="91">
      <c r="A690" s="306" t="inlineStr">
        <is>
          <t>P1</t>
        </is>
      </c>
      <c r="B690" s="307" t="n">
        <v>455</v>
      </c>
      <c r="C690" s="269" t="inlineStr">
        <is>
          <t>03 - Caractéristiques Générales</t>
        </is>
      </c>
      <c r="D690" s="310" t="inlineStr">
        <is>
          <t>03 - General characteristics</t>
        </is>
      </c>
      <c r="E690" s="372" t="inlineStr">
        <is>
          <t>P1 31.13</t>
        </is>
      </c>
      <c r="F690" s="308" t="inlineStr">
        <is>
          <t>Catégorie énergétique du bien immobilier à l'octroi</t>
        </is>
      </c>
      <c r="G690" s="309" t="inlineStr">
        <is>
          <t>Energy category of real estate on grant</t>
        </is>
      </c>
      <c r="H690" s="1493">
        <f>"RPAD( "&amp;SUBSTITUTE(SUBSTITUTE(E690," ","_"),".","_")&amp;","&amp;W690&amp;",' '); -- "&amp;E690</f>
        <v/>
      </c>
      <c r="I690" s="241" t="inlineStr">
        <is>
          <t>Catégorie énergétique du bien immobilier à l'octroi</t>
        </is>
      </c>
      <c r="J690" s="309" t="inlineStr">
        <is>
          <t>Energy category of real estate on grant</t>
        </is>
      </c>
      <c r="K690" s="370" t="inlineStr">
        <is>
          <t>ND</t>
        </is>
      </c>
      <c r="L690" s="371" t="inlineStr">
        <is>
          <t>ND</t>
        </is>
      </c>
      <c r="M690" s="1420" t="inlineStr">
        <is>
          <t>cdClassNrjBienF</t>
        </is>
      </c>
      <c r="N690" s="597" t="inlineStr">
        <is>
          <t>Facultatif</t>
        </is>
      </c>
      <c r="O690" s="310" t="inlineStr">
        <is>
          <t>Optional</t>
        </is>
      </c>
      <c r="P690" s="269" t="inlineStr">
        <is>
          <t>LC.0335</t>
        </is>
      </c>
      <c r="Q690" s="269" t="inlineStr">
        <is>
          <t>RB 0503</t>
        </is>
      </c>
      <c r="R690" s="241" t="inlineStr">
        <is>
          <t>NA</t>
        </is>
      </c>
      <c r="S690" s="233" t="inlineStr">
        <is>
          <t>NA</t>
        </is>
      </c>
      <c r="T690" s="313" t="inlineStr">
        <is>
          <t>ALPHA</t>
        </is>
      </c>
      <c r="U690" s="237" t="inlineStr">
        <is>
          <t>NA</t>
        </is>
      </c>
      <c r="V690" s="238" t="inlineStr">
        <is>
          <t>NA</t>
        </is>
      </c>
      <c r="W690" s="257" t="n">
        <v>1</v>
      </c>
      <c r="X690" s="945" t="inlineStr">
        <is>
          <t>NA</t>
        </is>
      </c>
      <c r="Y690" s="237" t="n">
        <v>43</v>
      </c>
      <c r="Z690" s="237" t="inlineStr">
        <is>
          <t>NA</t>
        </is>
      </c>
      <c r="AA690" s="283" t="inlineStr">
        <is>
          <t>NA</t>
        </is>
      </c>
      <c r="AB690" s="269" t="inlineStr">
        <is>
          <t>ACTIF VERT, ESG PILIER 3, NZBA</t>
        </is>
      </c>
      <c r="AC690" s="231" t="inlineStr">
        <is>
          <t>ND</t>
        </is>
      </c>
      <c r="AD690" s="257" t="inlineStr">
        <is>
          <t>N</t>
        </is>
      </c>
      <c r="AE690" s="257" t="inlineStr">
        <is>
          <t xml:space="preserve">TRE2 à 4XX hors 203,205,206,207
TRE5XX
</t>
        </is>
      </c>
      <c r="AF690" s="257" t="inlineStr">
        <is>
          <t>NA</t>
        </is>
      </c>
      <c r="AG690" s="258" t="inlineStr">
        <is>
          <t>NA</t>
        </is>
      </c>
      <c r="AH690" s="89" t="n"/>
      <c r="AI690" s="353" t="n"/>
      <c r="AJ690" s="317" t="n"/>
      <c r="AK690" s="269" t="n"/>
      <c r="AL690" s="617" t="n"/>
      <c r="AM690" s="452" t="inlineStr">
        <is>
          <t>Si elle est renseignée, la valeur doit être connue du Langage Commun associé</t>
        </is>
      </c>
      <c r="AN690" s="377" t="inlineStr">
        <is>
          <t>If specified, the value must be known to the associated Common Language</t>
        </is>
      </c>
      <c r="AO690" s="257" t="n">
        <v>7</v>
      </c>
      <c r="AP690" s="212" t="inlineStr">
        <is>
          <t>TIG0001</t>
        </is>
      </c>
      <c r="AQ690" s="533" t="inlineStr">
        <is>
          <t>Si renseignée, la donnée doit être différente de 'Y' ou 'Z'</t>
        </is>
      </c>
      <c r="AR690" s="317" t="inlineStr">
        <is>
          <t>If filled in, the data must be different of 'Y' or 'Z'</t>
        </is>
      </c>
      <c r="AS690" s="257" t="n">
        <v>7</v>
      </c>
      <c r="AT690" s="345" t="inlineStr">
        <is>
          <t>TVS0732</t>
        </is>
      </c>
      <c r="AU690" s="318" t="n"/>
      <c r="AV690" s="317" t="n"/>
      <c r="AW690" s="257" t="n"/>
      <c r="AX690" s="258" t="n"/>
      <c r="AY690" s="318" t="n"/>
      <c r="AZ690" s="317" t="n"/>
      <c r="BA690" s="257" t="n"/>
      <c r="BB690" s="258" t="n"/>
      <c r="BC690" s="316" t="n"/>
      <c r="BD690" s="317" t="n"/>
      <c r="BE690" s="257" t="n"/>
      <c r="BF690" s="258" t="n"/>
      <c r="BG690" s="89" t="n"/>
      <c r="BH6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90">
        <f>_xlfn.LET(r,ROW(),oc,INDEX($A:$A,r),cv,TRIM(INDEX($Y:$Y,r)&amp;""),IF(oc&lt;&gt;"P1","",IF(cv="45","V45 - novo, nao alimentado pelo spool atual","V44 - alimentado pelo spool atual")))</f>
        <v/>
      </c>
    </row>
    <row r="691" ht="54" customFormat="1" customHeight="1" s="91">
      <c r="A691" s="306" t="inlineStr">
        <is>
          <t>P1</t>
        </is>
      </c>
      <c r="B691" s="307" t="n">
        <v>456</v>
      </c>
      <c r="C691" s="269" t="inlineStr">
        <is>
          <t>22 - Caractéristiques de taux</t>
        </is>
      </c>
      <c r="D691" s="310" t="inlineStr">
        <is>
          <t>22 - Rate characteristics</t>
        </is>
      </c>
      <c r="E691" s="372" t="inlineStr">
        <is>
          <t>P1 31.14</t>
        </is>
      </c>
      <c r="F691" s="308" t="inlineStr">
        <is>
          <t>Taux de réservation du programme immobilier</t>
        </is>
      </c>
      <c r="G691" s="309" t="inlineStr">
        <is>
          <t>Real estate program reservation rate</t>
        </is>
      </c>
      <c r="H691" s="1493">
        <f>"RPAD( "&amp;SUBSTITUTE(SUBSTITUTE(E691," ","_"),".","_")&amp;","&amp;W691&amp;",' '); -- "&amp;E691</f>
        <v/>
      </c>
      <c r="I691" s="1248" t="inlineStr">
        <is>
          <t>Taux de réservation du programme immobilier
Exprimé en %</t>
        </is>
      </c>
      <c r="J691" s="309" t="inlineStr">
        <is>
          <t>Real estate program reservation rate
Expressed as %</t>
        </is>
      </c>
      <c r="K691" s="370" t="inlineStr">
        <is>
          <t>ND</t>
        </is>
      </c>
      <c r="L691" s="371" t="inlineStr">
        <is>
          <t>ND</t>
        </is>
      </c>
      <c r="M691" s="1420" t="inlineStr">
        <is>
          <t>TauxResProgImmo</t>
        </is>
      </c>
      <c r="N691" s="257" t="inlineStr">
        <is>
          <t>Obligatoire sous conditions</t>
        </is>
      </c>
      <c r="O691" s="310" t="inlineStr">
        <is>
          <t>Mandatory under conditions</t>
        </is>
      </c>
      <c r="P691" s="269" t="inlineStr">
        <is>
          <t>NA</t>
        </is>
      </c>
      <c r="Q691" s="269" t="inlineStr">
        <is>
          <t>NA</t>
        </is>
      </c>
      <c r="R691" s="241" t="inlineStr">
        <is>
          <t>NA</t>
        </is>
      </c>
      <c r="S691" s="233" t="inlineStr">
        <is>
          <t>NA</t>
        </is>
      </c>
      <c r="T691" s="313" t="inlineStr">
        <is>
          <t>NUM</t>
        </is>
      </c>
      <c r="U691" s="237" t="inlineStr">
        <is>
          <t>15 dont signe et 9 décimales</t>
        </is>
      </c>
      <c r="V691" s="238" t="inlineStr">
        <is>
          <t>15 including sign and 9 decimals</t>
        </is>
      </c>
      <c r="W691" s="257" t="n">
        <v>15</v>
      </c>
      <c r="X691" s="945" t="inlineStr">
        <is>
          <t>NA</t>
        </is>
      </c>
      <c r="Y691" s="237" t="n">
        <v>43</v>
      </c>
      <c r="Z691" s="237" t="inlineStr">
        <is>
          <t>NA</t>
        </is>
      </c>
      <c r="AA691" s="239" t="inlineStr">
        <is>
          <t>NA</t>
        </is>
      </c>
      <c r="AB691" s="269" t="inlineStr">
        <is>
          <t>OCTROI DE CREDIT</t>
        </is>
      </c>
      <c r="AC691" s="231" t="inlineStr">
        <is>
          <t>ND</t>
        </is>
      </c>
      <c r="AD691" s="257" t="inlineStr">
        <is>
          <t>N</t>
        </is>
      </c>
      <c r="AE691" s="257" t="inlineStr">
        <is>
          <t xml:space="preserve">TRE2 à 4XX hors 203,205,206,207
TRE5XX
</t>
        </is>
      </c>
      <c r="AF691" s="257" t="inlineStr">
        <is>
          <t>NA</t>
        </is>
      </c>
      <c r="AG691" s="258" t="inlineStr">
        <is>
          <t>NA</t>
        </is>
      </c>
      <c r="AH691" s="89" t="n"/>
      <c r="AI691" s="689" t="inlineStr">
        <is>
          <t>La donnée est obligatoire si le type de risque [P1 2.0] = 'TRE2xx' à 'TRE5xx', hors (TRE201,TRE203,TRE205, TRE206, TRE207) et si la donnée méthodologie de notation [C1 4.3] du tiers en risque ='M1 ', 'M2', 'M41', 'M43' ou 'M44', et si l'Objet financé [P1 22.7] = '01', '02', '03' ou '04'</t>
        </is>
      </c>
      <c r="AJ691" s="317" t="inlineStr">
        <is>
          <t>The data is mandatory if Risk type [P1 2.0] = 'TRE2xx' to 'TRE5xx', out (TRE201, TRE203, TRE205, TRE206, TRE207) and if the rating methodology data [C1 4.3] of the third party in risk ='M1 ', 'M2', 'M41', 'M43' or 'M44', and if Object financed [P1 22.7] = '01', '02', '03' or '04'</t>
        </is>
      </c>
      <c r="AK691" s="257" t="n">
        <v>6</v>
      </c>
      <c r="AL691" s="463" t="inlineStr">
        <is>
          <t>TP0909</t>
        </is>
      </c>
      <c r="AM691" s="318" t="n"/>
      <c r="AN691" s="317" t="n"/>
      <c r="AO691" s="257" t="n"/>
      <c r="AP691" s="258" t="n"/>
      <c r="AQ691" s="322" t="inlineStr">
        <is>
          <t>Si renseignée, la donnée doit être positive (supérieure ou égale à 0)</t>
        </is>
      </c>
      <c r="AR691" s="317" t="inlineStr">
        <is>
          <t xml:space="preserve">If filled, data must be positive (greater or equal to 0) </t>
        </is>
      </c>
      <c r="AS691" s="257" t="n">
        <v>7</v>
      </c>
      <c r="AT691" s="345" t="inlineStr">
        <is>
          <t>TVG0001</t>
        </is>
      </c>
      <c r="AU691" s="318" t="n"/>
      <c r="AV691" s="317" t="n"/>
      <c r="AW691" s="257" t="n"/>
      <c r="AX691" s="258" t="n"/>
      <c r="AY691" s="318" t="n"/>
      <c r="AZ691" s="317" t="n"/>
      <c r="BA691" s="257" t="n"/>
      <c r="BB691" s="258" t="n"/>
      <c r="BC691" s="316" t="n"/>
      <c r="BD691" s="317" t="n"/>
      <c r="BE691" s="257" t="n"/>
      <c r="BF691" s="258" t="n"/>
      <c r="BG691" s="89" t="n"/>
      <c r="BH6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91">
        <f>_xlfn.LET(r,ROW(),oc,INDEX($A:$A,r),cv,TRIM(INDEX($Y:$Y,r)&amp;""),IF(oc&lt;&gt;"P1","",IF(cv="45","V45 - novo, nao alimentado pelo spool atual","V44 - alimentado pelo spool atual")))</f>
        <v/>
      </c>
    </row>
    <row r="692" ht="54" customFormat="1" customHeight="1" s="91">
      <c r="A692" s="306" t="inlineStr">
        <is>
          <t>P1</t>
        </is>
      </c>
      <c r="B692" s="307" t="n">
        <v>457</v>
      </c>
      <c r="C692" s="269" t="inlineStr">
        <is>
          <t>03 - Caractéristiques Générales</t>
        </is>
      </c>
      <c r="D692" s="310" t="inlineStr">
        <is>
          <t>03 - General characteristics</t>
        </is>
      </c>
      <c r="E692" s="372" t="inlineStr">
        <is>
          <t>P1 31.15</t>
        </is>
      </c>
      <c r="F692" s="308" t="inlineStr">
        <is>
          <t>Montant de l'apport à l'octroi</t>
        </is>
      </c>
      <c r="G692" s="309" t="inlineStr">
        <is>
          <t>Cash contribution when loan granted</t>
        </is>
      </c>
      <c r="H692" s="1493">
        <f>"RPAD( "&amp;SUBSTITUTE(SUBSTITUTE(E692," ","_"),".","_")&amp;","&amp;W692&amp;",' '); -- "&amp;E692</f>
        <v/>
      </c>
      <c r="I692" s="241" t="inlineStr">
        <is>
          <t>Montant de l'apport en cash à l'octroi de crédit</t>
        </is>
      </c>
      <c r="J692" s="309" t="inlineStr">
        <is>
          <t>Amount of cash contribution when loan granted</t>
        </is>
      </c>
      <c r="K692" s="370" t="inlineStr">
        <is>
          <t>ND</t>
        </is>
      </c>
      <c r="L692" s="371" t="inlineStr">
        <is>
          <t>ND</t>
        </is>
      </c>
      <c r="M692" s="1420" t="inlineStr">
        <is>
          <t>MtApportOctroi</t>
        </is>
      </c>
      <c r="N692" s="257" t="inlineStr">
        <is>
          <t>Obligatoire sous conditions</t>
        </is>
      </c>
      <c r="O692" s="310" t="inlineStr">
        <is>
          <t>Mandatory under conditions</t>
        </is>
      </c>
      <c r="P692" s="269" t="inlineStr">
        <is>
          <t>NA</t>
        </is>
      </c>
      <c r="Q692" s="269" t="inlineStr">
        <is>
          <t>NA</t>
        </is>
      </c>
      <c r="R692" s="241" t="inlineStr">
        <is>
          <t>NA</t>
        </is>
      </c>
      <c r="S692" s="233" t="inlineStr">
        <is>
          <t>NA</t>
        </is>
      </c>
      <c r="T692" s="307" t="inlineStr">
        <is>
          <t>NUM</t>
        </is>
      </c>
      <c r="U692" s="237" t="inlineStr">
        <is>
          <t>19 dont signe et 2 décimales</t>
        </is>
      </c>
      <c r="V692" s="238" t="inlineStr">
        <is>
          <t>19 including sign and 2 decimals</t>
        </is>
      </c>
      <c r="W692" s="257" t="n">
        <v>19</v>
      </c>
      <c r="X692" s="945" t="inlineStr">
        <is>
          <t>NA</t>
        </is>
      </c>
      <c r="Y692" s="237" t="n">
        <v>43</v>
      </c>
      <c r="Z692" s="237" t="inlineStr">
        <is>
          <t>NA</t>
        </is>
      </c>
      <c r="AA692" s="270" t="inlineStr">
        <is>
          <t>NA</t>
        </is>
      </c>
      <c r="AB692" s="269" t="inlineStr">
        <is>
          <t>NZBA, OCTROI DE CREDIT</t>
        </is>
      </c>
      <c r="AC692" s="231" t="inlineStr">
        <is>
          <t>ND</t>
        </is>
      </c>
      <c r="AD692" s="257" t="inlineStr">
        <is>
          <t>N</t>
        </is>
      </c>
      <c r="AE692" s="257" t="inlineStr">
        <is>
          <t xml:space="preserve">TRE2 à 4XX hors 203,205,206,207
TRE5XX
</t>
        </is>
      </c>
      <c r="AF692" s="257" t="inlineStr">
        <is>
          <t>NA</t>
        </is>
      </c>
      <c r="AG692" s="258" t="inlineStr">
        <is>
          <t>NA</t>
        </is>
      </c>
      <c r="AH692" s="89" t="n"/>
      <c r="AI692" s="690" t="inlineStr">
        <is>
          <t>La donnée est obligatoire si le type de risque [P1 2.0] = 'TRE2xx' à 'TRE5xx', hors (TRE201,TRE203,TRE205, TRE206, TRE207) et si la donnée méthodologie de notation [C1 4.3] du tiers en risque ='M1 ', 'M2', 'M41', 'M43' ou 'M44', et si l'Objet financé [P1 22.7] = '01', '02', '03' ou '04'</t>
        </is>
      </c>
      <c r="AJ692" s="317" t="inlineStr">
        <is>
          <t>The data is mandatory if Risk type [P1 2.0] = 'TRE2xx' to 'TRE5xx', out (TRE201, TRE203, TRE205, TRE206, TRE207) and if the rating methodology data [C1 4.3] of the third party in risk ='M1 ', 'M2', 'M41', 'M43' or 'M44', and if Object financed [P1 22.7] = '01', '02', '03' or '04'</t>
        </is>
      </c>
      <c r="AK692" s="257" t="n">
        <v>6</v>
      </c>
      <c r="AL692" s="463" t="inlineStr">
        <is>
          <t>TP0909</t>
        </is>
      </c>
      <c r="AM692" s="318" t="n"/>
      <c r="AN692" s="317" t="n"/>
      <c r="AO692" s="257" t="n"/>
      <c r="AP692" s="258" t="n"/>
      <c r="AQ692" s="322" t="inlineStr">
        <is>
          <t>Si renseignée, la donnée doit être positive (supérieure ou égale à 0)</t>
        </is>
      </c>
      <c r="AR692" s="317" t="inlineStr">
        <is>
          <t xml:space="preserve">If filled, data must be positive (greater or equal to 0) </t>
        </is>
      </c>
      <c r="AS692" s="257" t="n">
        <v>7</v>
      </c>
      <c r="AT692" s="345" t="inlineStr">
        <is>
          <t>TVG0001</t>
        </is>
      </c>
      <c r="AU692" s="318" t="n"/>
      <c r="AV692" s="317" t="n"/>
      <c r="AW692" s="257" t="n"/>
      <c r="AX692" s="258" t="n"/>
      <c r="AY692" s="318" t="n"/>
      <c r="AZ692" s="317" t="n"/>
      <c r="BA692" s="257" t="n"/>
      <c r="BB692" s="258" t="n"/>
      <c r="BC692" s="316" t="n"/>
      <c r="BD692" s="317" t="n"/>
      <c r="BE692" s="257" t="n"/>
      <c r="BF692" s="258" t="n"/>
      <c r="BG692" s="89" t="n"/>
      <c r="BH6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92">
        <f>_xlfn.LET(r,ROW(),oc,INDEX($A:$A,r),cv,TRIM(INDEX($Y:$Y,r)&amp;""),IF(oc&lt;&gt;"P1","",IF(cv="45","V45 - novo, nao alimentado pelo spool atual","V44 - alimentado pelo spool atual")))</f>
        <v/>
      </c>
    </row>
    <row r="693" ht="54" customFormat="1" customHeight="1" s="91">
      <c r="A693" s="306" t="inlineStr">
        <is>
          <t>P1</t>
        </is>
      </c>
      <c r="B693" s="307" t="n">
        <v>458</v>
      </c>
      <c r="C693" s="269" t="inlineStr">
        <is>
          <t>03 - Caractéristiques Générales</t>
        </is>
      </c>
      <c r="D693" s="310" t="inlineStr">
        <is>
          <t>03 - General characteristics</t>
        </is>
      </c>
      <c r="E693" s="372" t="inlineStr">
        <is>
          <t>P1 31.16</t>
        </is>
      </c>
      <c r="F693" s="387" t="inlineStr">
        <is>
          <t>Devise du montant de l'apport à l'octroi</t>
        </is>
      </c>
      <c r="G693" s="309" t="inlineStr">
        <is>
          <t>Currency of amount of cash contribution when loan granted</t>
        </is>
      </c>
      <c r="H693" s="1493">
        <f>"RPAD( "&amp;SUBSTITUTE(SUBSTITUTE(E693," ","_"),".","_")&amp;","&amp;W693&amp;",' '); -- "&amp;E693</f>
        <v/>
      </c>
      <c r="I693" s="241" t="inlineStr">
        <is>
          <t>Devise d'expression du montant de l'apport à l'octroi</t>
        </is>
      </c>
      <c r="J693" s="309" t="inlineStr">
        <is>
          <t>Currency of amount of cash contribution when loan granted</t>
        </is>
      </c>
      <c r="K693" s="370" t="inlineStr">
        <is>
          <t>ND</t>
        </is>
      </c>
      <c r="L693" s="371" t="inlineStr">
        <is>
          <t>ND</t>
        </is>
      </c>
      <c r="M693" s="1420" t="inlineStr">
        <is>
          <t>cdDevApportOctroi</t>
        </is>
      </c>
      <c r="N693" s="257" t="inlineStr">
        <is>
          <t>Obligatoire sous conditions</t>
        </is>
      </c>
      <c r="O693" s="310" t="inlineStr">
        <is>
          <t>Mandatory under conditions</t>
        </is>
      </c>
      <c r="P693" s="269" t="inlineStr">
        <is>
          <t>LC.0005</t>
        </is>
      </c>
      <c r="Q693" s="269" t="inlineStr">
        <is>
          <t>TA NM253</t>
        </is>
      </c>
      <c r="R693" s="241" t="inlineStr">
        <is>
          <t>NA</t>
        </is>
      </c>
      <c r="S693" s="233" t="inlineStr">
        <is>
          <t>NA</t>
        </is>
      </c>
      <c r="T693" s="313" t="inlineStr">
        <is>
          <t>ALPHA</t>
        </is>
      </c>
      <c r="U693" s="237" t="inlineStr">
        <is>
          <t>NA</t>
        </is>
      </c>
      <c r="V693" s="238" t="inlineStr">
        <is>
          <t>NA</t>
        </is>
      </c>
      <c r="W693" s="257" t="n">
        <v>3</v>
      </c>
      <c r="X693" s="945" t="inlineStr">
        <is>
          <t>NA</t>
        </is>
      </c>
      <c r="Y693" s="237" t="n">
        <v>43</v>
      </c>
      <c r="Z693" s="237" t="inlineStr">
        <is>
          <t>NA</t>
        </is>
      </c>
      <c r="AA693" s="239" t="inlineStr">
        <is>
          <t>NA</t>
        </is>
      </c>
      <c r="AB693" s="269" t="inlineStr">
        <is>
          <t>NZBA, OCTROI DE CREDIT</t>
        </is>
      </c>
      <c r="AC693" s="231" t="inlineStr">
        <is>
          <t>ND</t>
        </is>
      </c>
      <c r="AD693" s="257" t="inlineStr">
        <is>
          <t>N</t>
        </is>
      </c>
      <c r="AE693" s="257" t="inlineStr">
        <is>
          <t xml:space="preserve">TRE2 à 4XX hors 203,205,206,207
TRE5XX
</t>
        </is>
      </c>
      <c r="AF693" s="257" t="inlineStr">
        <is>
          <t>NA</t>
        </is>
      </c>
      <c r="AG693" s="258" t="inlineStr">
        <is>
          <t>NA</t>
        </is>
      </c>
      <c r="AH693" s="89" t="n"/>
      <c r="AI693" s="316" t="inlineStr">
        <is>
          <t>La donnée est obligatoire si la donnée montant de l'apport à l'octroi [P1 31.15] est renseignée</t>
        </is>
      </c>
      <c r="AJ693" s="317" t="inlineStr">
        <is>
          <t>The data is mandatory if the amount data of the grant contribution [P1 31.15] is filled</t>
        </is>
      </c>
      <c r="AK693" s="257" t="n">
        <v>7</v>
      </c>
      <c r="AL693" s="335" t="inlineStr">
        <is>
          <t>TPG0002</t>
        </is>
      </c>
      <c r="AM693" s="452" t="inlineStr">
        <is>
          <t>Si elle est renseignée, la valeur doit être connue du Langage Commun associé</t>
        </is>
      </c>
      <c r="AN693" s="377" t="inlineStr">
        <is>
          <t>If specified, the value must be known to the associated Common Language</t>
        </is>
      </c>
      <c r="AO693" s="257" t="n">
        <v>7</v>
      </c>
      <c r="AP693" s="212" t="inlineStr">
        <is>
          <t>TIG0001</t>
        </is>
      </c>
      <c r="AQ693" s="318" t="n"/>
      <c r="AR693" s="317" t="n"/>
      <c r="AS693" s="257" t="n"/>
      <c r="AT693" s="258" t="n"/>
      <c r="AU693" s="318" t="n"/>
      <c r="AV693" s="317" t="n"/>
      <c r="AW693" s="257" t="n"/>
      <c r="AX693" s="258" t="n"/>
      <c r="AY693" s="318" t="n"/>
      <c r="AZ693" s="317" t="n"/>
      <c r="BA693" s="257" t="n"/>
      <c r="BB693" s="258" t="n"/>
      <c r="BC693" s="316" t="n"/>
      <c r="BD693" s="317" t="n"/>
      <c r="BE693" s="257" t="n"/>
      <c r="BF693" s="258" t="n"/>
      <c r="BG693" s="89" t="n"/>
      <c r="BH6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93">
        <f>_xlfn.LET(r,ROW(),oc,INDEX($A:$A,r),cv,TRIM(INDEX($Y:$Y,r)&amp;""),IF(oc&lt;&gt;"P1","",IF(cv="45","V45 - novo, nao alimentado pelo spool atual","V44 - alimentado pelo spool atual")))</f>
        <v/>
      </c>
    </row>
    <row r="694" ht="54" customFormat="1" customHeight="1" s="91">
      <c r="A694" s="306" t="inlineStr">
        <is>
          <t>P1</t>
        </is>
      </c>
      <c r="B694" s="307" t="n">
        <v>459</v>
      </c>
      <c r="C694" s="269" t="inlineStr">
        <is>
          <t>03 - Caractéristiques Générales</t>
        </is>
      </c>
      <c r="D694" s="310" t="inlineStr">
        <is>
          <t>03 - General characteristics</t>
        </is>
      </c>
      <c r="E694" s="372" t="inlineStr">
        <is>
          <t>P1 31.17</t>
        </is>
      </c>
      <c r="F694" s="308" t="inlineStr">
        <is>
          <t xml:space="preserve">Durée initiale du prêt </t>
        </is>
      </c>
      <c r="G694" s="309" t="inlineStr">
        <is>
          <t>Initial duration of the loan</t>
        </is>
      </c>
      <c r="H694" s="1493">
        <f>"RPAD( "&amp;SUBSTITUTE(SUBSTITUTE(E694," ","_"),".","_")&amp;","&amp;W694&amp;",' '); -- "&amp;E694</f>
        <v/>
      </c>
      <c r="I694" s="308" t="inlineStr">
        <is>
          <t>Durée (en mois) initiale d'amortissement du prêt à la signature du contrat, celle à l'origine du prêt</t>
        </is>
      </c>
      <c r="J694" s="309" t="inlineStr">
        <is>
          <t>The initial amortisation duration (in months) of the loan at the time of signature of the contract, the one at which the loan originated</t>
        </is>
      </c>
      <c r="K694" s="370" t="inlineStr">
        <is>
          <t>ND</t>
        </is>
      </c>
      <c r="L694" s="371" t="inlineStr">
        <is>
          <t>ND</t>
        </is>
      </c>
      <c r="M694" s="1420" t="inlineStr">
        <is>
          <t>nbDIOctroi</t>
        </is>
      </c>
      <c r="N694" s="257" t="inlineStr">
        <is>
          <t>Obligatoire sous conditions</t>
        </is>
      </c>
      <c r="O694" s="310" t="inlineStr">
        <is>
          <t>Mandatory under conditions</t>
        </is>
      </c>
      <c r="P694" s="269" t="inlineStr">
        <is>
          <t>NA</t>
        </is>
      </c>
      <c r="Q694" s="269" t="inlineStr">
        <is>
          <t>NA</t>
        </is>
      </c>
      <c r="R694" s="241" t="inlineStr">
        <is>
          <t>NA</t>
        </is>
      </c>
      <c r="S694" s="233" t="inlineStr">
        <is>
          <t>NA</t>
        </is>
      </c>
      <c r="T694" s="313" t="inlineStr">
        <is>
          <t>NUM</t>
        </is>
      </c>
      <c r="U694" s="237" t="inlineStr">
        <is>
          <t>6 dont signe</t>
        </is>
      </c>
      <c r="V694" s="238" t="inlineStr">
        <is>
          <t>6 including sign</t>
        </is>
      </c>
      <c r="W694" s="257" t="n">
        <v>6</v>
      </c>
      <c r="X694" s="945" t="inlineStr">
        <is>
          <t>NA</t>
        </is>
      </c>
      <c r="Y694" s="237" t="n">
        <v>43</v>
      </c>
      <c r="Z694" s="237" t="inlineStr">
        <is>
          <t>NA</t>
        </is>
      </c>
      <c r="AA694" s="239" t="inlineStr">
        <is>
          <t>NA</t>
        </is>
      </c>
      <c r="AB694" s="269" t="inlineStr">
        <is>
          <t>LOAN TAPE, NZBA, OCTROI DE CREDIT, OMP, PALMA</t>
        </is>
      </c>
      <c r="AC694" s="231" t="inlineStr">
        <is>
          <t>ND</t>
        </is>
      </c>
      <c r="AD694" s="257" t="inlineStr">
        <is>
          <t>N</t>
        </is>
      </c>
      <c r="AE694" s="257" t="inlineStr">
        <is>
          <t xml:space="preserve">TRE2 à 4XX hors 203,205,206,207
TRE5XX
</t>
        </is>
      </c>
      <c r="AF694" s="257" t="inlineStr">
        <is>
          <t>NA</t>
        </is>
      </c>
      <c r="AG694" s="258" t="inlineStr">
        <is>
          <t>NA</t>
        </is>
      </c>
      <c r="AH694" s="89" t="n"/>
      <c r="AI694" s="316" t="inlineStr">
        <is>
          <t>La donnée est obligatoire si le type de risque [P1 2.0] = 'TRE2xx' à 'TRE5xx', hors (TRE201, TRE203, TRE205, TRE206, TRE207)</t>
        </is>
      </c>
      <c r="AJ694" s="317" t="inlineStr">
        <is>
          <t>The data is mandatory if Risk type [P1 2.0] = 'TRE2xx' to 'TRE5xx', out (TRE201, TRE203, TRE205, TRE206, TRE207)</t>
        </is>
      </c>
      <c r="AK694" s="257" t="n">
        <v>6</v>
      </c>
      <c r="AL694" s="366" t="inlineStr">
        <is>
          <t>TPS0803</t>
        </is>
      </c>
      <c r="AM694" s="318" t="n"/>
      <c r="AN694" s="317" t="n"/>
      <c r="AO694" s="257" t="n"/>
      <c r="AP694" s="258" t="n"/>
      <c r="AQ694" s="322" t="inlineStr">
        <is>
          <t>Si renseignée, la donnée doit être positive (supérieure ou égale à 0)</t>
        </is>
      </c>
      <c r="AR694" s="317" t="inlineStr">
        <is>
          <t xml:space="preserve">If filled, data must be positive (greater or equal to 0) </t>
        </is>
      </c>
      <c r="AS694" s="257" t="n">
        <v>7</v>
      </c>
      <c r="AT694" s="345" t="inlineStr">
        <is>
          <t>TVG0001</t>
        </is>
      </c>
      <c r="AU694" s="318" t="n"/>
      <c r="AV694" s="317" t="n"/>
      <c r="AW694" s="257" t="n"/>
      <c r="AX694" s="258" t="n"/>
      <c r="AY694" s="318" t="n"/>
      <c r="AZ694" s="317" t="n"/>
      <c r="BA694" s="257" t="n"/>
      <c r="BB694" s="258" t="n"/>
      <c r="BC694" s="316" t="n"/>
      <c r="BD694" s="317" t="n"/>
      <c r="BE694" s="257" t="n"/>
      <c r="BF694" s="258" t="n"/>
      <c r="BG694" s="89" t="n"/>
      <c r="BH6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94">
        <f>_xlfn.LET(r,ROW(),oc,INDEX($A:$A,r),cv,TRIM(INDEX($Y:$Y,r)&amp;""),IF(oc&lt;&gt;"P1","",IF(cv="45","V45 - novo, nao alimentado pelo spool atual","V44 - alimentado pelo spool atual")))</f>
        <v/>
      </c>
    </row>
    <row r="695" ht="54" customFormat="1" customHeight="1" s="91">
      <c r="A695" s="306" t="inlineStr">
        <is>
          <t>P1</t>
        </is>
      </c>
      <c r="B695" s="307" t="n">
        <v>460</v>
      </c>
      <c r="C695" s="269" t="inlineStr">
        <is>
          <t>03 - Caractéristiques Générales</t>
        </is>
      </c>
      <c r="D695" s="310" t="inlineStr">
        <is>
          <t>03 - General characteristics</t>
        </is>
      </c>
      <c r="E695" s="372" t="inlineStr">
        <is>
          <t>P1 31.18</t>
        </is>
      </c>
      <c r="F695" s="308" t="inlineStr">
        <is>
          <t>Durée totale du prêt à date</t>
        </is>
      </c>
      <c r="G695" s="309" t="inlineStr">
        <is>
          <t>Total duration of loan on date</t>
        </is>
      </c>
      <c r="H695" s="1493">
        <f>"RPAD( "&amp;SUBSTITUTE(SUBSTITUTE(E695," ","_"),".","_")&amp;","&amp;W695&amp;",' '); -- "&amp;E695</f>
        <v/>
      </c>
      <c r="I695" s="308" t="inlineStr">
        <is>
          <t>Durée totale (en mois) d'amortissement du prêt à la date d'arrêté</t>
        </is>
      </c>
      <c r="J695" s="309" t="inlineStr">
        <is>
          <t>Total amortisation duration (months) of loan at closing date</t>
        </is>
      </c>
      <c r="K695" s="370" t="inlineStr">
        <is>
          <t>ND</t>
        </is>
      </c>
      <c r="L695" s="371" t="inlineStr">
        <is>
          <t>ND</t>
        </is>
      </c>
      <c r="M695" s="1420" t="inlineStr">
        <is>
          <t>nbDureeTot</t>
        </is>
      </c>
      <c r="N695" s="257" t="inlineStr">
        <is>
          <t>Obligatoire sous conditions</t>
        </is>
      </c>
      <c r="O695" s="310" t="inlineStr">
        <is>
          <t>Mandatory under conditions</t>
        </is>
      </c>
      <c r="P695" s="269" t="inlineStr">
        <is>
          <t>NA</t>
        </is>
      </c>
      <c r="Q695" s="269" t="inlineStr">
        <is>
          <t>NA</t>
        </is>
      </c>
      <c r="R695" s="241" t="inlineStr">
        <is>
          <t>La durée totale du prêt à date correspond bien à la maturité totale du prêt (du début à la fin du prêt)
En l'absence de modification des conditions du prêt, ce champ sera égal à la durée initiale</t>
        </is>
      </c>
      <c r="S695" s="233" t="inlineStr">
        <is>
          <t>The total duration of loan on date corresponds to the total maturity of the loan (from the start to the end of the loan)
In the absence of modification of the loan conditions, this field will be equal to the initial duration</t>
        </is>
      </c>
      <c r="T695" s="313" t="inlineStr">
        <is>
          <t>NUM</t>
        </is>
      </c>
      <c r="U695" s="237" t="inlineStr">
        <is>
          <t>6 dont signe</t>
        </is>
      </c>
      <c r="V695" s="238" t="inlineStr">
        <is>
          <t>6 including sign</t>
        </is>
      </c>
      <c r="W695" s="257" t="n">
        <v>6</v>
      </c>
      <c r="X695" s="945" t="inlineStr">
        <is>
          <t>NA</t>
        </is>
      </c>
      <c r="Y695" s="237" t="n">
        <v>43</v>
      </c>
      <c r="Z695" s="237" t="inlineStr">
        <is>
          <t>NA</t>
        </is>
      </c>
      <c r="AA695" s="239" t="inlineStr">
        <is>
          <t>NA</t>
        </is>
      </c>
      <c r="AB695" s="269" t="inlineStr">
        <is>
          <t>ASTRE, OCTROI DE CREDIT, PALMA</t>
        </is>
      </c>
      <c r="AC695" s="231" t="inlineStr">
        <is>
          <t>ND</t>
        </is>
      </c>
      <c r="AD695" s="257" t="inlineStr">
        <is>
          <t>N</t>
        </is>
      </c>
      <c r="AE695" s="257" t="inlineStr">
        <is>
          <t xml:space="preserve">TRE2 à 4XX hors 203,205,206,207
TRE5XX
</t>
        </is>
      </c>
      <c r="AF695" s="257" t="inlineStr">
        <is>
          <t>NA</t>
        </is>
      </c>
      <c r="AG695" s="258" t="inlineStr">
        <is>
          <t>NA</t>
        </is>
      </c>
      <c r="AH695" s="89" t="n"/>
      <c r="AI695" s="316" t="inlineStr">
        <is>
          <t>La donnée est obligatoire si le type de risque [P1 2.0] = 'TRE2xx' à 'TRE5xx', hors (TRE201, TRE203, TRE205, TRE206, TRE207)</t>
        </is>
      </c>
      <c r="AJ695" s="317" t="inlineStr">
        <is>
          <t>The data is mandatory if Risk type [P1 2.0] = 'TRE2xx' to 'TRE5xx', out (TRE201, TRE203, TRE205, TRE206, TRE207)</t>
        </is>
      </c>
      <c r="AK695" s="257" t="n">
        <v>6</v>
      </c>
      <c r="AL695" s="366" t="inlineStr">
        <is>
          <t>TPS0803</t>
        </is>
      </c>
      <c r="AM695" s="318" t="n"/>
      <c r="AN695" s="317" t="n"/>
      <c r="AO695" s="257" t="n"/>
      <c r="AP695" s="258" t="n"/>
      <c r="AQ695" s="322" t="inlineStr">
        <is>
          <t>Si renseignée, la donnée doit être positive (supérieure ou égale à 0)</t>
        </is>
      </c>
      <c r="AR695" s="317" t="inlineStr">
        <is>
          <t xml:space="preserve">If filled, data must be positive (greater or equal to 0) </t>
        </is>
      </c>
      <c r="AS695" s="257" t="n">
        <v>7</v>
      </c>
      <c r="AT695" s="345" t="inlineStr">
        <is>
          <t>TVG0001</t>
        </is>
      </c>
      <c r="AU695" s="318" t="n"/>
      <c r="AV695" s="317" t="n"/>
      <c r="AW695" s="257" t="n"/>
      <c r="AX695" s="258" t="n"/>
      <c r="AY695" s="318" t="n"/>
      <c r="AZ695" s="317" t="n"/>
      <c r="BA695" s="257" t="n"/>
      <c r="BB695" s="258" t="n"/>
      <c r="BC695" s="316" t="n"/>
      <c r="BD695" s="317" t="n"/>
      <c r="BE695" s="257" t="n"/>
      <c r="BF695" s="258" t="n"/>
      <c r="BG695" s="89" t="n"/>
      <c r="BH6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95">
        <f>_xlfn.LET(r,ROW(),oc,INDEX($A:$A,r),cv,TRIM(INDEX($Y:$Y,r)&amp;""),IF(oc&lt;&gt;"P1","",IF(cv="45","V45 - novo, nao alimentado pelo spool atual","V44 - alimentado pelo spool atual")))</f>
        <v/>
      </c>
    </row>
    <row r="696" ht="54" customFormat="1" customHeight="1" s="91">
      <c r="A696" s="306" t="inlineStr">
        <is>
          <t>P1</t>
        </is>
      </c>
      <c r="B696" s="307" t="n">
        <v>461</v>
      </c>
      <c r="C696" s="269" t="inlineStr">
        <is>
          <t>03 - Caractéristiques Générales</t>
        </is>
      </c>
      <c r="D696" s="310" t="inlineStr">
        <is>
          <t>03 - General characteristics</t>
        </is>
      </c>
      <c r="E696" s="372" t="inlineStr">
        <is>
          <t>P1 31.19</t>
        </is>
      </c>
      <c r="F696" s="308" t="inlineStr">
        <is>
          <t>Durée de la période d'anticipation à date d'arrêté</t>
        </is>
      </c>
      <c r="G696" s="309" t="inlineStr">
        <is>
          <t>Duration of the anticipation period at closing date</t>
        </is>
      </c>
      <c r="H696" s="1493">
        <f>"RPAD( "&amp;SUBSTITUTE(SUBSTITUTE(E696," ","_"),".","_")&amp;","&amp;W696&amp;",' '); -- "&amp;E696</f>
        <v/>
      </c>
      <c r="I696" s="308" t="inlineStr">
        <is>
          <t>La durée de la période d'anticipation (en mois) théorique ou réelle en fonction de l'état d'amortissement du prêt. Correspond à la durée entre la date du premier versement par la banque et la date de première échéance</t>
        </is>
      </c>
      <c r="J696" s="309" t="inlineStr">
        <is>
          <t>The duration of the anticipation period (in months), theoretical or real depending on the amortization status of the loan. Corresponds to the duration between the date of the first payment by the bank and the date of first repayment</t>
        </is>
      </c>
      <c r="K696" s="370" t="inlineStr">
        <is>
          <t>ND</t>
        </is>
      </c>
      <c r="L696" s="371" t="inlineStr">
        <is>
          <t>ND</t>
        </is>
      </c>
      <c r="M696" s="1420" t="inlineStr">
        <is>
          <t>DurReelPeriAnti</t>
        </is>
      </c>
      <c r="N696" s="257" t="inlineStr">
        <is>
          <t>Obligatoire sous conditions</t>
        </is>
      </c>
      <c r="O696" s="310" t="inlineStr">
        <is>
          <t>Mandatory under conditions</t>
        </is>
      </c>
      <c r="P696" s="269" t="inlineStr">
        <is>
          <t>NA</t>
        </is>
      </c>
      <c r="Q696" s="269" t="inlineStr">
        <is>
          <t>NA</t>
        </is>
      </c>
      <c r="R696" s="241" t="inlineStr">
        <is>
          <t>NA</t>
        </is>
      </c>
      <c r="S696" s="233" t="inlineStr">
        <is>
          <t>NA</t>
        </is>
      </c>
      <c r="T696" s="313" t="inlineStr">
        <is>
          <t>NUM</t>
        </is>
      </c>
      <c r="U696" s="237" t="inlineStr">
        <is>
          <t>6 dont signe</t>
        </is>
      </c>
      <c r="V696" s="238" t="inlineStr">
        <is>
          <t>6 including sign</t>
        </is>
      </c>
      <c r="W696" s="257" t="n">
        <v>6</v>
      </c>
      <c r="X696" s="945" t="inlineStr">
        <is>
          <t>NA</t>
        </is>
      </c>
      <c r="Y696" s="237" t="n">
        <v>43</v>
      </c>
      <c r="Z696" s="237" t="inlineStr">
        <is>
          <t>NA</t>
        </is>
      </c>
      <c r="AA696" s="270" t="inlineStr">
        <is>
          <t>NA</t>
        </is>
      </c>
      <c r="AB696" s="994" t="inlineStr">
        <is>
          <t>OCTROI DE CREDIT, PALMA</t>
        </is>
      </c>
      <c r="AC696" s="231" t="inlineStr">
        <is>
          <t>ND</t>
        </is>
      </c>
      <c r="AD696" s="257" t="inlineStr">
        <is>
          <t>N</t>
        </is>
      </c>
      <c r="AE696" s="1401" t="inlineStr">
        <is>
          <t>TRE2 à 4XX hors 203,205,206,207
TRE5XX</t>
        </is>
      </c>
      <c r="AF696" s="257" t="inlineStr">
        <is>
          <t>NA</t>
        </is>
      </c>
      <c r="AG696" s="258" t="inlineStr">
        <is>
          <t>NA</t>
        </is>
      </c>
      <c r="AH696" s="89" t="n"/>
      <c r="AI696" s="619" t="inlineStr">
        <is>
          <t>La donnée est obligatoire si le type de risque [P1 2.0] = 'TRE2xx' à 'TRE5xx', hors (TRE201,TRE203,TRE205, TRE206, TRE207) ET si la donnée usage du bien immobilier financé [P1 8.13] est renseignée et différente de '0'</t>
        </is>
      </c>
      <c r="AJ696" s="317" t="inlineStr">
        <is>
          <t>The data is mandatory if Risk type [P1 2.0] = 'TRE2xx' to 'TRE5xx', out (TRE201, TRE203, TRE205, TRE206, TRE207) AND the use of real estate data [P1 8.13] is filled and different from '0'</t>
        </is>
      </c>
      <c r="AK696" s="257" t="n">
        <v>5</v>
      </c>
      <c r="AL696" s="455" t="inlineStr">
        <is>
          <t>TPS0911</t>
        </is>
      </c>
      <c r="AM696" s="318" t="n"/>
      <c r="AN696" s="317" t="n"/>
      <c r="AO696" s="257" t="n"/>
      <c r="AP696" s="258" t="n"/>
      <c r="AQ696" s="322" t="inlineStr">
        <is>
          <t>Si renseignée, la donnée doit être positive (supérieure ou égale à 0)</t>
        </is>
      </c>
      <c r="AR696" s="317" t="inlineStr">
        <is>
          <t xml:space="preserve">If filled, data must be positive (greater or equal to 0) </t>
        </is>
      </c>
      <c r="AS696" s="257" t="n">
        <v>7</v>
      </c>
      <c r="AT696" s="345" t="inlineStr">
        <is>
          <t>TVG0001</t>
        </is>
      </c>
      <c r="AU696" s="318" t="n"/>
      <c r="AV696" s="317" t="n"/>
      <c r="AW696" s="257" t="n"/>
      <c r="AX696" s="258" t="n"/>
      <c r="AY696" s="318" t="n"/>
      <c r="AZ696" s="317" t="n"/>
      <c r="BA696" s="257" t="n"/>
      <c r="BB696" s="258" t="n"/>
      <c r="BC696" s="316" t="n"/>
      <c r="BD696" s="317" t="n"/>
      <c r="BE696" s="257" t="n"/>
      <c r="BF696" s="258" t="n"/>
      <c r="BG696" s="89" t="n"/>
      <c r="BH6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96">
        <f>_xlfn.LET(r,ROW(),oc,INDEX($A:$A,r),cv,TRIM(INDEX($Y:$Y,r)&amp;""),IF(oc&lt;&gt;"P1","",IF(cv="45","V45 - novo, nao alimentado pelo spool atual","V44 - alimentado pelo spool atual")))</f>
        <v/>
      </c>
    </row>
    <row r="697" ht="54" customFormat="1" customHeight="1" s="91">
      <c r="A697" s="306" t="inlineStr">
        <is>
          <t>P1</t>
        </is>
      </c>
      <c r="B697" s="307" t="n">
        <v>462</v>
      </c>
      <c r="C697" s="269" t="inlineStr">
        <is>
          <t>03 - Caractéristiques Générales</t>
        </is>
      </c>
      <c r="D697" s="310" t="inlineStr">
        <is>
          <t>03 - General characteristics</t>
        </is>
      </c>
      <c r="E697" s="372" t="inlineStr">
        <is>
          <t>P1 31.20</t>
        </is>
      </c>
      <c r="F697" s="308" t="inlineStr">
        <is>
          <t xml:space="preserve">Méthode de valorisation du bien </t>
        </is>
      </c>
      <c r="G697" s="309" t="inlineStr">
        <is>
          <t>Valuation method of the property</t>
        </is>
      </c>
      <c r="H697" s="1493">
        <f>"RPAD( "&amp;SUBSTITUTE(SUBSTITUTE(E697," ","_"),".","_")&amp;","&amp;W697&amp;",' '); -- "&amp;E697</f>
        <v/>
      </c>
      <c r="I697" s="241" t="inlineStr">
        <is>
          <t>Indique la méthode utilisée pour la valorisation ou la revalorisation du bien</t>
        </is>
      </c>
      <c r="J697" s="309" t="inlineStr">
        <is>
          <t>Indicates the method used for the valuation or revaluation of the property</t>
        </is>
      </c>
      <c r="K697" s="370" t="inlineStr">
        <is>
          <t>ND</t>
        </is>
      </c>
      <c r="L697" s="371" t="inlineStr">
        <is>
          <t>ND</t>
        </is>
      </c>
      <c r="M697" s="1420" t="inlineStr">
        <is>
          <t>cdMetRev</t>
        </is>
      </c>
      <c r="N697" s="597" t="inlineStr">
        <is>
          <t>Facultatif</t>
        </is>
      </c>
      <c r="O697" s="310" t="inlineStr">
        <is>
          <t>Optional</t>
        </is>
      </c>
      <c r="P697" s="269" t="inlineStr">
        <is>
          <t>LC.0057</t>
        </is>
      </c>
      <c r="Q697" s="269" t="inlineStr">
        <is>
          <t>TA KVVALOR</t>
        </is>
      </c>
      <c r="R697" s="241" t="inlineStr">
        <is>
          <t>NA</t>
        </is>
      </c>
      <c r="S697" s="233" t="inlineStr">
        <is>
          <t>NA</t>
        </is>
      </c>
      <c r="T697" s="313" t="inlineStr">
        <is>
          <t>ALPHA</t>
        </is>
      </c>
      <c r="U697" s="237" t="inlineStr">
        <is>
          <t>NA</t>
        </is>
      </c>
      <c r="V697" s="238" t="inlineStr">
        <is>
          <t>NA</t>
        </is>
      </c>
      <c r="W697" s="257" t="n">
        <v>1</v>
      </c>
      <c r="X697" s="945" t="inlineStr">
        <is>
          <t>NA</t>
        </is>
      </c>
      <c r="Y697" s="237" t="n">
        <v>43</v>
      </c>
      <c r="Z697" s="237" t="inlineStr">
        <is>
          <t>NA</t>
        </is>
      </c>
      <c r="AA697" s="283" t="inlineStr">
        <is>
          <t>NA</t>
        </is>
      </c>
      <c r="AB697" s="269" t="inlineStr">
        <is>
          <t>OCTROI DE CREDIT</t>
        </is>
      </c>
      <c r="AC697" s="231" t="inlineStr">
        <is>
          <t>ND</t>
        </is>
      </c>
      <c r="AD697" s="257" t="inlineStr">
        <is>
          <t>N</t>
        </is>
      </c>
      <c r="AE697" s="691" t="inlineStr">
        <is>
          <t xml:space="preserve">TRE2 à 4XX hors 203,205,206,207
TRE5XX
</t>
        </is>
      </c>
      <c r="AF697" s="257" t="inlineStr">
        <is>
          <t>NA</t>
        </is>
      </c>
      <c r="AG697" s="258" t="inlineStr">
        <is>
          <t>NA</t>
        </is>
      </c>
      <c r="AH697" s="89" t="n"/>
      <c r="AI697" s="619" t="n"/>
      <c r="AJ697" s="317" t="n"/>
      <c r="AK697" s="257" t="n"/>
      <c r="AL697" s="617" t="n"/>
      <c r="AM697" s="452" t="inlineStr">
        <is>
          <t>Si elle est renseignée, la valeur doit être connue du Langage Commun associé</t>
        </is>
      </c>
      <c r="AN697" s="377" t="inlineStr">
        <is>
          <t>If specified, the value must be known to the associated Common Language</t>
        </is>
      </c>
      <c r="AO697" s="257" t="n">
        <v>7</v>
      </c>
      <c r="AP697" s="212" t="inlineStr">
        <is>
          <t>TIG0001</t>
        </is>
      </c>
      <c r="AQ697" s="318" t="n"/>
      <c r="AR697" s="317" t="n"/>
      <c r="AS697" s="257" t="n"/>
      <c r="AT697" s="258" t="n"/>
      <c r="AU697" s="318" t="n"/>
      <c r="AV697" s="317" t="n"/>
      <c r="AW697" s="257" t="n"/>
      <c r="AX697" s="258" t="n"/>
      <c r="AY697" s="318" t="n"/>
      <c r="AZ697" s="317" t="n"/>
      <c r="BA697" s="257" t="n"/>
      <c r="BB697" s="258" t="n"/>
      <c r="BC697" s="316" t="n"/>
      <c r="BD697" s="317" t="n"/>
      <c r="BE697" s="257" t="n"/>
      <c r="BF697" s="258" t="n"/>
      <c r="BG697" s="89" t="n"/>
      <c r="BH6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97">
        <f>_xlfn.LET(r,ROW(),oc,INDEX($A:$A,r),cv,TRIM(INDEX($Y:$Y,r)&amp;""),IF(oc&lt;&gt;"P1","",IF(cv="45","V45 - novo, nao alimentado pelo spool atual","V44 - alimentado pelo spool atual")))</f>
        <v/>
      </c>
    </row>
    <row r="698" ht="54" customFormat="1" customHeight="1" s="91">
      <c r="A698" s="306" t="inlineStr">
        <is>
          <t>P1</t>
        </is>
      </c>
      <c r="B698" s="307" t="n">
        <v>463</v>
      </c>
      <c r="C698" s="269" t="inlineStr">
        <is>
          <t>03 - Caractéristiques Générales</t>
        </is>
      </c>
      <c r="D698" s="310" t="inlineStr">
        <is>
          <t>03 - General characteristics</t>
        </is>
      </c>
      <c r="E698" s="372" t="inlineStr">
        <is>
          <t>P1 31.21</t>
        </is>
      </c>
      <c r="F698" s="692" t="inlineStr">
        <is>
          <t>Type de sécurisation à l'octroi</t>
        </is>
      </c>
      <c r="G698" s="309" t="inlineStr">
        <is>
          <t>Type of security on grant</t>
        </is>
      </c>
      <c r="H698" s="1493">
        <f>"RPAD( "&amp;SUBSTITUTE(SUBSTITUTE(E698," ","_"),".","_")&amp;","&amp;W698&amp;",' '); -- "&amp;E698</f>
        <v/>
      </c>
      <c r="I698" s="241" t="inlineStr">
        <is>
          <t>Indique si le contrat est sécurisé ou pas et précise la nature de la garantie principale du contrat sécurisé à l'octroi</t>
        </is>
      </c>
      <c r="J698" s="309" t="inlineStr">
        <is>
          <t>Indicates whether the contract is secured or not and specifies the nature of the primary guarantee of the secured contract at grant</t>
        </is>
      </c>
      <c r="K698" s="370" t="inlineStr">
        <is>
          <t>ND</t>
        </is>
      </c>
      <c r="L698" s="371" t="inlineStr">
        <is>
          <t>ND</t>
        </is>
      </c>
      <c r="M698" s="1420" t="inlineStr">
        <is>
          <t>cdTypeGarPrincOctroi</t>
        </is>
      </c>
      <c r="N698" s="257" t="inlineStr">
        <is>
          <t>Obligatoire sous conditions</t>
        </is>
      </c>
      <c r="O698" s="310" t="inlineStr">
        <is>
          <t>Mandatory under conditions</t>
        </is>
      </c>
      <c r="P698" s="269" t="inlineStr">
        <is>
          <t>LC.0370</t>
        </is>
      </c>
      <c r="Q698" s="269" t="inlineStr">
        <is>
          <t>TA Z8ICTSEC</t>
        </is>
      </c>
      <c r="R698" s="241" t="inlineStr">
        <is>
          <t>NA</t>
        </is>
      </c>
      <c r="S698" s="233" t="inlineStr">
        <is>
          <t>NA</t>
        </is>
      </c>
      <c r="T698" s="313" t="inlineStr">
        <is>
          <t>ALPHA</t>
        </is>
      </c>
      <c r="U698" s="237" t="inlineStr">
        <is>
          <t>NA</t>
        </is>
      </c>
      <c r="V698" s="238" t="inlineStr">
        <is>
          <t>NA</t>
        </is>
      </c>
      <c r="W698" s="257" t="n">
        <v>2</v>
      </c>
      <c r="X698" s="945" t="inlineStr">
        <is>
          <t>NA</t>
        </is>
      </c>
      <c r="Y698" s="237" t="n">
        <v>43</v>
      </c>
      <c r="Z698" s="237" t="inlineStr">
        <is>
          <t>NA</t>
        </is>
      </c>
      <c r="AA698" s="270" t="inlineStr">
        <is>
          <t>NA</t>
        </is>
      </c>
      <c r="AB698" s="269" t="inlineStr">
        <is>
          <t>OCTROI DE CREDIT</t>
        </is>
      </c>
      <c r="AC698" s="231" t="inlineStr">
        <is>
          <t>ND</t>
        </is>
      </c>
      <c r="AD698" s="257" t="inlineStr">
        <is>
          <t>N</t>
        </is>
      </c>
      <c r="AE698" s="257" t="inlineStr">
        <is>
          <t xml:space="preserve">TRE2 à 4XX hors 203,205,206,207
TRE5XX
</t>
        </is>
      </c>
      <c r="AF698" s="257" t="inlineStr">
        <is>
          <t>NA</t>
        </is>
      </c>
      <c r="AG698" s="258" t="inlineStr">
        <is>
          <t>NA</t>
        </is>
      </c>
      <c r="AH698" s="89" t="n"/>
      <c r="AI698" s="316" t="inlineStr">
        <is>
          <t>La donnée est obligatoire si le type de risque [P1 2.0] = 'TRE2xx' à 'TRE5xx', hors (TRE201, TRE203, TRE205, TRE206, TRE207)</t>
        </is>
      </c>
      <c r="AJ698" s="317" t="inlineStr">
        <is>
          <t>The data is mandatory if Risk type [P1 2.0] = 'TRE2xx' to 'TRE5xx', out (TRE201, TRE203, TRE205, TRE206, TRE207)</t>
        </is>
      </c>
      <c r="AK698" s="257" t="n">
        <v>6</v>
      </c>
      <c r="AL698" s="366" t="inlineStr">
        <is>
          <t>TPS0803</t>
        </is>
      </c>
      <c r="AM698" s="452" t="inlineStr">
        <is>
          <t>Si elle est renseignée, la valeur doit être connue du Langage Commun associé</t>
        </is>
      </c>
      <c r="AN698" s="377" t="inlineStr">
        <is>
          <t>If specified, the value must be known to the associated Common Language</t>
        </is>
      </c>
      <c r="AO698" s="257" t="n">
        <v>7</v>
      </c>
      <c r="AP698" s="212" t="inlineStr">
        <is>
          <t>TIG0001</t>
        </is>
      </c>
      <c r="AQ698" s="318" t="n"/>
      <c r="AR698" s="317" t="n"/>
      <c r="AS698" s="257" t="n"/>
      <c r="AT698" s="258" t="n"/>
      <c r="AU698" s="318" t="n"/>
      <c r="AV698" s="317" t="n"/>
      <c r="AW698" s="257" t="n"/>
      <c r="AX698" s="258" t="n"/>
      <c r="AY698" s="318" t="n"/>
      <c r="AZ698" s="317" t="n"/>
      <c r="BA698" s="257" t="n"/>
      <c r="BB698" s="258" t="n"/>
      <c r="BC698" s="316" t="n"/>
      <c r="BD698" s="317" t="n"/>
      <c r="BE698" s="257" t="n"/>
      <c r="BF698" s="258" t="n"/>
      <c r="BG698" s="89" t="n"/>
      <c r="BH6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98">
        <f>_xlfn.LET(r,ROW(),oc,INDEX($A:$A,r),cv,TRIM(INDEX($Y:$Y,r)&amp;""),IF(oc&lt;&gt;"P1","",IF(cv="45","V45 - novo, nao alimentado pelo spool atual","V44 - alimentado pelo spool atual")))</f>
        <v/>
      </c>
    </row>
    <row r="699" ht="54" customFormat="1" customHeight="1" s="91">
      <c r="A699" s="306" t="inlineStr">
        <is>
          <t>P1</t>
        </is>
      </c>
      <c r="B699" s="307" t="n">
        <v>464</v>
      </c>
      <c r="C699" s="269" t="inlineStr">
        <is>
          <t>03 - Caractéristiques Générales</t>
        </is>
      </c>
      <c r="D699" s="310" t="inlineStr">
        <is>
          <t>03 - General characteristics</t>
        </is>
      </c>
      <c r="E699" s="372" t="inlineStr">
        <is>
          <t>P1 31.22</t>
        </is>
      </c>
      <c r="F699" s="692" t="inlineStr">
        <is>
          <t>Type de sécurisation à date</t>
        </is>
      </c>
      <c r="G699" s="309" t="inlineStr">
        <is>
          <t>Type of security at closing date</t>
        </is>
      </c>
      <c r="H699" s="1493">
        <f>"RPAD( "&amp;SUBSTITUTE(SUBSTITUTE(E699," ","_"),".","_")&amp;","&amp;W699&amp;",' '); -- "&amp;E699</f>
        <v/>
      </c>
      <c r="I699" s="241" t="inlineStr">
        <is>
          <t>Indique si le contrat est sécurisé ou pas et précise la nature de la garantie principale du contrat sécurisé à la date d'arrêté</t>
        </is>
      </c>
      <c r="J699" s="309" t="inlineStr">
        <is>
          <t>Indicates whether the contract is secured or not and specifies the nature of the primary guarantee of the secured contract at the cut-off date</t>
        </is>
      </c>
      <c r="K699" s="370" t="inlineStr">
        <is>
          <t>ND</t>
        </is>
      </c>
      <c r="L699" s="371" t="inlineStr">
        <is>
          <t>ND</t>
        </is>
      </c>
      <c r="M699" s="1420" t="inlineStr">
        <is>
          <t>cdTypeGarPrincDt</t>
        </is>
      </c>
      <c r="N699" s="257" t="inlineStr">
        <is>
          <t>Obligatoire sous conditions</t>
        </is>
      </c>
      <c r="O699" s="310" t="inlineStr">
        <is>
          <t>Mandatory under conditions</t>
        </is>
      </c>
      <c r="P699" s="269" t="inlineStr">
        <is>
          <t>LC.0370</t>
        </is>
      </c>
      <c r="Q699" s="269" t="inlineStr">
        <is>
          <t>TA Z8ICTSEC</t>
        </is>
      </c>
      <c r="R699" s="241" t="inlineStr">
        <is>
          <t>NA</t>
        </is>
      </c>
      <c r="S699" s="233" t="inlineStr">
        <is>
          <t>NA</t>
        </is>
      </c>
      <c r="T699" s="313" t="inlineStr">
        <is>
          <t>ALPHA</t>
        </is>
      </c>
      <c r="U699" s="237" t="inlineStr">
        <is>
          <t>NA</t>
        </is>
      </c>
      <c r="V699" s="238" t="inlineStr">
        <is>
          <t>NA</t>
        </is>
      </c>
      <c r="W699" s="257" t="n">
        <v>2</v>
      </c>
      <c r="X699" s="945" t="inlineStr">
        <is>
          <t>NA</t>
        </is>
      </c>
      <c r="Y699" s="237" t="n">
        <v>43</v>
      </c>
      <c r="Z699" s="237" t="inlineStr">
        <is>
          <t>NA</t>
        </is>
      </c>
      <c r="AA699" s="239" t="inlineStr">
        <is>
          <t>NA</t>
        </is>
      </c>
      <c r="AB699" s="269" t="inlineStr">
        <is>
          <t>ASTRE, OCTROI DE CREDIT</t>
        </is>
      </c>
      <c r="AC699" s="231" t="inlineStr">
        <is>
          <t>ND</t>
        </is>
      </c>
      <c r="AD699" s="257" t="inlineStr">
        <is>
          <t>N</t>
        </is>
      </c>
      <c r="AE699" s="257" t="inlineStr">
        <is>
          <t xml:space="preserve">TRE2 à 4XX hors 203,205,206,207
TRE5XX
</t>
        </is>
      </c>
      <c r="AF699" s="257" t="inlineStr">
        <is>
          <t>NA</t>
        </is>
      </c>
      <c r="AG699" s="258" t="inlineStr">
        <is>
          <t>NA</t>
        </is>
      </c>
      <c r="AH699" s="89" t="n"/>
      <c r="AI699" s="316" t="inlineStr">
        <is>
          <t>La donnée est obligatoire si le type de risque [P1 2.0] = 'TRE2xx' à 'TRE5xx', hors (TRE201, TRE203, TRE205, TRE206, TRE207)</t>
        </is>
      </c>
      <c r="AJ699" s="317" t="inlineStr">
        <is>
          <t>The data is mandatory if Risk type [P1 2.0] = 'TRE2xx' to 'TRE5xx', out (TRE201, TRE203, TRE205, TRE206, TRE207)</t>
        </is>
      </c>
      <c r="AK699" s="257" t="n">
        <v>6</v>
      </c>
      <c r="AL699" s="366" t="inlineStr">
        <is>
          <t>TPS0803</t>
        </is>
      </c>
      <c r="AM699" s="452" t="inlineStr">
        <is>
          <t>Si elle est renseignée, la valeur doit être connue du Langage Commun associé</t>
        </is>
      </c>
      <c r="AN699" s="377" t="inlineStr">
        <is>
          <t>If specified, the value must be known to the associated Common Language</t>
        </is>
      </c>
      <c r="AO699" s="257" t="n">
        <v>7</v>
      </c>
      <c r="AP699" s="212" t="inlineStr">
        <is>
          <t>TIG0001</t>
        </is>
      </c>
      <c r="AQ699" s="318" t="n"/>
      <c r="AR699" s="317" t="n"/>
      <c r="AS699" s="257" t="n"/>
      <c r="AT699" s="258" t="n"/>
      <c r="AU699" s="318" t="n"/>
      <c r="AV699" s="317" t="n"/>
      <c r="AW699" s="257" t="n"/>
      <c r="AX699" s="258" t="n"/>
      <c r="AY699" s="318" t="n"/>
      <c r="AZ699" s="317" t="n"/>
      <c r="BA699" s="257" t="n"/>
      <c r="BB699" s="258" t="n"/>
      <c r="BC699" s="316" t="n"/>
      <c r="BD699" s="317" t="n"/>
      <c r="BE699" s="257" t="n"/>
      <c r="BF699" s="258" t="n"/>
      <c r="BG699" s="89" t="n"/>
      <c r="BH6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699">
        <f>_xlfn.LET(r,ROW(),oc,INDEX($A:$A,r),cv,TRIM(INDEX($Y:$Y,r)&amp;""),IF(oc&lt;&gt;"P1","",IF(cv="45","V45 - novo, nao alimentado pelo spool atual","V44 - alimentado pelo spool atual")))</f>
        <v/>
      </c>
    </row>
    <row r="700" ht="54" customFormat="1" customHeight="1" s="91">
      <c r="A700" s="306" t="inlineStr">
        <is>
          <t>P1</t>
        </is>
      </c>
      <c r="B700" s="307" t="n">
        <v>465</v>
      </c>
      <c r="C700" s="269" t="inlineStr">
        <is>
          <t>03 - Caractéristiques Générales</t>
        </is>
      </c>
      <c r="D700" s="310" t="inlineStr">
        <is>
          <t>03 - General characteristics</t>
        </is>
      </c>
      <c r="E700" s="372" t="inlineStr">
        <is>
          <t>P1 31.23</t>
        </is>
      </c>
      <c r="F700" s="308" t="inlineStr">
        <is>
          <t>Montant des fonds remis à date</t>
        </is>
      </c>
      <c r="G700" s="309" t="inlineStr">
        <is>
          <t>Amount of funds provided to date</t>
        </is>
      </c>
      <c r="H700" s="1493">
        <f>"RPAD( "&amp;SUBSTITUTE(SUBSTITUTE(E700," ","_"),".","_")&amp;","&amp;W700&amp;",' '); -- "&amp;E700</f>
        <v/>
      </c>
      <c r="I700" s="693" t="inlineStr">
        <is>
          <t>Montant des fonds débloqués à date d'arrêté par la banque au client depuis l'octroi du crédit, hors remboursements</t>
        </is>
      </c>
      <c r="J700" s="489" t="inlineStr">
        <is>
          <t>Amount of funds provided on the closing date by the bank to the customer since the loan was granted, excluding reimbursements</t>
        </is>
      </c>
      <c r="K700" s="370" t="inlineStr">
        <is>
          <t>ND</t>
        </is>
      </c>
      <c r="L700" s="371" t="inlineStr">
        <is>
          <t>ND</t>
        </is>
      </c>
      <c r="M700" s="1420" t="inlineStr">
        <is>
          <t>mtRemis</t>
        </is>
      </c>
      <c r="N700" s="257" t="inlineStr">
        <is>
          <t>Obligatoire sous conditions</t>
        </is>
      </c>
      <c r="O700" s="310" t="inlineStr">
        <is>
          <t>Mandatory under conditions</t>
        </is>
      </c>
      <c r="P700" s="269" t="inlineStr">
        <is>
          <t>NA</t>
        </is>
      </c>
      <c r="Q700" s="269" t="inlineStr">
        <is>
          <t>NA</t>
        </is>
      </c>
      <c r="R700" s="241" t="inlineStr">
        <is>
          <t>NA</t>
        </is>
      </c>
      <c r="S700" s="233" t="inlineStr">
        <is>
          <t>NA</t>
        </is>
      </c>
      <c r="T700" s="307" t="inlineStr">
        <is>
          <t>NUM</t>
        </is>
      </c>
      <c r="U700" s="237" t="inlineStr">
        <is>
          <t>19 dont signe et 2 décimales</t>
        </is>
      </c>
      <c r="V700" s="238" t="inlineStr">
        <is>
          <t>19 including sign and 2 decimals</t>
        </is>
      </c>
      <c r="W700" s="257" t="n">
        <v>19</v>
      </c>
      <c r="X700" s="945" t="inlineStr">
        <is>
          <t>NA</t>
        </is>
      </c>
      <c r="Y700" s="237" t="n">
        <v>43</v>
      </c>
      <c r="Z700" s="237" t="inlineStr">
        <is>
          <t>NA</t>
        </is>
      </c>
      <c r="AA700" s="239" t="inlineStr">
        <is>
          <t>NA</t>
        </is>
      </c>
      <c r="AB700" s="269" t="inlineStr">
        <is>
          <t>OCTROI DE CREDIT, PALMA</t>
        </is>
      </c>
      <c r="AC700" s="231" t="inlineStr">
        <is>
          <t>ND</t>
        </is>
      </c>
      <c r="AD700" s="257" t="inlineStr">
        <is>
          <t>N</t>
        </is>
      </c>
      <c r="AE700" s="1401" t="inlineStr">
        <is>
          <t>TRE2 à 4XX hors 203,205,206,207
TRE5XX</t>
        </is>
      </c>
      <c r="AF700" s="257" t="inlineStr">
        <is>
          <t>NA</t>
        </is>
      </c>
      <c r="AG700" s="258" t="inlineStr">
        <is>
          <t>NA</t>
        </is>
      </c>
      <c r="AH700" s="89" t="n"/>
      <c r="AI700" s="353" t="inlineStr">
        <is>
          <t>La donnée est obligatoire si le type de risque [P1 2.0] = 'TRE2xx' à 'TRE4xx', 'TRE502' hors (TRE201,TRE203,TRE205, TRE206, TRE207)</t>
        </is>
      </c>
      <c r="AJ700" s="317" t="inlineStr">
        <is>
          <t>The data is mandatory if Risk type [P1 2.0] = 'TRE2xx' to 'TRE4xx', 'TRE502' out (TRE201,TRE203,TRE205,TRE206,TRE207)</t>
        </is>
      </c>
      <c r="AK700" s="269" t="n">
        <v>5</v>
      </c>
      <c r="AL700" s="345" t="inlineStr">
        <is>
          <t>TPS0767</t>
        </is>
      </c>
      <c r="AM700" s="318" t="n"/>
      <c r="AN700" s="317" t="n"/>
      <c r="AO700" s="257" t="n"/>
      <c r="AP700" s="258" t="n"/>
      <c r="AQ700" s="322" t="inlineStr">
        <is>
          <t>Si renseignée, la donnée doit être positive (supérieure ou égale à 0)</t>
        </is>
      </c>
      <c r="AR700" s="317" t="inlineStr">
        <is>
          <t xml:space="preserve">If filled, data must be positive (greater or equal to 0) </t>
        </is>
      </c>
      <c r="AS700" s="257" t="n">
        <v>6</v>
      </c>
      <c r="AT700" s="345" t="inlineStr">
        <is>
          <t>TVG0001</t>
        </is>
      </c>
      <c r="AU700" s="318" t="n"/>
      <c r="AV700" s="317" t="n"/>
      <c r="AW700" s="257" t="n"/>
      <c r="AX700" s="258" t="n"/>
      <c r="AY700" s="318" t="n"/>
      <c r="AZ700" s="317" t="n"/>
      <c r="BA700" s="257" t="n"/>
      <c r="BB700" s="258" t="n"/>
      <c r="BC700" s="316" t="n"/>
      <c r="BD700" s="317" t="n"/>
      <c r="BE700" s="257" t="n"/>
      <c r="BF700" s="258" t="n"/>
      <c r="BG700" s="89" t="n"/>
      <c r="BH7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00">
        <f>_xlfn.LET(r,ROW(),oc,INDEX($A:$A,r),cv,TRIM(INDEX($Y:$Y,r)&amp;""),IF(oc&lt;&gt;"P1","",IF(cv="45","V45 - novo, nao alimentado pelo spool atual","V44 - alimentado pelo spool atual")))</f>
        <v/>
      </c>
    </row>
    <row r="701" ht="54" customFormat="1" customHeight="1" s="91">
      <c r="A701" s="306" t="inlineStr">
        <is>
          <t>P1</t>
        </is>
      </c>
      <c r="B701" s="307" t="n">
        <v>466</v>
      </c>
      <c r="C701" s="269" t="inlineStr">
        <is>
          <t>03 - Caractéristiques Générales</t>
        </is>
      </c>
      <c r="D701" s="310" t="inlineStr">
        <is>
          <t>03 - General characteristics</t>
        </is>
      </c>
      <c r="E701" s="372" t="inlineStr">
        <is>
          <t>P1 31.24</t>
        </is>
      </c>
      <c r="F701" s="308" t="inlineStr">
        <is>
          <t>Devise du montant des fonds remis à date</t>
        </is>
      </c>
      <c r="G701" s="309" t="inlineStr">
        <is>
          <t>Currency of amount of funds provided to date</t>
        </is>
      </c>
      <c r="H701" s="1493">
        <f>"RPAD( "&amp;SUBSTITUTE(SUBSTITUTE(E701," ","_"),".","_")&amp;","&amp;W701&amp;",' '); -- "&amp;E701</f>
        <v/>
      </c>
      <c r="I701" s="241" t="inlineStr">
        <is>
          <t>Devise d'expression du montant des fonds remis à date</t>
        </is>
      </c>
      <c r="J701" s="309" t="inlineStr">
        <is>
          <t>Currency of amount of funds provided to date</t>
        </is>
      </c>
      <c r="K701" s="370" t="inlineStr">
        <is>
          <t>ND</t>
        </is>
      </c>
      <c r="L701" s="371" t="inlineStr">
        <is>
          <t>ND</t>
        </is>
      </c>
      <c r="M701" s="1420" t="inlineStr">
        <is>
          <t>cdDevRemis</t>
        </is>
      </c>
      <c r="N701" s="257" t="inlineStr">
        <is>
          <t>Obligatoire sous conditions</t>
        </is>
      </c>
      <c r="O701" s="310" t="inlineStr">
        <is>
          <t>Mandatory under conditions</t>
        </is>
      </c>
      <c r="P701" s="269" t="inlineStr">
        <is>
          <t>LC.0005</t>
        </is>
      </c>
      <c r="Q701" s="269" t="inlineStr">
        <is>
          <t>TA NM253</t>
        </is>
      </c>
      <c r="R701" s="241" t="inlineStr">
        <is>
          <t>NA</t>
        </is>
      </c>
      <c r="S701" s="233" t="inlineStr">
        <is>
          <t>NA</t>
        </is>
      </c>
      <c r="T701" s="313" t="inlineStr">
        <is>
          <t>ALPHA</t>
        </is>
      </c>
      <c r="U701" s="237" t="inlineStr">
        <is>
          <t>NA</t>
        </is>
      </c>
      <c r="V701" s="238" t="inlineStr">
        <is>
          <t>NA</t>
        </is>
      </c>
      <c r="W701" s="257" t="n">
        <v>3</v>
      </c>
      <c r="X701" s="945" t="inlineStr">
        <is>
          <t>NA</t>
        </is>
      </c>
      <c r="Y701" s="237" t="n">
        <v>43</v>
      </c>
      <c r="Z701" s="237" t="inlineStr">
        <is>
          <t>NA</t>
        </is>
      </c>
      <c r="AA701" s="239" t="inlineStr">
        <is>
          <t>NA</t>
        </is>
      </c>
      <c r="AB701" s="269" t="inlineStr">
        <is>
          <t>OCTROI DE CREDIT, PALMA</t>
        </is>
      </c>
      <c r="AC701" s="231" t="inlineStr">
        <is>
          <t>ND</t>
        </is>
      </c>
      <c r="AD701" s="257" t="inlineStr">
        <is>
          <t>N</t>
        </is>
      </c>
      <c r="AE701" s="257" t="inlineStr">
        <is>
          <t xml:space="preserve">TRE2 à 4XX hors 203,205,206,207
TRE5XX
</t>
        </is>
      </c>
      <c r="AF701" s="257" t="inlineStr">
        <is>
          <t>NA</t>
        </is>
      </c>
      <c r="AG701" s="258" t="inlineStr">
        <is>
          <t>NA</t>
        </is>
      </c>
      <c r="AH701" s="89" t="n"/>
      <c r="AI701" s="353" t="inlineStr">
        <is>
          <t>La donnée est obligatoire si le Montant des fonds remis à date [P1 31.23] est renseigné</t>
        </is>
      </c>
      <c r="AJ701" s="317" t="inlineStr">
        <is>
          <t>The data is mandatory if the Amount of funds provided to date [P1 31.23] is filled</t>
        </is>
      </c>
      <c r="AK701" s="269" t="n">
        <v>7</v>
      </c>
      <c r="AL701" s="335" t="inlineStr">
        <is>
          <t>TPG0002</t>
        </is>
      </c>
      <c r="AM701" s="452" t="inlineStr">
        <is>
          <t>Si elle est renseignée, la valeur doit être connue du Langage Commun associé</t>
        </is>
      </c>
      <c r="AN701" s="377" t="inlineStr">
        <is>
          <t>If specified, the value must be known to the associated Common Language</t>
        </is>
      </c>
      <c r="AO701" s="257" t="n">
        <v>7</v>
      </c>
      <c r="AP701" s="212" t="inlineStr">
        <is>
          <t>TIG0001</t>
        </is>
      </c>
      <c r="AQ701" s="318" t="n"/>
      <c r="AR701" s="317" t="n"/>
      <c r="AS701" s="257" t="n"/>
      <c r="AT701" s="258" t="n"/>
      <c r="AU701" s="318" t="n"/>
      <c r="AV701" s="317" t="n"/>
      <c r="AW701" s="257" t="n"/>
      <c r="AX701" s="258" t="n"/>
      <c r="AY701" s="318" t="n"/>
      <c r="AZ701" s="317" t="n"/>
      <c r="BA701" s="257" t="n"/>
      <c r="BB701" s="258" t="n"/>
      <c r="BC701" s="316" t="n"/>
      <c r="BD701" s="317" t="n"/>
      <c r="BE701" s="257" t="n"/>
      <c r="BF701" s="258" t="n"/>
      <c r="BG701" s="89" t="n"/>
      <c r="BH7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01">
        <f>_xlfn.LET(r,ROW(),oc,INDEX($A:$A,r),cv,TRIM(INDEX($Y:$Y,r)&amp;""),IF(oc&lt;&gt;"P1","",IF(cv="45","V45 - novo, nao alimentado pelo spool atual","V44 - alimentado pelo spool atual")))</f>
        <v/>
      </c>
    </row>
    <row r="702" ht="54" customFormat="1" customHeight="1" s="91">
      <c r="A702" s="306" t="inlineStr">
        <is>
          <t>P1</t>
        </is>
      </c>
      <c r="B702" s="307" t="n">
        <v>467</v>
      </c>
      <c r="C702" s="269" t="inlineStr">
        <is>
          <t>29 - Ratio</t>
        </is>
      </c>
      <c r="D702" s="310" t="inlineStr">
        <is>
          <t>29 - Ratio</t>
        </is>
      </c>
      <c r="E702" s="372" t="inlineStr">
        <is>
          <t>P1 31.25</t>
        </is>
      </c>
      <c r="F702" s="308" t="inlineStr">
        <is>
          <t>Interest Coverage Ratio (ICR) à l'octroi</t>
        </is>
      </c>
      <c r="G702" s="309" t="inlineStr">
        <is>
          <t>Interest Coverage Ratio (ICR) on grant</t>
        </is>
      </c>
      <c r="H702" s="1493">
        <f>"RPAD( "&amp;SUBSTITUTE(SUBSTITUTE(E702," ","_"),".","_")&amp;","&amp;W702&amp;",' '); -- "&amp;E702</f>
        <v/>
      </c>
      <c r="I702" s="241" t="inlineStr">
        <is>
          <t>Le ratio ICR (Interest Coverage Ratio) à l'octroi correspond au rapport entre l'excédent brut d'exploitation (EBE) de l'emprunteur et le coût annuel des intérêts du service total de la dette au moment du montage du prêt.
Exprimé en %</t>
        </is>
      </c>
      <c r="J702" s="309" t="inlineStr">
        <is>
          <t>The Interest Coverage Ratio (ICR) on grant corresponds to the ratio between the borrower's gross operating surplus (GOS) and the annual interest cost of the total debt service at the time of the loan
Expressed as %</t>
        </is>
      </c>
      <c r="K702" s="370" t="inlineStr">
        <is>
          <t>ND</t>
        </is>
      </c>
      <c r="L702" s="371" t="inlineStr">
        <is>
          <t>ND</t>
        </is>
      </c>
      <c r="M702" s="1420" t="inlineStr">
        <is>
          <t>txICROctroi</t>
        </is>
      </c>
      <c r="N702" s="257" t="inlineStr">
        <is>
          <t>Obligatoire sous conditions</t>
        </is>
      </c>
      <c r="O702" s="310" t="inlineStr">
        <is>
          <t>Mandatory under conditions</t>
        </is>
      </c>
      <c r="P702" s="269" t="inlineStr">
        <is>
          <t>NA</t>
        </is>
      </c>
      <c r="Q702" s="269" t="inlineStr">
        <is>
          <t>NA</t>
        </is>
      </c>
      <c r="R702" s="241" t="inlineStr">
        <is>
          <t>Pour le type de risque TRE2 à 4XX hors 203,205-207 : Pour les prêts immobilier à usage locatif
Pour le type de risque TRE5XX : Pour le crédit-bail immobilier</t>
        </is>
      </c>
      <c r="S702" s="233" t="inlineStr">
        <is>
          <t>For risk type TRE2 to 4XX excluding 203,205-207: For rental property loans
For risk type TRE5XX: For real estate leasing</t>
        </is>
      </c>
      <c r="T702" s="313" t="inlineStr">
        <is>
          <t>NUM</t>
        </is>
      </c>
      <c r="U702" s="237" t="inlineStr">
        <is>
          <t>15 dont signe et 9 décimales</t>
        </is>
      </c>
      <c r="V702" s="238" t="inlineStr">
        <is>
          <t>15 including sign and 9 decimals</t>
        </is>
      </c>
      <c r="W702" s="257" t="n">
        <v>15</v>
      </c>
      <c r="X702" s="945" t="inlineStr">
        <is>
          <t>NA</t>
        </is>
      </c>
      <c r="Y702" s="237" t="n">
        <v>43</v>
      </c>
      <c r="Z702" s="237" t="inlineStr">
        <is>
          <t>NA</t>
        </is>
      </c>
      <c r="AA702" s="239" t="inlineStr">
        <is>
          <t>NA</t>
        </is>
      </c>
      <c r="AB702" s="269" t="inlineStr">
        <is>
          <t>OCTROI DE CREDIT</t>
        </is>
      </c>
      <c r="AC702" s="231" t="inlineStr">
        <is>
          <t>ND</t>
        </is>
      </c>
      <c r="AD702" s="257" t="inlineStr">
        <is>
          <t>N</t>
        </is>
      </c>
      <c r="AE702" s="257" t="inlineStr">
        <is>
          <t xml:space="preserve">TRE2 à 4XX hors 203,205,206,207
TRE5XX
</t>
        </is>
      </c>
      <c r="AF702" s="257" t="inlineStr">
        <is>
          <t>NA</t>
        </is>
      </c>
      <c r="AG702" s="258" t="inlineStr">
        <is>
          <t>NA</t>
        </is>
      </c>
      <c r="AH702" s="89" t="n"/>
      <c r="AI702" s="353" t="inlineStr">
        <is>
          <t>La donnée est obligatoire si le type de risque [P1 2.0] = 'TRE2xx' à 'TRE4xx' hors (TRE201,TRE203,TRE205, TRE206, TRE207) et si la donnée objet financé [P1 22.7] = '03' et si la donnée méthodologie de notation [C1 4.3] du tiers en risque ='M1 ', 'M2', 'M41', 'M43' ou 'M44'
---
La donnée est obligatoire si le type de risque [P1 2.0] = 'TRE502' et si la donnée objet financé [P1 22.7] = '03' et si la donnée méthodologie de notation [C1 4.3] du tiers en risque ='M1 ', 'M2', 'M41', 'M43' ou 'M44'</t>
        </is>
      </c>
      <c r="AJ702" s="317" t="inlineStr">
        <is>
          <t>The data is mandatory if Risk type [P1 2.0] = 'TRE2xx' to 'TRE4xx' (except TRE201, TRE203, TRE205, TRE206, TRE207) and the funded object data [P1 22.7] = '03' and the rating methodology data [C1 4.3] of the third party in risk = 'M1 ', 'M2', 'M41', 'M43' or 'M43' 44'
---
The data is mandatory if Risk type [P1 2.0] = 'TRE502' and the funded object data [P1 22.7] = '03' and the rating methodology data [C1 4.3] of the third party in risk = 'M1 ', 'M2', 'M41', 'M43' or 'M43' 44'</t>
        </is>
      </c>
      <c r="AK702" s="269" t="n">
        <v>6</v>
      </c>
      <c r="AL702" s="258" t="inlineStr">
        <is>
          <t>TP0582
TP0706</t>
        </is>
      </c>
      <c r="AM702" s="318" t="n"/>
      <c r="AN702" s="317" t="n"/>
      <c r="AO702" s="257" t="n"/>
      <c r="AP702" s="258" t="n"/>
      <c r="AQ702" s="318" t="n"/>
      <c r="AR702" s="317" t="n"/>
      <c r="AS702" s="257" t="n"/>
      <c r="AT702" s="258" t="n"/>
      <c r="AU702" s="318" t="n"/>
      <c r="AV702" s="317" t="n"/>
      <c r="AW702" s="257" t="n"/>
      <c r="AX702" s="258" t="n"/>
      <c r="AY702" s="318" t="n"/>
      <c r="AZ702" s="317" t="n"/>
      <c r="BA702" s="257" t="n"/>
      <c r="BB702" s="258" t="n"/>
      <c r="BC702" s="316" t="n"/>
      <c r="BD702" s="317" t="n"/>
      <c r="BE702" s="257" t="n"/>
      <c r="BF702" s="258" t="n"/>
      <c r="BG702" s="89" t="n"/>
      <c r="BH7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02">
        <f>_xlfn.LET(r,ROW(),oc,INDEX($A:$A,r),cv,TRIM(INDEX($Y:$Y,r)&amp;""),IF(oc&lt;&gt;"P1","",IF(cv="45","V45 - novo, nao alimentado pelo spool atual","V44 - alimentado pelo spool atual")))</f>
        <v/>
      </c>
    </row>
    <row r="703" ht="54" customFormat="1" customHeight="1" s="91">
      <c r="A703" s="306" t="inlineStr">
        <is>
          <t>P1</t>
        </is>
      </c>
      <c r="B703" s="307" t="n">
        <v>468</v>
      </c>
      <c r="C703" s="269" t="inlineStr">
        <is>
          <t>29 - Ratio</t>
        </is>
      </c>
      <c r="D703" s="310" t="inlineStr">
        <is>
          <t>29 - Ratio</t>
        </is>
      </c>
      <c r="E703" s="372" t="inlineStr">
        <is>
          <t>P1 31.26</t>
        </is>
      </c>
      <c r="F703" s="308" t="inlineStr">
        <is>
          <t>Loan-to-rent ratio (LTR) à l'octroi</t>
        </is>
      </c>
      <c r="G703" s="309" t="inlineStr">
        <is>
          <t>Loan-to-rent ratio (LTR) on grant</t>
        </is>
      </c>
      <c r="H703" s="1493">
        <f>"RPAD( "&amp;SUBSTITUTE(SUBSTITUTE(E703," ","_"),".","_")&amp;","&amp;W703&amp;",' '); -- "&amp;E703</f>
        <v/>
      </c>
      <c r="I703" s="241" t="inlineStr">
        <is>
          <t>Correspond au ratio initial : valeur du montant du prêt sur le revenu locatif annuel
Exprimé en %</t>
        </is>
      </c>
      <c r="J703" s="309" t="inlineStr">
        <is>
          <t>Corresponds to the initial ratio: value of the loan amount to annual rental income
Expressed as %</t>
        </is>
      </c>
      <c r="K703" s="370" t="inlineStr">
        <is>
          <t>ND</t>
        </is>
      </c>
      <c r="L703" s="371" t="inlineStr">
        <is>
          <t>ND</t>
        </is>
      </c>
      <c r="M703" s="1420" t="inlineStr">
        <is>
          <t>txLTROctroi</t>
        </is>
      </c>
      <c r="N703" s="257" t="inlineStr">
        <is>
          <t>Obligatoire sous conditions</t>
        </is>
      </c>
      <c r="O703" s="310" t="inlineStr">
        <is>
          <t>Mandatory under conditions</t>
        </is>
      </c>
      <c r="P703" s="269" t="inlineStr">
        <is>
          <t>NA</t>
        </is>
      </c>
      <c r="Q703" s="269" t="inlineStr">
        <is>
          <t>NA</t>
        </is>
      </c>
      <c r="R703" s="241" t="inlineStr">
        <is>
          <t>Pour les prêts immobilier à usage locatif</t>
        </is>
      </c>
      <c r="S703" s="233" t="inlineStr">
        <is>
          <t>For rental mortgage</t>
        </is>
      </c>
      <c r="T703" s="313" t="inlineStr">
        <is>
          <t>NUM</t>
        </is>
      </c>
      <c r="U703" s="237" t="inlineStr">
        <is>
          <t>15 dont signe et 9 décimales</t>
        </is>
      </c>
      <c r="V703" s="238" t="inlineStr">
        <is>
          <t>15 including sign and 9 decimals</t>
        </is>
      </c>
      <c r="W703" s="257" t="n">
        <v>15</v>
      </c>
      <c r="X703" s="945" t="inlineStr">
        <is>
          <t>NA</t>
        </is>
      </c>
      <c r="Y703" s="237" t="n">
        <v>43</v>
      </c>
      <c r="Z703" s="237" t="inlineStr">
        <is>
          <t>NA</t>
        </is>
      </c>
      <c r="AA703" s="237" t="inlineStr">
        <is>
          <t>NA</t>
        </is>
      </c>
      <c r="AB703" s="269" t="inlineStr">
        <is>
          <t>OCTROI DE CREDIT, LOAN TAPE</t>
        </is>
      </c>
      <c r="AC703" s="231" t="inlineStr">
        <is>
          <t>ND</t>
        </is>
      </c>
      <c r="AD703" s="257" t="inlineStr">
        <is>
          <t>N</t>
        </is>
      </c>
      <c r="AE703" s="257" t="inlineStr">
        <is>
          <t xml:space="preserve">TRE2 à 4XX hors 203,205,206,207
</t>
        </is>
      </c>
      <c r="AF703" s="257" t="inlineStr">
        <is>
          <t>NA</t>
        </is>
      </c>
      <c r="AG703" s="258" t="inlineStr">
        <is>
          <t>NA</t>
        </is>
      </c>
      <c r="AH703" s="89" t="n"/>
      <c r="AI703" s="316" t="inlineStr">
        <is>
          <t>La donnée est obligatoire si le type de risque [P1 2.0] = 'TRE2xx' à 'TRE4xx' hors (TRE201,TRE203,TRE205, TRE206, TRE207) et si la donnée objet financé [P1 22.7] = '03' et si la donnée méthodologie de notation [C1 4.3] du tiers en risque ='M1 ', 'M2', 'M41', 'M43' ou 'M44'</t>
        </is>
      </c>
      <c r="AJ703" s="317" t="inlineStr">
        <is>
          <t>The data is mandatory if Risk type [P1 2.0] = 'TRE2xx' to 'TRE4xx', out (TRE201,TRE203,TRE205,TRE206,TRE207) and if the financed object data [P1 22.7] = '03' and if the rating methodology data [C1 4.3] of the third party in risk ='M1 ', 'M2', 'M41', 'M43' or 'M44'</t>
        </is>
      </c>
      <c r="AK703" s="257" t="n">
        <v>6</v>
      </c>
      <c r="AL703" s="258" t="inlineStr">
        <is>
          <t>TP0582</t>
        </is>
      </c>
      <c r="AM703" s="318" t="n"/>
      <c r="AN703" s="317" t="n"/>
      <c r="AO703" s="257" t="n"/>
      <c r="AP703" s="258" t="n"/>
      <c r="AQ703" s="318" t="n"/>
      <c r="AR703" s="317" t="n"/>
      <c r="AS703" s="257" t="n"/>
      <c r="AT703" s="258" t="n"/>
      <c r="AU703" s="318" t="n"/>
      <c r="AV703" s="317" t="n"/>
      <c r="AW703" s="257" t="n"/>
      <c r="AX703" s="258" t="n"/>
      <c r="AY703" s="318" t="n"/>
      <c r="AZ703" s="317" t="n"/>
      <c r="BA703" s="257" t="n"/>
      <c r="BB703" s="258" t="n"/>
      <c r="BC703" s="316" t="n"/>
      <c r="BD703" s="317" t="n"/>
      <c r="BE703" s="257" t="n"/>
      <c r="BF703" s="258" t="n"/>
      <c r="BG703" s="89" t="n"/>
      <c r="BH7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03">
        <f>_xlfn.LET(r,ROW(),oc,INDEX($A:$A,r),cv,TRIM(INDEX($Y:$Y,r)&amp;""),IF(oc&lt;&gt;"P1","",IF(cv="45","V45 - novo, nao alimentado pelo spool atual","V44 - alimentado pelo spool atual")))</f>
        <v/>
      </c>
    </row>
    <row r="704" ht="54" customFormat="1" customHeight="1" s="57">
      <c r="A704" s="325" t="inlineStr">
        <is>
          <t>P1</t>
        </is>
      </c>
      <c r="B704" s="326" t="n">
        <v>469</v>
      </c>
      <c r="C704" s="284" t="inlineStr">
        <is>
          <t>03 - Caractéristiques Générales</t>
        </is>
      </c>
      <c r="D704" s="284" t="inlineStr">
        <is>
          <t>03 - General characteristics</t>
        </is>
      </c>
      <c r="E704" s="326" t="inlineStr">
        <is>
          <t>P1 31.27</t>
        </is>
      </c>
      <c r="F704" s="327" t="inlineStr">
        <is>
          <t>LSTI à l'octroi</t>
        </is>
      </c>
      <c r="G704" s="327" t="inlineStr">
        <is>
          <t>LSTI on grant</t>
        </is>
      </c>
      <c r="H704" s="1493">
        <f>"RPAD( "&amp;SUBSTITUTE(SUBSTITUTE(E704," ","_"),".","_")&amp;","&amp;W704&amp;",' '); -- "&amp;E704</f>
        <v/>
      </c>
      <c r="I704" s="245" t="inlineStr">
        <is>
          <t>Le taux LSTI (Loan-Service-To Income ratio) à l'octroi correspond au taux d'endettement lié au prêt non global
Pour les crédits aux particuliers</t>
        </is>
      </c>
      <c r="J704" s="245" t="inlineStr">
        <is>
          <t xml:space="preserve">The LSTI (Loan-Service-To-Income ratio at origination) rate corresponds to the debt ratio linked to the loan at issue.
For loans to individuals.
</t>
        </is>
      </c>
      <c r="K704" s="284" t="inlineStr">
        <is>
          <t>NA</t>
        </is>
      </c>
      <c r="L704" s="284" t="inlineStr">
        <is>
          <t>NA</t>
        </is>
      </c>
      <c r="M704" s="1421" t="inlineStr">
        <is>
          <t>txLSTIOctroi</t>
        </is>
      </c>
      <c r="N704" s="284" t="inlineStr">
        <is>
          <t>NA</t>
        </is>
      </c>
      <c r="O704" s="284" t="inlineStr">
        <is>
          <t>NA</t>
        </is>
      </c>
      <c r="P704" s="284" t="inlineStr">
        <is>
          <t>NA</t>
        </is>
      </c>
      <c r="Q704" s="284" t="inlineStr">
        <is>
          <t>NA</t>
        </is>
      </c>
      <c r="R704" s="245" t="inlineStr">
        <is>
          <t>NA</t>
        </is>
      </c>
      <c r="S704" s="245" t="inlineStr">
        <is>
          <t>NA</t>
        </is>
      </c>
      <c r="T704" s="326" t="inlineStr">
        <is>
          <t>NUM</t>
        </is>
      </c>
      <c r="U704" s="248" t="inlineStr">
        <is>
          <t>15 dont signe et 9 décimales</t>
        </is>
      </c>
      <c r="V704" s="248" t="inlineStr">
        <is>
          <t>15 including sign and 9 decimals</t>
        </is>
      </c>
      <c r="W704" s="284" t="n">
        <v>15</v>
      </c>
      <c r="X704" s="244" t="inlineStr">
        <is>
          <t>NA</t>
        </is>
      </c>
      <c r="Y704" s="248" t="n">
        <v>43</v>
      </c>
      <c r="Z704" s="248" t="n">
        <v>43</v>
      </c>
      <c r="AA704" s="248" t="inlineStr">
        <is>
          <t>NA</t>
        </is>
      </c>
      <c r="AB704" s="284" t="inlineStr">
        <is>
          <t>NA</t>
        </is>
      </c>
      <c r="AC704" s="244" t="inlineStr">
        <is>
          <t>NA</t>
        </is>
      </c>
      <c r="AD704" s="284" t="inlineStr">
        <is>
          <t>N</t>
        </is>
      </c>
      <c r="AE704" s="284" t="inlineStr">
        <is>
          <t>NA</t>
        </is>
      </c>
      <c r="AF704" s="284" t="inlineStr">
        <is>
          <t>NA</t>
        </is>
      </c>
      <c r="AG704" s="285" t="inlineStr">
        <is>
          <t>NA</t>
        </is>
      </c>
      <c r="AH704" s="89" t="n"/>
      <c r="AI704" s="330" t="n"/>
      <c r="AJ704" s="331" t="n"/>
      <c r="AK704" s="284" t="n"/>
      <c r="AL704" s="285" t="n"/>
      <c r="AM704" s="331" t="n"/>
      <c r="AN704" s="331" t="n"/>
      <c r="AO704" s="284" t="n"/>
      <c r="AP704" s="285" t="n"/>
      <c r="AQ704" s="331" t="n"/>
      <c r="AR704" s="331" t="n"/>
      <c r="AS704" s="284" t="n"/>
      <c r="AT704" s="285" t="n"/>
      <c r="AU704" s="331" t="n"/>
      <c r="AV704" s="331" t="n"/>
      <c r="AW704" s="284" t="n"/>
      <c r="AX704" s="285" t="n"/>
      <c r="AY704" s="331" t="n"/>
      <c r="AZ704" s="331" t="n"/>
      <c r="BA704" s="284" t="n"/>
      <c r="BB704" s="285" t="n"/>
      <c r="BC704" s="330" t="n"/>
      <c r="BD704" s="331" t="n"/>
      <c r="BE704" s="284" t="n"/>
      <c r="BF704" s="285" t="n"/>
      <c r="BG704" s="89" t="n"/>
      <c r="BH7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04">
        <f>_xlfn.LET(r,ROW(),oc,INDEX($A:$A,r),cv,TRIM(INDEX($Y:$Y,r)&amp;""),IF(oc&lt;&gt;"P1","",IF(cv="45","V45 - novo, nao alimentado pelo spool atual","V44 - alimentado pelo spool atual")))</f>
        <v/>
      </c>
    </row>
    <row r="705" ht="54" customFormat="1" customHeight="1" s="57">
      <c r="A705" s="325" t="inlineStr">
        <is>
          <t>P1</t>
        </is>
      </c>
      <c r="B705" s="326" t="n">
        <v>470</v>
      </c>
      <c r="C705" s="284" t="inlineStr">
        <is>
          <t>03 - Caractéristiques Générales</t>
        </is>
      </c>
      <c r="D705" s="284" t="inlineStr">
        <is>
          <t>03 - General characteristics</t>
        </is>
      </c>
      <c r="E705" s="326" t="inlineStr">
        <is>
          <t>P1 31.28</t>
        </is>
      </c>
      <c r="F705" s="327" t="inlineStr">
        <is>
          <t>DSTI à l'octroi</t>
        </is>
      </c>
      <c r="G705" s="327" t="inlineStr">
        <is>
          <t>DSTI on grant</t>
        </is>
      </c>
      <c r="H705" s="1493">
        <f>"RPAD( "&amp;SUBSTITUTE(SUBSTITUTE(E705," ","_"),".","_")&amp;","&amp;W705&amp;",' '); -- "&amp;E705</f>
        <v/>
      </c>
      <c r="I705" s="245" t="inlineStr">
        <is>
          <t>Le taux DSTI à l'octroi (Debt-Service To Income ratio) à l'octroi correspond au taux d'endettement global
Pour les crédits aux particuliers</t>
        </is>
      </c>
      <c r="J705" s="245" t="inlineStr">
        <is>
          <t xml:space="preserve">The DSTI (Debt-Service To Income ratio at origination) rate corresponds to the overall debt ratio.
For loans to individuals
</t>
        </is>
      </c>
      <c r="K705" s="284" t="inlineStr">
        <is>
          <t>NA</t>
        </is>
      </c>
      <c r="L705" s="284" t="inlineStr">
        <is>
          <t>NA</t>
        </is>
      </c>
      <c r="M705" s="1421" t="inlineStr">
        <is>
          <t>txDSTIOctroi</t>
        </is>
      </c>
      <c r="N705" s="284" t="inlineStr">
        <is>
          <t>NA</t>
        </is>
      </c>
      <c r="O705" s="284" t="inlineStr">
        <is>
          <t>NA</t>
        </is>
      </c>
      <c r="P705" s="284" t="inlineStr">
        <is>
          <t>NA</t>
        </is>
      </c>
      <c r="Q705" s="284" t="inlineStr">
        <is>
          <t>NA</t>
        </is>
      </c>
      <c r="R705" s="245" t="inlineStr">
        <is>
          <t>NA</t>
        </is>
      </c>
      <c r="S705" s="245" t="inlineStr">
        <is>
          <t>NA</t>
        </is>
      </c>
      <c r="T705" s="326" t="inlineStr">
        <is>
          <t>NUM</t>
        </is>
      </c>
      <c r="U705" s="248" t="inlineStr">
        <is>
          <t>15 dont signe et 9 décimales</t>
        </is>
      </c>
      <c r="V705" s="248" t="inlineStr">
        <is>
          <t>15 including sign and 9 decimals</t>
        </is>
      </c>
      <c r="W705" s="284" t="n">
        <v>15</v>
      </c>
      <c r="X705" s="244" t="inlineStr">
        <is>
          <t>NA</t>
        </is>
      </c>
      <c r="Y705" s="248" t="n">
        <v>43</v>
      </c>
      <c r="Z705" s="248" t="n">
        <v>43</v>
      </c>
      <c r="AA705" s="248" t="inlineStr">
        <is>
          <t>NA</t>
        </is>
      </c>
      <c r="AB705" s="244" t="inlineStr">
        <is>
          <t>NA</t>
        </is>
      </c>
      <c r="AC705" s="244" t="inlineStr">
        <is>
          <t>NA</t>
        </is>
      </c>
      <c r="AD705" s="284" t="inlineStr">
        <is>
          <t>N</t>
        </is>
      </c>
      <c r="AE705" s="284" t="inlineStr">
        <is>
          <t>NA</t>
        </is>
      </c>
      <c r="AF705" s="284" t="inlineStr">
        <is>
          <t>NA</t>
        </is>
      </c>
      <c r="AG705" s="285" t="inlineStr">
        <is>
          <t>NA</t>
        </is>
      </c>
      <c r="AH705" s="89" t="n"/>
      <c r="AI705" s="330" t="n"/>
      <c r="AJ705" s="331" t="n"/>
      <c r="AK705" s="284" t="n"/>
      <c r="AL705" s="285" t="n"/>
      <c r="AM705" s="331" t="n"/>
      <c r="AN705" s="331" t="n"/>
      <c r="AO705" s="284" t="n"/>
      <c r="AP705" s="285" t="n"/>
      <c r="AQ705" s="331" t="n"/>
      <c r="AR705" s="331" t="n"/>
      <c r="AS705" s="284" t="n"/>
      <c r="AT705" s="285" t="n"/>
      <c r="AU705" s="331" t="n"/>
      <c r="AV705" s="331" t="n"/>
      <c r="AW705" s="284" t="n"/>
      <c r="AX705" s="285" t="n"/>
      <c r="AY705" s="331" t="n"/>
      <c r="AZ705" s="331" t="n"/>
      <c r="BA705" s="284" t="n"/>
      <c r="BB705" s="285" t="n"/>
      <c r="BC705" s="330" t="n"/>
      <c r="BD705" s="331" t="n"/>
      <c r="BE705" s="284" t="n"/>
      <c r="BF705" s="285" t="n"/>
      <c r="BG705" s="89" t="n"/>
      <c r="BH7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05">
        <f>_xlfn.LET(r,ROW(),oc,INDEX($A:$A,r),cv,TRIM(INDEX($Y:$Y,r)&amp;""),IF(oc&lt;&gt;"P1","",IF(cv="45","V45 - novo, nao alimentado pelo spool atual","V44 - alimentado pelo spool atual")))</f>
        <v/>
      </c>
    </row>
    <row r="706" ht="54" customFormat="1" customHeight="1" s="91">
      <c r="A706" s="306" t="inlineStr">
        <is>
          <t>P1</t>
        </is>
      </c>
      <c r="B706" s="307" t="n">
        <v>471</v>
      </c>
      <c r="C706" s="269" t="inlineStr">
        <is>
          <t>03 - Caractéristiques Générales</t>
        </is>
      </c>
      <c r="D706" s="310" t="inlineStr">
        <is>
          <t>03 - General characteristics</t>
        </is>
      </c>
      <c r="E706" s="372" t="inlineStr">
        <is>
          <t>P1 31.29</t>
        </is>
      </c>
      <c r="F706" s="308" t="inlineStr">
        <is>
          <t>Taux de marge du crédit brut à l'octroi</t>
        </is>
      </c>
      <c r="G706" s="309" t="inlineStr">
        <is>
          <t xml:space="preserve"> Margin rate of gross credit to grant</t>
        </is>
      </c>
      <c r="H706" s="1493">
        <f>"RPAD( "&amp;SUBSTITUTE(SUBSTITUTE(E706," ","_"),".","_")&amp;","&amp;W706&amp;",' '); -- "&amp;E706</f>
        <v/>
      </c>
      <c r="I706" s="241" t="inlineStr">
        <is>
          <t>Taux de marge du crédit brut à l'octroi : différence Taux client / Taux de refinancement (incluant le coût de la liquidité)
Exprimé en %</t>
        </is>
      </c>
      <c r="J706" s="309" t="inlineStr">
        <is>
          <t>Margin rate of gross credit to be granted: customer rate/refinancing rate difference (including the cost of liquidity)
Expressed as %</t>
        </is>
      </c>
      <c r="K706" s="370" t="inlineStr">
        <is>
          <t>ND</t>
        </is>
      </c>
      <c r="L706" s="371" t="inlineStr">
        <is>
          <t>ND</t>
        </is>
      </c>
      <c r="M706" s="1420" t="inlineStr">
        <is>
          <t>txMardeCreditOctroi</t>
        </is>
      </c>
      <c r="N706" s="257" t="inlineStr">
        <is>
          <t>Obligatoire sous conditions</t>
        </is>
      </c>
      <c r="O706" s="310" t="inlineStr">
        <is>
          <t>Mandatory under conditions</t>
        </is>
      </c>
      <c r="P706" s="269" t="inlineStr">
        <is>
          <t>NA</t>
        </is>
      </c>
      <c r="Q706" s="269" t="inlineStr">
        <is>
          <t>NA</t>
        </is>
      </c>
      <c r="R706" s="241" t="inlineStr">
        <is>
          <t>NA</t>
        </is>
      </c>
      <c r="S706" s="233" t="inlineStr">
        <is>
          <t>NA</t>
        </is>
      </c>
      <c r="T706" s="313" t="inlineStr">
        <is>
          <t>NUM</t>
        </is>
      </c>
      <c r="U706" s="237" t="inlineStr">
        <is>
          <t>15 dont signe et 9 décimales</t>
        </is>
      </c>
      <c r="V706" s="238" t="inlineStr">
        <is>
          <t>15 including sign and 9 decimals</t>
        </is>
      </c>
      <c r="W706" s="257" t="n">
        <v>15</v>
      </c>
      <c r="X706" s="945" t="inlineStr">
        <is>
          <t>NA</t>
        </is>
      </c>
      <c r="Y706" s="237" t="n">
        <v>43</v>
      </c>
      <c r="Z706" s="237" t="inlineStr">
        <is>
          <t>NA</t>
        </is>
      </c>
      <c r="AA706" s="239" t="inlineStr">
        <is>
          <t>NA</t>
        </is>
      </c>
      <c r="AB706" s="269" t="inlineStr">
        <is>
          <t>OCTROI DE CREDIT</t>
        </is>
      </c>
      <c r="AC706" s="231" t="inlineStr">
        <is>
          <t>ND</t>
        </is>
      </c>
      <c r="AD706" s="257" t="inlineStr">
        <is>
          <t>N</t>
        </is>
      </c>
      <c r="AE706" s="1401" t="inlineStr">
        <is>
          <t>TRE2 à 4XX hors 203,205,206,207
TRE5XX</t>
        </is>
      </c>
      <c r="AF706" s="257" t="inlineStr">
        <is>
          <t>NA</t>
        </is>
      </c>
      <c r="AG706" s="258" t="inlineStr">
        <is>
          <t>NA</t>
        </is>
      </c>
      <c r="AH706" s="89" t="n"/>
      <c r="AI706" s="316" t="inlineStr">
        <is>
          <t>La donnée est obligatoire si le type de risque [P1 2.0] = 'TRE2xx' à 'TRE5xx', hors (TRE201, TRE203, TRE205, TRE206, TRE207)</t>
        </is>
      </c>
      <c r="AJ706" s="317" t="inlineStr">
        <is>
          <t>The data is mandatory if Risk type [P1 2.0] = 'TRE2xx' to 'TRE5xx', out (TRE201, TRE203, TRE205, TRE206, TRE207)</t>
        </is>
      </c>
      <c r="AK706" s="257" t="n">
        <v>5</v>
      </c>
      <c r="AL706" s="366" t="inlineStr">
        <is>
          <t>TPS0803</t>
        </is>
      </c>
      <c r="AM706" s="318" t="n"/>
      <c r="AN706" s="317" t="n"/>
      <c r="AO706" s="257" t="n"/>
      <c r="AP706" s="258" t="n"/>
      <c r="AQ706" s="318" t="n"/>
      <c r="AR706" s="317" t="n"/>
      <c r="AS706" s="257" t="n"/>
      <c r="AT706" s="258" t="n"/>
      <c r="AU706" s="318" t="n"/>
      <c r="AV706" s="317" t="n"/>
      <c r="AW706" s="257" t="n"/>
      <c r="AX706" s="258" t="n"/>
      <c r="AY706" s="318" t="n"/>
      <c r="AZ706" s="317" t="n"/>
      <c r="BA706" s="257" t="n"/>
      <c r="BB706" s="258" t="n"/>
      <c r="BC706" s="316" t="n"/>
      <c r="BD706" s="317" t="n"/>
      <c r="BE706" s="257" t="n"/>
      <c r="BF706" s="258" t="n"/>
      <c r="BG706" s="89" t="n"/>
      <c r="BH7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06">
        <f>_xlfn.LET(r,ROW(),oc,INDEX($A:$A,r),cv,TRIM(INDEX($Y:$Y,r)&amp;""),IF(oc&lt;&gt;"P1","",IF(cv="45","V45 - novo, nao alimentado pelo spool atual","V44 - alimentado pelo spool atual")))</f>
        <v/>
      </c>
    </row>
    <row r="707" ht="54" customFormat="1" customHeight="1" s="91">
      <c r="A707" s="306" t="inlineStr">
        <is>
          <t>P1</t>
        </is>
      </c>
      <c r="B707" s="307" t="n">
        <v>472</v>
      </c>
      <c r="C707" s="269" t="inlineStr">
        <is>
          <t>10 - Caractéristiques Engagements par Signature</t>
        </is>
      </c>
      <c r="D707" s="310" t="inlineStr">
        <is>
          <t>10 - Funds in use by signature characteristics</t>
        </is>
      </c>
      <c r="E707" s="372" t="inlineStr">
        <is>
          <t>P1 31.37</t>
        </is>
      </c>
      <c r="F707" s="308" t="inlineStr">
        <is>
          <t>Indicateur garantie sans limite</t>
        </is>
      </c>
      <c r="G707" s="309" t="inlineStr">
        <is>
          <t>Unlimited commitment indicator</t>
        </is>
      </c>
      <c r="H707" s="1493">
        <f>"RPAD( "&amp;SUBSTITUTE(SUBSTITUTE(E707," ","_"),".","_")&amp;","&amp;W707&amp;",' '); -- "&amp;E707</f>
        <v/>
      </c>
      <c r="I707" s="241" t="inlineStr">
        <is>
          <t>Identifie les garanties données sans limite de montant</t>
        </is>
      </c>
      <c r="J707" s="633" t="inlineStr">
        <is>
          <t>Allows to identify guarantees given without limit of amount</t>
        </is>
      </c>
      <c r="K707" s="640" t="inlineStr">
        <is>
          <t>ND</t>
        </is>
      </c>
      <c r="L707" s="694" t="inlineStr">
        <is>
          <t>ND</t>
        </is>
      </c>
      <c r="M707" s="1420" t="inlineStr">
        <is>
          <t>indGar</t>
        </is>
      </c>
      <c r="N707" s="257" t="inlineStr">
        <is>
          <t>Obligatoire sous conditions</t>
        </is>
      </c>
      <c r="O707" s="310" t="inlineStr">
        <is>
          <t>Mandatory under conditions</t>
        </is>
      </c>
      <c r="P707" s="269" t="inlineStr">
        <is>
          <t>LC.0338</t>
        </is>
      </c>
      <c r="Q707" s="269" t="inlineStr">
        <is>
          <t>TA Z8IESLIM</t>
        </is>
      </c>
      <c r="R707" s="241" t="inlineStr">
        <is>
          <t>NA</t>
        </is>
      </c>
      <c r="S707" s="233" t="inlineStr">
        <is>
          <t>NA</t>
        </is>
      </c>
      <c r="T707" s="313" t="inlineStr">
        <is>
          <t>ALPHA</t>
        </is>
      </c>
      <c r="U707" s="237" t="inlineStr">
        <is>
          <t>NA</t>
        </is>
      </c>
      <c r="V707" s="238" t="inlineStr">
        <is>
          <t>NA</t>
        </is>
      </c>
      <c r="W707" s="257" t="n">
        <v>1</v>
      </c>
      <c r="X707" s="945" t="inlineStr">
        <is>
          <t>NA</t>
        </is>
      </c>
      <c r="Y707" s="237" t="n">
        <v>43</v>
      </c>
      <c r="Z707" s="237" t="inlineStr">
        <is>
          <t>NA</t>
        </is>
      </c>
      <c r="AA707" s="239" t="inlineStr">
        <is>
          <t>NA</t>
        </is>
      </c>
      <c r="AB707" s="269" t="inlineStr">
        <is>
          <t>MREL</t>
        </is>
      </c>
      <c r="AC707" s="231" t="inlineStr">
        <is>
          <t>ND</t>
        </is>
      </c>
      <c r="AD707" s="257" t="inlineStr">
        <is>
          <t>N</t>
        </is>
      </c>
      <c r="AE707" s="257" t="inlineStr">
        <is>
          <t xml:space="preserve">SIG
</t>
        </is>
      </c>
      <c r="AF707" s="257" t="inlineStr">
        <is>
          <t>NA</t>
        </is>
      </c>
      <c r="AG707" s="258" t="inlineStr">
        <is>
          <t>NA</t>
        </is>
      </c>
      <c r="AH707" s="89" t="n"/>
      <c r="AI707" s="316" t="inlineStr">
        <is>
          <t xml:space="preserve">La donnée est obligatoire si le type de risque [P1 2.0] = 'SIGxxx' </t>
        </is>
      </c>
      <c r="AJ707" s="317" t="inlineStr">
        <is>
          <t xml:space="preserve">The data is mandatory if risk type [P1 2.0] = 'SIGxxx' </t>
        </is>
      </c>
      <c r="AK707" s="257" t="n">
        <v>7</v>
      </c>
      <c r="AL707" s="335" t="inlineStr">
        <is>
          <t>TPS0756</t>
        </is>
      </c>
      <c r="AM707" s="452" t="inlineStr">
        <is>
          <t>Si elle est renseignée, la valeur doit être connue du Langage Commun associé</t>
        </is>
      </c>
      <c r="AN707" s="377" t="inlineStr">
        <is>
          <t>If specified, the value must be known to the associated Common Language</t>
        </is>
      </c>
      <c r="AO707" s="257" t="n">
        <v>7</v>
      </c>
      <c r="AP707" s="212" t="inlineStr">
        <is>
          <t>TIG0001</t>
        </is>
      </c>
      <c r="AQ707" s="318" t="n"/>
      <c r="AR707" s="317" t="n"/>
      <c r="AS707" s="257" t="n"/>
      <c r="AT707" s="258" t="n"/>
      <c r="AU707" s="318" t="n"/>
      <c r="AV707" s="317" t="n"/>
      <c r="AW707" s="257" t="n"/>
      <c r="AX707" s="258" t="n"/>
      <c r="AY707" s="318" t="n"/>
      <c r="AZ707" s="317" t="n"/>
      <c r="BA707" s="257" t="n"/>
      <c r="BB707" s="258" t="n"/>
      <c r="BC707" s="316" t="n"/>
      <c r="BD707" s="317" t="n"/>
      <c r="BE707" s="257" t="n"/>
      <c r="BF707" s="258" t="n"/>
      <c r="BG707" s="89" t="n"/>
      <c r="BH7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07">
        <f>_xlfn.LET(r,ROW(),oc,INDEX($A:$A,r),cv,TRIM(INDEX($Y:$Y,r)&amp;""),IF(oc&lt;&gt;"P1","",IF(cv="45","V45 - novo, nao alimentado pelo spool atual","V44 - alimentado pelo spool atual")))</f>
        <v/>
      </c>
    </row>
    <row r="708" ht="54" customFormat="1" customHeight="1" s="91">
      <c r="A708" s="306" t="inlineStr">
        <is>
          <t>P1</t>
        </is>
      </c>
      <c r="B708" s="307" t="n">
        <v>473</v>
      </c>
      <c r="C708" s="269" t="inlineStr">
        <is>
          <t>10 - Caractéristiques Engagements par Signature</t>
        </is>
      </c>
      <c r="D708" s="310" t="inlineStr">
        <is>
          <t>10 - Funds in use by signature characteristics</t>
        </is>
      </c>
      <c r="E708" s="372" t="inlineStr">
        <is>
          <t>P1 31.38</t>
        </is>
      </c>
      <c r="F708" s="308" t="inlineStr">
        <is>
          <t>Etendue de la garantie donnée</t>
        </is>
      </c>
      <c r="G708" s="309" t="inlineStr">
        <is>
          <t xml:space="preserve">Scope of the mitigant given </t>
        </is>
      </c>
      <c r="H708" s="1493">
        <f>"RPAD( "&amp;SUBSTITUTE(SUBSTITUTE(E708," ","_"),".","_")&amp;","&amp;W708&amp;",' '); -- "&amp;E708</f>
        <v/>
      </c>
      <c r="I708" s="241" t="inlineStr">
        <is>
          <t>Indique la couverture de la garantie donnée</t>
        </is>
      </c>
      <c r="J708" s="363" t="inlineStr">
        <is>
          <t>Allows to identify the coverage of guarantee given</t>
        </is>
      </c>
      <c r="K708" s="516" t="inlineStr">
        <is>
          <t>ND</t>
        </is>
      </c>
      <c r="L708" s="517" t="inlineStr">
        <is>
          <t>ND</t>
        </is>
      </c>
      <c r="M708" s="1420" t="inlineStr">
        <is>
          <t>cdTypeGar</t>
        </is>
      </c>
      <c r="N708" s="454" t="inlineStr">
        <is>
          <t>Facultatif</t>
        </is>
      </c>
      <c r="O708" s="310" t="inlineStr">
        <is>
          <t>Optional</t>
        </is>
      </c>
      <c r="P708" s="269" t="inlineStr">
        <is>
          <t>LC.0047</t>
        </is>
      </c>
      <c r="Q708" s="269" t="inlineStr">
        <is>
          <t>TA KVETEND</t>
        </is>
      </c>
      <c r="R708" s="241" t="inlineStr">
        <is>
          <t>NA</t>
        </is>
      </c>
      <c r="S708" s="233" t="inlineStr">
        <is>
          <t>NA</t>
        </is>
      </c>
      <c r="T708" s="313" t="inlineStr">
        <is>
          <t>ALPHA</t>
        </is>
      </c>
      <c r="U708" s="237" t="inlineStr">
        <is>
          <t>NA</t>
        </is>
      </c>
      <c r="V708" s="238" t="inlineStr">
        <is>
          <t>NA</t>
        </is>
      </c>
      <c r="W708" s="257" t="n">
        <v>1</v>
      </c>
      <c r="X708" s="945" t="inlineStr">
        <is>
          <t>NA</t>
        </is>
      </c>
      <c r="Y708" s="237" t="n">
        <v>43</v>
      </c>
      <c r="Z708" s="237" t="inlineStr">
        <is>
          <t>NA</t>
        </is>
      </c>
      <c r="AA708" s="270" t="inlineStr">
        <is>
          <t>NA</t>
        </is>
      </c>
      <c r="AB708" s="269" t="inlineStr">
        <is>
          <t>ASTRE, MREL</t>
        </is>
      </c>
      <c r="AC708" s="231" t="inlineStr">
        <is>
          <t>ND</t>
        </is>
      </c>
      <c r="AD708" s="257" t="inlineStr">
        <is>
          <t>N</t>
        </is>
      </c>
      <c r="AE708" s="257" t="inlineStr">
        <is>
          <t xml:space="preserve">SIG
</t>
        </is>
      </c>
      <c r="AF708" s="257" t="inlineStr">
        <is>
          <t>NA</t>
        </is>
      </c>
      <c r="AG708" s="258" t="inlineStr">
        <is>
          <t>NA</t>
        </is>
      </c>
      <c r="AH708" s="89" t="n"/>
      <c r="AI708" s="614" t="n"/>
      <c r="AJ708" s="422" t="n"/>
      <c r="AK708" s="348" t="n"/>
      <c r="AL708" s="423" t="n"/>
      <c r="AM708" s="452" t="inlineStr">
        <is>
          <t>Si elle est renseignée, la valeur doit être connue du Langage Commun associé</t>
        </is>
      </c>
      <c r="AN708" s="377" t="inlineStr">
        <is>
          <t>If specified, the value must be known to the associated Common Language</t>
        </is>
      </c>
      <c r="AO708" s="257" t="n">
        <v>7</v>
      </c>
      <c r="AP708" s="212" t="inlineStr">
        <is>
          <t>TIG0001</t>
        </is>
      </c>
      <c r="AQ708" s="318" t="n"/>
      <c r="AR708" s="317" t="n"/>
      <c r="AS708" s="257" t="n"/>
      <c r="AT708" s="258" t="n"/>
      <c r="AU708" s="318" t="n"/>
      <c r="AV708" s="317" t="n"/>
      <c r="AW708" s="257" t="n"/>
      <c r="AX708" s="258" t="n"/>
      <c r="AY708" s="318" t="n"/>
      <c r="AZ708" s="317" t="n"/>
      <c r="BA708" s="257" t="n"/>
      <c r="BB708" s="258" t="n"/>
      <c r="BC708" s="316" t="n"/>
      <c r="BD708" s="317" t="n"/>
      <c r="BE708" s="257" t="n"/>
      <c r="BF708" s="258" t="n"/>
      <c r="BG708" s="89" t="n"/>
      <c r="BH7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08">
        <f>_xlfn.LET(r,ROW(),oc,INDEX($A:$A,r),cv,TRIM(INDEX($Y:$Y,r)&amp;""),IF(oc&lt;&gt;"P1","",IF(cv="45","V45 - novo, nao alimentado pelo spool atual","V44 - alimentado pelo spool atual")))</f>
        <v/>
      </c>
    </row>
    <row r="709" ht="54" customFormat="1" customHeight="1" s="91">
      <c r="A709" s="306" t="inlineStr">
        <is>
          <t>P1</t>
        </is>
      </c>
      <c r="B709" s="307" t="n">
        <v>474</v>
      </c>
      <c r="C709" s="269" t="inlineStr">
        <is>
          <t>07 - Caractéristiques Crédit Bail</t>
        </is>
      </c>
      <c r="D709" s="310" t="inlineStr">
        <is>
          <t>07 - Credit Lease characteristics</t>
        </is>
      </c>
      <c r="E709" s="372" t="inlineStr">
        <is>
          <t>P1 29.3</t>
        </is>
      </c>
      <c r="F709" s="308" t="inlineStr">
        <is>
          <t>Montant des subventions</t>
        </is>
      </c>
      <c r="G709" s="309" t="inlineStr">
        <is>
          <t xml:space="preserve"> Amount of subventions </t>
        </is>
      </c>
      <c r="H709" s="1493">
        <f>"RPAD( "&amp;SUBSTITUTE(SUBSTITUTE(E709," ","_"),".","_")&amp;","&amp;W709&amp;",' '); -- "&amp;E709</f>
        <v/>
      </c>
      <c r="I709" s="241" t="inlineStr">
        <is>
          <t>Montant des subventions (organisme d'état, …) reçues par l'entité dans le cadre de l'opération de crédit-bail</t>
        </is>
      </c>
      <c r="J709" s="309" t="inlineStr">
        <is>
          <t>Amount of subventions (government agencies, etc.) received by the entity as part of the leasing operation</t>
        </is>
      </c>
      <c r="K709" s="370" t="inlineStr">
        <is>
          <t>ND</t>
        </is>
      </c>
      <c r="L709" s="371" t="inlineStr">
        <is>
          <t>ND</t>
        </is>
      </c>
      <c r="M709" s="1420" t="inlineStr">
        <is>
          <t>mtSubv</t>
        </is>
      </c>
      <c r="N709" s="257" t="inlineStr">
        <is>
          <t>Obligatoire sous conditions</t>
        </is>
      </c>
      <c r="O709" s="310" t="inlineStr">
        <is>
          <t>Mandatory under conditions</t>
        </is>
      </c>
      <c r="P709" s="269" t="inlineStr">
        <is>
          <t>NA</t>
        </is>
      </c>
      <c r="Q709" s="269" t="inlineStr">
        <is>
          <t>NA</t>
        </is>
      </c>
      <c r="R709" s="241" t="inlineStr">
        <is>
          <t>NA</t>
        </is>
      </c>
      <c r="S709" s="233" t="inlineStr">
        <is>
          <t>NA</t>
        </is>
      </c>
      <c r="T709" s="313" t="inlineStr">
        <is>
          <t>NUM</t>
        </is>
      </c>
      <c r="U709" s="237" t="inlineStr">
        <is>
          <t>19 dont signe et 2 décimales</t>
        </is>
      </c>
      <c r="V709" s="238" t="inlineStr">
        <is>
          <t>19 including sign and 2 decimals</t>
        </is>
      </c>
      <c r="W709" s="257" t="n">
        <v>19</v>
      </c>
      <c r="X709" s="945" t="inlineStr">
        <is>
          <t>NA</t>
        </is>
      </c>
      <c r="Y709" s="237" t="n">
        <v>43</v>
      </c>
      <c r="Z709" s="237" t="inlineStr">
        <is>
          <t>NA</t>
        </is>
      </c>
      <c r="AA709" s="237" t="inlineStr">
        <is>
          <t>NA</t>
        </is>
      </c>
      <c r="AB709" s="269" t="inlineStr">
        <is>
          <t>ANACREDIT, LOAN TAPE</t>
        </is>
      </c>
      <c r="AC709" s="231" t="inlineStr">
        <is>
          <t>ND</t>
        </is>
      </c>
      <c r="AD709" s="257" t="inlineStr">
        <is>
          <t>N</t>
        </is>
      </c>
      <c r="AE709" s="1401" t="inlineStr">
        <is>
          <t>TRE5XX</t>
        </is>
      </c>
      <c r="AF709" s="257" t="inlineStr">
        <is>
          <t>NA</t>
        </is>
      </c>
      <c r="AG709" s="258" t="inlineStr">
        <is>
          <t>NA</t>
        </is>
      </c>
      <c r="AH709" s="89" t="n"/>
      <c r="AI709" s="316" t="inlineStr">
        <is>
          <t>La donnée est obligatoire si le type de risque [P1 2.0] = 'TRE5xx'</t>
        </is>
      </c>
      <c r="AJ709" s="317" t="inlineStr">
        <is>
          <t>The data is mandatory if risk type [P1 2.0] = 'TRE5xx'</t>
        </is>
      </c>
      <c r="AK709" s="257" t="n">
        <v>5</v>
      </c>
      <c r="AL709" s="335" t="inlineStr">
        <is>
          <t>TPS0912</t>
        </is>
      </c>
      <c r="AM709" s="318" t="n"/>
      <c r="AN709" s="317" t="n"/>
      <c r="AO709" s="257" t="n"/>
      <c r="AP709" s="258" t="n"/>
      <c r="AQ709" s="322" t="inlineStr">
        <is>
          <t>Si renseignée, la donnée doit être positive (supérieure ou égale à 0)</t>
        </is>
      </c>
      <c r="AR709" s="317" t="inlineStr">
        <is>
          <t xml:space="preserve">If filled, data must be positive (greater or equal to 0) </t>
        </is>
      </c>
      <c r="AS709" s="257" t="n">
        <v>7</v>
      </c>
      <c r="AT709" s="345" t="inlineStr">
        <is>
          <t>TVG0001</t>
        </is>
      </c>
      <c r="AU709" s="318" t="n"/>
      <c r="AV709" s="317" t="n"/>
      <c r="AW709" s="257" t="n"/>
      <c r="AX709" s="258" t="n"/>
      <c r="AY709" s="318" t="n"/>
      <c r="AZ709" s="317" t="n"/>
      <c r="BA709" s="257" t="n"/>
      <c r="BB709" s="258" t="n"/>
      <c r="BC709" s="316" t="n"/>
      <c r="BD709" s="317" t="n"/>
      <c r="BE709" s="257" t="n"/>
      <c r="BF709" s="258" t="n"/>
      <c r="BG709" s="89" t="n"/>
      <c r="BH7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09">
        <f>_xlfn.LET(r,ROW(),oc,INDEX($A:$A,r),cv,TRIM(INDEX($Y:$Y,r)&amp;""),IF(oc&lt;&gt;"P1","",IF(cv="45","V45 - novo, nao alimentado pelo spool atual","V44 - alimentado pelo spool atual")))</f>
        <v/>
      </c>
    </row>
    <row r="710" ht="54" customFormat="1" customHeight="1" s="91">
      <c r="A710" s="306" t="inlineStr">
        <is>
          <t>P1</t>
        </is>
      </c>
      <c r="B710" s="307" t="n">
        <v>475</v>
      </c>
      <c r="C710" s="269" t="inlineStr">
        <is>
          <t>07 - Caractéristiques Crédit Bail</t>
        </is>
      </c>
      <c r="D710" s="310" t="inlineStr">
        <is>
          <t>07 - Credit Lease characteristics</t>
        </is>
      </c>
      <c r="E710" s="372" t="inlineStr">
        <is>
          <t>P1 29.4</t>
        </is>
      </c>
      <c r="F710" s="308" t="inlineStr">
        <is>
          <t>Devise du montant des subventions</t>
        </is>
      </c>
      <c r="G710" s="309" t="inlineStr">
        <is>
          <t xml:space="preserve">Currency of amount of subventions </t>
        </is>
      </c>
      <c r="H710" s="1493">
        <f>"RPAD( "&amp;SUBSTITUTE(SUBSTITUTE(E710," ","_"),".","_")&amp;","&amp;W710&amp;",' '); -- "&amp;E710</f>
        <v/>
      </c>
      <c r="I710" s="308" t="inlineStr">
        <is>
          <t>Devise d'expression du montant des subventions</t>
        </is>
      </c>
      <c r="J710" s="309" t="inlineStr">
        <is>
          <t>Currency of amount of subventions</t>
        </is>
      </c>
      <c r="K710" s="370" t="inlineStr">
        <is>
          <t>ND</t>
        </is>
      </c>
      <c r="L710" s="371" t="inlineStr">
        <is>
          <t>ND</t>
        </is>
      </c>
      <c r="M710" s="1420" t="inlineStr">
        <is>
          <t>cdDevSubv</t>
        </is>
      </c>
      <c r="N710" s="257" t="inlineStr">
        <is>
          <t>Obligatoire sous conditions</t>
        </is>
      </c>
      <c r="O710" s="310" t="inlineStr">
        <is>
          <t>Mandatory under conditions</t>
        </is>
      </c>
      <c r="P710" s="269" t="inlineStr">
        <is>
          <t>LC.0005</t>
        </is>
      </c>
      <c r="Q710" s="269" t="inlineStr">
        <is>
          <t>TA NM253</t>
        </is>
      </c>
      <c r="R710" s="241" t="inlineStr">
        <is>
          <t>NA</t>
        </is>
      </c>
      <c r="S710" s="233" t="inlineStr">
        <is>
          <t>NA</t>
        </is>
      </c>
      <c r="T710" s="313" t="inlineStr">
        <is>
          <t>ALPHA</t>
        </is>
      </c>
      <c r="U710" s="237" t="inlineStr">
        <is>
          <t>NA</t>
        </is>
      </c>
      <c r="V710" s="238" t="inlineStr">
        <is>
          <t>NA</t>
        </is>
      </c>
      <c r="W710" s="257" t="n">
        <v>3</v>
      </c>
      <c r="X710" s="945" t="inlineStr">
        <is>
          <t>NA</t>
        </is>
      </c>
      <c r="Y710" s="237" t="n">
        <v>43</v>
      </c>
      <c r="Z710" s="237" t="inlineStr">
        <is>
          <t>NA</t>
        </is>
      </c>
      <c r="AA710" s="239" t="inlineStr">
        <is>
          <t>NA</t>
        </is>
      </c>
      <c r="AB710" s="269" t="inlineStr">
        <is>
          <t>ANACREDIT</t>
        </is>
      </c>
      <c r="AC710" s="231" t="inlineStr">
        <is>
          <t>ND</t>
        </is>
      </c>
      <c r="AD710" s="257" t="inlineStr">
        <is>
          <t>N</t>
        </is>
      </c>
      <c r="AE710" s="257" t="inlineStr">
        <is>
          <t xml:space="preserve">TRE5XX
</t>
        </is>
      </c>
      <c r="AF710" s="257" t="inlineStr">
        <is>
          <t>NA</t>
        </is>
      </c>
      <c r="AG710" s="258" t="inlineStr">
        <is>
          <t>NA</t>
        </is>
      </c>
      <c r="AH710" s="89" t="n"/>
      <c r="AI710" s="316" t="inlineStr">
        <is>
          <t>La donnée est obligatoire si la donnée montant des subventions [P1 29.3] est renseignée</t>
        </is>
      </c>
      <c r="AJ710" s="317" t="inlineStr">
        <is>
          <t>The data is mandatory if the amount of subventions [P1 29.3] is filled</t>
        </is>
      </c>
      <c r="AK710" s="257" t="n">
        <v>7</v>
      </c>
      <c r="AL710" s="335" t="inlineStr">
        <is>
          <t>TPG0002</t>
        </is>
      </c>
      <c r="AM710" s="452" t="inlineStr">
        <is>
          <t>Si elle est renseignée, la valeur doit être connue du Langage Commun associé</t>
        </is>
      </c>
      <c r="AN710" s="377" t="inlineStr">
        <is>
          <t>If specified, the value must be known to the associated Common Language</t>
        </is>
      </c>
      <c r="AO710" s="257" t="n">
        <v>7</v>
      </c>
      <c r="AP710" s="212" t="inlineStr">
        <is>
          <t>TIG0001</t>
        </is>
      </c>
      <c r="AQ710" s="318" t="n"/>
      <c r="AR710" s="317" t="n"/>
      <c r="AS710" s="257" t="n"/>
      <c r="AT710" s="258" t="n"/>
      <c r="AU710" s="318" t="n"/>
      <c r="AV710" s="317" t="n"/>
      <c r="AW710" s="257" t="n"/>
      <c r="AX710" s="258" t="n"/>
      <c r="AY710" s="318" t="n"/>
      <c r="AZ710" s="317" t="n"/>
      <c r="BA710" s="257" t="n"/>
      <c r="BB710" s="258" t="n"/>
      <c r="BC710" s="316" t="n"/>
      <c r="BD710" s="317" t="n"/>
      <c r="BE710" s="257" t="n"/>
      <c r="BF710" s="258" t="n"/>
      <c r="BG710" s="89" t="n"/>
      <c r="BH7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10">
        <f>_xlfn.LET(r,ROW(),oc,INDEX($A:$A,r),cv,TRIM(INDEX($Y:$Y,r)&amp;""),IF(oc&lt;&gt;"P1","",IF(cv="45","V45 - novo, nao alimentado pelo spool atual","V44 - alimentado pelo spool atual")))</f>
        <v/>
      </c>
    </row>
    <row r="711" ht="54" customFormat="1" customHeight="1" s="91">
      <c r="A711" s="306" t="inlineStr">
        <is>
          <t>P1</t>
        </is>
      </c>
      <c r="B711" s="307" t="n">
        <v>476</v>
      </c>
      <c r="C711" s="269" t="inlineStr">
        <is>
          <t>07 - Caractéristiques Crédit Bail</t>
        </is>
      </c>
      <c r="D711" s="310" t="inlineStr">
        <is>
          <t>07 - Credit Lease characteristics</t>
        </is>
      </c>
      <c r="E711" s="372" t="inlineStr">
        <is>
          <t>P1 29.5</t>
        </is>
      </c>
      <c r="F711" s="308" t="inlineStr">
        <is>
          <t>Montant de l'avance preneur en crédit-bail</t>
        </is>
      </c>
      <c r="G711" s="309" t="inlineStr">
        <is>
          <t>Amount of leasing down-payment</t>
        </is>
      </c>
      <c r="H711" s="1493">
        <f>"RPAD( "&amp;SUBSTITUTE(SUBSTITUTE(E711," ","_"),".","_")&amp;","&amp;W711&amp;",' '); -- "&amp;E711</f>
        <v/>
      </c>
      <c r="I711" s="241" t="inlineStr">
        <is>
          <t>Montant de l'avance preneur versé par le client final à l'entité dans le cadre de l'opération de crédit-bail</t>
        </is>
      </c>
      <c r="J711" s="309" t="inlineStr">
        <is>
          <t>Amount of the down-payment paid by the end customer to the entity as part of the leasing transaction</t>
        </is>
      </c>
      <c r="K711" s="370" t="inlineStr">
        <is>
          <t>ND</t>
        </is>
      </c>
      <c r="L711" s="371" t="inlineStr">
        <is>
          <t>ND</t>
        </is>
      </c>
      <c r="M711" s="1420" t="inlineStr">
        <is>
          <t>mtAvCredBail</t>
        </is>
      </c>
      <c r="N711" s="257" t="inlineStr">
        <is>
          <t>Obligatoire sous conditions</t>
        </is>
      </c>
      <c r="O711" s="310" t="inlineStr">
        <is>
          <t>Mandatory under conditions</t>
        </is>
      </c>
      <c r="P711" s="269" t="inlineStr">
        <is>
          <t>NA</t>
        </is>
      </c>
      <c r="Q711" s="269" t="inlineStr">
        <is>
          <t>NA</t>
        </is>
      </c>
      <c r="R711" s="241" t="inlineStr">
        <is>
          <t>NA</t>
        </is>
      </c>
      <c r="S711" s="233" t="inlineStr">
        <is>
          <t>NA</t>
        </is>
      </c>
      <c r="T711" s="313" t="inlineStr">
        <is>
          <t>NUM</t>
        </is>
      </c>
      <c r="U711" s="237" t="inlineStr">
        <is>
          <t>19 dont signe et 2 décimales</t>
        </is>
      </c>
      <c r="V711" s="238" t="inlineStr">
        <is>
          <t>19 including sign and 2 decimals</t>
        </is>
      </c>
      <c r="W711" s="257" t="n">
        <v>19</v>
      </c>
      <c r="X711" s="945" t="inlineStr">
        <is>
          <t>NA</t>
        </is>
      </c>
      <c r="Y711" s="237" t="n">
        <v>43</v>
      </c>
      <c r="Z711" s="237" t="inlineStr">
        <is>
          <t>NA</t>
        </is>
      </c>
      <c r="AA711" s="239" t="inlineStr">
        <is>
          <t>NA</t>
        </is>
      </c>
      <c r="AB711" s="269" t="inlineStr">
        <is>
          <t>ANACREDIT</t>
        </is>
      </c>
      <c r="AC711" s="231" t="inlineStr">
        <is>
          <t>ND</t>
        </is>
      </c>
      <c r="AD711" s="257" t="inlineStr">
        <is>
          <t>N</t>
        </is>
      </c>
      <c r="AE711" s="1265" t="inlineStr">
        <is>
          <t>TRE5XX</t>
        </is>
      </c>
      <c r="AF711" s="257" t="inlineStr">
        <is>
          <t>NA</t>
        </is>
      </c>
      <c r="AG711" s="258" t="inlineStr">
        <is>
          <t>NA</t>
        </is>
      </c>
      <c r="AH711" s="89" t="n"/>
      <c r="AI711" s="316" t="inlineStr">
        <is>
          <t>La donnée est obligatoire si le type de risque [P1 2.0] = 'TRE5xx'</t>
        </is>
      </c>
      <c r="AJ711" s="317" t="inlineStr">
        <is>
          <t>The data is mandatory if risk type [P1 2.0] = 'TRE5xx'</t>
        </is>
      </c>
      <c r="AK711" s="257" t="n">
        <v>5</v>
      </c>
      <c r="AL711" s="335" t="inlineStr">
        <is>
          <t>TPS0912</t>
        </is>
      </c>
      <c r="AM711" s="318" t="n"/>
      <c r="AN711" s="317" t="n"/>
      <c r="AO711" s="257" t="n"/>
      <c r="AP711" s="258" t="n"/>
      <c r="AQ711" s="322" t="inlineStr">
        <is>
          <t>Si renseignée, la donnée doit être positive (supérieure ou égale à 0)</t>
        </is>
      </c>
      <c r="AR711" s="317" t="inlineStr">
        <is>
          <t xml:space="preserve">If filled, data must be positive (greater or equal to 0) </t>
        </is>
      </c>
      <c r="AS711" s="257" t="n">
        <v>7</v>
      </c>
      <c r="AT711" s="345" t="inlineStr">
        <is>
          <t>TVG0001</t>
        </is>
      </c>
      <c r="AU711" s="318" t="n"/>
      <c r="AV711" s="317" t="n"/>
      <c r="AW711" s="257" t="n"/>
      <c r="AX711" s="258" t="n"/>
      <c r="AY711" s="318" t="n"/>
      <c r="AZ711" s="317" t="n"/>
      <c r="BA711" s="257" t="n"/>
      <c r="BB711" s="258" t="n"/>
      <c r="BC711" s="316" t="n"/>
      <c r="BD711" s="317" t="n"/>
      <c r="BE711" s="257" t="n"/>
      <c r="BF711" s="258" t="n"/>
      <c r="BG711" s="89" t="n"/>
      <c r="BH7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11">
        <f>_xlfn.LET(r,ROW(),oc,INDEX($A:$A,r),cv,TRIM(INDEX($Y:$Y,r)&amp;""),IF(oc&lt;&gt;"P1","",IF(cv="45","V45 - novo, nao alimentado pelo spool atual","V44 - alimentado pelo spool atual")))</f>
        <v/>
      </c>
    </row>
    <row r="712" ht="54" customFormat="1" customHeight="1" s="91">
      <c r="A712" s="306" t="inlineStr">
        <is>
          <t>P1</t>
        </is>
      </c>
      <c r="B712" s="307" t="n">
        <v>477</v>
      </c>
      <c r="C712" s="269" t="inlineStr">
        <is>
          <t>07 - Caractéristiques Crédit Bail</t>
        </is>
      </c>
      <c r="D712" s="310" t="inlineStr">
        <is>
          <t>07 - Credit Lease characteristics</t>
        </is>
      </c>
      <c r="E712" s="372" t="inlineStr">
        <is>
          <t>P1 29.6</t>
        </is>
      </c>
      <c r="F712" s="308" t="inlineStr">
        <is>
          <t>Devise du montant de l'avance preneur en crédit-bail</t>
        </is>
      </c>
      <c r="G712" s="309" t="inlineStr">
        <is>
          <t>Currency of amount of leasing down-payment</t>
        </is>
      </c>
      <c r="H712" s="1493">
        <f>"RPAD( "&amp;SUBSTITUTE(SUBSTITUTE(E712," ","_"),".","_")&amp;","&amp;W712&amp;",' '); -- "&amp;E712</f>
        <v/>
      </c>
      <c r="I712" s="241" t="inlineStr">
        <is>
          <t>Devise d'expression du montant de de l'avance preneur en crédit-bail</t>
        </is>
      </c>
      <c r="J712" s="309" t="inlineStr">
        <is>
          <t>Currency of amount of leasing down-payment</t>
        </is>
      </c>
      <c r="K712" s="370" t="inlineStr">
        <is>
          <t>ND</t>
        </is>
      </c>
      <c r="L712" s="371" t="inlineStr">
        <is>
          <t>ND</t>
        </is>
      </c>
      <c r="M712" s="1420" t="inlineStr">
        <is>
          <t>cdDevAvCredBail</t>
        </is>
      </c>
      <c r="N712" s="257" t="inlineStr">
        <is>
          <t>Obligatoire sous conditions</t>
        </is>
      </c>
      <c r="O712" s="310" t="inlineStr">
        <is>
          <t>Mandatory under conditions</t>
        </is>
      </c>
      <c r="P712" s="269" t="inlineStr">
        <is>
          <t>LC.0005</t>
        </is>
      </c>
      <c r="Q712" s="269" t="inlineStr">
        <is>
          <t>TA NM253</t>
        </is>
      </c>
      <c r="R712" s="241" t="inlineStr">
        <is>
          <t>NA</t>
        </is>
      </c>
      <c r="S712" s="233" t="inlineStr">
        <is>
          <t>NA</t>
        </is>
      </c>
      <c r="T712" s="313" t="inlineStr">
        <is>
          <t>ALPHA</t>
        </is>
      </c>
      <c r="U712" s="237" t="inlineStr">
        <is>
          <t>NA</t>
        </is>
      </c>
      <c r="V712" s="238" t="inlineStr">
        <is>
          <t>NA</t>
        </is>
      </c>
      <c r="W712" s="257" t="n">
        <v>3</v>
      </c>
      <c r="X712" s="945" t="inlineStr">
        <is>
          <t>NA</t>
        </is>
      </c>
      <c r="Y712" s="237" t="n">
        <v>43</v>
      </c>
      <c r="Z712" s="237" t="inlineStr">
        <is>
          <t>NA</t>
        </is>
      </c>
      <c r="AA712" s="239" t="inlineStr">
        <is>
          <t>NA</t>
        </is>
      </c>
      <c r="AB712" s="269" t="inlineStr">
        <is>
          <t>ANACREDIT</t>
        </is>
      </c>
      <c r="AC712" s="231" t="inlineStr">
        <is>
          <t>ND</t>
        </is>
      </c>
      <c r="AD712" s="257" t="inlineStr">
        <is>
          <t>N</t>
        </is>
      </c>
      <c r="AE712" s="1265" t="inlineStr">
        <is>
          <t>TRE5XX</t>
        </is>
      </c>
      <c r="AF712" s="257" t="inlineStr">
        <is>
          <t>NA</t>
        </is>
      </c>
      <c r="AG712" s="258" t="inlineStr">
        <is>
          <t>NA</t>
        </is>
      </c>
      <c r="AH712" s="89" t="n"/>
      <c r="AI712" s="316" t="inlineStr">
        <is>
          <t>La donnée est obligatoire si la donnée montant de l'avance preneur en crédit-bail [P1 29.5] est renseignée</t>
        </is>
      </c>
      <c r="AJ712" s="317" t="inlineStr">
        <is>
          <t>The data is mandatory if the amount of leasing down-payment [P1 29.5] is filled</t>
        </is>
      </c>
      <c r="AK712" s="257" t="n">
        <v>7</v>
      </c>
      <c r="AL712" s="335" t="inlineStr">
        <is>
          <t>TPG0002</t>
        </is>
      </c>
      <c r="AM712" s="452" t="inlineStr">
        <is>
          <t>Si elle est renseignée, la valeur doit être connue du Langage Commun associé</t>
        </is>
      </c>
      <c r="AN712" s="377" t="inlineStr">
        <is>
          <t>If specified, the value must be known to the associated Common Language</t>
        </is>
      </c>
      <c r="AO712" s="257" t="n">
        <v>7</v>
      </c>
      <c r="AP712" s="212" t="inlineStr">
        <is>
          <t>TIG0001</t>
        </is>
      </c>
      <c r="AQ712" s="318" t="n"/>
      <c r="AR712" s="317" t="n"/>
      <c r="AS712" s="257" t="n"/>
      <c r="AT712" s="258" t="n"/>
      <c r="AU712" s="318" t="n"/>
      <c r="AV712" s="317" t="n"/>
      <c r="AW712" s="257" t="n"/>
      <c r="AX712" s="258" t="n"/>
      <c r="AY712" s="318" t="n"/>
      <c r="AZ712" s="317" t="n"/>
      <c r="BA712" s="257" t="n"/>
      <c r="BB712" s="258" t="n"/>
      <c r="BC712" s="316" t="n"/>
      <c r="BD712" s="317" t="n"/>
      <c r="BE712" s="257" t="n"/>
      <c r="BF712" s="258" t="n"/>
      <c r="BG712" s="89" t="n"/>
      <c r="BH7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12">
        <f>_xlfn.LET(r,ROW(),oc,INDEX($A:$A,r),cv,TRIM(INDEX($Y:$Y,r)&amp;""),IF(oc&lt;&gt;"P1","",IF(cv="45","V45 - novo, nao alimentado pelo spool atual","V44 - alimentado pelo spool atual")))</f>
        <v/>
      </c>
    </row>
    <row r="713" ht="54" customFormat="1" customHeight="1" s="91">
      <c r="A713" s="306" t="inlineStr">
        <is>
          <t>P1</t>
        </is>
      </c>
      <c r="B713" s="307" t="n">
        <v>478</v>
      </c>
      <c r="C713" s="269" t="inlineStr">
        <is>
          <t xml:space="preserve">08 - Caractéristiques d'arriérés et de restructuration </t>
        </is>
      </c>
      <c r="D713" s="310" t="inlineStr">
        <is>
          <t>08 - Characteristics of overdues and restructuring</t>
        </is>
      </c>
      <c r="E713" s="372" t="inlineStr">
        <is>
          <t>P1 21.20</t>
        </is>
      </c>
      <c r="F713" s="567" t="inlineStr">
        <is>
          <t>Montant des passages en pertes cumulées</t>
        </is>
      </c>
      <c r="G713" s="309" t="inlineStr">
        <is>
          <t>Amount of cumulative write-offs</t>
        </is>
      </c>
      <c r="H713" s="1493">
        <f>"RPAD( "&amp;SUBSTITUTE(SUBSTITUTE(E713," ","_"),".","_")&amp;","&amp;W713&amp;",' '); -- "&amp;E713</f>
        <v/>
      </c>
      <c r="I713" s="308" t="inlineStr">
        <is>
          <t xml:space="preserve">Il s'agit du montant cumulé des pertes comptables associées à l'instrument à la date de référence.
Montant cumulé du principal et des intérêts de retard de tout instrument de créance que l'établissement ne comptabilise plus parce qu'il le juge irrécouvrable, quel que soit le portefeuille comptable dans lequel figure ce titre.
Les sorties du bilan peuvent être provoquées tant par des réductions de la valeur comptable des actifs financiers inscrits directement au compte de résultat que par des réductions des montants des comptes de correction pour pertes de crédit déduits de la valeur comptable de ces actifs financiers. </t>
        </is>
      </c>
      <c r="J713" s="309" t="inlineStr">
        <is>
          <t>This is the cumulative amount of accounting losses associated with the instrument at the reference date.
The cumulative amount of principal and default interest on any debt instrument that the institution no longer recognizes because it is considered to be uncollectible, regardless of the accounting portfolio in which the instrument is held.
Balance sheet outflows may be caused both by reductions in the carrying amount of financial assets recorded directly in the income statement and by reductions in the amounts of credit loss adjustment accounts deducted from the carrying amount of those financial assets</t>
        </is>
      </c>
      <c r="K713" s="370" t="inlineStr">
        <is>
          <t>ND</t>
        </is>
      </c>
      <c r="L713" s="371" t="inlineStr">
        <is>
          <t>ND</t>
        </is>
      </c>
      <c r="M713" s="1420" t="inlineStr">
        <is>
          <t>mtPassPertCum</t>
        </is>
      </c>
      <c r="N713" s="257" t="inlineStr">
        <is>
          <t>Obligatoire sous conditions</t>
        </is>
      </c>
      <c r="O713" s="310" t="inlineStr">
        <is>
          <t>Mandatory under conditions</t>
        </is>
      </c>
      <c r="P713" s="269" t="inlineStr">
        <is>
          <t>NA</t>
        </is>
      </c>
      <c r="Q713" s="269" t="inlineStr">
        <is>
          <t>NA</t>
        </is>
      </c>
      <c r="R713" s="241" t="inlineStr">
        <is>
          <t>Si pas de montants à déclarer, laisser à vide</t>
        </is>
      </c>
      <c r="S713" s="233" t="inlineStr">
        <is>
          <t>If no amounts to report, leave empty</t>
        </is>
      </c>
      <c r="T713" s="307" t="inlineStr">
        <is>
          <t>NUM</t>
        </is>
      </c>
      <c r="U713" s="237" t="inlineStr">
        <is>
          <t>19 dont signe et 2 décimales</t>
        </is>
      </c>
      <c r="V713" s="238" t="inlineStr">
        <is>
          <t>19 including sign and 2 decimals</t>
        </is>
      </c>
      <c r="W713" s="257" t="n">
        <v>19</v>
      </c>
      <c r="X713" s="945" t="inlineStr">
        <is>
          <t>NA</t>
        </is>
      </c>
      <c r="Y713" s="237" t="n">
        <v>43</v>
      </c>
      <c r="Z713" s="237" t="inlineStr">
        <is>
          <t>NA</t>
        </is>
      </c>
      <c r="AA713" s="270" t="inlineStr">
        <is>
          <t>NA</t>
        </is>
      </c>
      <c r="AB713" s="269" t="inlineStr">
        <is>
          <t>ANACREDIT, SRB VALUATION</t>
        </is>
      </c>
      <c r="AC713" s="231" t="inlineStr">
        <is>
          <t>ND</t>
        </is>
      </c>
      <c r="AD713" s="257" t="inlineStr">
        <is>
          <t>N</t>
        </is>
      </c>
      <c r="AE713" s="257" t="inlineStr">
        <is>
          <t xml:space="preserve">TRE2 à 4XX hors 203,205,206,207
TRE5XX
</t>
        </is>
      </c>
      <c r="AF713" s="257" t="inlineStr">
        <is>
          <t>NA</t>
        </is>
      </c>
      <c r="AG713" s="258" t="inlineStr">
        <is>
          <t>NA</t>
        </is>
      </c>
      <c r="AH713" s="89" t="n"/>
      <c r="AI713" s="316" t="inlineStr">
        <is>
          <t>La donnée est obligatoire si le type de risque [P1 2.0] = 'TRE2xx' à 'TRE5xx', hors (TRE201,TRE203,TRE205, TRE206, TRE207) et si le statut du crédit au sens de la forbearance [P1 21.5] = '1' ou '2'</t>
        </is>
      </c>
      <c r="AJ713" s="317" t="inlineStr">
        <is>
          <t>The data is mandatory if Risk type [P1 2.0] = 'TRE2xx' to 'TRE5xx', out (TRE201, TRE203, TRE205, TRE206, TRE207) and the Credit status for Forbearance [P1 21.5] = '1' or '2'</t>
        </is>
      </c>
      <c r="AK713" s="257" t="n">
        <v>6</v>
      </c>
      <c r="AL713" s="366" t="inlineStr">
        <is>
          <t>TPS0846</t>
        </is>
      </c>
      <c r="AM713" s="318" t="n"/>
      <c r="AN713" s="317" t="n"/>
      <c r="AO713" s="257" t="n"/>
      <c r="AP713" s="258" t="n"/>
      <c r="AQ713" s="322" t="inlineStr">
        <is>
          <t>Si renseignée, la donnée doit être positive (supérieure ou égale à 0)</t>
        </is>
      </c>
      <c r="AR713" s="317" t="inlineStr">
        <is>
          <t xml:space="preserve">If filled, data must be positive (greater or equal to 0) </t>
        </is>
      </c>
      <c r="AS713" s="257" t="n">
        <v>7</v>
      </c>
      <c r="AT713" s="345" t="inlineStr">
        <is>
          <t>TVG0001</t>
        </is>
      </c>
      <c r="AU713" s="318" t="n"/>
      <c r="AV713" s="317" t="n"/>
      <c r="AW713" s="257" t="n"/>
      <c r="AX713" s="258" t="n"/>
      <c r="AY713" s="318" t="n"/>
      <c r="AZ713" s="317" t="n"/>
      <c r="BA713" s="257" t="n"/>
      <c r="BB713" s="258" t="n"/>
      <c r="BC713" s="316" t="n"/>
      <c r="BD713" s="317" t="n"/>
      <c r="BE713" s="257" t="n"/>
      <c r="BF713" s="258" t="n"/>
      <c r="BG713" s="89" t="n"/>
      <c r="BH7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13">
        <f>_xlfn.LET(r,ROW(),oc,INDEX($A:$A,r),cv,TRIM(INDEX($Y:$Y,r)&amp;""),IF(oc&lt;&gt;"P1","",IF(cv="45","V45 - novo, nao alimentado pelo spool atual","V44 - alimentado pelo spool atual")))</f>
        <v/>
      </c>
    </row>
    <row r="714" ht="54" customFormat="1" customHeight="1" s="91">
      <c r="A714" s="306" t="inlineStr">
        <is>
          <t>P1</t>
        </is>
      </c>
      <c r="B714" s="307" t="n">
        <v>479</v>
      </c>
      <c r="C714" s="269" t="inlineStr">
        <is>
          <t xml:space="preserve">08 - Caractéristiques d'arriérés et de restructuration </t>
        </is>
      </c>
      <c r="D714" s="310" t="inlineStr">
        <is>
          <t>08 - Characteristics of overdues and restructuring</t>
        </is>
      </c>
      <c r="E714" s="372" t="inlineStr">
        <is>
          <t>P1 21.21</t>
        </is>
      </c>
      <c r="F714" s="308" t="inlineStr">
        <is>
          <t>Devise du montant des passages en pertes cumulées</t>
        </is>
      </c>
      <c r="G714" s="309" t="inlineStr">
        <is>
          <t>Currency of amount of cumulative write-offs</t>
        </is>
      </c>
      <c r="H714" s="1493">
        <f>"RPAD( "&amp;SUBSTITUTE(SUBSTITUTE(E714," ","_"),".","_")&amp;","&amp;W714&amp;",' '); -- "&amp;E714</f>
        <v/>
      </c>
      <c r="I714" s="308" t="inlineStr">
        <is>
          <t>Devise du montant des passages en pertes cumulées</t>
        </is>
      </c>
      <c r="J714" s="309" t="inlineStr">
        <is>
          <t>Currency of amount of cumulative write-offs</t>
        </is>
      </c>
      <c r="K714" s="370" t="inlineStr">
        <is>
          <t>ND</t>
        </is>
      </c>
      <c r="L714" s="371" t="inlineStr">
        <is>
          <t>ND</t>
        </is>
      </c>
      <c r="M714" s="1420" t="inlineStr">
        <is>
          <t>cdDevPassPertCum</t>
        </is>
      </c>
      <c r="N714" s="257" t="inlineStr">
        <is>
          <t>Obligatoire sous conditions</t>
        </is>
      </c>
      <c r="O714" s="310" t="inlineStr">
        <is>
          <t>Mandatory under conditions</t>
        </is>
      </c>
      <c r="P714" s="269" t="inlineStr">
        <is>
          <t>LC.0005</t>
        </is>
      </c>
      <c r="Q714" s="269" t="inlineStr">
        <is>
          <t>TA NM253</t>
        </is>
      </c>
      <c r="R714" s="241" t="inlineStr">
        <is>
          <t>NA</t>
        </is>
      </c>
      <c r="S714" s="233" t="inlineStr">
        <is>
          <t>NA</t>
        </is>
      </c>
      <c r="T714" s="313" t="inlineStr">
        <is>
          <t>ALPHA</t>
        </is>
      </c>
      <c r="U714" s="237" t="inlineStr">
        <is>
          <t>NA</t>
        </is>
      </c>
      <c r="V714" s="238" t="inlineStr">
        <is>
          <t>NA</t>
        </is>
      </c>
      <c r="W714" s="257" t="n">
        <v>3</v>
      </c>
      <c r="X714" s="945" t="inlineStr">
        <is>
          <t>NA</t>
        </is>
      </c>
      <c r="Y714" s="237" t="n">
        <v>43</v>
      </c>
      <c r="Z714" s="237" t="inlineStr">
        <is>
          <t>NA</t>
        </is>
      </c>
      <c r="AA714" s="270" t="inlineStr">
        <is>
          <t>NA</t>
        </is>
      </c>
      <c r="AB714" s="269" t="inlineStr">
        <is>
          <t>ANACREDIT, SRB VALUATION</t>
        </is>
      </c>
      <c r="AC714" s="231" t="inlineStr">
        <is>
          <t>ND</t>
        </is>
      </c>
      <c r="AD714" s="257" t="inlineStr">
        <is>
          <t>N</t>
        </is>
      </c>
      <c r="AE714" s="257" t="inlineStr">
        <is>
          <t xml:space="preserve">TRE2 à 4XX hors 203,205,206,207
TRE5XX
</t>
        </is>
      </c>
      <c r="AF714" s="257" t="inlineStr">
        <is>
          <t>NA</t>
        </is>
      </c>
      <c r="AG714" s="258" t="inlineStr">
        <is>
          <t>NA</t>
        </is>
      </c>
      <c r="AH714" s="89" t="n"/>
      <c r="AI714" s="316" t="inlineStr">
        <is>
          <t>La donnée est obligatoire si la donnée montant de la valeur sacrifiée dans la restructuration [P1 21.20] est renseignée</t>
        </is>
      </c>
      <c r="AJ714" s="317" t="inlineStr">
        <is>
          <t>The data is mandatory if the data amount of the value sacrificed in the restructuring [P1 21.20] is filled</t>
        </is>
      </c>
      <c r="AK714" s="257" t="n">
        <v>7</v>
      </c>
      <c r="AL714" s="335" t="inlineStr">
        <is>
          <t>TPG0002</t>
        </is>
      </c>
      <c r="AM714" s="452" t="inlineStr">
        <is>
          <t>Si elle est renseignée, la valeur doit être connue du Langage Commun associé</t>
        </is>
      </c>
      <c r="AN714" s="377" t="inlineStr">
        <is>
          <t>If specified, the value must be known to the associated Common Language</t>
        </is>
      </c>
      <c r="AO714" s="257" t="n">
        <v>7</v>
      </c>
      <c r="AP714" s="212" t="inlineStr">
        <is>
          <t>TIG0001</t>
        </is>
      </c>
      <c r="AQ714" s="318" t="n"/>
      <c r="AR714" s="317" t="n"/>
      <c r="AS714" s="257" t="n"/>
      <c r="AT714" s="258" t="n"/>
      <c r="AU714" s="318" t="n"/>
      <c r="AV714" s="317" t="n"/>
      <c r="AW714" s="257" t="n"/>
      <c r="AX714" s="258" t="n"/>
      <c r="AY714" s="318" t="n"/>
      <c r="AZ714" s="317" t="n"/>
      <c r="BA714" s="257" t="n"/>
      <c r="BB714" s="258" t="n"/>
      <c r="BC714" s="316" t="n"/>
      <c r="BD714" s="317" t="n"/>
      <c r="BE714" s="257" t="n"/>
      <c r="BF714" s="258" t="n"/>
      <c r="BG714" s="89" t="n"/>
      <c r="BH7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14">
        <f>_xlfn.LET(r,ROW(),oc,INDEX($A:$A,r),cv,TRIM(INDEX($Y:$Y,r)&amp;""),IF(oc&lt;&gt;"P1","",IF(cv="45","V45 - novo, nao alimentado pelo spool atual","V44 - alimentado pelo spool atual")))</f>
        <v/>
      </c>
    </row>
    <row r="715" ht="54" customFormat="1" customHeight="1" s="91">
      <c r="A715" s="306" t="inlineStr">
        <is>
          <t>P1</t>
        </is>
      </c>
      <c r="B715" s="307" t="n">
        <v>480</v>
      </c>
      <c r="C715" s="269" t="inlineStr">
        <is>
          <t>03 - Caractéristiques Générales</t>
        </is>
      </c>
      <c r="D715" s="310" t="inlineStr">
        <is>
          <t>03 - General characteristics</t>
        </is>
      </c>
      <c r="E715" s="372" t="inlineStr">
        <is>
          <t>P1 31.30</t>
        </is>
      </c>
      <c r="F715" s="375" t="inlineStr">
        <is>
          <t>Motif déclaration JV</t>
        </is>
      </c>
      <c r="G715" s="363" t="inlineStr">
        <is>
          <t>Reason for FV declaration</t>
        </is>
      </c>
      <c r="H715" s="1493">
        <f>"RPAD( "&amp;SUBSTITUTE(SUBSTITUTE(E715," ","_"),".","_")&amp;","&amp;W715&amp;",' '); -- "&amp;E715</f>
        <v/>
      </c>
      <c r="I715" s="241" t="inlineStr">
        <is>
          <t>Reflète la raison pour laquelle l'instrument est déclaré en Juste Valeur, au regard des résultats des tests SPPI</t>
        </is>
      </c>
      <c r="J715" s="363" t="inlineStr">
        <is>
          <t>Reflects the reason why the instrument is reported at Fair Value, based on the results of the SPPI tests</t>
        </is>
      </c>
      <c r="K715" s="516" t="inlineStr">
        <is>
          <t>ND</t>
        </is>
      </c>
      <c r="L715" s="517" t="inlineStr">
        <is>
          <t>ND</t>
        </is>
      </c>
      <c r="M715" s="1420" t="inlineStr">
        <is>
          <t>IndMotDeclarJV</t>
        </is>
      </c>
      <c r="N715" s="269" t="inlineStr">
        <is>
          <t>Obligatoire sous conditions</t>
        </is>
      </c>
      <c r="O715" s="284" t="inlineStr">
        <is>
          <t>Mandatory under conditions</t>
        </is>
      </c>
      <c r="P715" s="269" t="inlineStr">
        <is>
          <t>LC.0341</t>
        </is>
      </c>
      <c r="Q715" s="269" t="inlineStr">
        <is>
          <t xml:space="preserve">TA Z8IDSPPI </t>
        </is>
      </c>
      <c r="R715" s="232" t="inlineStr">
        <is>
          <t>NA</t>
        </is>
      </c>
      <c r="S715" s="233" t="inlineStr">
        <is>
          <t>NA</t>
        </is>
      </c>
      <c r="T715" s="313" t="inlineStr">
        <is>
          <t>ALPHA</t>
        </is>
      </c>
      <c r="U715" s="237" t="inlineStr">
        <is>
          <t>NA</t>
        </is>
      </c>
      <c r="V715" s="238" t="inlineStr">
        <is>
          <t>NA</t>
        </is>
      </c>
      <c r="W715" s="257" t="n">
        <v>1</v>
      </c>
      <c r="X715" s="945" t="inlineStr">
        <is>
          <t>NA</t>
        </is>
      </c>
      <c r="Y715" s="237" t="n">
        <v>43</v>
      </c>
      <c r="Z715" s="237" t="inlineStr">
        <is>
          <t>NA</t>
        </is>
      </c>
      <c r="AA715" s="270" t="inlineStr">
        <is>
          <t>NA</t>
        </is>
      </c>
      <c r="AB715" s="994" t="inlineStr">
        <is>
          <t>CALCULS PRUDENTIELS, GRR</t>
        </is>
      </c>
      <c r="AC715" s="231" t="inlineStr">
        <is>
          <t>ND</t>
        </is>
      </c>
      <c r="AD715" s="257" t="inlineStr">
        <is>
          <t>N</t>
        </is>
      </c>
      <c r="AE715" s="257" t="inlineStr">
        <is>
          <t>EQU101
ISS200 et 300
TRE2xx à TRE4xx hors (TRE203, TRE205, TRE206, TRE207)
TRE5xx</t>
        </is>
      </c>
      <c r="AF715" s="257" t="inlineStr">
        <is>
          <t>NA</t>
        </is>
      </c>
      <c r="AG715" s="258" t="inlineStr">
        <is>
          <t>NA</t>
        </is>
      </c>
      <c r="AH715" s="89" t="n"/>
      <c r="AI715" s="353" t="inlineStr">
        <is>
          <t>La donnée est obligatoire si le type de risque [P1 2.0] = 'EQU101', 'ISS200', 'ISS300', 'TRE2xx' à 'TRE4xx' hors (TRE203, TRE205, TRE206, TRE207), TRE5xx et si la classification comptable de référence des actifs [P1 19.5] = 'JCN','JCR','JVR'</t>
        </is>
      </c>
      <c r="AJ715" s="317" t="inlineStr">
        <is>
          <t>The data is mandatory if risk type [P1 2.0] = 'EQU101', 'ISS200', 'ISS300', 'TRE2xx' to 'TRE4xx' out (TRE203, TRE205, TRE206, TRE207), TRE5xx and if Reference accounting classification of assets [P1 19.5] = 'JCN','JCR','JVR'</t>
        </is>
      </c>
      <c r="AK715" s="257" t="n">
        <v>6</v>
      </c>
      <c r="AL715" s="420" t="inlineStr">
        <is>
          <t>TPS0913</t>
        </is>
      </c>
      <c r="AM715" s="452" t="inlineStr">
        <is>
          <t>Si elle est renseignée, la valeur doit être connue du Langage Commun associé</t>
        </is>
      </c>
      <c r="AN715" s="377" t="inlineStr">
        <is>
          <t>If specified, the value must be known to the associated Common Language</t>
        </is>
      </c>
      <c r="AO715" s="257" t="n">
        <v>7</v>
      </c>
      <c r="AP715" s="212" t="inlineStr">
        <is>
          <t>TIG0001</t>
        </is>
      </c>
      <c r="AQ715" s="318" t="n"/>
      <c r="AR715" s="317" t="n"/>
      <c r="AS715" s="257" t="n"/>
      <c r="AT715" s="258" t="n"/>
      <c r="AU715" s="318" t="n"/>
      <c r="AV715" s="317" t="n"/>
      <c r="AW715" s="257" t="n"/>
      <c r="AX715" s="258" t="n"/>
      <c r="AY715" s="318" t="n"/>
      <c r="AZ715" s="317" t="n"/>
      <c r="BA715" s="257" t="n"/>
      <c r="BB715" s="258" t="n"/>
      <c r="BC715" s="316" t="n"/>
      <c r="BD715" s="317" t="n"/>
      <c r="BE715" s="257" t="n"/>
      <c r="BF715" s="258" t="n"/>
      <c r="BG715" s="89" t="n"/>
      <c r="BH7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15">
        <f>_xlfn.LET(r,ROW(),oc,INDEX($A:$A,r),cv,TRIM(INDEX($Y:$Y,r)&amp;""),IF(oc&lt;&gt;"P1","",IF(cv="45","V45 - novo, nao alimentado pelo spool atual","V44 - alimentado pelo spool atual")))</f>
        <v/>
      </c>
    </row>
    <row r="716" ht="54" customFormat="1" customHeight="1" s="91">
      <c r="A716" s="306" t="inlineStr">
        <is>
          <t>P1</t>
        </is>
      </c>
      <c r="B716" s="307" t="n">
        <v>481</v>
      </c>
      <c r="C716" s="269" t="inlineStr">
        <is>
          <t>17 - Caractéristiques Titres</t>
        </is>
      </c>
      <c r="D716" s="310" t="inlineStr">
        <is>
          <t>17 - Securities characteristics</t>
        </is>
      </c>
      <c r="E716" s="372" t="inlineStr">
        <is>
          <t>P1 31.31</t>
        </is>
      </c>
      <c r="F716" s="308" t="inlineStr">
        <is>
          <t>Mode de cotation du titre</t>
        </is>
      </c>
      <c r="G716" s="309" t="inlineStr">
        <is>
          <t>Quotation method of securities</t>
        </is>
      </c>
      <c r="H716" s="1493">
        <f>"RPAD( "&amp;SUBSTITUTE(SUBSTITUTE(E716," ","_"),".","_")&amp;","&amp;W716&amp;",' '); -- "&amp;E716</f>
        <v/>
      </c>
      <c r="I716" s="241" t="inlineStr">
        <is>
          <t>Indique le mode de cotation du titre</t>
        </is>
      </c>
      <c r="J716" s="309" t="inlineStr">
        <is>
          <t xml:space="preserve">Indicates the quotation method of securities </t>
        </is>
      </c>
      <c r="K716" s="370" t="inlineStr">
        <is>
          <t>ND</t>
        </is>
      </c>
      <c r="L716" s="371" t="inlineStr">
        <is>
          <t>ND</t>
        </is>
      </c>
      <c r="M716" s="1420" t="inlineStr">
        <is>
          <t>CdModCotaTitr</t>
        </is>
      </c>
      <c r="N716" s="257" t="inlineStr">
        <is>
          <t>Obligatoire sous conditions</t>
        </is>
      </c>
      <c r="O716" s="310" t="inlineStr">
        <is>
          <t>Mandatory under conditions</t>
        </is>
      </c>
      <c r="P716" s="269" t="inlineStr">
        <is>
          <t>LC.0342</t>
        </is>
      </c>
      <c r="Q716" s="269" t="inlineStr">
        <is>
          <t>TA XPMODCOT</t>
        </is>
      </c>
      <c r="R716" s="241" t="inlineStr">
        <is>
          <t>NA</t>
        </is>
      </c>
      <c r="S716" s="233" t="inlineStr">
        <is>
          <t>NA</t>
        </is>
      </c>
      <c r="T716" s="313" t="inlineStr">
        <is>
          <t>ALPHA</t>
        </is>
      </c>
      <c r="U716" s="237" t="inlineStr">
        <is>
          <t>NA</t>
        </is>
      </c>
      <c r="V716" s="238" t="inlineStr">
        <is>
          <t>NA</t>
        </is>
      </c>
      <c r="W716" s="257" t="n">
        <v>1</v>
      </c>
      <c r="X716" s="945" t="inlineStr">
        <is>
          <t>NA</t>
        </is>
      </c>
      <c r="Y716" s="237" t="n">
        <v>43</v>
      </c>
      <c r="Z716" s="237" t="inlineStr">
        <is>
          <t>NA</t>
        </is>
      </c>
      <c r="AA716" s="237" t="inlineStr">
        <is>
          <t>NA</t>
        </is>
      </c>
      <c r="AB716" s="269" t="inlineStr">
        <is>
          <t>PALMA, SHS</t>
        </is>
      </c>
      <c r="AC716" s="231" t="inlineStr">
        <is>
          <t>ND</t>
        </is>
      </c>
      <c r="AD716" s="257" t="inlineStr">
        <is>
          <t>N</t>
        </is>
      </c>
      <c r="AE716" s="257" t="inlineStr">
        <is>
          <t>EQU101
ISS200 et 300</t>
        </is>
      </c>
      <c r="AF716" s="257" t="inlineStr">
        <is>
          <t>NA</t>
        </is>
      </c>
      <c r="AG716" s="258" t="inlineStr">
        <is>
          <t>NA</t>
        </is>
      </c>
      <c r="AH716" s="89" t="n"/>
      <c r="AI716" s="316" t="inlineStr">
        <is>
          <t>La donnée est obligatoire si le type de risque [P1 2.0] = 'EQU101' et si Nature du sous-jacent [P1 12.1] = 01 ou 04 ou 05
---
La donnée est obligatoire si le type de risque [P1 2.0] = ISS200/300 et si Nature du sous-jacent [P1 12.1] (06, 07, 08, 09, 10, 11, 12, 13, 14, 15, 16, 30, 32)</t>
        </is>
      </c>
      <c r="AJ716" s="317" t="inlineStr">
        <is>
          <t>The data is mandatory if Risk type [P1 2.0] = 'EQU101' and if Nature of underlying [P1 12.1] = 01 or 04 or 05
---
The data is mandatory if Risk type [P1 2.0] = ISS200/300 and if Nature of underlying [P1 12.1] [P1 12.1] (06, 07, 08, 09, 10, 11, 12, 13, 14, 15, 16, 30, 32)</t>
        </is>
      </c>
      <c r="AK716" s="257" t="n">
        <v>6</v>
      </c>
      <c r="AL716" s="378" t="inlineStr">
        <is>
          <t>TPS0914
TPS0915</t>
        </is>
      </c>
      <c r="AM716" s="452" t="inlineStr">
        <is>
          <t>Si elle est renseignée, la valeur doit être connue du Langage Commun associé</t>
        </is>
      </c>
      <c r="AN716" s="377" t="inlineStr">
        <is>
          <t>If specified, the value must be known to the associated Common Language</t>
        </is>
      </c>
      <c r="AO716" s="257" t="n">
        <v>7</v>
      </c>
      <c r="AP716" s="212" t="inlineStr">
        <is>
          <t>TIG0001</t>
        </is>
      </c>
      <c r="AQ716" s="318" t="n"/>
      <c r="AR716" s="317" t="n"/>
      <c r="AS716" s="257" t="n"/>
      <c r="AT716" s="258" t="n"/>
      <c r="AU716" s="318" t="n"/>
      <c r="AV716" s="317" t="n"/>
      <c r="AW716" s="257" t="n"/>
      <c r="AX716" s="258" t="n"/>
      <c r="AY716" s="318" t="n"/>
      <c r="AZ716" s="317" t="n"/>
      <c r="BA716" s="257" t="n"/>
      <c r="BB716" s="258" t="n"/>
      <c r="BC716" s="316" t="n"/>
      <c r="BD716" s="317" t="n"/>
      <c r="BE716" s="257" t="n"/>
      <c r="BF716" s="258" t="n"/>
      <c r="BG716" s="89" t="n"/>
      <c r="BH7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16">
        <f>_xlfn.LET(r,ROW(),oc,INDEX($A:$A,r),cv,TRIM(INDEX($Y:$Y,r)&amp;""),IF(oc&lt;&gt;"P1","",IF(cv="45","V45 - novo, nao alimentado pelo spool atual","V44 - alimentado pelo spool atual")))</f>
        <v/>
      </c>
    </row>
    <row r="717" ht="54" customFormat="1" customHeight="1" s="91">
      <c r="A717" s="306" t="inlineStr">
        <is>
          <t>P1</t>
        </is>
      </c>
      <c r="B717" s="307" t="n">
        <v>482</v>
      </c>
      <c r="C717" s="269" t="inlineStr">
        <is>
          <t>17 - Caractéristiques Titres</t>
        </is>
      </c>
      <c r="D717" s="310" t="inlineStr">
        <is>
          <t>17 - Securities characteristics</t>
        </is>
      </c>
      <c r="E717" s="372" t="inlineStr">
        <is>
          <t>P1 31.32</t>
        </is>
      </c>
      <c r="F717" s="1263" t="inlineStr">
        <is>
          <t>Date d'émission du titre</t>
        </is>
      </c>
      <c r="G717" s="309" t="inlineStr">
        <is>
          <t xml:space="preserve">Issuance date of the security </t>
        </is>
      </c>
      <c r="H717" s="1493">
        <f>"RPAD( "&amp;SUBSTITUTE(SUBSTITUTE(E717," ","_"),".","_")&amp;","&amp;W717&amp;",' '); -- "&amp;E717</f>
        <v/>
      </c>
      <c r="I717" s="241" t="inlineStr">
        <is>
          <t>Date d'émission du titre détenu</t>
        </is>
      </c>
      <c r="J717" s="233" t="inlineStr">
        <is>
          <t>Issuance date of the security held</t>
        </is>
      </c>
      <c r="K717" s="269" t="inlineStr">
        <is>
          <t>ND</t>
        </is>
      </c>
      <c r="L717" s="310" t="inlineStr">
        <is>
          <t>ND</t>
        </is>
      </c>
      <c r="M717" s="1420" t="inlineStr">
        <is>
          <t>DtEmisTitr</t>
        </is>
      </c>
      <c r="N717" s="257" t="inlineStr">
        <is>
          <t>Obligatoire sous conditions</t>
        </is>
      </c>
      <c r="O717" s="310" t="inlineStr">
        <is>
          <t>Mandatory under conditions</t>
        </is>
      </c>
      <c r="P717" s="269" t="inlineStr">
        <is>
          <t>NA</t>
        </is>
      </c>
      <c r="Q717" s="269" t="inlineStr">
        <is>
          <t>NA</t>
        </is>
      </c>
      <c r="R717" s="241" t="inlineStr">
        <is>
          <t>NA</t>
        </is>
      </c>
      <c r="S717" s="233" t="inlineStr">
        <is>
          <t>NA</t>
        </is>
      </c>
      <c r="T717" s="206" t="inlineStr">
        <is>
          <t>DATE</t>
        </is>
      </c>
      <c r="U717" s="237" t="inlineStr">
        <is>
          <t>AAAAMMJJ</t>
        </is>
      </c>
      <c r="V717" s="238" t="inlineStr">
        <is>
          <t>YYYYMMDD</t>
        </is>
      </c>
      <c r="W717" s="257" t="n">
        <v>8</v>
      </c>
      <c r="X717" s="945" t="inlineStr">
        <is>
          <t>NA</t>
        </is>
      </c>
      <c r="Y717" s="237" t="n">
        <v>43</v>
      </c>
      <c r="Z717" s="237" t="inlineStr">
        <is>
          <t>NA</t>
        </is>
      </c>
      <c r="AA717" s="239" t="inlineStr">
        <is>
          <t>NA</t>
        </is>
      </c>
      <c r="AB717" s="269" t="inlineStr">
        <is>
          <t>CONGLOMERATS, MREL, PALMA, SHS, SRB VALUATION, TLAC</t>
        </is>
      </c>
      <c r="AC717" s="231" t="inlineStr">
        <is>
          <t>ND</t>
        </is>
      </c>
      <c r="AD717" s="257" t="inlineStr">
        <is>
          <t>N</t>
        </is>
      </c>
      <c r="AE717" s="257" t="inlineStr">
        <is>
          <t xml:space="preserve">EQU101
ISS100
ISS200 et 300
</t>
        </is>
      </c>
      <c r="AF717" s="257" t="inlineStr">
        <is>
          <t>NA</t>
        </is>
      </c>
      <c r="AG717" s="258" t="inlineStr">
        <is>
          <t>NA</t>
        </is>
      </c>
      <c r="AH717" s="89" t="n"/>
      <c r="AI717" s="408" t="inlineStr">
        <is>
          <t>La donnée est obligatoire si le type de risque [P1 2.0] = 'EQU101', 'ISS100', 'ISS200', 'ISS300'</t>
        </is>
      </c>
      <c r="AJ717" s="317" t="inlineStr">
        <is>
          <t>The data is mandatory if risk type [P1 2.0] = 'EQU101', 'ISS100', 'ISS200', 'ISS300'</t>
        </is>
      </c>
      <c r="AK717" s="257" t="n">
        <v>6</v>
      </c>
      <c r="AL717" s="455" t="inlineStr">
        <is>
          <t>TPS0878</t>
        </is>
      </c>
      <c r="AM717" s="318" t="n"/>
      <c r="AN717" s="317" t="n"/>
      <c r="AO717" s="257" t="n"/>
      <c r="AP717" s="258" t="n"/>
      <c r="AQ717" s="318" t="inlineStr">
        <is>
          <t>Si renseignée, la donnée doit être supérieure ou égale à '19000101'</t>
        </is>
      </c>
      <c r="AR717" s="317" t="inlineStr">
        <is>
          <t>If filled, data must be greater or equal to '19000101'</t>
        </is>
      </c>
      <c r="AS717" s="257" t="n">
        <v>7</v>
      </c>
      <c r="AT717" s="258" t="inlineStr">
        <is>
          <t>TVG0005</t>
        </is>
      </c>
      <c r="AU717" s="318" t="inlineStr">
        <is>
          <t>La donnée doit être inférieure ou égale à la date d'arrêté</t>
        </is>
      </c>
      <c r="AV717" s="317" t="inlineStr">
        <is>
          <t>Data must be lower or equal than closing date</t>
        </is>
      </c>
      <c r="AW717" s="257" t="n">
        <v>7</v>
      </c>
      <c r="AX717" s="345" t="inlineStr">
        <is>
          <t>TCG0004</t>
        </is>
      </c>
      <c r="AY717" s="318" t="n"/>
      <c r="AZ717" s="317" t="n"/>
      <c r="BA717" s="257" t="n"/>
      <c r="BB717" s="258" t="n"/>
      <c r="BC717" s="316" t="n"/>
      <c r="BD717" s="317" t="n"/>
      <c r="BE717" s="257" t="n"/>
      <c r="BF717" s="258" t="n"/>
      <c r="BG717" s="89" t="n"/>
      <c r="BH7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17">
        <f>_xlfn.LET(r,ROW(),oc,INDEX($A:$A,r),cv,TRIM(INDEX($Y:$Y,r)&amp;""),IF(oc&lt;&gt;"P1","",IF(cv="45","V45 - novo, nao alimentado pelo spool atual","V44 - alimentado pelo spool atual")))</f>
        <v/>
      </c>
    </row>
    <row r="718" ht="54" customFormat="1" customHeight="1" s="91">
      <c r="A718" s="306" t="inlineStr">
        <is>
          <t>P1</t>
        </is>
      </c>
      <c r="B718" s="307" t="n">
        <v>483</v>
      </c>
      <c r="C718" s="269" t="inlineStr">
        <is>
          <t>17 - Caractéristiques Titres</t>
        </is>
      </c>
      <c r="D718" s="310" t="inlineStr">
        <is>
          <t>17 - Securities characteristics</t>
        </is>
      </c>
      <c r="E718" s="372" t="inlineStr">
        <is>
          <t>P1 31.33</t>
        </is>
      </c>
      <c r="F718" s="696" t="inlineStr">
        <is>
          <t>Date de maturité du titre</t>
        </is>
      </c>
      <c r="G718" s="309" t="inlineStr">
        <is>
          <t xml:space="preserve">Maturity date of security </t>
        </is>
      </c>
      <c r="H718" s="1493">
        <f>"RPAD( "&amp;SUBSTITUTE(SUBSTITUTE(E718," ","_"),".","_")&amp;","&amp;W718&amp;",' '); -- "&amp;E718</f>
        <v/>
      </c>
      <c r="I718" s="241" t="inlineStr">
        <is>
          <t>Date de maturité du titre détenu</t>
        </is>
      </c>
      <c r="J718" s="233" t="inlineStr">
        <is>
          <t>Maturity date of the security held</t>
        </is>
      </c>
      <c r="K718" s="269" t="inlineStr">
        <is>
          <t>ND</t>
        </is>
      </c>
      <c r="L718" s="310" t="inlineStr">
        <is>
          <t>ND</t>
        </is>
      </c>
      <c r="M718" s="1420" t="inlineStr">
        <is>
          <t>DtMaturTitr</t>
        </is>
      </c>
      <c r="N718" s="257" t="inlineStr">
        <is>
          <t>Obligatoire sous conditions</t>
        </is>
      </c>
      <c r="O718" s="310" t="inlineStr">
        <is>
          <t>Mandatory under conditions</t>
        </is>
      </c>
      <c r="P718" s="269" t="inlineStr">
        <is>
          <t>NA</t>
        </is>
      </c>
      <c r="Q718" s="269" t="inlineStr">
        <is>
          <t>NA</t>
        </is>
      </c>
      <c r="R718" s="241" t="inlineStr">
        <is>
          <t>NA</t>
        </is>
      </c>
      <c r="S718" s="233" t="inlineStr">
        <is>
          <t>NA</t>
        </is>
      </c>
      <c r="T718" s="206" t="inlineStr">
        <is>
          <t>DATE</t>
        </is>
      </c>
      <c r="U718" s="237" t="inlineStr">
        <is>
          <t>AAAAMMJJ</t>
        </is>
      </c>
      <c r="V718" s="238" t="inlineStr">
        <is>
          <t>YYYYMMDD</t>
        </is>
      </c>
      <c r="W718" s="257" t="n">
        <v>8</v>
      </c>
      <c r="X718" s="945" t="inlineStr">
        <is>
          <t>NA</t>
        </is>
      </c>
      <c r="Y718" s="237" t="n">
        <v>43</v>
      </c>
      <c r="Z718" s="237" t="inlineStr">
        <is>
          <t>NA</t>
        </is>
      </c>
      <c r="AA718" s="978" t="inlineStr">
        <is>
          <t>NA</t>
        </is>
      </c>
      <c r="AB718" s="994" t="inlineStr">
        <is>
          <t>CALCULS PRUDENTIELS, CONGLOMERATS, SHS, SRB VALUATION</t>
        </is>
      </c>
      <c r="AC718" s="231" t="inlineStr">
        <is>
          <t>ND</t>
        </is>
      </c>
      <c r="AD718" s="257" t="inlineStr">
        <is>
          <t>N</t>
        </is>
      </c>
      <c r="AE718" s="697" t="inlineStr">
        <is>
          <t>ISS200
ISS300</t>
        </is>
      </c>
      <c r="AF718" s="257" t="inlineStr">
        <is>
          <t>NA</t>
        </is>
      </c>
      <c r="AG718" s="258" t="inlineStr">
        <is>
          <t>NA</t>
        </is>
      </c>
      <c r="AH718" s="89" t="n"/>
      <c r="AI718" s="698" t="inlineStr">
        <is>
          <t>La donnée est obligatoire si le type de risque [P1 2.0] ='ISS200', 'ISS300' ET si Nature du Sous-Jacent [P1 12.1]= '06', '07', '08', '09', '10', '11'</t>
        </is>
      </c>
      <c r="AJ718" s="317" t="inlineStr">
        <is>
          <t>The data is mandatory if Risk Type [P1 2.0] = 'ISS200', 'ISS300' AND if Nature of underlying [P1 12.1] = '06', '07', '08', '09', '10', '11'</t>
        </is>
      </c>
      <c r="AK718" s="257" t="n">
        <v>6</v>
      </c>
      <c r="AL718" s="420" t="inlineStr">
        <is>
          <t>TPS0916</t>
        </is>
      </c>
      <c r="AM718" s="318" t="n"/>
      <c r="AN718" s="317" t="n"/>
      <c r="AO718" s="257" t="n"/>
      <c r="AP718" s="258" t="n"/>
      <c r="AQ718" s="318" t="n"/>
      <c r="AR718" s="317" t="n"/>
      <c r="AS718" s="257" t="n"/>
      <c r="AT718" s="258" t="n"/>
      <c r="AU718" s="354" t="inlineStr">
        <is>
          <t>La donnée doit être supérieure ou égale à la date d'arrêté</t>
        </is>
      </c>
      <c r="AV718" s="317" t="inlineStr">
        <is>
          <t>Data must be greater or equal than closing date</t>
        </is>
      </c>
      <c r="AW718" s="257" t="n">
        <v>7</v>
      </c>
      <c r="AX718" s="345" t="inlineStr">
        <is>
          <t>TCG0002</t>
        </is>
      </c>
      <c r="AY718" s="318" t="n"/>
      <c r="AZ718" s="317" t="n"/>
      <c r="BA718" s="257" t="n"/>
      <c r="BB718" s="258" t="n"/>
      <c r="BC718" s="316" t="n"/>
      <c r="BD718" s="317" t="n"/>
      <c r="BE718" s="257" t="n"/>
      <c r="BF718" s="258" t="n"/>
      <c r="BG718" s="89" t="n"/>
      <c r="BH7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18">
        <f>_xlfn.LET(r,ROW(),oc,INDEX($A:$A,r),cv,TRIM(INDEX($Y:$Y,r)&amp;""),IF(oc&lt;&gt;"P1","",IF(cv="45","V45 - novo, nao alimentado pelo spool atual","V44 - alimentado pelo spool atual")))</f>
        <v/>
      </c>
    </row>
    <row r="719" ht="54" customFormat="1" customHeight="1" s="91">
      <c r="A719" s="306" t="inlineStr">
        <is>
          <t>P1</t>
        </is>
      </c>
      <c r="B719" s="307" t="n">
        <v>484</v>
      </c>
      <c r="C719" s="269" t="inlineStr">
        <is>
          <t>17 - Caractéristiques Titres</t>
        </is>
      </c>
      <c r="D719" s="310" t="inlineStr">
        <is>
          <t>17 - Securities characteristics</t>
        </is>
      </c>
      <c r="E719" s="372" t="inlineStr">
        <is>
          <t>P1 31.34</t>
        </is>
      </c>
      <c r="F719" s="308" t="inlineStr">
        <is>
          <t>Etat du titre</t>
        </is>
      </c>
      <c r="G719" s="309" t="inlineStr">
        <is>
          <t>Securities status</t>
        </is>
      </c>
      <c r="H719" s="1493">
        <f>"RPAD( "&amp;SUBSTITUTE(SUBSTITUTE(E719," ","_"),".","_")&amp;","&amp;W719&amp;",' '); -- "&amp;E719</f>
        <v/>
      </c>
      <c r="I719" s="241" t="inlineStr">
        <is>
          <t>Etat du titre à date</t>
        </is>
      </c>
      <c r="J719" s="309" t="inlineStr">
        <is>
          <t>Securities status at closing date</t>
        </is>
      </c>
      <c r="K719" s="370" t="inlineStr">
        <is>
          <t>ND</t>
        </is>
      </c>
      <c r="L719" s="371" t="inlineStr">
        <is>
          <t>ND</t>
        </is>
      </c>
      <c r="M719" s="1420" t="inlineStr">
        <is>
          <t>EtatTitr</t>
        </is>
      </c>
      <c r="N719" s="257" t="inlineStr">
        <is>
          <t>Obligatoire sous conditions</t>
        </is>
      </c>
      <c r="O719" s="310" t="inlineStr">
        <is>
          <t>Mandatory under conditions</t>
        </is>
      </c>
      <c r="P719" s="269" t="inlineStr">
        <is>
          <t>LC.0343</t>
        </is>
      </c>
      <c r="Q719" s="269" t="inlineStr">
        <is>
          <t>TA Z8ETITRE</t>
        </is>
      </c>
      <c r="R719" s="241" t="inlineStr">
        <is>
          <t>NA</t>
        </is>
      </c>
      <c r="S719" s="233" t="inlineStr">
        <is>
          <t>NA</t>
        </is>
      </c>
      <c r="T719" s="313" t="inlineStr">
        <is>
          <t>ALPHA</t>
        </is>
      </c>
      <c r="U719" s="237" t="inlineStr">
        <is>
          <t>NA</t>
        </is>
      </c>
      <c r="V719" s="238" t="inlineStr">
        <is>
          <t>NA</t>
        </is>
      </c>
      <c r="W719" s="257" t="n">
        <v>1</v>
      </c>
      <c r="X719" s="945" t="inlineStr">
        <is>
          <t>NA</t>
        </is>
      </c>
      <c r="Y719" s="237" t="n">
        <v>43</v>
      </c>
      <c r="Z719" s="237" t="inlineStr">
        <is>
          <t>NA</t>
        </is>
      </c>
      <c r="AA719" s="237" t="inlineStr">
        <is>
          <t>NA</t>
        </is>
      </c>
      <c r="AB719" s="269" t="inlineStr">
        <is>
          <t>SHS</t>
        </is>
      </c>
      <c r="AC719" s="231" t="inlineStr">
        <is>
          <t>ND</t>
        </is>
      </c>
      <c r="AD719" s="257" t="inlineStr">
        <is>
          <t>N</t>
        </is>
      </c>
      <c r="AE719" s="257" t="inlineStr">
        <is>
          <t>EQU101
ISS200 et 300</t>
        </is>
      </c>
      <c r="AF719" s="257" t="inlineStr">
        <is>
          <t>NA</t>
        </is>
      </c>
      <c r="AG719" s="258" t="inlineStr">
        <is>
          <t>NA</t>
        </is>
      </c>
      <c r="AH719" s="89" t="n"/>
      <c r="AI719" s="316" t="inlineStr">
        <is>
          <t>La donnée est obligatoire si le type de risque [P1 2.0] = 'EQU101', 'ISS200', 'ISS300'</t>
        </is>
      </c>
      <c r="AJ719" s="317" t="inlineStr">
        <is>
          <t>Mandatory data if Risk type [P1 2.0] = 'EQU101', 'ISS200', 'ISS300'</t>
        </is>
      </c>
      <c r="AK719" s="257" t="n">
        <v>6</v>
      </c>
      <c r="AL719" s="455" t="inlineStr">
        <is>
          <t>TPS0917</t>
        </is>
      </c>
      <c r="AM719" s="452" t="inlineStr">
        <is>
          <t>Si elle est renseignée, la valeur doit être connue du Langage Commun associé</t>
        </is>
      </c>
      <c r="AN719" s="377" t="inlineStr">
        <is>
          <t>If specified, the value must be known to the associated Common Language</t>
        </is>
      </c>
      <c r="AO719" s="257" t="n">
        <v>7</v>
      </c>
      <c r="AP719" s="212" t="inlineStr">
        <is>
          <t>TIG0001</t>
        </is>
      </c>
      <c r="AQ719" s="318" t="n"/>
      <c r="AR719" s="317" t="n"/>
      <c r="AS719" s="257" t="n"/>
      <c r="AT719" s="258" t="n"/>
      <c r="AU719" s="318" t="n"/>
      <c r="AV719" s="317" t="n"/>
      <c r="AW719" s="257" t="n"/>
      <c r="AX719" s="258" t="n"/>
      <c r="AY719" s="318" t="n"/>
      <c r="AZ719" s="317" t="n"/>
      <c r="BA719" s="257" t="n"/>
      <c r="BB719" s="258" t="n"/>
      <c r="BC719" s="316" t="n"/>
      <c r="BD719" s="317" t="n"/>
      <c r="BE719" s="257" t="n"/>
      <c r="BF719" s="258" t="n"/>
      <c r="BG719" s="89" t="n"/>
      <c r="BH7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19">
        <f>_xlfn.LET(r,ROW(),oc,INDEX($A:$A,r),cv,TRIM(INDEX($Y:$Y,r)&amp;""),IF(oc&lt;&gt;"P1","",IF(cv="45","V45 - novo, nao alimentado pelo spool atual","V44 - alimentado pelo spool atual")))</f>
        <v/>
      </c>
    </row>
    <row r="720" ht="54" customFormat="1" customHeight="1" s="91">
      <c r="A720" s="306" t="inlineStr">
        <is>
          <t>P1</t>
        </is>
      </c>
      <c r="B720" s="307" t="n">
        <v>485</v>
      </c>
      <c r="C720" s="269" t="inlineStr">
        <is>
          <t>17 - Caractéristiques Titres</t>
        </is>
      </c>
      <c r="D720" s="310" t="inlineStr">
        <is>
          <t>17 - Securities characteristics</t>
        </is>
      </c>
      <c r="E720" s="372" t="inlineStr">
        <is>
          <t>P1 31.35</t>
        </is>
      </c>
      <c r="F720" s="308" t="inlineStr">
        <is>
          <t>Date de l'état du titre</t>
        </is>
      </c>
      <c r="G720" s="309" t="inlineStr">
        <is>
          <t xml:space="preserve">Date of securities status </t>
        </is>
      </c>
      <c r="H720" s="1493">
        <f>"RPAD( "&amp;SUBSTITUTE(SUBSTITUTE(E720," ","_"),".","_")&amp;","&amp;W720&amp;",' '); -- "&amp;E720</f>
        <v/>
      </c>
      <c r="I720" s="241" t="inlineStr">
        <is>
          <t>L'attribut indique l'état du titre, c'est-à-dire si le titre est vivant (par exemple s'il est en défaut, est parvenu à échéance ou a fait l'objet d'un remboursement anticipé). 
Les titres sont classés en « vivant » ou « non vivant ». Les titres doivent être considérés comme vivants aussi longtemps que la créance qu'elle représente existe (critère objectif). Des critères subjectifs, comme une faible probabilité de remboursement, ne doivent pas être pris en considération pour établir la valeur de la présente variable. La définition ci-dessus s'applique également aux titres échus (c'est-à-dire ayant dépassé la date d'amortissement de l'intégralité du capital restant dû) avec un émetteur en cours de liquidation ou d'autres cas de non-règlement de créances des détenteurs après la date d'amortissement du titre. Dans ce processus, le titre est toujours considéré comme en circulation jusqu'au règlement final de la liquidation et doit être classé « vivant »</t>
        </is>
      </c>
      <c r="J720" s="309" t="inlineStr">
        <is>
          <t xml:space="preserve">The attribute indicates the status of the security, i.e. whether the security is alive (e.g. if it is in default, has reached due date or has been redeemed early).
Titles are classified as "live" or "non-living". The securities must be considered as living as long as the claim it represents exists (objective criterion). Subjective criteria, such as a low probability of repayment, should not be taken into account in determining the value of this variable. The above definition is also applicable to securities maturing (i.e. past the depreciation|amortisation date of the full outstanding capital) with an issuer in liquidation or other non-settlement of debts of holders after the depreciation|amortisation date of the security. In this process, the security is always considered to be outstanding until the final settlement of the liquidation and must be classified as “alive”.”
</t>
        </is>
      </c>
      <c r="K720" s="370" t="inlineStr">
        <is>
          <t>ND</t>
        </is>
      </c>
      <c r="L720" s="371" t="inlineStr">
        <is>
          <t>ND</t>
        </is>
      </c>
      <c r="M720" s="1420" t="inlineStr">
        <is>
          <t>DtEtatTitr</t>
        </is>
      </c>
      <c r="N720" s="257" t="inlineStr">
        <is>
          <t>Obligatoire sous conditions</t>
        </is>
      </c>
      <c r="O720" s="310" t="inlineStr">
        <is>
          <t>Mandatory under conditions</t>
        </is>
      </c>
      <c r="P720" s="269" t="inlineStr">
        <is>
          <t>NA</t>
        </is>
      </c>
      <c r="Q720" s="269" t="inlineStr">
        <is>
          <t>NA</t>
        </is>
      </c>
      <c r="R720" s="241" t="inlineStr">
        <is>
          <t>NA</t>
        </is>
      </c>
      <c r="S720" s="233" t="inlineStr">
        <is>
          <t>NA</t>
        </is>
      </c>
      <c r="T720" s="206" t="inlineStr">
        <is>
          <t>DATE</t>
        </is>
      </c>
      <c r="U720" s="237" t="inlineStr">
        <is>
          <t>AAAAMMJJ</t>
        </is>
      </c>
      <c r="V720" s="238" t="inlineStr">
        <is>
          <t>YYYYMMDD</t>
        </is>
      </c>
      <c r="W720" s="257" t="n">
        <v>8</v>
      </c>
      <c r="X720" s="945" t="inlineStr">
        <is>
          <t>NA</t>
        </is>
      </c>
      <c r="Y720" s="237" t="n">
        <v>43</v>
      </c>
      <c r="Z720" s="237" t="inlineStr">
        <is>
          <t>NA</t>
        </is>
      </c>
      <c r="AA720" s="270" t="inlineStr">
        <is>
          <t>NA</t>
        </is>
      </c>
      <c r="AB720" s="269" t="inlineStr">
        <is>
          <t>SHS</t>
        </is>
      </c>
      <c r="AC720" s="231" t="inlineStr">
        <is>
          <t>ND</t>
        </is>
      </c>
      <c r="AD720" s="257" t="inlineStr">
        <is>
          <t>N</t>
        </is>
      </c>
      <c r="AE720" s="257" t="inlineStr">
        <is>
          <t>EQU101
ISS200 et 300</t>
        </is>
      </c>
      <c r="AF720" s="257" t="inlineStr">
        <is>
          <t>NA</t>
        </is>
      </c>
      <c r="AG720" s="258" t="inlineStr">
        <is>
          <t>NA</t>
        </is>
      </c>
      <c r="AH720" s="89" t="n"/>
      <c r="AI720" s="408" t="inlineStr">
        <is>
          <t>La donnée est obligatoire si le type de risque [P1 2.0] = 'EQU101', 'ISS200', 'ISS300' et si la donnée état du titre [P1 31.34] est renseignée</t>
        </is>
      </c>
      <c r="AJ720" s="317" t="inlineStr">
        <is>
          <t>Mandatory data if Risk type [P1 2.0] = 'EQU101', 'ISS200', 'ISS300' and if the data securities status [P1 31.34] is filled</t>
        </is>
      </c>
      <c r="AK720" s="257" t="n">
        <v>6</v>
      </c>
      <c r="AL720" s="345" t="inlineStr">
        <is>
          <t>TPS0918</t>
        </is>
      </c>
      <c r="AM720" s="318" t="n"/>
      <c r="AN720" s="317" t="n"/>
      <c r="AO720" s="257" t="n"/>
      <c r="AP720" s="258" t="n"/>
      <c r="AQ720" s="318" t="n"/>
      <c r="AR720" s="317" t="n"/>
      <c r="AS720" s="257" t="n"/>
      <c r="AT720" s="258" t="n"/>
      <c r="AU720" s="318" t="inlineStr">
        <is>
          <t>Si les données date de l'état du titre [P1 31.35] et date d'émission du titre [P1 31.32] sont renseignées, alors la date de l'état du titre [P1 31.35] doit être &gt;= à la date d'émission du titre [P1 31.32]</t>
        </is>
      </c>
      <c r="AV720" s="317" t="inlineStr">
        <is>
          <t>If the data date of securities status [P1 31.35] and Issuance date of the security [P1 31.32] are filled, then the date of securities status [P1 31.35] must be &gt;= to the Issuance date of the security  [P1 31.32]</t>
        </is>
      </c>
      <c r="AW720" s="257" t="n">
        <v>7</v>
      </c>
      <c r="AX720" s="345" t="inlineStr">
        <is>
          <t>TCS0739</t>
        </is>
      </c>
      <c r="AY720" s="318" t="n"/>
      <c r="AZ720" s="317" t="n"/>
      <c r="BA720" s="257" t="n"/>
      <c r="BB720" s="258" t="n"/>
      <c r="BC720" s="316" t="n"/>
      <c r="BD720" s="317" t="n"/>
      <c r="BE720" s="257" t="n"/>
      <c r="BF720" s="258" t="n"/>
      <c r="BG720" s="89" t="n"/>
      <c r="BH7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20">
        <f>_xlfn.LET(r,ROW(),oc,INDEX($A:$A,r),cv,TRIM(INDEX($Y:$Y,r)&amp;""),IF(oc&lt;&gt;"P1","",IF(cv="45","V45 - novo, nao alimentado pelo spool atual","V44 - alimentado pelo spool atual")))</f>
        <v/>
      </c>
    </row>
    <row r="721" ht="54" customFormat="1" customHeight="1" s="91">
      <c r="A721" s="306" t="inlineStr">
        <is>
          <t>P1</t>
        </is>
      </c>
      <c r="B721" s="307" t="n">
        <v>486</v>
      </c>
      <c r="C721" s="269" t="inlineStr">
        <is>
          <t>17 - Caractéristiques Titres</t>
        </is>
      </c>
      <c r="D721" s="310" t="inlineStr">
        <is>
          <t>17 - Securities characteristics</t>
        </is>
      </c>
      <c r="E721" s="372" t="inlineStr">
        <is>
          <t>P1 31.36</t>
        </is>
      </c>
      <c r="F721" s="308" t="inlineStr">
        <is>
          <t>Indicateur prise ferme sur les titres</t>
        </is>
      </c>
      <c r="G721" s="309" t="inlineStr">
        <is>
          <t>Underwriting indicator on securities</t>
        </is>
      </c>
      <c r="H721" s="1493">
        <f>"RPAD( "&amp;SUBSTITUTE(SUBSTITUTE(E721," ","_"),".","_")&amp;","&amp;W721&amp;",' '); -- "&amp;E721</f>
        <v/>
      </c>
      <c r="I721" s="241" t="inlineStr">
        <is>
          <t>Indicateur permettant d'identifier les détentions correspondant à des prises fermes sur des titres émis par une société, achetés par la banque en vue de leur revente au public, ce afin d'assurer à la société émettrice la réussite de son émission</t>
        </is>
      </c>
      <c r="J721" s="363" t="inlineStr">
        <is>
          <t>Indicator to identify holdings corresponding to underwriting on securities issued by a company, purchased by the bank for resale to the public, in order to assure the issuing company of the success of its issue</t>
        </is>
      </c>
      <c r="K721" s="516" t="inlineStr">
        <is>
          <t>ND</t>
        </is>
      </c>
      <c r="L721" s="517" t="inlineStr">
        <is>
          <t>ND</t>
        </is>
      </c>
      <c r="M721" s="1420" t="inlineStr">
        <is>
          <t>IndPriseFermeTitr</t>
        </is>
      </c>
      <c r="N721" s="257" t="inlineStr">
        <is>
          <t>Obligatoire sous conditions</t>
        </is>
      </c>
      <c r="O721" s="310" t="inlineStr">
        <is>
          <t>Mandatory under conditions</t>
        </is>
      </c>
      <c r="P721" s="269" t="inlineStr">
        <is>
          <t>LC.0344</t>
        </is>
      </c>
      <c r="Q721" s="269" t="inlineStr">
        <is>
          <t>TA Z8IPFSLT</t>
        </is>
      </c>
      <c r="R721" s="241" t="inlineStr">
        <is>
          <t>NA</t>
        </is>
      </c>
      <c r="S721" s="233" t="inlineStr">
        <is>
          <t>NA</t>
        </is>
      </c>
      <c r="T721" s="313" t="inlineStr">
        <is>
          <t>ALPHA</t>
        </is>
      </c>
      <c r="U721" s="237" t="inlineStr">
        <is>
          <t>NA</t>
        </is>
      </c>
      <c r="V721" s="238" t="inlineStr">
        <is>
          <t>NA</t>
        </is>
      </c>
      <c r="W721" s="257" t="n">
        <v>1</v>
      </c>
      <c r="X721" s="945" t="inlineStr">
        <is>
          <t>NA</t>
        </is>
      </c>
      <c r="Y721" s="237" t="n">
        <v>43</v>
      </c>
      <c r="Z721" s="237" t="inlineStr">
        <is>
          <t>NA</t>
        </is>
      </c>
      <c r="AA721" s="239" t="inlineStr">
        <is>
          <t>NA</t>
        </is>
      </c>
      <c r="AB721" s="269" t="inlineStr">
        <is>
          <t>MREL, TLAC, SHS</t>
        </is>
      </c>
      <c r="AC721" s="231" t="inlineStr">
        <is>
          <t>ND</t>
        </is>
      </c>
      <c r="AD721" s="257" t="inlineStr">
        <is>
          <t>N</t>
        </is>
      </c>
      <c r="AE721" s="257" t="inlineStr">
        <is>
          <t xml:space="preserve">EQU101
ISS100
ISS200 et 300
</t>
        </is>
      </c>
      <c r="AF721" s="257" t="inlineStr">
        <is>
          <t>NA</t>
        </is>
      </c>
      <c r="AG721" s="258" t="inlineStr">
        <is>
          <t>NA</t>
        </is>
      </c>
      <c r="AH721" s="89" t="n"/>
      <c r="AI721" s="316" t="inlineStr">
        <is>
          <t>La donnée est obligatoire si le type de risque [P1 2.0] = 'EQU101', 'ISS100', 'ISS200', 'ISS300'</t>
        </is>
      </c>
      <c r="AJ721" s="317" t="inlineStr">
        <is>
          <t>The data is mandatory if risk type [P1 2.0] = 'EQU101', 'ISS100', 'ISS200', 'ISS300'</t>
        </is>
      </c>
      <c r="AK721" s="257" t="n">
        <v>6</v>
      </c>
      <c r="AL721" s="455" t="inlineStr">
        <is>
          <t>TPS0878</t>
        </is>
      </c>
      <c r="AM721" s="452" t="inlineStr">
        <is>
          <t>Si elle est renseignée, la valeur doit être connue du Langage Commun associé</t>
        </is>
      </c>
      <c r="AN721" s="377" t="inlineStr">
        <is>
          <t>If specified, the value must be known to the associated Common Language</t>
        </is>
      </c>
      <c r="AO721" s="257" t="n">
        <v>7</v>
      </c>
      <c r="AP721" s="212" t="inlineStr">
        <is>
          <t>TIG0001</t>
        </is>
      </c>
      <c r="AQ721" s="318" t="n"/>
      <c r="AR721" s="317" t="n"/>
      <c r="AS721" s="257" t="n"/>
      <c r="AT721" s="258" t="n"/>
      <c r="AU721" s="318" t="n"/>
      <c r="AV721" s="317" t="n"/>
      <c r="AW721" s="257" t="n"/>
      <c r="AX721" s="258" t="n"/>
      <c r="AY721" s="318" t="n"/>
      <c r="AZ721" s="317" t="n"/>
      <c r="BA721" s="257" t="n"/>
      <c r="BB721" s="258" t="n"/>
      <c r="BC721" s="316" t="n"/>
      <c r="BD721" s="317" t="n"/>
      <c r="BE721" s="257" t="n"/>
      <c r="BF721" s="258" t="n"/>
      <c r="BG721" s="89" t="n"/>
      <c r="BH7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21">
        <f>_xlfn.LET(r,ROW(),oc,INDEX($A:$A,r),cv,TRIM(INDEX($Y:$Y,r)&amp;""),IF(oc&lt;&gt;"P1","",IF(cv="45","V45 - novo, nao alimentado pelo spool atual","V44 - alimentado pelo spool atual")))</f>
        <v/>
      </c>
    </row>
    <row r="722" ht="54" customFormat="1" customHeight="1" s="91">
      <c r="A722" s="306" t="inlineStr">
        <is>
          <t>P1</t>
        </is>
      </c>
      <c r="B722" s="307" t="n">
        <v>487</v>
      </c>
      <c r="C722" s="269" t="inlineStr">
        <is>
          <t>18 - Caractéristiques Titrisation</t>
        </is>
      </c>
      <c r="D722" s="310" t="inlineStr">
        <is>
          <t>18 - Securitization characteristics</t>
        </is>
      </c>
      <c r="E722" s="307" t="inlineStr">
        <is>
          <t>P1 16.24</t>
        </is>
      </c>
      <c r="F722" s="308" t="inlineStr">
        <is>
          <t>Méthode de titrisation</t>
        </is>
      </c>
      <c r="G722" s="309" t="inlineStr">
        <is>
          <t>Securitisation method</t>
        </is>
      </c>
      <c r="H722" s="1493">
        <f>"RPAD( "&amp;SUBSTITUTE(SUBSTITUTE(E722," ","_"),".","_")&amp;","&amp;W722&amp;",' '); -- "&amp;E722</f>
        <v/>
      </c>
      <c r="I722" s="241" t="inlineStr">
        <is>
          <t>Ce champ permet de préciser la méthode de titrisation appliquée à l'engagement titrisation</t>
        </is>
      </c>
      <c r="J722" s="309" t="inlineStr">
        <is>
          <t>This field makes it possible to identify the weighting method used</t>
        </is>
      </c>
      <c r="K722" s="370" t="inlineStr">
        <is>
          <t>ND</t>
        </is>
      </c>
      <c r="L722" s="371" t="inlineStr">
        <is>
          <t>ND</t>
        </is>
      </c>
      <c r="M722" s="1420" t="inlineStr">
        <is>
          <t>CdMethTitr</t>
        </is>
      </c>
      <c r="N722" s="257" t="inlineStr">
        <is>
          <t>Obligatoire sous conditions</t>
        </is>
      </c>
      <c r="O722" s="310" t="inlineStr">
        <is>
          <t>Mandatory under conditions</t>
        </is>
      </c>
      <c r="P722" s="269" t="inlineStr">
        <is>
          <t>LC.0368</t>
        </is>
      </c>
      <c r="Q722" s="269" t="inlineStr">
        <is>
          <t>RB KVMTITRI</t>
        </is>
      </c>
      <c r="R722" s="241" t="inlineStr">
        <is>
          <t>NA</t>
        </is>
      </c>
      <c r="S722" s="233" t="inlineStr">
        <is>
          <t>NA</t>
        </is>
      </c>
      <c r="T722" s="313" t="inlineStr">
        <is>
          <t>ALPHA</t>
        </is>
      </c>
      <c r="U722" s="237" t="inlineStr">
        <is>
          <t>NA</t>
        </is>
      </c>
      <c r="V722" s="238" t="inlineStr">
        <is>
          <t>NA</t>
        </is>
      </c>
      <c r="W722" s="257" t="n">
        <v>7</v>
      </c>
      <c r="X722" s="945" t="inlineStr">
        <is>
          <t>NA</t>
        </is>
      </c>
      <c r="Y722" s="237" t="n">
        <v>43</v>
      </c>
      <c r="Z722" s="237" t="inlineStr">
        <is>
          <t>NA</t>
        </is>
      </c>
      <c r="AA722" s="270" t="inlineStr">
        <is>
          <t>NA</t>
        </is>
      </c>
      <c r="AB722" s="1286" t="inlineStr">
        <is>
          <t>CALCULS PRUDENTIELS</t>
        </is>
      </c>
      <c r="AC722" s="231" t="inlineStr">
        <is>
          <t>ND</t>
        </is>
      </c>
      <c r="AD722" s="257" t="inlineStr">
        <is>
          <t>N</t>
        </is>
      </c>
      <c r="AE722" s="432" t="inlineStr">
        <is>
          <t xml:space="preserve">ISS200 et 300
TRExx hors 201, 203, 205, 206 et 207
SIGxxx
VAR hors repos
</t>
        </is>
      </c>
      <c r="AF722" s="257" t="inlineStr">
        <is>
          <t>NA</t>
        </is>
      </c>
      <c r="AG722" s="258" t="inlineStr">
        <is>
          <t>NA</t>
        </is>
      </c>
      <c r="AH722" s="89" t="n"/>
      <c r="AI722" s="353" t="inlineStr">
        <is>
          <t>La donnée est obligatoire si le Portefeuille Bâle Opération [P1 2.18] = ‘070'</t>
        </is>
      </c>
      <c r="AJ722" s="317" t="inlineStr">
        <is>
          <t>The data is mandatory if Basel Transaction Portfolio [P1 2.18] = ‘070'</t>
        </is>
      </c>
      <c r="AK722" s="257" t="n">
        <v>6</v>
      </c>
      <c r="AL722" s="335" t="inlineStr">
        <is>
          <t>TPS0793</t>
        </is>
      </c>
      <c r="AM722" s="452" t="inlineStr">
        <is>
          <t>Si elle est renseignée, la valeur doit être connue du Langage Commun associé</t>
        </is>
      </c>
      <c r="AN722" s="377" t="inlineStr">
        <is>
          <t>If specified, the value must be known to the associated Common Language</t>
        </is>
      </c>
      <c r="AO722" s="257" t="n">
        <v>7</v>
      </c>
      <c r="AP722" s="212" t="inlineStr">
        <is>
          <t>TIG0001</t>
        </is>
      </c>
      <c r="AQ722" s="318" t="n"/>
      <c r="AR722" s="317" t="n"/>
      <c r="AS722" s="257" t="n"/>
      <c r="AT722" s="258" t="n"/>
      <c r="AU722" s="318" t="n"/>
      <c r="AV722" s="317" t="n"/>
      <c r="AW722" s="257" t="n"/>
      <c r="AX722" s="258" t="n"/>
      <c r="AY722" s="318" t="n"/>
      <c r="AZ722" s="317" t="n"/>
      <c r="BA722" s="257" t="n"/>
      <c r="BB722" s="258" t="n"/>
      <c r="BC722" s="316" t="n"/>
      <c r="BD722" s="317" t="n"/>
      <c r="BE722" s="257" t="n"/>
      <c r="BF722" s="258" t="n"/>
      <c r="BG722" s="89" t="n"/>
      <c r="BH7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22">
        <f>_xlfn.LET(r,ROW(),oc,INDEX($A:$A,r),cv,TRIM(INDEX($Y:$Y,r)&amp;""),IF(oc&lt;&gt;"P1","",IF(cv="45","V45 - novo, nao alimentado pelo spool atual","V44 - alimentado pelo spool atual")))</f>
        <v/>
      </c>
    </row>
    <row r="723" ht="54" customFormat="1" customHeight="1" s="1508">
      <c r="A723" s="306" t="inlineStr">
        <is>
          <t>P1</t>
        </is>
      </c>
      <c r="B723" s="307" t="n">
        <v>488</v>
      </c>
      <c r="C723" s="269" t="inlineStr">
        <is>
          <t>18 - Caractéristiques Titrisation</t>
        </is>
      </c>
      <c r="D723" s="310" t="inlineStr">
        <is>
          <t>18 - Securitization characteristics</t>
        </is>
      </c>
      <c r="E723" s="307" t="inlineStr">
        <is>
          <t>P1 16.25</t>
        </is>
      </c>
      <c r="F723" s="308" t="inlineStr">
        <is>
          <t>Echelon qualité de crédit de la tranche à date d'origine</t>
        </is>
      </c>
      <c r="G723" s="1509" t="inlineStr">
        <is>
          <t>Credit quality step of the securitization tranche at origination date</t>
        </is>
      </c>
      <c r="H723" s="1493">
        <f>"RPAD( "&amp;SUBSTITUTE(SUBSTITUTE(E723," ","_"),".","_")&amp;","&amp;W723&amp;",' '); -- "&amp;E723</f>
        <v/>
      </c>
      <c r="I723" s="241" t="inlineStr">
        <is>
          <t>Echelon de qualité de crédit de la tranche à l'origine</t>
        </is>
      </c>
      <c r="J723" s="1509" t="inlineStr">
        <is>
          <t>Credit quality step of the securitization tranche at origination date</t>
        </is>
      </c>
      <c r="K723" s="1510" t="inlineStr">
        <is>
          <t>ND</t>
        </is>
      </c>
      <c r="L723" s="1511" t="inlineStr">
        <is>
          <t>ND</t>
        </is>
      </c>
      <c r="M723" s="1420" t="inlineStr">
        <is>
          <t>CdEchQualCreditTranOri</t>
        </is>
      </c>
      <c r="N723" s="257" t="inlineStr">
        <is>
          <t>Obligatoire sous conditions</t>
        </is>
      </c>
      <c r="O723" s="310" t="inlineStr">
        <is>
          <t>Mandatory under conditions</t>
        </is>
      </c>
      <c r="P723" s="269" t="inlineStr">
        <is>
          <t>LC.0366</t>
        </is>
      </c>
      <c r="Q723" s="269" t="inlineStr">
        <is>
          <t>TA Z8EQCTIT</t>
        </is>
      </c>
      <c r="R723" s="241" t="inlineStr">
        <is>
          <t>NA</t>
        </is>
      </c>
      <c r="S723" s="233" t="inlineStr">
        <is>
          <t>NA</t>
        </is>
      </c>
      <c r="T723" s="313" t="inlineStr">
        <is>
          <t>ALPHA</t>
        </is>
      </c>
      <c r="U723" s="237" t="inlineStr">
        <is>
          <t>NA</t>
        </is>
      </c>
      <c r="V723" s="238" t="inlineStr">
        <is>
          <t>NA</t>
        </is>
      </c>
      <c r="W723" s="257" t="n">
        <v>2</v>
      </c>
      <c r="X723" s="945" t="inlineStr">
        <is>
          <t>NA</t>
        </is>
      </c>
      <c r="Y723" s="237" t="n">
        <v>43</v>
      </c>
      <c r="Z723" s="237" t="inlineStr">
        <is>
          <t>NA</t>
        </is>
      </c>
      <c r="AA723" s="270" t="inlineStr">
        <is>
          <t>NA</t>
        </is>
      </c>
      <c r="AB723" s="1286" t="inlineStr">
        <is>
          <t>CALCULS PRUDENTIELS</t>
        </is>
      </c>
      <c r="AC723" s="231" t="inlineStr">
        <is>
          <t>ND</t>
        </is>
      </c>
      <c r="AD723" s="257" t="inlineStr">
        <is>
          <t>N</t>
        </is>
      </c>
      <c r="AE723" s="432" t="inlineStr">
        <is>
          <t xml:space="preserve">ISS200 et 300
TRExx hors 201, 203, 205, 206 et 207
SIGxxx
VAR hors repos
</t>
        </is>
      </c>
      <c r="AF723" s="257" t="inlineStr">
        <is>
          <t>NA</t>
        </is>
      </c>
      <c r="AG723" s="258" t="inlineStr">
        <is>
          <t>NA</t>
        </is>
      </c>
      <c r="AH723" s="89" t="n"/>
      <c r="AI723" s="353" t="inlineStr">
        <is>
          <t>La donnée est obligatoire si le type de risque [P1 2.0] = 'TRE2xx' à 'TRE4xx', 'ISS200', 'ISS300', 'SIGxxx' hors (TRE203,TRE205, TRE206, TRE207) ET si le Portefeuille Bâlois - Opération [P1 2.18] = '070'
---
La donnée est obligatoire si le type de risque [P1 2.0] = 'TRE2xx' à 'TRE4xx', 'ISS200', 'ISS300', 'SIGxxx' hors (TRE203,TRE205, TRE206, TRE207) ET si la donnée type de cotation échelon de qualité de crédit de la tranche à date d'origine [P1 16.26] est renseignée</t>
        </is>
      </c>
      <c r="AJ723" s="317" t="inlineStr">
        <is>
          <t>The data is mandatory if Risk type [P1 2.0] = 'TRE2xx' to 'TRE4xx', 'ISS200', 'ISS300', 'SIGxxx' except (TRE203, TRE205, TRE206, TRE207) and if the Basel Portfolio - Operation [P1 2.18] = '070'
—
The data is mandatory if Risk type [P1 2.0] = 'TRE2xx' to 'TRE4xx', 'ISS200', 'ISS300', 'SIGxxx' except (TRE203, TRE205, TRE206, TRE207) and if the original date tranche quality of credit step quotation standard data [P1 16.26] is filled in</t>
        </is>
      </c>
      <c r="AK723" s="257" t="n">
        <v>6</v>
      </c>
      <c r="AL723" s="378" t="inlineStr">
        <is>
          <t>TPS0919
TPS0920</t>
        </is>
      </c>
      <c r="AM723" s="452" t="inlineStr">
        <is>
          <t>Si elle est renseignée, la valeur doit être connue du Langage Commun associé</t>
        </is>
      </c>
      <c r="AN723" s="377" t="inlineStr">
        <is>
          <t>If specified, the value must be known to the associated Common Language</t>
        </is>
      </c>
      <c r="AO723" s="257" t="n">
        <v>7</v>
      </c>
      <c r="AP723" s="212" t="inlineStr">
        <is>
          <t>TIG0001</t>
        </is>
      </c>
      <c r="AQ723" s="318" t="n"/>
      <c r="AR723" s="317" t="n"/>
      <c r="AS723" s="257" t="n"/>
      <c r="AT723" s="258" t="n"/>
      <c r="AU723" s="318" t="n"/>
      <c r="AV723" s="317" t="n"/>
      <c r="AW723" s="257" t="n"/>
      <c r="AX723" s="258" t="n"/>
      <c r="AY723" s="318" t="n"/>
      <c r="AZ723" s="317" t="n"/>
      <c r="BA723" s="257" t="n"/>
      <c r="BB723" s="258" t="n"/>
      <c r="BC723" s="316" t="n"/>
      <c r="BD723" s="317" t="n"/>
      <c r="BE723" s="257" t="n"/>
      <c r="BF723" s="258" t="n"/>
      <c r="BG723" s="89" t="n"/>
      <c r="BH7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23">
        <f>_xlfn.LET(r,ROW(),oc,INDEX($A:$A,r),cv,TRIM(INDEX($Y:$Y,r)&amp;""),IF(oc&lt;&gt;"P1","",IF(cv="45","V45 - novo, nao alimentado pelo spool atual","V44 - alimentado pelo spool atual")))</f>
        <v/>
      </c>
    </row>
    <row r="724" ht="54" customFormat="1" customHeight="1" s="1508">
      <c r="A724" s="306" t="inlineStr">
        <is>
          <t>P1</t>
        </is>
      </c>
      <c r="B724" s="307" t="n">
        <v>489</v>
      </c>
      <c r="C724" s="269" t="inlineStr">
        <is>
          <t>18 - Caractéristiques Titrisation</t>
        </is>
      </c>
      <c r="D724" s="310" t="inlineStr">
        <is>
          <t>18 - Securitization characteristics</t>
        </is>
      </c>
      <c r="E724" s="307" t="inlineStr">
        <is>
          <t>P1 16.26</t>
        </is>
      </c>
      <c r="F724" s="308" t="inlineStr">
        <is>
          <t>Type de cotation échelon de qualité de crédit de la tranche à date d'origine</t>
        </is>
      </c>
      <c r="G724" s="1509" t="inlineStr">
        <is>
          <t>Type of rating of credit quality step of the securitization tranche at origination date</t>
        </is>
      </c>
      <c r="H724" s="1493">
        <f>"RPAD( "&amp;SUBSTITUTE(SUBSTITUTE(E724," ","_"),".","_")&amp;","&amp;W724&amp;",' '); -- "&amp;E724</f>
        <v/>
      </c>
      <c r="I724" s="308" t="inlineStr">
        <is>
          <t>Type de cotation échelon de qualité de crédit de la tranche à date d'origine (Long terme, Court terme)</t>
        </is>
      </c>
      <c r="J724" s="1509" t="inlineStr">
        <is>
          <t>Type of rating of credit quality step of the securitization tranche at origination date (Long-term, short-term)</t>
        </is>
      </c>
      <c r="K724" s="1510" t="inlineStr">
        <is>
          <t>ND</t>
        </is>
      </c>
      <c r="L724" s="1511" t="inlineStr">
        <is>
          <t>ND</t>
        </is>
      </c>
      <c r="M724" s="1420" t="inlineStr">
        <is>
          <t>TypCotEchCreditTranOri</t>
        </is>
      </c>
      <c r="N724" s="257" t="inlineStr">
        <is>
          <t>Obligatoire sous conditions</t>
        </is>
      </c>
      <c r="O724" s="310" t="inlineStr">
        <is>
          <t>Mandatory under conditions</t>
        </is>
      </c>
      <c r="P724" s="269" t="inlineStr">
        <is>
          <t>LC.0181</t>
        </is>
      </c>
      <c r="Q724" s="269" t="inlineStr">
        <is>
          <t>TA KVTCOTA</t>
        </is>
      </c>
      <c r="R724" s="241" t="inlineStr">
        <is>
          <t>NA</t>
        </is>
      </c>
      <c r="S724" s="233" t="inlineStr">
        <is>
          <t>NA</t>
        </is>
      </c>
      <c r="T724" s="313" t="inlineStr">
        <is>
          <t>ALPHA</t>
        </is>
      </c>
      <c r="U724" s="237" t="inlineStr">
        <is>
          <t>NA</t>
        </is>
      </c>
      <c r="V724" s="238" t="inlineStr">
        <is>
          <t>NA</t>
        </is>
      </c>
      <c r="W724" s="269" t="n">
        <v>2</v>
      </c>
      <c r="X724" s="231" t="inlineStr">
        <is>
          <t>NA</t>
        </is>
      </c>
      <c r="Y724" s="237" t="n">
        <v>43</v>
      </c>
      <c r="Z724" s="237" t="inlineStr">
        <is>
          <t>NA</t>
        </is>
      </c>
      <c r="AA724" s="270" t="inlineStr">
        <is>
          <t>NA</t>
        </is>
      </c>
      <c r="AB724" s="1286" t="inlineStr">
        <is>
          <t>CALCULS PRUDENTIELS</t>
        </is>
      </c>
      <c r="AC724" s="231" t="inlineStr">
        <is>
          <t>ND</t>
        </is>
      </c>
      <c r="AD724" s="257" t="inlineStr">
        <is>
          <t>N</t>
        </is>
      </c>
      <c r="AE724" s="432" t="inlineStr">
        <is>
          <t xml:space="preserve">ISS200 et 300
TRExx hors 201, 203, 205, 206 et 207
SIGxxx
VAR hors repos
</t>
        </is>
      </c>
      <c r="AF724" s="257" t="inlineStr">
        <is>
          <t>NA</t>
        </is>
      </c>
      <c r="AG724" s="258" t="inlineStr">
        <is>
          <t>NA</t>
        </is>
      </c>
      <c r="AH724" s="89" t="n"/>
      <c r="AI724" s="353" t="inlineStr">
        <is>
          <t>La donnée est obligatoire si le Portefeuille Bâle Opération [P1 2.18] = ‘070'
--
La donnée est obligatoire si le type de risque [P1 2.0] = 'TRE2xx' à 'TRE4xx', 'ISS200', 'ISS300', 'SIGxxx' hors (TRE201,TRE203,TRE205, TRE206, TRE207) et si le Portefeuille Bâlois - Opération [P1 2.18] = '070' ET si la donnée échelon de qualité de crédit de la tranche à date d'origine [P1 16.25] est renseignée</t>
        </is>
      </c>
      <c r="AJ724" s="317" t="inlineStr">
        <is>
          <t>The data is mandatory if the Basel Portfolio - Operation [P1 2.18] = '070'
--
The data is mandatory if Risk type [P1 2.0] = 'TRE2xx' to 'TRE4xx', 'ISS200', 'ISS300', 'SIGxxx' out (TRE201, TRE203, TRE205, TRE206, TRE207) and the Basel Portfolio - Operation [P1 2.18] = '070' AND if the data quality of credit step of the tranche at the original date [P1 1 6.25] is filled in</t>
        </is>
      </c>
      <c r="AK724" s="257" t="inlineStr">
        <is>
          <t>6
7</t>
        </is>
      </c>
      <c r="AL724" s="378" t="inlineStr">
        <is>
          <t>TPS0793
TPS0794</t>
        </is>
      </c>
      <c r="AM724" s="452" t="inlineStr">
        <is>
          <t>Si elle est renseignée, la valeur doit être connue du Langage Commun associé</t>
        </is>
      </c>
      <c r="AN724" s="377" t="inlineStr">
        <is>
          <t>If specified, the value must be known to the associated Common Language</t>
        </is>
      </c>
      <c r="AO724" s="257" t="n">
        <v>7</v>
      </c>
      <c r="AP724" s="212" t="inlineStr">
        <is>
          <t>TIG0001</t>
        </is>
      </c>
      <c r="AQ724" s="318" t="n"/>
      <c r="AR724" s="317" t="n"/>
      <c r="AS724" s="257" t="n"/>
      <c r="AT724" s="258" t="n"/>
      <c r="AU724" s="318" t="n"/>
      <c r="AV724" s="317" t="n"/>
      <c r="AW724" s="257" t="n"/>
      <c r="AX724" s="258" t="n"/>
      <c r="AY724" s="318" t="n"/>
      <c r="AZ724" s="317" t="n"/>
      <c r="BA724" s="257" t="n"/>
      <c r="BB724" s="258" t="n"/>
      <c r="BC724" s="316" t="n"/>
      <c r="BD724" s="317" t="n"/>
      <c r="BE724" s="257" t="n"/>
      <c r="BF724" s="258" t="n"/>
      <c r="BG724" s="89" t="n"/>
      <c r="BH7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24">
        <f>_xlfn.LET(r,ROW(),oc,INDEX($A:$A,r),cv,TRIM(INDEX($Y:$Y,r)&amp;""),IF(oc&lt;&gt;"P1","",IF(cv="45","V45 - novo, nao alimentado pelo spool atual","V44 - alimentado pelo spool atual")))</f>
        <v/>
      </c>
    </row>
    <row r="725" ht="54" customFormat="1" customHeight="1" s="1508">
      <c r="A725" s="306" t="inlineStr">
        <is>
          <t>P1</t>
        </is>
      </c>
      <c r="B725" s="307" t="n">
        <v>490</v>
      </c>
      <c r="C725" s="269" t="inlineStr">
        <is>
          <t>18 - Caractéristiques Titrisation</t>
        </is>
      </c>
      <c r="D725" s="310" t="inlineStr">
        <is>
          <t>18 - Securitization characteristics</t>
        </is>
      </c>
      <c r="E725" s="307" t="inlineStr">
        <is>
          <t>P1 16.27</t>
        </is>
      </c>
      <c r="F725" s="308" t="inlineStr">
        <is>
          <t>Echelon qualité de crédit de la tranche à date d'arrêté</t>
        </is>
      </c>
      <c r="G725" s="1509" t="inlineStr">
        <is>
          <t>Credit quality step of the securitization tranche at closing date</t>
        </is>
      </c>
      <c r="H725" s="1493">
        <f>"RPAD( "&amp;SUBSTITUTE(SUBSTITUTE(E725," ","_"),".","_")&amp;","&amp;W725&amp;",' '); -- "&amp;E725</f>
        <v/>
      </c>
      <c r="I725" s="241" t="inlineStr">
        <is>
          <t>Echelon de qualité de crédit de la tranche à date d'arrêté</t>
        </is>
      </c>
      <c r="J725" s="1509" t="inlineStr">
        <is>
          <t>Credit quality step of the securitization tranche at closing date</t>
        </is>
      </c>
      <c r="K725" s="1510" t="inlineStr">
        <is>
          <t>ND</t>
        </is>
      </c>
      <c r="L725" s="1511" t="inlineStr">
        <is>
          <t>ND</t>
        </is>
      </c>
      <c r="M725" s="1420" t="inlineStr">
        <is>
          <t>CdEchQualCreditTranArrDt</t>
        </is>
      </c>
      <c r="N725" s="257" t="inlineStr">
        <is>
          <t>Obligatoire sous conditions</t>
        </is>
      </c>
      <c r="O725" s="310" t="inlineStr">
        <is>
          <t>Mandatory under conditions</t>
        </is>
      </c>
      <c r="P725" s="269" t="inlineStr">
        <is>
          <t>LC.0366</t>
        </is>
      </c>
      <c r="Q725" s="269" t="inlineStr">
        <is>
          <t>TA Z8EQCTIT</t>
        </is>
      </c>
      <c r="R725" s="241" t="inlineStr">
        <is>
          <t>NA</t>
        </is>
      </c>
      <c r="S725" s="233" t="inlineStr">
        <is>
          <t>NA</t>
        </is>
      </c>
      <c r="T725" s="313" t="inlineStr">
        <is>
          <t>ALPHA</t>
        </is>
      </c>
      <c r="U725" s="237" t="inlineStr">
        <is>
          <t>NA</t>
        </is>
      </c>
      <c r="V725" s="238" t="inlineStr">
        <is>
          <t>NA</t>
        </is>
      </c>
      <c r="W725" s="257" t="n">
        <v>2</v>
      </c>
      <c r="X725" s="945" t="inlineStr">
        <is>
          <t>NA</t>
        </is>
      </c>
      <c r="Y725" s="237" t="n">
        <v>43</v>
      </c>
      <c r="Z725" s="237" t="inlineStr">
        <is>
          <t>NA</t>
        </is>
      </c>
      <c r="AA725" s="270" t="inlineStr">
        <is>
          <t>NA</t>
        </is>
      </c>
      <c r="AB725" s="1286" t="inlineStr">
        <is>
          <t>CALCULS PRUDENTIELS</t>
        </is>
      </c>
      <c r="AC725" s="231" t="inlineStr">
        <is>
          <t>ND</t>
        </is>
      </c>
      <c r="AD725" s="257" t="inlineStr">
        <is>
          <t>N</t>
        </is>
      </c>
      <c r="AE725" s="432" t="inlineStr">
        <is>
          <t xml:space="preserve">ISS200 et 300
TRExx hors 201, 203, 205, 206 et 207
SIGxxx
VAR hors repos
</t>
        </is>
      </c>
      <c r="AF725" s="257" t="inlineStr">
        <is>
          <t>NA</t>
        </is>
      </c>
      <c r="AG725" s="258" t="inlineStr">
        <is>
          <t>NA</t>
        </is>
      </c>
      <c r="AH725" s="89" t="n"/>
      <c r="AI725" s="353" t="inlineStr">
        <is>
          <t>La donnée est obligatoire, SI le Portefeuille Bâle Opération [P1 2.18] est égal à '070' ET SI [la méthode de titrisation [P1 16.24] est égale à 'ERBA' OU la Méthode de titrisation pour le calcul de l'Output Floor [P1 21.48] est égale à 'ERBA'] ET SI la donnée Type de cotation échelon de qualité de crédit de la tranche à date d'arrêté [P1 16.28] est renseignée.</t>
        </is>
      </c>
      <c r="AJ725" s="317" t="inlineStr">
        <is>
          <t>The data is mandatory IF Basel Transaction Portfolio [P1 2.18] is equal to '070' AND IF [Securitisation method [P1 16.24] is equal to 'ERBA' OR Securitization method for the Output Floor calculation calculation [P1 21.48] is equal to 'ERBA'] AND IF Type of rating of credit quality step of the securitization tranche at closing date [P1 16.28] is filled</t>
        </is>
      </c>
      <c r="AK725" s="257" t="n">
        <v>6</v>
      </c>
      <c r="AL725" s="366" t="inlineStr">
        <is>
          <t>TPS0921</t>
        </is>
      </c>
      <c r="AM725" s="452" t="inlineStr">
        <is>
          <t>Si elle est renseignée, la valeur doit être connue du Langage Commun associé</t>
        </is>
      </c>
      <c r="AN725" s="377" t="inlineStr">
        <is>
          <t>If specified, the value must be known to the associated Common Language</t>
        </is>
      </c>
      <c r="AO725" s="257" t="n">
        <v>7</v>
      </c>
      <c r="AP725" s="212" t="inlineStr">
        <is>
          <t>TIG0001</t>
        </is>
      </c>
      <c r="AQ725" s="318" t="n"/>
      <c r="AR725" s="317" t="n"/>
      <c r="AS725" s="257" t="n"/>
      <c r="AT725" s="258" t="n"/>
      <c r="AU725" s="318" t="n"/>
      <c r="AV725" s="317" t="n"/>
      <c r="AW725" s="257" t="n"/>
      <c r="AX725" s="258" t="n"/>
      <c r="AY725" s="318" t="n"/>
      <c r="AZ725" s="317" t="n"/>
      <c r="BA725" s="257" t="n"/>
      <c r="BB725" s="258" t="n"/>
      <c r="BC725" s="316" t="n"/>
      <c r="BD725" s="317" t="n"/>
      <c r="BE725" s="257" t="n"/>
      <c r="BF725" s="258" t="n"/>
      <c r="BG725" s="89" t="n"/>
      <c r="BH7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25">
        <f>_xlfn.LET(r,ROW(),oc,INDEX($A:$A,r),cv,TRIM(INDEX($Y:$Y,r)&amp;""),IF(oc&lt;&gt;"P1","",IF(cv="45","V45 - novo, nao alimentado pelo spool atual","V44 - alimentado pelo spool atual")))</f>
        <v/>
      </c>
    </row>
    <row r="726" ht="54" customFormat="1" customHeight="1" s="1508">
      <c r="A726" s="306" t="inlineStr">
        <is>
          <t>P1</t>
        </is>
      </c>
      <c r="B726" s="307" t="n">
        <v>491</v>
      </c>
      <c r="C726" s="269" t="inlineStr">
        <is>
          <t>18 - Caractéristiques Titrisation</t>
        </is>
      </c>
      <c r="D726" s="310" t="inlineStr">
        <is>
          <t>18 - Securitization characteristics</t>
        </is>
      </c>
      <c r="E726" s="307" t="inlineStr">
        <is>
          <t>P1 16.28</t>
        </is>
      </c>
      <c r="F726" s="308" t="inlineStr">
        <is>
          <t>Type de cotation échelon de qualité de crédit de la tranche à date d'arrêté</t>
        </is>
      </c>
      <c r="G726" s="1509" t="inlineStr">
        <is>
          <t xml:space="preserve">Type of rating of credit quality step of the securitization tranche at closing date </t>
        </is>
      </c>
      <c r="H726" s="1493">
        <f>"RPAD( "&amp;SUBSTITUTE(SUBSTITUTE(E726," ","_"),".","_")&amp;","&amp;W726&amp;",' '); -- "&amp;E726</f>
        <v/>
      </c>
      <c r="I726" s="308" t="inlineStr">
        <is>
          <t>Type de cotation échelon de qualité de crédit de la tranche à date d'arrêté (Long terme, Court terme)</t>
        </is>
      </c>
      <c r="J726" s="1509" t="inlineStr">
        <is>
          <t>Type of rating of credit quality step of the securitization tranche at closing date (Long-term, short-term)</t>
        </is>
      </c>
      <c r="K726" s="1510" t="inlineStr">
        <is>
          <t>ND</t>
        </is>
      </c>
      <c r="L726" s="1511" t="inlineStr">
        <is>
          <t>ND</t>
        </is>
      </c>
      <c r="M726" s="1420" t="inlineStr">
        <is>
          <t>TypCotEchQualCreditTranArrDt</t>
        </is>
      </c>
      <c r="N726" s="257" t="inlineStr">
        <is>
          <t>Obligatoire sous conditions</t>
        </is>
      </c>
      <c r="O726" s="310" t="inlineStr">
        <is>
          <t>Mandatory under conditions</t>
        </is>
      </c>
      <c r="P726" s="269" t="inlineStr">
        <is>
          <t>LC.0181</t>
        </is>
      </c>
      <c r="Q726" s="269" t="inlineStr">
        <is>
          <t>TA KVTCOTA</t>
        </is>
      </c>
      <c r="R726" s="241" t="inlineStr">
        <is>
          <t>NA</t>
        </is>
      </c>
      <c r="S726" s="233" t="inlineStr">
        <is>
          <t>NA</t>
        </is>
      </c>
      <c r="T726" s="313" t="inlineStr">
        <is>
          <t>ALPHA</t>
        </is>
      </c>
      <c r="U726" s="237" t="inlineStr">
        <is>
          <t>NA</t>
        </is>
      </c>
      <c r="V726" s="238" t="inlineStr">
        <is>
          <t>NA</t>
        </is>
      </c>
      <c r="W726" s="269" t="n">
        <v>2</v>
      </c>
      <c r="X726" s="231" t="inlineStr">
        <is>
          <t>NA</t>
        </is>
      </c>
      <c r="Y726" s="237" t="n">
        <v>43</v>
      </c>
      <c r="Z726" s="237" t="inlineStr">
        <is>
          <t>NA</t>
        </is>
      </c>
      <c r="AA726" s="270" t="inlineStr">
        <is>
          <t>NA</t>
        </is>
      </c>
      <c r="AB726" s="1286" t="inlineStr">
        <is>
          <t>CALCULS PRUDENTIELS</t>
        </is>
      </c>
      <c r="AC726" s="231" t="inlineStr">
        <is>
          <t>ND</t>
        </is>
      </c>
      <c r="AD726" s="257" t="inlineStr">
        <is>
          <t>N</t>
        </is>
      </c>
      <c r="AE726" s="432" t="inlineStr">
        <is>
          <t xml:space="preserve">ISS200 et 300
TRExx hors 201, 203, 205, 206 et 207
SIGxxx
VAR hors repos
</t>
        </is>
      </c>
      <c r="AF726" s="257" t="inlineStr">
        <is>
          <t>NA</t>
        </is>
      </c>
      <c r="AG726" s="258" t="inlineStr">
        <is>
          <t>NA</t>
        </is>
      </c>
      <c r="AH726" s="89" t="n"/>
      <c r="AI726" s="353" t="inlineStr">
        <is>
          <t>La donnée est obligatoire, SI le Portefeuille Bâle Opération [P1 2.18] est égal à '070' ET SI [la méthode de titrisation [P1 16.24] est égale à 'ERBA' OU la Méthode de titrisation pour le calcul de l'Output Floor [P1 21.48] est égale à 'ERBA'] ET SI la donnée Echelon de qualité de crédit de la tranche à date d'arrêté [P1 16.27] est renseignée.</t>
        </is>
      </c>
      <c r="AJ726" s="317" t="inlineStr">
        <is>
          <t>The data is mandatory IF Basel Transaction Portfolio [P1 2.18] is equal to '070' AND IF [Securitisation method [P1 16.24] is equal to 'ERBA' OR Securitization method for the Output Floor calculation calculation [P1 21.48] is equal to 'ERBA'] AND IF Credit quality step of the securitization tranche at closing date [P1 16.27] is filled</t>
        </is>
      </c>
      <c r="AK726" s="257" t="n">
        <v>6</v>
      </c>
      <c r="AL726" s="366" t="inlineStr">
        <is>
          <t>TPS0922</t>
        </is>
      </c>
      <c r="AM726" s="452" t="inlineStr">
        <is>
          <t>Si elle est renseignée, la valeur doit être connue du Langage Commun associé</t>
        </is>
      </c>
      <c r="AN726" s="377" t="inlineStr">
        <is>
          <t>If specified, the value must be known to the associated Common Language</t>
        </is>
      </c>
      <c r="AO726" s="257" t="n">
        <v>7</v>
      </c>
      <c r="AP726" s="212" t="inlineStr">
        <is>
          <t>TIG0001</t>
        </is>
      </c>
      <c r="AQ726" s="318" t="n"/>
      <c r="AR726" s="317" t="n"/>
      <c r="AS726" s="257" t="n"/>
      <c r="AT726" s="258" t="n"/>
      <c r="AU726" s="318" t="n"/>
      <c r="AV726" s="317" t="n"/>
      <c r="AW726" s="257" t="n"/>
      <c r="AX726" s="258" t="n"/>
      <c r="AY726" s="318" t="n"/>
      <c r="AZ726" s="317" t="n"/>
      <c r="BA726" s="257" t="n"/>
      <c r="BB726" s="258" t="n"/>
      <c r="BC726" s="316" t="n"/>
      <c r="BD726" s="317" t="n"/>
      <c r="BE726" s="257" t="n"/>
      <c r="BF726" s="258" t="n"/>
      <c r="BG726" s="89" t="n"/>
      <c r="BH7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26">
        <f>_xlfn.LET(r,ROW(),oc,INDEX($A:$A,r),cv,TRIM(INDEX($Y:$Y,r)&amp;""),IF(oc&lt;&gt;"P1","",IF(cv="45","V45 - novo, nao alimentado pelo spool atual","V44 - alimentado pelo spool atual")))</f>
        <v/>
      </c>
    </row>
    <row r="727" ht="54" customFormat="1" customHeight="1" s="1508">
      <c r="A727" s="306" t="inlineStr">
        <is>
          <t>P1</t>
        </is>
      </c>
      <c r="B727" s="307" t="n">
        <v>492</v>
      </c>
      <c r="C727" s="269" t="inlineStr">
        <is>
          <t>18 - Caractéristiques Titrisation</t>
        </is>
      </c>
      <c r="D727" s="310" t="inlineStr">
        <is>
          <t>18 - Securitization characteristics</t>
        </is>
      </c>
      <c r="E727" s="372" t="inlineStr">
        <is>
          <t>P1 16.29</t>
        </is>
      </c>
      <c r="F727" s="308" t="inlineStr">
        <is>
          <t xml:space="preserve">Montant escompte d'achats non remboursables </t>
        </is>
      </c>
      <c r="G727" s="309" t="inlineStr">
        <is>
          <t xml:space="preserve">Discount amount of non-refundable purchases </t>
        </is>
      </c>
      <c r="H727" s="1493">
        <f>"RPAD( "&amp;SUBSTITUTE(SUBSTITUTE(E727," ","_"),".","_")&amp;","&amp;W727&amp;",' '); -- "&amp;E727</f>
        <v/>
      </c>
      <c r="I727" s="241" t="inlineStr">
        <is>
          <t xml:space="preserve">Montant d'escompte d'achats non remboursables (colonne 160 de l'état COREP Titrisation 13.1 « CR-SEC ») </t>
        </is>
      </c>
      <c r="J727" s="1509" t="inlineStr">
        <is>
          <t>Discount amount of non-refundable purchases (column 160 of the COREP report Securitization 13.1 "CR-SEC")</t>
        </is>
      </c>
      <c r="K727" s="1510" t="inlineStr">
        <is>
          <t>ND</t>
        </is>
      </c>
      <c r="L727" s="1511" t="inlineStr">
        <is>
          <t>ND</t>
        </is>
      </c>
      <c r="M727" s="1420" t="inlineStr">
        <is>
          <t>MtEscAchNonRemb</t>
        </is>
      </c>
      <c r="N727" s="257" t="inlineStr">
        <is>
          <t>Obligatoire sous conditions</t>
        </is>
      </c>
      <c r="O727" s="310" t="inlineStr">
        <is>
          <t>Mandatory under conditions</t>
        </is>
      </c>
      <c r="P727" s="269" t="inlineStr">
        <is>
          <t>NA</t>
        </is>
      </c>
      <c r="Q727" s="269" t="inlineStr">
        <is>
          <t>NA</t>
        </is>
      </c>
      <c r="R727" s="241" t="inlineStr">
        <is>
          <t>NA</t>
        </is>
      </c>
      <c r="S727" s="233" t="inlineStr">
        <is>
          <t>NA</t>
        </is>
      </c>
      <c r="T727" s="313" t="inlineStr">
        <is>
          <t>NUM</t>
        </is>
      </c>
      <c r="U727" s="237" t="inlineStr">
        <is>
          <t>19 dont signe et 2 décimales</t>
        </is>
      </c>
      <c r="V727" s="238" t="inlineStr">
        <is>
          <t>19 including sign and 2 decimals</t>
        </is>
      </c>
      <c r="W727" s="257" t="n">
        <v>19</v>
      </c>
      <c r="X727" s="945" t="inlineStr">
        <is>
          <t>NA</t>
        </is>
      </c>
      <c r="Y727" s="237" t="n">
        <v>43</v>
      </c>
      <c r="Z727" s="237" t="inlineStr">
        <is>
          <t>NA</t>
        </is>
      </c>
      <c r="AA727" s="270" t="inlineStr">
        <is>
          <t>NA</t>
        </is>
      </c>
      <c r="AB727" s="1286" t="inlineStr">
        <is>
          <t>CALCULS PRUDENTIELS</t>
        </is>
      </c>
      <c r="AC727" s="231" t="inlineStr">
        <is>
          <t>ND</t>
        </is>
      </c>
      <c r="AD727" s="257" t="inlineStr">
        <is>
          <t>N</t>
        </is>
      </c>
      <c r="AE727" s="432" t="inlineStr">
        <is>
          <t xml:space="preserve">ISS200 et 300
TRExx hors 201, 203, 205, 206 et 207
SIGxxx
VAR hors repos
</t>
        </is>
      </c>
      <c r="AF727" s="257" t="inlineStr">
        <is>
          <t>NA</t>
        </is>
      </c>
      <c r="AG727" s="258" t="inlineStr">
        <is>
          <t>NA</t>
        </is>
      </c>
      <c r="AH727" s="89" t="n"/>
      <c r="AI727" s="353" t="inlineStr">
        <is>
          <t>La donnée est obligatoire si le Portefeuille Bâle Opération [P1 2.18] = ‘070'</t>
        </is>
      </c>
      <c r="AJ727" s="317" t="inlineStr">
        <is>
          <t>The data is mandatory if Basel Transaction Portfolio [P1 2.18] = ‘070'</t>
        </is>
      </c>
      <c r="AK727" s="257" t="n">
        <v>5</v>
      </c>
      <c r="AL727" s="335" t="inlineStr">
        <is>
          <t>TPS0793</t>
        </is>
      </c>
      <c r="AM727" s="318" t="n"/>
      <c r="AN727" s="317" t="n"/>
      <c r="AO727" s="257" t="n"/>
      <c r="AP727" s="258" t="n"/>
      <c r="AQ727" s="322" t="inlineStr">
        <is>
          <t>Si renseignée, la donnée doit être positive (supérieure ou égale à 0)</t>
        </is>
      </c>
      <c r="AR727" s="317" t="inlineStr">
        <is>
          <t xml:space="preserve">If filled, data must be positive (greater or equal to 0) </t>
        </is>
      </c>
      <c r="AS727" s="257" t="n">
        <v>7</v>
      </c>
      <c r="AT727" s="345" t="inlineStr">
        <is>
          <t>TVG0001</t>
        </is>
      </c>
      <c r="AU727" s="318" t="n"/>
      <c r="AV727" s="317" t="n"/>
      <c r="AW727" s="257" t="n"/>
      <c r="AX727" s="258" t="n"/>
      <c r="AY727" s="318" t="n"/>
      <c r="AZ727" s="317" t="n"/>
      <c r="BA727" s="257" t="n"/>
      <c r="BB727" s="258" t="n"/>
      <c r="BC727" s="316" t="n"/>
      <c r="BD727" s="317" t="n"/>
      <c r="BE727" s="257" t="n"/>
      <c r="BF727" s="258" t="n"/>
      <c r="BG727" s="89" t="n"/>
      <c r="BH7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27">
        <f>_xlfn.LET(r,ROW(),oc,INDEX($A:$A,r),cv,TRIM(INDEX($Y:$Y,r)&amp;""),IF(oc&lt;&gt;"P1","",IF(cv="45","V45 - novo, nao alimentado pelo spool atual","V44 - alimentado pelo spool atual")))</f>
        <v/>
      </c>
    </row>
    <row r="728" ht="54" customFormat="1" customHeight="1" s="91">
      <c r="A728" s="306" t="inlineStr">
        <is>
          <t>P1</t>
        </is>
      </c>
      <c r="B728" s="307" t="n">
        <v>493</v>
      </c>
      <c r="C728" s="269" t="inlineStr">
        <is>
          <t>18 - Caractéristiques Titrisation</t>
        </is>
      </c>
      <c r="D728" s="310" t="inlineStr">
        <is>
          <t>18 - Securitization characteristics</t>
        </is>
      </c>
      <c r="E728" s="372" t="inlineStr">
        <is>
          <t>P1 16.30</t>
        </is>
      </c>
      <c r="F728" s="308" t="inlineStr">
        <is>
          <t xml:space="preserve">Devise du montant escompte d'achats non remboursables </t>
        </is>
      </c>
      <c r="G728" s="309" t="inlineStr">
        <is>
          <t xml:space="preserve">Currency of the discount amount of non-refundable purchases </t>
        </is>
      </c>
      <c r="H728" s="1493">
        <f>"RPAD( "&amp;SUBSTITUTE(SUBSTITUTE(E728," ","_"),".","_")&amp;","&amp;W728&amp;",' '); -- "&amp;E728</f>
        <v/>
      </c>
      <c r="I728" s="241" t="inlineStr">
        <is>
          <t>Devise d'expression du montant escompte d'achats non remboursables</t>
        </is>
      </c>
      <c r="J728" s="309" t="inlineStr">
        <is>
          <t>Currency of the amount of discount amount of non-refundable purchases</t>
        </is>
      </c>
      <c r="K728" s="370" t="inlineStr">
        <is>
          <t>ND</t>
        </is>
      </c>
      <c r="L728" s="371" t="inlineStr">
        <is>
          <t>ND</t>
        </is>
      </c>
      <c r="M728" s="1420" t="inlineStr">
        <is>
          <t>cdDevEscAchNonRemb</t>
        </is>
      </c>
      <c r="N728" s="257" t="inlineStr">
        <is>
          <t>Obligatoire sous conditions</t>
        </is>
      </c>
      <c r="O728" s="310" t="inlineStr">
        <is>
          <t>Mandatory under conditions</t>
        </is>
      </c>
      <c r="P728" s="269" t="inlineStr">
        <is>
          <t>LC.0005</t>
        </is>
      </c>
      <c r="Q728" s="269" t="inlineStr">
        <is>
          <t>TA NM253</t>
        </is>
      </c>
      <c r="R728" s="241" t="inlineStr">
        <is>
          <t>NA</t>
        </is>
      </c>
      <c r="S728" s="233" t="inlineStr">
        <is>
          <t>NA</t>
        </is>
      </c>
      <c r="T728" s="313" t="inlineStr">
        <is>
          <t>ALPHA</t>
        </is>
      </c>
      <c r="U728" s="237" t="inlineStr">
        <is>
          <t>NA</t>
        </is>
      </c>
      <c r="V728" s="238" t="inlineStr">
        <is>
          <t>NA</t>
        </is>
      </c>
      <c r="W728" s="257" t="n">
        <v>3</v>
      </c>
      <c r="X728" s="945" t="inlineStr">
        <is>
          <t>NA</t>
        </is>
      </c>
      <c r="Y728" s="237" t="n">
        <v>43</v>
      </c>
      <c r="Z728" s="237" t="inlineStr">
        <is>
          <t>NA</t>
        </is>
      </c>
      <c r="AA728" s="270" t="inlineStr">
        <is>
          <t>NA</t>
        </is>
      </c>
      <c r="AB728" s="1286" t="inlineStr">
        <is>
          <t>CALCULS PRUDENTIELS</t>
        </is>
      </c>
      <c r="AC728" s="231" t="inlineStr">
        <is>
          <t>ND</t>
        </is>
      </c>
      <c r="AD728" s="257" t="inlineStr">
        <is>
          <t>N</t>
        </is>
      </c>
      <c r="AE728" s="432" t="inlineStr">
        <is>
          <t xml:space="preserve">ISS200 et 300
TRExx hors 201, 203, 205, 206 et 207
SIGxxx
VAR hors repos
</t>
        </is>
      </c>
      <c r="AF728" s="257" t="inlineStr">
        <is>
          <t>NA</t>
        </is>
      </c>
      <c r="AG728" s="258" t="inlineStr">
        <is>
          <t>NA</t>
        </is>
      </c>
      <c r="AH728" s="89" t="n"/>
      <c r="AI728" s="316" t="inlineStr">
        <is>
          <t>La donnée est obligatoire si la donnée montant d'escompte achats non remboursables [P1 16.29] est renseignée</t>
        </is>
      </c>
      <c r="AJ728" s="317" t="inlineStr">
        <is>
          <t>The data is mandatory if the non-refundable purchase discount amount data [P1 16.29] is filled</t>
        </is>
      </c>
      <c r="AK728" s="257" t="n">
        <v>7</v>
      </c>
      <c r="AL728" s="335" t="inlineStr">
        <is>
          <t>TPG0002</t>
        </is>
      </c>
      <c r="AM728" s="452" t="inlineStr">
        <is>
          <t>Si elle est renseignée, la valeur doit être connue du Langage Commun associé</t>
        </is>
      </c>
      <c r="AN728" s="377" t="inlineStr">
        <is>
          <t>If specified, the value must be known to the associated Common Language</t>
        </is>
      </c>
      <c r="AO728" s="257" t="n">
        <v>7</v>
      </c>
      <c r="AP728" s="212" t="inlineStr">
        <is>
          <t>TIG0001</t>
        </is>
      </c>
      <c r="AQ728" s="318" t="n"/>
      <c r="AR728" s="317" t="n"/>
      <c r="AS728" s="257" t="n"/>
      <c r="AT728" s="258" t="n"/>
      <c r="AU728" s="318" t="n"/>
      <c r="AV728" s="317" t="n"/>
      <c r="AW728" s="257" t="n"/>
      <c r="AX728" s="258" t="n"/>
      <c r="AY728" s="318" t="n"/>
      <c r="AZ728" s="317" t="n"/>
      <c r="BA728" s="257" t="n"/>
      <c r="BB728" s="258" t="n"/>
      <c r="BC728" s="316" t="n"/>
      <c r="BD728" s="317" t="n"/>
      <c r="BE728" s="257" t="n"/>
      <c r="BF728" s="258" t="n"/>
      <c r="BG728" s="89" t="n"/>
      <c r="BH7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28">
        <f>_xlfn.LET(r,ROW(),oc,INDEX($A:$A,r),cv,TRIM(INDEX($Y:$Y,r)&amp;""),IF(oc&lt;&gt;"P1","",IF(cv="45","V45 - novo, nao alimentado pelo spool atual","V44 - alimentado pelo spool atual")))</f>
        <v/>
      </c>
    </row>
    <row r="729" ht="54" customFormat="1" customHeight="1" s="91">
      <c r="A729" s="306" t="inlineStr">
        <is>
          <t>P1</t>
        </is>
      </c>
      <c r="B729" s="307" t="n">
        <v>494</v>
      </c>
      <c r="C729" s="269" t="inlineStr">
        <is>
          <t>14 - Caractéristiques Sous-jacent</t>
        </is>
      </c>
      <c r="D729" s="310" t="inlineStr">
        <is>
          <t>14 - Underlying characteristics</t>
        </is>
      </c>
      <c r="E729" s="372" t="inlineStr">
        <is>
          <t>P1 16.31</t>
        </is>
      </c>
      <c r="F729" s="524" t="inlineStr">
        <is>
          <t>Montant de l'ajustement spécifique du risque de crédit sur des expositions sous-jacentes</t>
        </is>
      </c>
      <c r="G729" s="309" t="inlineStr">
        <is>
          <t>Amount of specific adjustment of credit risk on underlying exposures</t>
        </is>
      </c>
      <c r="H729" s="1493">
        <f>"RPAD( "&amp;SUBSTITUTE(SUBSTITUTE(E729," ","_"),".","_")&amp;","&amp;W729&amp;",' '); -- "&amp;E729</f>
        <v/>
      </c>
      <c r="I729" s="241" t="inlineStr">
        <is>
          <t>L'ajustement spécifique du risque de crédit sur des expositions sous-jacentes (colonne 170 de l'état COREP Titrisation 13.1 « CR-SEC ») correspond au montant de provisions adossé aux créances titrisées (et pas aux provisions qui concernent la position de titrisation)</t>
        </is>
      </c>
      <c r="J729" s="233" t="inlineStr">
        <is>
          <t>The specific adjustment of credit risk on underlying exposures (column 170 of statement COREP Securitization 13.1 "CR-SEC"). corresponds to the amount of provisions backing securitised loans (and not to provisions relating to the securitization position)</t>
        </is>
      </c>
      <c r="K729" s="269" t="inlineStr">
        <is>
          <t>ND</t>
        </is>
      </c>
      <c r="L729" s="310" t="inlineStr">
        <is>
          <t>ND</t>
        </is>
      </c>
      <c r="M729" s="1420" t="inlineStr">
        <is>
          <t>mtAjustExpo</t>
        </is>
      </c>
      <c r="N729" s="257" t="inlineStr">
        <is>
          <t>Obligatoire sous conditions</t>
        </is>
      </c>
      <c r="O729" s="310" t="inlineStr">
        <is>
          <t>Mandatory under conditions</t>
        </is>
      </c>
      <c r="P729" s="269" t="inlineStr">
        <is>
          <t>NA</t>
        </is>
      </c>
      <c r="Q729" s="269" t="inlineStr">
        <is>
          <t>NA</t>
        </is>
      </c>
      <c r="R729" s="241" t="inlineStr">
        <is>
          <t>NA</t>
        </is>
      </c>
      <c r="S729" s="233" t="inlineStr">
        <is>
          <t>NA</t>
        </is>
      </c>
      <c r="T729" s="313" t="inlineStr">
        <is>
          <t>NUM</t>
        </is>
      </c>
      <c r="U729" s="237" t="inlineStr">
        <is>
          <t>19 dont signe et 2 décimales</t>
        </is>
      </c>
      <c r="V729" s="238" t="inlineStr">
        <is>
          <t>19 including sign and 2 decimals</t>
        </is>
      </c>
      <c r="W729" s="257" t="n">
        <v>19</v>
      </c>
      <c r="X729" s="945" t="inlineStr">
        <is>
          <t>NA</t>
        </is>
      </c>
      <c r="Y729" s="237" t="n">
        <v>43</v>
      </c>
      <c r="Z729" s="237" t="inlineStr">
        <is>
          <t>NA</t>
        </is>
      </c>
      <c r="AA729" s="270" t="inlineStr">
        <is>
          <t>NA</t>
        </is>
      </c>
      <c r="AB729" s="1286" t="inlineStr">
        <is>
          <t>CALCULS PRUDENTIELS</t>
        </is>
      </c>
      <c r="AC729" s="231" t="inlineStr">
        <is>
          <t>ND</t>
        </is>
      </c>
      <c r="AD729" s="257" t="inlineStr">
        <is>
          <t>N</t>
        </is>
      </c>
      <c r="AE729" s="432" t="inlineStr">
        <is>
          <t xml:space="preserve">ISS200 et 300
TRExx hors 201, 203, 205, 206 et 207
SIGxxx
VAR hors repos
</t>
        </is>
      </c>
      <c r="AF729" s="257" t="inlineStr">
        <is>
          <t>NA</t>
        </is>
      </c>
      <c r="AG729" s="258" t="inlineStr">
        <is>
          <t>NA</t>
        </is>
      </c>
      <c r="AH729" s="89" t="n"/>
      <c r="AI729" s="353" t="inlineStr">
        <is>
          <t>La donnée est obligatoire si le Portefeuille Bâle Opération [P1 2.18] = ‘070'</t>
        </is>
      </c>
      <c r="AJ729" s="317" t="inlineStr">
        <is>
          <t>The data is mandatory if Basel Transaction Portfolio [P1 2.18] = ‘070'</t>
        </is>
      </c>
      <c r="AK729" s="257" t="n">
        <v>5</v>
      </c>
      <c r="AL729" s="335" t="inlineStr">
        <is>
          <t>TPS0793</t>
        </is>
      </c>
      <c r="AM729" s="318" t="n"/>
      <c r="AN729" s="317" t="n"/>
      <c r="AO729" s="257" t="n"/>
      <c r="AP729" s="258" t="n"/>
      <c r="AQ729" s="322" t="inlineStr">
        <is>
          <t>Si renseignée, la donnée doit être positive (supérieure ou égale à 0)</t>
        </is>
      </c>
      <c r="AR729" s="317" t="inlineStr">
        <is>
          <t xml:space="preserve">If filled, data must be positive (greater or equal to 0) </t>
        </is>
      </c>
      <c r="AS729" s="257" t="n">
        <v>7</v>
      </c>
      <c r="AT729" s="345" t="inlineStr">
        <is>
          <t>TVG0001</t>
        </is>
      </c>
      <c r="AU729" s="318" t="n"/>
      <c r="AV729" s="317" t="n"/>
      <c r="AW729" s="257" t="n"/>
      <c r="AX729" s="258" t="n"/>
      <c r="AY729" s="318" t="n"/>
      <c r="AZ729" s="317" t="n"/>
      <c r="BA729" s="257" t="n"/>
      <c r="BB729" s="258" t="n"/>
      <c r="BC729" s="316" t="n"/>
      <c r="BD729" s="317" t="n"/>
      <c r="BE729" s="257" t="n"/>
      <c r="BF729" s="258" t="n"/>
      <c r="BG729" s="89" t="n"/>
      <c r="BH7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29">
        <f>_xlfn.LET(r,ROW(),oc,INDEX($A:$A,r),cv,TRIM(INDEX($Y:$Y,r)&amp;""),IF(oc&lt;&gt;"P1","",IF(cv="45","V45 - novo, nao alimentado pelo spool atual","V44 - alimentado pelo spool atual")))</f>
        <v/>
      </c>
    </row>
    <row r="730" ht="54" customFormat="1" customHeight="1" s="91">
      <c r="A730" s="306" t="inlineStr">
        <is>
          <t>P1</t>
        </is>
      </c>
      <c r="B730" s="307" t="n">
        <v>495</v>
      </c>
      <c r="C730" s="269" t="inlineStr">
        <is>
          <t>14 - Caractéristiques Sous-jacent</t>
        </is>
      </c>
      <c r="D730" s="310" t="inlineStr">
        <is>
          <t>14 - Underlying characteristics</t>
        </is>
      </c>
      <c r="E730" s="372" t="inlineStr">
        <is>
          <t>P1 16.32</t>
        </is>
      </c>
      <c r="F730" s="524" t="inlineStr">
        <is>
          <t>Devise du montant de l'ajustement spécifique du risque de crédit sur des expositions sous-jacentes</t>
        </is>
      </c>
      <c r="G730" s="309" t="inlineStr">
        <is>
          <t>Currency of the amount of specific adjustment of credit risk on underlying exposures</t>
        </is>
      </c>
      <c r="H730" s="1493">
        <f>"RPAD( "&amp;SUBSTITUTE(SUBSTITUTE(E730," ","_"),".","_")&amp;","&amp;W730&amp;",' '); -- "&amp;E730</f>
        <v/>
      </c>
      <c r="I730" s="241" t="inlineStr">
        <is>
          <t>Devise d'expression de l'ajustement spécifique du risque de crédit sur des expositions sous-jacentes</t>
        </is>
      </c>
      <c r="J730" s="309" t="inlineStr">
        <is>
          <t>Currency of the specific adjustment of credit risk on underlying exposures</t>
        </is>
      </c>
      <c r="K730" s="370" t="inlineStr">
        <is>
          <t>ND</t>
        </is>
      </c>
      <c r="L730" s="371" t="inlineStr">
        <is>
          <t>ND</t>
        </is>
      </c>
      <c r="M730" s="1420" t="inlineStr">
        <is>
          <t>cdDevAjustExpo</t>
        </is>
      </c>
      <c r="N730" s="257" t="inlineStr">
        <is>
          <t>Obligatoire sous conditions</t>
        </is>
      </c>
      <c r="O730" s="310" t="inlineStr">
        <is>
          <t>Mandatory under conditions</t>
        </is>
      </c>
      <c r="P730" s="269" t="inlineStr">
        <is>
          <t>LC.0005</t>
        </is>
      </c>
      <c r="Q730" s="269" t="inlineStr">
        <is>
          <t>TA NM253</t>
        </is>
      </c>
      <c r="R730" s="241" t="inlineStr">
        <is>
          <t>NA</t>
        </is>
      </c>
      <c r="S730" s="233" t="inlineStr">
        <is>
          <t>NA</t>
        </is>
      </c>
      <c r="T730" s="313" t="inlineStr">
        <is>
          <t>ALPHA</t>
        </is>
      </c>
      <c r="U730" s="237" t="inlineStr">
        <is>
          <t>NA</t>
        </is>
      </c>
      <c r="V730" s="238" t="inlineStr">
        <is>
          <t>NA</t>
        </is>
      </c>
      <c r="W730" s="257" t="n">
        <v>3</v>
      </c>
      <c r="X730" s="945" t="inlineStr">
        <is>
          <t>NA</t>
        </is>
      </c>
      <c r="Y730" s="237" t="n">
        <v>43</v>
      </c>
      <c r="Z730" s="237" t="inlineStr">
        <is>
          <t>NA</t>
        </is>
      </c>
      <c r="AA730" s="270" t="inlineStr">
        <is>
          <t>NA</t>
        </is>
      </c>
      <c r="AB730" s="1286" t="inlineStr">
        <is>
          <t>CALCULS PRUDENTIELS</t>
        </is>
      </c>
      <c r="AC730" s="231" t="inlineStr">
        <is>
          <t>ND</t>
        </is>
      </c>
      <c r="AD730" s="257" t="inlineStr">
        <is>
          <t>N</t>
        </is>
      </c>
      <c r="AE730" s="432" t="inlineStr">
        <is>
          <t xml:space="preserve">ISS200 et 300
TRExx hors 201, 203, 205, 206 et 207
SIGxxx
VAR hors repos
</t>
        </is>
      </c>
      <c r="AF730" s="257" t="inlineStr">
        <is>
          <t>NA</t>
        </is>
      </c>
      <c r="AG730" s="258" t="inlineStr">
        <is>
          <t>NA</t>
        </is>
      </c>
      <c r="AH730" s="89" t="n"/>
      <c r="AI730" s="702" t="inlineStr">
        <is>
          <t>La donnée est obligatoire si la donnée Montant de l'ajustement spécifique du risque de crédit sur des expositions sous-jacentes [P1 16.31] est renseignée</t>
        </is>
      </c>
      <c r="AJ730" s="317" t="inlineStr">
        <is>
          <t>The data is mandatory if the Amount of specific adjustment of credit risk on underlying exposures [P1 16.31] is filled</t>
        </is>
      </c>
      <c r="AK730" s="257" t="n">
        <v>7</v>
      </c>
      <c r="AL730" s="335" t="inlineStr">
        <is>
          <t>TPG0002</t>
        </is>
      </c>
      <c r="AM730" s="452" t="inlineStr">
        <is>
          <t>Si elle est renseignée, la valeur doit être connue du Langage Commun associé</t>
        </is>
      </c>
      <c r="AN730" s="377" t="inlineStr">
        <is>
          <t>If specified, the value must be known to the associated Common Language</t>
        </is>
      </c>
      <c r="AO730" s="257" t="n">
        <v>7</v>
      </c>
      <c r="AP730" s="212" t="inlineStr">
        <is>
          <t>TIG0001</t>
        </is>
      </c>
      <c r="AQ730" s="318" t="n"/>
      <c r="AR730" s="317" t="n"/>
      <c r="AS730" s="257" t="n"/>
      <c r="AT730" s="258" t="n"/>
      <c r="AU730" s="318" t="n"/>
      <c r="AV730" s="317" t="n"/>
      <c r="AW730" s="257" t="n"/>
      <c r="AX730" s="258" t="n"/>
      <c r="AY730" s="318" t="n"/>
      <c r="AZ730" s="317" t="n"/>
      <c r="BA730" s="257" t="n"/>
      <c r="BB730" s="258" t="n"/>
      <c r="BC730" s="316" t="n"/>
      <c r="BD730" s="317" t="n"/>
      <c r="BE730" s="257" t="n"/>
      <c r="BF730" s="258" t="n"/>
      <c r="BG730" s="89" t="n"/>
      <c r="BH7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30">
        <f>_xlfn.LET(r,ROW(),oc,INDEX($A:$A,r),cv,TRIM(INDEX($Y:$Y,r)&amp;""),IF(oc&lt;&gt;"P1","",IF(cv="45","V45 - novo, nao alimentado pelo spool atual","V44 - alimentado pelo spool atual")))</f>
        <v/>
      </c>
    </row>
    <row r="731" ht="54" customFormat="1" customHeight="1" s="91">
      <c r="A731" s="306" t="inlineStr">
        <is>
          <t>P1</t>
        </is>
      </c>
      <c r="B731" s="307" t="n">
        <v>496</v>
      </c>
      <c r="C731" s="269" t="inlineStr">
        <is>
          <t>18 - Caractéristiques Titrisation</t>
        </is>
      </c>
      <c r="D731" s="310" t="inlineStr">
        <is>
          <t>18 - Securitization characteristics</t>
        </is>
      </c>
      <c r="E731" s="372" t="inlineStr">
        <is>
          <t>P1 16.33</t>
        </is>
      </c>
      <c r="F731" s="308" t="inlineStr">
        <is>
          <t>Valeur exposée au risque des positions déduites des fonds propres</t>
        </is>
      </c>
      <c r="G731" s="309" t="inlineStr">
        <is>
          <t xml:space="preserve">Exposure value of positions deducted from own funds </t>
        </is>
      </c>
      <c r="H731" s="1493">
        <f>"RPAD( "&amp;SUBSTITUTE(SUBSTITUTE(E731," ","_"),".","_")&amp;","&amp;W731&amp;",' '); -- "&amp;E731</f>
        <v/>
      </c>
      <c r="I731" s="241" t="inlineStr">
        <is>
          <t>Valeur exposée au risque des positions déduites des fonds propres (colonne 190 de l'état COREP Titrisation 13.1 « CR-SEC »). Dans le cas d'une titrisation pondérée à 1250% on peut faire le choix de déduire ce montant des emplois pondérés</t>
        </is>
      </c>
      <c r="J731" s="233" t="inlineStr">
        <is>
          <t>Exposure value of positions deducted from own funds (column 190 of COREP securitization statement 13.1 "CR-SEC"). In the case of a 1250% risk-weighted securitization, you can choose to deduct this amount from the risk-weighted assets</t>
        </is>
      </c>
      <c r="K731" s="269" t="inlineStr">
        <is>
          <t>ND</t>
        </is>
      </c>
      <c r="L731" s="310" t="inlineStr">
        <is>
          <t>ND</t>
        </is>
      </c>
      <c r="M731" s="1420" t="inlineStr">
        <is>
          <t>MtValFondProp</t>
        </is>
      </c>
      <c r="N731" s="257" t="inlineStr">
        <is>
          <t>Obligatoire sous conditions</t>
        </is>
      </c>
      <c r="O731" s="310" t="inlineStr">
        <is>
          <t>Mandatory under conditions</t>
        </is>
      </c>
      <c r="P731" s="269" t="inlineStr">
        <is>
          <t>NA</t>
        </is>
      </c>
      <c r="Q731" s="269" t="inlineStr">
        <is>
          <t>NA</t>
        </is>
      </c>
      <c r="R731" s="241" t="inlineStr">
        <is>
          <t>NA</t>
        </is>
      </c>
      <c r="S731" s="233" t="inlineStr">
        <is>
          <t>NA</t>
        </is>
      </c>
      <c r="T731" s="313" t="inlineStr">
        <is>
          <t>NUM</t>
        </is>
      </c>
      <c r="U731" s="237" t="inlineStr">
        <is>
          <t>19 dont signe et 2 décimales</t>
        </is>
      </c>
      <c r="V731" s="238" t="inlineStr">
        <is>
          <t>19 including sign and 2 decimals</t>
        </is>
      </c>
      <c r="W731" s="257" t="n">
        <v>19</v>
      </c>
      <c r="X731" s="945" t="inlineStr">
        <is>
          <t>NA</t>
        </is>
      </c>
      <c r="Y731" s="237" t="n">
        <v>43</v>
      </c>
      <c r="Z731" s="237" t="inlineStr">
        <is>
          <t>NA</t>
        </is>
      </c>
      <c r="AA731" s="270" t="inlineStr">
        <is>
          <t>NA</t>
        </is>
      </c>
      <c r="AB731" s="1286" t="inlineStr">
        <is>
          <t>CALCULS PRUDENTIELS</t>
        </is>
      </c>
      <c r="AC731" s="231" t="inlineStr">
        <is>
          <t>ND</t>
        </is>
      </c>
      <c r="AD731" s="257" t="inlineStr">
        <is>
          <t>N</t>
        </is>
      </c>
      <c r="AE731" s="432" t="inlineStr">
        <is>
          <t xml:space="preserve">ISS200 et 300
TRExx hors 201, 203, 205, 206 et 207
SIGxxx
VAR hors repos
</t>
        </is>
      </c>
      <c r="AF731" s="257" t="inlineStr">
        <is>
          <t>NA</t>
        </is>
      </c>
      <c r="AG731" s="258" t="inlineStr">
        <is>
          <t>NA</t>
        </is>
      </c>
      <c r="AH731" s="89" t="n"/>
      <c r="AI731" s="353" t="inlineStr">
        <is>
          <t>La donnée est obligatoire si le Portefeuille Bâle Opération [P1 2.18] = ‘070'</t>
        </is>
      </c>
      <c r="AJ731" s="317" t="inlineStr">
        <is>
          <t>The data is mandatory if Basel Transaction Portfolio [P1 2.18] = ‘070'</t>
        </is>
      </c>
      <c r="AK731" s="257" t="n">
        <v>5</v>
      </c>
      <c r="AL731" s="335" t="inlineStr">
        <is>
          <t>TPS0793</t>
        </is>
      </c>
      <c r="AM731" s="318" t="n"/>
      <c r="AN731" s="317" t="n"/>
      <c r="AO731" s="257" t="n"/>
      <c r="AP731" s="258" t="n"/>
      <c r="AQ731" s="322" t="inlineStr">
        <is>
          <t>Si renseignée, la donnée doit être positive (supérieure ou égale à 0)</t>
        </is>
      </c>
      <c r="AR731" s="317" t="inlineStr">
        <is>
          <t xml:space="preserve">If filled, data must be positive (greater or equal to 0) </t>
        </is>
      </c>
      <c r="AS731" s="257" t="n">
        <v>7</v>
      </c>
      <c r="AT731" s="345" t="inlineStr">
        <is>
          <t>TVG0001</t>
        </is>
      </c>
      <c r="AU731" s="318" t="n"/>
      <c r="AV731" s="317" t="n"/>
      <c r="AW731" s="257" t="n"/>
      <c r="AX731" s="258" t="n"/>
      <c r="AY731" s="318" t="n"/>
      <c r="AZ731" s="317" t="n"/>
      <c r="BA731" s="257" t="n"/>
      <c r="BB731" s="258" t="n"/>
      <c r="BC731" s="316" t="n"/>
      <c r="BD731" s="317" t="n"/>
      <c r="BE731" s="257" t="n"/>
      <c r="BF731" s="258" t="n"/>
      <c r="BG731" s="89" t="n"/>
      <c r="BH7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31">
        <f>_xlfn.LET(r,ROW(),oc,INDEX($A:$A,r),cv,TRIM(INDEX($Y:$Y,r)&amp;""),IF(oc&lt;&gt;"P1","",IF(cv="45","V45 - novo, nao alimentado pelo spool atual","V44 - alimentado pelo spool atual")))</f>
        <v/>
      </c>
    </row>
    <row r="732" ht="54" customFormat="1" customHeight="1" s="1508">
      <c r="A732" s="306" t="inlineStr">
        <is>
          <t>P1</t>
        </is>
      </c>
      <c r="B732" s="307" t="n">
        <v>497</v>
      </c>
      <c r="C732" s="269" t="inlineStr">
        <is>
          <t>18 - Caractéristiques Titrisation</t>
        </is>
      </c>
      <c r="D732" s="310" t="inlineStr">
        <is>
          <t>18 - Securitization characteristics</t>
        </is>
      </c>
      <c r="E732" s="372" t="inlineStr">
        <is>
          <t>P1 16.34</t>
        </is>
      </c>
      <c r="F732" s="308" t="inlineStr">
        <is>
          <t>Devise de la valeur exposée au risque des positions déduites des fonds propres</t>
        </is>
      </c>
      <c r="G732" s="1509" t="inlineStr">
        <is>
          <t xml:space="preserve">Currency of exposure value of positions deducted from own funds </t>
        </is>
      </c>
      <c r="H732" s="1493">
        <f>"RPAD( "&amp;SUBSTITUTE(SUBSTITUTE(E732," ","_"),".","_")&amp;","&amp;W732&amp;",' '); -- "&amp;E732</f>
        <v/>
      </c>
      <c r="I732" s="241" t="inlineStr">
        <is>
          <t>Devise d'expression de la valeur exposée au risque des positions déduites des fonds propres</t>
        </is>
      </c>
      <c r="J732" s="233" t="inlineStr">
        <is>
          <t>Currency of the exposure value of positions deducted from own funds</t>
        </is>
      </c>
      <c r="K732" s="269" t="inlineStr">
        <is>
          <t>ND</t>
        </is>
      </c>
      <c r="L732" s="310" t="inlineStr">
        <is>
          <t>ND</t>
        </is>
      </c>
      <c r="M732" s="1420" t="inlineStr">
        <is>
          <t>cdDevValFondProp</t>
        </is>
      </c>
      <c r="N732" s="257" t="inlineStr">
        <is>
          <t>Obligatoire sous conditions</t>
        </is>
      </c>
      <c r="O732" s="310" t="inlineStr">
        <is>
          <t>Mandatory under conditions</t>
        </is>
      </c>
      <c r="P732" s="269" t="inlineStr">
        <is>
          <t>LC.0005</t>
        </is>
      </c>
      <c r="Q732" s="269" t="inlineStr">
        <is>
          <t>TA NM253</t>
        </is>
      </c>
      <c r="R732" s="241" t="inlineStr">
        <is>
          <t>NA</t>
        </is>
      </c>
      <c r="S732" s="233" t="inlineStr">
        <is>
          <t>NA</t>
        </is>
      </c>
      <c r="T732" s="313" t="inlineStr">
        <is>
          <t>ALPHA</t>
        </is>
      </c>
      <c r="U732" s="237" t="inlineStr">
        <is>
          <t>NA</t>
        </is>
      </c>
      <c r="V732" s="238" t="inlineStr">
        <is>
          <t>NA</t>
        </is>
      </c>
      <c r="W732" s="257" t="n">
        <v>3</v>
      </c>
      <c r="X732" s="945" t="inlineStr">
        <is>
          <t>NA</t>
        </is>
      </c>
      <c r="Y732" s="237" t="n">
        <v>43</v>
      </c>
      <c r="Z732" s="237" t="inlineStr">
        <is>
          <t>NA</t>
        </is>
      </c>
      <c r="AA732" s="270" t="inlineStr">
        <is>
          <t>NA</t>
        </is>
      </c>
      <c r="AB732" s="1286" t="inlineStr">
        <is>
          <t>CALCULS PRUDENTIELS</t>
        </is>
      </c>
      <c r="AC732" s="231" t="inlineStr">
        <is>
          <t>ND</t>
        </is>
      </c>
      <c r="AD732" s="257" t="inlineStr">
        <is>
          <t>N</t>
        </is>
      </c>
      <c r="AE732" s="432" t="inlineStr">
        <is>
          <t xml:space="preserve">ISS200 et 300
TRExx hors 201, 203, 205, 206 et 207
SIGxxx
VAR hors repos
</t>
        </is>
      </c>
      <c r="AF732" s="257" t="inlineStr">
        <is>
          <t>NA</t>
        </is>
      </c>
      <c r="AG732" s="258" t="inlineStr">
        <is>
          <t>NA</t>
        </is>
      </c>
      <c r="AH732" s="89" t="n"/>
      <c r="AI732" s="353" t="inlineStr">
        <is>
          <t>La donnée est obligatoire si la donnée valeur exposée au risque des positions déduites des fonds propres [P1 16.33] est renseignée</t>
        </is>
      </c>
      <c r="AJ732" s="317" t="inlineStr">
        <is>
          <t>The data is mandatory if the data value exposed to the risk of the positions deduced from the equities [P1 16.33] is filled</t>
        </is>
      </c>
      <c r="AK732" s="269" t="n">
        <v>7</v>
      </c>
      <c r="AL732" s="335" t="inlineStr">
        <is>
          <t>TPG0002</t>
        </is>
      </c>
      <c r="AM732" s="452" t="inlineStr">
        <is>
          <t>Si elle est renseignée, la valeur doit être connue du Langage Commun associé</t>
        </is>
      </c>
      <c r="AN732" s="377" t="inlineStr">
        <is>
          <t>If specified, the value must be known to the associated Common Language</t>
        </is>
      </c>
      <c r="AO732" s="257" t="n">
        <v>7</v>
      </c>
      <c r="AP732" s="212" t="inlineStr">
        <is>
          <t>TIG0001</t>
        </is>
      </c>
      <c r="AQ732" s="318" t="n"/>
      <c r="AR732" s="317" t="n"/>
      <c r="AS732" s="257" t="n"/>
      <c r="AT732" s="258" t="n"/>
      <c r="AU732" s="318" t="n"/>
      <c r="AV732" s="317" t="n"/>
      <c r="AW732" s="257" t="n"/>
      <c r="AX732" s="258" t="n"/>
      <c r="AY732" s="318" t="n"/>
      <c r="AZ732" s="317" t="n"/>
      <c r="BA732" s="257" t="n"/>
      <c r="BB732" s="258" t="n"/>
      <c r="BC732" s="316" t="n"/>
      <c r="BD732" s="317" t="n"/>
      <c r="BE732" s="257" t="n"/>
      <c r="BF732" s="258" t="n"/>
      <c r="BG732" s="89" t="n"/>
      <c r="BH7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32">
        <f>_xlfn.LET(r,ROW(),oc,INDEX($A:$A,r),cv,TRIM(INDEX($Y:$Y,r)&amp;""),IF(oc&lt;&gt;"P1","",IF(cv="45","V45 - novo, nao alimentado pelo spool atual","V44 - alimentado pelo spool atual")))</f>
        <v/>
      </c>
    </row>
    <row r="733" ht="54" customFormat="1" customHeight="1" s="1508">
      <c r="A733" s="306" t="inlineStr">
        <is>
          <t>P1</t>
        </is>
      </c>
      <c r="B733" s="307" t="n">
        <v>498</v>
      </c>
      <c r="C733" s="269" t="inlineStr">
        <is>
          <t>18 - Caractéristiques Titrisation</t>
        </is>
      </c>
      <c r="D733" s="310" t="inlineStr">
        <is>
          <t>18 - Securitization characteristics</t>
        </is>
      </c>
      <c r="E733" s="372" t="inlineStr">
        <is>
          <t>P1 16.35</t>
        </is>
      </c>
      <c r="F733" s="524" t="inlineStr">
        <is>
          <t xml:space="preserve">Montant de l'ajustement des risques pondérés lié à décote d'asymétrie d'échéance </t>
        </is>
      </c>
      <c r="G733" s="309" t="inlineStr">
        <is>
          <t>Amount of adjustment of risk-weighted assets linked to discount for maturity mismatch</t>
        </is>
      </c>
      <c r="H733" s="1493">
        <f>"RPAD( "&amp;SUBSTITUTE(SUBSTITUTE(E733," ","_"),".","_")&amp;","&amp;W733&amp;",' '); -- "&amp;E733</f>
        <v/>
      </c>
      <c r="I733" s="241" t="inlineStr">
        <is>
          <t>Montant des ajustements des risques pondérés liés aux décalages d'échéances (colonne 870 l'état COREP Titrisation 13.1 « CR-SEC »). Il s'agit du montant de RWA lié à une décote d'asymétrie d'échéance
Concerne uniquement les titrisations synthétiques</t>
        </is>
      </c>
      <c r="J733" s="233" t="inlineStr">
        <is>
          <t>Amount of risk-weighted adjustments related to maturity mismatches (column 870 of the COREP securitization statement 13.1 "CR-SEC"). This is the amount of RWA linked to a discount for maturity mismatch
Covers only synthetic securitizations</t>
        </is>
      </c>
      <c r="K733" s="269" t="inlineStr">
        <is>
          <t>ND</t>
        </is>
      </c>
      <c r="L733" s="310" t="inlineStr">
        <is>
          <t>ND</t>
        </is>
      </c>
      <c r="M733" s="1420" t="inlineStr">
        <is>
          <t>mtAjustDec</t>
        </is>
      </c>
      <c r="N733" s="257" t="inlineStr">
        <is>
          <t>Obligatoire sous conditions</t>
        </is>
      </c>
      <c r="O733" s="310" t="inlineStr">
        <is>
          <t>Mandatory under conditions</t>
        </is>
      </c>
      <c r="P733" s="269" t="inlineStr">
        <is>
          <t>NA</t>
        </is>
      </c>
      <c r="Q733" s="269" t="inlineStr">
        <is>
          <t>NA</t>
        </is>
      </c>
      <c r="R733" s="241" t="inlineStr">
        <is>
          <t>NA</t>
        </is>
      </c>
      <c r="S733" s="233" t="inlineStr">
        <is>
          <t>NA</t>
        </is>
      </c>
      <c r="T733" s="313" t="inlineStr">
        <is>
          <t>NUM</t>
        </is>
      </c>
      <c r="U733" s="237" t="inlineStr">
        <is>
          <t>19 dont signe et 2 décimales</t>
        </is>
      </c>
      <c r="V733" s="238" t="inlineStr">
        <is>
          <t>19 including sign and 2 decimals</t>
        </is>
      </c>
      <c r="W733" s="257" t="n">
        <v>19</v>
      </c>
      <c r="X733" s="945" t="inlineStr">
        <is>
          <t>NA</t>
        </is>
      </c>
      <c r="Y733" s="237" t="n">
        <v>43</v>
      </c>
      <c r="Z733" s="237" t="inlineStr">
        <is>
          <t>NA</t>
        </is>
      </c>
      <c r="AA733" s="270" t="inlineStr">
        <is>
          <t>NA</t>
        </is>
      </c>
      <c r="AB733" s="1286" t="inlineStr">
        <is>
          <t>CALCULS PRUDENTIELS</t>
        </is>
      </c>
      <c r="AC733" s="231" t="inlineStr">
        <is>
          <t>ND</t>
        </is>
      </c>
      <c r="AD733" s="257" t="inlineStr">
        <is>
          <t>N</t>
        </is>
      </c>
      <c r="AE733" s="432" t="inlineStr">
        <is>
          <t xml:space="preserve">ISS200 et 300
TRExx hors 201, 203, 205, 206 et 207
SIGxxx
VAR hors repos
</t>
        </is>
      </c>
      <c r="AF733" s="257" t="inlineStr">
        <is>
          <t>NA</t>
        </is>
      </c>
      <c r="AG733" s="258" t="inlineStr">
        <is>
          <t>NA</t>
        </is>
      </c>
      <c r="AH733" s="89" t="n"/>
      <c r="AI733" s="353" t="inlineStr">
        <is>
          <t>La donnée est obligatoire si le Portefeuille Bâle Opération [P1 2.18] = ‘070'</t>
        </is>
      </c>
      <c r="AJ733" s="317" t="inlineStr">
        <is>
          <t>The data is mandatory if Basel Transaction Portfolio [P1 2.18] = ‘070'</t>
        </is>
      </c>
      <c r="AK733" s="257" t="n">
        <v>5</v>
      </c>
      <c r="AL733" s="335" t="inlineStr">
        <is>
          <t>TPS0793</t>
        </is>
      </c>
      <c r="AM733" s="318" t="n"/>
      <c r="AN733" s="317" t="n"/>
      <c r="AO733" s="257" t="n"/>
      <c r="AP733" s="258" t="n"/>
      <c r="AQ733" s="322" t="inlineStr">
        <is>
          <t>Si renseignée, la donnée doit être positive (supérieure ou égale à 0)</t>
        </is>
      </c>
      <c r="AR733" s="317" t="inlineStr">
        <is>
          <t xml:space="preserve">If filled, data must be positive (greater or equal to 0) </t>
        </is>
      </c>
      <c r="AS733" s="257" t="n">
        <v>7</v>
      </c>
      <c r="AT733" s="345" t="inlineStr">
        <is>
          <t>TVG0001</t>
        </is>
      </c>
      <c r="AU733" s="318" t="n"/>
      <c r="AV733" s="317" t="n"/>
      <c r="AW733" s="257" t="n"/>
      <c r="AX733" s="258" t="n"/>
      <c r="AY733" s="318" t="n"/>
      <c r="AZ733" s="317" t="n"/>
      <c r="BA733" s="257" t="n"/>
      <c r="BB733" s="258" t="n"/>
      <c r="BC733" s="316" t="n"/>
      <c r="BD733" s="317" t="n"/>
      <c r="BE733" s="257" t="n"/>
      <c r="BF733" s="258" t="n"/>
      <c r="BG733" s="89" t="n"/>
      <c r="BH7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33">
        <f>_xlfn.LET(r,ROW(),oc,INDEX($A:$A,r),cv,TRIM(INDEX($Y:$Y,r)&amp;""),IF(oc&lt;&gt;"P1","",IF(cv="45","V45 - novo, nao alimentado pelo spool atual","V44 - alimentado pelo spool atual")))</f>
        <v/>
      </c>
    </row>
    <row r="734" ht="54" customFormat="1" customHeight="1" s="1508">
      <c r="A734" s="306" t="inlineStr">
        <is>
          <t>P1</t>
        </is>
      </c>
      <c r="B734" s="307" t="n">
        <v>499</v>
      </c>
      <c r="C734" s="269" t="inlineStr">
        <is>
          <t>18 - Caractéristiques Titrisation</t>
        </is>
      </c>
      <c r="D734" s="310" t="inlineStr">
        <is>
          <t>18 - Securitization characteristics</t>
        </is>
      </c>
      <c r="E734" s="372" t="inlineStr">
        <is>
          <t>P1 16.36</t>
        </is>
      </c>
      <c r="F734" s="524" t="inlineStr">
        <is>
          <t>Devise du montant de l'ajustement des risques pondérés lié à décote d'asymétrie d'échéance</t>
        </is>
      </c>
      <c r="G734" s="1509" t="inlineStr">
        <is>
          <t>Currency of amount of adjustment of risk-weighted assets linked to discount for maturity mismatch</t>
        </is>
      </c>
      <c r="H734" s="1493">
        <f>"RPAD( "&amp;SUBSTITUTE(SUBSTITUTE(E734," ","_"),".","_")&amp;","&amp;W734&amp;",' '); -- "&amp;E734</f>
        <v/>
      </c>
      <c r="I734" s="241" t="inlineStr">
        <is>
          <t>Devise d'expression de l'ajustement des risques pondérés lié à décote d'asymétrie d'échéance</t>
        </is>
      </c>
      <c r="J734" s="1509" t="inlineStr">
        <is>
          <t>Currency of adjustment of risk-weighted assets linked to discount for maturity mismatch</t>
        </is>
      </c>
      <c r="K734" s="1510" t="inlineStr">
        <is>
          <t>ND</t>
        </is>
      </c>
      <c r="L734" s="1511" t="inlineStr">
        <is>
          <t>ND</t>
        </is>
      </c>
      <c r="M734" s="1420" t="inlineStr">
        <is>
          <t>cdDevAjustDec</t>
        </is>
      </c>
      <c r="N734" s="257" t="inlineStr">
        <is>
          <t>Obligatoire sous conditions</t>
        </is>
      </c>
      <c r="O734" s="310" t="inlineStr">
        <is>
          <t>Mandatory under conditions</t>
        </is>
      </c>
      <c r="P734" s="269" t="inlineStr">
        <is>
          <t>LC.0005</t>
        </is>
      </c>
      <c r="Q734" s="269" t="inlineStr">
        <is>
          <t>TA NM253</t>
        </is>
      </c>
      <c r="R734" s="241" t="inlineStr">
        <is>
          <t>NA</t>
        </is>
      </c>
      <c r="S734" s="233" t="inlineStr">
        <is>
          <t>NA</t>
        </is>
      </c>
      <c r="T734" s="313" t="inlineStr">
        <is>
          <t>ALPHA</t>
        </is>
      </c>
      <c r="U734" s="237" t="inlineStr">
        <is>
          <t>NA</t>
        </is>
      </c>
      <c r="V734" s="238" t="inlineStr">
        <is>
          <t>NA</t>
        </is>
      </c>
      <c r="W734" s="257" t="n">
        <v>3</v>
      </c>
      <c r="X734" s="945" t="inlineStr">
        <is>
          <t>NA</t>
        </is>
      </c>
      <c r="Y734" s="237" t="n">
        <v>43</v>
      </c>
      <c r="Z734" s="237" t="inlineStr">
        <is>
          <t>NA</t>
        </is>
      </c>
      <c r="AA734" s="270" t="inlineStr">
        <is>
          <t>NA</t>
        </is>
      </c>
      <c r="AB734" s="1286" t="inlineStr">
        <is>
          <t>CALCULS PRUDENTIELS</t>
        </is>
      </c>
      <c r="AC734" s="231" t="inlineStr">
        <is>
          <t>ND</t>
        </is>
      </c>
      <c r="AD734" s="257" t="inlineStr">
        <is>
          <t>N</t>
        </is>
      </c>
      <c r="AE734" s="432" t="inlineStr">
        <is>
          <t xml:space="preserve">ISS200 et 300
TRExx hors 201, 203, 205, 206 et 207
SIGxxx
VAR hors repos
</t>
        </is>
      </c>
      <c r="AF734" s="257" t="inlineStr">
        <is>
          <t>NA</t>
        </is>
      </c>
      <c r="AG734" s="258" t="inlineStr">
        <is>
          <t>NA</t>
        </is>
      </c>
      <c r="AH734" s="89" t="n"/>
      <c r="AI734" s="353" t="inlineStr">
        <is>
          <t>La donnée est obligatoire si la donnée Montant de l'ajustement des risques pondérés lié à décote d'asymétrie d'échéance [P1 16.35] est renseignée</t>
        </is>
      </c>
      <c r="AJ734" s="317" t="inlineStr">
        <is>
          <t>The data is mandatory if the Amount of adjustment of risk-weighted assets linked to discount for maturity mismatch [P1 16.35] is filled</t>
        </is>
      </c>
      <c r="AK734" s="257" t="n">
        <v>7</v>
      </c>
      <c r="AL734" s="335" t="inlineStr">
        <is>
          <t>TPG0002</t>
        </is>
      </c>
      <c r="AM734" s="452" t="inlineStr">
        <is>
          <t>Si elle est renseignée, la valeur doit être connue du Langage Commun associé</t>
        </is>
      </c>
      <c r="AN734" s="377" t="inlineStr">
        <is>
          <t>If specified, the value must be known to the associated Common Language</t>
        </is>
      </c>
      <c r="AO734" s="257" t="n">
        <v>7</v>
      </c>
      <c r="AP734" s="212" t="inlineStr">
        <is>
          <t>TIG0001</t>
        </is>
      </c>
      <c r="AQ734" s="318" t="n"/>
      <c r="AR734" s="317" t="n"/>
      <c r="AS734" s="257" t="n"/>
      <c r="AT734" s="258" t="n"/>
      <c r="AU734" s="318" t="n"/>
      <c r="AV734" s="317" t="n"/>
      <c r="AW734" s="257" t="n"/>
      <c r="AX734" s="258" t="n"/>
      <c r="AY734" s="318" t="n"/>
      <c r="AZ734" s="317" t="n"/>
      <c r="BA734" s="257" t="n"/>
      <c r="BB734" s="258" t="n"/>
      <c r="BC734" s="316" t="n"/>
      <c r="BD734" s="317" t="n"/>
      <c r="BE734" s="257" t="n"/>
      <c r="BF734" s="258" t="n"/>
      <c r="BG734" s="89" t="n"/>
      <c r="BH7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34">
        <f>_xlfn.LET(r,ROW(),oc,INDEX($A:$A,r),cv,TRIM(INDEX($Y:$Y,r)&amp;""),IF(oc&lt;&gt;"P1","",IF(cv="45","V45 - novo, nao alimentado pelo spool atual","V44 - alimentado pelo spool atual")))</f>
        <v/>
      </c>
    </row>
    <row r="735" ht="54" customFormat="1" customHeight="1" s="91">
      <c r="A735" s="306" t="inlineStr">
        <is>
          <t>P1</t>
        </is>
      </c>
      <c r="B735" s="307" t="n">
        <v>500</v>
      </c>
      <c r="C735" s="269" t="inlineStr">
        <is>
          <t>31 - Paramètres bâlois</t>
        </is>
      </c>
      <c r="D735" s="310" t="inlineStr">
        <is>
          <t>31 - Basel settings</t>
        </is>
      </c>
      <c r="E735" s="372" t="inlineStr">
        <is>
          <t>P1 16.37</t>
        </is>
      </c>
      <c r="F735" s="308" t="inlineStr">
        <is>
          <t xml:space="preserve">Montant de RWA supplémentaire pour non-conformité aux exigences prévues </t>
        </is>
      </c>
      <c r="G735" s="309" t="inlineStr">
        <is>
          <t>Additional RWA amount for non-compliance with planned requirements</t>
        </is>
      </c>
      <c r="H735" s="1493">
        <f>"RPAD( "&amp;SUBSTITUTE(SUBSTITUTE(E735," ","_"),".","_")&amp;","&amp;W735&amp;",' '); -- "&amp;E735</f>
        <v/>
      </c>
      <c r="I735" s="241" t="inlineStr">
        <is>
          <t>Effet global (ajustement) lié au manquements aux dispositions du chapitre 2 du règlement (UE) 2017
2402 -&gt; montant de RWA supplémentaire à déclarer (article 270.bis)</t>
        </is>
      </c>
      <c r="J735" s="233" t="inlineStr">
        <is>
          <t>Overall effect (adjustment) related to the non-compliance with the provisions of Chapter 2 of Regulation (EU) 2017
2402 -&gt; additional RWA to be reported (Article 270.a)</t>
        </is>
      </c>
      <c r="K735" s="269" t="inlineStr">
        <is>
          <t>ND</t>
        </is>
      </c>
      <c r="L735" s="310" t="inlineStr">
        <is>
          <t>ND</t>
        </is>
      </c>
      <c r="M735" s="1420" t="inlineStr">
        <is>
          <t>mtRWASup</t>
        </is>
      </c>
      <c r="N735" s="257" t="inlineStr">
        <is>
          <t>Obligatoire sous conditions</t>
        </is>
      </c>
      <c r="O735" s="310" t="inlineStr">
        <is>
          <t>Mandatory under conditions</t>
        </is>
      </c>
      <c r="P735" s="269" t="inlineStr">
        <is>
          <t>NA</t>
        </is>
      </c>
      <c r="Q735" s="269" t="inlineStr">
        <is>
          <t>NA</t>
        </is>
      </c>
      <c r="R735" s="241" t="inlineStr">
        <is>
          <t>NA</t>
        </is>
      </c>
      <c r="S735" s="233" t="inlineStr">
        <is>
          <t>NA</t>
        </is>
      </c>
      <c r="T735" s="313" t="inlineStr">
        <is>
          <t>NUM</t>
        </is>
      </c>
      <c r="U735" s="237" t="inlineStr">
        <is>
          <t>19 dont signe et 2 décimales</t>
        </is>
      </c>
      <c r="V735" s="238" t="inlineStr">
        <is>
          <t>19 including sign and 2 decimals</t>
        </is>
      </c>
      <c r="W735" s="257" t="n">
        <v>19</v>
      </c>
      <c r="X735" s="945" t="inlineStr">
        <is>
          <t>NA</t>
        </is>
      </c>
      <c r="Y735" s="237" t="n">
        <v>43</v>
      </c>
      <c r="Z735" s="237" t="inlineStr">
        <is>
          <t>NA</t>
        </is>
      </c>
      <c r="AA735" s="270" t="inlineStr">
        <is>
          <t>NA</t>
        </is>
      </c>
      <c r="AB735" s="1286" t="inlineStr">
        <is>
          <t>CALCULS PRUDENTIELS</t>
        </is>
      </c>
      <c r="AC735" s="231" t="inlineStr">
        <is>
          <t>ND</t>
        </is>
      </c>
      <c r="AD735" s="257" t="inlineStr">
        <is>
          <t>N</t>
        </is>
      </c>
      <c r="AE735" s="432" t="inlineStr">
        <is>
          <t xml:space="preserve">ISS200 et 300
TRExx hors 201, 203, 205, 206 et 207
SIGxxx
VAR hors repos
</t>
        </is>
      </c>
      <c r="AF735" s="257" t="inlineStr">
        <is>
          <t>NA</t>
        </is>
      </c>
      <c r="AG735" s="258" t="inlineStr">
        <is>
          <t>NA</t>
        </is>
      </c>
      <c r="AH735" s="89" t="n"/>
      <c r="AI735" s="353" t="inlineStr">
        <is>
          <t>La donnée est obligatoire si le Portefeuille Bâle Opération [P1 2.18] = ‘070'</t>
        </is>
      </c>
      <c r="AJ735" s="317" t="inlineStr">
        <is>
          <t>The data is mandatory if Basel Transaction Portfolio [P1 2.18] = ‘070'</t>
        </is>
      </c>
      <c r="AK735" s="257" t="n">
        <v>5</v>
      </c>
      <c r="AL735" s="335" t="inlineStr">
        <is>
          <t>TPS0793</t>
        </is>
      </c>
      <c r="AM735" s="318" t="n"/>
      <c r="AN735" s="317" t="n"/>
      <c r="AO735" s="257" t="n"/>
      <c r="AP735" s="258" t="n"/>
      <c r="AQ735" s="322" t="inlineStr">
        <is>
          <t>Si renseignée, la donnée doit être positive (supérieure ou égale à 0)</t>
        </is>
      </c>
      <c r="AR735" s="317" t="inlineStr">
        <is>
          <t xml:space="preserve">If filled, data must be positive (greater or equal to 0) </t>
        </is>
      </c>
      <c r="AS735" s="257" t="n">
        <v>7</v>
      </c>
      <c r="AT735" s="345" t="inlineStr">
        <is>
          <t>TVG0001</t>
        </is>
      </c>
      <c r="AU735" s="318" t="n"/>
      <c r="AV735" s="317" t="n"/>
      <c r="AW735" s="257" t="n"/>
      <c r="AX735" s="258" t="n"/>
      <c r="AY735" s="318" t="n"/>
      <c r="AZ735" s="317" t="n"/>
      <c r="BA735" s="257" t="n"/>
      <c r="BB735" s="258" t="n"/>
      <c r="BC735" s="316" t="n"/>
      <c r="BD735" s="317" t="n"/>
      <c r="BE735" s="257" t="n"/>
      <c r="BF735" s="258" t="n"/>
      <c r="BG735" s="89" t="n"/>
      <c r="BH7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35">
        <f>_xlfn.LET(r,ROW(),oc,INDEX($A:$A,r),cv,TRIM(INDEX($Y:$Y,r)&amp;""),IF(oc&lt;&gt;"P1","",IF(cv="45","V45 - novo, nao alimentado pelo spool atual","V44 - alimentado pelo spool atual")))</f>
        <v/>
      </c>
    </row>
    <row r="736" ht="54" customFormat="1" customHeight="1" s="91">
      <c r="A736" s="306" t="inlineStr">
        <is>
          <t>P1</t>
        </is>
      </c>
      <c r="B736" s="307" t="n">
        <v>501</v>
      </c>
      <c r="C736" s="269" t="inlineStr">
        <is>
          <t>31 - Paramètres bâlois</t>
        </is>
      </c>
      <c r="D736" s="310" t="inlineStr">
        <is>
          <t>31 - Basel settings</t>
        </is>
      </c>
      <c r="E736" s="372" t="inlineStr">
        <is>
          <t>P1 16.38</t>
        </is>
      </c>
      <c r="F736" s="308" t="inlineStr">
        <is>
          <t>Devise du montant de RWA supplémentaire pour non-conformité aux exigences prévues</t>
        </is>
      </c>
      <c r="G736" s="309" t="inlineStr">
        <is>
          <t>Currency of additional RWA amount for non-compliance with planned requirements</t>
        </is>
      </c>
      <c r="H736" s="1493">
        <f>"RPAD( "&amp;SUBSTITUTE(SUBSTITUTE(E736," ","_"),".","_")&amp;","&amp;W736&amp;",' '); -- "&amp;E736</f>
        <v/>
      </c>
      <c r="I736" s="241" t="inlineStr">
        <is>
          <t>Devise d'expression du montant de RWA supplémentaire pour non-conformité aux exigences prévues</t>
        </is>
      </c>
      <c r="J736" s="309" t="inlineStr">
        <is>
          <t>Currency of additional RWA amount for non-compliance with planned requirements</t>
        </is>
      </c>
      <c r="K736" s="370" t="inlineStr">
        <is>
          <t>ND</t>
        </is>
      </c>
      <c r="L736" s="371" t="inlineStr">
        <is>
          <t>ND</t>
        </is>
      </c>
      <c r="M736" s="1420" t="inlineStr">
        <is>
          <t>cdDevRWASup</t>
        </is>
      </c>
      <c r="N736" s="257" t="inlineStr">
        <is>
          <t>Obligatoire sous conditions</t>
        </is>
      </c>
      <c r="O736" s="310" t="inlineStr">
        <is>
          <t>Mandatory under conditions</t>
        </is>
      </c>
      <c r="P736" s="269" t="inlineStr">
        <is>
          <t>LC.0005</t>
        </is>
      </c>
      <c r="Q736" s="269" t="inlineStr">
        <is>
          <t>TA NM253</t>
        </is>
      </c>
      <c r="R736" s="241" t="inlineStr">
        <is>
          <t>NA</t>
        </is>
      </c>
      <c r="S736" s="233" t="inlineStr">
        <is>
          <t>NA</t>
        </is>
      </c>
      <c r="T736" s="313" t="inlineStr">
        <is>
          <t>ALPHA</t>
        </is>
      </c>
      <c r="U736" s="237" t="inlineStr">
        <is>
          <t>NA</t>
        </is>
      </c>
      <c r="V736" s="238" t="inlineStr">
        <is>
          <t>NA</t>
        </is>
      </c>
      <c r="W736" s="257" t="n">
        <v>3</v>
      </c>
      <c r="X736" s="945" t="inlineStr">
        <is>
          <t>NA</t>
        </is>
      </c>
      <c r="Y736" s="237" t="n">
        <v>43</v>
      </c>
      <c r="Z736" s="237" t="inlineStr">
        <is>
          <t>NA</t>
        </is>
      </c>
      <c r="AA736" s="270" t="inlineStr">
        <is>
          <t>NA</t>
        </is>
      </c>
      <c r="AB736" s="1286" t="inlineStr">
        <is>
          <t>CALCULS PRUDENTIELS</t>
        </is>
      </c>
      <c r="AC736" s="231" t="inlineStr">
        <is>
          <t>ND</t>
        </is>
      </c>
      <c r="AD736" s="257" t="inlineStr">
        <is>
          <t>N</t>
        </is>
      </c>
      <c r="AE736" s="432" t="inlineStr">
        <is>
          <t xml:space="preserve">ISS200 et 300
TRExx hors 201, 203, 205, 206 et 207
SIGxxx
VAR hors repos
</t>
        </is>
      </c>
      <c r="AF736" s="257" t="inlineStr">
        <is>
          <t>NA</t>
        </is>
      </c>
      <c r="AG736" s="258" t="inlineStr">
        <is>
          <t>NA</t>
        </is>
      </c>
      <c r="AH736" s="89" t="n"/>
      <c r="AI736" s="353" t="inlineStr">
        <is>
          <t>La donnée est obligatoire si la donnée montant de RWA supplémentaire pour non-conformité aux exigences prévues [P1 16.37] est renseignée</t>
        </is>
      </c>
      <c r="AJ736" s="317" t="inlineStr">
        <is>
          <t>The data is mandatory if the additional RWA amount data for non-compliance to the requirements [P1 16.37] is filled</t>
        </is>
      </c>
      <c r="AK736" s="257" t="n">
        <v>7</v>
      </c>
      <c r="AL736" s="335" t="inlineStr">
        <is>
          <t>TPG0002</t>
        </is>
      </c>
      <c r="AM736" s="452" t="inlineStr">
        <is>
          <t>Si elle est renseignée, la valeur doit être connue du Langage Commun associé</t>
        </is>
      </c>
      <c r="AN736" s="377" t="inlineStr">
        <is>
          <t>If specified, the value must be known to the associated Common Language</t>
        </is>
      </c>
      <c r="AO736" s="257" t="n">
        <v>7</v>
      </c>
      <c r="AP736" s="212" t="inlineStr">
        <is>
          <t>TIG0001</t>
        </is>
      </c>
      <c r="AQ736" s="318" t="n"/>
      <c r="AR736" s="317" t="n"/>
      <c r="AS736" s="257" t="n"/>
      <c r="AT736" s="258" t="n"/>
      <c r="AU736" s="318" t="n"/>
      <c r="AV736" s="317" t="n"/>
      <c r="AW736" s="257" t="n"/>
      <c r="AX736" s="258" t="n"/>
      <c r="AY736" s="318" t="n"/>
      <c r="AZ736" s="317" t="n"/>
      <c r="BA736" s="257" t="n"/>
      <c r="BB736" s="258" t="n"/>
      <c r="BC736" s="316" t="n"/>
      <c r="BD736" s="317" t="n"/>
      <c r="BE736" s="257" t="n"/>
      <c r="BF736" s="258" t="n"/>
      <c r="BG736" s="89" t="n"/>
      <c r="BH7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36">
        <f>_xlfn.LET(r,ROW(),oc,INDEX($A:$A,r),cv,TRIM(INDEX($Y:$Y,r)&amp;""),IF(oc&lt;&gt;"P1","",IF(cv="45","V45 - novo, nao alimentado pelo spool atual","V44 - alimentado pelo spool atual")))</f>
        <v/>
      </c>
    </row>
    <row r="737" ht="54" customFormat="1" customHeight="1" s="91">
      <c r="A737" s="306" t="inlineStr">
        <is>
          <t>P1</t>
        </is>
      </c>
      <c r="B737" s="307" t="n">
        <v>502</v>
      </c>
      <c r="C737" s="269" t="inlineStr">
        <is>
          <t>31 - Paramètres bâlois</t>
        </is>
      </c>
      <c r="D737" s="310" t="inlineStr">
        <is>
          <t>31 - Basel settings</t>
        </is>
      </c>
      <c r="E737" s="372" t="inlineStr">
        <is>
          <t>P1 16.39</t>
        </is>
      </c>
      <c r="F737" s="524" t="inlineStr">
        <is>
          <t>Montant du gain RWA obtenu par le CAP sur la pondération</t>
        </is>
      </c>
      <c r="G737" s="309" t="inlineStr">
        <is>
          <t>Amount of RWA gain obtained by CAP on risk weight</t>
        </is>
      </c>
      <c r="H737" s="1493">
        <f>"RPAD( "&amp;SUBSTITUTE(SUBSTITUTE(E737," ","_"),".","_")&amp;","&amp;W737&amp;",' '); -- "&amp;E737</f>
        <v/>
      </c>
      <c r="I737" s="703" t="inlineStr">
        <is>
          <t>Réduction due à l'application d'un plafond des exposition pondérées (colonne 900 état COREP Titrisation 13.1 « CR-SEC »). Il s'agit du montant de RWA à déduire dans le cadre d'un « CAP » qui répond à l'article 267 du règlement (UE) 2017 2401</t>
        </is>
      </c>
      <c r="J737" s="233" t="inlineStr">
        <is>
          <t>Reduction due to the application of a risk-weighted exposure ceiling (column 900 COREP securitization statement 13.1 "CR-SEC"). This is the amount of RWA to be deducted in the context of a "CAP" which complies with Article 267 of Regulation (EU) 2017 2401</t>
        </is>
      </c>
      <c r="K737" s="269" t="inlineStr">
        <is>
          <t>ND</t>
        </is>
      </c>
      <c r="L737" s="310" t="inlineStr">
        <is>
          <t>ND</t>
        </is>
      </c>
      <c r="M737" s="1420" t="inlineStr">
        <is>
          <t>mtRWACAPPond</t>
        </is>
      </c>
      <c r="N737" s="257" t="inlineStr">
        <is>
          <t>Obligatoire sous conditions</t>
        </is>
      </c>
      <c r="O737" s="310" t="inlineStr">
        <is>
          <t>Mandatory under conditions</t>
        </is>
      </c>
      <c r="P737" s="269" t="inlineStr">
        <is>
          <t>NA</t>
        </is>
      </c>
      <c r="Q737" s="269" t="inlineStr">
        <is>
          <t>NA</t>
        </is>
      </c>
      <c r="R737" s="241" t="inlineStr">
        <is>
          <t>NA</t>
        </is>
      </c>
      <c r="S737" s="233" t="inlineStr">
        <is>
          <t>NA</t>
        </is>
      </c>
      <c r="T737" s="313" t="inlineStr">
        <is>
          <t>NUM</t>
        </is>
      </c>
      <c r="U737" s="237" t="inlineStr">
        <is>
          <t>19 dont signe et 2 décimales</t>
        </is>
      </c>
      <c r="V737" s="238" t="inlineStr">
        <is>
          <t>19 including sign and 2 decimals</t>
        </is>
      </c>
      <c r="W737" s="257" t="n">
        <v>19</v>
      </c>
      <c r="X737" s="945" t="inlineStr">
        <is>
          <t>NA</t>
        </is>
      </c>
      <c r="Y737" s="237" t="n">
        <v>43</v>
      </c>
      <c r="Z737" s="237" t="inlineStr">
        <is>
          <t>NA</t>
        </is>
      </c>
      <c r="AA737" s="270" t="inlineStr">
        <is>
          <t>NA</t>
        </is>
      </c>
      <c r="AB737" s="1286" t="inlineStr">
        <is>
          <t>CALCULS PRUDENTIELS</t>
        </is>
      </c>
      <c r="AC737" s="231" t="inlineStr">
        <is>
          <t>ND</t>
        </is>
      </c>
      <c r="AD737" s="257" t="inlineStr">
        <is>
          <t>N</t>
        </is>
      </c>
      <c r="AE737" s="432" t="inlineStr">
        <is>
          <t xml:space="preserve">ISS200 et 300
TRExx hors 201, 203, 205, 206 et 207
SIGxxx
VAR hors repos
</t>
        </is>
      </c>
      <c r="AF737" s="257" t="inlineStr">
        <is>
          <t>NA</t>
        </is>
      </c>
      <c r="AG737" s="258" t="inlineStr">
        <is>
          <t>NA</t>
        </is>
      </c>
      <c r="AH737" s="89" t="n"/>
      <c r="AI737" s="353" t="inlineStr">
        <is>
          <t>La donnée est obligatoire si le Portefeuille Bâle Opération [P1 2.18] = ‘070'</t>
        </is>
      </c>
      <c r="AJ737" s="317" t="inlineStr">
        <is>
          <t>The data is mandatory if Basel Transaction Portfolio [P1 2.18] = ‘070'</t>
        </is>
      </c>
      <c r="AK737" s="257" t="n">
        <v>5</v>
      </c>
      <c r="AL737" s="335" t="inlineStr">
        <is>
          <t>TPS0793</t>
        </is>
      </c>
      <c r="AM737" s="318" t="n"/>
      <c r="AN737" s="317" t="n"/>
      <c r="AO737" s="257" t="n"/>
      <c r="AP737" s="258" t="n"/>
      <c r="AQ737" s="322" t="inlineStr">
        <is>
          <t>Si renseignée, la donnée doit être positive (supérieure ou égale à 0)</t>
        </is>
      </c>
      <c r="AR737" s="317" t="inlineStr">
        <is>
          <t xml:space="preserve">If filled, data must be positive (greater or equal to 0) </t>
        </is>
      </c>
      <c r="AS737" s="257" t="n">
        <v>7</v>
      </c>
      <c r="AT737" s="345" t="inlineStr">
        <is>
          <t>TVG0001</t>
        </is>
      </c>
      <c r="AU737" s="318" t="n"/>
      <c r="AV737" s="317" t="n"/>
      <c r="AW737" s="257" t="n"/>
      <c r="AX737" s="258" t="n"/>
      <c r="AY737" s="318" t="n"/>
      <c r="AZ737" s="317" t="n"/>
      <c r="BA737" s="257" t="n"/>
      <c r="BB737" s="258" t="n"/>
      <c r="BC737" s="316" t="n"/>
      <c r="BD737" s="317" t="n"/>
      <c r="BE737" s="257" t="n"/>
      <c r="BF737" s="258" t="n"/>
      <c r="BG737" s="89" t="n"/>
      <c r="BH7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37">
        <f>_xlfn.LET(r,ROW(),oc,INDEX($A:$A,r),cv,TRIM(INDEX($Y:$Y,r)&amp;""),IF(oc&lt;&gt;"P1","",IF(cv="45","V45 - novo, nao alimentado pelo spool atual","V44 - alimentado pelo spool atual")))</f>
        <v/>
      </c>
    </row>
    <row r="738" ht="54" customFormat="1" customHeight="1" s="91">
      <c r="A738" s="306" t="inlineStr">
        <is>
          <t>P1</t>
        </is>
      </c>
      <c r="B738" s="307" t="n">
        <v>503</v>
      </c>
      <c r="C738" s="269" t="inlineStr">
        <is>
          <t>31 - Paramètres bâlois</t>
        </is>
      </c>
      <c r="D738" s="310" t="inlineStr">
        <is>
          <t>31 - Basel settings</t>
        </is>
      </c>
      <c r="E738" s="372" t="inlineStr">
        <is>
          <t>P1 16.40</t>
        </is>
      </c>
      <c r="F738" s="1248" t="inlineStr">
        <is>
          <t>Devise du montant du gain RWA obtenu par le CAP sur la pondération</t>
        </is>
      </c>
      <c r="G738" s="309" t="inlineStr">
        <is>
          <t>Currency of the amount of RWA gain obtained by CAP on risk weight</t>
        </is>
      </c>
      <c r="H738" s="1493">
        <f>"RPAD( "&amp;SUBSTITUTE(SUBSTITUTE(E738," ","_"),".","_")&amp;","&amp;W738&amp;",' '); -- "&amp;E738</f>
        <v/>
      </c>
      <c r="I738" s="241" t="inlineStr">
        <is>
          <t>Devise d'expression gain RWA obtenu par le CAP sur la pondération</t>
        </is>
      </c>
      <c r="J738" s="309" t="inlineStr">
        <is>
          <t>Currency of RWA gain obtained by CAP on risk weight</t>
        </is>
      </c>
      <c r="K738" s="370" t="inlineStr">
        <is>
          <t>ND</t>
        </is>
      </c>
      <c r="L738" s="371" t="inlineStr">
        <is>
          <t>ND</t>
        </is>
      </c>
      <c r="M738" s="1420" t="inlineStr">
        <is>
          <t>cdDevRWACAPPond</t>
        </is>
      </c>
      <c r="N738" s="257" t="inlineStr">
        <is>
          <t>Obligatoire sous conditions</t>
        </is>
      </c>
      <c r="O738" s="310" t="inlineStr">
        <is>
          <t>Mandatory under conditions</t>
        </is>
      </c>
      <c r="P738" s="269" t="inlineStr">
        <is>
          <t>LC.0005</t>
        </is>
      </c>
      <c r="Q738" s="269" t="inlineStr">
        <is>
          <t>TA NM253</t>
        </is>
      </c>
      <c r="R738" s="241" t="inlineStr">
        <is>
          <t>NA</t>
        </is>
      </c>
      <c r="S738" s="233" t="inlineStr">
        <is>
          <t>NA</t>
        </is>
      </c>
      <c r="T738" s="313" t="inlineStr">
        <is>
          <t>ALPHA</t>
        </is>
      </c>
      <c r="U738" s="237" t="inlineStr">
        <is>
          <t>NA</t>
        </is>
      </c>
      <c r="V738" s="238" t="inlineStr">
        <is>
          <t>NA</t>
        </is>
      </c>
      <c r="W738" s="257" t="n">
        <v>3</v>
      </c>
      <c r="X738" s="945" t="inlineStr">
        <is>
          <t>NA</t>
        </is>
      </c>
      <c r="Y738" s="237" t="n">
        <v>43</v>
      </c>
      <c r="Z738" s="237" t="inlineStr">
        <is>
          <t>NA</t>
        </is>
      </c>
      <c r="AA738" s="270" t="inlineStr">
        <is>
          <t>NA</t>
        </is>
      </c>
      <c r="AB738" s="1286" t="inlineStr">
        <is>
          <t>CALCULS PRUDENTIELS</t>
        </is>
      </c>
      <c r="AC738" s="231" t="inlineStr">
        <is>
          <t>ND</t>
        </is>
      </c>
      <c r="AD738" s="257" t="inlineStr">
        <is>
          <t>N</t>
        </is>
      </c>
      <c r="AE738" s="432" t="inlineStr">
        <is>
          <t xml:space="preserve">ISS200 et 300
TRExx hors 201, 203, 205, 206 et 207
SIGxxx
VAR hors repos
</t>
        </is>
      </c>
      <c r="AF738" s="257" t="inlineStr">
        <is>
          <t>NA</t>
        </is>
      </c>
      <c r="AG738" s="258" t="inlineStr">
        <is>
          <t>NA</t>
        </is>
      </c>
      <c r="AH738" s="89" t="n"/>
      <c r="AI738" s="353" t="inlineStr">
        <is>
          <t>La donnée est obligatoire si la donnée Montant du gain RWA obtenu par le CAP sur la pondération [P1 16.39] est renseignée</t>
        </is>
      </c>
      <c r="AJ738" s="317" t="inlineStr">
        <is>
          <t>The data is mandatory if the Amount of RWA gain obtained by the CAP on the weighting [P1 16.39] is filled</t>
        </is>
      </c>
      <c r="AK738" s="257" t="n">
        <v>7</v>
      </c>
      <c r="AL738" s="335" t="inlineStr">
        <is>
          <t>TPG0002</t>
        </is>
      </c>
      <c r="AM738" s="452" t="inlineStr">
        <is>
          <t>Si elle est renseignée, la valeur doit être connue du Langage Commun associé</t>
        </is>
      </c>
      <c r="AN738" s="377" t="inlineStr">
        <is>
          <t>If specified, the value must be known to the associated Common Language</t>
        </is>
      </c>
      <c r="AO738" s="257" t="n">
        <v>7</v>
      </c>
      <c r="AP738" s="212" t="inlineStr">
        <is>
          <t>TIG0001</t>
        </is>
      </c>
      <c r="AQ738" s="318" t="n"/>
      <c r="AR738" s="317" t="n"/>
      <c r="AS738" s="257" t="n"/>
      <c r="AT738" s="258" t="n"/>
      <c r="AU738" s="318" t="n"/>
      <c r="AV738" s="317" t="n"/>
      <c r="AW738" s="257" t="n"/>
      <c r="AX738" s="258" t="n"/>
      <c r="AY738" s="318" t="n"/>
      <c r="AZ738" s="317" t="n"/>
      <c r="BA738" s="257" t="n"/>
      <c r="BB738" s="258" t="n"/>
      <c r="BC738" s="316" t="n"/>
      <c r="BD738" s="317" t="n"/>
      <c r="BE738" s="257" t="n"/>
      <c r="BF738" s="258" t="n"/>
      <c r="BG738" s="89" t="n"/>
      <c r="BH7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38">
        <f>_xlfn.LET(r,ROW(),oc,INDEX($A:$A,r),cv,TRIM(INDEX($Y:$Y,r)&amp;""),IF(oc&lt;&gt;"P1","",IF(cv="45","V45 - novo, nao alimentado pelo spool atual","V44 - alimentado pelo spool atual")))</f>
        <v/>
      </c>
    </row>
    <row r="739" ht="54" customFormat="1" customHeight="1" s="1508">
      <c r="A739" s="306" t="inlineStr">
        <is>
          <t>P1</t>
        </is>
      </c>
      <c r="B739" s="307" t="n">
        <v>504</v>
      </c>
      <c r="C739" s="269" t="inlineStr">
        <is>
          <t>31 - Paramètres bâlois</t>
        </is>
      </c>
      <c r="D739" s="310" t="inlineStr">
        <is>
          <t>31 - Basel settings</t>
        </is>
      </c>
      <c r="E739" s="372" t="inlineStr">
        <is>
          <t>P1 16.41</t>
        </is>
      </c>
      <c r="F739" s="988" t="inlineStr">
        <is>
          <t>Montant du gain RWA obtenu par le CAP sur les exigences en fonds propres</t>
        </is>
      </c>
      <c r="G739" s="309" t="inlineStr">
        <is>
          <t>Amount of RWA gain obtained by CAP on capital requirements</t>
        </is>
      </c>
      <c r="H739" s="1493">
        <f>"RPAD( "&amp;SUBSTITUTE(SUBSTITUTE(E739," ","_"),".","_")&amp;","&amp;W739&amp;",' '); -- "&amp;E739</f>
        <v/>
      </c>
      <c r="I739" s="241" t="inlineStr">
        <is>
          <t>Réduction due à l'application d'un plafond des exposition pondérées (colonne 910 état COREP Titrisation 13.1 « CR-SEC »). Il s'agit du montant de RWA à déduire dans le cadre d'un "CAP" qui répond à l'article 268 du règlement (UE) 2017 2401</t>
        </is>
      </c>
      <c r="J739" s="233" t="inlineStr">
        <is>
          <t>Reduction due to the application of a risk-weighted exposure ceiling (column 910 statement COREP Securitization 13.1 "CR-SEC"). This is the amount of RWA to be deducted in the context of a "CAP" which complies with Article 268 of Regulation (EU) 2017 2401</t>
        </is>
      </c>
      <c r="K739" s="269" t="inlineStr">
        <is>
          <t>ND</t>
        </is>
      </c>
      <c r="L739" s="310" t="inlineStr">
        <is>
          <t>ND</t>
        </is>
      </c>
      <c r="M739" s="1420" t="inlineStr">
        <is>
          <t>mtRWACAPFondProp</t>
        </is>
      </c>
      <c r="N739" s="257" t="inlineStr">
        <is>
          <t>Obligatoire sous conditions</t>
        </is>
      </c>
      <c r="O739" s="310" t="inlineStr">
        <is>
          <t>Mandatory under conditions</t>
        </is>
      </c>
      <c r="P739" s="269" t="inlineStr">
        <is>
          <t>NA</t>
        </is>
      </c>
      <c r="Q739" s="269" t="inlineStr">
        <is>
          <t>NA</t>
        </is>
      </c>
      <c r="R739" s="241" t="inlineStr">
        <is>
          <t>NA</t>
        </is>
      </c>
      <c r="S739" s="233" t="inlineStr">
        <is>
          <t>NA</t>
        </is>
      </c>
      <c r="T739" s="313" t="inlineStr">
        <is>
          <t>NUM</t>
        </is>
      </c>
      <c r="U739" s="237" t="inlineStr">
        <is>
          <t>19 dont signe et 2 décimales</t>
        </is>
      </c>
      <c r="V739" s="238" t="inlineStr">
        <is>
          <t>19 including sign and 2 decimals</t>
        </is>
      </c>
      <c r="W739" s="257" t="n">
        <v>19</v>
      </c>
      <c r="X739" s="945" t="inlineStr">
        <is>
          <t>NA</t>
        </is>
      </c>
      <c r="Y739" s="237" t="n">
        <v>43</v>
      </c>
      <c r="Z739" s="237" t="inlineStr">
        <is>
          <t>NA</t>
        </is>
      </c>
      <c r="AA739" s="270" t="inlineStr">
        <is>
          <t>NA</t>
        </is>
      </c>
      <c r="AB739" s="1286" t="inlineStr">
        <is>
          <t>CALCULS PRUDENTIELS</t>
        </is>
      </c>
      <c r="AC739" s="231" t="inlineStr">
        <is>
          <t>ND</t>
        </is>
      </c>
      <c r="AD739" s="257" t="inlineStr">
        <is>
          <t>N</t>
        </is>
      </c>
      <c r="AE739" s="432" t="inlineStr">
        <is>
          <t xml:space="preserve">ISS200 et 300
TRExx hors 201, 203, 205, 206 et 207
SIGxxx
VAR hors repos
</t>
        </is>
      </c>
      <c r="AF739" s="257" t="inlineStr">
        <is>
          <t>NA</t>
        </is>
      </c>
      <c r="AG739" s="258" t="inlineStr">
        <is>
          <t>NA</t>
        </is>
      </c>
      <c r="AH739" s="89" t="n"/>
      <c r="AI739" s="353" t="inlineStr">
        <is>
          <t>La donnée est obligatoire si le Portefeuille Bâle Opération [P1 2.18] = ‘070'</t>
        </is>
      </c>
      <c r="AJ739" s="317" t="inlineStr">
        <is>
          <t>The data is mandatory if Basel Transaction Portfolio [P1 2.18] = ‘070'</t>
        </is>
      </c>
      <c r="AK739" s="257" t="n">
        <v>5</v>
      </c>
      <c r="AL739" s="335" t="inlineStr">
        <is>
          <t>TPS0793</t>
        </is>
      </c>
      <c r="AM739" s="318" t="n"/>
      <c r="AN739" s="317" t="n"/>
      <c r="AO739" s="257" t="n"/>
      <c r="AP739" s="258" t="n"/>
      <c r="AQ739" s="322" t="inlineStr">
        <is>
          <t>Si renseignée, la donnée doit être positive (supérieure ou égale à 0)</t>
        </is>
      </c>
      <c r="AR739" s="317" t="inlineStr">
        <is>
          <t xml:space="preserve">If filled, data must be positive (greater or equal to 0) </t>
        </is>
      </c>
      <c r="AS739" s="257" t="n">
        <v>7</v>
      </c>
      <c r="AT739" s="345" t="inlineStr">
        <is>
          <t>TVG0001</t>
        </is>
      </c>
      <c r="AU739" s="318" t="n"/>
      <c r="AV739" s="317" t="n"/>
      <c r="AW739" s="257" t="n"/>
      <c r="AX739" s="258" t="n"/>
      <c r="AY739" s="318" t="n"/>
      <c r="AZ739" s="317" t="n"/>
      <c r="BA739" s="257" t="n"/>
      <c r="BB739" s="258" t="n"/>
      <c r="BC739" s="316" t="n"/>
      <c r="BD739" s="317" t="n"/>
      <c r="BE739" s="257" t="n"/>
      <c r="BF739" s="258" t="n"/>
      <c r="BG739" s="89" t="n"/>
      <c r="BH7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39">
        <f>_xlfn.LET(r,ROW(),oc,INDEX($A:$A,r),cv,TRIM(INDEX($Y:$Y,r)&amp;""),IF(oc&lt;&gt;"P1","",IF(cv="45","V45 - novo, nao alimentado pelo spool atual","V44 - alimentado pelo spool atual")))</f>
        <v/>
      </c>
    </row>
    <row r="740" ht="54" customFormat="1" customHeight="1" s="91">
      <c r="A740" s="306" t="inlineStr">
        <is>
          <t>P1</t>
        </is>
      </c>
      <c r="B740" s="307" t="n">
        <v>505</v>
      </c>
      <c r="C740" s="269" t="inlineStr">
        <is>
          <t>31 - Paramètres bâlois</t>
        </is>
      </c>
      <c r="D740" s="310" t="inlineStr">
        <is>
          <t>31 - Basel settings</t>
        </is>
      </c>
      <c r="E740" s="372" t="inlineStr">
        <is>
          <t>P1 16.42</t>
        </is>
      </c>
      <c r="F740" s="1248" t="inlineStr">
        <is>
          <t>Devise du montant du gain RWA obtenu par le CAP sur les exigences en fonds propres</t>
        </is>
      </c>
      <c r="G740" s="309" t="inlineStr">
        <is>
          <t>Currency of the amount of RWA gain obtained by CAP on capital requirements</t>
        </is>
      </c>
      <c r="H740" s="1493">
        <f>"RPAD( "&amp;SUBSTITUTE(SUBSTITUTE(E740," ","_"),".","_")&amp;","&amp;W740&amp;",' '); -- "&amp;E740</f>
        <v/>
      </c>
      <c r="I740" s="241" t="inlineStr">
        <is>
          <t>Devise d'expression gain RWA obtenu par le CAP sur les exigences en fonds propres</t>
        </is>
      </c>
      <c r="J740" s="309" t="inlineStr">
        <is>
          <t>Currency of RWA gain obtained by CAP on capital requirements</t>
        </is>
      </c>
      <c r="K740" s="370" t="inlineStr">
        <is>
          <t>ND</t>
        </is>
      </c>
      <c r="L740" s="371" t="inlineStr">
        <is>
          <t>ND</t>
        </is>
      </c>
      <c r="M740" s="1420" t="inlineStr">
        <is>
          <t>cdDevRWACAPFondProp</t>
        </is>
      </c>
      <c r="N740" s="257" t="inlineStr">
        <is>
          <t>Obligatoire sous conditions</t>
        </is>
      </c>
      <c r="O740" s="310" t="inlineStr">
        <is>
          <t>Mandatory under conditions</t>
        </is>
      </c>
      <c r="P740" s="269" t="inlineStr">
        <is>
          <t>LC.0005</t>
        </is>
      </c>
      <c r="Q740" s="269" t="inlineStr">
        <is>
          <t>TA NM253</t>
        </is>
      </c>
      <c r="R740" s="241" t="inlineStr">
        <is>
          <t>NA</t>
        </is>
      </c>
      <c r="S740" s="233" t="inlineStr">
        <is>
          <t>NA</t>
        </is>
      </c>
      <c r="T740" s="313" t="inlineStr">
        <is>
          <t>ALPHA</t>
        </is>
      </c>
      <c r="U740" s="237" t="inlineStr">
        <is>
          <t>NA</t>
        </is>
      </c>
      <c r="V740" s="238" t="inlineStr">
        <is>
          <t>NA</t>
        </is>
      </c>
      <c r="W740" s="257" t="n">
        <v>3</v>
      </c>
      <c r="X740" s="945" t="inlineStr">
        <is>
          <t>NA</t>
        </is>
      </c>
      <c r="Y740" s="237" t="n">
        <v>43</v>
      </c>
      <c r="Z740" s="237" t="inlineStr">
        <is>
          <t>NA</t>
        </is>
      </c>
      <c r="AA740" s="270" t="inlineStr">
        <is>
          <t>NA</t>
        </is>
      </c>
      <c r="AB740" s="1286" t="inlineStr">
        <is>
          <t>CALCULS PRUDENTIELS</t>
        </is>
      </c>
      <c r="AC740" s="231" t="inlineStr">
        <is>
          <t>ND</t>
        </is>
      </c>
      <c r="AD740" s="257" t="inlineStr">
        <is>
          <t>N</t>
        </is>
      </c>
      <c r="AE740" s="432" t="inlineStr">
        <is>
          <t xml:space="preserve">ISS200 et 300
TRExx hors 201, 203, 205, 206 et 207
SIGxxx
VAR hors repos
</t>
        </is>
      </c>
      <c r="AF740" s="257" t="inlineStr">
        <is>
          <t>NA</t>
        </is>
      </c>
      <c r="AG740" s="258" t="inlineStr">
        <is>
          <t>NA</t>
        </is>
      </c>
      <c r="AH740" s="89" t="n"/>
      <c r="AI740" s="353" t="inlineStr">
        <is>
          <t>La donnée est obligatoire si la donnée Montant du gain RWA obtenu par le CAP sur les exigences en fonds propres [P1 16.41] est renseignée</t>
        </is>
      </c>
      <c r="AJ740" s="317" t="inlineStr">
        <is>
          <t>The data is mandatory if the Amount of RWA gain obtained by the CAP on capital requirements [P1 16.41] is filled</t>
        </is>
      </c>
      <c r="AK740" s="257" t="n">
        <v>7</v>
      </c>
      <c r="AL740" s="335" t="inlineStr">
        <is>
          <t>TPG0002</t>
        </is>
      </c>
      <c r="AM740" s="452" t="inlineStr">
        <is>
          <t>Si elle est renseignée, la valeur doit être connue du Langage Commun associé</t>
        </is>
      </c>
      <c r="AN740" s="377" t="inlineStr">
        <is>
          <t>If specified, the value must be known to the associated Common Language</t>
        </is>
      </c>
      <c r="AO740" s="257" t="n">
        <v>7</v>
      </c>
      <c r="AP740" s="212" t="inlineStr">
        <is>
          <t>TIG0001</t>
        </is>
      </c>
      <c r="AQ740" s="318" t="n"/>
      <c r="AR740" s="317" t="n"/>
      <c r="AS740" s="257" t="n"/>
      <c r="AT740" s="258" t="n"/>
      <c r="AU740" s="318" t="n"/>
      <c r="AV740" s="317" t="n"/>
      <c r="AW740" s="257" t="n"/>
      <c r="AX740" s="258" t="n"/>
      <c r="AY740" s="318" t="n"/>
      <c r="AZ740" s="317" t="n"/>
      <c r="BA740" s="257" t="n"/>
      <c r="BB740" s="258" t="n"/>
      <c r="BC740" s="316" t="n"/>
      <c r="BD740" s="317" t="n"/>
      <c r="BE740" s="257" t="n"/>
      <c r="BF740" s="258" t="n"/>
      <c r="BG740" s="89" t="n"/>
      <c r="BH7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40">
        <f>_xlfn.LET(r,ROW(),oc,INDEX($A:$A,r),cv,TRIM(INDEX($Y:$Y,r)&amp;""),IF(oc&lt;&gt;"P1","",IF(cv="45","V45 - novo, nao alimentado pelo spool atual","V44 - alimentado pelo spool atual")))</f>
        <v/>
      </c>
    </row>
    <row r="741" ht="54" customFormat="1" customHeight="1" s="91">
      <c r="A741" s="306" t="inlineStr">
        <is>
          <t>P1</t>
        </is>
      </c>
      <c r="B741" s="307" t="n">
        <v>506</v>
      </c>
      <c r="C741" s="269" t="inlineStr">
        <is>
          <t>11 - Caractéristiques Opérations à effet de levier</t>
        </is>
      </c>
      <c r="D741" s="310" t="inlineStr">
        <is>
          <t>11 - Leveraged Operations characteristics</t>
        </is>
      </c>
      <c r="E741" s="372" t="inlineStr">
        <is>
          <t>P1 28.3</t>
        </is>
      </c>
      <c r="F741" s="308" t="inlineStr">
        <is>
          <t>Nature du financement</t>
        </is>
      </c>
      <c r="G741" s="309" t="inlineStr">
        <is>
          <t xml:space="preserve">Nature of funding </t>
        </is>
      </c>
      <c r="H741" s="1493">
        <f>"RPAD( "&amp;SUBSTITUTE(SUBSTITUTE(E741," ","_"),".","_")&amp;","&amp;W741&amp;",' '); -- "&amp;E741</f>
        <v/>
      </c>
      <c r="I741" s="241" t="inlineStr">
        <is>
          <t>Nature du financement accordé dans le cadre du financement d'une opération à effet de levier</t>
        </is>
      </c>
      <c r="J741" s="363" t="inlineStr">
        <is>
          <t>Nature of funding granted in the context of financing of a leveraged transaction</t>
        </is>
      </c>
      <c r="K741" s="516" t="inlineStr">
        <is>
          <t>ND</t>
        </is>
      </c>
      <c r="L741" s="517" t="inlineStr">
        <is>
          <t>ND</t>
        </is>
      </c>
      <c r="M741" s="1420" t="inlineStr">
        <is>
          <t>cdNatFin</t>
        </is>
      </c>
      <c r="N741" s="257" t="inlineStr">
        <is>
          <t>Obligatoire sous conditions</t>
        </is>
      </c>
      <c r="O741" s="310" t="inlineStr">
        <is>
          <t>Mandatory under conditions</t>
        </is>
      </c>
      <c r="P741" s="269" t="inlineStr">
        <is>
          <t>LC.0347</t>
        </is>
      </c>
      <c r="Q741" s="269" t="inlineStr">
        <is>
          <t>TA Z8NATFIN</t>
        </is>
      </c>
      <c r="R741" s="241" t="inlineStr">
        <is>
          <t>NA</t>
        </is>
      </c>
      <c r="S741" s="233" t="inlineStr">
        <is>
          <t>NA</t>
        </is>
      </c>
      <c r="T741" s="313" t="inlineStr">
        <is>
          <t>ALPHA</t>
        </is>
      </c>
      <c r="U741" s="237" t="inlineStr">
        <is>
          <t>NA</t>
        </is>
      </c>
      <c r="V741" s="238" t="inlineStr">
        <is>
          <t>NA</t>
        </is>
      </c>
      <c r="W741" s="257" t="n">
        <v>2</v>
      </c>
      <c r="X741" s="945" t="inlineStr">
        <is>
          <t>NA</t>
        </is>
      </c>
      <c r="Y741" s="237" t="n">
        <v>43</v>
      </c>
      <c r="Z741" s="237" t="inlineStr">
        <is>
          <t>NA</t>
        </is>
      </c>
      <c r="AA741" s="239" t="inlineStr">
        <is>
          <t>NA</t>
        </is>
      </c>
      <c r="AB741" s="269" t="inlineStr">
        <is>
          <t>FEL</t>
        </is>
      </c>
      <c r="AC741" s="231" t="inlineStr">
        <is>
          <t>ND</t>
        </is>
      </c>
      <c r="AD741" s="257" t="inlineStr">
        <is>
          <t>N</t>
        </is>
      </c>
      <c r="AE741" s="257" t="inlineStr">
        <is>
          <t xml:space="preserve">EQU101
EQU201
TRE2 à 4XX hors 203,205,206,207
SIG
</t>
        </is>
      </c>
      <c r="AF741" s="257" t="inlineStr">
        <is>
          <t>NA</t>
        </is>
      </c>
      <c r="AG741" s="258" t="inlineStr">
        <is>
          <t>NA</t>
        </is>
      </c>
      <c r="AH741" s="89" t="n"/>
      <c r="AI741" s="316" t="inlineStr">
        <is>
          <t>La donnée est obligatoire si le type de risque [P1 2.0] = 'EQUxxx', 'SIGxxx', hors (SIG1xx, SIG203, SIG205), 'TRE2xx' à 'TRE4xx', hors (TRE203, TRE205, TRE206, TRE207, TRE3xx) et si la donnée indicateur opération effet de levier [P1 28.1] est renseignée et est &lt;&gt; '0'</t>
        </is>
      </c>
      <c r="AJ741" s="317" t="inlineStr">
        <is>
          <t>The data is mandatory if Risk type [P1 2.0] = 'EQUxxx', 'SIGxxx', out (SIG1xx, SIG203, SIG205), 'TRE2xx' to 'TRE4xx', out (TRE203, TRE205, TRE206, TRE207, TRE3xx) and the leverage operation indicator data [P1 28.1] is filled in and is &lt;&gt; '0'</t>
        </is>
      </c>
      <c r="AK741" s="257" t="n">
        <v>6</v>
      </c>
      <c r="AL741" s="424" t="inlineStr">
        <is>
          <t>TPS0895</t>
        </is>
      </c>
      <c r="AM741" s="452" t="inlineStr">
        <is>
          <t>Si elle est renseignée, la valeur doit être connue du Langage Commun associé</t>
        </is>
      </c>
      <c r="AN741" s="377" t="inlineStr">
        <is>
          <t>If specified, the value must be known to the associated Common Language</t>
        </is>
      </c>
      <c r="AO741" s="257" t="n">
        <v>7</v>
      </c>
      <c r="AP741" s="212" t="inlineStr">
        <is>
          <t>TIG0001</t>
        </is>
      </c>
      <c r="AQ741" s="318" t="n"/>
      <c r="AR741" s="317" t="n"/>
      <c r="AS741" s="257" t="n"/>
      <c r="AT741" s="258" t="n"/>
      <c r="AU741" s="318" t="n"/>
      <c r="AV741" s="317" t="n"/>
      <c r="AW741" s="257" t="n"/>
      <c r="AX741" s="258" t="n"/>
      <c r="AY741" s="318" t="n"/>
      <c r="AZ741" s="317" t="n"/>
      <c r="BA741" s="257" t="n"/>
      <c r="BB741" s="258" t="n"/>
      <c r="BC741" s="316" t="n"/>
      <c r="BD741" s="317" t="n"/>
      <c r="BE741" s="257" t="n"/>
      <c r="BF741" s="258" t="n"/>
      <c r="BG741" s="89" t="n"/>
      <c r="BH7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41">
        <f>_xlfn.LET(r,ROW(),oc,INDEX($A:$A,r),cv,TRIM(INDEX($Y:$Y,r)&amp;""),IF(oc&lt;&gt;"P1","",IF(cv="45","V45 - novo, nao alimentado pelo spool atual","V44 - alimentado pelo spool atual")))</f>
        <v/>
      </c>
    </row>
    <row r="742" ht="54" customFormat="1" customHeight="1" s="91">
      <c r="A742" s="306" t="inlineStr">
        <is>
          <t>P1</t>
        </is>
      </c>
      <c r="B742" s="307" t="n">
        <v>507</v>
      </c>
      <c r="C742" s="269" t="inlineStr">
        <is>
          <t>11 - Caractéristiques Opérations à effet de levier</t>
        </is>
      </c>
      <c r="D742" s="310" t="inlineStr">
        <is>
          <t>11 - Leveraged Operations characteristics</t>
        </is>
      </c>
      <c r="E742" s="372" t="inlineStr">
        <is>
          <t>P1 28.4</t>
        </is>
      </c>
      <c r="F742" s="308" t="inlineStr">
        <is>
          <t>Type d'origination opération à effet de levier</t>
        </is>
      </c>
      <c r="G742" s="309" t="inlineStr">
        <is>
          <t>Origination type of leveraged transaction</t>
        </is>
      </c>
      <c r="H742" s="1493">
        <f>"RPAD( "&amp;SUBSTITUTE(SUBSTITUTE(E742," ","_"),".","_")&amp;","&amp;W742&amp;",' '); -- "&amp;E742</f>
        <v/>
      </c>
      <c r="I742" s="241" t="inlineStr">
        <is>
          <t>Type d'origination de l'opération à effet de levier</t>
        </is>
      </c>
      <c r="J742" s="363" t="inlineStr">
        <is>
          <t>Origination type of leveraged transaction</t>
        </is>
      </c>
      <c r="K742" s="516" t="inlineStr">
        <is>
          <t>ND</t>
        </is>
      </c>
      <c r="L742" s="517" t="inlineStr">
        <is>
          <t>ND</t>
        </is>
      </c>
      <c r="M742" s="1420" t="inlineStr">
        <is>
          <t>cdTypOpLev</t>
        </is>
      </c>
      <c r="N742" s="257" t="inlineStr">
        <is>
          <t>Obligatoire sous conditions</t>
        </is>
      </c>
      <c r="O742" s="310" t="inlineStr">
        <is>
          <t>Mandatory under conditions</t>
        </is>
      </c>
      <c r="P742" s="269" t="inlineStr">
        <is>
          <t>LC.0348</t>
        </is>
      </c>
      <c r="Q742" s="269" t="inlineStr">
        <is>
          <t>TA Z8TYOFEL</t>
        </is>
      </c>
      <c r="R742" s="241" t="inlineStr">
        <is>
          <t>NA</t>
        </is>
      </c>
      <c r="S742" s="233" t="inlineStr">
        <is>
          <t>NA</t>
        </is>
      </c>
      <c r="T742" s="313" t="inlineStr">
        <is>
          <t>ALPHA</t>
        </is>
      </c>
      <c r="U742" s="237" t="inlineStr">
        <is>
          <t>NA</t>
        </is>
      </c>
      <c r="V742" s="238" t="inlineStr">
        <is>
          <t>NA</t>
        </is>
      </c>
      <c r="W742" s="257" t="n">
        <v>2</v>
      </c>
      <c r="X742" s="945" t="inlineStr">
        <is>
          <t>NA</t>
        </is>
      </c>
      <c r="Y742" s="237" t="n">
        <v>43</v>
      </c>
      <c r="Z742" s="237" t="inlineStr">
        <is>
          <t>NA</t>
        </is>
      </c>
      <c r="AA742" s="239" t="inlineStr">
        <is>
          <t>NA</t>
        </is>
      </c>
      <c r="AB742" s="269" t="inlineStr">
        <is>
          <t>FEL, LOAN TAPE</t>
        </is>
      </c>
      <c r="AC742" s="231" t="inlineStr">
        <is>
          <t>ND</t>
        </is>
      </c>
      <c r="AD742" s="257" t="inlineStr">
        <is>
          <t>N</t>
        </is>
      </c>
      <c r="AE742" s="257" t="inlineStr">
        <is>
          <t xml:space="preserve">EQU101
EQU201
TRE2 à 4XX hors 203,205,206,207
SIG
</t>
        </is>
      </c>
      <c r="AF742" s="257" t="inlineStr">
        <is>
          <t>NA</t>
        </is>
      </c>
      <c r="AG742" s="258" t="inlineStr">
        <is>
          <t>NA</t>
        </is>
      </c>
      <c r="AH742" s="89" t="n"/>
      <c r="AI742" s="316" t="inlineStr">
        <is>
          <t>La donnée est obligatoire si le type de risque [P1 2.0] = 'EQUxxx', 'SIGxxx', hors (SIG1xx, SIG203, SIG205), 'TRE2xx' à 'TRE4xx', hors (TRE203, TRE205, TRE206, TRE207, TRE3xx) et si la donnée indicateur opération effet de levier [P1 28.1] est renseignée et est &lt;&gt; '0'</t>
        </is>
      </c>
      <c r="AJ742" s="317" t="inlineStr">
        <is>
          <t>The data is mandatory if Risk type [P1 2.0] = 'EQUxxx', 'SIGxxx', out (SIG1xx, SIG203, SIG205), 'TRE2xx' to 'TRE4xx', out (TRE203, TRE205, TRE206, TRE207, TRE3xx) and the leverage operation indicator data [P1 28.1] is filled in and is &lt;&gt; '0'</t>
        </is>
      </c>
      <c r="AK742" s="257" t="n">
        <v>6</v>
      </c>
      <c r="AL742" s="424" t="inlineStr">
        <is>
          <t>TPS0895</t>
        </is>
      </c>
      <c r="AM742" s="452" t="inlineStr">
        <is>
          <t>Si elle est renseignée, la valeur doit être connue du Langage Commun associé</t>
        </is>
      </c>
      <c r="AN742" s="377" t="inlineStr">
        <is>
          <t>If specified, the value must be known to the associated Common Language</t>
        </is>
      </c>
      <c r="AO742" s="257" t="n">
        <v>7</v>
      </c>
      <c r="AP742" s="212" t="inlineStr">
        <is>
          <t>TIG0001</t>
        </is>
      </c>
      <c r="AQ742" s="318" t="n"/>
      <c r="AR742" s="317" t="n"/>
      <c r="AS742" s="257" t="n"/>
      <c r="AT742" s="258" t="n"/>
      <c r="AU742" s="318" t="n"/>
      <c r="AV742" s="317" t="n"/>
      <c r="AW742" s="257" t="n"/>
      <c r="AX742" s="258" t="n"/>
      <c r="AY742" s="318" t="n"/>
      <c r="AZ742" s="317" t="n"/>
      <c r="BA742" s="257" t="n"/>
      <c r="BB742" s="258" t="n"/>
      <c r="BC742" s="316" t="n"/>
      <c r="BD742" s="317" t="n"/>
      <c r="BE742" s="257" t="n"/>
      <c r="BF742" s="258" t="n"/>
      <c r="BG742" s="89" t="n"/>
      <c r="BH7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42">
        <f>_xlfn.LET(r,ROW(),oc,INDEX($A:$A,r),cv,TRIM(INDEX($Y:$Y,r)&amp;""),IF(oc&lt;&gt;"P1","",IF(cv="45","V45 - novo, nao alimentado pelo spool atual","V44 - alimentado pelo spool atual")))</f>
        <v/>
      </c>
    </row>
    <row r="743" ht="54" customFormat="1" customHeight="1" s="91">
      <c r="A743" s="306" t="inlineStr">
        <is>
          <t>P1</t>
        </is>
      </c>
      <c r="B743" s="307" t="n">
        <v>508</v>
      </c>
      <c r="C743" s="269" t="inlineStr">
        <is>
          <t>11 - Caractéristiques Opérations à effet de levier</t>
        </is>
      </c>
      <c r="D743" s="310" t="inlineStr">
        <is>
          <t>11 - Leveraged Operations characteristics</t>
        </is>
      </c>
      <c r="E743" s="372" t="inlineStr">
        <is>
          <t>P1 28.5</t>
        </is>
      </c>
      <c r="F743" s="308" t="inlineStr">
        <is>
          <t>Type clause contrat covenant</t>
        </is>
      </c>
      <c r="G743" s="309" t="inlineStr">
        <is>
          <t>Covenant contract clause type</t>
        </is>
      </c>
      <c r="H743" s="1493">
        <f>"RPAD( "&amp;SUBSTITUTE(SUBSTITUTE(E743," ","_"),".","_")&amp;","&amp;W743&amp;",' '); -- "&amp;E743</f>
        <v/>
      </c>
      <c r="I743" s="241" t="inlineStr">
        <is>
          <t>Type de clause du contrat covenant</t>
        </is>
      </c>
      <c r="J743" s="363" t="inlineStr">
        <is>
          <t>Clause type of "COVENANT" contracts</t>
        </is>
      </c>
      <c r="K743" s="516" t="inlineStr">
        <is>
          <t>ND</t>
        </is>
      </c>
      <c r="L743" s="517" t="inlineStr">
        <is>
          <t>ND</t>
        </is>
      </c>
      <c r="M743" s="1420" t="inlineStr">
        <is>
          <t>cdTypCntCov</t>
        </is>
      </c>
      <c r="N743" s="257" t="inlineStr">
        <is>
          <t>Obligatoire sous conditions</t>
        </is>
      </c>
      <c r="O743" s="310" t="inlineStr">
        <is>
          <t>Mandatory under conditions</t>
        </is>
      </c>
      <c r="P743" s="269" t="inlineStr">
        <is>
          <t>LC.0349</t>
        </is>
      </c>
      <c r="Q743" s="269" t="inlineStr">
        <is>
          <t>TA Z8TCLAUS</t>
        </is>
      </c>
      <c r="R743" s="241" t="inlineStr">
        <is>
          <t>NA</t>
        </is>
      </c>
      <c r="S743" s="233" t="inlineStr">
        <is>
          <t>NA</t>
        </is>
      </c>
      <c r="T743" s="313" t="inlineStr">
        <is>
          <t>ALPHA</t>
        </is>
      </c>
      <c r="U743" s="237" t="inlineStr">
        <is>
          <t>NA</t>
        </is>
      </c>
      <c r="V743" s="238" t="inlineStr">
        <is>
          <t>NA</t>
        </is>
      </c>
      <c r="W743" s="257" t="n">
        <v>2</v>
      </c>
      <c r="X743" s="945" t="inlineStr">
        <is>
          <t>NA</t>
        </is>
      </c>
      <c r="Y743" s="237" t="n">
        <v>43</v>
      </c>
      <c r="Z743" s="237" t="inlineStr">
        <is>
          <t>NA</t>
        </is>
      </c>
      <c r="AA743" s="239" t="inlineStr">
        <is>
          <t>NA</t>
        </is>
      </c>
      <c r="AB743" s="269" t="inlineStr">
        <is>
          <t>FEL, LOAN TAPE</t>
        </is>
      </c>
      <c r="AC743" s="231" t="inlineStr">
        <is>
          <t>ND</t>
        </is>
      </c>
      <c r="AD743" s="257" t="inlineStr">
        <is>
          <t>N</t>
        </is>
      </c>
      <c r="AE743" s="257" t="inlineStr">
        <is>
          <t xml:space="preserve">EQU101
EQU201
TRE2 à 4XX hors 203,205,206,207
SIG
</t>
        </is>
      </c>
      <c r="AF743" s="257" t="inlineStr">
        <is>
          <t>NA</t>
        </is>
      </c>
      <c r="AG743" s="258" t="inlineStr">
        <is>
          <t>NA</t>
        </is>
      </c>
      <c r="AH743" s="89" t="n"/>
      <c r="AI743" s="316" t="inlineStr">
        <is>
          <t>La donnée est obligatoire si le type de risque [P1 2.0] = 'EQUxxx', 'SIGxxx', hors (SIG1xx, SIG203, SIG205), 'TRE2xx' à 'TRE4xx', hors (TRE203, TRE205, TRE206, TRE207, TRE3xx) et si la donnée indicateur opération effet de levier [P1 28.1] est renseignée et est &lt;&gt; '0'</t>
        </is>
      </c>
      <c r="AJ743" s="317" t="inlineStr">
        <is>
          <t>The data is mandatory if Risk type [P1 2.0] = 'EQUxxx', 'SIGxxx', out (SIG1xx, SIG203, SIG205), 'TRE2xx' to 'TRE4xx', out (TRE203, TRE205, TRE206, TRE207, TRE3xx) and the leverage operation indicator data [P1 28.1] is filled in and is &lt;&gt; '0'</t>
        </is>
      </c>
      <c r="AK743" s="257" t="n">
        <v>6</v>
      </c>
      <c r="AL743" s="424" t="inlineStr">
        <is>
          <t>TPS0895</t>
        </is>
      </c>
      <c r="AM743" s="452" t="inlineStr">
        <is>
          <t>Si elle est renseignée, la valeur doit être connue du Langage Commun associé</t>
        </is>
      </c>
      <c r="AN743" s="377" t="inlineStr">
        <is>
          <t>If specified, the value must be known to the associated Common Language</t>
        </is>
      </c>
      <c r="AO743" s="257" t="n">
        <v>7</v>
      </c>
      <c r="AP743" s="212" t="inlineStr">
        <is>
          <t>TIG0001</t>
        </is>
      </c>
      <c r="AQ743" s="318" t="n"/>
      <c r="AR743" s="317" t="n"/>
      <c r="AS743" s="257" t="n"/>
      <c r="AT743" s="258" t="n"/>
      <c r="AU743" s="318" t="n"/>
      <c r="AV743" s="317" t="n"/>
      <c r="AW743" s="257" t="n"/>
      <c r="AX743" s="258" t="n"/>
      <c r="AY743" s="318" t="n"/>
      <c r="AZ743" s="317" t="n"/>
      <c r="BA743" s="257" t="n"/>
      <c r="BB743" s="258" t="n"/>
      <c r="BC743" s="316" t="n"/>
      <c r="BD743" s="317" t="n"/>
      <c r="BE743" s="257" t="n"/>
      <c r="BF743" s="258" t="n"/>
      <c r="BG743" s="89" t="n"/>
      <c r="BH7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43">
        <f>_xlfn.LET(r,ROW(),oc,INDEX($A:$A,r),cv,TRIM(INDEX($Y:$Y,r)&amp;""),IF(oc&lt;&gt;"P1","",IF(cv="45","V45 - novo, nao alimentado pelo spool atual","V44 - alimentado pelo spool atual")))</f>
        <v/>
      </c>
    </row>
    <row r="744" ht="54" customFormat="1" customHeight="1" s="91">
      <c r="A744" s="306" t="inlineStr">
        <is>
          <t>P1</t>
        </is>
      </c>
      <c r="B744" s="307" t="n">
        <v>509</v>
      </c>
      <c r="C744" s="269" t="inlineStr">
        <is>
          <t>11 - Caractéristiques Opérations à effet de levier</t>
        </is>
      </c>
      <c r="D744" s="310" t="inlineStr">
        <is>
          <t>11 - Leveraged Operations characteristics</t>
        </is>
      </c>
      <c r="E744" s="372" t="inlineStr">
        <is>
          <t>P1 28.6</t>
        </is>
      </c>
      <c r="F744" s="692" t="inlineStr">
        <is>
          <t>Identifiant local du tiers sponsor financier</t>
        </is>
      </c>
      <c r="G744" s="309" t="inlineStr">
        <is>
          <t>Local identifier of the financial sponsor</t>
        </is>
      </c>
      <c r="H744" s="1493">
        <f>"RPAD( "&amp;SUBSTITUTE(SUBSTITUTE(E744," ","_"),".","_")&amp;","&amp;W744&amp;",' '); -- "&amp;E744</f>
        <v/>
      </c>
      <c r="I744" s="241" t="inlineStr">
        <is>
          <t>Identifiant du tiers sponsor financier dans le système local utilisé pour générer le flux</t>
        </is>
      </c>
      <c r="J744" s="233" t="inlineStr">
        <is>
          <t>Identifier of the financial sponsor in the local system used to generate the flow</t>
        </is>
      </c>
      <c r="K744" s="269" t="inlineStr">
        <is>
          <t>ND</t>
        </is>
      </c>
      <c r="L744" s="310" t="inlineStr">
        <is>
          <t>ND</t>
        </is>
      </c>
      <c r="M744" s="1420" t="inlineStr">
        <is>
          <t>idLocalTiersSponsor</t>
        </is>
      </c>
      <c r="N744" s="257" t="inlineStr">
        <is>
          <t>Obligatoire sous conditions</t>
        </is>
      </c>
      <c r="O744" s="310" t="inlineStr">
        <is>
          <t>Mandatory under conditions</t>
        </is>
      </c>
      <c r="P744" s="269" t="inlineStr">
        <is>
          <t>NA</t>
        </is>
      </c>
      <c r="Q744" s="269" t="inlineStr">
        <is>
          <t>NA</t>
        </is>
      </c>
      <c r="R744" s="241" t="inlineStr">
        <is>
          <t>NA</t>
        </is>
      </c>
      <c r="S744" s="233" t="inlineStr">
        <is>
          <t>NA</t>
        </is>
      </c>
      <c r="T744" s="313" t="inlineStr">
        <is>
          <t>ALPHA</t>
        </is>
      </c>
      <c r="U744" s="237" t="inlineStr">
        <is>
          <t>NA</t>
        </is>
      </c>
      <c r="V744" s="238" t="inlineStr">
        <is>
          <t>NA</t>
        </is>
      </c>
      <c r="W744" s="257" t="n">
        <v>20</v>
      </c>
      <c r="X744" s="945" t="inlineStr">
        <is>
          <t>NA</t>
        </is>
      </c>
      <c r="Y744" s="237" t="n">
        <v>43</v>
      </c>
      <c r="Z744" s="237" t="inlineStr">
        <is>
          <t>NA</t>
        </is>
      </c>
      <c r="AA744" s="283" t="inlineStr">
        <is>
          <t>NA</t>
        </is>
      </c>
      <c r="AB744" s="269" t="inlineStr">
        <is>
          <t>FEL</t>
        </is>
      </c>
      <c r="AC744" s="231" t="inlineStr">
        <is>
          <t>ND</t>
        </is>
      </c>
      <c r="AD744" s="257" t="inlineStr">
        <is>
          <t>N</t>
        </is>
      </c>
      <c r="AE744" s="704" t="inlineStr">
        <is>
          <t xml:space="preserve">EQU101
EQU201
TRE2 à 4XX hors 203,205,206,207
SIG
</t>
        </is>
      </c>
      <c r="AF744" s="257" t="inlineStr">
        <is>
          <t>NA</t>
        </is>
      </c>
      <c r="AG744" s="258" t="inlineStr">
        <is>
          <t>NA</t>
        </is>
      </c>
      <c r="AH744" s="89" t="n"/>
      <c r="AI744" s="705" t="inlineStr">
        <is>
          <t>La donnée est obligatoire si le type de risque [P1 2.0] = ('TRE2*', 'TRE4*', 'EQU*', 'SIG*') hors (TRE203, TRE205, TRE206, TRE207, 'SIG1*', SIG203, SIG205) et l'indicateur opération effet de levier [P1 28.1] est renseigné et différent de '0' ou '3'</t>
        </is>
      </c>
      <c r="AJ744" s="317" t="inlineStr">
        <is>
          <t>The data is mandatory if Risk type [P1 2.0] = ('TRE2*', 'TRE4*', 'EQU*', 'SIG*') except (TRE203, TRE205, TRE206, TRE207, 'SIG1*', SIG203, SIG205) and leveraged transaction indicator [P1 28.1] is filled and different from '0' or '3'</t>
        </is>
      </c>
      <c r="AK744" s="257" t="n">
        <v>6</v>
      </c>
      <c r="AL744" s="345" t="inlineStr">
        <is>
          <t>TPS0923</t>
        </is>
      </c>
      <c r="AM744" s="318" t="n"/>
      <c r="AN744" s="317" t="n"/>
      <c r="AO744" s="257" t="n"/>
      <c r="AP744" s="258" t="n"/>
      <c r="AQ744" s="318" t="n"/>
      <c r="AR744" s="317" t="n"/>
      <c r="AS744" s="257" t="n"/>
      <c r="AT744" s="258" t="n"/>
      <c r="AU744" s="318" t="n"/>
      <c r="AV744" s="317" t="n"/>
      <c r="AW744" s="257" t="n"/>
      <c r="AX744" s="258" t="n"/>
      <c r="AY744" s="337" t="inlineStr">
        <is>
          <t>Le tiers doit exister (présence du tiers dans TIGRE)</t>
        </is>
      </c>
      <c r="AZ744" s="317" t="inlineStr">
        <is>
          <t>The third-party must exist (presence of the third-party in TIGRE)</t>
        </is>
      </c>
      <c r="BA744" s="257" t="n">
        <v>7</v>
      </c>
      <c r="BB744" s="338" t="inlineStr">
        <is>
          <t>TIG0002</t>
        </is>
      </c>
      <c r="BC744" s="316" t="n"/>
      <c r="BD744" s="317" t="n"/>
      <c r="BE744" s="257" t="n"/>
      <c r="BF744" s="258" t="n"/>
      <c r="BG744" s="89" t="n"/>
      <c r="BH7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44">
        <f>_xlfn.LET(r,ROW(),oc,INDEX($A:$A,r),cv,TRIM(INDEX($Y:$Y,r)&amp;""),IF(oc&lt;&gt;"P1","",IF(cv="45","V45 - novo, nao alimentado pelo spool atual","V44 - alimentado pelo spool atual")))</f>
        <v/>
      </c>
    </row>
    <row r="745" ht="54" customFormat="1" customHeight="1" s="91">
      <c r="A745" s="306" t="inlineStr">
        <is>
          <t>P1</t>
        </is>
      </c>
      <c r="B745" s="307" t="n">
        <v>510</v>
      </c>
      <c r="C745" s="269" t="inlineStr">
        <is>
          <t>11 - Caractéristiques Opérations à effet de levier</t>
        </is>
      </c>
      <c r="D745" s="310" t="inlineStr">
        <is>
          <t>11 - Leveraged Operations characteristics</t>
        </is>
      </c>
      <c r="E745" s="372" t="inlineStr">
        <is>
          <t>P1 28.7</t>
        </is>
      </c>
      <c r="F745" s="308" t="inlineStr">
        <is>
          <t>Identifiant central du tiers sponsor financier</t>
        </is>
      </c>
      <c r="G745" s="309" t="inlineStr">
        <is>
          <t>Central identifier of the financial sponsor</t>
        </is>
      </c>
      <c r="H745" s="1493">
        <f>"RPAD( "&amp;SUBSTITUTE(SUBSTITUTE(E745," ","_"),".","_")&amp;","&amp;W745&amp;",' '); -- "&amp;E745</f>
        <v/>
      </c>
      <c r="I745" s="241" t="inlineStr">
        <is>
          <t>Identifiant du tiers sponsor financier dans le système central DRG (i.e Identifiant central de la base Tiers TIGRE)</t>
        </is>
      </c>
      <c r="J745" s="309" t="inlineStr">
        <is>
          <t>Identifier of the financial sponsor in the central DRG system (i.e. Central identifier of the TIGRE Third Party database)</t>
        </is>
      </c>
      <c r="K745" s="370" t="inlineStr">
        <is>
          <t>ND</t>
        </is>
      </c>
      <c r="L745" s="371" t="inlineStr">
        <is>
          <t>ND</t>
        </is>
      </c>
      <c r="M745" s="1420" t="inlineStr">
        <is>
          <t>idCentralTiersSponsor</t>
        </is>
      </c>
      <c r="N745" s="257" t="inlineStr">
        <is>
          <t>Facultatif</t>
        </is>
      </c>
      <c r="O745" s="310" t="inlineStr">
        <is>
          <t>Optional</t>
        </is>
      </c>
      <c r="P745" s="269" t="inlineStr">
        <is>
          <t>NA</t>
        </is>
      </c>
      <c r="Q745" s="269" t="inlineStr">
        <is>
          <t>NA</t>
        </is>
      </c>
      <c r="R745" s="241" t="inlineStr">
        <is>
          <t>Obligatoire si indicateur opération effet de levier (P1 28.1) différent de '0' (Opération sans effet de levier)</t>
        </is>
      </c>
      <c r="S745" s="233" t="inlineStr">
        <is>
          <t>Mandatory if leverage effect transaction indicator (P1 28.1) is different from '0' (Leverage-less)</t>
        </is>
      </c>
      <c r="T745" s="313" t="inlineStr">
        <is>
          <t>ALPHA</t>
        </is>
      </c>
      <c r="U745" s="237" t="inlineStr">
        <is>
          <t>NA</t>
        </is>
      </c>
      <c r="V745" s="238" t="inlineStr">
        <is>
          <t>NA</t>
        </is>
      </c>
      <c r="W745" s="257" t="n">
        <v>10</v>
      </c>
      <c r="X745" s="945" t="inlineStr">
        <is>
          <t>NA</t>
        </is>
      </c>
      <c r="Y745" s="237" t="n">
        <v>43</v>
      </c>
      <c r="Z745" s="237" t="inlineStr">
        <is>
          <t>NA</t>
        </is>
      </c>
      <c r="AA745" s="237" t="inlineStr">
        <is>
          <t>45.00</t>
        </is>
      </c>
      <c r="AB745" s="269" t="inlineStr">
        <is>
          <t>ASTRE, FEL, LOAN TAPE</t>
        </is>
      </c>
      <c r="AC745" s="231" t="inlineStr">
        <is>
          <t>ND</t>
        </is>
      </c>
      <c r="AD745" s="257" t="inlineStr">
        <is>
          <t>N</t>
        </is>
      </c>
      <c r="AE745" s="257" t="inlineStr">
        <is>
          <t xml:space="preserve">EQU101
EQU201
TRE2 à 4XX hors 203,205,206,207
SIG
</t>
        </is>
      </c>
      <c r="AF745" s="257" t="inlineStr">
        <is>
          <t>NA</t>
        </is>
      </c>
      <c r="AG745" s="258" t="inlineStr">
        <is>
          <t>NA</t>
        </is>
      </c>
      <c r="AH745" s="89" t="n"/>
      <c r="AI745" s="316" t="n"/>
      <c r="AJ745" s="317" t="inlineStr">
        <is>
          <t> </t>
        </is>
      </c>
      <c r="AK745" s="257" t="n"/>
      <c r="AL745" s="258" t="n"/>
      <c r="AM745" s="318" t="n"/>
      <c r="AN745" s="317" t="n"/>
      <c r="AO745" s="257" t="n"/>
      <c r="AP745" s="258" t="n"/>
      <c r="AQ745" s="318" t="n"/>
      <c r="AR745" s="317" t="n"/>
      <c r="AS745" s="257" t="n"/>
      <c r="AT745" s="258" t="n"/>
      <c r="AU745" s="318" t="n"/>
      <c r="AV745" s="317" t="n"/>
      <c r="AW745" s="257" t="n"/>
      <c r="AX745" s="258" t="n"/>
      <c r="AY745" s="1240" t="inlineStr">
        <is>
          <t>S'il est renseigné, l'identifiant doit correspondre à un enregistrement dans l'objet associé, indépendamment de l'entité
---
La donnée doit être présente dans TIGRE
---
Le couple identifiant local / central (P1 28.6 et P1 28.7) doit exister dans TIGRE</t>
        </is>
      </c>
      <c r="AZ745" s="931" t="inlineStr">
        <is>
          <t>If it is filled in, the identifier must correspond to a record in the associated object, regardless of the entity
---
Data must be present in TIGRE
---
The local/central identifier pair (P1 28.6 and P1 28.7) must exist in TIGRE</t>
        </is>
      </c>
      <c r="BA745" s="1181" t="inlineStr">
        <is>
          <t>7
6
6</t>
        </is>
      </c>
      <c r="BB745" s="1182" t="inlineStr">
        <is>
          <t>TI0003
TIG0002
TIG0004</t>
        </is>
      </c>
      <c r="BC745" s="316" t="n"/>
      <c r="BD745" s="317" t="n"/>
      <c r="BE745" s="257" t="n"/>
      <c r="BF745" s="258" t="n"/>
      <c r="BG745" s="89" t="n"/>
      <c r="BH7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45">
        <f>_xlfn.LET(r,ROW(),oc,INDEX($A:$A,r),cv,TRIM(INDEX($Y:$Y,r)&amp;""),IF(oc&lt;&gt;"P1","",IF(cv="45","V45 - novo, nao alimentado pelo spool atual","V44 - alimentado pelo spool atual")))</f>
        <v/>
      </c>
    </row>
    <row r="746" ht="54" customFormat="1" customHeight="1" s="91">
      <c r="A746" s="306" t="inlineStr">
        <is>
          <t>P1</t>
        </is>
      </c>
      <c r="B746" s="307" t="n">
        <v>511</v>
      </c>
      <c r="C746" s="269" t="inlineStr">
        <is>
          <t>11 - Caractéristiques Opérations à effet de levier</t>
        </is>
      </c>
      <c r="D746" s="310" t="inlineStr">
        <is>
          <t>11 - Leveraged Operations characteristics</t>
        </is>
      </c>
      <c r="E746" s="372" t="inlineStr">
        <is>
          <t>P1 28.8</t>
        </is>
      </c>
      <c r="F746" s="308" t="inlineStr">
        <is>
          <t>Ratio de levier de l'opération à l'origination</t>
        </is>
      </c>
      <c r="G746" s="309" t="inlineStr">
        <is>
          <t>Leverage ratio of the original transaction</t>
        </is>
      </c>
      <c r="H746" s="1493">
        <f>"RPAD( "&amp;SUBSTITUTE(SUBSTITUTE(E746," ","_"),".","_")&amp;","&amp;W746&amp;",' '); -- "&amp;E746</f>
        <v/>
      </c>
      <c r="I746" s="706" t="inlineStr">
        <is>
          <t>Date de la signature du contrat
Ratio de levier brut BCE (endettement brut / EBITDA) : 
- Toutes les dettes connues non tirées, y compris la nouvelle dette au closing pour les LBO/FSA et financements conséquents CEL ou date de renouvellement pour les CEL (revue annuelle sans mise en place de nouveaux financements)
- Toute amélioration de l'EBITDA doit être dûment justifié et examiné par une fonction indépendante de la fonction de front office</t>
        </is>
      </c>
      <c r="J746" s="363" t="inlineStr">
        <is>
          <t>Date of contract signature.
ECB gross leverage ratio (gross debt/EBITDA):
- All known undrawn debts, including the new closing debt for LBO/FSA and significant CEL financing or renewal date for CEL (annual review without new financing)
- Any improvement in the EBITDA must be duly justified and examined by a function independent of the front office function</t>
        </is>
      </c>
      <c r="K746" s="370" t="inlineStr">
        <is>
          <t>ND</t>
        </is>
      </c>
      <c r="L746" s="371" t="inlineStr">
        <is>
          <t>ND</t>
        </is>
      </c>
      <c r="M746" s="1420" t="inlineStr">
        <is>
          <t>AmtOpeEffetLevier</t>
        </is>
      </c>
      <c r="N746" s="257" t="inlineStr">
        <is>
          <t>Obligatoire sous conditions</t>
        </is>
      </c>
      <c r="O746" s="310" t="inlineStr">
        <is>
          <t>Mandatory under conditions</t>
        </is>
      </c>
      <c r="P746" s="269" t="inlineStr">
        <is>
          <t>NA</t>
        </is>
      </c>
      <c r="Q746" s="269" t="inlineStr">
        <is>
          <t>NA</t>
        </is>
      </c>
      <c r="R746" s="241" t="inlineStr">
        <is>
          <t>NA</t>
        </is>
      </c>
      <c r="S746" s="233" t="inlineStr">
        <is>
          <t>NA</t>
        </is>
      </c>
      <c r="T746" s="313" t="inlineStr">
        <is>
          <t>NUM</t>
        </is>
      </c>
      <c r="U746" s="237" t="inlineStr">
        <is>
          <t>15 dont signe et 9 décimales</t>
        </is>
      </c>
      <c r="V746" s="238" t="inlineStr">
        <is>
          <t>15 including sign and 9 decimals</t>
        </is>
      </c>
      <c r="W746" s="257" t="n">
        <v>15</v>
      </c>
      <c r="X746" s="945" t="inlineStr">
        <is>
          <t>NA</t>
        </is>
      </c>
      <c r="Y746" s="237" t="n">
        <v>43</v>
      </c>
      <c r="Z746" s="237" t="inlineStr">
        <is>
          <t>NA</t>
        </is>
      </c>
      <c r="AA746" s="239" t="inlineStr">
        <is>
          <t>NA</t>
        </is>
      </c>
      <c r="AB746" s="269" t="inlineStr">
        <is>
          <t>FEL</t>
        </is>
      </c>
      <c r="AC746" s="231" t="inlineStr">
        <is>
          <t>ND</t>
        </is>
      </c>
      <c r="AD746" s="257" t="inlineStr">
        <is>
          <t>N</t>
        </is>
      </c>
      <c r="AE746" s="257" t="inlineStr">
        <is>
          <t xml:space="preserve">EQU101
EQU201
TRE2 à 4XX hors 203,205,206,207
SIG
</t>
        </is>
      </c>
      <c r="AF746" s="257" t="inlineStr">
        <is>
          <t>NA</t>
        </is>
      </c>
      <c r="AG746" s="258" t="inlineStr">
        <is>
          <t>NA</t>
        </is>
      </c>
      <c r="AH746" s="89" t="n"/>
      <c r="AI746" s="316" t="inlineStr">
        <is>
          <t>La donnée est obligatoire si le type de risque [P1 2.0] = 'EQUxxx', 'SIGxxx', hors (SIG1xx, SIG203, SIG205), 'TRE2xx' à 'TRE4xx', hors (TRE203, TRE205, TRE206, TRE207, TRE3xx) et si la donnée indicateur opération effet de levier [P1 28.1] est renseignée et est &lt;&gt; '0'</t>
        </is>
      </c>
      <c r="AJ746" s="317" t="inlineStr">
        <is>
          <t>The data is mandatory if Risk type [P1 2.0] = 'EQUxxx', 'SIGxxx', out (SIG1xx, SIG203, SIG205), 'TRE2xx' to 'TRE4xx', out (TRE203, TRE205, TRE206, TRE207, TRE3xx) and the leverage operation indicator data [P1 28.1] is filled in and is &lt;&gt; '0'</t>
        </is>
      </c>
      <c r="AK746" s="257" t="n">
        <v>6</v>
      </c>
      <c r="AL746" s="424" t="inlineStr">
        <is>
          <t>TPS0895</t>
        </is>
      </c>
      <c r="AM746" s="318" t="n"/>
      <c r="AN746" s="317" t="n"/>
      <c r="AO746" s="257" t="n"/>
      <c r="AP746" s="258" t="n"/>
      <c r="AQ746" s="318" t="n"/>
      <c r="AR746" s="317" t="n"/>
      <c r="AS746" s="257" t="n"/>
      <c r="AT746" s="258" t="n"/>
      <c r="AU746" s="318" t="n"/>
      <c r="AV746" s="317" t="n"/>
      <c r="AW746" s="257" t="n"/>
      <c r="AX746" s="258" t="n"/>
      <c r="AY746" s="318" t="n"/>
      <c r="AZ746" s="317" t="n"/>
      <c r="BA746" s="257" t="n"/>
      <c r="BB746" s="258" t="n"/>
      <c r="BC746" s="316" t="n"/>
      <c r="BD746" s="317" t="n"/>
      <c r="BE746" s="257" t="n"/>
      <c r="BF746" s="258" t="n"/>
      <c r="BG746" s="89" t="n"/>
      <c r="BH7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46">
        <f>_xlfn.LET(r,ROW(),oc,INDEX($A:$A,r),cv,TRIM(INDEX($Y:$Y,r)&amp;""),IF(oc&lt;&gt;"P1","",IF(cv="45","V45 - novo, nao alimentado pelo spool atual","V44 - alimentado pelo spool atual")))</f>
        <v/>
      </c>
    </row>
    <row r="747" ht="54" customFormat="1" customHeight="1" s="91">
      <c r="A747" s="306" t="inlineStr">
        <is>
          <t>P1</t>
        </is>
      </c>
      <c r="B747" s="307" t="n">
        <v>512</v>
      </c>
      <c r="C747" s="269" t="inlineStr">
        <is>
          <t>11 - Caractéristiques Opérations à effet de levier</t>
        </is>
      </c>
      <c r="D747" s="310" t="inlineStr">
        <is>
          <t>11 - Leveraged Operations characteristics</t>
        </is>
      </c>
      <c r="E747" s="372" t="inlineStr">
        <is>
          <t>P1 28.9</t>
        </is>
      </c>
      <c r="F747" s="524" t="inlineStr">
        <is>
          <t>Montant de la part de la prise ferme du montant du contrat à l'origine</t>
        </is>
      </c>
      <c r="G747" s="309" t="inlineStr">
        <is>
          <t>Amount of the underwriting of the original contract amount</t>
        </is>
      </c>
      <c r="H747" s="1493">
        <f>"RPAD( "&amp;SUBSTITUTE(SUBSTITUTE(E747," ","_"),".","_")&amp;","&amp;W747&amp;",' '); -- "&amp;E747</f>
        <v/>
      </c>
      <c r="I747" s="241" t="inlineStr">
        <is>
          <t>Part (en montant) de la prise ferme du montant du contrat à l'origine par la Banque</t>
        </is>
      </c>
      <c r="J747" s="1509" t="inlineStr">
        <is>
          <t>Amount of the underwriting of the original contract amount by the Bank</t>
        </is>
      </c>
      <c r="K747" s="1510" t="inlineStr">
        <is>
          <t>ND</t>
        </is>
      </c>
      <c r="L747" s="1511" t="inlineStr">
        <is>
          <t>ND</t>
        </is>
      </c>
      <c r="M747" s="1420" t="inlineStr">
        <is>
          <t>MtPriseFerme</t>
        </is>
      </c>
      <c r="N747" s="257" t="inlineStr">
        <is>
          <t>Obligatoire sous conditions</t>
        </is>
      </c>
      <c r="O747" s="310" t="inlineStr">
        <is>
          <t>Mandatory under conditions</t>
        </is>
      </c>
      <c r="P747" s="269" t="inlineStr">
        <is>
          <t>NA</t>
        </is>
      </c>
      <c r="Q747" s="269" t="inlineStr">
        <is>
          <t>NA</t>
        </is>
      </c>
      <c r="R747" s="241" t="inlineStr">
        <is>
          <t>NA</t>
        </is>
      </c>
      <c r="S747" s="233" t="inlineStr">
        <is>
          <t>NA</t>
        </is>
      </c>
      <c r="T747" s="313" t="inlineStr">
        <is>
          <t>NUM</t>
        </is>
      </c>
      <c r="U747" s="237" t="inlineStr">
        <is>
          <t>19 dont signe et 2 décimales</t>
        </is>
      </c>
      <c r="V747" s="238" t="inlineStr">
        <is>
          <t>19 including sign and 2 decimals</t>
        </is>
      </c>
      <c r="W747" s="257" t="n">
        <v>19</v>
      </c>
      <c r="X747" s="945" t="inlineStr">
        <is>
          <t>NA</t>
        </is>
      </c>
      <c r="Y747" s="237" t="n">
        <v>43</v>
      </c>
      <c r="Z747" s="237" t="inlineStr">
        <is>
          <t>NA</t>
        </is>
      </c>
      <c r="AA747" s="239" t="inlineStr">
        <is>
          <t>NA</t>
        </is>
      </c>
      <c r="AB747" s="269" t="inlineStr">
        <is>
          <t>FEL, LOAN TAPE</t>
        </is>
      </c>
      <c r="AC747" s="231" t="inlineStr">
        <is>
          <t>ND</t>
        </is>
      </c>
      <c r="AD747" s="257" t="inlineStr">
        <is>
          <t>N</t>
        </is>
      </c>
      <c r="AE747" s="257" t="inlineStr">
        <is>
          <t xml:space="preserve">EQU101
EQU201
TRE2 à 4XX hors 203,205,206,207
SIG
</t>
        </is>
      </c>
      <c r="AF747" s="257" t="inlineStr">
        <is>
          <t>NA</t>
        </is>
      </c>
      <c r="AG747" s="258" t="inlineStr">
        <is>
          <t>NA</t>
        </is>
      </c>
      <c r="AH747" s="89" t="n"/>
      <c r="AI747" s="316" t="inlineStr">
        <is>
          <t>La donnée est obligatoire si le type de risque [P1 2.0] = 'EQUxxx', 'SIGxxx', hors (SIG1xx, SIG203, SIG205), 'TRE2xx' à 'TRE4xx', hors (TRE203, TRE205, TRE206, TRE207, TRE3xx) et si la donnée indicateur opération effet de levier [P1 28.1] est renseignée et est &lt;&gt; '0'</t>
        </is>
      </c>
      <c r="AJ747" s="317" t="inlineStr">
        <is>
          <t>The data is mandatory if Risk type [P1 2.0] = 'EQUxxx', 'SIGxxx', out (SIG1xx, SIG203, SIG205), 'TRE2xx' to 'TRE4xx', out (TRE203, TRE205, TRE206, TRE207, TRE3xx) and the leverage operation indicator data [P1 28.1] is filled in and is &lt;&gt; '0'</t>
        </is>
      </c>
      <c r="AK747" s="257" t="n">
        <v>6</v>
      </c>
      <c r="AL747" s="424" t="inlineStr">
        <is>
          <t>TPS0895</t>
        </is>
      </c>
      <c r="AM747" s="318" t="n"/>
      <c r="AN747" s="317" t="n"/>
      <c r="AO747" s="257" t="n"/>
      <c r="AP747" s="258" t="n"/>
      <c r="AQ747" s="707" t="inlineStr">
        <is>
          <t>Si renseignée, la donnée doit être strictement supérieure à 0</t>
        </is>
      </c>
      <c r="AR747" s="317" t="inlineStr">
        <is>
          <t>If filled, data must strictly be greater than 0</t>
        </is>
      </c>
      <c r="AS747" s="257" t="n">
        <v>7</v>
      </c>
      <c r="AT747" s="455" t="inlineStr">
        <is>
          <t>TVG0003</t>
        </is>
      </c>
      <c r="AU747" s="318" t="n"/>
      <c r="AV747" s="317" t="n"/>
      <c r="AW747" s="257" t="n"/>
      <c r="AX747" s="258" t="n"/>
      <c r="AY747" s="318" t="n"/>
      <c r="AZ747" s="317" t="n"/>
      <c r="BA747" s="257" t="n"/>
      <c r="BB747" s="258" t="n"/>
      <c r="BC747" s="316" t="n"/>
      <c r="BD747" s="317" t="n"/>
      <c r="BE747" s="257" t="n"/>
      <c r="BF747" s="258" t="n"/>
      <c r="BG747" s="89" t="n"/>
      <c r="BH7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47">
        <f>_xlfn.LET(r,ROW(),oc,INDEX($A:$A,r),cv,TRIM(INDEX($Y:$Y,r)&amp;""),IF(oc&lt;&gt;"P1","",IF(cv="45","V45 - novo, nao alimentado pelo spool atual","V44 - alimentado pelo spool atual")))</f>
        <v/>
      </c>
    </row>
    <row r="748" ht="54" customFormat="1" customHeight="1" s="91">
      <c r="A748" s="306" t="inlineStr">
        <is>
          <t>P1</t>
        </is>
      </c>
      <c r="B748" s="307" t="n">
        <v>513</v>
      </c>
      <c r="C748" s="269" t="inlineStr">
        <is>
          <t>11 - Caractéristiques Opérations à effet de levier</t>
        </is>
      </c>
      <c r="D748" s="310" t="inlineStr">
        <is>
          <t>11 - Leveraged Operations characteristics</t>
        </is>
      </c>
      <c r="E748" s="372" t="inlineStr">
        <is>
          <t>P1 28.10</t>
        </is>
      </c>
      <c r="F748" s="524" t="inlineStr">
        <is>
          <t>Devise du montant de la part de la prise ferme du montant du contrat à l'origine</t>
        </is>
      </c>
      <c r="G748" s="309" t="inlineStr">
        <is>
          <t>Currency of amount of the underwriting of the original contract amount</t>
        </is>
      </c>
      <c r="H748" s="1493">
        <f>"RPAD( "&amp;SUBSTITUTE(SUBSTITUTE(E748," ","_"),".","_")&amp;","&amp;W748&amp;",' '); -- "&amp;E748</f>
        <v/>
      </c>
      <c r="I748" s="525" t="inlineStr">
        <is>
          <t>Devise d'expression du montant de la part de la prise ferme du montant du contrat à l'origine</t>
        </is>
      </c>
      <c r="J748" s="309" t="inlineStr">
        <is>
          <t>Currency of amount of the underwriting of the original contract amount</t>
        </is>
      </c>
      <c r="K748" s="370" t="inlineStr">
        <is>
          <t>ND</t>
        </is>
      </c>
      <c r="L748" s="371" t="inlineStr">
        <is>
          <t>ND</t>
        </is>
      </c>
      <c r="M748" s="1420" t="inlineStr">
        <is>
          <t>cdDevPriseFerme</t>
        </is>
      </c>
      <c r="N748" s="257" t="inlineStr">
        <is>
          <t>Obligatoire sous conditions</t>
        </is>
      </c>
      <c r="O748" s="310" t="inlineStr">
        <is>
          <t>Mandatory under conditions</t>
        </is>
      </c>
      <c r="P748" s="269" t="inlineStr">
        <is>
          <t>LC.0005</t>
        </is>
      </c>
      <c r="Q748" s="269" t="inlineStr">
        <is>
          <t>TA NM253</t>
        </is>
      </c>
      <c r="R748" s="241" t="inlineStr">
        <is>
          <t>NA</t>
        </is>
      </c>
      <c r="S748" s="233" t="inlineStr">
        <is>
          <t>NA</t>
        </is>
      </c>
      <c r="T748" s="313" t="inlineStr">
        <is>
          <t>ALPHA</t>
        </is>
      </c>
      <c r="U748" s="237" t="inlineStr">
        <is>
          <t>NA</t>
        </is>
      </c>
      <c r="V748" s="238" t="inlineStr">
        <is>
          <t>NA</t>
        </is>
      </c>
      <c r="W748" s="257" t="n">
        <v>3</v>
      </c>
      <c r="X748" s="945" t="inlineStr">
        <is>
          <t>NA</t>
        </is>
      </c>
      <c r="Y748" s="237" t="n">
        <v>43</v>
      </c>
      <c r="Z748" s="237" t="inlineStr">
        <is>
          <t>NA</t>
        </is>
      </c>
      <c r="AA748" s="239" t="inlineStr">
        <is>
          <t>NA</t>
        </is>
      </c>
      <c r="AB748" s="269" t="inlineStr">
        <is>
          <t>FEL</t>
        </is>
      </c>
      <c r="AC748" s="231" t="inlineStr">
        <is>
          <t>ND</t>
        </is>
      </c>
      <c r="AD748" s="257" t="inlineStr">
        <is>
          <t>N</t>
        </is>
      </c>
      <c r="AE748" s="257" t="inlineStr">
        <is>
          <t xml:space="preserve">EQU101
EQU201
TRE2 à 4XX hors 203,205,206,207
SIG
</t>
        </is>
      </c>
      <c r="AF748" s="257" t="inlineStr">
        <is>
          <t>NA</t>
        </is>
      </c>
      <c r="AG748" s="258" t="inlineStr">
        <is>
          <t>NA</t>
        </is>
      </c>
      <c r="AH748" s="89" t="n"/>
      <c r="AI748" s="702" t="inlineStr">
        <is>
          <t>La donnée est obligatoire si la donnée montant de la part de la prise ferme du montant du contrat à l'origine [P1 28.9] est renseignée</t>
        </is>
      </c>
      <c r="AJ748" s="317" t="inlineStr">
        <is>
          <t>The data is mandatory if the Amount of the underwriting of the original contract amount [P1 28.9] is filled</t>
        </is>
      </c>
      <c r="AK748" s="257" t="n">
        <v>7</v>
      </c>
      <c r="AL748" s="335" t="inlineStr">
        <is>
          <t>TPG0002</t>
        </is>
      </c>
      <c r="AM748" s="452" t="inlineStr">
        <is>
          <t>Si elle est renseignée, la valeur doit être connue du Langage Commun associé</t>
        </is>
      </c>
      <c r="AN748" s="377" t="inlineStr">
        <is>
          <t>If specified, the value must be known to the associated Common Language</t>
        </is>
      </c>
      <c r="AO748" s="257" t="n">
        <v>7</v>
      </c>
      <c r="AP748" s="212" t="inlineStr">
        <is>
          <t>TIG0001</t>
        </is>
      </c>
      <c r="AQ748" s="318" t="n"/>
      <c r="AR748" s="317" t="n"/>
      <c r="AS748" s="257" t="n"/>
      <c r="AT748" s="258" t="n"/>
      <c r="AU748" s="318" t="n"/>
      <c r="AV748" s="317" t="n"/>
      <c r="AW748" s="257" t="n"/>
      <c r="AX748" s="258" t="n"/>
      <c r="AY748" s="318" t="n"/>
      <c r="AZ748" s="317" t="n"/>
      <c r="BA748" s="257" t="n"/>
      <c r="BB748" s="258" t="n"/>
      <c r="BC748" s="316" t="n"/>
      <c r="BD748" s="317" t="n"/>
      <c r="BE748" s="257" t="n"/>
      <c r="BF748" s="258" t="n"/>
      <c r="BG748" s="89" t="n"/>
      <c r="BH7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48">
        <f>_xlfn.LET(r,ROW(),oc,INDEX($A:$A,r),cv,TRIM(INDEX($Y:$Y,r)&amp;""),IF(oc&lt;&gt;"P1","",IF(cv="45","V45 - novo, nao alimentado pelo spool atual","V44 - alimentado pelo spool atual")))</f>
        <v/>
      </c>
    </row>
    <row r="749" ht="54" customFormat="1" customHeight="1" s="91">
      <c r="A749" s="306" t="inlineStr">
        <is>
          <t>P1</t>
        </is>
      </c>
      <c r="B749" s="307" t="n">
        <v>514</v>
      </c>
      <c r="C749" s="269" t="inlineStr">
        <is>
          <t>11 - Caractéristiques Opérations à effet de levier</t>
        </is>
      </c>
      <c r="D749" s="310" t="inlineStr">
        <is>
          <t>11 - Leveraged Operations characteristics</t>
        </is>
      </c>
      <c r="E749" s="372" t="inlineStr">
        <is>
          <t>P1 28.11</t>
        </is>
      </c>
      <c r="F749" s="524" t="inlineStr">
        <is>
          <t>Montant de la part à syndiquer du montant du contrat à l'origine</t>
        </is>
      </c>
      <c r="G749" s="309" t="inlineStr">
        <is>
          <t>Amount to syndicate of the original contract amount</t>
        </is>
      </c>
      <c r="H749" s="1493">
        <f>"RPAD( "&amp;SUBSTITUTE(SUBSTITUTE(E749," ","_"),".","_")&amp;","&amp;W749&amp;",' '); -- "&amp;E749</f>
        <v/>
      </c>
      <c r="I749" s="241" t="inlineStr">
        <is>
          <t>Part à syndiquer du contrat, à céder dans les 90 jours suivant la signature du contrat</t>
        </is>
      </c>
      <c r="J749" s="1509" t="inlineStr">
        <is>
          <t>Amount of the part to be syndicated of the contract, to be sold within 90 days of contract signing date</t>
        </is>
      </c>
      <c r="K749" s="1510" t="inlineStr">
        <is>
          <t>ND</t>
        </is>
      </c>
      <c r="L749" s="1511" t="inlineStr">
        <is>
          <t>ND</t>
        </is>
      </c>
      <c r="M749" s="1420" t="inlineStr">
        <is>
          <t>MtPartSynd</t>
        </is>
      </c>
      <c r="N749" s="257" t="inlineStr">
        <is>
          <t>Obligatoire sous conditions</t>
        </is>
      </c>
      <c r="O749" s="310" t="inlineStr">
        <is>
          <t>Mandatory under conditions</t>
        </is>
      </c>
      <c r="P749" s="269" t="inlineStr">
        <is>
          <t>NA</t>
        </is>
      </c>
      <c r="Q749" s="269" t="inlineStr">
        <is>
          <t>NA</t>
        </is>
      </c>
      <c r="R749" s="241" t="inlineStr">
        <is>
          <t>NA</t>
        </is>
      </c>
      <c r="S749" s="233" t="inlineStr">
        <is>
          <t>NA</t>
        </is>
      </c>
      <c r="T749" s="313" t="inlineStr">
        <is>
          <t>NUM</t>
        </is>
      </c>
      <c r="U749" s="237" t="inlineStr">
        <is>
          <t>19 dont signe et 2 décimales</t>
        </is>
      </c>
      <c r="V749" s="238" t="inlineStr">
        <is>
          <t>19 including sign and 2 decimals</t>
        </is>
      </c>
      <c r="W749" s="257" t="n">
        <v>19</v>
      </c>
      <c r="X749" s="945" t="inlineStr">
        <is>
          <t>NA</t>
        </is>
      </c>
      <c r="Y749" s="237" t="n">
        <v>43</v>
      </c>
      <c r="Z749" s="237" t="inlineStr">
        <is>
          <t>NA</t>
        </is>
      </c>
      <c r="AA749" s="239" t="inlineStr">
        <is>
          <t>NA</t>
        </is>
      </c>
      <c r="AB749" s="269" t="inlineStr">
        <is>
          <t>FEL</t>
        </is>
      </c>
      <c r="AC749" s="231" t="inlineStr">
        <is>
          <t>ND</t>
        </is>
      </c>
      <c r="AD749" s="257" t="inlineStr">
        <is>
          <t>N</t>
        </is>
      </c>
      <c r="AE749" s="257" t="inlineStr">
        <is>
          <t xml:space="preserve">EQU101
EQU201
TRE2 à 4XX hors 203,205,206,207
SIG
</t>
        </is>
      </c>
      <c r="AF749" s="257" t="inlineStr">
        <is>
          <t>NA</t>
        </is>
      </c>
      <c r="AG749" s="258" t="inlineStr">
        <is>
          <t>NA</t>
        </is>
      </c>
      <c r="AH749" s="89" t="n"/>
      <c r="AI749" s="316" t="inlineStr">
        <is>
          <t>La donnée est obligatoire si le type de risque [P1 2.0] = 'EQUxxx', 'SIGxxx', hors (SIG1xx, SIG203, SIG205), 'TRE2xx' à 'TRE4xx', hors (TRE203, TRE205, TRE206, TRE207, TRE3xx) et si la donnée indicateur opération effet de levier [P1 28.1] est renseignée et est &lt;&gt; '0'</t>
        </is>
      </c>
      <c r="AJ749" s="317" t="inlineStr">
        <is>
          <t>The data is mandatory if Risk type [P1 2.0] = 'EQUxxx', 'SIGxxx', out (SIG1xx, SIG203, SIG205), 'TRE2xx' to 'TRE4xx', out (TRE203, TRE205, TRE206, TRE207, TRE3xx) and the leverage operation indicator data [P1 28.1] is filled in and is &lt;&gt; '0'</t>
        </is>
      </c>
      <c r="AK749" s="257" t="n">
        <v>6</v>
      </c>
      <c r="AL749" s="424" t="inlineStr">
        <is>
          <t>TPS0895</t>
        </is>
      </c>
      <c r="AM749" s="318" t="n"/>
      <c r="AN749" s="317" t="n"/>
      <c r="AO749" s="257" t="n"/>
      <c r="AP749" s="258" t="n"/>
      <c r="AQ749" s="322" t="inlineStr">
        <is>
          <t>Si renseignée, la donnée doit être positive (supérieure ou égale à 0)</t>
        </is>
      </c>
      <c r="AR749" s="317" t="inlineStr">
        <is>
          <t xml:space="preserve">If filled, data must be positive (greater or equal to 0) </t>
        </is>
      </c>
      <c r="AS749" s="257" t="n">
        <v>7</v>
      </c>
      <c r="AT749" s="345" t="inlineStr">
        <is>
          <t>TVG0001</t>
        </is>
      </c>
      <c r="AU749" s="318" t="n"/>
      <c r="AV749" s="317" t="n"/>
      <c r="AW749" s="257" t="n"/>
      <c r="AX749" s="258" t="n"/>
      <c r="AY749" s="318" t="n"/>
      <c r="AZ749" s="317" t="n"/>
      <c r="BA749" s="257" t="n"/>
      <c r="BB749" s="258" t="n"/>
      <c r="BC749" s="316" t="n"/>
      <c r="BD749" s="317" t="n"/>
      <c r="BE749" s="257" t="n"/>
      <c r="BF749" s="258" t="n"/>
      <c r="BG749" s="89" t="n"/>
      <c r="BH7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49">
        <f>_xlfn.LET(r,ROW(),oc,INDEX($A:$A,r),cv,TRIM(INDEX($Y:$Y,r)&amp;""),IF(oc&lt;&gt;"P1","",IF(cv="45","V45 - novo, nao alimentado pelo spool atual","V44 - alimentado pelo spool atual")))</f>
        <v/>
      </c>
    </row>
    <row r="750" ht="54" customFormat="1" customHeight="1" s="91">
      <c r="A750" s="306" t="inlineStr">
        <is>
          <t>P1</t>
        </is>
      </c>
      <c r="B750" s="307" t="n">
        <v>515</v>
      </c>
      <c r="C750" s="269" t="inlineStr">
        <is>
          <t>11 - Caractéristiques Opérations à effet de levier</t>
        </is>
      </c>
      <c r="D750" s="310" t="inlineStr">
        <is>
          <t>11 - Leveraged Operations characteristics</t>
        </is>
      </c>
      <c r="E750" s="372" t="inlineStr">
        <is>
          <t>P1 28.12</t>
        </is>
      </c>
      <c r="F750" s="524" t="inlineStr">
        <is>
          <t>Devise du montant de la part à syndiquer du montant du contrat à l'origine</t>
        </is>
      </c>
      <c r="G750" s="309" t="inlineStr">
        <is>
          <t>Currency of amount to syndicate of the original contract amount</t>
        </is>
      </c>
      <c r="H750" s="1493">
        <f>"RPAD( "&amp;SUBSTITUTE(SUBSTITUTE(E750," ","_"),".","_")&amp;","&amp;W750&amp;",' '); -- "&amp;E750</f>
        <v/>
      </c>
      <c r="I750" s="241" t="inlineStr">
        <is>
          <t>Devise d'expression de la part à syndiquer du montant du contrat à l'origine</t>
        </is>
      </c>
      <c r="J750" s="309" t="inlineStr">
        <is>
          <t>Currency of amount to syndicate of the original contract amount</t>
        </is>
      </c>
      <c r="K750" s="370" t="inlineStr">
        <is>
          <t>ND</t>
        </is>
      </c>
      <c r="L750" s="371" t="inlineStr">
        <is>
          <t>ND</t>
        </is>
      </c>
      <c r="M750" s="1420" t="inlineStr">
        <is>
          <t>cdDevPartSynd</t>
        </is>
      </c>
      <c r="N750" s="257" t="inlineStr">
        <is>
          <t>Obligatoire sous conditions</t>
        </is>
      </c>
      <c r="O750" s="310" t="inlineStr">
        <is>
          <t>Mandatory under conditions</t>
        </is>
      </c>
      <c r="P750" s="269" t="inlineStr">
        <is>
          <t>LC.0005</t>
        </is>
      </c>
      <c r="Q750" s="269" t="inlineStr">
        <is>
          <t>TA NM253</t>
        </is>
      </c>
      <c r="R750" s="241" t="inlineStr">
        <is>
          <t>NA</t>
        </is>
      </c>
      <c r="S750" s="233" t="inlineStr">
        <is>
          <t>NA</t>
        </is>
      </c>
      <c r="T750" s="313" t="inlineStr">
        <is>
          <t>ALPHA</t>
        </is>
      </c>
      <c r="U750" s="237" t="inlineStr">
        <is>
          <t>NA</t>
        </is>
      </c>
      <c r="V750" s="238" t="inlineStr">
        <is>
          <t>NA</t>
        </is>
      </c>
      <c r="W750" s="257" t="n">
        <v>3</v>
      </c>
      <c r="X750" s="945" t="inlineStr">
        <is>
          <t>NA</t>
        </is>
      </c>
      <c r="Y750" s="237" t="n">
        <v>43</v>
      </c>
      <c r="Z750" s="237" t="inlineStr">
        <is>
          <t>NA</t>
        </is>
      </c>
      <c r="AA750" s="239" t="inlineStr">
        <is>
          <t>NA</t>
        </is>
      </c>
      <c r="AB750" s="269" t="inlineStr">
        <is>
          <t>FEL</t>
        </is>
      </c>
      <c r="AC750" s="231" t="inlineStr">
        <is>
          <t>ND</t>
        </is>
      </c>
      <c r="AD750" s="257" t="inlineStr">
        <is>
          <t>N</t>
        </is>
      </c>
      <c r="AE750" s="257" t="inlineStr">
        <is>
          <t xml:space="preserve">EQU101
EQU201
TRE2 à 4XX hors 203,205,206,207
SIG
</t>
        </is>
      </c>
      <c r="AF750" s="257" t="inlineStr">
        <is>
          <t>NA</t>
        </is>
      </c>
      <c r="AG750" s="258" t="inlineStr">
        <is>
          <t>NA</t>
        </is>
      </c>
      <c r="AH750" s="89" t="n"/>
      <c r="AI750" s="702" t="inlineStr">
        <is>
          <t>La donnée est obligatoire si la donnée Montant de la part à syndiquer du montant du contrat à l'origine [P1 28.11] est renseignée</t>
        </is>
      </c>
      <c r="AJ750" s="317" t="inlineStr">
        <is>
          <t>The data is mandatory if the Amount to syndicate of the original contract amount [P1 28.11] is filled</t>
        </is>
      </c>
      <c r="AK750" s="257" t="n">
        <v>7</v>
      </c>
      <c r="AL750" s="335" t="inlineStr">
        <is>
          <t>TPG0002</t>
        </is>
      </c>
      <c r="AM750" s="452" t="inlineStr">
        <is>
          <t>Si elle est renseignée, la valeur doit être connue du Langage Commun associé</t>
        </is>
      </c>
      <c r="AN750" s="377" t="inlineStr">
        <is>
          <t>If specified, the value must be known to the associated Common Language</t>
        </is>
      </c>
      <c r="AO750" s="257" t="n">
        <v>7</v>
      </c>
      <c r="AP750" s="212" t="inlineStr">
        <is>
          <t>TIG0001</t>
        </is>
      </c>
      <c r="AQ750" s="318" t="n"/>
      <c r="AR750" s="317" t="n"/>
      <c r="AS750" s="257" t="n"/>
      <c r="AT750" s="258" t="n"/>
      <c r="AU750" s="318" t="n"/>
      <c r="AV750" s="317" t="n"/>
      <c r="AW750" s="257" t="n"/>
      <c r="AX750" s="258" t="n"/>
      <c r="AY750" s="318" t="n"/>
      <c r="AZ750" s="317" t="n"/>
      <c r="BA750" s="257" t="n"/>
      <c r="BB750" s="258" t="n"/>
      <c r="BC750" s="316" t="n"/>
      <c r="BD750" s="317" t="n"/>
      <c r="BE750" s="257" t="n"/>
      <c r="BF750" s="258" t="n"/>
      <c r="BG750" s="89" t="n"/>
      <c r="BH7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50">
        <f>_xlfn.LET(r,ROW(),oc,INDEX($A:$A,r),cv,TRIM(INDEX($Y:$Y,r)&amp;""),IF(oc&lt;&gt;"P1","",IF(cv="45","V45 - novo, nao alimentado pelo spool atual","V44 - alimentado pelo spool atual")))</f>
        <v/>
      </c>
    </row>
    <row r="751" ht="54" customFormat="1" customHeight="1" s="91">
      <c r="A751" s="306" t="inlineStr">
        <is>
          <t>P1</t>
        </is>
      </c>
      <c r="B751" s="307" t="n">
        <v>516</v>
      </c>
      <c r="C751" s="269" t="inlineStr">
        <is>
          <t>11 - Caractéristiques Opérations à effet de levier</t>
        </is>
      </c>
      <c r="D751" s="310" t="inlineStr">
        <is>
          <t>11 - Leveraged Operations characteristics</t>
        </is>
      </c>
      <c r="E751" s="372" t="inlineStr">
        <is>
          <t>P1 28.13</t>
        </is>
      </c>
      <c r="F751" s="308" t="inlineStr">
        <is>
          <t>Montant de la part à syndiquer non cédé</t>
        </is>
      </c>
      <c r="G751" s="309" t="inlineStr">
        <is>
          <t>Amount to be syndicated not transferred</t>
        </is>
      </c>
      <c r="H751" s="1493">
        <f>"RPAD( "&amp;SUBSTITUTE(SUBSTITUTE(E751," ","_"),".","_")&amp;","&amp;W751&amp;",' '); -- "&amp;E751</f>
        <v/>
      </c>
      <c r="I751" s="241" t="inlineStr">
        <is>
          <t>Montant de la part à syndiquer non cédé après le délai de 90 jours (délai norme Groupe pour la syndication)</t>
        </is>
      </c>
      <c r="J751" s="1509" t="inlineStr">
        <is>
          <t>Amount of the part to be syndicated not transferred after the 90-day period (Group standard time limit for syndication)</t>
        </is>
      </c>
      <c r="K751" s="1510" t="inlineStr">
        <is>
          <t>ND</t>
        </is>
      </c>
      <c r="L751" s="1511" t="inlineStr">
        <is>
          <t>ND</t>
        </is>
      </c>
      <c r="M751" s="1420" t="inlineStr">
        <is>
          <t>MtPartSyndNonCede</t>
        </is>
      </c>
      <c r="N751" s="257" t="inlineStr">
        <is>
          <t>Obligatoire sous conditions</t>
        </is>
      </c>
      <c r="O751" s="310" t="inlineStr">
        <is>
          <t>Mandatory under conditions</t>
        </is>
      </c>
      <c r="P751" s="269" t="inlineStr">
        <is>
          <t>NA</t>
        </is>
      </c>
      <c r="Q751" s="269" t="inlineStr">
        <is>
          <t>NA</t>
        </is>
      </c>
      <c r="R751" s="241" t="inlineStr">
        <is>
          <t>NA</t>
        </is>
      </c>
      <c r="S751" s="233" t="inlineStr">
        <is>
          <t>NA</t>
        </is>
      </c>
      <c r="T751" s="313" t="inlineStr">
        <is>
          <t>NUM</t>
        </is>
      </c>
      <c r="U751" s="237" t="inlineStr">
        <is>
          <t>19 dont signe et 2 décimales</t>
        </is>
      </c>
      <c r="V751" s="238" t="inlineStr">
        <is>
          <t>19 including sign and 2 decimals</t>
        </is>
      </c>
      <c r="W751" s="257" t="n">
        <v>19</v>
      </c>
      <c r="X751" s="945" t="inlineStr">
        <is>
          <t>NA</t>
        </is>
      </c>
      <c r="Y751" s="237" t="n">
        <v>43</v>
      </c>
      <c r="Z751" s="237" t="inlineStr">
        <is>
          <t>NA</t>
        </is>
      </c>
      <c r="AA751" s="239" t="inlineStr">
        <is>
          <t>NA</t>
        </is>
      </c>
      <c r="AB751" s="269" t="inlineStr">
        <is>
          <t>FEL, LOAN TAPE</t>
        </is>
      </c>
      <c r="AC751" s="231" t="inlineStr">
        <is>
          <t>ND</t>
        </is>
      </c>
      <c r="AD751" s="257" t="inlineStr">
        <is>
          <t>N</t>
        </is>
      </c>
      <c r="AE751" s="257" t="inlineStr">
        <is>
          <t xml:space="preserve">EQU101
EQU201
TRE2 à 4XX hors 203,205,206,207
SIG
</t>
        </is>
      </c>
      <c r="AF751" s="257" t="inlineStr">
        <is>
          <t>NA</t>
        </is>
      </c>
      <c r="AG751" s="258" t="inlineStr">
        <is>
          <t>NA</t>
        </is>
      </c>
      <c r="AH751" s="89" t="n"/>
      <c r="AI751" s="708" t="inlineStr">
        <is>
          <t>La donnée est obligatoire si le type de risque [P1 2.0] = 'EQUxxx', 'SIGxxx', hors (SIG1xx, SIG203, SIG205), 'TRE2xx' à 'TRE4xx', hors (TRE203, TRE205, TRE206, TRE207, TRE3xx) et si la donnée indicateur opération effet de levier [P1 28.1] est renseignée et est &lt;&gt; '0'</t>
        </is>
      </c>
      <c r="AJ751" s="317" t="inlineStr">
        <is>
          <t>The data is mandatory if Risk type [P1 2.0] = 'EQUxxx', 'SIGxxx', out (SIG1xx, SIG203, SIG205), 'TRE2xx' to 'TRE4xx', out (TRE203, TRE205, TRE206, TRE207, TRE3xx) and the leverage operation indicator data [P1 28.1] is filled in and is &lt;&gt; '0'</t>
        </is>
      </c>
      <c r="AK751" s="257" t="n">
        <v>6</v>
      </c>
      <c r="AL751" s="424" t="inlineStr">
        <is>
          <t>TPS0895</t>
        </is>
      </c>
      <c r="AM751" s="318" t="n"/>
      <c r="AN751" s="317" t="n"/>
      <c r="AO751" s="257" t="n"/>
      <c r="AP751" s="258" t="n"/>
      <c r="AQ751" s="322" t="inlineStr">
        <is>
          <t>Si renseignée, la donnée doit être positive (supérieure ou égale à 0)</t>
        </is>
      </c>
      <c r="AR751" s="317" t="inlineStr">
        <is>
          <t xml:space="preserve">If filled, data must be positive (greater or equal to 0) </t>
        </is>
      </c>
      <c r="AS751" s="257" t="n">
        <v>6</v>
      </c>
      <c r="AT751" s="345" t="inlineStr">
        <is>
          <t>TVG0001</t>
        </is>
      </c>
      <c r="AU751" s="318" t="n"/>
      <c r="AV751" s="317" t="n"/>
      <c r="AW751" s="257" t="n"/>
      <c r="AX751" s="258" t="n"/>
      <c r="AY751" s="318" t="n"/>
      <c r="AZ751" s="317" t="n"/>
      <c r="BA751" s="257" t="n"/>
      <c r="BB751" s="258" t="n"/>
      <c r="BC751" s="316" t="n"/>
      <c r="BD751" s="317" t="n"/>
      <c r="BE751" s="257" t="n"/>
      <c r="BF751" s="258" t="n"/>
      <c r="BG751" s="89" t="n"/>
      <c r="BH7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51">
        <f>_xlfn.LET(r,ROW(),oc,INDEX($A:$A,r),cv,TRIM(INDEX($Y:$Y,r)&amp;""),IF(oc&lt;&gt;"P1","",IF(cv="45","V45 - novo, nao alimentado pelo spool atual","V44 - alimentado pelo spool atual")))</f>
        <v/>
      </c>
    </row>
    <row r="752" ht="54" customFormat="1" customHeight="1" s="91">
      <c r="A752" s="306" t="inlineStr">
        <is>
          <t>P1</t>
        </is>
      </c>
      <c r="B752" s="307" t="n">
        <v>517</v>
      </c>
      <c r="C752" s="269" t="inlineStr">
        <is>
          <t>11 - Caractéristiques Opérations à effet de levier</t>
        </is>
      </c>
      <c r="D752" s="310" t="inlineStr">
        <is>
          <t>11 - Leveraged Operations characteristics</t>
        </is>
      </c>
      <c r="E752" s="372" t="inlineStr">
        <is>
          <t>P1 28.14</t>
        </is>
      </c>
      <c r="F752" s="308" t="inlineStr">
        <is>
          <t>Devise du montant de la part à syndiquer non cédé</t>
        </is>
      </c>
      <c r="G752" s="309" t="inlineStr">
        <is>
          <t>Currency of amount to be syndicated not transferred</t>
        </is>
      </c>
      <c r="H752" s="1493">
        <f>"RPAD( "&amp;SUBSTITUTE(SUBSTITUTE(E752," ","_"),".","_")&amp;","&amp;W752&amp;",' '); -- "&amp;E752</f>
        <v/>
      </c>
      <c r="I752" s="241" t="inlineStr">
        <is>
          <t xml:space="preserve">Devise d'expression du montant de la part à syndiquer non cédé </t>
        </is>
      </c>
      <c r="J752" s="309" t="inlineStr">
        <is>
          <t>Currency of amount to be syndicated not transferred</t>
        </is>
      </c>
      <c r="K752" s="370" t="inlineStr">
        <is>
          <t>ND</t>
        </is>
      </c>
      <c r="L752" s="371" t="inlineStr">
        <is>
          <t>ND</t>
        </is>
      </c>
      <c r="M752" s="1420" t="inlineStr">
        <is>
          <t>cdDevPartSyndNonCede</t>
        </is>
      </c>
      <c r="N752" s="231" t="inlineStr">
        <is>
          <t>Obligatoire sous conditions</t>
        </is>
      </c>
      <c r="O752" s="310" t="inlineStr">
        <is>
          <t>Mandatory under conditions</t>
        </is>
      </c>
      <c r="P752" s="269" t="inlineStr">
        <is>
          <t>LC.0005</t>
        </is>
      </c>
      <c r="Q752" s="269" t="inlineStr">
        <is>
          <t>TA NM253</t>
        </is>
      </c>
      <c r="R752" s="241" t="inlineStr">
        <is>
          <t>NA</t>
        </is>
      </c>
      <c r="S752" s="233" t="inlineStr">
        <is>
          <t>NA</t>
        </is>
      </c>
      <c r="T752" s="313" t="inlineStr">
        <is>
          <t>ALPHA</t>
        </is>
      </c>
      <c r="U752" s="237" t="inlineStr">
        <is>
          <t>NA</t>
        </is>
      </c>
      <c r="V752" s="238" t="inlineStr">
        <is>
          <t>NA</t>
        </is>
      </c>
      <c r="W752" s="257" t="n">
        <v>3</v>
      </c>
      <c r="X752" s="945" t="inlineStr">
        <is>
          <t>NA</t>
        </is>
      </c>
      <c r="Y752" s="237" t="n">
        <v>43</v>
      </c>
      <c r="Z752" s="237" t="inlineStr">
        <is>
          <t>NA</t>
        </is>
      </c>
      <c r="AA752" s="239" t="inlineStr">
        <is>
          <t>NA</t>
        </is>
      </c>
      <c r="AB752" s="269" t="inlineStr">
        <is>
          <t>FEL</t>
        </is>
      </c>
      <c r="AC752" s="231" t="inlineStr">
        <is>
          <t>ND</t>
        </is>
      </c>
      <c r="AD752" s="257" t="inlineStr">
        <is>
          <t>N</t>
        </is>
      </c>
      <c r="AE752" s="257" t="inlineStr">
        <is>
          <t xml:space="preserve">EQU101
EQU201
TRE2 à 4XX hors 203,205,206,207
SIG
</t>
        </is>
      </c>
      <c r="AF752" s="257" t="inlineStr">
        <is>
          <t>NA</t>
        </is>
      </c>
      <c r="AG752" s="258" t="inlineStr">
        <is>
          <t>NA</t>
        </is>
      </c>
      <c r="AH752" s="89" t="n"/>
      <c r="AI752" s="316" t="inlineStr">
        <is>
          <t>La donnée est obligatoire si la donnée montant de la part à syndiquer non cédé [P1 28.13] est renseignée</t>
        </is>
      </c>
      <c r="AJ752" s="317" t="inlineStr">
        <is>
          <t>The data is mandatory if the data amount of the share to be unionized not assigned [P1 28.13] is filled</t>
        </is>
      </c>
      <c r="AK752" s="257" t="n">
        <v>7</v>
      </c>
      <c r="AL752" s="335" t="inlineStr">
        <is>
          <t>TPG0002</t>
        </is>
      </c>
      <c r="AM752" s="452" t="inlineStr">
        <is>
          <t>Si elle est renseignée, la valeur doit être connue du Langage Commun associé</t>
        </is>
      </c>
      <c r="AN752" s="377" t="inlineStr">
        <is>
          <t>If specified, the value must be known to the associated Common Language</t>
        </is>
      </c>
      <c r="AO752" s="257" t="n">
        <v>7</v>
      </c>
      <c r="AP752" s="212" t="inlineStr">
        <is>
          <t>TIG0001</t>
        </is>
      </c>
      <c r="AQ752" s="318" t="n"/>
      <c r="AR752" s="317" t="n"/>
      <c r="AS752" s="257" t="n"/>
      <c r="AT752" s="258" t="n"/>
      <c r="AU752" s="318" t="n"/>
      <c r="AV752" s="317" t="n"/>
      <c r="AW752" s="257" t="n"/>
      <c r="AX752" s="258" t="n"/>
      <c r="AY752" s="318" t="n"/>
      <c r="AZ752" s="317" t="n"/>
      <c r="BA752" s="257" t="n"/>
      <c r="BB752" s="258" t="n"/>
      <c r="BC752" s="316" t="n"/>
      <c r="BD752" s="317" t="n"/>
      <c r="BE752" s="257" t="n"/>
      <c r="BF752" s="258" t="n"/>
      <c r="BG752" s="89" t="n"/>
      <c r="BH7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52">
        <f>_xlfn.LET(r,ROW(),oc,INDEX($A:$A,r),cv,TRIM(INDEX($Y:$Y,r)&amp;""),IF(oc&lt;&gt;"P1","",IF(cv="45","V45 - novo, nao alimentado pelo spool atual","V44 - alimentado pelo spool atual")))</f>
        <v/>
      </c>
    </row>
    <row r="753" ht="54" customFormat="1" customHeight="1" s="91">
      <c r="A753" s="306" t="inlineStr">
        <is>
          <t>P1</t>
        </is>
      </c>
      <c r="B753" s="307" t="n">
        <v>518</v>
      </c>
      <c r="C753" s="269" t="inlineStr">
        <is>
          <t xml:space="preserve">19 - Données comptables </t>
        </is>
      </c>
      <c r="D753" s="236" t="inlineStr">
        <is>
          <t>19 - Accounting data</t>
        </is>
      </c>
      <c r="E753" s="307" t="inlineStr">
        <is>
          <t>P1 50.1</t>
        </is>
      </c>
      <c r="F753" s="308" t="inlineStr">
        <is>
          <t>Devise de liasse de l'entité</t>
        </is>
      </c>
      <c r="G753" s="309" t="inlineStr">
        <is>
          <t>Package currency of the risk bearing entity</t>
        </is>
      </c>
      <c r="H753" s="1493">
        <f>"RPAD( "&amp;SUBSTITUTE(SUBSTITUTE(E753," ","_"),".","_")&amp;","&amp;W753&amp;",' '); -- "&amp;E753</f>
        <v/>
      </c>
      <c r="I753" s="308" t="inlineStr">
        <is>
          <t>Devise de liasse comptable de l'entité porteuse de risque à la date d'arrêté</t>
        </is>
      </c>
      <c r="J753" s="309" t="inlineStr">
        <is>
          <t>Accounting package currency of the risk bearing entity at closing date</t>
        </is>
      </c>
      <c r="K753" s="370" t="inlineStr">
        <is>
          <t>ND</t>
        </is>
      </c>
      <c r="L753" s="371" t="inlineStr">
        <is>
          <t>ND</t>
        </is>
      </c>
      <c r="M753" s="1420" t="inlineStr">
        <is>
          <t>cdDevEntCmpt</t>
        </is>
      </c>
      <c r="N753" s="257" t="inlineStr">
        <is>
          <t>Obligatoire</t>
        </is>
      </c>
      <c r="O753" s="310" t="inlineStr">
        <is>
          <t>Mandatory</t>
        </is>
      </c>
      <c r="P753" s="269" t="inlineStr">
        <is>
          <t>LC.0005</t>
        </is>
      </c>
      <c r="Q753" s="269" t="inlineStr">
        <is>
          <t>TA NM253</t>
        </is>
      </c>
      <c r="R753" s="241" t="inlineStr">
        <is>
          <t>NA</t>
        </is>
      </c>
      <c r="S753" s="233" t="inlineStr">
        <is>
          <t>NA</t>
        </is>
      </c>
      <c r="T753" s="313" t="inlineStr">
        <is>
          <t>ALPHA</t>
        </is>
      </c>
      <c r="U753" s="237" t="inlineStr">
        <is>
          <t>NA</t>
        </is>
      </c>
      <c r="V753" s="238" t="inlineStr">
        <is>
          <t>NA</t>
        </is>
      </c>
      <c r="W753" s="257" t="n">
        <v>3</v>
      </c>
      <c r="X753" s="945" t="inlineStr">
        <is>
          <t>NA</t>
        </is>
      </c>
      <c r="Y753" s="237" t="n">
        <v>43</v>
      </c>
      <c r="Z753" s="237" t="inlineStr">
        <is>
          <t>NA</t>
        </is>
      </c>
      <c r="AA753" s="239" t="inlineStr">
        <is>
          <t>NA</t>
        </is>
      </c>
      <c r="AB753" s="269" t="inlineStr">
        <is>
          <t>USAGE ZP</t>
        </is>
      </c>
      <c r="AC753" s="231" t="inlineStr">
        <is>
          <t>ND</t>
        </is>
      </c>
      <c r="AD753" s="257" t="inlineStr">
        <is>
          <t>N</t>
        </is>
      </c>
      <c r="AE753" s="971" t="inlineStr">
        <is>
          <t>EQU101
EQU201
ISS100
ISS200 et 300
TRE100
TRE2 à 4XX hors 203,205,206,207
TRE203, 205, 207
TRE206
TRE5XX
SIG
VAR*
INT</t>
        </is>
      </c>
      <c r="AF753" s="257" t="inlineStr">
        <is>
          <t>NA</t>
        </is>
      </c>
      <c r="AG753" s="258" t="inlineStr">
        <is>
          <t>NA</t>
        </is>
      </c>
      <c r="AH753" s="89" t="n"/>
      <c r="AI753" s="316" t="inlineStr">
        <is>
          <t>La donnée est obligatoire</t>
        </is>
      </c>
      <c r="AJ753" s="317" t="inlineStr">
        <is>
          <t>The data is mandatory</t>
        </is>
      </c>
      <c r="AK753" s="257" t="n">
        <v>7</v>
      </c>
      <c r="AL753" s="335" t="inlineStr">
        <is>
          <t>TPG0001</t>
        </is>
      </c>
      <c r="AM753" s="452" t="inlineStr">
        <is>
          <t>Si elle est renseignée, la valeur doit être connue du Langage Commun associé</t>
        </is>
      </c>
      <c r="AN753" s="377" t="inlineStr">
        <is>
          <t>If specified, the value must be known to the associated Common Language</t>
        </is>
      </c>
      <c r="AO753" s="257" t="n">
        <v>7</v>
      </c>
      <c r="AP753" s="212" t="inlineStr">
        <is>
          <t>TIG0001</t>
        </is>
      </c>
      <c r="AQ753" s="318" t="n"/>
      <c r="AR753" s="317" t="n"/>
      <c r="AS753" s="257" t="n"/>
      <c r="AT753" s="258" t="n"/>
      <c r="AU753" s="318" t="n"/>
      <c r="AV753" s="317" t="n"/>
      <c r="AW753" s="257" t="n"/>
      <c r="AX753" s="258" t="n"/>
      <c r="AY753" s="318" t="n"/>
      <c r="AZ753" s="317" t="n"/>
      <c r="BA753" s="257" t="n"/>
      <c r="BB753" s="258" t="n"/>
      <c r="BC753" s="316" t="n"/>
      <c r="BD753" s="317" t="n"/>
      <c r="BE753" s="257" t="n"/>
      <c r="BF753" s="258" t="n"/>
      <c r="BG753" s="89" t="n"/>
      <c r="BH7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53">
        <f>_xlfn.LET(r,ROW(),oc,INDEX($A:$A,r),cv,TRIM(INDEX($Y:$Y,r)&amp;""),IF(oc&lt;&gt;"P1","",IF(cv="45","V45 - novo, nao alimentado pelo spool atual","V44 - alimentado pelo spool atual")))</f>
        <v/>
      </c>
    </row>
    <row r="754" ht="54" customFormat="1" customHeight="1" s="91">
      <c r="A754" s="306" t="inlineStr">
        <is>
          <t>P1</t>
        </is>
      </c>
      <c r="B754" s="307" t="n">
        <v>519</v>
      </c>
      <c r="C754" s="269" t="inlineStr">
        <is>
          <t xml:space="preserve">19 - Données comptables </t>
        </is>
      </c>
      <c r="D754" s="236" t="inlineStr">
        <is>
          <t>19 - Accounting data</t>
        </is>
      </c>
      <c r="E754" s="307" t="inlineStr">
        <is>
          <t>P1 50.2</t>
        </is>
      </c>
      <c r="F754" s="460" t="inlineStr">
        <is>
          <t>PCCO - Montant du principal 1</t>
        </is>
      </c>
      <c r="G754" s="309" t="inlineStr">
        <is>
          <t xml:space="preserve">PCCO - Amount of principal 1 </t>
        </is>
      </c>
      <c r="H754" s="1493">
        <f>"RPAD( "&amp;SUBSTITUTE(SUBSTITUTE(E754," ","_"),".","_")&amp;","&amp;W754&amp;",' '); -- "&amp;E754</f>
        <v/>
      </c>
      <c r="I754" s="709" t="inlineStr">
        <is>
          <t>Code du compte dans le Plan de comptes consolidé prudentiel
Le compte "PCCO - Montant du principal 1" correspond : 
 - au compte de l'actif comptabilisé au bilan (en juste valeur ou en coût amorti selon sa classification comptable), classé en nature d'opération NAT01 (Opérations de trésorerie et interbancaires), NAT02 (Opérations avec la clientèle) or NAT03 (Opérations sur titres hors repos),
- au compte comptabilisé au hors-bilan, classé en nature d'opération NAT06 (Engagements de garanties donnés), NAT07 (Engagements de financement donnés) ou en NAT08 (Engagements de garanties reçus), 
- au compte de l'actif comptabilisant au bilan la juste valeur comptable du dérivé, classé en nature d'opération NAT10B (Instruments financiers à terme (Bilan)),
- au compte de l'actif comptabilisant la valeur des titres pour les cessions temporaires de titres classé en nature d'opération NAT04 (Pensions)</t>
        </is>
      </c>
      <c r="J754" s="309" t="inlineStr">
        <is>
          <t>Account code in the prudential consolidated chart of accounts
The "PCCO - Amount of Principal 1" account corresponds of :
 - the asset account recognized in the balance sheet (at fair value or amortized cost according to its accounting classification), classified as transaction type NAT01 (Treasury and interbank operations), NAT02 (Customer operations) or NAT03 (Securities transactions (excluded repos)),
- the account of the assets recognized on the off-balance sheet, classified as a transaction type NAT06 (Guarantee commitments given) and NAT07 (Funding commitments given) or NAT08 (Guarantee commitments received),
- the asset account recognized in the balance sheet the accounting fair value of derivative, classified as transaction type NAT10B (Financial futures instruments (Balance sheet)),
- the account accounting for the value of the securities for temporary securities sales, classified as transaction type NAT04 (Repos)</t>
        </is>
      </c>
      <c r="K754" s="370" t="inlineStr">
        <is>
          <t>ND</t>
        </is>
      </c>
      <c r="L754" s="371" t="inlineStr">
        <is>
          <t>ND</t>
        </is>
      </c>
      <c r="M754" s="1420" t="inlineStr">
        <is>
          <t>noPCCO1</t>
        </is>
      </c>
      <c r="N754" s="257" t="inlineStr">
        <is>
          <t>Obligatoire sous conditions</t>
        </is>
      </c>
      <c r="O754" s="310" t="inlineStr">
        <is>
          <t>Mandatory under conditions</t>
        </is>
      </c>
      <c r="P754" s="269" t="inlineStr">
        <is>
          <t>LC.0111</t>
        </is>
      </c>
      <c r="Q754" s="269" t="inlineStr">
        <is>
          <t>TA H8PCCO</t>
        </is>
      </c>
      <c r="R754" s="241" t="inlineStr">
        <is>
          <t>NA</t>
        </is>
      </c>
      <c r="S754" s="233" t="inlineStr">
        <is>
          <t>NA</t>
        </is>
      </c>
      <c r="T754" s="313" t="inlineStr">
        <is>
          <t>ALPHA</t>
        </is>
      </c>
      <c r="U754" s="237" t="inlineStr">
        <is>
          <t>NA</t>
        </is>
      </c>
      <c r="V754" s="238" t="inlineStr">
        <is>
          <t>NA</t>
        </is>
      </c>
      <c r="W754" s="257" t="n">
        <v>12</v>
      </c>
      <c r="X754" s="945" t="inlineStr">
        <is>
          <t>NA</t>
        </is>
      </c>
      <c r="Y754" s="237" t="n">
        <v>43</v>
      </c>
      <c r="Z754" s="237" t="inlineStr">
        <is>
          <t>NA</t>
        </is>
      </c>
      <c r="AA754" s="239" t="inlineStr">
        <is>
          <t>45.00</t>
        </is>
      </c>
      <c r="AB754" s="932" t="inlineStr">
        <is>
          <t>CONGLOMERATS, CORFOU, LIQUIDITE, MREL, PALMA</t>
        </is>
      </c>
      <c r="AC754" s="231" t="inlineStr">
        <is>
          <t>ND</t>
        </is>
      </c>
      <c r="AD754" s="257" t="inlineStr">
        <is>
          <t>N</t>
        </is>
      </c>
      <c r="AE754" s="971" t="inlineStr">
        <is>
          <t>EQU101
EQU201
ISS100
ISS200 et 300
TRE100
TRE2 à 4XX hors 203,205,206,207
TRE5XX
SIG
VAR*
INT</t>
        </is>
      </c>
      <c r="AF754" s="257" t="inlineStr">
        <is>
          <t>NA</t>
        </is>
      </c>
      <c r="AG754" s="258" t="inlineStr">
        <is>
          <t>NA</t>
        </is>
      </c>
      <c r="AH754" s="89" t="n"/>
      <c r="AI754" s="316" t="inlineStr">
        <is>
          <t>La donnée est obligatoire si le type de risque [P1 2.0] est différent de 'TRE203', 'TRE205', 'TRE206', 'TRE207'</t>
        </is>
      </c>
      <c r="AJ754" s="317" t="inlineStr">
        <is>
          <t>The data is mandatory if Risk type [P1 2.0] is different from 'TRE203', 'TRE205', 'TRE206', 'TRE207'</t>
        </is>
      </c>
      <c r="AK754" s="257" t="n">
        <v>7</v>
      </c>
      <c r="AL754" s="345" t="inlineStr">
        <is>
          <t>TPS0924</t>
        </is>
      </c>
      <c r="AM754" s="452" t="inlineStr">
        <is>
          <t>Si elle est renseignée, la valeur doit être connue du Langage Commun associé</t>
        </is>
      </c>
      <c r="AN754" s="377" t="inlineStr">
        <is>
          <t>If specified, the value must be known to the associated Common Language</t>
        </is>
      </c>
      <c r="AO754" s="257" t="n">
        <v>7</v>
      </c>
      <c r="AP754" s="212" t="inlineStr">
        <is>
          <t>TIG0001</t>
        </is>
      </c>
      <c r="AQ754" s="318" t="n"/>
      <c r="AR754" s="317" t="n"/>
      <c r="AS754" s="257" t="n"/>
      <c r="AT754" s="258" t="n"/>
      <c r="AU754" s="318" t="n"/>
      <c r="AV754" s="317" t="n"/>
      <c r="AW754" s="257" t="n"/>
      <c r="AX754" s="258" t="n"/>
      <c r="AY754" s="318" t="n"/>
      <c r="AZ754" s="317" t="n"/>
      <c r="BA754" s="257" t="n"/>
      <c r="BB754" s="258" t="n"/>
      <c r="BC754" s="316" t="n"/>
      <c r="BD754" s="317" t="n"/>
      <c r="BE754" s="257" t="n"/>
      <c r="BF754" s="258" t="n"/>
      <c r="BG754" s="89" t="n"/>
      <c r="BH7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54">
        <f>_xlfn.LET(r,ROW(),oc,INDEX($A:$A,r),cv,TRIM(INDEX($Y:$Y,r)&amp;""),IF(oc&lt;&gt;"P1","",IF(cv="45","V45 - novo, nao alimentado pelo spool atual","V44 - alimentado pelo spool atual")))</f>
        <v/>
      </c>
    </row>
    <row r="755" ht="54" customFormat="1" customHeight="1" s="91">
      <c r="A755" s="306" t="inlineStr">
        <is>
          <t>P1</t>
        </is>
      </c>
      <c r="B755" s="307" t="n">
        <v>520</v>
      </c>
      <c r="C755" s="269" t="inlineStr">
        <is>
          <t xml:space="preserve">19 - Données comptables </t>
        </is>
      </c>
      <c r="D755" s="236" t="inlineStr">
        <is>
          <t>19 - Accounting data</t>
        </is>
      </c>
      <c r="E755" s="307" t="inlineStr">
        <is>
          <t>P1 50.3</t>
        </is>
      </c>
      <c r="F755" s="460" t="inlineStr">
        <is>
          <t xml:space="preserve">Montant du principal 1 </t>
        </is>
      </c>
      <c r="G755" s="309" t="inlineStr">
        <is>
          <t xml:space="preserve">Amount of principal 1 </t>
        </is>
      </c>
      <c r="H755" s="1493">
        <f>"RPAD( "&amp;SUBSTITUTE(SUBSTITUTE(E755," ","_"),".","_")&amp;","&amp;W755&amp;",' '); -- "&amp;E755</f>
        <v/>
      </c>
      <c r="I755" s="460" t="inlineStr">
        <is>
          <t>Il s'agit du solde du compte déclaré dans le champ "PCCO Montant du principal 1", en devise de liasse comptable de l'entité porteuse de risques, à la date d'arrêté</t>
        </is>
      </c>
      <c r="J755" s="309" t="inlineStr">
        <is>
          <t>This is the account balance declared in the "PCCO Amount of Principal 1" field, in the accounting package currency of the risk-bearing entity, on the closing date</t>
        </is>
      </c>
      <c r="K755" s="370" t="inlineStr">
        <is>
          <t>ND</t>
        </is>
      </c>
      <c r="L755" s="371" t="inlineStr">
        <is>
          <t>ND</t>
        </is>
      </c>
      <c r="M755" s="1420" t="inlineStr">
        <is>
          <t>mtPCCO1</t>
        </is>
      </c>
      <c r="N755" s="231" t="inlineStr">
        <is>
          <t>Obligatoire sous conditions</t>
        </is>
      </c>
      <c r="O755" s="310" t="inlineStr">
        <is>
          <t>Mandatory under conditions</t>
        </is>
      </c>
      <c r="P755" s="269" t="inlineStr">
        <is>
          <t>NA</t>
        </is>
      </c>
      <c r="Q755" s="269" t="inlineStr">
        <is>
          <t>NA</t>
        </is>
      </c>
      <c r="R755" s="241" t="inlineStr">
        <is>
          <t>NA</t>
        </is>
      </c>
      <c r="S755" s="233" t="inlineStr">
        <is>
          <t>NA</t>
        </is>
      </c>
      <c r="T755" s="313" t="inlineStr">
        <is>
          <t>NUM</t>
        </is>
      </c>
      <c r="U755" s="237" t="inlineStr">
        <is>
          <t>19 dont signe et 2 décimales</t>
        </is>
      </c>
      <c r="V755" s="238" t="inlineStr">
        <is>
          <t>19 including sign and 2 decimals</t>
        </is>
      </c>
      <c r="W755" s="257" t="n">
        <v>19</v>
      </c>
      <c r="X755" s="945" t="inlineStr">
        <is>
          <t>NA</t>
        </is>
      </c>
      <c r="Y755" s="237" t="n">
        <v>43</v>
      </c>
      <c r="Z755" s="237" t="inlineStr">
        <is>
          <t>NA</t>
        </is>
      </c>
      <c r="AA755" s="239" t="inlineStr">
        <is>
          <t>45.00</t>
        </is>
      </c>
      <c r="AB755" s="932" t="inlineStr">
        <is>
          <t>LIQUIDITE, MREL</t>
        </is>
      </c>
      <c r="AC755" s="231" t="inlineStr">
        <is>
          <t>ND</t>
        </is>
      </c>
      <c r="AD755" s="257" t="inlineStr">
        <is>
          <t>N</t>
        </is>
      </c>
      <c r="AE755" s="971" t="inlineStr">
        <is>
          <t>EQU101
EQU201
ISS100
ISS200 et 300
TRE100
TRE2 à 4XX hors 203,205,206,207
TRE5XX
SIG
VAR*
INT</t>
        </is>
      </c>
      <c r="AF755" s="257" t="inlineStr">
        <is>
          <t>NA</t>
        </is>
      </c>
      <c r="AG755" s="258" t="inlineStr">
        <is>
          <t>NA</t>
        </is>
      </c>
      <c r="AH755" s="89" t="n"/>
      <c r="AI755" s="500" t="inlineStr">
        <is>
          <t>La donnée est obligatoire si la donnée PCCO - Montant du principal 1 [P1 50.2] est renseignée</t>
        </is>
      </c>
      <c r="AJ755" s="317" t="inlineStr">
        <is>
          <t>The data is mandatory if the PCCO - Amount of principal 1 [P1 50.2] data is filled</t>
        </is>
      </c>
      <c r="AK755" s="257" t="n">
        <v>7</v>
      </c>
      <c r="AL755" s="345" t="inlineStr">
        <is>
          <t>TPS0925</t>
        </is>
      </c>
      <c r="AM755" s="318" t="n"/>
      <c r="AN755" s="317" t="n"/>
      <c r="AO755" s="257" t="n"/>
      <c r="AP755" s="258" t="n"/>
      <c r="AQ755" s="318" t="n"/>
      <c r="AR755" s="317" t="n"/>
      <c r="AS755" s="257" t="n"/>
      <c r="AT755" s="258" t="n"/>
      <c r="AU755" s="318" t="n"/>
      <c r="AV755" s="317" t="n"/>
      <c r="AW755" s="257" t="n"/>
      <c r="AX755" s="258" t="n"/>
      <c r="AY755" s="318" t="n"/>
      <c r="AZ755" s="317" t="n"/>
      <c r="BA755" s="257" t="n"/>
      <c r="BB755" s="258" t="n"/>
      <c r="BC755" s="316" t="n"/>
      <c r="BD755" s="317" t="n"/>
      <c r="BE755" s="257" t="n"/>
      <c r="BF755" s="258" t="n"/>
      <c r="BG755" s="89" t="n"/>
      <c r="BH7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55">
        <f>_xlfn.LET(r,ROW(),oc,INDEX($A:$A,r),cv,TRIM(INDEX($Y:$Y,r)&amp;""),IF(oc&lt;&gt;"P1","",IF(cv="45","V45 - novo, nao alimentado pelo spool atual","V44 - alimentado pelo spool atual")))</f>
        <v/>
      </c>
    </row>
    <row r="756" ht="54" customFormat="1" customHeight="1" s="91">
      <c r="A756" s="306" t="inlineStr">
        <is>
          <t>P1</t>
        </is>
      </c>
      <c r="B756" s="307" t="n">
        <v>521</v>
      </c>
      <c r="C756" s="269" t="inlineStr">
        <is>
          <t xml:space="preserve">19 - Données comptables </t>
        </is>
      </c>
      <c r="D756" s="236" t="inlineStr">
        <is>
          <t>19 - Accounting data</t>
        </is>
      </c>
      <c r="E756" s="307" t="inlineStr">
        <is>
          <t>P1 50.4</t>
        </is>
      </c>
      <c r="F756" s="460" t="inlineStr">
        <is>
          <t>PCCO - Montant du principal 2</t>
        </is>
      </c>
      <c r="G756" s="309" t="inlineStr">
        <is>
          <t>PCCO - Amount of principal 2</t>
        </is>
      </c>
      <c r="H756" s="1493">
        <f>"RPAD( "&amp;SUBSTITUTE(SUBSTITUTE(E756," ","_"),".","_")&amp;","&amp;W756&amp;",' '); -- "&amp;E756</f>
        <v/>
      </c>
      <c r="I756" s="232" t="inlineStr">
        <is>
          <t>Code du compte dans le Plan de comptes consolidé prudentiel
Le compte "PCCO - Montant du principal 2" correspond : 
- au compte comptabilisé au hors-bilan, classé en nature d'opération NAT07 (Part non utilisée des engagements confirmés), 
- au compte comptabilisant la valeur du cash pour les cessions temporaires de titres classé en nature d'opération NAT04 (Pensions),
- au compte hors bilan comptabilisant la valeur nominale du dérivé d'une des deux jambes, classé en nature d'opération NAT10H (Instruments financiers à terme (Hors bilan))</t>
        </is>
      </c>
      <c r="J756" s="309" t="inlineStr">
        <is>
          <t>Account code in the prudential consolidated chart of accounts
The "PCCO - Amount of Principal 2" corresponds of :
 - the account of the assets recognized on the off-balance sheet, classified as a transaction type NAT07 (Undrawn portion of confirmed commitments),
- the account recording the cash value for temporary securities sales NAT04 (Repos),
- the off-balance sheet account recording the nominal value of the derivative of one of the two legs, classified as transaction type NAT10H (Financial futures instruments (Off-Balance sheet))</t>
        </is>
      </c>
      <c r="K756" s="370" t="inlineStr">
        <is>
          <t>ND</t>
        </is>
      </c>
      <c r="L756" s="371" t="inlineStr">
        <is>
          <t>ND</t>
        </is>
      </c>
      <c r="M756" s="1420" t="inlineStr">
        <is>
          <t>noPCCO2</t>
        </is>
      </c>
      <c r="N756" s="257" t="inlineStr">
        <is>
          <t>Obligatoire sous conditions</t>
        </is>
      </c>
      <c r="O756" s="310" t="inlineStr">
        <is>
          <t>Mandatory under conditions</t>
        </is>
      </c>
      <c r="P756" s="269" t="inlineStr">
        <is>
          <t>LC.0111</t>
        </is>
      </c>
      <c r="Q756" s="269" t="inlineStr">
        <is>
          <t>TA H8PCCO</t>
        </is>
      </c>
      <c r="R756" s="241" t="inlineStr">
        <is>
          <t>Dans le cas des dérivés, renseigner le PCCO du notionnel de la jambe achetée</t>
        </is>
      </c>
      <c r="S756" s="233" t="inlineStr">
        <is>
          <t>In the case of derivatives, enter the PCCO of the notional of the purchased leg</t>
        </is>
      </c>
      <c r="T756" s="313" t="inlineStr">
        <is>
          <t>ALPHA</t>
        </is>
      </c>
      <c r="U756" s="237" t="inlineStr">
        <is>
          <t>NA</t>
        </is>
      </c>
      <c r="V756" s="238" t="inlineStr">
        <is>
          <t>NA</t>
        </is>
      </c>
      <c r="W756" s="257" t="n">
        <v>12</v>
      </c>
      <c r="X756" s="945" t="inlineStr">
        <is>
          <t>NA</t>
        </is>
      </c>
      <c r="Y756" s="237" t="n">
        <v>43</v>
      </c>
      <c r="Z756" s="237" t="inlineStr">
        <is>
          <t>NA</t>
        </is>
      </c>
      <c r="AA756" s="239" t="inlineStr">
        <is>
          <t>45.00</t>
        </is>
      </c>
      <c r="AB756" s="932" t="inlineStr">
        <is>
          <t>LIQUIDITE, MREL</t>
        </is>
      </c>
      <c r="AC756" s="231" t="inlineStr">
        <is>
          <t>ND</t>
        </is>
      </c>
      <c r="AD756" s="257" t="inlineStr">
        <is>
          <t>N</t>
        </is>
      </c>
      <c r="AE756" s="971" t="inlineStr">
        <is>
          <t>VAR*
INT</t>
        </is>
      </c>
      <c r="AF756" s="257" t="inlineStr">
        <is>
          <t>NA</t>
        </is>
      </c>
      <c r="AG756" s="258" t="inlineStr">
        <is>
          <t>NA</t>
        </is>
      </c>
      <c r="AH756" s="89" t="n"/>
      <c r="AI756" s="316" t="inlineStr">
        <is>
          <t xml:space="preserve">La donnée est obligatoire si le type de risque [P1 2.0] = 'INTxxx', 'VARxxx' </t>
        </is>
      </c>
      <c r="AJ756" s="317" t="inlineStr">
        <is>
          <t xml:space="preserve">The data is mandatory if risk type [P1 2.0] = 'INTxxx', 'VARxxx' </t>
        </is>
      </c>
      <c r="AK756" s="257" t="n">
        <v>6</v>
      </c>
      <c r="AL756" s="335" t="inlineStr">
        <is>
          <t>TPS0750</t>
        </is>
      </c>
      <c r="AM756" s="452" t="inlineStr">
        <is>
          <t>Si elle est renseignée, la valeur doit être connue du Langage Commun associé</t>
        </is>
      </c>
      <c r="AN756" s="377" t="inlineStr">
        <is>
          <t>If specified, the value must be known to the associated Common Language</t>
        </is>
      </c>
      <c r="AO756" s="257" t="n">
        <v>7</v>
      </c>
      <c r="AP756" s="212" t="inlineStr">
        <is>
          <t>TIG0001</t>
        </is>
      </c>
      <c r="AQ756" s="318" t="n"/>
      <c r="AR756" s="317" t="n"/>
      <c r="AS756" s="257" t="n"/>
      <c r="AT756" s="258" t="n"/>
      <c r="AU756" s="318" t="n"/>
      <c r="AV756" s="317" t="n"/>
      <c r="AW756" s="257" t="n"/>
      <c r="AX756" s="258" t="n"/>
      <c r="AY756" s="318" t="n"/>
      <c r="AZ756" s="317" t="n"/>
      <c r="BA756" s="257" t="n"/>
      <c r="BB756" s="258" t="n"/>
      <c r="BC756" s="316" t="n"/>
      <c r="BD756" s="317" t="n"/>
      <c r="BE756" s="257" t="n"/>
      <c r="BF756" s="258" t="n"/>
      <c r="BG756" s="89" t="n"/>
      <c r="BH7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56">
        <f>_xlfn.LET(r,ROW(),oc,INDEX($A:$A,r),cv,TRIM(INDEX($Y:$Y,r)&amp;""),IF(oc&lt;&gt;"P1","",IF(cv="45","V45 - novo, nao alimentado pelo spool atual","V44 - alimentado pelo spool atual")))</f>
        <v/>
      </c>
    </row>
    <row r="757" ht="54" customFormat="1" customHeight="1" s="91">
      <c r="A757" s="306" t="inlineStr">
        <is>
          <t>P1</t>
        </is>
      </c>
      <c r="B757" s="307" t="n">
        <v>522</v>
      </c>
      <c r="C757" s="269" t="inlineStr">
        <is>
          <t xml:space="preserve">19 - Données comptables </t>
        </is>
      </c>
      <c r="D757" s="236" t="inlineStr">
        <is>
          <t>19 - Accounting data</t>
        </is>
      </c>
      <c r="E757" s="307" t="inlineStr">
        <is>
          <t>P1 50.5</t>
        </is>
      </c>
      <c r="F757" s="460" t="inlineStr">
        <is>
          <t>Montant du principal 2</t>
        </is>
      </c>
      <c r="G757" s="309" t="inlineStr">
        <is>
          <t>Amount of principal 2</t>
        </is>
      </c>
      <c r="H757" s="1493">
        <f>"RPAD( "&amp;SUBSTITUTE(SUBSTITUTE(E757," ","_"),".","_")&amp;","&amp;W757&amp;",' '); -- "&amp;E757</f>
        <v/>
      </c>
      <c r="I757" s="460" t="inlineStr">
        <is>
          <t>Il s'agit du solde du compte déclaré dans le champ "PCCO Montant du principal 2", en devise de liasse comptable de l'entité porteuse de risques, à la date d'arrêté</t>
        </is>
      </c>
      <c r="J757" s="309" t="inlineStr">
        <is>
          <t>This is the account balance declared in the "PCCO Amount of Principal 2" field, in the accounting package currency of the risk-bearing entity, on the closing date</t>
        </is>
      </c>
      <c r="K757" s="370" t="inlineStr">
        <is>
          <t>ND</t>
        </is>
      </c>
      <c r="L757" s="371" t="inlineStr">
        <is>
          <t>ND</t>
        </is>
      </c>
      <c r="M757" s="1420" t="inlineStr">
        <is>
          <t>mtPCCO2</t>
        </is>
      </c>
      <c r="N757" s="231" t="inlineStr">
        <is>
          <t>Obligatoire sous conditions</t>
        </is>
      </c>
      <c r="O757" s="310" t="inlineStr">
        <is>
          <t>Mandatory under conditions</t>
        </is>
      </c>
      <c r="P757" s="269" t="inlineStr">
        <is>
          <t>NA</t>
        </is>
      </c>
      <c r="Q757" s="269" t="inlineStr">
        <is>
          <t>NA</t>
        </is>
      </c>
      <c r="R757" s="241" t="inlineStr">
        <is>
          <t>NA</t>
        </is>
      </c>
      <c r="S757" s="233" t="inlineStr">
        <is>
          <t>NA</t>
        </is>
      </c>
      <c r="T757" s="313" t="inlineStr">
        <is>
          <t>NUM</t>
        </is>
      </c>
      <c r="U757" s="237" t="inlineStr">
        <is>
          <t>19 dont signe et 2 décimales</t>
        </is>
      </c>
      <c r="V757" s="238" t="inlineStr">
        <is>
          <t>19 including sign and 2 decimals</t>
        </is>
      </c>
      <c r="W757" s="257" t="n">
        <v>19</v>
      </c>
      <c r="X757" s="945" t="inlineStr">
        <is>
          <t>NA</t>
        </is>
      </c>
      <c r="Y757" s="237" t="n">
        <v>43</v>
      </c>
      <c r="Z757" s="237" t="inlineStr">
        <is>
          <t>NA</t>
        </is>
      </c>
      <c r="AA757" s="239" t="inlineStr">
        <is>
          <t>45.00</t>
        </is>
      </c>
      <c r="AB757" s="932" t="inlineStr">
        <is>
          <t>LIQUIDITE, MREL</t>
        </is>
      </c>
      <c r="AC757" s="231" t="inlineStr">
        <is>
          <t>ND</t>
        </is>
      </c>
      <c r="AD757" s="257" t="inlineStr">
        <is>
          <t>N</t>
        </is>
      </c>
      <c r="AE757" s="971" t="inlineStr">
        <is>
          <t>VAR*
INT</t>
        </is>
      </c>
      <c r="AF757" s="257" t="inlineStr">
        <is>
          <t>NA</t>
        </is>
      </c>
      <c r="AG757" s="258" t="inlineStr">
        <is>
          <t>NA</t>
        </is>
      </c>
      <c r="AH757" s="89" t="n"/>
      <c r="AI757" s="500" t="inlineStr">
        <is>
          <t>La donnée est obligatoire si la donnée PCCO - Montant du principal 2 [P1 50.4] est renseignée</t>
        </is>
      </c>
      <c r="AJ757" s="317" t="inlineStr">
        <is>
          <t>The data is mandatory if the PCCO - Amount of principal 2 [P1 50.4] data is filled</t>
        </is>
      </c>
      <c r="AK757" s="257" t="n">
        <v>7</v>
      </c>
      <c r="AL757" s="345" t="inlineStr">
        <is>
          <t>TPS0926</t>
        </is>
      </c>
      <c r="AM757" s="318" t="n"/>
      <c r="AN757" s="317" t="n"/>
      <c r="AO757" s="257" t="n"/>
      <c r="AP757" s="258" t="n"/>
      <c r="AQ757" s="318" t="n"/>
      <c r="AR757" s="317" t="n"/>
      <c r="AS757" s="257" t="n"/>
      <c r="AT757" s="258" t="n"/>
      <c r="AU757" s="318" t="n"/>
      <c r="AV757" s="317" t="n"/>
      <c r="AW757" s="257" t="n"/>
      <c r="AX757" s="258" t="n"/>
      <c r="AY757" s="318" t="n"/>
      <c r="AZ757" s="317" t="n"/>
      <c r="BA757" s="257" t="n"/>
      <c r="BB757" s="258" t="n"/>
      <c r="BC757" s="316" t="n"/>
      <c r="BD757" s="317" t="n"/>
      <c r="BE757" s="257" t="n"/>
      <c r="BF757" s="258" t="n"/>
      <c r="BG757" s="89" t="n"/>
      <c r="BH7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57">
        <f>_xlfn.LET(r,ROW(),oc,INDEX($A:$A,r),cv,TRIM(INDEX($Y:$Y,r)&amp;""),IF(oc&lt;&gt;"P1","",IF(cv="45","V45 - novo, nao alimentado pelo spool atual","V44 - alimentado pelo spool atual")))</f>
        <v/>
      </c>
    </row>
    <row r="758" ht="54" customFormat="1" customHeight="1" s="91">
      <c r="A758" s="306" t="inlineStr">
        <is>
          <t>P1</t>
        </is>
      </c>
      <c r="B758" s="307" t="n">
        <v>523</v>
      </c>
      <c r="C758" s="269" t="inlineStr">
        <is>
          <t xml:space="preserve">19 - Données comptables </t>
        </is>
      </c>
      <c r="D758" s="236" t="inlineStr">
        <is>
          <t>19 - Accounting data</t>
        </is>
      </c>
      <c r="E758" s="307" t="inlineStr">
        <is>
          <t>P1 50.8</t>
        </is>
      </c>
      <c r="F758" s="375" t="inlineStr">
        <is>
          <t>PCCO - Montant des Dettes et créances rattachées</t>
        </is>
      </c>
      <c r="G758" s="309" t="inlineStr">
        <is>
          <t>PCCO - Amount of related Debts and receivables</t>
        </is>
      </c>
      <c r="H758" s="1493">
        <f>"RPAD( "&amp;SUBSTITUTE(SUBSTITUTE(E758," ","_"),".","_")&amp;","&amp;W758&amp;",' '); -- "&amp;E758</f>
        <v/>
      </c>
      <c r="I758" s="460" t="inlineStr">
        <is>
          <t>Code du compte dans le plan de comptes consolidé prudentiel
Le compte "PCCO - Montant des Dettes et créances rattachées" correspond au compte comptabilisant les intérêts courus au bilan</t>
        </is>
      </c>
      <c r="J758" s="309" t="inlineStr">
        <is>
          <t>Account code in the prudential consolidated chart of accounts
The "PCCO - Amount of related Debts and receivables" account corresponds to the account recording accrued interests in the balance sheet</t>
        </is>
      </c>
      <c r="K758" s="370" t="inlineStr">
        <is>
          <t>ND</t>
        </is>
      </c>
      <c r="L758" s="371" t="inlineStr">
        <is>
          <t>ND</t>
        </is>
      </c>
      <c r="M758" s="1420" t="inlineStr">
        <is>
          <t>noPCCOCreances</t>
        </is>
      </c>
      <c r="N758" s="257" t="inlineStr">
        <is>
          <t>Obligatoire sous conditions</t>
        </is>
      </c>
      <c r="O758" s="284" t="inlineStr">
        <is>
          <t>Mandatory under conditions</t>
        </is>
      </c>
      <c r="P758" s="269" t="inlineStr">
        <is>
          <t>LC.0111</t>
        </is>
      </c>
      <c r="Q758" s="269" t="inlineStr">
        <is>
          <t>TA H8PCCO</t>
        </is>
      </c>
      <c r="R758" s="241" t="inlineStr">
        <is>
          <t>NA</t>
        </is>
      </c>
      <c r="S758" s="233" t="inlineStr">
        <is>
          <t>NA</t>
        </is>
      </c>
      <c r="T758" s="313" t="inlineStr">
        <is>
          <t>ALPHA</t>
        </is>
      </c>
      <c r="U758" s="237" t="inlineStr">
        <is>
          <t>NA</t>
        </is>
      </c>
      <c r="V758" s="238" t="inlineStr">
        <is>
          <t>NA</t>
        </is>
      </c>
      <c r="W758" s="257" t="n">
        <v>12</v>
      </c>
      <c r="X758" s="945" t="inlineStr">
        <is>
          <t>NA</t>
        </is>
      </c>
      <c r="Y758" s="237" t="n">
        <v>43</v>
      </c>
      <c r="Z758" s="237" t="inlineStr">
        <is>
          <t>NA</t>
        </is>
      </c>
      <c r="AA758" s="239" t="inlineStr">
        <is>
          <t>45.00</t>
        </is>
      </c>
      <c r="AB758" s="932" t="inlineStr">
        <is>
          <t>LIQUIDITE, MREL</t>
        </is>
      </c>
      <c r="AC758" s="231" t="inlineStr">
        <is>
          <t>ND</t>
        </is>
      </c>
      <c r="AD758" s="257" t="inlineStr">
        <is>
          <t>N</t>
        </is>
      </c>
      <c r="AE758" s="971" t="inlineStr">
        <is>
          <t>EQU101
EQU201
ISS100
ISS200 et 300
TRE100
TRE2 à 4XX hors 203,205,206,207
TRE5XX
SIG
VAR*
INT</t>
        </is>
      </c>
      <c r="AF758" s="257" t="inlineStr">
        <is>
          <t>NA</t>
        </is>
      </c>
      <c r="AG758" s="258" t="inlineStr">
        <is>
          <t>NA</t>
        </is>
      </c>
      <c r="AH758" s="89" t="n"/>
      <c r="AI758" s="710" t="inlineStr">
        <is>
          <t>La donnée est obligatoire si le type de risque [P1 2.0] = TRE2xx à TRE5xx (hors TRE201, TRE203, TRE205, TRE206, TRE207), ISSxx
---
La donnée est obligatoire si le type de risque [P1 2.0] = TRE201 ET si Indicateur Différé carte de paiement [P1 22.69] = 'N'</t>
        </is>
      </c>
      <c r="AJ758" s="317" t="inlineStr">
        <is>
          <t>The data is mandatory if Risk type [P1 2.0] = TRE2xx to TRE5xx (except TRE201, TRE203, TRE205, TRE206, TRE207), ISSxx
---
The data is mandatory if Risk type [P1 2.0] = TRE201 AND if Credit granted via delayed debit cards indicator [P1 22.69] = 'N'</t>
        </is>
      </c>
      <c r="AK758" s="257" t="n">
        <v>6</v>
      </c>
      <c r="AL758" s="606" t="inlineStr">
        <is>
          <t>TPS0927
TPS0928</t>
        </is>
      </c>
      <c r="AM758" s="452" t="inlineStr">
        <is>
          <t>Si elle est renseignée, la valeur doit être connue du Langage Commun associé</t>
        </is>
      </c>
      <c r="AN758" s="377" t="inlineStr">
        <is>
          <t>If specified, the value must be known to the associated Common Language</t>
        </is>
      </c>
      <c r="AO758" s="257" t="n">
        <v>7</v>
      </c>
      <c r="AP758" s="212" t="inlineStr">
        <is>
          <t>TIG0001</t>
        </is>
      </c>
      <c r="AQ758" s="318" t="n"/>
      <c r="AR758" s="317" t="n"/>
      <c r="AS758" s="257" t="n"/>
      <c r="AT758" s="258" t="n"/>
      <c r="AU758" s="318" t="n"/>
      <c r="AV758" s="317" t="n"/>
      <c r="AW758" s="257" t="n"/>
      <c r="AX758" s="258" t="n"/>
      <c r="AY758" s="318" t="n"/>
      <c r="AZ758" s="317" t="n"/>
      <c r="BA758" s="257" t="n"/>
      <c r="BB758" s="258" t="n"/>
      <c r="BC758" s="316" t="n"/>
      <c r="BD758" s="317" t="n"/>
      <c r="BE758" s="257" t="n"/>
      <c r="BF758" s="258" t="n"/>
      <c r="BG758" s="89" t="n"/>
      <c r="BH7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58">
        <f>_xlfn.LET(r,ROW(),oc,INDEX($A:$A,r),cv,TRIM(INDEX($Y:$Y,r)&amp;""),IF(oc&lt;&gt;"P1","",IF(cv="45","V45 - novo, nao alimentado pelo spool atual","V44 - alimentado pelo spool atual")))</f>
        <v/>
      </c>
    </row>
    <row r="759" ht="54" customFormat="1" customHeight="1" s="91">
      <c r="A759" s="306" t="inlineStr">
        <is>
          <t>P1</t>
        </is>
      </c>
      <c r="B759" s="307" t="n">
        <v>524</v>
      </c>
      <c r="C759" s="269" t="inlineStr">
        <is>
          <t xml:space="preserve">19 - Données comptables </t>
        </is>
      </c>
      <c r="D759" s="236" t="inlineStr">
        <is>
          <t>19 - Accounting data</t>
        </is>
      </c>
      <c r="E759" s="307" t="inlineStr">
        <is>
          <t>P1 50.9</t>
        </is>
      </c>
      <c r="F759" s="308" t="inlineStr">
        <is>
          <t>Montant des Dettes et créances rattachées</t>
        </is>
      </c>
      <c r="G759" s="309" t="inlineStr">
        <is>
          <t>Amount of related Debts and receivables</t>
        </is>
      </c>
      <c r="H759" s="1493">
        <f>"RPAD( "&amp;SUBSTITUTE(SUBSTITUTE(E759," ","_"),".","_")&amp;","&amp;W759&amp;",' '); -- "&amp;E759</f>
        <v/>
      </c>
      <c r="I759" s="460" t="inlineStr">
        <is>
          <t>Il s'agit du solde du compte déclaré dans le champ "PCCO - Montant des Dettes et créances rattachées" en devise de liasse comptable de l'entité porteuse de risques, à la date d'arrêté</t>
        </is>
      </c>
      <c r="J759" s="309" t="inlineStr">
        <is>
          <t>This is the account balance declared in the "PCCO - Amount of related Debts and receivables" field, in the accounting package currency of the risk-bearing entity, on the closing date</t>
        </is>
      </c>
      <c r="K759" s="370" t="inlineStr">
        <is>
          <t>ND</t>
        </is>
      </c>
      <c r="L759" s="371" t="inlineStr">
        <is>
          <t>ND</t>
        </is>
      </c>
      <c r="M759" s="1420" t="inlineStr">
        <is>
          <t>mtPCCOCreances</t>
        </is>
      </c>
      <c r="N759" s="231" t="inlineStr">
        <is>
          <t>Obligatoire sous conditions</t>
        </is>
      </c>
      <c r="O759" s="310" t="inlineStr">
        <is>
          <t>Mandatory under conditions</t>
        </is>
      </c>
      <c r="P759" s="269" t="inlineStr">
        <is>
          <t>NA</t>
        </is>
      </c>
      <c r="Q759" s="269" t="inlineStr">
        <is>
          <t>NA</t>
        </is>
      </c>
      <c r="R759" s="241" t="inlineStr">
        <is>
          <t>NA</t>
        </is>
      </c>
      <c r="S759" s="233" t="inlineStr">
        <is>
          <t>NA</t>
        </is>
      </c>
      <c r="T759" s="313" t="inlineStr">
        <is>
          <t>NUM</t>
        </is>
      </c>
      <c r="U759" s="237" t="inlineStr">
        <is>
          <t>19 dont signe et 2 décimales</t>
        </is>
      </c>
      <c r="V759" s="238" t="inlineStr">
        <is>
          <t>19 including sign and 2 decimals</t>
        </is>
      </c>
      <c r="W759" s="257" t="n">
        <v>19</v>
      </c>
      <c r="X759" s="945" t="inlineStr">
        <is>
          <t>NA</t>
        </is>
      </c>
      <c r="Y759" s="237" t="n">
        <v>43</v>
      </c>
      <c r="Z759" s="237" t="inlineStr">
        <is>
          <t>NA</t>
        </is>
      </c>
      <c r="AA759" s="239" t="inlineStr">
        <is>
          <t>45.00</t>
        </is>
      </c>
      <c r="AB759" s="932" t="inlineStr">
        <is>
          <t>LIQUIDITE, MREL</t>
        </is>
      </c>
      <c r="AC759" s="231" t="inlineStr">
        <is>
          <t>ND</t>
        </is>
      </c>
      <c r="AD759" s="257" t="inlineStr">
        <is>
          <t>N</t>
        </is>
      </c>
      <c r="AE759" s="971" t="inlineStr">
        <is>
          <t>EQU101
EQU201
ISS100
ISS200 et 300
TRE100
TRE2 à 4XX hors 203,205,206,207
TRE5XX
SIG
VAR*
INT</t>
        </is>
      </c>
      <c r="AF759" s="257" t="inlineStr">
        <is>
          <t>NA</t>
        </is>
      </c>
      <c r="AG759" s="258" t="inlineStr">
        <is>
          <t>NA</t>
        </is>
      </c>
      <c r="AH759" s="89" t="n"/>
      <c r="AI759" s="500" t="inlineStr">
        <is>
          <t>La donnée est obligatoire si la donnée PCCO - Montant des Dettes et créances rattachées [P1 50.8] est renseignée</t>
        </is>
      </c>
      <c r="AJ759" s="317" t="inlineStr">
        <is>
          <t>The data is mandatory if PCCO - Amount of related Debts and receivables [P1 50.8] is filled</t>
        </is>
      </c>
      <c r="AK759" s="257" t="n">
        <v>7</v>
      </c>
      <c r="AL759" s="345" t="inlineStr">
        <is>
          <t>TPS0929</t>
        </is>
      </c>
      <c r="AM759" s="318" t="n"/>
      <c r="AN759" s="317" t="n"/>
      <c r="AO759" s="257" t="n"/>
      <c r="AP759" s="258" t="n"/>
      <c r="AQ759" s="318" t="n"/>
      <c r="AR759" s="317" t="n"/>
      <c r="AS759" s="257" t="n"/>
      <c r="AT759" s="258" t="n"/>
      <c r="AU759" s="318" t="n"/>
      <c r="AV759" s="317" t="n"/>
      <c r="AW759" s="257" t="n"/>
      <c r="AX759" s="258" t="n"/>
      <c r="AY759" s="318" t="n"/>
      <c r="AZ759" s="317" t="n"/>
      <c r="BA759" s="257" t="n"/>
      <c r="BB759" s="258" t="n"/>
      <c r="BC759" s="316" t="n"/>
      <c r="BD759" s="317" t="n"/>
      <c r="BE759" s="257" t="n"/>
      <c r="BF759" s="258" t="n"/>
      <c r="BG759" s="89" t="n"/>
      <c r="BH7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59">
        <f>_xlfn.LET(r,ROW(),oc,INDEX($A:$A,r),cv,TRIM(INDEX($Y:$Y,r)&amp;""),IF(oc&lt;&gt;"P1","",IF(cv="45","V45 - novo, nao alimentado pelo spool atual","V44 - alimentado pelo spool atual")))</f>
        <v/>
      </c>
    </row>
    <row r="760" ht="54" customFormat="1" customHeight="1" s="91">
      <c r="A760" s="306" t="inlineStr">
        <is>
          <t>P1</t>
        </is>
      </c>
      <c r="B760" s="307" t="n">
        <v>525</v>
      </c>
      <c r="C760" s="269" t="inlineStr">
        <is>
          <t xml:space="preserve">19 - Données comptables </t>
        </is>
      </c>
      <c r="D760" s="236" t="inlineStr">
        <is>
          <t>19 - Accounting data</t>
        </is>
      </c>
      <c r="E760" s="307" t="inlineStr">
        <is>
          <t>P1 50.14</t>
        </is>
      </c>
      <c r="F760" s="460" t="inlineStr">
        <is>
          <t>PCCO - Montant Marge initiale - Fonds de défaut</t>
        </is>
      </c>
      <c r="G760" s="309" t="inlineStr">
        <is>
          <t>PCCO - Amount of initial margin - Default fund</t>
        </is>
      </c>
      <c r="H760" s="1493">
        <f>"RPAD( "&amp;SUBSTITUTE(SUBSTITUTE(E760," ","_"),".","_")&amp;","&amp;W760&amp;",' '); -- "&amp;E760</f>
        <v/>
      </c>
      <c r="I760" s="375" t="inlineStr">
        <is>
          <t>Code du compte dans le plan de comptes consolidé prudentiel
Le compte "PCCO - Montant Marge initiale - Fonds de défaut" correspond aux comptes comptabilisant les marges intiales versées (avec ou sans CCP) lors d'opérations sur dérivés ou d'opérations sur pensions ou Fonds de défaut versés auprès d'une CCP</t>
        </is>
      </c>
      <c r="J760" s="309" t="inlineStr">
        <is>
          <t>Account code in the prudential consolidated chart of accounts
The "PCCO - Amount of initial margin - Default fund" account corresponds of the accounts recording the amount of Initial margins paid (with or not CCP) during operations of derivatives or repos or Default fund paid to CCP</t>
        </is>
      </c>
      <c r="K760" s="370" t="inlineStr">
        <is>
          <t>ND</t>
        </is>
      </c>
      <c r="L760" s="371" t="inlineStr">
        <is>
          <t>ND</t>
        </is>
      </c>
      <c r="M760" s="1424" t="inlineStr">
        <is>
          <t>cdPCCOMargeIni</t>
        </is>
      </c>
      <c r="N760" s="257" t="inlineStr">
        <is>
          <t>Obligatoire sous conditions</t>
        </is>
      </c>
      <c r="O760" s="310" t="inlineStr">
        <is>
          <t>Mandatory under conditions</t>
        </is>
      </c>
      <c r="P760" s="269" t="inlineStr">
        <is>
          <t>LC.0111</t>
        </is>
      </c>
      <c r="Q760" s="269" t="inlineStr">
        <is>
          <t>TA H8PCCO</t>
        </is>
      </c>
      <c r="R760" s="241" t="inlineStr">
        <is>
          <t>NA</t>
        </is>
      </c>
      <c r="S760" s="233" t="inlineStr">
        <is>
          <t>NA</t>
        </is>
      </c>
      <c r="T760" s="313" t="inlineStr">
        <is>
          <t>ALPHA</t>
        </is>
      </c>
      <c r="U760" s="237" t="inlineStr">
        <is>
          <t>NA</t>
        </is>
      </c>
      <c r="V760" s="238" t="inlineStr">
        <is>
          <t>NA</t>
        </is>
      </c>
      <c r="W760" s="257" t="n">
        <v>12</v>
      </c>
      <c r="X760" s="945" t="inlineStr">
        <is>
          <t>NA</t>
        </is>
      </c>
      <c r="Y760" s="237" t="n">
        <v>43</v>
      </c>
      <c r="Z760" s="237" t="inlineStr">
        <is>
          <t>NA</t>
        </is>
      </c>
      <c r="AA760" s="239" t="inlineStr">
        <is>
          <t>NA</t>
        </is>
      </c>
      <c r="AB760" s="269" t="inlineStr">
        <is>
          <t>USAGE ZP</t>
        </is>
      </c>
      <c r="AC760" s="231" t="inlineStr">
        <is>
          <t>ND</t>
        </is>
      </c>
      <c r="AD760" s="257" t="inlineStr">
        <is>
          <t>N</t>
        </is>
      </c>
      <c r="AE760" s="257" t="inlineStr">
        <is>
          <t>TRE203, 205, 207</t>
        </is>
      </c>
      <c r="AF760" s="257" t="inlineStr">
        <is>
          <t>NA</t>
        </is>
      </c>
      <c r="AG760" s="258" t="inlineStr">
        <is>
          <t>NA</t>
        </is>
      </c>
      <c r="AH760" s="89" t="n"/>
      <c r="AI760" s="316" t="inlineStr">
        <is>
          <t>La donnée est obligatoire si le type de risque [P1 2.0] = 'TRE203', 'TRE205', 'TRE207'</t>
        </is>
      </c>
      <c r="AJ760" s="317" t="inlineStr">
        <is>
          <t>The data is mandatory if Risk type [P1 2.0] = 'TRE203', 'TRE205', 'TRE207'</t>
        </is>
      </c>
      <c r="AK760" s="257" t="n">
        <v>6</v>
      </c>
      <c r="AL760" s="345" t="inlineStr">
        <is>
          <t>TPS0930</t>
        </is>
      </c>
      <c r="AM760" s="452" t="inlineStr">
        <is>
          <t>Si elle est renseignée, la valeur doit être connue du Langage Commun associé</t>
        </is>
      </c>
      <c r="AN760" s="377" t="inlineStr">
        <is>
          <t>If specified, the value must be known to the associated Common Language</t>
        </is>
      </c>
      <c r="AO760" s="257" t="n">
        <v>7</v>
      </c>
      <c r="AP760" s="212" t="inlineStr">
        <is>
          <t>TIG0001</t>
        </is>
      </c>
      <c r="AQ760" s="318" t="n"/>
      <c r="AR760" s="317" t="n"/>
      <c r="AS760" s="257" t="n"/>
      <c r="AT760" s="258" t="n"/>
      <c r="AU760" s="318" t="n"/>
      <c r="AV760" s="317" t="n"/>
      <c r="AW760" s="257" t="n"/>
      <c r="AX760" s="258" t="n"/>
      <c r="AY760" s="318" t="n"/>
      <c r="AZ760" s="317" t="n"/>
      <c r="BA760" s="257" t="n"/>
      <c r="BB760" s="258" t="n"/>
      <c r="BC760" s="316" t="n"/>
      <c r="BD760" s="317" t="n"/>
      <c r="BE760" s="257" t="n"/>
      <c r="BF760" s="258" t="n"/>
      <c r="BG760" s="89" t="n"/>
      <c r="BH7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60">
        <f>_xlfn.LET(r,ROW(),oc,INDEX($A:$A,r),cv,TRIM(INDEX($Y:$Y,r)&amp;""),IF(oc&lt;&gt;"P1","",IF(cv="45","V45 - novo, nao alimentado pelo spool atual","V44 - alimentado pelo spool atual")))</f>
        <v/>
      </c>
    </row>
    <row r="761" ht="54" customFormat="1" customHeight="1" s="91">
      <c r="A761" s="306" t="inlineStr">
        <is>
          <t>P1</t>
        </is>
      </c>
      <c r="B761" s="307" t="n">
        <v>526</v>
      </c>
      <c r="C761" s="269" t="inlineStr">
        <is>
          <t xml:space="preserve">19 - Données comptables </t>
        </is>
      </c>
      <c r="D761" s="236" t="inlineStr">
        <is>
          <t>19 - Accounting data</t>
        </is>
      </c>
      <c r="E761" s="307" t="inlineStr">
        <is>
          <t>P1 50.15</t>
        </is>
      </c>
      <c r="F761" s="308" t="inlineStr">
        <is>
          <t>Montant Marge initiale - Fonds de défaut</t>
        </is>
      </c>
      <c r="G761" s="309" t="inlineStr">
        <is>
          <t>Amount of initial margin - Default fund</t>
        </is>
      </c>
      <c r="H761" s="1493">
        <f>"RPAD( "&amp;SUBSTITUTE(SUBSTITUTE(E761," ","_"),".","_")&amp;","&amp;W761&amp;",' '); -- "&amp;E761</f>
        <v/>
      </c>
      <c r="I761" s="460" t="inlineStr">
        <is>
          <t>Il s'agit du solde du compte déclaré dans le champ "PCCO - Montant Marge initiale - Fonds de défaut", en devise de liasse comptable de l'entité porteuse de risques, à la date d'arrêté</t>
        </is>
      </c>
      <c r="J761" s="309" t="inlineStr">
        <is>
          <t>This is the account balance declared in the "PCCO - Amount of initial margin - Default fund" field, in the accounting package currency of the risk-bearing entity, on the closing date</t>
        </is>
      </c>
      <c r="K761" s="370" t="inlineStr">
        <is>
          <t>ND</t>
        </is>
      </c>
      <c r="L761" s="371" t="inlineStr">
        <is>
          <t>ND</t>
        </is>
      </c>
      <c r="M761" s="1424" t="inlineStr">
        <is>
          <t>mtPCCOMargeIni</t>
        </is>
      </c>
      <c r="N761" s="257" t="inlineStr">
        <is>
          <t>Obligatoire sous conditions</t>
        </is>
      </c>
      <c r="O761" s="310" t="inlineStr">
        <is>
          <t>Mandatory under conditions</t>
        </is>
      </c>
      <c r="P761" s="269" t="inlineStr">
        <is>
          <t>NA</t>
        </is>
      </c>
      <c r="Q761" s="269" t="inlineStr">
        <is>
          <t>NA</t>
        </is>
      </c>
      <c r="R761" s="241" t="inlineStr">
        <is>
          <t>NA</t>
        </is>
      </c>
      <c r="S761" s="233" t="inlineStr">
        <is>
          <t>NA</t>
        </is>
      </c>
      <c r="T761" s="313" t="inlineStr">
        <is>
          <t>NUM</t>
        </is>
      </c>
      <c r="U761" s="237" t="inlineStr">
        <is>
          <t>19 dont signe et 2 décimales</t>
        </is>
      </c>
      <c r="V761" s="238" t="inlineStr">
        <is>
          <t>19 including sign and 2 decimals</t>
        </is>
      </c>
      <c r="W761" s="257" t="n">
        <v>19</v>
      </c>
      <c r="X761" s="945" t="inlineStr">
        <is>
          <t>NA</t>
        </is>
      </c>
      <c r="Y761" s="237" t="n">
        <v>43</v>
      </c>
      <c r="Z761" s="237" t="inlineStr">
        <is>
          <t>NA</t>
        </is>
      </c>
      <c r="AA761" s="239" t="inlineStr">
        <is>
          <t>NA</t>
        </is>
      </c>
      <c r="AB761" s="269" t="inlineStr">
        <is>
          <t>USAGE ZP</t>
        </is>
      </c>
      <c r="AC761" s="231" t="inlineStr">
        <is>
          <t>ND</t>
        </is>
      </c>
      <c r="AD761" s="257" t="inlineStr">
        <is>
          <t>N</t>
        </is>
      </c>
      <c r="AE761" s="257" t="inlineStr">
        <is>
          <t>TRE203, 205, 207</t>
        </is>
      </c>
      <c r="AF761" s="257" t="inlineStr">
        <is>
          <t>NA</t>
        </is>
      </c>
      <c r="AG761" s="258" t="inlineStr">
        <is>
          <t>NA</t>
        </is>
      </c>
      <c r="AH761" s="89" t="n"/>
      <c r="AI761" s="500" t="inlineStr">
        <is>
          <t>La donnée est obligatoire si la donnée PCCO - Montant Marge initiale - Fonds de défaut [P1 50.14] est renseignée</t>
        </is>
      </c>
      <c r="AJ761" s="317" t="inlineStr">
        <is>
          <t>The data is mandatory if the data PCCO - Amount of initial margin - Default fund [P1 50.14] is filled</t>
        </is>
      </c>
      <c r="AK761" s="257" t="n">
        <v>7</v>
      </c>
      <c r="AL761" s="565" t="inlineStr">
        <is>
          <t>TPS0931</t>
        </is>
      </c>
      <c r="AM761" s="318" t="n"/>
      <c r="AN761" s="317" t="n"/>
      <c r="AO761" s="257" t="n"/>
      <c r="AP761" s="258" t="n"/>
      <c r="AQ761" s="318" t="n"/>
      <c r="AR761" s="317" t="n"/>
      <c r="AS761" s="257" t="n"/>
      <c r="AT761" s="258" t="n"/>
      <c r="AU761" s="318" t="n"/>
      <c r="AV761" s="317" t="n"/>
      <c r="AW761" s="257" t="n"/>
      <c r="AX761" s="258" t="n"/>
      <c r="AY761" s="318" t="n"/>
      <c r="AZ761" s="317" t="n"/>
      <c r="BA761" s="257" t="n"/>
      <c r="BB761" s="258" t="n"/>
      <c r="BC761" s="316" t="n"/>
      <c r="BD761" s="317" t="n"/>
      <c r="BE761" s="257" t="n"/>
      <c r="BF761" s="258" t="n"/>
      <c r="BG761" s="89" t="n"/>
      <c r="BH7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61">
        <f>_xlfn.LET(r,ROW(),oc,INDEX($A:$A,r),cv,TRIM(INDEX($Y:$Y,r)&amp;""),IF(oc&lt;&gt;"P1","",IF(cv="45","V45 - novo, nao alimentado pelo spool atual","V44 - alimentado pelo spool atual")))</f>
        <v/>
      </c>
    </row>
    <row r="762" ht="54" customFormat="1" customHeight="1" s="91">
      <c r="A762" s="306" t="inlineStr">
        <is>
          <t>P1</t>
        </is>
      </c>
      <c r="B762" s="307" t="n">
        <v>527</v>
      </c>
      <c r="C762" s="269" t="inlineStr">
        <is>
          <t xml:space="preserve">19 - Données comptables </t>
        </is>
      </c>
      <c r="D762" s="236" t="inlineStr">
        <is>
          <t>19 - Accounting data</t>
        </is>
      </c>
      <c r="E762" s="307" t="inlineStr">
        <is>
          <t>P1 50.16</t>
        </is>
      </c>
      <c r="F762" s="460" t="inlineStr">
        <is>
          <t>PCCO - Montant Marge variable</t>
        </is>
      </c>
      <c r="G762" s="309" t="inlineStr">
        <is>
          <t>PCCO - Amount of Variable margin</t>
        </is>
      </c>
      <c r="H762" s="1493">
        <f>"RPAD( "&amp;SUBSTITUTE(SUBSTITUTE(E762," ","_"),".","_")&amp;","&amp;W762&amp;",' '); -- "&amp;E762</f>
        <v/>
      </c>
      <c r="I762" s="375" t="inlineStr">
        <is>
          <t>Code du compte dans le plan de comptes consolidé prudentiel
Le compte "PCCO - Montant Marge variable" correspond aux comptes comptabilisant les marges variables versées (avec ou sans CCP) lors d'opérations sur dérivés ou d'opérations sur pensions</t>
        </is>
      </c>
      <c r="J762" s="309" t="inlineStr">
        <is>
          <t>Account code in the prudential consolidated chart of accounts
The "PCCO - Amount of Variable margin" account corresponds of the accounts recording the amount of variable margins paid (with or not CCP) during operations of derivatives or repos</t>
        </is>
      </c>
      <c r="K762" s="370" t="inlineStr">
        <is>
          <t>ND</t>
        </is>
      </c>
      <c r="L762" s="371" t="inlineStr">
        <is>
          <t>ND</t>
        </is>
      </c>
      <c r="M762" s="1420" t="inlineStr">
        <is>
          <t>cdPCCOMargeVar</t>
        </is>
      </c>
      <c r="N762" s="257" t="inlineStr">
        <is>
          <t>Obligatoire sous conditions</t>
        </is>
      </c>
      <c r="O762" s="310" t="inlineStr">
        <is>
          <t>Mandatory under conditions</t>
        </is>
      </c>
      <c r="P762" s="269" t="inlineStr">
        <is>
          <t>LC.0111</t>
        </is>
      </c>
      <c r="Q762" s="269" t="inlineStr">
        <is>
          <t>TA H8PCCO</t>
        </is>
      </c>
      <c r="R762" s="241" t="inlineStr">
        <is>
          <t>NA</t>
        </is>
      </c>
      <c r="S762" s="233" t="inlineStr">
        <is>
          <t>NA</t>
        </is>
      </c>
      <c r="T762" s="313" t="inlineStr">
        <is>
          <t>ALPHA</t>
        </is>
      </c>
      <c r="U762" s="237" t="inlineStr">
        <is>
          <t>NA</t>
        </is>
      </c>
      <c r="V762" s="238" t="inlineStr">
        <is>
          <t>NA</t>
        </is>
      </c>
      <c r="W762" s="257" t="n">
        <v>12</v>
      </c>
      <c r="X762" s="945" t="inlineStr">
        <is>
          <t>NA</t>
        </is>
      </c>
      <c r="Y762" s="237" t="n">
        <v>43</v>
      </c>
      <c r="Z762" s="237" t="inlineStr">
        <is>
          <t>NA</t>
        </is>
      </c>
      <c r="AA762" s="239" t="inlineStr">
        <is>
          <t>NA</t>
        </is>
      </c>
      <c r="AB762" s="269" t="inlineStr">
        <is>
          <t>USAGE ZP</t>
        </is>
      </c>
      <c r="AC762" s="231" t="inlineStr">
        <is>
          <t>ND</t>
        </is>
      </c>
      <c r="AD762" s="257" t="inlineStr">
        <is>
          <t>N</t>
        </is>
      </c>
      <c r="AE762" s="257" t="inlineStr">
        <is>
          <t>TRE206</t>
        </is>
      </c>
      <c r="AF762" s="257" t="inlineStr">
        <is>
          <t>NA</t>
        </is>
      </c>
      <c r="AG762" s="258" t="inlineStr">
        <is>
          <t>NA</t>
        </is>
      </c>
      <c r="AH762" s="89" t="n"/>
      <c r="AI762" s="316" t="inlineStr">
        <is>
          <t>La donnée est obligatoire, si le type de risque [P1 2.0] = 'TRE206'</t>
        </is>
      </c>
      <c r="AJ762" s="317" t="inlineStr">
        <is>
          <t>The data is mandatory, if Risk type [P1 2.0] = 'TRE206'</t>
        </is>
      </c>
      <c r="AK762" s="257" t="n">
        <v>6</v>
      </c>
      <c r="AL762" s="345" t="inlineStr">
        <is>
          <t>TPS0834</t>
        </is>
      </c>
      <c r="AM762" s="452" t="inlineStr">
        <is>
          <t>Si elle est renseignée, la valeur doit être connue du Langage Commun associé</t>
        </is>
      </c>
      <c r="AN762" s="377" t="inlineStr">
        <is>
          <t>If specified, the value must be known to the associated Common Language</t>
        </is>
      </c>
      <c r="AO762" s="257" t="n">
        <v>7</v>
      </c>
      <c r="AP762" s="212" t="inlineStr">
        <is>
          <t>TIG0001</t>
        </is>
      </c>
      <c r="AQ762" s="318" t="n"/>
      <c r="AR762" s="317" t="n"/>
      <c r="AS762" s="257" t="n"/>
      <c r="AT762" s="258" t="n"/>
      <c r="AU762" s="318" t="n"/>
      <c r="AV762" s="317" t="n"/>
      <c r="AW762" s="257" t="n"/>
      <c r="AX762" s="258" t="n"/>
      <c r="AY762" s="318" t="n"/>
      <c r="AZ762" s="317" t="n"/>
      <c r="BA762" s="257" t="n"/>
      <c r="BB762" s="258" t="n"/>
      <c r="BC762" s="316" t="n"/>
      <c r="BD762" s="317" t="n"/>
      <c r="BE762" s="257" t="n"/>
      <c r="BF762" s="258" t="n"/>
      <c r="BG762" s="89" t="n"/>
      <c r="BH7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62">
        <f>_xlfn.LET(r,ROW(),oc,INDEX($A:$A,r),cv,TRIM(INDEX($Y:$Y,r)&amp;""),IF(oc&lt;&gt;"P1","",IF(cv="45","V45 - novo, nao alimentado pelo spool atual","V44 - alimentado pelo spool atual")))</f>
        <v/>
      </c>
    </row>
    <row r="763" ht="54" customFormat="1" customHeight="1" s="91">
      <c r="A763" s="306" t="inlineStr">
        <is>
          <t>P1</t>
        </is>
      </c>
      <c r="B763" s="307" t="n">
        <v>528</v>
      </c>
      <c r="C763" s="269" t="inlineStr">
        <is>
          <t xml:space="preserve">19 - Données comptables </t>
        </is>
      </c>
      <c r="D763" s="236" t="inlineStr">
        <is>
          <t>19 - Accounting data</t>
        </is>
      </c>
      <c r="E763" s="307" t="inlineStr">
        <is>
          <t>P1 50.17</t>
        </is>
      </c>
      <c r="F763" s="308" t="inlineStr">
        <is>
          <t>Montant Marge variable</t>
        </is>
      </c>
      <c r="G763" s="309" t="inlineStr">
        <is>
          <t>Amount of Variable margin</t>
        </is>
      </c>
      <c r="H763" s="1493">
        <f>"RPAD( "&amp;SUBSTITUTE(SUBSTITUTE(E763," ","_"),".","_")&amp;","&amp;W763&amp;",' '); -- "&amp;E763</f>
        <v/>
      </c>
      <c r="I763" s="460" t="inlineStr">
        <is>
          <t>Il s'agit du solde du compte déclaré dans le champ "PCCO - Montant Marge variable", en devise de liasse comptable de l'entité porteuse de risques, à la date d'arrêté</t>
        </is>
      </c>
      <c r="J763" s="309" t="inlineStr">
        <is>
          <t>This is the account balance declared in the "PCCO - Amount of Variable margin" field, in the accounting package currency of the risk-bearing entity, on the closing date</t>
        </is>
      </c>
      <c r="K763" s="370" t="inlineStr">
        <is>
          <t>ND</t>
        </is>
      </c>
      <c r="L763" s="371" t="inlineStr">
        <is>
          <t>ND</t>
        </is>
      </c>
      <c r="M763" s="1420" t="inlineStr">
        <is>
          <t>mtPCCOMargeVar</t>
        </is>
      </c>
      <c r="N763" s="257" t="inlineStr">
        <is>
          <t>Obligatoire sous conditions</t>
        </is>
      </c>
      <c r="O763" s="310" t="inlineStr">
        <is>
          <t>Mandatory under conditions</t>
        </is>
      </c>
      <c r="P763" s="269" t="inlineStr">
        <is>
          <t>NA</t>
        </is>
      </c>
      <c r="Q763" s="269" t="inlineStr">
        <is>
          <t>NA</t>
        </is>
      </c>
      <c r="R763" s="241" t="inlineStr">
        <is>
          <t>NA</t>
        </is>
      </c>
      <c r="S763" s="233" t="inlineStr">
        <is>
          <t>NA</t>
        </is>
      </c>
      <c r="T763" s="313" t="inlineStr">
        <is>
          <t>NUM</t>
        </is>
      </c>
      <c r="U763" s="237" t="inlineStr">
        <is>
          <t>19 dont signe et 2 décimales</t>
        </is>
      </c>
      <c r="V763" s="238" t="inlineStr">
        <is>
          <t>19 including sign and 2 decimals</t>
        </is>
      </c>
      <c r="W763" s="257" t="n">
        <v>19</v>
      </c>
      <c r="X763" s="945" t="inlineStr">
        <is>
          <t>NA</t>
        </is>
      </c>
      <c r="Y763" s="237" t="n">
        <v>43</v>
      </c>
      <c r="Z763" s="237" t="inlineStr">
        <is>
          <t>NA</t>
        </is>
      </c>
      <c r="AA763" s="239" t="inlineStr">
        <is>
          <t>NA</t>
        </is>
      </c>
      <c r="AB763" s="269" t="inlineStr">
        <is>
          <t>USAGE ZP</t>
        </is>
      </c>
      <c r="AC763" s="231" t="inlineStr">
        <is>
          <t>ND</t>
        </is>
      </c>
      <c r="AD763" s="257" t="inlineStr">
        <is>
          <t>N</t>
        </is>
      </c>
      <c r="AE763" s="257" t="inlineStr">
        <is>
          <t>TRE206</t>
        </is>
      </c>
      <c r="AF763" s="257" t="inlineStr">
        <is>
          <t>NA</t>
        </is>
      </c>
      <c r="AG763" s="258" t="inlineStr">
        <is>
          <t>NA</t>
        </is>
      </c>
      <c r="AH763" s="89" t="n"/>
      <c r="AI763" s="500" t="inlineStr">
        <is>
          <t>La donnée est obligatoire si la donnée PCCO - Montant Marge variable [P1 50.16] est renseignée</t>
        </is>
      </c>
      <c r="AJ763" s="317" t="inlineStr">
        <is>
          <t>The data is mandatory if the PCCO - Amount of Variable margin [P1 50.16] is filled</t>
        </is>
      </c>
      <c r="AK763" s="257" t="n">
        <v>7</v>
      </c>
      <c r="AL763" s="606" t="inlineStr">
        <is>
          <t>TPS0932</t>
        </is>
      </c>
      <c r="AM763" s="318" t="n"/>
      <c r="AN763" s="317" t="n"/>
      <c r="AO763" s="257" t="n"/>
      <c r="AP763" s="258" t="n"/>
      <c r="AQ763" s="318" t="n"/>
      <c r="AR763" s="317" t="n"/>
      <c r="AS763" s="257" t="n"/>
      <c r="AT763" s="258" t="n"/>
      <c r="AU763" s="318" t="n"/>
      <c r="AV763" s="317" t="n"/>
      <c r="AW763" s="257" t="n"/>
      <c r="AX763" s="258" t="n"/>
      <c r="AY763" s="318" t="n"/>
      <c r="AZ763" s="317" t="n"/>
      <c r="BA763" s="257" t="n"/>
      <c r="BB763" s="258" t="n"/>
      <c r="BC763" s="316" t="n"/>
      <c r="BD763" s="317" t="n"/>
      <c r="BE763" s="257" t="n"/>
      <c r="BF763" s="258" t="n"/>
      <c r="BG763" s="89" t="n"/>
      <c r="BH7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63">
        <f>_xlfn.LET(r,ROW(),oc,INDEX($A:$A,r),cv,TRIM(INDEX($Y:$Y,r)&amp;""),IF(oc&lt;&gt;"P1","",IF(cv="45","V45 - novo, nao alimentado pelo spool atual","V44 - alimentado pelo spool atual")))</f>
        <v/>
      </c>
    </row>
    <row r="764" ht="54" customFormat="1" customHeight="1" s="91">
      <c r="A764" s="306" t="inlineStr">
        <is>
          <t>P1</t>
        </is>
      </c>
      <c r="B764" s="307" t="n">
        <v>529</v>
      </c>
      <c r="C764" s="269" t="inlineStr">
        <is>
          <t xml:space="preserve">19 - Données comptables </t>
        </is>
      </c>
      <c r="D764" s="236" t="inlineStr">
        <is>
          <t>19 - Accounting data</t>
        </is>
      </c>
      <c r="E764" s="307" t="inlineStr">
        <is>
          <t>P1 50.18</t>
        </is>
      </c>
      <c r="F764" s="460" t="inlineStr">
        <is>
          <t>PCCO - Montant Impacts JV</t>
        </is>
      </c>
      <c r="G764" s="309" t="inlineStr">
        <is>
          <t>PCCO - Amount of Impacts FV</t>
        </is>
      </c>
      <c r="H764" s="1493">
        <f>"RPAD( "&amp;SUBSTITUTE(SUBSTITUTE(E764," ","_"),".","_")&amp;","&amp;W764&amp;",' '); -- "&amp;E764</f>
        <v/>
      </c>
      <c r="I764" s="460" t="inlineStr">
        <is>
          <t>Code du compte dans le plan de comptes consolidé prudentiel
Le compte "PCCO - Montant Impacts JV" correspond au compte comptabilisant le montant de l'impact en juste valeur des instruments en coût amorti micro couverts</t>
        </is>
      </c>
      <c r="J764" s="309" t="inlineStr">
        <is>
          <t>Account code in the prudential consolidated chart of accounts
The "PCCO - Amount of Impacts FV" account corresponds to the account recording the amount of the impact in fair value of micro hedged instruments at amortized cost</t>
        </is>
      </c>
      <c r="K764" s="370" t="inlineStr">
        <is>
          <t>ND</t>
        </is>
      </c>
      <c r="L764" s="371" t="inlineStr">
        <is>
          <t>ND</t>
        </is>
      </c>
      <c r="M764" s="1420" t="inlineStr">
        <is>
          <t>noPCCOJV</t>
        </is>
      </c>
      <c r="N764" s="454" t="inlineStr">
        <is>
          <t>Facultatif</t>
        </is>
      </c>
      <c r="O764" s="310" t="inlineStr">
        <is>
          <t>Optional</t>
        </is>
      </c>
      <c r="P764" s="269" t="inlineStr">
        <is>
          <t>LC.0111</t>
        </is>
      </c>
      <c r="Q764" s="269" t="inlineStr">
        <is>
          <t>TA H8PCCO</t>
        </is>
      </c>
      <c r="R764" s="241" t="inlineStr">
        <is>
          <t>NA</t>
        </is>
      </c>
      <c r="S764" s="233" t="inlineStr">
        <is>
          <t>NA</t>
        </is>
      </c>
      <c r="T764" s="313" t="inlineStr">
        <is>
          <t>ALPHA</t>
        </is>
      </c>
      <c r="U764" s="237" t="inlineStr">
        <is>
          <t>NA</t>
        </is>
      </c>
      <c r="V764" s="238" t="inlineStr">
        <is>
          <t>NA</t>
        </is>
      </c>
      <c r="W764" s="257" t="n">
        <v>12</v>
      </c>
      <c r="X764" s="945" t="inlineStr">
        <is>
          <t>NA</t>
        </is>
      </c>
      <c r="Y764" s="237" t="n">
        <v>43</v>
      </c>
      <c r="Z764" s="237" t="inlineStr">
        <is>
          <t>NA</t>
        </is>
      </c>
      <c r="AA764" s="239" t="inlineStr">
        <is>
          <t>NA</t>
        </is>
      </c>
      <c r="AB764" s="269" t="inlineStr">
        <is>
          <t>USAGE ZP</t>
        </is>
      </c>
      <c r="AC764" s="231" t="inlineStr">
        <is>
          <t>ND</t>
        </is>
      </c>
      <c r="AD764" s="257" t="inlineStr">
        <is>
          <t>N</t>
        </is>
      </c>
      <c r="AE764" s="257" t="inlineStr">
        <is>
          <t>ISS200 et 300
TRE2 à 4XX hors 203,205,206,207
TRE5XX</t>
        </is>
      </c>
      <c r="AF764" s="257" t="inlineStr">
        <is>
          <t>NA</t>
        </is>
      </c>
      <c r="AG764" s="258" t="inlineStr">
        <is>
          <t>NA</t>
        </is>
      </c>
      <c r="AH764" s="89" t="n"/>
      <c r="AI764" s="614" t="n"/>
      <c r="AJ764" s="422" t="n"/>
      <c r="AK764" s="348" t="n"/>
      <c r="AL764" s="423" t="n"/>
      <c r="AM764" s="452" t="inlineStr">
        <is>
          <t>Si elle est renseignée, la valeur doit être connue du Langage Commun associé</t>
        </is>
      </c>
      <c r="AN764" s="377" t="inlineStr">
        <is>
          <t>If specified, the value must be known to the associated Common Language</t>
        </is>
      </c>
      <c r="AO764" s="257" t="n">
        <v>7</v>
      </c>
      <c r="AP764" s="212" t="inlineStr">
        <is>
          <t>TIG0001</t>
        </is>
      </c>
      <c r="AQ764" s="318" t="n"/>
      <c r="AR764" s="317" t="n"/>
      <c r="AS764" s="257" t="n"/>
      <c r="AT764" s="258" t="n"/>
      <c r="AU764" s="318" t="inlineStr">
        <is>
          <t>Si renseignée, la 'Classification comptable de référence des actifs' [P1 19.5] = 'CAM'</t>
        </is>
      </c>
      <c r="AV764" s="317" t="inlineStr">
        <is>
          <t>If filled, the 'Reference accounting classification of assets' [P1 19.5] = 'CAM'</t>
        </is>
      </c>
      <c r="AW764" s="257" t="n">
        <v>6</v>
      </c>
      <c r="AX764" s="481" t="inlineStr">
        <is>
          <t>TCS0740</t>
        </is>
      </c>
      <c r="AY764" s="318" t="n"/>
      <c r="AZ764" s="317" t="n"/>
      <c r="BA764" s="257" t="n"/>
      <c r="BB764" s="258" t="n"/>
      <c r="BC764" s="316" t="n"/>
      <c r="BD764" s="317" t="n"/>
      <c r="BE764" s="257" t="n"/>
      <c r="BF764" s="258" t="n"/>
      <c r="BG764" s="89" t="n"/>
      <c r="BH7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64">
        <f>_xlfn.LET(r,ROW(),oc,INDEX($A:$A,r),cv,TRIM(INDEX($Y:$Y,r)&amp;""),IF(oc&lt;&gt;"P1","",IF(cv="45","V45 - novo, nao alimentado pelo spool atual","V44 - alimentado pelo spool atual")))</f>
        <v/>
      </c>
    </row>
    <row r="765" ht="54" customFormat="1" customHeight="1" s="91">
      <c r="A765" s="306" t="inlineStr">
        <is>
          <t>P1</t>
        </is>
      </c>
      <c r="B765" s="307" t="n">
        <v>530</v>
      </c>
      <c r="C765" s="269" t="inlineStr">
        <is>
          <t xml:space="preserve">19 - Données comptables </t>
        </is>
      </c>
      <c r="D765" s="236" t="inlineStr">
        <is>
          <t>19 - Accounting data</t>
        </is>
      </c>
      <c r="E765" s="307" t="inlineStr">
        <is>
          <t>P1 50.19</t>
        </is>
      </c>
      <c r="F765" s="460" t="inlineStr">
        <is>
          <t>Montant Impacts JV</t>
        </is>
      </c>
      <c r="G765" s="309" t="inlineStr">
        <is>
          <t>Amount of impacts FV</t>
        </is>
      </c>
      <c r="H765" s="1493">
        <f>"RPAD( "&amp;SUBSTITUTE(SUBSTITUTE(E765," ","_"),".","_")&amp;","&amp;W765&amp;",' '); -- "&amp;E765</f>
        <v/>
      </c>
      <c r="I765" s="460" t="inlineStr">
        <is>
          <t>Il s'agit du solde du compte déclaré dans le champ "PCCO - Montant Impacts JV", en devise de liasse comptable de l'entité porteuse de risques, à la date d'arrêté</t>
        </is>
      </c>
      <c r="J765" s="309" t="inlineStr">
        <is>
          <t>This is the account balance declared in the "PCCO - Amount of Impacts FV" field, in the accounting package currency of the risk-bearing entity, on the closing date</t>
        </is>
      </c>
      <c r="K765" s="370" t="inlineStr">
        <is>
          <t>ND</t>
        </is>
      </c>
      <c r="L765" s="371" t="inlineStr">
        <is>
          <t>ND</t>
        </is>
      </c>
      <c r="M765" s="1420" t="inlineStr">
        <is>
          <t>mtPCCOJV</t>
        </is>
      </c>
      <c r="N765" s="257" t="inlineStr">
        <is>
          <t>Obligatoire sous conditions</t>
        </is>
      </c>
      <c r="O765" s="310" t="inlineStr">
        <is>
          <t>Mandatory under conditions</t>
        </is>
      </c>
      <c r="P765" s="269" t="inlineStr">
        <is>
          <t>NA</t>
        </is>
      </c>
      <c r="Q765" s="269" t="inlineStr">
        <is>
          <t>NA</t>
        </is>
      </c>
      <c r="R765" s="241" t="inlineStr">
        <is>
          <t>NA</t>
        </is>
      </c>
      <c r="S765" s="233" t="inlineStr">
        <is>
          <t>NA</t>
        </is>
      </c>
      <c r="T765" s="313" t="inlineStr">
        <is>
          <t>NUM</t>
        </is>
      </c>
      <c r="U765" s="237" t="inlineStr">
        <is>
          <t>19 dont signe et 2 décimales</t>
        </is>
      </c>
      <c r="V765" s="238" t="inlineStr">
        <is>
          <t>19 including sign and 2 decimals</t>
        </is>
      </c>
      <c r="W765" s="257" t="n">
        <v>19</v>
      </c>
      <c r="X765" s="945" t="inlineStr">
        <is>
          <t>NA</t>
        </is>
      </c>
      <c r="Y765" s="237" t="n">
        <v>43</v>
      </c>
      <c r="Z765" s="237" t="inlineStr">
        <is>
          <t>NA</t>
        </is>
      </c>
      <c r="AA765" s="239" t="inlineStr">
        <is>
          <t>NA</t>
        </is>
      </c>
      <c r="AB765" s="269" t="inlineStr">
        <is>
          <t>USAGE ZP</t>
        </is>
      </c>
      <c r="AC765" s="231" t="inlineStr">
        <is>
          <t>ND</t>
        </is>
      </c>
      <c r="AD765" s="257" t="inlineStr">
        <is>
          <t>N</t>
        </is>
      </c>
      <c r="AE765" s="257" t="inlineStr">
        <is>
          <t>ISS200 et 300
TRE2 à 4XX hors 203,205,206,207
TRE5XX</t>
        </is>
      </c>
      <c r="AF765" s="257" t="inlineStr">
        <is>
          <t>NA</t>
        </is>
      </c>
      <c r="AG765" s="258" t="inlineStr">
        <is>
          <t>NA</t>
        </is>
      </c>
      <c r="AH765" s="89" t="n"/>
      <c r="AI765" s="500" t="inlineStr">
        <is>
          <t>La donnée est obligatoire si la donnée PCCO - Montant Impacts JV [P1 50.18] est renseignée</t>
        </is>
      </c>
      <c r="AJ765" s="317" t="inlineStr">
        <is>
          <t>The data is mandatory if the PCCO - Amount of Impacts FV [P1 50.18] is filled</t>
        </is>
      </c>
      <c r="AK765" s="257" t="n">
        <v>7</v>
      </c>
      <c r="AL765" s="345" t="inlineStr">
        <is>
          <t>TPS0933</t>
        </is>
      </c>
      <c r="AM765" s="318" t="n"/>
      <c r="AN765" s="317" t="n"/>
      <c r="AO765" s="257" t="n"/>
      <c r="AP765" s="258" t="n"/>
      <c r="AQ765" s="318" t="n"/>
      <c r="AR765" s="317" t="n"/>
      <c r="AS765" s="257" t="n"/>
      <c r="AT765" s="258" t="n"/>
      <c r="AU765" s="318" t="n"/>
      <c r="AV765" s="317" t="n"/>
      <c r="AW765" s="257" t="n"/>
      <c r="AX765" s="258" t="n"/>
      <c r="AY765" s="318" t="n"/>
      <c r="AZ765" s="317" t="n"/>
      <c r="BA765" s="257" t="n"/>
      <c r="BB765" s="258" t="n"/>
      <c r="BC765" s="316" t="n"/>
      <c r="BD765" s="317" t="n"/>
      <c r="BE765" s="257" t="n"/>
      <c r="BF765" s="258" t="n"/>
      <c r="BG765" s="89" t="n"/>
      <c r="BH7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65">
        <f>_xlfn.LET(r,ROW(),oc,INDEX($A:$A,r),cv,TRIM(INDEX($Y:$Y,r)&amp;""),IF(oc&lt;&gt;"P1","",IF(cv="45","V45 - novo, nao alimentado pelo spool atual","V44 - alimentado pelo spool atual")))</f>
        <v/>
      </c>
    </row>
    <row r="766" ht="54" customFormat="1" customHeight="1" s="91">
      <c r="A766" s="306" t="inlineStr">
        <is>
          <t>P1</t>
        </is>
      </c>
      <c r="B766" s="307" t="n">
        <v>531</v>
      </c>
      <c r="C766" s="269" t="inlineStr">
        <is>
          <t>30 - Caractéristiques moratoires</t>
        </is>
      </c>
      <c r="D766" s="236" t="inlineStr">
        <is>
          <t>30 - Moratorium characteristics</t>
        </is>
      </c>
      <c r="E766" s="307" t="inlineStr">
        <is>
          <t>P1 21.22</t>
        </is>
      </c>
      <c r="F766" s="308" t="inlineStr">
        <is>
          <t>Motif du moratoire</t>
        </is>
      </c>
      <c r="G766" s="309" t="inlineStr">
        <is>
          <t>Reason for the moratorium</t>
        </is>
      </c>
      <c r="H766" s="1493">
        <f>"RPAD( "&amp;SUBSTITUTE(SUBSTITUTE(E766," ","_"),".","_")&amp;","&amp;W766&amp;",' '); -- "&amp;E766</f>
        <v/>
      </c>
      <c r="I766" s="308" t="inlineStr">
        <is>
          <t>Motif du moratoire, le moratoire étant une mesure d'exception qui intervient dans le cadre d'une relation entre créancier et débiteur. Le moratoire permet la suspension des paiements et ajourne les échéances dues en raison de certaines circonstances.</t>
        </is>
      </c>
      <c r="J766" s="309" t="inlineStr">
        <is>
          <t>Reason for the moratorium, the moratorium being an exceptional measure that occurs in the context of a relationship between creditor and debtor. The moratorium allows for the suspension of payments and postpones due to certain circumstances.</t>
        </is>
      </c>
      <c r="K766" s="370" t="inlineStr">
        <is>
          <t>ND</t>
        </is>
      </c>
      <c r="L766" s="371" t="inlineStr">
        <is>
          <t>ND</t>
        </is>
      </c>
      <c r="M766" s="1420" t="inlineStr">
        <is>
          <t>MotifMorat</t>
        </is>
      </c>
      <c r="N766" s="257" t="inlineStr">
        <is>
          <t>Obligatoire sous conditions</t>
        </is>
      </c>
      <c r="O766" s="310" t="inlineStr">
        <is>
          <t>Mandatory under conditions</t>
        </is>
      </c>
      <c r="P766" s="269" t="inlineStr">
        <is>
          <t>LC.0470</t>
        </is>
      </c>
      <c r="Q766" s="269" t="inlineStr">
        <is>
          <t>TA Z8MOTMOR</t>
        </is>
      </c>
      <c r="R766" s="1249" t="inlineStr">
        <is>
          <t>Si plusieurs motifs de moratoires s'appliquent sur un même contrat, prioriser le motif "Covid 19" ou les moratoires non contractuels</t>
        </is>
      </c>
      <c r="S766" s="233" t="inlineStr">
        <is>
          <t>If multiple moratoria apply to the same contract, prioritize "Covid 19" or non-contractual moratoria</t>
        </is>
      </c>
      <c r="T766" s="313" t="inlineStr">
        <is>
          <t>ALPHA</t>
        </is>
      </c>
      <c r="U766" s="237" t="inlineStr">
        <is>
          <t>NA</t>
        </is>
      </c>
      <c r="V766" s="238" t="inlineStr">
        <is>
          <t>NA</t>
        </is>
      </c>
      <c r="W766" s="257" t="n">
        <v>2</v>
      </c>
      <c r="X766" s="945" t="inlineStr">
        <is>
          <t>NA</t>
        </is>
      </c>
      <c r="Y766" s="237" t="n">
        <v>44</v>
      </c>
      <c r="Z766" s="237" t="inlineStr">
        <is>
          <t>NA</t>
        </is>
      </c>
      <c r="AA766" s="270" t="inlineStr">
        <is>
          <t>NA</t>
        </is>
      </c>
      <c r="AB766" s="269" t="inlineStr">
        <is>
          <t>MORATORIA</t>
        </is>
      </c>
      <c r="AC766" s="231" t="inlineStr">
        <is>
          <t>ND</t>
        </is>
      </c>
      <c r="AD766" s="257" t="inlineStr">
        <is>
          <t>N</t>
        </is>
      </c>
      <c r="AE766" s="257" t="inlineStr">
        <is>
          <t>TRE*</t>
        </is>
      </c>
      <c r="AF766" s="257" t="inlineStr">
        <is>
          <t>NA</t>
        </is>
      </c>
      <c r="AG766" s="258" t="inlineStr">
        <is>
          <t>NA</t>
        </is>
      </c>
      <c r="AH766" s="89" t="n"/>
      <c r="AI766" s="711" t="inlineStr">
        <is>
          <t>La donnée est obligatoire si la donnée 'Statut du moratoire' [P1 21.25] est renseignée</t>
        </is>
      </c>
      <c r="AJ766" s="434" t="inlineStr">
        <is>
          <t>The data is mandatory if the data 'Moratorium status' [P1 21.25] is filled</t>
        </is>
      </c>
      <c r="AK766" s="588" t="n">
        <v>6</v>
      </c>
      <c r="AL766" s="366" t="inlineStr">
        <is>
          <t>TPS0934</t>
        </is>
      </c>
      <c r="AM766" s="712" t="inlineStr">
        <is>
          <t>Si elle est renseignée, la valeur doit être connue du Langage Commun associé</t>
        </is>
      </c>
      <c r="AN766" s="434" t="inlineStr">
        <is>
          <t>If specified, the value must be known to the associated Common Language</t>
        </is>
      </c>
      <c r="AO766" s="588" t="n">
        <v>7</v>
      </c>
      <c r="AP766" s="212" t="inlineStr">
        <is>
          <t>TIG0001</t>
        </is>
      </c>
      <c r="AQ766" s="712" t="n"/>
      <c r="AR766" s="434" t="n"/>
      <c r="AS766" s="588" t="n"/>
      <c r="AT766" s="713" t="n"/>
      <c r="AU766" s="712" t="n"/>
      <c r="AV766" s="434" t="n"/>
      <c r="AW766" s="588" t="n"/>
      <c r="AX766" s="713" t="n"/>
      <c r="AY766" s="712" t="n"/>
      <c r="AZ766" s="434" t="n"/>
      <c r="BA766" s="588" t="n"/>
      <c r="BB766" s="713" t="n"/>
      <c r="BC766" s="714" t="n"/>
      <c r="BD766" s="434" t="n"/>
      <c r="BE766" s="588" t="n"/>
      <c r="BF766" s="713" t="n"/>
      <c r="BG766" s="89" t="n"/>
      <c r="BH7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66">
        <f>_xlfn.LET(r,ROW(),oc,INDEX($A:$A,r),cv,TRIM(INDEX($Y:$Y,r)&amp;""),IF(oc&lt;&gt;"P1","",IF(cv="45","V45 - novo, nao alimentado pelo spool atual","V44 - alimentado pelo spool atual")))</f>
        <v/>
      </c>
    </row>
    <row r="767" ht="54" customFormat="1" customHeight="1" s="91">
      <c r="A767" s="306" t="inlineStr">
        <is>
          <t>P1</t>
        </is>
      </c>
      <c r="B767" s="307" t="n">
        <v>532</v>
      </c>
      <c r="C767" s="269" t="inlineStr">
        <is>
          <t>30 - Caractéristiques moratoires</t>
        </is>
      </c>
      <c r="D767" s="236" t="inlineStr">
        <is>
          <t>30 - Moratorium characteristics</t>
        </is>
      </c>
      <c r="E767" s="307" t="inlineStr">
        <is>
          <t>P1 21.23</t>
        </is>
      </c>
      <c r="F767" s="308" t="inlineStr">
        <is>
          <t>Date de début du moratoire</t>
        </is>
      </c>
      <c r="G767" s="309" t="inlineStr">
        <is>
          <t>Start date of the moratorium</t>
        </is>
      </c>
      <c r="H767" s="1493">
        <f>"RPAD( "&amp;SUBSTITUTE(SUBSTITUTE(E767," ","_"),".","_")&amp;","&amp;W767&amp;",' '); -- "&amp;E767</f>
        <v/>
      </c>
      <c r="I767" s="308" t="inlineStr">
        <is>
          <t>Date de début effective du moratoire</t>
        </is>
      </c>
      <c r="J767" s="309" t="inlineStr">
        <is>
          <t>Effective start date of the moratorium</t>
        </is>
      </c>
      <c r="K767" s="370" t="inlineStr">
        <is>
          <t>ND</t>
        </is>
      </c>
      <c r="L767" s="371" t="inlineStr">
        <is>
          <t>ND</t>
        </is>
      </c>
      <c r="M767" s="1420" t="inlineStr">
        <is>
          <t>dtDebMorat</t>
        </is>
      </c>
      <c r="N767" s="257" t="inlineStr">
        <is>
          <t>Obligatoire sous conditions</t>
        </is>
      </c>
      <c r="O767" s="310" t="inlineStr">
        <is>
          <t>Mandatory under conditions</t>
        </is>
      </c>
      <c r="P767" s="269" t="inlineStr">
        <is>
          <t>NA</t>
        </is>
      </c>
      <c r="Q767" s="269" t="inlineStr">
        <is>
          <t>NA</t>
        </is>
      </c>
      <c r="R767" s="241" t="inlineStr">
        <is>
          <t>NA</t>
        </is>
      </c>
      <c r="S767" s="233" t="inlineStr">
        <is>
          <t>NA</t>
        </is>
      </c>
      <c r="T767" s="313" t="inlineStr">
        <is>
          <t>DATE</t>
        </is>
      </c>
      <c r="U767" s="237" t="inlineStr">
        <is>
          <t>AAAAMMJJ</t>
        </is>
      </c>
      <c r="V767" s="238" t="inlineStr">
        <is>
          <t>YYYYMMDD</t>
        </is>
      </c>
      <c r="W767" s="257" t="n">
        <v>8</v>
      </c>
      <c r="X767" s="945" t="inlineStr">
        <is>
          <t>NA</t>
        </is>
      </c>
      <c r="Y767" s="237" t="n">
        <v>44</v>
      </c>
      <c r="Z767" s="237" t="inlineStr">
        <is>
          <t>NA</t>
        </is>
      </c>
      <c r="AA767" s="270" t="inlineStr">
        <is>
          <t>NA</t>
        </is>
      </c>
      <c r="AB767" s="269" t="inlineStr">
        <is>
          <t>MORATORIA</t>
        </is>
      </c>
      <c r="AC767" s="231" t="inlineStr">
        <is>
          <t>ND</t>
        </is>
      </c>
      <c r="AD767" s="257" t="inlineStr">
        <is>
          <t>N</t>
        </is>
      </c>
      <c r="AE767" s="257" t="inlineStr">
        <is>
          <t>TRE*</t>
        </is>
      </c>
      <c r="AF767" s="257" t="inlineStr">
        <is>
          <t>NA</t>
        </is>
      </c>
      <c r="AG767" s="258" t="inlineStr">
        <is>
          <t>NA</t>
        </is>
      </c>
      <c r="AH767" s="89" t="n"/>
      <c r="AI767" s="711" t="inlineStr">
        <is>
          <t>La donnée est obligatoire si la donnée 'Statut du moratoire' [P1 21.25] est renseignée</t>
        </is>
      </c>
      <c r="AJ767" s="434" t="inlineStr">
        <is>
          <t>The data is mandatory if the data 'Moratorium status' [P1 21.25] is filled</t>
        </is>
      </c>
      <c r="AK767" s="588" t="n">
        <v>6</v>
      </c>
      <c r="AL767" s="715" t="inlineStr">
        <is>
          <t>TPS0934</t>
        </is>
      </c>
      <c r="AM767" s="712" t="n"/>
      <c r="AN767" s="434" t="n"/>
      <c r="AO767" s="588" t="n"/>
      <c r="AP767" s="713" t="n"/>
      <c r="AQ767" s="356" t="inlineStr">
        <is>
          <t>Si renseignée, la donnée doit être supérieure ou égale à '19000101'</t>
        </is>
      </c>
      <c r="AR767" s="317" t="inlineStr">
        <is>
          <t>If filled, data must be greater or equal to '19000101'</t>
        </is>
      </c>
      <c r="AS767" s="574" t="n">
        <v>7</v>
      </c>
      <c r="AT767" s="258" t="inlineStr">
        <is>
          <t>TVG0005</t>
        </is>
      </c>
      <c r="AU767" s="712" t="n"/>
      <c r="AV767" s="434" t="n"/>
      <c r="AW767" s="588" t="n"/>
      <c r="AX767" s="713" t="n"/>
      <c r="AY767" s="712" t="n"/>
      <c r="AZ767" s="434" t="n"/>
      <c r="BA767" s="588" t="n"/>
      <c r="BB767" s="713" t="n"/>
      <c r="BC767" s="714" t="n"/>
      <c r="BD767" s="434" t="n"/>
      <c r="BE767" s="588" t="n"/>
      <c r="BF767" s="713" t="n"/>
      <c r="BG767" s="89" t="n"/>
      <c r="BH7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67">
        <f>_xlfn.LET(r,ROW(),oc,INDEX($A:$A,r),cv,TRIM(INDEX($Y:$Y,r)&amp;""),IF(oc&lt;&gt;"P1","",IF(cv="45","V45 - novo, nao alimentado pelo spool atual","V44 - alimentado pelo spool atual")))</f>
        <v/>
      </c>
    </row>
    <row r="768" ht="54" customFormat="1" customHeight="1" s="91">
      <c r="A768" s="306" t="inlineStr">
        <is>
          <t>P1</t>
        </is>
      </c>
      <c r="B768" s="307" t="n">
        <v>533</v>
      </c>
      <c r="C768" s="269" t="inlineStr">
        <is>
          <t>30 - Caractéristiques moratoires</t>
        </is>
      </c>
      <c r="D768" s="236" t="inlineStr">
        <is>
          <t>30 - Moratorium characteristics</t>
        </is>
      </c>
      <c r="E768" s="307" t="inlineStr">
        <is>
          <t>P1 21.29</t>
        </is>
      </c>
      <c r="F768" s="556" t="inlineStr">
        <is>
          <t>Durée du moratoire</t>
        </is>
      </c>
      <c r="G768" s="309" t="inlineStr">
        <is>
          <t>Duration of the moratorium</t>
        </is>
      </c>
      <c r="H768" s="1493">
        <f>"RPAD( "&amp;SUBSTITUTE(SUBSTITUTE(E768," ","_"),".","_")&amp;","&amp;W768&amp;",' '); -- "&amp;E768</f>
        <v/>
      </c>
      <c r="I768" s="308" t="inlineStr">
        <is>
          <t>Durée du moratoire.
Exprimé en nombre de jours.</t>
        </is>
      </c>
      <c r="J768" s="309" t="inlineStr">
        <is>
          <t>Duration of the moratorium.
Expressed in number of days.</t>
        </is>
      </c>
      <c r="K768" s="370" t="inlineStr">
        <is>
          <t>ND</t>
        </is>
      </c>
      <c r="L768" s="371" t="inlineStr">
        <is>
          <t>ND</t>
        </is>
      </c>
      <c r="M768" s="1420" t="inlineStr">
        <is>
          <t>DureeMorat</t>
        </is>
      </c>
      <c r="N768" s="257" t="inlineStr">
        <is>
          <t>Obligatoire sous conditions</t>
        </is>
      </c>
      <c r="O768" s="310" t="inlineStr">
        <is>
          <t>Mandatory under conditions</t>
        </is>
      </c>
      <c r="P768" s="269" t="inlineStr">
        <is>
          <t>NA</t>
        </is>
      </c>
      <c r="Q768" s="269" t="inlineStr">
        <is>
          <t>NA</t>
        </is>
      </c>
      <c r="R768" s="241" t="inlineStr">
        <is>
          <t>NA</t>
        </is>
      </c>
      <c r="S768" s="233" t="inlineStr">
        <is>
          <t>NA</t>
        </is>
      </c>
      <c r="T768" s="313" t="inlineStr">
        <is>
          <t>NUM</t>
        </is>
      </c>
      <c r="U768" s="237" t="inlineStr">
        <is>
          <t>6 dont signe</t>
        </is>
      </c>
      <c r="V768" s="238" t="inlineStr">
        <is>
          <t>6 including sign</t>
        </is>
      </c>
      <c r="W768" s="257" t="n">
        <v>6</v>
      </c>
      <c r="X768" s="945" t="inlineStr">
        <is>
          <t>NA</t>
        </is>
      </c>
      <c r="Y768" s="237" t="n">
        <v>44</v>
      </c>
      <c r="Z768" s="237" t="inlineStr">
        <is>
          <t>NA</t>
        </is>
      </c>
      <c r="AA768" s="270" t="inlineStr">
        <is>
          <t>NA</t>
        </is>
      </c>
      <c r="AB768" s="269" t="inlineStr">
        <is>
          <t>MORATORIA</t>
        </is>
      </c>
      <c r="AC768" s="231" t="inlineStr">
        <is>
          <t>ND</t>
        </is>
      </c>
      <c r="AD768" s="257" t="inlineStr">
        <is>
          <t>N</t>
        </is>
      </c>
      <c r="AE768" s="257" t="inlineStr">
        <is>
          <t>TRE*</t>
        </is>
      </c>
      <c r="AF768" s="257" t="inlineStr">
        <is>
          <t>NA</t>
        </is>
      </c>
      <c r="AG768" s="258" t="inlineStr">
        <is>
          <t>NA</t>
        </is>
      </c>
      <c r="AH768" s="89" t="n"/>
      <c r="AI768" s="711" t="inlineStr">
        <is>
          <t>La donnée est obligatoire si la donnée 'Statut du moratoire' [P1 21.25] est renseignée</t>
        </is>
      </c>
      <c r="AJ768" s="434" t="inlineStr">
        <is>
          <t>The data is mandatory if the data 'Moratorium status' [P1 21.25] is filled</t>
        </is>
      </c>
      <c r="AK768" s="588" t="n">
        <v>6</v>
      </c>
      <c r="AL768" s="366" t="inlineStr">
        <is>
          <t>TPS0934</t>
        </is>
      </c>
      <c r="AM768" s="712" t="n"/>
      <c r="AN768" s="434" t="n"/>
      <c r="AO768" s="588" t="n"/>
      <c r="AP768" s="713" t="n"/>
      <c r="AQ768" s="716" t="inlineStr">
        <is>
          <t>Si renseignée, la donnée doit être positive (supérieure ou égale à 0)</t>
        </is>
      </c>
      <c r="AR768" s="434" t="inlineStr">
        <is>
          <t xml:space="preserve">If filled, data must be positive (greater or equal to 0) </t>
        </is>
      </c>
      <c r="AS768" s="588" t="n">
        <v>7</v>
      </c>
      <c r="AT768" s="345" t="inlineStr">
        <is>
          <t>TVG0001</t>
        </is>
      </c>
      <c r="AU768" s="712" t="n"/>
      <c r="AV768" s="434" t="n"/>
      <c r="AW768" s="588" t="n"/>
      <c r="AX768" s="713" t="n"/>
      <c r="AY768" s="712" t="n"/>
      <c r="AZ768" s="434" t="n"/>
      <c r="BA768" s="588" t="n"/>
      <c r="BB768" s="713" t="n"/>
      <c r="BC768" s="714" t="n"/>
      <c r="BD768" s="434" t="n"/>
      <c r="BE768" s="588" t="n"/>
      <c r="BF768" s="713" t="n"/>
      <c r="BG768" s="89" t="n"/>
      <c r="BH7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68">
        <f>_xlfn.LET(r,ROW(),oc,INDEX($A:$A,r),cv,TRIM(INDEX($Y:$Y,r)&amp;""),IF(oc&lt;&gt;"P1","",IF(cv="45","V45 - novo, nao alimentado pelo spool atual","V44 - alimentado pelo spool atual")))</f>
        <v/>
      </c>
    </row>
    <row r="769" ht="54" customFormat="1" customHeight="1" s="91">
      <c r="A769" s="306" t="inlineStr">
        <is>
          <t>P1</t>
        </is>
      </c>
      <c r="B769" s="307" t="n">
        <v>534</v>
      </c>
      <c r="C769" s="269" t="inlineStr">
        <is>
          <t>30 - Caractéristiques moratoires</t>
        </is>
      </c>
      <c r="D769" s="236" t="inlineStr">
        <is>
          <t>30 - Moratorium characteristics</t>
        </is>
      </c>
      <c r="E769" s="307" t="inlineStr">
        <is>
          <t>P1 21.25</t>
        </is>
      </c>
      <c r="F769" s="717" t="inlineStr">
        <is>
          <t>Statut du moratoire</t>
        </is>
      </c>
      <c r="G769" s="309" t="inlineStr">
        <is>
          <t>Moratorium status</t>
        </is>
      </c>
      <c r="H769" s="1493">
        <f>"RPAD( "&amp;SUBSTITUTE(SUBSTITUTE(E769," ","_"),".","_")&amp;","&amp;W769&amp;",' '); -- "&amp;E769</f>
        <v/>
      </c>
      <c r="I769" s="717" t="inlineStr">
        <is>
          <t>Indique l'état du statut du moratoire lorsqu'une mesure de suspension des paiements dans le cadre de la relation créancier-débiteur a été décidée</t>
        </is>
      </c>
      <c r="J769" s="309" t="inlineStr">
        <is>
          <t>Indicates the status of the moratorium when a measure suspending payments under the creditor-debtor relationship has been decided</t>
        </is>
      </c>
      <c r="K769" s="370" t="inlineStr">
        <is>
          <t>ND</t>
        </is>
      </c>
      <c r="L769" s="371" t="inlineStr">
        <is>
          <t>ND</t>
        </is>
      </c>
      <c r="M769" s="1420" t="inlineStr">
        <is>
          <t>StatutMorat</t>
        </is>
      </c>
      <c r="N769" s="718" t="inlineStr">
        <is>
          <t>Facultatif</t>
        </is>
      </c>
      <c r="O769" s="310" t="inlineStr">
        <is>
          <t>Optional</t>
        </is>
      </c>
      <c r="P769" s="269" t="inlineStr">
        <is>
          <t>LC.0471</t>
        </is>
      </c>
      <c r="Q769" s="269" t="inlineStr">
        <is>
          <t>TA Z8STATMO</t>
        </is>
      </c>
      <c r="R769" s="1249" t="inlineStr">
        <is>
          <t>Le statut du moratoire est attendu dans le cas d'un moratoire sur le contrat. Ne reporter que les moratoires actifs/en-cours</t>
        </is>
      </c>
      <c r="S769" s="233" t="inlineStr">
        <is>
          <t>Moratorium status is expected when there is a moratorium on the contract. Report only on-going moratoria</t>
        </is>
      </c>
      <c r="T769" s="313" t="inlineStr">
        <is>
          <t>ALPHA</t>
        </is>
      </c>
      <c r="U769" s="237" t="inlineStr">
        <is>
          <t>NA</t>
        </is>
      </c>
      <c r="V769" s="238" t="inlineStr">
        <is>
          <t>NA</t>
        </is>
      </c>
      <c r="W769" s="257" t="n">
        <v>2</v>
      </c>
      <c r="X769" s="945" t="inlineStr">
        <is>
          <t>NA</t>
        </is>
      </c>
      <c r="Y769" s="237" t="n">
        <v>44</v>
      </c>
      <c r="Z769" s="237" t="inlineStr">
        <is>
          <t>NA</t>
        </is>
      </c>
      <c r="AA769" s="239" t="inlineStr">
        <is>
          <t>NA</t>
        </is>
      </c>
      <c r="AB769" s="269" t="inlineStr">
        <is>
          <t>MORATORIA</t>
        </is>
      </c>
      <c r="AC769" s="231" t="inlineStr">
        <is>
          <t>ND</t>
        </is>
      </c>
      <c r="AD769" s="257" t="inlineStr">
        <is>
          <t>N</t>
        </is>
      </c>
      <c r="AE769" s="257" t="inlineStr">
        <is>
          <t>TRE*</t>
        </is>
      </c>
      <c r="AF769" s="257" t="inlineStr">
        <is>
          <t>NA</t>
        </is>
      </c>
      <c r="AG769" s="258" t="inlineStr">
        <is>
          <t>NA</t>
        </is>
      </c>
      <c r="AH769" s="89" t="n"/>
      <c r="AI769" s="714" t="n"/>
      <c r="AJ769" s="434" t="n"/>
      <c r="AK769" s="588" t="n"/>
      <c r="AL769" s="713" t="n"/>
      <c r="AM769" s="712" t="inlineStr">
        <is>
          <t>Si elle est renseignée, la valeur doit être connue du Langage Commun associé</t>
        </is>
      </c>
      <c r="AN769" s="434" t="inlineStr">
        <is>
          <t>If specified, the value must be known to the associated Common Language</t>
        </is>
      </c>
      <c r="AO769" s="588" t="n">
        <v>7</v>
      </c>
      <c r="AP769" s="212" t="inlineStr">
        <is>
          <t>TIG0001</t>
        </is>
      </c>
      <c r="AQ769" s="712" t="n"/>
      <c r="AR769" s="434" t="n"/>
      <c r="AS769" s="588" t="n"/>
      <c r="AT769" s="713" t="n"/>
      <c r="AU769" s="712" t="n"/>
      <c r="AV769" s="434" t="n"/>
      <c r="AW769" s="588" t="n"/>
      <c r="AX769" s="713" t="n"/>
      <c r="AY769" s="712" t="n"/>
      <c r="AZ769" s="434" t="n"/>
      <c r="BA769" s="588" t="n"/>
      <c r="BB769" s="713" t="n"/>
      <c r="BC769" s="714" t="n"/>
      <c r="BD769" s="434" t="n"/>
      <c r="BE769" s="588" t="n"/>
      <c r="BF769" s="713" t="n"/>
      <c r="BG769" s="89" t="n"/>
      <c r="BH7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69">
        <f>_xlfn.LET(r,ROW(),oc,INDEX($A:$A,r),cv,TRIM(INDEX($Y:$Y,r)&amp;""),IF(oc&lt;&gt;"P1","",IF(cv="45","V45 - novo, nao alimentado pelo spool atual","V44 - alimentado pelo spool atual")))</f>
        <v/>
      </c>
    </row>
    <row r="770" ht="54" customFormat="1" customHeight="1" s="91">
      <c r="A770" s="306" t="inlineStr">
        <is>
          <t>P1</t>
        </is>
      </c>
      <c r="B770" s="307" t="n">
        <v>535</v>
      </c>
      <c r="C770" s="269" t="inlineStr">
        <is>
          <t>30 - Caractéristiques moratoires</t>
        </is>
      </c>
      <c r="D770" s="236" t="inlineStr">
        <is>
          <t>30 - Moratorium characteristics</t>
        </is>
      </c>
      <c r="E770" s="307" t="inlineStr">
        <is>
          <t>P1 21.26</t>
        </is>
      </c>
      <c r="F770" s="308" t="inlineStr">
        <is>
          <t>Indicateur de moratoire législatif</t>
        </is>
      </c>
      <c r="G770" s="309" t="inlineStr">
        <is>
          <t>Legislative moratorium indicator</t>
        </is>
      </c>
      <c r="H770" s="1493">
        <f>"RPAD( "&amp;SUBSTITUTE(SUBSTITUTE(E770," ","_"),".","_")&amp;","&amp;W770&amp;",' '); -- "&amp;E770</f>
        <v/>
      </c>
      <c r="I770" s="308" t="inlineStr">
        <is>
          <t>Indique si le moratoire se fonde sur le droit national applicable (moratoire législatif) ou sur une initiative d'allègement de paiements prise dans le cadre d'un régime moratoire sectoriel convenu ou coordonné au sein du secteur bancaire.</t>
        </is>
      </c>
      <c r="J770" s="309" t="inlineStr">
        <is>
          <t>Indicates whether the moratorium is based on the applicable national law (legislative moratorium) or on a payment relief initiative under an agreed or coordinated sectoral moratorium regime in the banking sector.</t>
        </is>
      </c>
      <c r="K770" s="370" t="inlineStr">
        <is>
          <t>ND</t>
        </is>
      </c>
      <c r="L770" s="371" t="inlineStr">
        <is>
          <t>ND</t>
        </is>
      </c>
      <c r="M770" s="1420" t="inlineStr">
        <is>
          <t>indMoratLeg</t>
        </is>
      </c>
      <c r="N770" s="257" t="inlineStr">
        <is>
          <t>Obligatoire sous conditions</t>
        </is>
      </c>
      <c r="O770" s="310" t="inlineStr">
        <is>
          <t>Mandatory under conditions</t>
        </is>
      </c>
      <c r="P770" s="269" t="inlineStr">
        <is>
          <t>LC.0472</t>
        </is>
      </c>
      <c r="Q770" s="269" t="inlineStr">
        <is>
          <t>TA Z8IMORLE</t>
        </is>
      </c>
      <c r="R770" s="241" t="inlineStr">
        <is>
          <t>NA</t>
        </is>
      </c>
      <c r="S770" s="233" t="inlineStr">
        <is>
          <t>NA</t>
        </is>
      </c>
      <c r="T770" s="313" t="inlineStr">
        <is>
          <t>ALPHA</t>
        </is>
      </c>
      <c r="U770" s="237" t="inlineStr">
        <is>
          <t>NA</t>
        </is>
      </c>
      <c r="V770" s="238" t="inlineStr">
        <is>
          <t>NA</t>
        </is>
      </c>
      <c r="W770" s="257" t="n">
        <v>1</v>
      </c>
      <c r="X770" s="945" t="inlineStr">
        <is>
          <t>NA</t>
        </is>
      </c>
      <c r="Y770" s="237" t="n">
        <v>44</v>
      </c>
      <c r="Z770" s="237" t="inlineStr">
        <is>
          <t>NA</t>
        </is>
      </c>
      <c r="AA770" s="270" t="inlineStr">
        <is>
          <t>NA</t>
        </is>
      </c>
      <c r="AB770" s="269" t="inlineStr">
        <is>
          <t>MORATORIA</t>
        </is>
      </c>
      <c r="AC770" s="231" t="inlineStr">
        <is>
          <t>ND</t>
        </is>
      </c>
      <c r="AD770" s="257" t="inlineStr">
        <is>
          <t>N</t>
        </is>
      </c>
      <c r="AE770" s="257" t="inlineStr">
        <is>
          <t>TRE*</t>
        </is>
      </c>
      <c r="AF770" s="257" t="inlineStr">
        <is>
          <t>NA</t>
        </is>
      </c>
      <c r="AG770" s="258" t="inlineStr">
        <is>
          <t>NA</t>
        </is>
      </c>
      <c r="AH770" s="89" t="n"/>
      <c r="AI770" s="711" t="inlineStr">
        <is>
          <t>La donnée est obligatoire si la donnée 'Statut du moratoire' [P1 21.25] est renseignée</t>
        </is>
      </c>
      <c r="AJ770" s="434" t="inlineStr">
        <is>
          <t>The data is mandatory if the data 'Moratorium status' [P1 21.25] is filled</t>
        </is>
      </c>
      <c r="AK770" s="588" t="n">
        <v>6</v>
      </c>
      <c r="AL770" s="366" t="inlineStr">
        <is>
          <t>TPS0934</t>
        </is>
      </c>
      <c r="AM770" s="712" t="inlineStr">
        <is>
          <t>Si elle est renseignée, la valeur doit être connue du Langage Commun associé</t>
        </is>
      </c>
      <c r="AN770" s="434" t="inlineStr">
        <is>
          <t>If specified, the value must be known to the associated Common Language</t>
        </is>
      </c>
      <c r="AO770" s="588" t="n">
        <v>7</v>
      </c>
      <c r="AP770" s="212" t="inlineStr">
        <is>
          <t>TIG0001</t>
        </is>
      </c>
      <c r="AQ770" s="712" t="n"/>
      <c r="AR770" s="434" t="n"/>
      <c r="AS770" s="588" t="n"/>
      <c r="AT770" s="713" t="n"/>
      <c r="AU770" s="712" t="n"/>
      <c r="AV770" s="434" t="n"/>
      <c r="AW770" s="588" t="n"/>
      <c r="AX770" s="713" t="n"/>
      <c r="AY770" s="712" t="n"/>
      <c r="AZ770" s="434" t="n"/>
      <c r="BA770" s="588" t="n"/>
      <c r="BB770" s="713" t="n"/>
      <c r="BC770" s="714" t="n"/>
      <c r="BD770" s="434" t="n"/>
      <c r="BE770" s="588" t="n"/>
      <c r="BF770" s="713" t="n"/>
      <c r="BG770" s="89" t="n"/>
      <c r="BH7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70">
        <f>_xlfn.LET(r,ROW(),oc,INDEX($A:$A,r),cv,TRIM(INDEX($Y:$Y,r)&amp;""),IF(oc&lt;&gt;"P1","",IF(cv="45","V45 - novo, nao alimentado pelo spool atual","V44 - alimentado pelo spool atual")))</f>
        <v/>
      </c>
    </row>
    <row r="771" ht="54" customFormat="1" customHeight="1" s="91">
      <c r="A771" s="306" t="inlineStr">
        <is>
          <t>P1</t>
        </is>
      </c>
      <c r="B771" s="307" t="n">
        <v>536</v>
      </c>
      <c r="C771" s="269" t="inlineStr">
        <is>
          <t>30 - Caractéristiques moratoires</t>
        </is>
      </c>
      <c r="D771" s="236" t="inlineStr">
        <is>
          <t>30 - Moratorium characteristics</t>
        </is>
      </c>
      <c r="E771" s="307" t="inlineStr">
        <is>
          <t>P1 21.27</t>
        </is>
      </c>
      <c r="F771" s="308" t="inlineStr">
        <is>
          <t>Indicateur de moratoire contractuel</t>
        </is>
      </c>
      <c r="G771" s="309" t="inlineStr">
        <is>
          <t>Contractual moratorium indicator</t>
        </is>
      </c>
      <c r="H771" s="1493">
        <f>"RPAD( "&amp;SUBSTITUTE(SUBSTITUTE(E771," ","_"),".","_")&amp;","&amp;W771&amp;",' '); -- "&amp;E771</f>
        <v/>
      </c>
      <c r="I771" s="308" t="inlineStr">
        <is>
          <t>Indique si le moratoire est contractuel.</t>
        </is>
      </c>
      <c r="J771" s="309" t="inlineStr">
        <is>
          <t>Indicates whether the moratorium is contractual.</t>
        </is>
      </c>
      <c r="K771" s="370" t="inlineStr">
        <is>
          <t>ND</t>
        </is>
      </c>
      <c r="L771" s="371" t="inlineStr">
        <is>
          <t>ND</t>
        </is>
      </c>
      <c r="M771" s="1420" t="inlineStr">
        <is>
          <t>indMoratCont</t>
        </is>
      </c>
      <c r="N771" s="257" t="inlineStr">
        <is>
          <t>Obligatoire sous conditions</t>
        </is>
      </c>
      <c r="O771" s="310" t="inlineStr">
        <is>
          <t>Mandatory under conditions</t>
        </is>
      </c>
      <c r="P771" s="269" t="inlineStr">
        <is>
          <t>LC.0473</t>
        </is>
      </c>
      <c r="Q771" s="269" t="inlineStr">
        <is>
          <t>TA Z8IMORCO</t>
        </is>
      </c>
      <c r="R771" s="241" t="inlineStr">
        <is>
          <t>NA</t>
        </is>
      </c>
      <c r="S771" s="233" t="inlineStr">
        <is>
          <t>NA</t>
        </is>
      </c>
      <c r="T771" s="313" t="inlineStr">
        <is>
          <t>ALPHA</t>
        </is>
      </c>
      <c r="U771" s="237" t="inlineStr">
        <is>
          <t>NA</t>
        </is>
      </c>
      <c r="V771" s="238" t="inlineStr">
        <is>
          <t>NA</t>
        </is>
      </c>
      <c r="W771" s="257" t="n">
        <v>1</v>
      </c>
      <c r="X771" s="945" t="inlineStr">
        <is>
          <t>NA</t>
        </is>
      </c>
      <c r="Y771" s="237" t="n">
        <v>44</v>
      </c>
      <c r="Z771" s="237" t="inlineStr">
        <is>
          <t>NA</t>
        </is>
      </c>
      <c r="AA771" s="270" t="inlineStr">
        <is>
          <t>NA</t>
        </is>
      </c>
      <c r="AB771" s="269" t="inlineStr">
        <is>
          <t>MORATORIA</t>
        </is>
      </c>
      <c r="AC771" s="231" t="inlineStr">
        <is>
          <t>ND</t>
        </is>
      </c>
      <c r="AD771" s="257" t="inlineStr">
        <is>
          <t>N</t>
        </is>
      </c>
      <c r="AE771" s="257" t="inlineStr">
        <is>
          <t>TRE*</t>
        </is>
      </c>
      <c r="AF771" s="257" t="inlineStr">
        <is>
          <t>NA</t>
        </is>
      </c>
      <c r="AG771" s="258" t="inlineStr">
        <is>
          <t>NA</t>
        </is>
      </c>
      <c r="AH771" s="89" t="n"/>
      <c r="AI771" s="711" t="inlineStr">
        <is>
          <t>La donnée est obligatoire si la donnée 'Statut du moratoire' [P1 21.25] est renseignée</t>
        </is>
      </c>
      <c r="AJ771" s="434" t="inlineStr">
        <is>
          <t>The data is mandatory if the data 'Moratorium status' [P1 21.25] is filled</t>
        </is>
      </c>
      <c r="AK771" s="588" t="n">
        <v>6</v>
      </c>
      <c r="AL771" s="366" t="inlineStr">
        <is>
          <t>TPS0934</t>
        </is>
      </c>
      <c r="AM771" s="712" t="inlineStr">
        <is>
          <t>Si elle est renseignée, la valeur doit être connue du Langage Commun associé</t>
        </is>
      </c>
      <c r="AN771" s="434" t="inlineStr">
        <is>
          <t>If specified, the value must be known to the associated Common Language</t>
        </is>
      </c>
      <c r="AO771" s="588" t="n">
        <v>7</v>
      </c>
      <c r="AP771" s="212" t="inlineStr">
        <is>
          <t>TIG0001</t>
        </is>
      </c>
      <c r="AQ771" s="712" t="n"/>
      <c r="AR771" s="434" t="n"/>
      <c r="AS771" s="588" t="n"/>
      <c r="AT771" s="713" t="n"/>
      <c r="AU771" s="712" t="n"/>
      <c r="AV771" s="434" t="n"/>
      <c r="AW771" s="588" t="n"/>
      <c r="AX771" s="713" t="n"/>
      <c r="AY771" s="712" t="n"/>
      <c r="AZ771" s="434" t="n"/>
      <c r="BA771" s="588" t="n"/>
      <c r="BB771" s="713" t="n"/>
      <c r="BC771" s="714" t="n"/>
      <c r="BD771" s="434" t="n"/>
      <c r="BE771" s="588" t="n"/>
      <c r="BF771" s="713" t="n"/>
      <c r="BG771" s="89" t="n"/>
      <c r="BH7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71">
        <f>_xlfn.LET(r,ROW(),oc,INDEX($A:$A,r),cv,TRIM(INDEX($Y:$Y,r)&amp;""),IF(oc&lt;&gt;"P1","",IF(cv="45","V45 - novo, nao alimentado pelo spool atual","V44 - alimentado pelo spool atual")))</f>
        <v/>
      </c>
    </row>
    <row r="772" ht="54" customFormat="1" customHeight="1" s="91">
      <c r="A772" s="306" t="inlineStr">
        <is>
          <t>P1</t>
        </is>
      </c>
      <c r="B772" s="307" t="n">
        <v>537</v>
      </c>
      <c r="C772" s="269" t="inlineStr">
        <is>
          <t>30 - Caractéristiques moratoires</t>
        </is>
      </c>
      <c r="D772" s="236" t="inlineStr">
        <is>
          <t>30 - Moratorium characteristics</t>
        </is>
      </c>
      <c r="E772" s="307" t="inlineStr">
        <is>
          <t>P1 21.28</t>
        </is>
      </c>
      <c r="F772" s="308" t="inlineStr">
        <is>
          <t>Champ d'application du moratoire</t>
        </is>
      </c>
      <c r="G772" s="309" t="inlineStr">
        <is>
          <t>Scope of the moratorium</t>
        </is>
      </c>
      <c r="H772" s="1493">
        <f>"RPAD( "&amp;SUBSTITUTE(SUBSTITUTE(E772," ","_"),".","_")&amp;","&amp;W772&amp;",' '); -- "&amp;E772</f>
        <v/>
      </c>
      <c r="I772" s="308" t="inlineStr">
        <is>
          <t>Champ d'application du moratoire lorsque celui-ci est restreint (à une activité, une région…).</t>
        </is>
      </c>
      <c r="J772" s="309" t="inlineStr">
        <is>
          <t>Scope of the moratorium when it is restricted (to an activity, a region, etc.).</t>
        </is>
      </c>
      <c r="K772" s="370" t="inlineStr">
        <is>
          <t>ND</t>
        </is>
      </c>
      <c r="L772" s="371" t="inlineStr">
        <is>
          <t>ND</t>
        </is>
      </c>
      <c r="M772" s="1420" t="inlineStr">
        <is>
          <t>ChampApplMorat</t>
        </is>
      </c>
      <c r="N772" s="257" t="inlineStr">
        <is>
          <t>Obligatoire sous conditions</t>
        </is>
      </c>
      <c r="O772" s="310" t="inlineStr">
        <is>
          <t>Mandatory under conditions</t>
        </is>
      </c>
      <c r="P772" s="269" t="inlineStr">
        <is>
          <t>LC.0474</t>
        </is>
      </c>
      <c r="Q772" s="269" t="inlineStr">
        <is>
          <t>TA Z8CAPMOR</t>
        </is>
      </c>
      <c r="R772" s="241" t="inlineStr">
        <is>
          <t>NA</t>
        </is>
      </c>
      <c r="S772" s="233" t="inlineStr">
        <is>
          <t>NA</t>
        </is>
      </c>
      <c r="T772" s="313" t="inlineStr">
        <is>
          <t>ALPHA</t>
        </is>
      </c>
      <c r="U772" s="237" t="inlineStr">
        <is>
          <t>NA</t>
        </is>
      </c>
      <c r="V772" s="238" t="inlineStr">
        <is>
          <t>NA</t>
        </is>
      </c>
      <c r="W772" s="257" t="n">
        <v>2</v>
      </c>
      <c r="X772" s="945" t="inlineStr">
        <is>
          <t>NA</t>
        </is>
      </c>
      <c r="Y772" s="237" t="n">
        <v>44</v>
      </c>
      <c r="Z772" s="237" t="inlineStr">
        <is>
          <t>NA</t>
        </is>
      </c>
      <c r="AA772" s="270" t="inlineStr">
        <is>
          <t>NA</t>
        </is>
      </c>
      <c r="AB772" s="269" t="inlineStr">
        <is>
          <t>MORATORIA</t>
        </is>
      </c>
      <c r="AC772" s="231" t="inlineStr">
        <is>
          <t>ND</t>
        </is>
      </c>
      <c r="AD772" s="257" t="inlineStr">
        <is>
          <t>N</t>
        </is>
      </c>
      <c r="AE772" s="257" t="inlineStr">
        <is>
          <t>TRE*</t>
        </is>
      </c>
      <c r="AF772" s="257" t="inlineStr">
        <is>
          <t>NA</t>
        </is>
      </c>
      <c r="AG772" s="258" t="inlineStr">
        <is>
          <t>NA</t>
        </is>
      </c>
      <c r="AH772" s="89" t="n"/>
      <c r="AI772" s="711" t="inlineStr">
        <is>
          <t>La donnée est obligatoire si la donnée 'Statut du moratoire' [P1 21.25] est renseignée</t>
        </is>
      </c>
      <c r="AJ772" s="434" t="inlineStr">
        <is>
          <t>The data is mandatory if the data 'Moratorium status' [P1 21.25] is filled</t>
        </is>
      </c>
      <c r="AK772" s="588" t="n">
        <v>6</v>
      </c>
      <c r="AL772" s="366" t="inlineStr">
        <is>
          <t>TPS0934</t>
        </is>
      </c>
      <c r="AM772" s="712" t="inlineStr">
        <is>
          <t>Si elle est renseignée, la valeur doit être connue du Langage Commun associé</t>
        </is>
      </c>
      <c r="AN772" s="434" t="inlineStr">
        <is>
          <t>If specified, the value must be known to the associated Common Language</t>
        </is>
      </c>
      <c r="AO772" s="588" t="n">
        <v>7</v>
      </c>
      <c r="AP772" s="212" t="inlineStr">
        <is>
          <t>TIG0001</t>
        </is>
      </c>
      <c r="AQ772" s="712" t="n"/>
      <c r="AR772" s="434" t="n"/>
      <c r="AS772" s="588" t="n"/>
      <c r="AT772" s="713" t="n"/>
      <c r="AU772" s="712" t="n"/>
      <c r="AV772" s="434" t="n"/>
      <c r="AW772" s="588" t="n"/>
      <c r="AX772" s="713" t="n"/>
      <c r="AY772" s="712" t="n"/>
      <c r="AZ772" s="434" t="n"/>
      <c r="BA772" s="588" t="n"/>
      <c r="BB772" s="713" t="n"/>
      <c r="BC772" s="714" t="n"/>
      <c r="BD772" s="434" t="n"/>
      <c r="BE772" s="588" t="n"/>
      <c r="BF772" s="713" t="n"/>
      <c r="BG772" s="89" t="n"/>
      <c r="BH7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72">
        <f>_xlfn.LET(r,ROW(),oc,INDEX($A:$A,r),cv,TRIM(INDEX($Y:$Y,r)&amp;""),IF(oc&lt;&gt;"P1","",IF(cv="45","V45 - novo, nao alimentado pelo spool atual","V44 - alimentado pelo spool atual")))</f>
        <v/>
      </c>
    </row>
    <row r="773" ht="54" customFormat="1" customHeight="1" s="91">
      <c r="A773" s="306" t="inlineStr">
        <is>
          <t>P1</t>
        </is>
      </c>
      <c r="B773" s="307" t="n">
        <v>538</v>
      </c>
      <c r="C773" s="269" t="inlineStr">
        <is>
          <t>30 - Caractéristiques moratoires</t>
        </is>
      </c>
      <c r="D773" s="236" t="inlineStr">
        <is>
          <t>30 - Moratorium characteristics</t>
        </is>
      </c>
      <c r="E773" s="307" t="inlineStr">
        <is>
          <t>P1 21.30</t>
        </is>
      </c>
      <c r="F773" s="308" t="inlineStr">
        <is>
          <t>Montant des échéances reportées</t>
        </is>
      </c>
      <c r="G773" s="309" t="inlineStr">
        <is>
          <t>Amount of deferred maturities</t>
        </is>
      </c>
      <c r="H773" s="1493">
        <f>"RPAD( "&amp;SUBSTITUTE(SUBSTITUTE(E773," ","_"),".","_")&amp;","&amp;W773&amp;",' '); -- "&amp;E773</f>
        <v/>
      </c>
      <c r="I773" s="308" t="inlineStr">
        <is>
          <t>Montant des échéances reportées</t>
        </is>
      </c>
      <c r="J773" s="309" t="inlineStr">
        <is>
          <t>Amount of deferred maturities</t>
        </is>
      </c>
      <c r="K773" s="370" t="inlineStr">
        <is>
          <t>ND</t>
        </is>
      </c>
      <c r="L773" s="371" t="inlineStr">
        <is>
          <t>ND</t>
        </is>
      </c>
      <c r="M773" s="1420" t="inlineStr">
        <is>
          <t>mtEchReport</t>
        </is>
      </c>
      <c r="N773" s="257" t="inlineStr">
        <is>
          <t>Obligatoire sous conditions</t>
        </is>
      </c>
      <c r="O773" s="310" t="inlineStr">
        <is>
          <t>Mandatory under conditions</t>
        </is>
      </c>
      <c r="P773" s="269" t="inlineStr">
        <is>
          <t>NA</t>
        </is>
      </c>
      <c r="Q773" s="269" t="inlineStr">
        <is>
          <t>NA</t>
        </is>
      </c>
      <c r="R773" s="241" t="inlineStr">
        <is>
          <t>NA</t>
        </is>
      </c>
      <c r="S773" s="233" t="inlineStr">
        <is>
          <t>NA</t>
        </is>
      </c>
      <c r="T773" s="313" t="inlineStr">
        <is>
          <t>NUM</t>
        </is>
      </c>
      <c r="U773" s="237" t="inlineStr">
        <is>
          <t>19 dont signe et 2 décimales</t>
        </is>
      </c>
      <c r="V773" s="238" t="inlineStr">
        <is>
          <t>19 including sign and 2 decimals</t>
        </is>
      </c>
      <c r="W773" s="257" t="n">
        <v>19</v>
      </c>
      <c r="X773" s="945" t="inlineStr">
        <is>
          <t>NA</t>
        </is>
      </c>
      <c r="Y773" s="237" t="n">
        <v>44</v>
      </c>
      <c r="Z773" s="237" t="inlineStr">
        <is>
          <t>NA</t>
        </is>
      </c>
      <c r="AA773" s="270" t="inlineStr">
        <is>
          <t>NA</t>
        </is>
      </c>
      <c r="AB773" s="269" t="inlineStr">
        <is>
          <t>MORATORIA</t>
        </is>
      </c>
      <c r="AC773" s="231" t="inlineStr">
        <is>
          <t>ND</t>
        </is>
      </c>
      <c r="AD773" s="257" t="inlineStr">
        <is>
          <t>N</t>
        </is>
      </c>
      <c r="AE773" s="257" t="inlineStr">
        <is>
          <t>TRE*</t>
        </is>
      </c>
      <c r="AF773" s="257" t="inlineStr">
        <is>
          <t>NA</t>
        </is>
      </c>
      <c r="AG773" s="258" t="inlineStr">
        <is>
          <t>NA</t>
        </is>
      </c>
      <c r="AH773" s="89" t="n"/>
      <c r="AI773" s="711" t="inlineStr">
        <is>
          <t>La donnée est obligatoire si la donnée 'Statut du moratoire' [P1 21.25] est renseignée</t>
        </is>
      </c>
      <c r="AJ773" s="434" t="inlineStr">
        <is>
          <t>The data is mandatory if the data 'Moratorium status' [P1 21.25] is filled</t>
        </is>
      </c>
      <c r="AK773" s="588" t="n">
        <v>6</v>
      </c>
      <c r="AL773" s="366" t="inlineStr">
        <is>
          <t>TPS0934</t>
        </is>
      </c>
      <c r="AM773" s="712" t="n"/>
      <c r="AN773" s="434" t="n"/>
      <c r="AO773" s="588" t="n"/>
      <c r="AP773" s="713" t="n"/>
      <c r="AQ773" s="712" t="n"/>
      <c r="AR773" s="434" t="n"/>
      <c r="AS773" s="588" t="n"/>
      <c r="AT773" s="713" t="n"/>
      <c r="AU773" s="712" t="n"/>
      <c r="AV773" s="434" t="n"/>
      <c r="AW773" s="588" t="n"/>
      <c r="AX773" s="713" t="n"/>
      <c r="AY773" s="712" t="n"/>
      <c r="AZ773" s="434" t="n"/>
      <c r="BA773" s="588" t="n"/>
      <c r="BB773" s="713" t="n"/>
      <c r="BC773" s="714" t="n"/>
      <c r="BD773" s="434" t="n"/>
      <c r="BE773" s="588" t="n"/>
      <c r="BF773" s="713" t="n"/>
      <c r="BG773" s="89" t="n"/>
      <c r="BH7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73">
        <f>_xlfn.LET(r,ROW(),oc,INDEX($A:$A,r),cv,TRIM(INDEX($Y:$Y,r)&amp;""),IF(oc&lt;&gt;"P1","",IF(cv="45","V45 - novo, nao alimentado pelo spool atual","V44 - alimentado pelo spool atual")))</f>
        <v/>
      </c>
    </row>
    <row r="774" ht="54" customFormat="1" customHeight="1" s="91">
      <c r="A774" s="306" t="inlineStr">
        <is>
          <t>P1</t>
        </is>
      </c>
      <c r="B774" s="307" t="n">
        <v>539</v>
      </c>
      <c r="C774" s="269" t="inlineStr">
        <is>
          <t>30 - Caractéristiques moratoires</t>
        </is>
      </c>
      <c r="D774" s="236" t="inlineStr">
        <is>
          <t>30 - Moratorium characteristics</t>
        </is>
      </c>
      <c r="E774" s="307" t="inlineStr">
        <is>
          <t>P1 21.31</t>
        </is>
      </c>
      <c r="F774" s="308" t="inlineStr">
        <is>
          <t>Devise du montant des échéances reportées</t>
        </is>
      </c>
      <c r="G774" s="309" t="inlineStr">
        <is>
          <t>Currency of amount of deferred maturities</t>
        </is>
      </c>
      <c r="H774" s="1493">
        <f>"RPAD( "&amp;SUBSTITUTE(SUBSTITUTE(E774," ","_"),".","_")&amp;","&amp;W774&amp;",' '); -- "&amp;E774</f>
        <v/>
      </c>
      <c r="I774" s="308" t="inlineStr">
        <is>
          <t>Devise du montant des échéances reportées</t>
        </is>
      </c>
      <c r="J774" s="309" t="inlineStr">
        <is>
          <t>Currency of amount of deferred maturities</t>
        </is>
      </c>
      <c r="K774" s="370" t="inlineStr">
        <is>
          <t>ND</t>
        </is>
      </c>
      <c r="L774" s="371" t="inlineStr">
        <is>
          <t>ND</t>
        </is>
      </c>
      <c r="M774" s="1420" t="inlineStr">
        <is>
          <t>cdDevMtEchReport</t>
        </is>
      </c>
      <c r="N774" s="257" t="inlineStr">
        <is>
          <t>Obligatoire sous conditions</t>
        </is>
      </c>
      <c r="O774" s="310" t="inlineStr">
        <is>
          <t>Mandatory under conditions</t>
        </is>
      </c>
      <c r="P774" s="269" t="inlineStr">
        <is>
          <t>LC.0005</t>
        </is>
      </c>
      <c r="Q774" s="269" t="inlineStr">
        <is>
          <t>TA NM253</t>
        </is>
      </c>
      <c r="R774" s="241" t="inlineStr">
        <is>
          <t>NA</t>
        </is>
      </c>
      <c r="S774" s="233" t="inlineStr">
        <is>
          <t>NA</t>
        </is>
      </c>
      <c r="T774" s="313" t="inlineStr">
        <is>
          <t>ALPHA</t>
        </is>
      </c>
      <c r="U774" s="237" t="inlineStr">
        <is>
          <t>NA</t>
        </is>
      </c>
      <c r="V774" s="238" t="inlineStr">
        <is>
          <t>NA</t>
        </is>
      </c>
      <c r="W774" s="257" t="n">
        <v>3</v>
      </c>
      <c r="X774" s="945" t="inlineStr">
        <is>
          <t>NA</t>
        </is>
      </c>
      <c r="Y774" s="237" t="n">
        <v>44</v>
      </c>
      <c r="Z774" s="237" t="inlineStr">
        <is>
          <t>NA</t>
        </is>
      </c>
      <c r="AA774" s="270" t="inlineStr">
        <is>
          <t>NA</t>
        </is>
      </c>
      <c r="AB774" s="269" t="inlineStr">
        <is>
          <t>MORATORIA</t>
        </is>
      </c>
      <c r="AC774" s="231" t="inlineStr">
        <is>
          <t>ND</t>
        </is>
      </c>
      <c r="AD774" s="257" t="inlineStr">
        <is>
          <t>N</t>
        </is>
      </c>
      <c r="AE774" s="257" t="inlineStr">
        <is>
          <t>TRE*</t>
        </is>
      </c>
      <c r="AF774" s="257" t="inlineStr">
        <is>
          <t>NA</t>
        </is>
      </c>
      <c r="AG774" s="258" t="inlineStr">
        <is>
          <t>NA</t>
        </is>
      </c>
      <c r="AH774" s="89" t="n"/>
      <c r="AI774" s="711" t="inlineStr">
        <is>
          <t>La donnée est obligatoire si le Montant des échéances reportées [P1 21.30] est renseigné</t>
        </is>
      </c>
      <c r="AJ774" s="434" t="inlineStr">
        <is>
          <t>The data is mandatory if the Amount of due dates carried forward [P1 21.30] is filled</t>
        </is>
      </c>
      <c r="AK774" s="588" t="n">
        <v>7</v>
      </c>
      <c r="AL774" s="335" t="inlineStr">
        <is>
          <t>TPG0002</t>
        </is>
      </c>
      <c r="AM774" s="712" t="inlineStr">
        <is>
          <t>Si elle est renseignée, la valeur doit être connue du Langage Commun associé</t>
        </is>
      </c>
      <c r="AN774" s="434" t="inlineStr">
        <is>
          <t>If specified, the value must be known to the associated Common Language</t>
        </is>
      </c>
      <c r="AO774" s="588" t="n">
        <v>7</v>
      </c>
      <c r="AP774" s="212" t="inlineStr">
        <is>
          <t>TIG0001</t>
        </is>
      </c>
      <c r="AQ774" s="712" t="n"/>
      <c r="AR774" s="434" t="n"/>
      <c r="AS774" s="588" t="n"/>
      <c r="AT774" s="713" t="n"/>
      <c r="AU774" s="712" t="n"/>
      <c r="AV774" s="434" t="n"/>
      <c r="AW774" s="588" t="n"/>
      <c r="AX774" s="713" t="n"/>
      <c r="AY774" s="712" t="n"/>
      <c r="AZ774" s="434" t="n"/>
      <c r="BA774" s="588" t="n"/>
      <c r="BB774" s="713" t="n"/>
      <c r="BC774" s="714" t="n"/>
      <c r="BD774" s="434" t="n"/>
      <c r="BE774" s="588" t="n"/>
      <c r="BF774" s="713" t="n"/>
      <c r="BG774" s="89" t="n"/>
      <c r="BH7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74">
        <f>_xlfn.LET(r,ROW(),oc,INDEX($A:$A,r),cv,TRIM(INDEX($Y:$Y,r)&amp;""),IF(oc&lt;&gt;"P1","",IF(cv="45","V45 - novo, nao alimentado pelo spool atual","V44 - alimentado pelo spool atual")))</f>
        <v/>
      </c>
    </row>
    <row r="775" ht="54" customFormat="1" customHeight="1" s="91">
      <c r="A775" s="306" t="inlineStr">
        <is>
          <t>P1</t>
        </is>
      </c>
      <c r="B775" s="307" t="n">
        <v>540</v>
      </c>
      <c r="C775" s="269" t="inlineStr">
        <is>
          <t>22 - Caractéristiques de taux</t>
        </is>
      </c>
      <c r="D775" s="236" t="inlineStr">
        <is>
          <t>22 - Rate characteristics</t>
        </is>
      </c>
      <c r="E775" s="307" t="inlineStr">
        <is>
          <t>P1 21.32</t>
        </is>
      </c>
      <c r="F775" s="308" t="inlineStr">
        <is>
          <t>Méthode de convention des taux sans risque (RFR)</t>
        </is>
      </c>
      <c r="G775" s="309" t="inlineStr">
        <is>
          <t>Risk Free Rate (RFR) convention method</t>
        </is>
      </c>
      <c r="H775" s="1493">
        <f>"RPAD( "&amp;SUBSTITUTE(SUBSTITUTE(E775," ","_"),".","_")&amp;","&amp;W775&amp;",' '); -- "&amp;E775</f>
        <v/>
      </c>
      <c r="I775" s="719" t="inlineStr">
        <is>
          <t>Conventions de calcul de taux d'intérêt appliquées aux RFR afin d'obtenir des calculs de taux sur des périodes de temps standardisées.</t>
        </is>
      </c>
      <c r="J775" s="309" t="inlineStr">
        <is>
          <t>Interest rate calculation conventions applied to RFRs to obtain rate calculations over standardized time periods.</t>
        </is>
      </c>
      <c r="K775" s="370" t="inlineStr">
        <is>
          <t>ND</t>
        </is>
      </c>
      <c r="L775" s="371" t="inlineStr">
        <is>
          <t>ND</t>
        </is>
      </c>
      <c r="M775" s="1420" t="inlineStr">
        <is>
          <t>cdMethConvRFR</t>
        </is>
      </c>
      <c r="N775" s="257" t="inlineStr">
        <is>
          <t>Facultatif</t>
        </is>
      </c>
      <c r="O775" s="310" t="inlineStr">
        <is>
          <t>Optional</t>
        </is>
      </c>
      <c r="P775" s="269" t="inlineStr">
        <is>
          <t>LC.0434</t>
        </is>
      </c>
      <c r="Q775" s="269" t="inlineStr">
        <is>
          <t>TA Z8MCTRFR</t>
        </is>
      </c>
      <c r="R775" s="241" t="inlineStr">
        <is>
          <t>NA</t>
        </is>
      </c>
      <c r="S775" s="233" t="inlineStr">
        <is>
          <t>NA</t>
        </is>
      </c>
      <c r="T775" s="313" t="inlineStr">
        <is>
          <t>ALPHA</t>
        </is>
      </c>
      <c r="U775" s="237" t="inlineStr">
        <is>
          <t>NA</t>
        </is>
      </c>
      <c r="V775" s="238" t="inlineStr">
        <is>
          <t>NA</t>
        </is>
      </c>
      <c r="W775" s="257" t="n">
        <v>15</v>
      </c>
      <c r="X775" s="945" t="inlineStr">
        <is>
          <t>NA</t>
        </is>
      </c>
      <c r="Y775" s="237" t="n">
        <v>44</v>
      </c>
      <c r="Z775" s="237" t="inlineStr">
        <is>
          <t>NA</t>
        </is>
      </c>
      <c r="AA775" s="239" t="inlineStr">
        <is>
          <t>NA</t>
        </is>
      </c>
      <c r="AB775" s="269" t="inlineStr">
        <is>
          <t>PALMA</t>
        </is>
      </c>
      <c r="AC775" s="231" t="inlineStr">
        <is>
          <t>ND</t>
        </is>
      </c>
      <c r="AD775" s="257" t="inlineStr">
        <is>
          <t>N</t>
        </is>
      </c>
      <c r="AE775" s="257" t="inlineStr">
        <is>
          <t>NA</t>
        </is>
      </c>
      <c r="AF775" s="257" t="inlineStr">
        <is>
          <t>NA</t>
        </is>
      </c>
      <c r="AG775" s="258" t="inlineStr">
        <is>
          <t>NA</t>
        </is>
      </c>
      <c r="AH775" s="89" t="n"/>
      <c r="AI775" s="714" t="n"/>
      <c r="AJ775" s="434" t="n"/>
      <c r="AK775" s="588" t="n"/>
      <c r="AL775" s="713" t="n"/>
      <c r="AM775" s="712" t="inlineStr">
        <is>
          <t>Si elle est renseignée, la valeur doit être connue du Langage Commun associé</t>
        </is>
      </c>
      <c r="AN775" s="434" t="inlineStr">
        <is>
          <t>If specified, the value must be known to the associated Common Language</t>
        </is>
      </c>
      <c r="AO775" s="588" t="n">
        <v>7</v>
      </c>
      <c r="AP775" s="212" t="inlineStr">
        <is>
          <t>TIG0001</t>
        </is>
      </c>
      <c r="AQ775" s="712" t="n"/>
      <c r="AR775" s="434" t="n"/>
      <c r="AS775" s="588" t="n"/>
      <c r="AT775" s="713" t="n"/>
      <c r="AU775" s="712" t="n"/>
      <c r="AV775" s="434" t="n"/>
      <c r="AW775" s="588" t="n"/>
      <c r="AX775" s="713" t="n"/>
      <c r="AY775" s="712" t="n"/>
      <c r="AZ775" s="434" t="n"/>
      <c r="BA775" s="588" t="n"/>
      <c r="BB775" s="713" t="n"/>
      <c r="BC775" s="714" t="n"/>
      <c r="BD775" s="434" t="n"/>
      <c r="BE775" s="588" t="n"/>
      <c r="BF775" s="713" t="n"/>
      <c r="BG775" s="89" t="n"/>
      <c r="BH7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75">
        <f>_xlfn.LET(r,ROW(),oc,INDEX($A:$A,r),cv,TRIM(INDEX($Y:$Y,r)&amp;""),IF(oc&lt;&gt;"P1","",IF(cv="45","V45 - novo, nao alimentado pelo spool atual","V44 - alimentado pelo spool atual")))</f>
        <v/>
      </c>
    </row>
    <row r="776" ht="54" customFormat="1" customHeight="1" s="91">
      <c r="A776" s="306" t="inlineStr">
        <is>
          <t>P1</t>
        </is>
      </c>
      <c r="B776" s="307" t="n">
        <v>541</v>
      </c>
      <c r="C776" s="269" t="inlineStr">
        <is>
          <t>22 - Caractéristiques de taux</t>
        </is>
      </c>
      <c r="D776" s="236" t="inlineStr">
        <is>
          <t>22 - Rate characteristics</t>
        </is>
      </c>
      <c r="E776" s="307" t="inlineStr">
        <is>
          <t>P1 21.33</t>
        </is>
      </c>
      <c r="F776" s="308" t="inlineStr">
        <is>
          <t>Durée de convention des taux sans risque (RFR)</t>
        </is>
      </c>
      <c r="G776" s="309" t="inlineStr">
        <is>
          <t>Risk Free Rate (RFR) convention duration</t>
        </is>
      </c>
      <c r="H776" s="1493">
        <f>"RPAD( "&amp;SUBSTITUTE(SUBSTITUTE(E776," ","_"),".","_")&amp;","&amp;W776&amp;",' '); -- "&amp;E776</f>
        <v/>
      </c>
      <c r="I776" s="308" t="inlineStr">
        <is>
          <t>Période associée à la convention de taux RFR permettant de déterminer la date de paiement des intérêts (plain base), la date de début d'observation (lookback) ou la durée de la période d'observation (last reset et last recent).</t>
        </is>
      </c>
      <c r="J776" s="309" t="inlineStr">
        <is>
          <t xml:space="preserve">Period associated with the RFR rate agreement used to determine the interest payment date (plain base), the observation start date (lookback) or the duration of the observation period (last reset and last recent).
</t>
        </is>
      </c>
      <c r="K776" s="370" t="inlineStr">
        <is>
          <t>ND</t>
        </is>
      </c>
      <c r="L776" s="371" t="inlineStr">
        <is>
          <t>ND</t>
        </is>
      </c>
      <c r="M776" s="1420" t="inlineStr">
        <is>
          <t>DureeConvRFR</t>
        </is>
      </c>
      <c r="N776" s="257" t="inlineStr">
        <is>
          <t>Facultatif</t>
        </is>
      </c>
      <c r="O776" s="310" t="inlineStr">
        <is>
          <t>Optional</t>
        </is>
      </c>
      <c r="P776" s="269" t="inlineStr">
        <is>
          <t>LC.0435</t>
        </is>
      </c>
      <c r="Q776" s="269" t="inlineStr">
        <is>
          <t>TA Z8DCTRFR</t>
        </is>
      </c>
      <c r="R776" s="241" t="inlineStr">
        <is>
          <t>NA</t>
        </is>
      </c>
      <c r="S776" s="233" t="inlineStr">
        <is>
          <t>NA</t>
        </is>
      </c>
      <c r="T776" s="313" t="inlineStr">
        <is>
          <t>ALPHA</t>
        </is>
      </c>
      <c r="U776" s="237" t="inlineStr">
        <is>
          <t>NA</t>
        </is>
      </c>
      <c r="V776" s="238" t="inlineStr">
        <is>
          <t>NA</t>
        </is>
      </c>
      <c r="W776" s="257" t="n">
        <v>3</v>
      </c>
      <c r="X776" s="945" t="inlineStr">
        <is>
          <t>NA</t>
        </is>
      </c>
      <c r="Y776" s="237" t="n">
        <v>44</v>
      </c>
      <c r="Z776" s="237" t="inlineStr">
        <is>
          <t>NA</t>
        </is>
      </c>
      <c r="AA776" s="239" t="inlineStr">
        <is>
          <t>NA</t>
        </is>
      </c>
      <c r="AB776" s="269" t="inlineStr">
        <is>
          <t>PALMA</t>
        </is>
      </c>
      <c r="AC776" s="231" t="inlineStr">
        <is>
          <t>ND</t>
        </is>
      </c>
      <c r="AD776" s="257" t="inlineStr">
        <is>
          <t>N</t>
        </is>
      </c>
      <c r="AE776" s="257" t="inlineStr">
        <is>
          <t>NA</t>
        </is>
      </c>
      <c r="AF776" s="257" t="inlineStr">
        <is>
          <t>NA</t>
        </is>
      </c>
      <c r="AG776" s="258" t="inlineStr">
        <is>
          <t>NA</t>
        </is>
      </c>
      <c r="AH776" s="89" t="n"/>
      <c r="AI776" s="714" t="n"/>
      <c r="AJ776" s="434" t="n"/>
      <c r="AK776" s="588" t="n"/>
      <c r="AL776" s="713" t="n"/>
      <c r="AM776" s="712" t="inlineStr">
        <is>
          <t>Si elle est renseignée, la valeur doit être connue du Langage Commun associé</t>
        </is>
      </c>
      <c r="AN776" s="434" t="inlineStr">
        <is>
          <t>If specified, the value must be known to the associated Common Language</t>
        </is>
      </c>
      <c r="AO776" s="588" t="n">
        <v>7</v>
      </c>
      <c r="AP776" s="212" t="inlineStr">
        <is>
          <t>TIG0001</t>
        </is>
      </c>
      <c r="AQ776" s="712" t="n"/>
      <c r="AR776" s="434" t="n"/>
      <c r="AS776" s="588" t="n"/>
      <c r="AT776" s="713" t="n"/>
      <c r="AU776" s="712" t="n"/>
      <c r="AV776" s="434" t="n"/>
      <c r="AW776" s="588" t="n"/>
      <c r="AX776" s="713" t="n"/>
      <c r="AY776" s="712" t="n"/>
      <c r="AZ776" s="434" t="n"/>
      <c r="BA776" s="588" t="n"/>
      <c r="BB776" s="713" t="n"/>
      <c r="BC776" s="714" t="n"/>
      <c r="BD776" s="434" t="n"/>
      <c r="BE776" s="588" t="n"/>
      <c r="BF776" s="713" t="n"/>
      <c r="BG776" s="89" t="n"/>
      <c r="BH7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76">
        <f>_xlfn.LET(r,ROW(),oc,INDEX($A:$A,r),cv,TRIM(INDEX($Y:$Y,r)&amp;""),IF(oc&lt;&gt;"P1","",IF(cv="45","V45 - novo, nao alimentado pelo spool atual","V44 - alimentado pelo spool atual")))</f>
        <v/>
      </c>
    </row>
    <row r="777" ht="54" customFormat="1" customHeight="1" s="57">
      <c r="A777" s="325" t="inlineStr">
        <is>
          <t>P1</t>
        </is>
      </c>
      <c r="B777" s="326" t="n">
        <v>542</v>
      </c>
      <c r="C777" s="284" t="inlineStr">
        <is>
          <t xml:space="preserve">19 - Données comptables </t>
        </is>
      </c>
      <c r="D777" s="284" t="inlineStr">
        <is>
          <t>19 - Accounting data</t>
        </is>
      </c>
      <c r="E777" s="326" t="inlineStr">
        <is>
          <t>P1 15</t>
        </is>
      </c>
      <c r="F777" s="327" t="inlineStr">
        <is>
          <t>Numéro de compte local (PCI) de l'encours</t>
        </is>
      </c>
      <c r="G777" s="327" t="inlineStr">
        <is>
          <t>Account number in local norms (in French or Local norms)</t>
        </is>
      </c>
      <c r="H777" s="1493">
        <f>"RPAD( "&amp;SUBSTITUTE(SUBSTITUTE(E777," ","_"),".","_")&amp;","&amp;W777&amp;",' '); -- "&amp;E777</f>
        <v/>
      </c>
      <c r="I777" s="245" t="inlineStr">
        <is>
          <t>Compte comptable local de l'encours (NF ou locale)</t>
        </is>
      </c>
      <c r="J777" s="327" t="inlineStr">
        <is>
          <t>Account number in local norms (in French or Local norms)</t>
        </is>
      </c>
      <c r="K777" s="284" t="inlineStr">
        <is>
          <t>NA</t>
        </is>
      </c>
      <c r="L777" s="388" t="inlineStr">
        <is>
          <t>NA</t>
        </is>
      </c>
      <c r="M777" s="1421" t="inlineStr">
        <is>
          <t>noPCIEnc</t>
        </is>
      </c>
      <c r="N777" s="284" t="inlineStr">
        <is>
          <t>NA</t>
        </is>
      </c>
      <c r="O777" s="388" t="inlineStr">
        <is>
          <t>NA</t>
        </is>
      </c>
      <c r="P777" s="284" t="inlineStr">
        <is>
          <t>NA</t>
        </is>
      </c>
      <c r="Q777" s="284" t="inlineStr">
        <is>
          <t>NA</t>
        </is>
      </c>
      <c r="R777" s="245" t="inlineStr">
        <is>
          <t>Renseigner le PCI relatif au PCCO - Valeur du principal 1</t>
        </is>
      </c>
      <c r="S777" s="245" t="inlineStr">
        <is>
          <t>Must be completed with the PCI related to the PCCO - Value of principal 1</t>
        </is>
      </c>
      <c r="T777" s="326" t="inlineStr">
        <is>
          <t>ALPHA</t>
        </is>
      </c>
      <c r="U777" s="248" t="inlineStr">
        <is>
          <t>NA</t>
        </is>
      </c>
      <c r="V777" s="248" t="inlineStr">
        <is>
          <t>NA</t>
        </is>
      </c>
      <c r="W777" s="284" t="n">
        <v>12</v>
      </c>
      <c r="X777" s="244" t="inlineStr">
        <is>
          <t>NA</t>
        </is>
      </c>
      <c r="Y777" s="248" t="n">
        <v>44</v>
      </c>
      <c r="Z777" s="782" t="inlineStr">
        <is>
          <t>45</t>
        </is>
      </c>
      <c r="AA777" s="782" t="inlineStr">
        <is>
          <t>45.00</t>
        </is>
      </c>
      <c r="AB777" s="284" t="inlineStr">
        <is>
          <t>USAGE ZP</t>
        </is>
      </c>
      <c r="AC777" s="244" t="inlineStr">
        <is>
          <t>NA</t>
        </is>
      </c>
      <c r="AD777" s="284" t="inlineStr">
        <is>
          <t>N</t>
        </is>
      </c>
      <c r="AE777" s="284" t="inlineStr">
        <is>
          <t>EQU101
EQU201
ISS100
ISS200 et 300
TRE100
TRE2 à 4XX hors 203,205,206,207
TRE203, 205, 207
TRE206
TRE5XX
SIG
VAR*
INT</t>
        </is>
      </c>
      <c r="AF777" s="284" t="inlineStr">
        <is>
          <t>NA</t>
        </is>
      </c>
      <c r="AG777" s="285" t="inlineStr">
        <is>
          <t>NA</t>
        </is>
      </c>
      <c r="AH777" s="1362" t="n"/>
      <c r="AI777" s="1022" t="n"/>
      <c r="AJ777" s="1023" t="n"/>
      <c r="AK777" s="975" t="n"/>
      <c r="AL777" s="1024" t="n"/>
      <c r="AM777" s="1023" t="n"/>
      <c r="AN777" s="1023" t="n"/>
      <c r="AO777" s="975" t="n"/>
      <c r="AP777" s="1025" t="n"/>
      <c r="AQ777" s="1023" t="n"/>
      <c r="AR777" s="1023" t="n"/>
      <c r="AS777" s="975" t="n"/>
      <c r="AT777" s="1024" t="n"/>
      <c r="AU777" s="1023" t="n"/>
      <c r="AV777" s="1023" t="n"/>
      <c r="AW777" s="975" t="n"/>
      <c r="AX777" s="1024" t="n"/>
      <c r="AY777" s="331" t="n"/>
      <c r="AZ777" s="331" t="n"/>
      <c r="BA777" s="284" t="n"/>
      <c r="BB777" s="285" t="n"/>
      <c r="BC777" s="330" t="n"/>
      <c r="BD777" s="331" t="n"/>
      <c r="BE777" s="284" t="n"/>
      <c r="BF777" s="285" t="n"/>
      <c r="BG777" s="89" t="n"/>
      <c r="BH7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77">
        <f>_xlfn.LET(r,ROW(),oc,INDEX($A:$A,r),cv,TRIM(INDEX($Y:$Y,r)&amp;""),IF(oc&lt;&gt;"P1","",IF(cv="45","V45 - novo, nao alimentado pelo spool atual","V44 - alimentado pelo spool atual")))</f>
        <v/>
      </c>
    </row>
    <row r="778" ht="54" customFormat="1" customHeight="1" s="91">
      <c r="A778" s="325" t="inlineStr">
        <is>
          <t>P1</t>
        </is>
      </c>
      <c r="B778" s="326" t="n">
        <v>543</v>
      </c>
      <c r="C778" s="284" t="inlineStr">
        <is>
          <t xml:space="preserve">19 - Données comptables </t>
        </is>
      </c>
      <c r="D778" s="244" t="inlineStr">
        <is>
          <t>19 - Accounting data</t>
        </is>
      </c>
      <c r="E778" s="326" t="inlineStr">
        <is>
          <t>P1 16</t>
        </is>
      </c>
      <c r="F778" s="327" t="inlineStr">
        <is>
          <t>Numéro de compte PCCA de l'encours en norme IFRS</t>
        </is>
      </c>
      <c r="G778" s="327" t="inlineStr">
        <is>
          <t>Account number PCCA of outstanding amount in IFRS norms</t>
        </is>
      </c>
      <c r="H778" s="1493">
        <f>"RPAD( "&amp;SUBSTITUTE(SUBSTITUTE(E778," ","_"),".","_")&amp;","&amp;W778&amp;",' '); -- "&amp;E778</f>
        <v/>
      </c>
      <c r="I778" s="327" t="inlineStr">
        <is>
          <t>Numéro de compte PCCA de l'encours en norme IFRS</t>
        </is>
      </c>
      <c r="J778" s="327" t="inlineStr">
        <is>
          <t>Account number PCCA of outstanding amount in IFRS norms</t>
        </is>
      </c>
      <c r="K778" s="388" t="inlineStr">
        <is>
          <t>NA</t>
        </is>
      </c>
      <c r="L778" s="388" t="inlineStr">
        <is>
          <t>NA</t>
        </is>
      </c>
      <c r="M778" s="1421" t="inlineStr">
        <is>
          <t>noPCCAEncIAS
noPCCAEncIFRS</t>
        </is>
      </c>
      <c r="N778" s="244" t="inlineStr">
        <is>
          <t>NA</t>
        </is>
      </c>
      <c r="O778" s="284" t="inlineStr">
        <is>
          <t>NA</t>
        </is>
      </c>
      <c r="P778" s="284" t="inlineStr">
        <is>
          <t>NA</t>
        </is>
      </c>
      <c r="Q778" s="284" t="inlineStr">
        <is>
          <t>NA</t>
        </is>
      </c>
      <c r="R778" s="245" t="inlineStr">
        <is>
          <t>NA</t>
        </is>
      </c>
      <c r="S778" s="245" t="inlineStr">
        <is>
          <t>NA</t>
        </is>
      </c>
      <c r="T778" s="326" t="inlineStr">
        <is>
          <t>ALPHA</t>
        </is>
      </c>
      <c r="U778" s="248" t="inlineStr">
        <is>
          <t>NA</t>
        </is>
      </c>
      <c r="V778" s="248" t="inlineStr">
        <is>
          <t>NA</t>
        </is>
      </c>
      <c r="W778" s="284" t="n">
        <v>12</v>
      </c>
      <c r="X778" s="284" t="inlineStr">
        <is>
          <t>NA</t>
        </is>
      </c>
      <c r="Y778" s="248" t="n">
        <v>44</v>
      </c>
      <c r="Z778" s="248" t="n">
        <v>44</v>
      </c>
      <c r="AA778" s="249" t="inlineStr">
        <is>
          <t>NA</t>
        </is>
      </c>
      <c r="AB778" s="284" t="inlineStr">
        <is>
          <t>USAGE ZP</t>
        </is>
      </c>
      <c r="AC778" s="244" t="inlineStr">
        <is>
          <t>NA</t>
        </is>
      </c>
      <c r="AD778" s="284" t="inlineStr">
        <is>
          <t>N</t>
        </is>
      </c>
      <c r="AE778" s="284" t="inlineStr">
        <is>
          <t>NA</t>
        </is>
      </c>
      <c r="AF778" s="284" t="inlineStr">
        <is>
          <t>NA</t>
        </is>
      </c>
      <c r="AG778" s="285" t="inlineStr">
        <is>
          <t>NA</t>
        </is>
      </c>
      <c r="AH778" s="1362" t="n"/>
      <c r="AI778" s="720" t="n"/>
      <c r="AJ778" s="721" t="n"/>
      <c r="AK778" s="722" t="n"/>
      <c r="AL778" s="723" t="n"/>
      <c r="AM778" s="721" t="n"/>
      <c r="AN778" s="721" t="n"/>
      <c r="AO778" s="722" t="n"/>
      <c r="AP778" s="723" t="n"/>
      <c r="AQ778" s="721" t="n"/>
      <c r="AR778" s="721" t="n"/>
      <c r="AS778" s="722" t="n"/>
      <c r="AT778" s="723" t="n"/>
      <c r="AU778" s="721" t="n"/>
      <c r="AV778" s="721" t="n"/>
      <c r="AW778" s="722" t="n"/>
      <c r="AX778" s="723" t="n"/>
      <c r="AY778" s="721" t="n"/>
      <c r="AZ778" s="721" t="n"/>
      <c r="BA778" s="722" t="n"/>
      <c r="BB778" s="723" t="n"/>
      <c r="BC778" s="720" t="n"/>
      <c r="BD778" s="721" t="n"/>
      <c r="BE778" s="722" t="n"/>
      <c r="BF778" s="723" t="n"/>
      <c r="BG778" s="89" t="n"/>
      <c r="BH7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78">
        <f>_xlfn.LET(r,ROW(),oc,INDEX($A:$A,r),cv,TRIM(INDEX($Y:$Y,r)&amp;""),IF(oc&lt;&gt;"P1","",IF(cv="45","V45 - novo, nao alimentado pelo spool atual","V44 - alimentado pelo spool atual")))</f>
        <v/>
      </c>
    </row>
    <row r="779" ht="54" customFormat="1" customHeight="1" s="57">
      <c r="A779" s="325" t="inlineStr">
        <is>
          <t>P1</t>
        </is>
      </c>
      <c r="B779" s="326" t="n">
        <v>544</v>
      </c>
      <c r="C779" s="284" t="inlineStr">
        <is>
          <t xml:space="preserve">19 - Données comptables </t>
        </is>
      </c>
      <c r="D779" s="284" t="inlineStr">
        <is>
          <t>19 - Accounting data</t>
        </is>
      </c>
      <c r="E779" s="326" t="inlineStr">
        <is>
          <t>P1 14</t>
        </is>
      </c>
      <c r="F779" s="327" t="inlineStr">
        <is>
          <t>Numéro de compte PCCA de l'encours en NF</t>
        </is>
      </c>
      <c r="G779" s="327" t="inlineStr">
        <is>
          <t xml:space="preserve">PCCA account number of outstanding amount in French Norms </t>
        </is>
      </c>
      <c r="H779" s="1493">
        <f>"RPAD( "&amp;SUBSTITUTE(SUBSTITUTE(E779," ","_"),".","_")&amp;","&amp;W779&amp;",' '); -- "&amp;E779</f>
        <v/>
      </c>
      <c r="I779" s="245" t="inlineStr">
        <is>
          <t>Numéro de compte PCCA de l'encours en NF</t>
        </is>
      </c>
      <c r="J779" s="327" t="inlineStr">
        <is>
          <t xml:space="preserve">Account number PCCA of outstanding amount in French Norms </t>
        </is>
      </c>
      <c r="K779" s="284" t="inlineStr">
        <is>
          <t>NA</t>
        </is>
      </c>
      <c r="L779" s="388" t="inlineStr">
        <is>
          <t>NA</t>
        </is>
      </c>
      <c r="M779" s="1421" t="inlineStr">
        <is>
          <t>noPCCAEncNF</t>
        </is>
      </c>
      <c r="N779" s="284" t="inlineStr">
        <is>
          <t>NA</t>
        </is>
      </c>
      <c r="O779" s="388" t="inlineStr">
        <is>
          <t>NA</t>
        </is>
      </c>
      <c r="P779" s="284" t="inlineStr">
        <is>
          <t>NA</t>
        </is>
      </c>
      <c r="Q779" s="284" t="inlineStr">
        <is>
          <t>NA</t>
        </is>
      </c>
      <c r="R779" s="245" t="inlineStr">
        <is>
          <t>Le plan de comptes Crédit Agricole PCCA est utilisé exclusivement par Crédit Agricole SA entité sociale, LCL et les Caisses régionales.</t>
        </is>
      </c>
      <c r="S779" s="245" t="inlineStr">
        <is>
          <t>The Crédit Agricole PCCA account plan is used exclusively by Crédit Agricole SA social entity, LCL and the Regional Banks.</t>
        </is>
      </c>
      <c r="T779" s="326" t="inlineStr">
        <is>
          <t>ALPHA</t>
        </is>
      </c>
      <c r="U779" s="248" t="inlineStr">
        <is>
          <t>NA</t>
        </is>
      </c>
      <c r="V779" s="248" t="inlineStr">
        <is>
          <t>NA</t>
        </is>
      </c>
      <c r="W779" s="284" t="n">
        <v>12</v>
      </c>
      <c r="X779" s="244" t="inlineStr">
        <is>
          <t>NA</t>
        </is>
      </c>
      <c r="Y779" s="248" t="n">
        <v>44</v>
      </c>
      <c r="Z779" s="782" t="inlineStr">
        <is>
          <t>45</t>
        </is>
      </c>
      <c r="AA779" s="782" t="inlineStr">
        <is>
          <t>45.00</t>
        </is>
      </c>
      <c r="AB779" s="284" t="inlineStr">
        <is>
          <t>ACTIF PASSIF DURABLE, PALMA</t>
        </is>
      </c>
      <c r="AC779" s="244" t="inlineStr">
        <is>
          <t>NA</t>
        </is>
      </c>
      <c r="AD779" s="284" t="inlineStr">
        <is>
          <t>N</t>
        </is>
      </c>
      <c r="AE779" s="284" t="inlineStr">
        <is>
          <t>EQU101
EQU201
ISS100
ISS200 et 300
TRE100
TRE2 à 4XX hors 203,205,206,207
TRE203, 205, 207
TRE206
TRE5XX
SIG
VAR*
INT</t>
        </is>
      </c>
      <c r="AF779" s="284" t="inlineStr">
        <is>
          <t>NA</t>
        </is>
      </c>
      <c r="AG779" s="285" t="inlineStr">
        <is>
          <t>NA</t>
        </is>
      </c>
      <c r="AH779" s="1362" t="n"/>
      <c r="AI779" s="951" t="n"/>
      <c r="AJ779" s="952" t="n"/>
      <c r="AK779" s="953" t="n"/>
      <c r="AL779" s="954" t="n"/>
      <c r="AM779" s="1023" t="n"/>
      <c r="AN779" s="1023" t="n"/>
      <c r="AO779" s="975" t="n"/>
      <c r="AP779" s="1025" t="n"/>
      <c r="AQ779" s="1023" t="n"/>
      <c r="AR779" s="1023" t="n"/>
      <c r="AS779" s="975" t="n"/>
      <c r="AT779" s="1024" t="n"/>
      <c r="AU779" s="1023" t="n"/>
      <c r="AV779" s="1023" t="n"/>
      <c r="AW779" s="975" t="n"/>
      <c r="AX779" s="1024" t="n"/>
      <c r="AY779" s="331" t="n"/>
      <c r="AZ779" s="331" t="n"/>
      <c r="BA779" s="284" t="n"/>
      <c r="BB779" s="285" t="n"/>
      <c r="BC779" s="330" t="n"/>
      <c r="BD779" s="331" t="n"/>
      <c r="BE779" s="284" t="n"/>
      <c r="BF779" s="285" t="n"/>
      <c r="BG779" s="89" t="n"/>
      <c r="BH7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79">
        <f>_xlfn.LET(r,ROW(),oc,INDEX($A:$A,r),cv,TRIM(INDEX($Y:$Y,r)&amp;""),IF(oc&lt;&gt;"P1","",IF(cv="45","V45 - novo, nao alimentado pelo spool atual","V44 - alimentado pelo spool atual")))</f>
        <v/>
      </c>
    </row>
    <row r="780" ht="54" customFormat="1" customHeight="1" s="91">
      <c r="A780" s="306" t="inlineStr">
        <is>
          <t>P1</t>
        </is>
      </c>
      <c r="B780" s="307" t="n">
        <v>545</v>
      </c>
      <c r="C780" s="269" t="inlineStr">
        <is>
          <t xml:space="preserve">19 - Données comptables </t>
        </is>
      </c>
      <c r="D780" s="236" t="inlineStr">
        <is>
          <t>19 - Accounting data</t>
        </is>
      </c>
      <c r="E780" s="307" t="inlineStr">
        <is>
          <t>P1 50.20</t>
        </is>
      </c>
      <c r="F780" s="460" t="inlineStr">
        <is>
          <t>PCCO - Montant du principal 3</t>
        </is>
      </c>
      <c r="G780" s="309" t="inlineStr">
        <is>
          <t>PCCO - Amount of principal 3</t>
        </is>
      </c>
      <c r="H780" s="1493">
        <f>"RPAD( "&amp;SUBSTITUTE(SUBSTITUTE(E780," ","_"),".","_")&amp;","&amp;W780&amp;",' '); -- "&amp;E780</f>
        <v/>
      </c>
      <c r="I780" s="460" t="inlineStr">
        <is>
          <t>Code du compte dans le Plan de comptes consolidé prudentiel
Le compte "PCCO - Montant du principal 3" correspond : 
- au compte hors bilan comptabilisant la valeur nominale du dérivé d'une des deux jambes, classé en nature d'opération NAT10H (Instruments financiers à terme (Hors bilan))</t>
        </is>
      </c>
      <c r="J780" s="309" t="inlineStr">
        <is>
          <t>Account code in the prudential consolidated chart of accounts
The "PCCO - Amount of Principal 3" corresponds of :
- the off-balance sheet account recording the nominal value of the derivative of one of the two legs, classified as transaction type NAT10H (Financial futures instruments (Off-Balance sheet))</t>
        </is>
      </c>
      <c r="K780" s="370" t="inlineStr">
        <is>
          <t>ND</t>
        </is>
      </c>
      <c r="L780" s="371" t="inlineStr">
        <is>
          <t>ND</t>
        </is>
      </c>
      <c r="M780" s="1420" t="inlineStr">
        <is>
          <t>noPCCO3</t>
        </is>
      </c>
      <c r="N780" s="257" t="inlineStr">
        <is>
          <t>Facultatif</t>
        </is>
      </c>
      <c r="O780" s="310" t="inlineStr">
        <is>
          <t>Optional</t>
        </is>
      </c>
      <c r="P780" s="269" t="inlineStr">
        <is>
          <t>LC.0111</t>
        </is>
      </c>
      <c r="Q780" s="269" t="inlineStr">
        <is>
          <t>TA H8PCCO</t>
        </is>
      </c>
      <c r="R780" s="241" t="inlineStr">
        <is>
          <t>Dans le cas des dérivés, renseigner le PCCO du notionnel de la jambe vendue.
A renseigner pour les opérations de change de devises.</t>
        </is>
      </c>
      <c r="S780" s="233" t="inlineStr">
        <is>
          <t>In the case of derivatives, enter the PCCO of the notional of the sold leg.
To be filled for currency exchange transactions.</t>
        </is>
      </c>
      <c r="T780" s="313" t="inlineStr">
        <is>
          <t>ALPHA</t>
        </is>
      </c>
      <c r="U780" s="237" t="inlineStr">
        <is>
          <t>NA</t>
        </is>
      </c>
      <c r="V780" s="238" t="inlineStr">
        <is>
          <t>NA</t>
        </is>
      </c>
      <c r="W780" s="257" t="n">
        <v>12</v>
      </c>
      <c r="X780" s="945" t="inlineStr">
        <is>
          <t>NA</t>
        </is>
      </c>
      <c r="Y780" s="237" t="n">
        <v>44</v>
      </c>
      <c r="Z780" s="237" t="inlineStr">
        <is>
          <t>NA</t>
        </is>
      </c>
      <c r="AA780" s="239" t="inlineStr">
        <is>
          <t>NA</t>
        </is>
      </c>
      <c r="AB780" s="269" t="inlineStr">
        <is>
          <t>USAGE ZP</t>
        </is>
      </c>
      <c r="AC780" s="231" t="inlineStr">
        <is>
          <t>ND</t>
        </is>
      </c>
      <c r="AD780" s="257" t="inlineStr">
        <is>
          <t>N</t>
        </is>
      </c>
      <c r="AE780" s="971" t="inlineStr">
        <is>
          <t>VAR*
INT</t>
        </is>
      </c>
      <c r="AF780" s="257" t="inlineStr">
        <is>
          <t>NA</t>
        </is>
      </c>
      <c r="AG780" s="258" t="inlineStr">
        <is>
          <t>NA</t>
        </is>
      </c>
      <c r="AH780" s="89" t="n"/>
      <c r="AI780" s="714" t="n"/>
      <c r="AJ780" s="434" t="n"/>
      <c r="AK780" s="588" t="n"/>
      <c r="AL780" s="713" t="n"/>
      <c r="AM780" s="712" t="inlineStr">
        <is>
          <t>Si elle est renseignée, la valeur doit être connue du Langage Commun associé</t>
        </is>
      </c>
      <c r="AN780" s="434" t="inlineStr">
        <is>
          <t>If specified, the value must be known to the associated Common Language</t>
        </is>
      </c>
      <c r="AO780" s="588" t="n">
        <v>7</v>
      </c>
      <c r="AP780" s="212" t="inlineStr">
        <is>
          <t>TIG0001</t>
        </is>
      </c>
      <c r="AQ780" s="712" t="n"/>
      <c r="AR780" s="434" t="n"/>
      <c r="AS780" s="588" t="n"/>
      <c r="AT780" s="713" t="n"/>
      <c r="AU780" s="712" t="n"/>
      <c r="AV780" s="434" t="n"/>
      <c r="AW780" s="588" t="n"/>
      <c r="AX780" s="713" t="n"/>
      <c r="AY780" s="712" t="n"/>
      <c r="AZ780" s="434" t="n"/>
      <c r="BA780" s="588" t="n"/>
      <c r="BB780" s="713" t="n"/>
      <c r="BC780" s="714" t="n"/>
      <c r="BD780" s="434" t="n"/>
      <c r="BE780" s="588" t="n"/>
      <c r="BF780" s="713" t="n"/>
      <c r="BG780" s="89" t="n"/>
      <c r="BH7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80">
        <f>_xlfn.LET(r,ROW(),oc,INDEX($A:$A,r),cv,TRIM(INDEX($Y:$Y,r)&amp;""),IF(oc&lt;&gt;"P1","",IF(cv="45","V45 - novo, nao alimentado pelo spool atual","V44 - alimentado pelo spool atual")))</f>
        <v/>
      </c>
    </row>
    <row r="781" ht="54" customFormat="1" customHeight="1" s="91">
      <c r="A781" s="306" t="inlineStr">
        <is>
          <t>P1</t>
        </is>
      </c>
      <c r="B781" s="307" t="n">
        <v>546</v>
      </c>
      <c r="C781" s="269" t="inlineStr">
        <is>
          <t xml:space="preserve">19 - Données comptables </t>
        </is>
      </c>
      <c r="D781" s="236" t="inlineStr">
        <is>
          <t>19 - Accounting data</t>
        </is>
      </c>
      <c r="E781" s="307" t="inlineStr">
        <is>
          <t>P1 50.21</t>
        </is>
      </c>
      <c r="F781" s="460" t="inlineStr">
        <is>
          <t>Montant du principal 3</t>
        </is>
      </c>
      <c r="G781" s="309" t="inlineStr">
        <is>
          <t>Amount of principal 3</t>
        </is>
      </c>
      <c r="H781" s="1493">
        <f>"RPAD( "&amp;SUBSTITUTE(SUBSTITUTE(E781," ","_"),".","_")&amp;","&amp;W781&amp;",' '); -- "&amp;E781</f>
        <v/>
      </c>
      <c r="I781" s="460" t="inlineStr">
        <is>
          <t>Il s'agit du solde du compte déclaré dans le champ "PCCO - Montant du principal 3", en devise de liasse comptable de l'entité porteuse de risques, à la date d'arrêté</t>
        </is>
      </c>
      <c r="J781" s="309" t="inlineStr">
        <is>
          <t>This is the account balance declared in the "PCCO - Amount of principal 3" field, in the accounting package currency of the risk-bearing entity, on the closing date</t>
        </is>
      </c>
      <c r="K781" s="370" t="inlineStr">
        <is>
          <t>ND</t>
        </is>
      </c>
      <c r="L781" s="371" t="inlineStr">
        <is>
          <t>ND</t>
        </is>
      </c>
      <c r="M781" s="1420" t="inlineStr">
        <is>
          <t>mtPCCO3</t>
        </is>
      </c>
      <c r="N781" s="257" t="inlineStr">
        <is>
          <t>Obligatoire sous conditions</t>
        </is>
      </c>
      <c r="O781" s="310" t="inlineStr">
        <is>
          <t>Mandatory under conditions</t>
        </is>
      </c>
      <c r="P781" s="269" t="inlineStr">
        <is>
          <t>NA</t>
        </is>
      </c>
      <c r="Q781" s="269" t="inlineStr">
        <is>
          <t>NA</t>
        </is>
      </c>
      <c r="R781" s="241" t="inlineStr">
        <is>
          <t>NA</t>
        </is>
      </c>
      <c r="S781" s="233" t="inlineStr">
        <is>
          <t>NA</t>
        </is>
      </c>
      <c r="T781" s="313" t="inlineStr">
        <is>
          <t>NUM</t>
        </is>
      </c>
      <c r="U781" s="237" t="inlineStr">
        <is>
          <t>19 dont signe et 2 décimales</t>
        </is>
      </c>
      <c r="V781" s="238" t="inlineStr">
        <is>
          <t>19 including sign and 2 decimals</t>
        </is>
      </c>
      <c r="W781" s="257" t="n">
        <v>19</v>
      </c>
      <c r="X781" s="945" t="inlineStr">
        <is>
          <t>NA</t>
        </is>
      </c>
      <c r="Y781" s="237" t="n">
        <v>44</v>
      </c>
      <c r="Z781" s="237" t="inlineStr">
        <is>
          <t>NA</t>
        </is>
      </c>
      <c r="AA781" s="239" t="inlineStr">
        <is>
          <t>NA</t>
        </is>
      </c>
      <c r="AB781" s="269" t="inlineStr">
        <is>
          <t>USAGE ZP</t>
        </is>
      </c>
      <c r="AC781" s="231" t="inlineStr">
        <is>
          <t>ND</t>
        </is>
      </c>
      <c r="AD781" s="257" t="inlineStr">
        <is>
          <t>N</t>
        </is>
      </c>
      <c r="AE781" s="971" t="inlineStr">
        <is>
          <t>VAR*
INT</t>
        </is>
      </c>
      <c r="AF781" s="257" t="inlineStr">
        <is>
          <t>NA</t>
        </is>
      </c>
      <c r="AG781" s="258" t="inlineStr">
        <is>
          <t>NA</t>
        </is>
      </c>
      <c r="AH781" s="89" t="n"/>
      <c r="AI781" s="724" t="inlineStr">
        <is>
          <t>La donnée est obligatoire si la donnée PCCO - Montant du principal 3 [P1 50.20] est renseignée</t>
        </is>
      </c>
      <c r="AJ781" s="434" t="inlineStr">
        <is>
          <t>The data is mandatory if the PCCO - Amount of principal 3 [P1 50.20] data is filled</t>
        </is>
      </c>
      <c r="AK781" s="588" t="n">
        <v>7</v>
      </c>
      <c r="AL781" s="345" t="inlineStr">
        <is>
          <t>TPS0935</t>
        </is>
      </c>
      <c r="AM781" s="712" t="n"/>
      <c r="AN781" s="434" t="n"/>
      <c r="AO781" s="588" t="n"/>
      <c r="AP781" s="713" t="n"/>
      <c r="AQ781" s="712" t="n"/>
      <c r="AR781" s="434" t="n"/>
      <c r="AS781" s="588" t="n"/>
      <c r="AT781" s="713" t="n"/>
      <c r="AU781" s="712" t="n"/>
      <c r="AV781" s="434" t="n"/>
      <c r="AW781" s="588" t="n"/>
      <c r="AX781" s="713" t="n"/>
      <c r="AY781" s="712" t="n"/>
      <c r="AZ781" s="434" t="n"/>
      <c r="BA781" s="588" t="n"/>
      <c r="BB781" s="713" t="n"/>
      <c r="BC781" s="714" t="n"/>
      <c r="BD781" s="434" t="n"/>
      <c r="BE781" s="588" t="n"/>
      <c r="BF781" s="713" t="n"/>
      <c r="BG781" s="89" t="n"/>
      <c r="BH7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81">
        <f>_xlfn.LET(r,ROW(),oc,INDEX($A:$A,r),cv,TRIM(INDEX($Y:$Y,r)&amp;""),IF(oc&lt;&gt;"P1","",IF(cv="45","V45 - novo, nao alimentado pelo spool atual","V44 - alimentado pelo spool atual")))</f>
        <v/>
      </c>
    </row>
    <row r="782" ht="54" customFormat="1" customHeight="1" s="91">
      <c r="A782" s="306" t="inlineStr">
        <is>
          <t>P1</t>
        </is>
      </c>
      <c r="B782" s="307" t="n">
        <v>547</v>
      </c>
      <c r="C782" s="269" t="inlineStr">
        <is>
          <t>18 - Caractéristiques Titrisation</t>
        </is>
      </c>
      <c r="D782" s="236" t="inlineStr">
        <is>
          <t>18 - Securitization characteristics</t>
        </is>
      </c>
      <c r="E782" s="307" t="inlineStr">
        <is>
          <t>P1 21.34</t>
        </is>
      </c>
      <c r="F782" s="308" t="inlineStr">
        <is>
          <t>Indicateur de créance titrisable</t>
        </is>
      </c>
      <c r="G782" s="309" t="inlineStr">
        <is>
          <t>Securitizable debt indicator</t>
        </is>
      </c>
      <c r="H782" s="1493">
        <f>"RPAD( "&amp;SUBSTITUTE(SUBSTITUTE(E782," ","_"),".","_")&amp;","&amp;W782&amp;",' '); -- "&amp;E782</f>
        <v/>
      </c>
      <c r="I782" s="308" t="inlineStr">
        <is>
          <t>Indique si la créance est titrisable</t>
        </is>
      </c>
      <c r="J782" s="309" t="inlineStr">
        <is>
          <t>Indicates whether the claim is securitizable</t>
        </is>
      </c>
      <c r="K782" s="370" t="inlineStr">
        <is>
          <t>ND</t>
        </is>
      </c>
      <c r="L782" s="371" t="inlineStr">
        <is>
          <t>ND</t>
        </is>
      </c>
      <c r="M782" s="1420" t="inlineStr">
        <is>
          <t>IndCreTitrisab</t>
        </is>
      </c>
      <c r="N782" s="257" t="inlineStr">
        <is>
          <t>Facultatif</t>
        </is>
      </c>
      <c r="O782" s="310" t="inlineStr">
        <is>
          <t>Optional</t>
        </is>
      </c>
      <c r="P782" s="269" t="inlineStr">
        <is>
          <t>LC.0489</t>
        </is>
      </c>
      <c r="Q782" s="269" t="inlineStr">
        <is>
          <t>TA Z8ICTITR</t>
        </is>
      </c>
      <c r="R782" s="241" t="inlineStr">
        <is>
          <t>NA</t>
        </is>
      </c>
      <c r="S782" s="233" t="inlineStr">
        <is>
          <t>NA</t>
        </is>
      </c>
      <c r="T782" s="313" t="inlineStr">
        <is>
          <t>ALPHA</t>
        </is>
      </c>
      <c r="U782" s="237" t="inlineStr">
        <is>
          <t>NA</t>
        </is>
      </c>
      <c r="V782" s="238" t="inlineStr">
        <is>
          <t>NA</t>
        </is>
      </c>
      <c r="W782" s="257" t="n">
        <v>1</v>
      </c>
      <c r="X782" s="945" t="inlineStr">
        <is>
          <t>NA</t>
        </is>
      </c>
      <c r="Y782" s="237" t="n">
        <v>44</v>
      </c>
      <c r="Z782" s="237" t="inlineStr">
        <is>
          <t>NA</t>
        </is>
      </c>
      <c r="AA782" s="239" t="inlineStr">
        <is>
          <t>NA</t>
        </is>
      </c>
      <c r="AB782" s="269" t="inlineStr">
        <is>
          <t>AER</t>
        </is>
      </c>
      <c r="AC782" s="231" t="inlineStr">
        <is>
          <t>ND</t>
        </is>
      </c>
      <c r="AD782" s="257" t="inlineStr">
        <is>
          <t>N</t>
        </is>
      </c>
      <c r="AE782" s="725" t="inlineStr">
        <is>
          <t>TRE2 à 4XX hors 203,205,206,207</t>
        </is>
      </c>
      <c r="AF782" s="257" t="inlineStr">
        <is>
          <t>NA</t>
        </is>
      </c>
      <c r="AG782" s="258" t="inlineStr">
        <is>
          <t>NA</t>
        </is>
      </c>
      <c r="AH782" s="89" t="n"/>
      <c r="AI782" s="714" t="n"/>
      <c r="AJ782" s="434" t="n"/>
      <c r="AK782" s="588" t="n"/>
      <c r="AL782" s="713" t="n"/>
      <c r="AM782" s="712" t="inlineStr">
        <is>
          <t>Si elle est renseignée, la valeur doit être connue du Langage Commun associé</t>
        </is>
      </c>
      <c r="AN782" s="434" t="inlineStr">
        <is>
          <t>If specified, the value must be known to the associated Common Language</t>
        </is>
      </c>
      <c r="AO782" s="588" t="n">
        <v>7</v>
      </c>
      <c r="AP782" s="212" t="inlineStr">
        <is>
          <t>TIG0001</t>
        </is>
      </c>
      <c r="AQ782" s="712" t="n"/>
      <c r="AR782" s="434" t="n"/>
      <c r="AS782" s="588" t="n"/>
      <c r="AT782" s="713" t="n"/>
      <c r="AU782" s="712" t="n"/>
      <c r="AV782" s="434" t="n"/>
      <c r="AW782" s="588" t="n"/>
      <c r="AX782" s="713" t="n"/>
      <c r="AY782" s="712" t="n"/>
      <c r="AZ782" s="434" t="n"/>
      <c r="BA782" s="588" t="n"/>
      <c r="BB782" s="713" t="n"/>
      <c r="BC782" s="714" t="n"/>
      <c r="BD782" s="434" t="n"/>
      <c r="BE782" s="588" t="n"/>
      <c r="BF782" s="713" t="n"/>
      <c r="BG782" s="89" t="n"/>
      <c r="BH7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82">
        <f>_xlfn.LET(r,ROW(),oc,INDEX($A:$A,r),cv,TRIM(INDEX($Y:$Y,r)&amp;""),IF(oc&lt;&gt;"P1","",IF(cv="45","V45 - novo, nao alimentado pelo spool atual","V44 - alimentado pelo spool atual")))</f>
        <v/>
      </c>
    </row>
    <row r="783" ht="54" customFormat="1" customHeight="1" s="91">
      <c r="A783" s="306" t="inlineStr">
        <is>
          <t>P1</t>
        </is>
      </c>
      <c r="B783" s="307" t="n">
        <v>548</v>
      </c>
      <c r="C783" s="269" t="inlineStr">
        <is>
          <t>12 - Caractéristiques Prêts - Emprunts</t>
        </is>
      </c>
      <c r="D783" s="236" t="inlineStr">
        <is>
          <t>12 - Loans - Borrowings characteristics</t>
        </is>
      </c>
      <c r="E783" s="307" t="inlineStr">
        <is>
          <t>P1 21.35</t>
        </is>
      </c>
      <c r="F783" s="308" t="inlineStr">
        <is>
          <t>Indicateur de créance pour émission de covered bonds</t>
        </is>
      </c>
      <c r="G783" s="309" t="inlineStr">
        <is>
          <t>Debt indicator for covered bond issue</t>
        </is>
      </c>
      <c r="H783" s="1493">
        <f>"RPAD( "&amp;SUBSTITUTE(SUBSTITUTE(E783," ","_"),".","_")&amp;","&amp;W783&amp;",' '); -- "&amp;E783</f>
        <v/>
      </c>
      <c r="I783" s="308" t="inlineStr">
        <is>
          <t>Indique si la créance peut faire l'objet d'une émission de covered bonds</t>
        </is>
      </c>
      <c r="J783" s="309" t="inlineStr">
        <is>
          <t>Indicates whether the claim is eligible for covered bonds</t>
        </is>
      </c>
      <c r="K783" s="370" t="inlineStr">
        <is>
          <t>ND</t>
        </is>
      </c>
      <c r="L783" s="371" t="inlineStr">
        <is>
          <t>ND</t>
        </is>
      </c>
      <c r="M783" s="1420" t="inlineStr">
        <is>
          <t>indCreEmCovBds</t>
        </is>
      </c>
      <c r="N783" s="257" t="inlineStr">
        <is>
          <t>Facultatif</t>
        </is>
      </c>
      <c r="O783" s="310" t="inlineStr">
        <is>
          <t>Optional</t>
        </is>
      </c>
      <c r="P783" s="269" t="inlineStr">
        <is>
          <t>LC.0488</t>
        </is>
      </c>
      <c r="Q783" s="269" t="inlineStr">
        <is>
          <t>TA Z8ICPECB</t>
        </is>
      </c>
      <c r="R783" s="241" t="inlineStr">
        <is>
          <t>NA</t>
        </is>
      </c>
      <c r="S783" s="233" t="inlineStr">
        <is>
          <t>NA</t>
        </is>
      </c>
      <c r="T783" s="313" t="inlineStr">
        <is>
          <t>ALPHA</t>
        </is>
      </c>
      <c r="U783" s="237" t="inlineStr">
        <is>
          <t>NA</t>
        </is>
      </c>
      <c r="V783" s="238" t="inlineStr">
        <is>
          <t>NA</t>
        </is>
      </c>
      <c r="W783" s="257" t="n">
        <v>1</v>
      </c>
      <c r="X783" s="945" t="inlineStr">
        <is>
          <t>NA</t>
        </is>
      </c>
      <c r="Y783" s="237" t="n">
        <v>44</v>
      </c>
      <c r="Z783" s="237" t="inlineStr">
        <is>
          <t>NA</t>
        </is>
      </c>
      <c r="AA783" s="239" t="inlineStr">
        <is>
          <t>NA</t>
        </is>
      </c>
      <c r="AB783" s="269" t="inlineStr">
        <is>
          <t>AER</t>
        </is>
      </c>
      <c r="AC783" s="231" t="inlineStr">
        <is>
          <t>ND</t>
        </is>
      </c>
      <c r="AD783" s="257" t="inlineStr">
        <is>
          <t>N</t>
        </is>
      </c>
      <c r="AE783" s="725" t="inlineStr">
        <is>
          <t>TRE2 à 4XX hors 203,205,206,207</t>
        </is>
      </c>
      <c r="AF783" s="257" t="inlineStr">
        <is>
          <t>NA</t>
        </is>
      </c>
      <c r="AG783" s="258" t="inlineStr">
        <is>
          <t>NA</t>
        </is>
      </c>
      <c r="AH783" s="89" t="n"/>
      <c r="AI783" s="714" t="n"/>
      <c r="AJ783" s="434" t="n"/>
      <c r="AK783" s="588" t="n"/>
      <c r="AL783" s="713" t="n"/>
      <c r="AM783" s="712" t="inlineStr">
        <is>
          <t>Si elle est renseignée, la valeur doit être connue du Langage Commun associé</t>
        </is>
      </c>
      <c r="AN783" s="434" t="inlineStr">
        <is>
          <t>If specified, the value must be known to the associated Common Language</t>
        </is>
      </c>
      <c r="AO783" s="588" t="n">
        <v>7</v>
      </c>
      <c r="AP783" s="212" t="inlineStr">
        <is>
          <t>TIG0001</t>
        </is>
      </c>
      <c r="AQ783" s="712" t="n"/>
      <c r="AR783" s="434" t="n"/>
      <c r="AS783" s="588" t="n"/>
      <c r="AT783" s="713" t="n"/>
      <c r="AU783" s="712" t="n"/>
      <c r="AV783" s="434" t="n"/>
      <c r="AW783" s="588" t="n"/>
      <c r="AX783" s="713" t="n"/>
      <c r="AY783" s="712" t="n"/>
      <c r="AZ783" s="434" t="n"/>
      <c r="BA783" s="588" t="n"/>
      <c r="BB783" s="713" t="n"/>
      <c r="BC783" s="714" t="n"/>
      <c r="BD783" s="434" t="n"/>
      <c r="BE783" s="588" t="n"/>
      <c r="BF783" s="713" t="n"/>
      <c r="BG783" s="89" t="n"/>
      <c r="BH7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83">
        <f>_xlfn.LET(r,ROW(),oc,INDEX($A:$A,r),cv,TRIM(INDEX($Y:$Y,r)&amp;""),IF(oc&lt;&gt;"P1","",IF(cv="45","V45 - novo, nao alimentado pelo spool atual","V44 - alimentado pelo spool atual")))</f>
        <v/>
      </c>
    </row>
    <row r="784" ht="54" customFormat="1" customHeight="1" s="91">
      <c r="A784" s="306" t="inlineStr">
        <is>
          <t>P1</t>
        </is>
      </c>
      <c r="B784" s="307" t="n">
        <v>549</v>
      </c>
      <c r="C784" s="269" t="inlineStr">
        <is>
          <t xml:space="preserve">08 - Caractéristiques d'arriérés et de restructuration </t>
        </is>
      </c>
      <c r="D784" s="236" t="inlineStr">
        <is>
          <t>08 - Characteristics of overdues and restructuring</t>
        </is>
      </c>
      <c r="E784" s="307" t="inlineStr">
        <is>
          <t>P1 21.36</t>
        </is>
      </c>
      <c r="F784" s="726" t="inlineStr">
        <is>
          <t>Montants liquidatifs estimés</t>
        </is>
      </c>
      <c r="G784" s="309" t="inlineStr">
        <is>
          <t>Estimated Close Out Amounts</t>
        </is>
      </c>
      <c r="H784" s="1493">
        <f>"RPAD( "&amp;SUBSTITUTE(SUBSTITUTE(E784," ","_"),".","_")&amp;","&amp;W784&amp;",' '); -- "&amp;E784</f>
        <v/>
      </c>
      <c r="I784" s="727" t="inlineStr">
        <is>
          <t>Le montant de clôture estimé couvrant le montant des pertes ou des coûts encourus par les dérivés des contreparties, ou les gains réalisés par elles.
Ce montant fait référence aux dépenses associées à la clôture anticipée ou à la résiliation d'une position dérivée ou d'un contrat dérivé.
Ces coûts peuvent être encourus lorsqu'un investisseur ou une institution financière décide de mettre fin à un contrat dérivé avant sa date d'échéance prévue. Les coûts de clôture des dérivés peuvent inclure les éléments suivants : frais de transaction, spread, coûts de règlement, frais administratifs, pénalités</t>
        </is>
      </c>
      <c r="J784" s="309" t="inlineStr">
        <is>
          <t xml:space="preserve">The estimated close-out amount covering the amount of losses or costs incurred by derivative counterparties, or gains realised by them.
This amount refers to the expenses associated with the early closing or termination of a derivative position or derivative contract.
These costs may be incurred when an investor or financial institution decides to terminate a derivative contract before its expected maturity date. Closing costs of derivatives may include transaction fees, spreads, settlement costs, administrative fees, penalties
</t>
        </is>
      </c>
      <c r="K784" s="370" t="inlineStr">
        <is>
          <t>ND</t>
        </is>
      </c>
      <c r="L784" s="371" t="inlineStr">
        <is>
          <t>ND</t>
        </is>
      </c>
      <c r="M784" s="1420" t="inlineStr">
        <is>
          <t>mtLiquidEstim</t>
        </is>
      </c>
      <c r="N784" s="728" t="inlineStr">
        <is>
          <t>Facultatif</t>
        </is>
      </c>
      <c r="O784" s="310" t="inlineStr">
        <is>
          <t>Optional</t>
        </is>
      </c>
      <c r="P784" s="269" t="inlineStr">
        <is>
          <t>NA</t>
        </is>
      </c>
      <c r="Q784" s="269" t="inlineStr">
        <is>
          <t>NA</t>
        </is>
      </c>
      <c r="R784" s="241" t="inlineStr">
        <is>
          <t>Concerne les dérivés</t>
        </is>
      </c>
      <c r="S784" s="235" t="inlineStr">
        <is>
          <t>Concerns derivatives</t>
        </is>
      </c>
      <c r="T784" s="313" t="inlineStr">
        <is>
          <t>NUM</t>
        </is>
      </c>
      <c r="U784" s="237" t="inlineStr">
        <is>
          <t>19 dont signe et 2 décimales</t>
        </is>
      </c>
      <c r="V784" s="238" t="inlineStr">
        <is>
          <t>19 including sign and 2 decimals</t>
        </is>
      </c>
      <c r="W784" s="257" t="n">
        <v>19</v>
      </c>
      <c r="X784" s="945" t="inlineStr">
        <is>
          <t>NA</t>
        </is>
      </c>
      <c r="Y784" s="237" t="n">
        <v>44</v>
      </c>
      <c r="Z784" s="237" t="inlineStr">
        <is>
          <t>NA</t>
        </is>
      </c>
      <c r="AA784" s="239" t="inlineStr">
        <is>
          <t>NA</t>
        </is>
      </c>
      <c r="AB784" s="269" t="inlineStr">
        <is>
          <t>MREL</t>
        </is>
      </c>
      <c r="AC784" s="231" t="inlineStr">
        <is>
          <t>ND</t>
        </is>
      </c>
      <c r="AD784" s="257" t="inlineStr">
        <is>
          <t>N</t>
        </is>
      </c>
      <c r="AE784" s="257" t="inlineStr">
        <is>
          <t xml:space="preserve">VAR (hors Repos VAR105, VAR302)
</t>
        </is>
      </c>
      <c r="AF784" s="257" t="inlineStr">
        <is>
          <t>NA</t>
        </is>
      </c>
      <c r="AG784" s="258" t="inlineStr">
        <is>
          <t>NA</t>
        </is>
      </c>
      <c r="AH784" s="89" t="n"/>
      <c r="AI784" s="711" t="n"/>
      <c r="AJ784" s="434" t="n"/>
      <c r="AK784" s="588" t="n"/>
      <c r="AL784" s="729" t="n"/>
      <c r="AM784" s="712" t="n"/>
      <c r="AN784" s="434" t="n"/>
      <c r="AO784" s="588" t="n"/>
      <c r="AP784" s="713" t="n"/>
      <c r="AQ784" s="712" t="n"/>
      <c r="AR784" s="434" t="n"/>
      <c r="AS784" s="588" t="n"/>
      <c r="AT784" s="713" t="n"/>
      <c r="AU784" s="712" t="n"/>
      <c r="AV784" s="434" t="n"/>
      <c r="AW784" s="588" t="n"/>
      <c r="AX784" s="713" t="n"/>
      <c r="AY784" s="712" t="n"/>
      <c r="AZ784" s="434" t="n"/>
      <c r="BA784" s="588" t="n"/>
      <c r="BB784" s="713" t="n"/>
      <c r="BC784" s="714" t="n"/>
      <c r="BD784" s="434" t="n"/>
      <c r="BE784" s="588" t="n"/>
      <c r="BF784" s="713" t="n"/>
      <c r="BG784" s="89" t="n"/>
      <c r="BH7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84">
        <f>_xlfn.LET(r,ROW(),oc,INDEX($A:$A,r),cv,TRIM(INDEX($Y:$Y,r)&amp;""),IF(oc&lt;&gt;"P1","",IF(cv="45","V45 - novo, nao alimentado pelo spool atual","V44 - alimentado pelo spool atual")))</f>
        <v/>
      </c>
    </row>
    <row r="785" ht="54" customFormat="1" customHeight="1" s="91">
      <c r="A785" s="306" t="inlineStr">
        <is>
          <t>P1</t>
        </is>
      </c>
      <c r="B785" s="307" t="n">
        <v>550</v>
      </c>
      <c r="C785" s="269" t="inlineStr">
        <is>
          <t xml:space="preserve">08 - Caractéristiques d'arriérés et de restructuration </t>
        </is>
      </c>
      <c r="D785" s="236" t="inlineStr">
        <is>
          <t>08 - Characteristics of overdues and restructuring</t>
        </is>
      </c>
      <c r="E785" s="307" t="inlineStr">
        <is>
          <t>P1 21.37</t>
        </is>
      </c>
      <c r="F785" s="730" t="inlineStr">
        <is>
          <t>Devise des montants liquidatifs estimés</t>
        </is>
      </c>
      <c r="G785" s="309" t="inlineStr">
        <is>
          <t>Currency of estimated Close Out Amounts</t>
        </is>
      </c>
      <c r="H785" s="1493">
        <f>"RPAD( "&amp;SUBSTITUTE(SUBSTITUTE(E785," ","_"),".","_")&amp;","&amp;W785&amp;",' '); -- "&amp;E785</f>
        <v/>
      </c>
      <c r="I785" s="308" t="inlineStr">
        <is>
          <t>Devise des montants liquidatifs estimés</t>
        </is>
      </c>
      <c r="J785" s="309" t="inlineStr">
        <is>
          <t>Currency of estimated Close Out Amounts</t>
        </is>
      </c>
      <c r="K785" s="370" t="inlineStr">
        <is>
          <t>ND</t>
        </is>
      </c>
      <c r="L785" s="371" t="inlineStr">
        <is>
          <t>ND</t>
        </is>
      </c>
      <c r="M785" s="1420" t="inlineStr">
        <is>
          <t>cdDevMtLiquidEstim</t>
        </is>
      </c>
      <c r="N785" s="257" t="inlineStr">
        <is>
          <t>Obligatoire sous conditions</t>
        </is>
      </c>
      <c r="O785" s="310" t="inlineStr">
        <is>
          <t>Mandatory under conditions</t>
        </is>
      </c>
      <c r="P785" s="269" t="inlineStr">
        <is>
          <t>LC.0005</t>
        </is>
      </c>
      <c r="Q785" s="269" t="inlineStr">
        <is>
          <t>TA NM253</t>
        </is>
      </c>
      <c r="R785" s="241" t="inlineStr">
        <is>
          <t>NA</t>
        </is>
      </c>
      <c r="S785" s="233" t="inlineStr">
        <is>
          <t>NA</t>
        </is>
      </c>
      <c r="T785" s="313" t="inlineStr">
        <is>
          <t>ALPHA</t>
        </is>
      </c>
      <c r="U785" s="237" t="inlineStr">
        <is>
          <t>NA</t>
        </is>
      </c>
      <c r="V785" s="238" t="inlineStr">
        <is>
          <t>NA</t>
        </is>
      </c>
      <c r="W785" s="257" t="n">
        <v>3</v>
      </c>
      <c r="X785" s="945" t="inlineStr">
        <is>
          <t>NA</t>
        </is>
      </c>
      <c r="Y785" s="237" t="n">
        <v>44</v>
      </c>
      <c r="Z785" s="237" t="inlineStr">
        <is>
          <t>NA</t>
        </is>
      </c>
      <c r="AA785" s="239" t="inlineStr">
        <is>
          <t>NA</t>
        </is>
      </c>
      <c r="AB785" s="269" t="inlineStr">
        <is>
          <t>MREL</t>
        </is>
      </c>
      <c r="AC785" s="231" t="inlineStr">
        <is>
          <t>ND</t>
        </is>
      </c>
      <c r="AD785" s="257" t="inlineStr">
        <is>
          <t>N</t>
        </is>
      </c>
      <c r="AE785" s="257" t="inlineStr">
        <is>
          <t xml:space="preserve">VAR (hors Repos VAR105, VAR302)
</t>
        </is>
      </c>
      <c r="AF785" s="257" t="inlineStr">
        <is>
          <t>NA</t>
        </is>
      </c>
      <c r="AG785" s="258" t="inlineStr">
        <is>
          <t>NA</t>
        </is>
      </c>
      <c r="AH785" s="89" t="n"/>
      <c r="AI785" s="711" t="inlineStr">
        <is>
          <t>La donnée est obligatoire si la donnée Montants liquidatifs estimés [P1 21.36] est renseignée</t>
        </is>
      </c>
      <c r="AJ785" s="434" t="inlineStr">
        <is>
          <t>The data is mandatory if the data Estimated Close Out Amounts [P1 21.36] is filled</t>
        </is>
      </c>
      <c r="AK785" s="588" t="n">
        <v>7</v>
      </c>
      <c r="AL785" s="335" t="inlineStr">
        <is>
          <t>TPG0002</t>
        </is>
      </c>
      <c r="AM785" s="712" t="inlineStr">
        <is>
          <t>Si elle est renseignée, la valeur doit être connue du Langage Commun associé</t>
        </is>
      </c>
      <c r="AN785" s="434" t="inlineStr">
        <is>
          <t>If specified, the value must be known to the associated Common Language</t>
        </is>
      </c>
      <c r="AO785" s="588" t="n">
        <v>7</v>
      </c>
      <c r="AP785" s="212" t="inlineStr">
        <is>
          <t>TIG0001</t>
        </is>
      </c>
      <c r="AQ785" s="712" t="n"/>
      <c r="AR785" s="434" t="n"/>
      <c r="AS785" s="588" t="n"/>
      <c r="AT785" s="713" t="n"/>
      <c r="AU785" s="712" t="n"/>
      <c r="AV785" s="434" t="n"/>
      <c r="AW785" s="588" t="n"/>
      <c r="AX785" s="713" t="n"/>
      <c r="AY785" s="712" t="n"/>
      <c r="AZ785" s="434" t="n"/>
      <c r="BA785" s="588" t="n"/>
      <c r="BB785" s="713" t="n"/>
      <c r="BC785" s="714" t="n"/>
      <c r="BD785" s="434" t="n"/>
      <c r="BE785" s="588" t="n"/>
      <c r="BF785" s="713" t="n"/>
      <c r="BG785" s="89" t="n"/>
      <c r="BH7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85">
        <f>_xlfn.LET(r,ROW(),oc,INDEX($A:$A,r),cv,TRIM(INDEX($Y:$Y,r)&amp;""),IF(oc&lt;&gt;"P1","",IF(cv="45","V45 - novo, nao alimentado pelo spool atual","V44 - alimentado pelo spool atual")))</f>
        <v/>
      </c>
    </row>
    <row r="786" ht="54" customFormat="1" customHeight="1" s="91">
      <c r="A786" s="306" t="inlineStr">
        <is>
          <t>P1</t>
        </is>
      </c>
      <c r="B786" s="307" t="n">
        <v>551</v>
      </c>
      <c r="C786" s="269" t="inlineStr">
        <is>
          <t>31 - Paramètres bâlois</t>
        </is>
      </c>
      <c r="D786" s="236" t="inlineStr">
        <is>
          <t>31 - Basel settings</t>
        </is>
      </c>
      <c r="E786" s="307" t="inlineStr">
        <is>
          <t>P1 21.47</t>
        </is>
      </c>
      <c r="F786" s="430" t="inlineStr">
        <is>
          <t>Pondération Bâloise de l'engagement pour le calcul de l'Output Floor</t>
        </is>
      </c>
      <c r="G786" s="309" t="inlineStr">
        <is>
          <t>Basel weighting of commitment for the Output Floor calculation</t>
        </is>
      </c>
      <c r="H786" s="1493">
        <f>"RPAD( "&amp;SUBSTITUTE(SUBSTITUTE(E786," ","_"),".","_")&amp;","&amp;W786&amp;",' '); -- "&amp;E786</f>
        <v/>
      </c>
      <c r="I786" s="308" t="inlineStr">
        <is>
          <t>Correspond à la pondération bâloise calculée pour l'encours en méthodes SA ou ERBA pour les besoins du calcul de l'outputfloor.
Exprimée en pourcentage.</t>
        </is>
      </c>
      <c r="J786" s="309" t="inlineStr">
        <is>
          <t>Corresponds to the Basel weighting calculated for the outstanding amount in SA or ERBA methods for the purpose of calculating the outputfloor.
Expressed in percentage.</t>
        </is>
      </c>
      <c r="K786" s="370" t="inlineStr">
        <is>
          <t>ND</t>
        </is>
      </c>
      <c r="L786" s="371" t="inlineStr">
        <is>
          <t>ND</t>
        </is>
      </c>
      <c r="M786" s="1420" t="inlineStr">
        <is>
          <t>txPondBalOutFloor</t>
        </is>
      </c>
      <c r="N786" s="257" t="inlineStr">
        <is>
          <t>Obligatoire sous conditions</t>
        </is>
      </c>
      <c r="O786" s="310" t="inlineStr">
        <is>
          <t>Mandatory under conditions</t>
        </is>
      </c>
      <c r="P786" s="269" t="inlineStr">
        <is>
          <t>NA</t>
        </is>
      </c>
      <c r="Q786" s="269" t="inlineStr">
        <is>
          <t>NA</t>
        </is>
      </c>
      <c r="R786" s="1249" t="inlineStr">
        <is>
          <t>Concerne uniquement les titrisations</t>
        </is>
      </c>
      <c r="S786" s="233" t="inlineStr">
        <is>
          <t>Covers only securizations</t>
        </is>
      </c>
      <c r="T786" s="313" t="inlineStr">
        <is>
          <t>NUM</t>
        </is>
      </c>
      <c r="U786" s="237" t="inlineStr">
        <is>
          <t>10 dont signe et 5 décimales</t>
        </is>
      </c>
      <c r="V786" s="238" t="inlineStr">
        <is>
          <t>10 including sign and 5 decimals</t>
        </is>
      </c>
      <c r="W786" s="257" t="n">
        <v>10</v>
      </c>
      <c r="X786" s="945" t="inlineStr">
        <is>
          <t>NA</t>
        </is>
      </c>
      <c r="Y786" s="237" t="n">
        <v>44</v>
      </c>
      <c r="Z786" s="237" t="inlineStr">
        <is>
          <t>NA</t>
        </is>
      </c>
      <c r="AA786" s="270" t="inlineStr">
        <is>
          <t>NA</t>
        </is>
      </c>
      <c r="AB786" s="1286" t="inlineStr">
        <is>
          <t>CALCULS PRUDENTIELS</t>
        </is>
      </c>
      <c r="AC786" s="231" t="inlineStr">
        <is>
          <t>ND</t>
        </is>
      </c>
      <c r="AD786" s="257" t="inlineStr">
        <is>
          <t>N</t>
        </is>
      </c>
      <c r="AE786" s="432" t="inlineStr">
        <is>
          <t>ISS200 et 300
TRExx hors 203, 205, 206 et 207
SIGxxx
VAR hors repos</t>
        </is>
      </c>
      <c r="AF786" s="257" t="inlineStr">
        <is>
          <t>NA</t>
        </is>
      </c>
      <c r="AG786" s="258" t="inlineStr">
        <is>
          <t>NA</t>
        </is>
      </c>
      <c r="AH786" s="89" t="n"/>
      <c r="AI786" s="433" t="inlineStr">
        <is>
          <t>La donnée est obligatoire, si le type de risque [P1 2.0] est égal à 'ISS200', 'ISS300', 'TRExx' (hors 'TRE203', 'TRE205', 'TRE206', 'TRE207), 'SIGxxx', VAR hors repos ET si le Portefeuille Bâle Opération [P1 2.18] est égal à '070'</t>
        </is>
      </c>
      <c r="AJ786" s="434" t="inlineStr">
        <is>
          <t>The data is mandatory, if the risk type [P1 2.0] is equal to 'ISS200', 'ISS300', 'TRExx' (except 'TRE203', 'TRE205', ''TRE206', 'TRE207), 'SIGxxx', VAR except repos AND if the Basel Transaction Portfolio [P1 2.18] is equal to '070'</t>
        </is>
      </c>
      <c r="AK786" s="588" t="n">
        <v>6</v>
      </c>
      <c r="AL786" s="366" t="inlineStr">
        <is>
          <t>TPS0737</t>
        </is>
      </c>
      <c r="AM786" s="712" t="n"/>
      <c r="AN786" s="434" t="n"/>
      <c r="AO786" s="588" t="n"/>
      <c r="AP786" s="713" t="n"/>
      <c r="AQ786" s="712" t="n"/>
      <c r="AR786" s="434" t="n"/>
      <c r="AS786" s="588" t="n"/>
      <c r="AT786" s="713" t="n"/>
      <c r="AU786" s="712" t="n"/>
      <c r="AV786" s="434" t="n"/>
      <c r="AW786" s="588" t="n"/>
      <c r="AX786" s="713" t="n"/>
      <c r="AY786" s="712" t="n"/>
      <c r="AZ786" s="434" t="n"/>
      <c r="BA786" s="588" t="n"/>
      <c r="BB786" s="713" t="n"/>
      <c r="BC786" s="714" t="n"/>
      <c r="BD786" s="434" t="n"/>
      <c r="BE786" s="588" t="n"/>
      <c r="BF786" s="713" t="n"/>
      <c r="BG786" s="89" t="n"/>
      <c r="BH7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86">
        <f>_xlfn.LET(r,ROW(),oc,INDEX($A:$A,r),cv,TRIM(INDEX($Y:$Y,r)&amp;""),IF(oc&lt;&gt;"P1","",IF(cv="45","V45 - novo, nao alimentado pelo spool atual","V44 - alimentado pelo spool atual")))</f>
        <v/>
      </c>
    </row>
    <row r="787" ht="54" customFormat="1" customHeight="1" s="91">
      <c r="A787" s="306" t="inlineStr">
        <is>
          <t>P1</t>
        </is>
      </c>
      <c r="B787" s="307" t="n">
        <v>552</v>
      </c>
      <c r="C787" s="269" t="inlineStr">
        <is>
          <t>18 - Caractéristiques Titrisation</t>
        </is>
      </c>
      <c r="D787" s="236" t="inlineStr">
        <is>
          <t>18 - Securitization characteristics</t>
        </is>
      </c>
      <c r="E787" s="307" t="inlineStr">
        <is>
          <t>P1 21.48</t>
        </is>
      </c>
      <c r="F787" s="430" t="inlineStr">
        <is>
          <t>Méthode de titrisation pour le calcul de l'Output Floor</t>
        </is>
      </c>
      <c r="G787" s="309" t="inlineStr">
        <is>
          <t>Securitization method for the Output Floor calculation calculation</t>
        </is>
      </c>
      <c r="H787" s="1493">
        <f>"RPAD( "&amp;SUBSTITUTE(SUBSTITUTE(E787," ","_"),".","_")&amp;","&amp;W787&amp;",' '); -- "&amp;E787</f>
        <v/>
      </c>
      <c r="I787" s="308" t="inlineStr">
        <is>
          <t>Ce champ permet de préciser la méthode de titrisation appliquée à l'engagement titrisation pour le calcul de l'outputfloor.
L'Output Floor pour les exigences de fonds propres fondés sur le risque est introduit dans le CRR3, il fixe une limite inférieure aux exigences de fonds propres produites par les modèles internes des banques, à 72,5% des exigences de fonds propres qui s'appliqueraient sur la base des approches standard.</t>
        </is>
      </c>
      <c r="J787" s="309" t="inlineStr">
        <is>
          <t>This field makes it possible to identify the securization method used for outputfloor calculation.
The Output Floor for risk-based capital requirements is introduced in CRR3, setting a lower limit on the capital requirements produced by banks' internal models, at 72.5% of the capital requirements that would apply based on the standard approaches.</t>
        </is>
      </c>
      <c r="K787" s="370" t="inlineStr">
        <is>
          <t>ND</t>
        </is>
      </c>
      <c r="L787" s="371" t="inlineStr">
        <is>
          <t>ND</t>
        </is>
      </c>
      <c r="M787" s="1420" t="inlineStr">
        <is>
          <t>cdMethTitriOutFloor</t>
        </is>
      </c>
      <c r="N787" s="257" t="inlineStr">
        <is>
          <t>Obligatoire sous conditions</t>
        </is>
      </c>
      <c r="O787" s="310" t="inlineStr">
        <is>
          <t>Mandatory under conditions</t>
        </is>
      </c>
      <c r="P787" s="269" t="inlineStr">
        <is>
          <t>LC.0368</t>
        </is>
      </c>
      <c r="Q787" s="269" t="inlineStr">
        <is>
          <t>RB KVMTITRI</t>
        </is>
      </c>
      <c r="R787" s="1249" t="inlineStr">
        <is>
          <t>Concerne uniquement les titrisations</t>
        </is>
      </c>
      <c r="S787" s="233" t="inlineStr">
        <is>
          <t>Covers only securizations</t>
        </is>
      </c>
      <c r="T787" s="313" t="inlineStr">
        <is>
          <t>ALPHA</t>
        </is>
      </c>
      <c r="U787" s="237" t="inlineStr">
        <is>
          <t>NA</t>
        </is>
      </c>
      <c r="V787" s="238" t="inlineStr">
        <is>
          <t>NA</t>
        </is>
      </c>
      <c r="W787" s="257" t="n">
        <v>7</v>
      </c>
      <c r="X787" s="945" t="inlineStr">
        <is>
          <t>NA</t>
        </is>
      </c>
      <c r="Y787" s="237" t="n">
        <v>44</v>
      </c>
      <c r="Z787" s="237" t="inlineStr">
        <is>
          <t>NA</t>
        </is>
      </c>
      <c r="AA787" s="270" t="inlineStr">
        <is>
          <t>NA</t>
        </is>
      </c>
      <c r="AB787" s="1286" t="inlineStr">
        <is>
          <t>CALCULS PRUDENTIELS</t>
        </is>
      </c>
      <c r="AC787" s="231" t="inlineStr">
        <is>
          <t>ND</t>
        </is>
      </c>
      <c r="AD787" s="257" t="inlineStr">
        <is>
          <t>N</t>
        </is>
      </c>
      <c r="AE787" s="432" t="inlineStr">
        <is>
          <t>ISS200 et 300
TRExx hors 203, 205, 206 et 207
SIGxxx
VAR hors repos</t>
        </is>
      </c>
      <c r="AF787" s="257" t="inlineStr">
        <is>
          <t>NA</t>
        </is>
      </c>
      <c r="AG787" s="258" t="inlineStr">
        <is>
          <t>NA</t>
        </is>
      </c>
      <c r="AH787" s="89" t="n"/>
      <c r="AI787" s="433" t="inlineStr">
        <is>
          <t>La donnée est obligatoire, si le type de risque [P1 2.0] est égal à 'ISS200', 'ISS300', 'TRExx' (hors 'TRE203', 'TRE205', 'TRE206', 'TRE207), 'SIGxxx', VAR hors repos ET si le Portefeuille Bâle Opération [P1 2.18] est égal à '070'</t>
        </is>
      </c>
      <c r="AJ787" s="434" t="inlineStr">
        <is>
          <t>The data is mandatory, if the risk type [P1 2.0] is equal to 'ISS200', 'ISS300', 'TRExx' (except 'TRE203', 'TRE205', ''TRE206', 'TRE207), 'SIGxxx', VAR except repos AND if the Basel Transaction Portfolio [P1 2.18] is equal to '070'</t>
        </is>
      </c>
      <c r="AK787" s="588" t="n">
        <v>6</v>
      </c>
      <c r="AL787" s="366" t="inlineStr">
        <is>
          <t>TPS0737</t>
        </is>
      </c>
      <c r="AM787" s="712" t="inlineStr">
        <is>
          <t>Si elle est renseignée, la valeur doit être connue du Langage Commun associé</t>
        </is>
      </c>
      <c r="AN787" s="434" t="inlineStr">
        <is>
          <t>If specified, the value must be known to the associated Common Language</t>
        </is>
      </c>
      <c r="AO787" s="588" t="n">
        <v>7</v>
      </c>
      <c r="AP787" s="212" t="inlineStr">
        <is>
          <t>TIG0001</t>
        </is>
      </c>
      <c r="AQ787" s="712" t="n"/>
      <c r="AR787" s="434" t="n"/>
      <c r="AS787" s="588" t="n"/>
      <c r="AT787" s="713" t="n"/>
      <c r="AU787" s="712" t="n"/>
      <c r="AV787" s="434" t="n"/>
      <c r="AW787" s="588" t="n"/>
      <c r="AX787" s="713" t="n"/>
      <c r="AY787" s="712" t="n"/>
      <c r="AZ787" s="434" t="n"/>
      <c r="BA787" s="588" t="n"/>
      <c r="BB787" s="713" t="n"/>
      <c r="BC787" s="714" t="n"/>
      <c r="BD787" s="434" t="n"/>
      <c r="BE787" s="588" t="n"/>
      <c r="BF787" s="713" t="n"/>
      <c r="BG787" s="89" t="n"/>
      <c r="BH7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87">
        <f>_xlfn.LET(r,ROW(),oc,INDEX($A:$A,r),cv,TRIM(INDEX($Y:$Y,r)&amp;""),IF(oc&lt;&gt;"P1","",IF(cv="45","V45 - novo, nao alimentado pelo spool atual","V44 - alimentado pelo spool atual")))</f>
        <v/>
      </c>
    </row>
    <row r="788" ht="54" customFormat="1" customHeight="1" s="91">
      <c r="A788" s="306" t="inlineStr">
        <is>
          <t>P1</t>
        </is>
      </c>
      <c r="B788" s="307" t="n">
        <v>553</v>
      </c>
      <c r="C788" s="269" t="inlineStr">
        <is>
          <t>31 - Paramètres bâlois</t>
        </is>
      </c>
      <c r="D788" s="236" t="inlineStr">
        <is>
          <t>31 - Basel settings</t>
        </is>
      </c>
      <c r="E788" s="307" t="inlineStr">
        <is>
          <t>P1 21.49</t>
        </is>
      </c>
      <c r="F788" s="430" t="inlineStr">
        <is>
          <t>Montant des ajustements de risques pondérés lié à décote d'asymétrie d'échéance pour le calcul de l'Output Floor</t>
        </is>
      </c>
      <c r="G788" s="309" t="inlineStr">
        <is>
          <t>Amount of adjustment of risk-weighted assets linked to discount for maturity mismatch for the Output Floor calculation</t>
        </is>
      </c>
      <c r="H788" s="1493">
        <f>"RPAD( "&amp;SUBSTITUTE(SUBSTITUTE(E788," ","_"),".","_")&amp;","&amp;W788&amp;",' '); -- "&amp;E788</f>
        <v/>
      </c>
      <c r="I788" s="308" t="inlineStr">
        <is>
          <t>Montant des ajustements des risques pondérés liés aux décalages d'échéances recalculé en SA ou ERBA pour le calcul de l'outputfloor.
Il s'agit du montant de RWA lié à une décote d'asymétrie d'échéance. 
Concerne uniquement les titrisations synthétiques.</t>
        </is>
      </c>
      <c r="J788" s="309" t="inlineStr">
        <is>
          <t>Amount of risk-weighted adjustments related to maturity mismatches recalculated in SA or ERBA method for outputfloor calculation.
This is the amount of RWA linked to a discount for maturity mismatch. 
Covers only synthetic securitizations.</t>
        </is>
      </c>
      <c r="K788" s="370" t="inlineStr">
        <is>
          <t>ND</t>
        </is>
      </c>
      <c r="L788" s="371" t="inlineStr">
        <is>
          <t>ND</t>
        </is>
      </c>
      <c r="M788" s="1420" t="inlineStr">
        <is>
          <t>mtAjustDecOutFloor</t>
        </is>
      </c>
      <c r="N788" s="257" t="inlineStr">
        <is>
          <t>Obligatoire sous conditions</t>
        </is>
      </c>
      <c r="O788" s="310" t="inlineStr">
        <is>
          <t>Mandatory under conditions</t>
        </is>
      </c>
      <c r="P788" s="269" t="inlineStr">
        <is>
          <t>NA</t>
        </is>
      </c>
      <c r="Q788" s="269" t="inlineStr">
        <is>
          <t>NA</t>
        </is>
      </c>
      <c r="R788" s="1249" t="inlineStr">
        <is>
          <t>Concerne uniquement les titrisations</t>
        </is>
      </c>
      <c r="S788" s="233" t="inlineStr">
        <is>
          <t>Covers only securizations</t>
        </is>
      </c>
      <c r="T788" s="313" t="inlineStr">
        <is>
          <t>NUM</t>
        </is>
      </c>
      <c r="U788" s="237" t="inlineStr">
        <is>
          <t>19 dont signe et 2 décimales</t>
        </is>
      </c>
      <c r="V788" s="238" t="inlineStr">
        <is>
          <t>19 including sign and 2 decimals</t>
        </is>
      </c>
      <c r="W788" s="257" t="n">
        <v>19</v>
      </c>
      <c r="X788" s="945" t="inlineStr">
        <is>
          <t>NA</t>
        </is>
      </c>
      <c r="Y788" s="237" t="n">
        <v>44</v>
      </c>
      <c r="Z788" s="237" t="inlineStr">
        <is>
          <t>NA</t>
        </is>
      </c>
      <c r="AA788" s="270" t="inlineStr">
        <is>
          <t>NA</t>
        </is>
      </c>
      <c r="AB788" s="1286" t="inlineStr">
        <is>
          <t>CALCULS PRUDENTIELS</t>
        </is>
      </c>
      <c r="AC788" s="231" t="inlineStr">
        <is>
          <t>ND</t>
        </is>
      </c>
      <c r="AD788" s="257" t="inlineStr">
        <is>
          <t>N</t>
        </is>
      </c>
      <c r="AE788" s="432" t="inlineStr">
        <is>
          <t>ISS200 et 300
TRExx hors 203, 205, 206 et 207
SIGxxx
VAR hors repos</t>
        </is>
      </c>
      <c r="AF788" s="257" t="inlineStr">
        <is>
          <t>NA</t>
        </is>
      </c>
      <c r="AG788" s="258" t="inlineStr">
        <is>
          <t>NA</t>
        </is>
      </c>
      <c r="AH788" s="89" t="n"/>
      <c r="AI788" s="433" t="inlineStr">
        <is>
          <t>La donnée est obligatoire, si le type de risque [P1 2.0] est égal à 'ISS200', 'ISS300', 'TRExx' (hors 'TRE203', 'TRE205', 'TRE206', 'TRE207), 'SIGxxx', VAR hors repos ET si le Portefeuille Bâle Opération [P1 2.18] est égal à '070'</t>
        </is>
      </c>
      <c r="AJ788" s="434" t="inlineStr">
        <is>
          <t>The data is mandatory, if the risk type [P1 2.0] is equal to 'ISS200', 'ISS300', 'TRExx' (except 'TRE203', 'TRE205', ''TRE206', 'TRE207), 'SIGxxx', VAR except repos AND if the Basel Transaction Portfolio [P1 2.18] is equal to '070'</t>
        </is>
      </c>
      <c r="AK788" s="588" t="n">
        <v>6</v>
      </c>
      <c r="AL788" s="366" t="inlineStr">
        <is>
          <t>TPS0737</t>
        </is>
      </c>
      <c r="AM788" s="712" t="n"/>
      <c r="AN788" s="434" t="n"/>
      <c r="AO788" s="588" t="n"/>
      <c r="AP788" s="713" t="n"/>
      <c r="AQ788" s="712" t="n"/>
      <c r="AR788" s="434" t="n"/>
      <c r="AS788" s="588" t="n"/>
      <c r="AT788" s="713" t="n"/>
      <c r="AU788" s="712" t="n"/>
      <c r="AV788" s="434" t="n"/>
      <c r="AW788" s="588" t="n"/>
      <c r="AX788" s="713" t="n"/>
      <c r="AY788" s="712" t="n"/>
      <c r="AZ788" s="434" t="n"/>
      <c r="BA788" s="588" t="n"/>
      <c r="BB788" s="713" t="n"/>
      <c r="BC788" s="714" t="n"/>
      <c r="BD788" s="434" t="n"/>
      <c r="BE788" s="588" t="n"/>
      <c r="BF788" s="713" t="n"/>
      <c r="BG788" s="89" t="n"/>
      <c r="BH7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88">
        <f>_xlfn.LET(r,ROW(),oc,INDEX($A:$A,r),cv,TRIM(INDEX($Y:$Y,r)&amp;""),IF(oc&lt;&gt;"P1","",IF(cv="45","V45 - novo, nao alimentado pelo spool atual","V44 - alimentado pelo spool atual")))</f>
        <v/>
      </c>
    </row>
    <row r="789" ht="54" customFormat="1" customHeight="1" s="91">
      <c r="A789" s="306" t="inlineStr">
        <is>
          <t>P1</t>
        </is>
      </c>
      <c r="B789" s="307" t="n">
        <v>554</v>
      </c>
      <c r="C789" s="269" t="inlineStr">
        <is>
          <t>31 - Paramètres bâlois</t>
        </is>
      </c>
      <c r="D789" s="236" t="inlineStr">
        <is>
          <t>31 - Basel settings</t>
        </is>
      </c>
      <c r="E789" s="307" t="inlineStr">
        <is>
          <t>P1 21.50</t>
        </is>
      </c>
      <c r="F789" s="430" t="inlineStr">
        <is>
          <t>Devise du montant des ajustements de risques pondérés lié à décote d'asymétrie d'échéance pour le calcul de l'Output Floor</t>
        </is>
      </c>
      <c r="G789" s="309" t="inlineStr">
        <is>
          <t>Currency of the amount of adjustment of risk-weighted assets linked to discount for maturity mismatch for the Output Floor calculation</t>
        </is>
      </c>
      <c r="H789" s="1493">
        <f>"RPAD( "&amp;SUBSTITUTE(SUBSTITUTE(E789," ","_"),".","_")&amp;","&amp;W789&amp;",' '); -- "&amp;E789</f>
        <v/>
      </c>
      <c r="I789" s="308" t="inlineStr">
        <is>
          <t>Devise du montant des ajustements des risques pondérés liés aux décalages d'échéances recalculé en SA ou ERBA pour le calcul de l'outputfloor (colonne 870 l'état COREP Titrisation 13.1 « CR-SEC »). Il s'agit du montant de RWA lié à une décote d'asymétrie d'échéance. 
Concerne uniquement les titrisations synthétiques.</t>
        </is>
      </c>
      <c r="J789" s="309" t="inlineStr">
        <is>
          <t>Currency of themount of risk-weighted adjustments related to maturity mismatches for outputfloor calculation (column 870 of the COREP securitization statement 13.1 "CR-SEC"). This is the amount of RWA linked to a discount for maturity mismatch. 
Covers only synthetic securitizations.</t>
        </is>
      </c>
      <c r="K789" s="370" t="inlineStr">
        <is>
          <t>ND</t>
        </is>
      </c>
      <c r="L789" s="371" t="inlineStr">
        <is>
          <t>ND</t>
        </is>
      </c>
      <c r="M789" s="1420" t="inlineStr">
        <is>
          <t>cdDevMtAjustDecOutFloor</t>
        </is>
      </c>
      <c r="N789" s="257" t="inlineStr">
        <is>
          <t>Obligatoire sous conditions</t>
        </is>
      </c>
      <c r="O789" s="310" t="inlineStr">
        <is>
          <t>Mandatory under conditions</t>
        </is>
      </c>
      <c r="P789" s="269" t="inlineStr">
        <is>
          <t>LC.0005</t>
        </is>
      </c>
      <c r="Q789" s="269" t="inlineStr">
        <is>
          <t>TA NM253</t>
        </is>
      </c>
      <c r="R789" s="1249" t="inlineStr">
        <is>
          <t>Concerne uniquement les titrisations</t>
        </is>
      </c>
      <c r="S789" s="233" t="inlineStr">
        <is>
          <t>Covers only securizations</t>
        </is>
      </c>
      <c r="T789" s="313" t="inlineStr">
        <is>
          <t>ALPHA</t>
        </is>
      </c>
      <c r="U789" s="237" t="inlineStr">
        <is>
          <t>NA</t>
        </is>
      </c>
      <c r="V789" s="238" t="inlineStr">
        <is>
          <t>NA</t>
        </is>
      </c>
      <c r="W789" s="257" t="n">
        <v>3</v>
      </c>
      <c r="X789" s="945" t="inlineStr">
        <is>
          <t>NA</t>
        </is>
      </c>
      <c r="Y789" s="237" t="n">
        <v>44</v>
      </c>
      <c r="Z789" s="237" t="inlineStr">
        <is>
          <t>NA</t>
        </is>
      </c>
      <c r="AA789" s="270" t="inlineStr">
        <is>
          <t>NA</t>
        </is>
      </c>
      <c r="AB789" s="1286" t="inlineStr">
        <is>
          <t>CALCULS PRUDENTIELS</t>
        </is>
      </c>
      <c r="AC789" s="231" t="inlineStr">
        <is>
          <t>ND</t>
        </is>
      </c>
      <c r="AD789" s="257" t="inlineStr">
        <is>
          <t>N</t>
        </is>
      </c>
      <c r="AE789" s="432" t="inlineStr">
        <is>
          <t>ISS200 et 300
TRExx hors 203, 205, 206 et 207
SIGxxx
VAR hors repos</t>
        </is>
      </c>
      <c r="AF789" s="257" t="inlineStr">
        <is>
          <t>NA</t>
        </is>
      </c>
      <c r="AG789" s="258" t="inlineStr">
        <is>
          <t>NA</t>
        </is>
      </c>
      <c r="AH789" s="89" t="n"/>
      <c r="AI789" s="711" t="inlineStr">
        <is>
          <t>La donnée est obligatoire si le Montant des ajustements de risques pondérés lié à décote d'asymétrie d'échéance pour le calcul de l'Output Floor [P1 21.49] est renseigné</t>
        </is>
      </c>
      <c r="AJ789" s="434" t="inlineStr">
        <is>
          <t>The data is mandatory if the Amount of adjustment of risk-weighted assets linked to discount for maturity mismatch for the Output Floor calculation [P1 21.49] is filled</t>
        </is>
      </c>
      <c r="AK789" s="588" t="n">
        <v>7</v>
      </c>
      <c r="AL789" s="335" t="inlineStr">
        <is>
          <t>TPG0002</t>
        </is>
      </c>
      <c r="AM789" s="712" t="inlineStr">
        <is>
          <t>Si elle est renseignée, la valeur doit être connue du Langage Commun associé</t>
        </is>
      </c>
      <c r="AN789" s="434" t="inlineStr">
        <is>
          <t>If specified, the value must be known to the associated Common Language</t>
        </is>
      </c>
      <c r="AO789" s="588" t="n">
        <v>7</v>
      </c>
      <c r="AP789" s="212" t="inlineStr">
        <is>
          <t>TIG0001</t>
        </is>
      </c>
      <c r="AQ789" s="712" t="n"/>
      <c r="AR789" s="434" t="n"/>
      <c r="AS789" s="588" t="n"/>
      <c r="AT789" s="713" t="n"/>
      <c r="AU789" s="712" t="n"/>
      <c r="AV789" s="434" t="n"/>
      <c r="AW789" s="588" t="n"/>
      <c r="AX789" s="713" t="n"/>
      <c r="AY789" s="712" t="n"/>
      <c r="AZ789" s="434" t="n"/>
      <c r="BA789" s="588" t="n"/>
      <c r="BB789" s="713" t="n"/>
      <c r="BC789" s="714" t="n"/>
      <c r="BD789" s="434" t="n"/>
      <c r="BE789" s="588" t="n"/>
      <c r="BF789" s="713" t="n"/>
      <c r="BG789" s="89" t="n"/>
      <c r="BH7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89">
        <f>_xlfn.LET(r,ROW(),oc,INDEX($A:$A,r),cv,TRIM(INDEX($Y:$Y,r)&amp;""),IF(oc&lt;&gt;"P1","",IF(cv="45","V45 - novo, nao alimentado pelo spool atual","V44 - alimentado pelo spool atual")))</f>
        <v/>
      </c>
    </row>
    <row r="790" ht="54" customFormat="1" customHeight="1" s="91">
      <c r="A790" s="306" t="inlineStr">
        <is>
          <t>P1</t>
        </is>
      </c>
      <c r="B790" s="307" t="n">
        <v>555</v>
      </c>
      <c r="C790" s="269" t="inlineStr">
        <is>
          <t>31 - Paramètres bâlois</t>
        </is>
      </c>
      <c r="D790" s="236" t="inlineStr">
        <is>
          <t>31 - Basel settings</t>
        </is>
      </c>
      <c r="E790" s="307" t="inlineStr">
        <is>
          <t>P1 21.51</t>
        </is>
      </c>
      <c r="F790" s="430" t="inlineStr">
        <is>
          <t>Montant de RWA supplémentaire pour non-conformité aux exigences prévues pour le calcul de l'Output Floor</t>
        </is>
      </c>
      <c r="G790" s="309" t="inlineStr">
        <is>
          <t>Additional RWA amount for non-compliance with planned requirements for the Output Floor calculation</t>
        </is>
      </c>
      <c r="H790" s="1493">
        <f>"RPAD( "&amp;SUBSTITUTE(SUBSTITUTE(E790," ","_"),".","_")&amp;","&amp;W790&amp;",' '); -- "&amp;E790</f>
        <v/>
      </c>
      <c r="I790" s="1248" t="inlineStr">
        <is>
          <t>Effet global (ajustement) lié aux manquements aux dispositions de l'article 270bis de PACT calculé pour l'outputfloor (calcul en méthode SA ou ERBA)
Montant de RWA supplémentaire à déclarer.</t>
        </is>
      </c>
      <c r="J790" s="309" t="inlineStr">
        <is>
          <t>Overall effect (adjustment) related to the non-compliance with the provisions of Chapter 2 of Regulation (EU) 2017 calculated for the outputfloor
2402 -&gt; additional RWA to be reported (Article 270.a).</t>
        </is>
      </c>
      <c r="K790" s="370" t="inlineStr">
        <is>
          <t>ND</t>
        </is>
      </c>
      <c r="L790" s="371" t="inlineStr">
        <is>
          <t>ND</t>
        </is>
      </c>
      <c r="M790" s="1420" t="inlineStr">
        <is>
          <t>mtRWASupOutFloor</t>
        </is>
      </c>
      <c r="N790" s="257" t="inlineStr">
        <is>
          <t>Obligatoire sous conditions</t>
        </is>
      </c>
      <c r="O790" s="310" t="inlineStr">
        <is>
          <t>Mandatory under conditions</t>
        </is>
      </c>
      <c r="P790" s="269" t="inlineStr">
        <is>
          <t>NA</t>
        </is>
      </c>
      <c r="Q790" s="269" t="inlineStr">
        <is>
          <t>NA</t>
        </is>
      </c>
      <c r="R790" s="1249" t="inlineStr">
        <is>
          <t>Concerne uniquement les titrisations</t>
        </is>
      </c>
      <c r="S790" s="233" t="inlineStr">
        <is>
          <t>Covers only securizations</t>
        </is>
      </c>
      <c r="T790" s="313" t="inlineStr">
        <is>
          <t>NUM</t>
        </is>
      </c>
      <c r="U790" s="237" t="inlineStr">
        <is>
          <t>19 dont signe et 2 décimales</t>
        </is>
      </c>
      <c r="V790" s="238" t="inlineStr">
        <is>
          <t>19 including sign and 2 decimals</t>
        </is>
      </c>
      <c r="W790" s="257" t="n">
        <v>19</v>
      </c>
      <c r="X790" s="945" t="inlineStr">
        <is>
          <t>NA</t>
        </is>
      </c>
      <c r="Y790" s="237" t="n">
        <v>44</v>
      </c>
      <c r="Z790" s="237" t="inlineStr">
        <is>
          <t>NA</t>
        </is>
      </c>
      <c r="AA790" s="270" t="inlineStr">
        <is>
          <t>NA</t>
        </is>
      </c>
      <c r="AB790" s="1286" t="inlineStr">
        <is>
          <t>CALCULS PRUDENTIELS</t>
        </is>
      </c>
      <c r="AC790" s="231" t="inlineStr">
        <is>
          <t>ND</t>
        </is>
      </c>
      <c r="AD790" s="257" t="inlineStr">
        <is>
          <t>N</t>
        </is>
      </c>
      <c r="AE790" s="432" t="inlineStr">
        <is>
          <t>ISS200 et 300
TRExx hors 203, 205, 206 et 207
SIGxxx
VAR hors repos</t>
        </is>
      </c>
      <c r="AF790" s="257" t="inlineStr">
        <is>
          <t>NA</t>
        </is>
      </c>
      <c r="AG790" s="258" t="inlineStr">
        <is>
          <t>NA</t>
        </is>
      </c>
      <c r="AH790" s="89" t="n"/>
      <c r="AI790" s="433" t="inlineStr">
        <is>
          <t>La donnée est obligatoire, si le type de risque [P1 2.0] est égal à 'ISS200', 'ISS300', 'TRExx' (hors 'TRE203', 'TRE205', 'TRE206', 'TRE207), 'SIGxxx', VAR hors repos ET si le Portefeuille Bâle Opération [P1 2.18] est égal à '070'</t>
        </is>
      </c>
      <c r="AJ790" s="434" t="inlineStr">
        <is>
          <t>The data is mandatory, if the risk type [P1 2.0] is equal to 'ISS200', 'ISS300', 'TRExx' (except 'TRE203', 'TRE205', ''TRE206', 'TRE207), 'SIGxxx', VAR except repos AND if the Basel Transaction Portfolio [P1 2.18] is equal to '070'</t>
        </is>
      </c>
      <c r="AK790" s="588" t="n">
        <v>6</v>
      </c>
      <c r="AL790" s="366" t="inlineStr">
        <is>
          <t>TPS0737</t>
        </is>
      </c>
      <c r="AM790" s="712" t="n"/>
      <c r="AN790" s="434" t="n"/>
      <c r="AO790" s="588" t="n"/>
      <c r="AP790" s="713" t="n"/>
      <c r="AQ790" s="712" t="n"/>
      <c r="AR790" s="434" t="n"/>
      <c r="AS790" s="588" t="n"/>
      <c r="AT790" s="713" t="n"/>
      <c r="AU790" s="712" t="n"/>
      <c r="AV790" s="434" t="n"/>
      <c r="AW790" s="588" t="n"/>
      <c r="AX790" s="713" t="n"/>
      <c r="AY790" s="712" t="n"/>
      <c r="AZ790" s="434" t="n"/>
      <c r="BA790" s="588" t="n"/>
      <c r="BB790" s="713" t="n"/>
      <c r="BC790" s="714" t="n"/>
      <c r="BD790" s="434" t="n"/>
      <c r="BE790" s="588" t="n"/>
      <c r="BF790" s="713" t="n"/>
      <c r="BG790" s="89" t="n"/>
      <c r="BH7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90">
        <f>_xlfn.LET(r,ROW(),oc,INDEX($A:$A,r),cv,TRIM(INDEX($Y:$Y,r)&amp;""),IF(oc&lt;&gt;"P1","",IF(cv="45","V45 - novo, nao alimentado pelo spool atual","V44 - alimentado pelo spool atual")))</f>
        <v/>
      </c>
    </row>
    <row r="791" ht="54" customFormat="1" customHeight="1" s="91">
      <c r="A791" s="306" t="inlineStr">
        <is>
          <t>P1</t>
        </is>
      </c>
      <c r="B791" s="307" t="n">
        <v>556</v>
      </c>
      <c r="C791" s="269" t="inlineStr">
        <is>
          <t>31 - Paramètres bâlois</t>
        </is>
      </c>
      <c r="D791" s="236" t="inlineStr">
        <is>
          <t>31 - Basel settings</t>
        </is>
      </c>
      <c r="E791" s="307" t="inlineStr">
        <is>
          <t>P1 21.52</t>
        </is>
      </c>
      <c r="F791" s="430" t="inlineStr">
        <is>
          <t>Devise du montant de RWA supplémentaire pour non-conformité aux exigences prévues pour le calcul de l'Output Floor</t>
        </is>
      </c>
      <c r="G791" s="309" t="inlineStr">
        <is>
          <t>Currency of the additional RWA amount for non-compliance with planned requirements for the Output Floor calculation</t>
        </is>
      </c>
      <c r="H791" s="1493">
        <f>"RPAD( "&amp;SUBSTITUTE(SUBSTITUTE(E791," ","_"),".","_")&amp;","&amp;W791&amp;",' '); -- "&amp;E791</f>
        <v/>
      </c>
      <c r="I791" s="308" t="inlineStr">
        <is>
          <t>Devise de l'effet global (ajustement) lié au manquements aux dispositions du chapitre 2 du règlement (UE) 2017 calculé pour l'outputfloor
2402 -&gt; montant de RWA supplémentaire à déclarer (article 270.bis).</t>
        </is>
      </c>
      <c r="J791" s="309" t="inlineStr">
        <is>
          <t>Currency of the overall effect (adjustment) related to the non-compliance with the provisions of Chapter 2 of Regulation (EU) 2017 calculated for the outputfloor
2402 -&gt; additional RWA to be reported (Article 270.a).</t>
        </is>
      </c>
      <c r="K791" s="370" t="inlineStr">
        <is>
          <t>ND</t>
        </is>
      </c>
      <c r="L791" s="371" t="inlineStr">
        <is>
          <t>ND</t>
        </is>
      </c>
      <c r="M791" s="1420" t="inlineStr">
        <is>
          <t>cdDevMtRWASupOutFloor</t>
        </is>
      </c>
      <c r="N791" s="257" t="inlineStr">
        <is>
          <t>Obligatoire sous conditions</t>
        </is>
      </c>
      <c r="O791" s="310" t="inlineStr">
        <is>
          <t>Mandatory under conditions</t>
        </is>
      </c>
      <c r="P791" s="269" t="inlineStr">
        <is>
          <t>LC.0005</t>
        </is>
      </c>
      <c r="Q791" s="269" t="inlineStr">
        <is>
          <t>TA NM253</t>
        </is>
      </c>
      <c r="R791" s="1249" t="inlineStr">
        <is>
          <t>Concerne uniquement les titrisations</t>
        </is>
      </c>
      <c r="S791" s="233" t="inlineStr">
        <is>
          <t>Covers only securizations</t>
        </is>
      </c>
      <c r="T791" s="313" t="inlineStr">
        <is>
          <t>ALPHA</t>
        </is>
      </c>
      <c r="U791" s="237" t="inlineStr">
        <is>
          <t>NA</t>
        </is>
      </c>
      <c r="V791" s="238" t="inlineStr">
        <is>
          <t>NA</t>
        </is>
      </c>
      <c r="W791" s="257" t="n">
        <v>3</v>
      </c>
      <c r="X791" s="945" t="inlineStr">
        <is>
          <t>NA</t>
        </is>
      </c>
      <c r="Y791" s="237" t="n">
        <v>44</v>
      </c>
      <c r="Z791" s="237" t="inlineStr">
        <is>
          <t>NA</t>
        </is>
      </c>
      <c r="AA791" s="270" t="inlineStr">
        <is>
          <t>NA</t>
        </is>
      </c>
      <c r="AB791" s="1286" t="inlineStr">
        <is>
          <t>CALCULS PRUDENTIELS</t>
        </is>
      </c>
      <c r="AC791" s="231" t="inlineStr">
        <is>
          <t>ND</t>
        </is>
      </c>
      <c r="AD791" s="257" t="inlineStr">
        <is>
          <t>N</t>
        </is>
      </c>
      <c r="AE791" s="432" t="inlineStr">
        <is>
          <t>ISS200 et 300
TRExx hors 203, 205, 206 et 207
SIGxxx
VAR hors repos</t>
        </is>
      </c>
      <c r="AF791" s="257" t="inlineStr">
        <is>
          <t>NA</t>
        </is>
      </c>
      <c r="AG791" s="258" t="inlineStr">
        <is>
          <t>NA</t>
        </is>
      </c>
      <c r="AH791" s="89" t="n"/>
      <c r="AI791" s="711" t="inlineStr">
        <is>
          <t>La donnée est obligatoire si le Montant de RWA supplémentaire pour non-conformité aux exigences prévues pour le calcul de l'Output Floor [P1 21.51] est renseigné</t>
        </is>
      </c>
      <c r="AJ791" s="434" t="inlineStr">
        <is>
          <t>The data is mandatory if the Additional RWA amount for non-compliance with planned requirements for the Output Floor calculation [P1 21.51] is filled</t>
        </is>
      </c>
      <c r="AK791" s="588" t="n">
        <v>7</v>
      </c>
      <c r="AL791" s="335" t="inlineStr">
        <is>
          <t>TPG0002</t>
        </is>
      </c>
      <c r="AM791" s="712" t="inlineStr">
        <is>
          <t>Si elle est renseignée, la valeur doit être connue du Langage Commun associé</t>
        </is>
      </c>
      <c r="AN791" s="434" t="inlineStr">
        <is>
          <t>If specified, the value must be known to the associated Common Language</t>
        </is>
      </c>
      <c r="AO791" s="588" t="n">
        <v>7</v>
      </c>
      <c r="AP791" s="212" t="inlineStr">
        <is>
          <t>TIG0001</t>
        </is>
      </c>
      <c r="AQ791" s="712" t="n"/>
      <c r="AR791" s="434" t="n"/>
      <c r="AS791" s="588" t="n"/>
      <c r="AT791" s="713" t="n"/>
      <c r="AU791" s="712" t="n"/>
      <c r="AV791" s="434" t="n"/>
      <c r="AW791" s="588" t="n"/>
      <c r="AX791" s="713" t="n"/>
      <c r="AY791" s="712" t="n"/>
      <c r="AZ791" s="434" t="n"/>
      <c r="BA791" s="588" t="n"/>
      <c r="BB791" s="713" t="n"/>
      <c r="BC791" s="714" t="n"/>
      <c r="BD791" s="434" t="n"/>
      <c r="BE791" s="588" t="n"/>
      <c r="BF791" s="713" t="n"/>
      <c r="BG791" s="89" t="n"/>
      <c r="BH7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91">
        <f>_xlfn.LET(r,ROW(),oc,INDEX($A:$A,r),cv,TRIM(INDEX($Y:$Y,r)&amp;""),IF(oc&lt;&gt;"P1","",IF(cv="45","V45 - novo, nao alimentado pelo spool atual","V44 - alimentado pelo spool atual")))</f>
        <v/>
      </c>
    </row>
    <row r="792" ht="54" customFormat="1" customHeight="1" s="91">
      <c r="A792" s="306" t="inlineStr">
        <is>
          <t>P1</t>
        </is>
      </c>
      <c r="B792" s="307" t="n">
        <v>557</v>
      </c>
      <c r="C792" s="269" t="inlineStr">
        <is>
          <t>31 - Paramètres bâlois</t>
        </is>
      </c>
      <c r="D792" s="236" t="inlineStr">
        <is>
          <t>31 - Basel settings</t>
        </is>
      </c>
      <c r="E792" s="307" t="inlineStr">
        <is>
          <t>P1 21.53</t>
        </is>
      </c>
      <c r="F792" s="618" t="inlineStr">
        <is>
          <t>Montant du gain RWA obtenu par le CAP sur la pondération pour le calcul de l'Output Floor</t>
        </is>
      </c>
      <c r="G792" s="309" t="inlineStr">
        <is>
          <t>Amount of RWA gain obtained by CAP on risk weight for the Output Floor calculation</t>
        </is>
      </c>
      <c r="H792" s="1493">
        <f>"RPAD( "&amp;SUBSTITUTE(SUBSTITUTE(E792," ","_"),".","_")&amp;","&amp;W792&amp;",' '); -- "&amp;E792</f>
        <v/>
      </c>
      <c r="I792" s="1248" t="inlineStr">
        <is>
          <t>Réduction due à l'application d'un plafond des exposition pondérées calculé pour l'outputfloor (calcul en méthode SA ou ERBA).
Il s'agit du montant de RWA à déduire dans le cadre d'un « CAP » qui répond à l'article 267 du règlement PACT</t>
        </is>
      </c>
      <c r="J792" s="309" t="inlineStr">
        <is>
          <t>Reduction due to the application of a risk-weighted exposure ceiling for outputfloor calculation (calculated with "SA" or "ERBA" method). 
This is the amount of RWA to be deducted in the context of a "CAP" which complies with Article 267 of PACT Regulation</t>
        </is>
      </c>
      <c r="K792" s="370" t="inlineStr">
        <is>
          <t>ND</t>
        </is>
      </c>
      <c r="L792" s="371" t="inlineStr">
        <is>
          <t>ND</t>
        </is>
      </c>
      <c r="M792" s="1420" t="inlineStr">
        <is>
          <t>mtRWACAPPondOutFloor</t>
        </is>
      </c>
      <c r="N792" s="257" t="inlineStr">
        <is>
          <t>Obligatoire sous conditions</t>
        </is>
      </c>
      <c r="O792" s="310" t="inlineStr">
        <is>
          <t>Mandatory under conditions</t>
        </is>
      </c>
      <c r="P792" s="269" t="inlineStr">
        <is>
          <t>NA</t>
        </is>
      </c>
      <c r="Q792" s="269" t="inlineStr">
        <is>
          <t>NA</t>
        </is>
      </c>
      <c r="R792" s="1249" t="inlineStr">
        <is>
          <t>Concerne uniquement les titrisations</t>
        </is>
      </c>
      <c r="S792" s="233" t="inlineStr">
        <is>
          <t>Covers only securizations</t>
        </is>
      </c>
      <c r="T792" s="313" t="inlineStr">
        <is>
          <t>NUM</t>
        </is>
      </c>
      <c r="U792" s="237" t="inlineStr">
        <is>
          <t>19 dont signe et 2 décimales</t>
        </is>
      </c>
      <c r="V792" s="238" t="inlineStr">
        <is>
          <t>19 including sign and 2 decimals</t>
        </is>
      </c>
      <c r="W792" s="257" t="n">
        <v>19</v>
      </c>
      <c r="X792" s="945" t="inlineStr">
        <is>
          <t>NA</t>
        </is>
      </c>
      <c r="Y792" s="237" t="n">
        <v>44</v>
      </c>
      <c r="Z792" s="237" t="inlineStr">
        <is>
          <t>NA</t>
        </is>
      </c>
      <c r="AA792" s="270" t="inlineStr">
        <is>
          <t>NA</t>
        </is>
      </c>
      <c r="AB792" s="1286" t="inlineStr">
        <is>
          <t>CALCULS PRUDENTIELS</t>
        </is>
      </c>
      <c r="AC792" s="231" t="inlineStr">
        <is>
          <t>ND</t>
        </is>
      </c>
      <c r="AD792" s="257" t="inlineStr">
        <is>
          <t>N</t>
        </is>
      </c>
      <c r="AE792" s="432" t="inlineStr">
        <is>
          <t xml:space="preserve">ISS200 et 300
TRExx hors 201, 203, 205, 206 et 207
SIGxxx
VAR hors repos
</t>
        </is>
      </c>
      <c r="AF792" s="257" t="inlineStr">
        <is>
          <t>NA</t>
        </is>
      </c>
      <c r="AG792" s="258" t="inlineStr">
        <is>
          <t>NA</t>
        </is>
      </c>
      <c r="AH792" s="89" t="n"/>
      <c r="AI792" s="353" t="inlineStr">
        <is>
          <t>La donnée est obligatoire si le Portefeuille Bâle Opération [P1 2.18] = ‘070'</t>
        </is>
      </c>
      <c r="AJ792" s="317" t="inlineStr">
        <is>
          <t>The data is mandatory if Basel Transaction Portfolio [P1 2.18] = ‘070'</t>
        </is>
      </c>
      <c r="AK792" s="588" t="n">
        <v>6</v>
      </c>
      <c r="AL792" s="335" t="inlineStr">
        <is>
          <t>TPS0793</t>
        </is>
      </c>
      <c r="AM792" s="712" t="n"/>
      <c r="AN792" s="434" t="n"/>
      <c r="AO792" s="588" t="n"/>
      <c r="AP792" s="713" t="n"/>
      <c r="AQ792" s="712" t="n"/>
      <c r="AR792" s="434" t="n"/>
      <c r="AS792" s="588" t="n"/>
      <c r="AT792" s="713" t="n"/>
      <c r="AU792" s="712" t="n"/>
      <c r="AV792" s="434" t="n"/>
      <c r="AW792" s="588" t="n"/>
      <c r="AX792" s="713" t="n"/>
      <c r="AY792" s="712" t="n"/>
      <c r="AZ792" s="434" t="n"/>
      <c r="BA792" s="588" t="n"/>
      <c r="BB792" s="713" t="n"/>
      <c r="BC792" s="714" t="n"/>
      <c r="BD792" s="434" t="n"/>
      <c r="BE792" s="588" t="n"/>
      <c r="BF792" s="713" t="n"/>
      <c r="BG792" s="89" t="n"/>
      <c r="BH7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92">
        <f>_xlfn.LET(r,ROW(),oc,INDEX($A:$A,r),cv,TRIM(INDEX($Y:$Y,r)&amp;""),IF(oc&lt;&gt;"P1","",IF(cv="45","V45 - novo, nao alimentado pelo spool atual","V44 - alimentado pelo spool atual")))</f>
        <v/>
      </c>
    </row>
    <row r="793" ht="54" customFormat="1" customHeight="1" s="91">
      <c r="A793" s="306" t="inlineStr">
        <is>
          <t>P1</t>
        </is>
      </c>
      <c r="B793" s="307" t="n">
        <v>558</v>
      </c>
      <c r="C793" s="269" t="inlineStr">
        <is>
          <t>31 - Paramètres bâlois</t>
        </is>
      </c>
      <c r="D793" s="236" t="inlineStr">
        <is>
          <t>31 - Basel settings</t>
        </is>
      </c>
      <c r="E793" s="307" t="inlineStr">
        <is>
          <t>P1 21.54</t>
        </is>
      </c>
      <c r="F793" s="308" t="inlineStr">
        <is>
          <t>Devise du gain RWA obtenu par le CAP sur la pondération pour le calcul de l'Output Floor</t>
        </is>
      </c>
      <c r="G793" s="309" t="inlineStr">
        <is>
          <t>Currency of the RWA gain obtained by CAP on risk weight for the Output Floor calculation</t>
        </is>
      </c>
      <c r="H793" s="1493">
        <f>"RPAD( "&amp;SUBSTITUTE(SUBSTITUTE(E793," ","_"),".","_")&amp;","&amp;W793&amp;",' '); -- "&amp;E793</f>
        <v/>
      </c>
      <c r="I793" s="308" t="inlineStr">
        <is>
          <t>Devise du gain RWA obtenu par le CAP sur la pondération pour le calcul de l'Output Floor</t>
        </is>
      </c>
      <c r="J793" s="309" t="inlineStr">
        <is>
          <t>Currency of the RWA gain obtained by CAP on risk weight for the Output Floor calculation</t>
        </is>
      </c>
      <c r="K793" s="370" t="inlineStr">
        <is>
          <t>ND</t>
        </is>
      </c>
      <c r="L793" s="371" t="inlineStr">
        <is>
          <t>ND</t>
        </is>
      </c>
      <c r="M793" s="1420" t="inlineStr">
        <is>
          <t>cdDevMtRWACAPPondOutFloor</t>
        </is>
      </c>
      <c r="N793" s="257" t="inlineStr">
        <is>
          <t>Obligatoire sous conditions</t>
        </is>
      </c>
      <c r="O793" s="310" t="inlineStr">
        <is>
          <t>Mandatory under conditions</t>
        </is>
      </c>
      <c r="P793" s="269" t="inlineStr">
        <is>
          <t>LC.0005</t>
        </is>
      </c>
      <c r="Q793" s="269" t="inlineStr">
        <is>
          <t>TA NM253</t>
        </is>
      </c>
      <c r="R793" s="1249" t="inlineStr">
        <is>
          <t>Concerne uniquement les titrisations</t>
        </is>
      </c>
      <c r="S793" s="233" t="inlineStr">
        <is>
          <t>Covers only securizations</t>
        </is>
      </c>
      <c r="T793" s="313" t="inlineStr">
        <is>
          <t>ALPHA</t>
        </is>
      </c>
      <c r="U793" s="237" t="inlineStr">
        <is>
          <t>NA</t>
        </is>
      </c>
      <c r="V793" s="238" t="inlineStr">
        <is>
          <t>NA</t>
        </is>
      </c>
      <c r="W793" s="257" t="n">
        <v>3</v>
      </c>
      <c r="X793" s="945" t="inlineStr">
        <is>
          <t>NA</t>
        </is>
      </c>
      <c r="Y793" s="237" t="n">
        <v>44</v>
      </c>
      <c r="Z793" s="237" t="inlineStr">
        <is>
          <t>NA</t>
        </is>
      </c>
      <c r="AA793" s="270" t="inlineStr">
        <is>
          <t>NA</t>
        </is>
      </c>
      <c r="AB793" s="1286" t="inlineStr">
        <is>
          <t>CALCULS PRUDENTIELS</t>
        </is>
      </c>
      <c r="AC793" s="231" t="inlineStr">
        <is>
          <t>ND</t>
        </is>
      </c>
      <c r="AD793" s="257" t="inlineStr">
        <is>
          <t>N</t>
        </is>
      </c>
      <c r="AE793" s="432" t="inlineStr">
        <is>
          <t xml:space="preserve">ISS200 et 300
TRExx hors 201, 203, 205, 206 et 207
SIGxxx
VAR hors repos
</t>
        </is>
      </c>
      <c r="AF793" s="257" t="inlineStr">
        <is>
          <t>NA</t>
        </is>
      </c>
      <c r="AG793" s="258" t="inlineStr">
        <is>
          <t>NA</t>
        </is>
      </c>
      <c r="AH793" s="89" t="n"/>
      <c r="AI793" s="711" t="inlineStr">
        <is>
          <t>La donnée est obligatoire si le Montant du gain RWA obtenu par le CAP sur la pondération pour le calcul de l'Output Floor [P1 21.53] est renseigné</t>
        </is>
      </c>
      <c r="AJ793" s="434" t="inlineStr">
        <is>
          <t>The data is mandatory if the Amount of RWA gain obtained by CAP on risk weight for the Output Floor calculation [P1 21.53] is filled</t>
        </is>
      </c>
      <c r="AK793" s="588" t="n">
        <v>7</v>
      </c>
      <c r="AL793" s="335" t="inlineStr">
        <is>
          <t>TPG0002</t>
        </is>
      </c>
      <c r="AM793" s="712" t="inlineStr">
        <is>
          <t>Si elle est renseignée, la valeur doit être connue du Langage Commun associé</t>
        </is>
      </c>
      <c r="AN793" s="434" t="inlineStr">
        <is>
          <t>If specified, the value must be known to the associated Common Language</t>
        </is>
      </c>
      <c r="AO793" s="588" t="n">
        <v>7</v>
      </c>
      <c r="AP793" s="212" t="inlineStr">
        <is>
          <t>TIG0001</t>
        </is>
      </c>
      <c r="AQ793" s="712" t="n"/>
      <c r="AR793" s="434" t="n"/>
      <c r="AS793" s="588" t="n"/>
      <c r="AT793" s="713" t="n"/>
      <c r="AU793" s="712" t="n"/>
      <c r="AV793" s="434" t="n"/>
      <c r="AW793" s="588" t="n"/>
      <c r="AX793" s="713" t="n"/>
      <c r="AY793" s="712" t="n"/>
      <c r="AZ793" s="434" t="n"/>
      <c r="BA793" s="588" t="n"/>
      <c r="BB793" s="713" t="n"/>
      <c r="BC793" s="714" t="n"/>
      <c r="BD793" s="434" t="n"/>
      <c r="BE793" s="588" t="n"/>
      <c r="BF793" s="713" t="n"/>
      <c r="BG793" s="89" t="n"/>
      <c r="BH7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93">
        <f>_xlfn.LET(r,ROW(),oc,INDEX($A:$A,r),cv,TRIM(INDEX($Y:$Y,r)&amp;""),IF(oc&lt;&gt;"P1","",IF(cv="45","V45 - novo, nao alimentado pelo spool atual","V44 - alimentado pelo spool atual")))</f>
        <v/>
      </c>
    </row>
    <row r="794" ht="54" customFormat="1" customHeight="1" s="91">
      <c r="A794" s="306" t="inlineStr">
        <is>
          <t>P1</t>
        </is>
      </c>
      <c r="B794" s="307" t="n">
        <v>559</v>
      </c>
      <c r="C794" s="269" t="inlineStr">
        <is>
          <t>32 - Financement spécialisé</t>
        </is>
      </c>
      <c r="D794" s="236" t="inlineStr">
        <is>
          <t>32 - Dedicated funding</t>
        </is>
      </c>
      <c r="E794" s="307" t="inlineStr">
        <is>
          <t>P1 21.44</t>
        </is>
      </c>
      <c r="F794" s="308" t="inlineStr">
        <is>
          <t>Indicateur d'exposition de qualité élevée</t>
        </is>
      </c>
      <c r="G794" s="309" t="inlineStr">
        <is>
          <t xml:space="preserve">Indicator of High Quality Exposure </t>
        </is>
      </c>
      <c r="H794" s="1493">
        <f>"RPAD( "&amp;SUBSTITUTE(SUBSTITUTE(E794," ","_"),".","_")&amp;","&amp;W794&amp;",' '); -- "&amp;E794</f>
        <v/>
      </c>
      <c r="I794" s="308" t="inlineStr">
        <is>
          <t>Indique si l'exposition est réputée être de qualité élevée compte tenu de l'ensemble des critères vérifiés dans l'article 122bis-3-a du CRR3.</t>
        </is>
      </c>
      <c r="J794" s="309" t="inlineStr">
        <is>
          <t>Indicates if the exposure is deemed to be of high quality taking into account all the criteria verified in article 122bis-3 a of CRR3.</t>
        </is>
      </c>
      <c r="K794" s="370" t="inlineStr">
        <is>
          <t>ND</t>
        </is>
      </c>
      <c r="L794" s="371" t="inlineStr">
        <is>
          <t>ND</t>
        </is>
      </c>
      <c r="M794" s="1420" t="inlineStr">
        <is>
          <t>indExpoQualElev</t>
        </is>
      </c>
      <c r="N794" s="257" t="inlineStr">
        <is>
          <t>Obligatoire sous conditions</t>
        </is>
      </c>
      <c r="O794" s="310" t="inlineStr">
        <is>
          <t>Mandatory under conditions</t>
        </is>
      </c>
      <c r="P794" s="269" t="inlineStr">
        <is>
          <t>LC.0496</t>
        </is>
      </c>
      <c r="Q794" s="269" t="inlineStr">
        <is>
          <t>TA Z8IEXQEL</t>
        </is>
      </c>
      <c r="R794" s="1249" t="inlineStr">
        <is>
          <t>Concerne uniquement les financements spécialisés</t>
        </is>
      </c>
      <c r="S794" s="233" t="inlineStr">
        <is>
          <t>Covers only specialized funding</t>
        </is>
      </c>
      <c r="T794" s="313" t="inlineStr">
        <is>
          <t>ALPHA</t>
        </is>
      </c>
      <c r="U794" s="237" t="inlineStr">
        <is>
          <t>NA</t>
        </is>
      </c>
      <c r="V794" s="238" t="inlineStr">
        <is>
          <t>NA</t>
        </is>
      </c>
      <c r="W794" s="257" t="n">
        <v>1</v>
      </c>
      <c r="X794" s="945" t="inlineStr">
        <is>
          <t>NA</t>
        </is>
      </c>
      <c r="Y794" s="237" t="n">
        <v>44</v>
      </c>
      <c r="Z794" s="237" t="inlineStr">
        <is>
          <t>NA</t>
        </is>
      </c>
      <c r="AA794" s="270" t="inlineStr">
        <is>
          <t>NA</t>
        </is>
      </c>
      <c r="AB794" s="1286" t="inlineStr">
        <is>
          <t>CALCULS PRUDENTIELS</t>
        </is>
      </c>
      <c r="AC794" s="231" t="inlineStr">
        <is>
          <t>ND</t>
        </is>
      </c>
      <c r="AD794" s="257" t="inlineStr">
        <is>
          <t>N</t>
        </is>
      </c>
      <c r="AE794" s="725" t="inlineStr">
        <is>
          <t>TRE2 à 4XX hors 203,205,206,207</t>
        </is>
      </c>
      <c r="AF794" s="257" t="inlineStr">
        <is>
          <t>NA</t>
        </is>
      </c>
      <c r="AG794" s="258" t="inlineStr">
        <is>
          <t>NA</t>
        </is>
      </c>
      <c r="AH794" s="1363" t="n"/>
      <c r="AI794" s="711" t="inlineStr">
        <is>
          <t>La donnée est obligatoire si le Portefeuille Bâle Opération [P1 2.18] = '062'</t>
        </is>
      </c>
      <c r="AJ794" s="434" t="inlineStr">
        <is>
          <t>The data is mandatory if the Basel Transaction Portfolio [P1 2.18] = '062'</t>
        </is>
      </c>
      <c r="AK794" s="588" t="n">
        <v>6</v>
      </c>
      <c r="AL794" s="731" t="inlineStr">
        <is>
          <t>TPS0936</t>
        </is>
      </c>
      <c r="AM794" s="712" t="inlineStr">
        <is>
          <t>Si elle est renseignée, la valeur doit être connue du Langage Commun associé</t>
        </is>
      </c>
      <c r="AN794" s="434" t="inlineStr">
        <is>
          <t>If specified, the value must be known to the associated Common Language</t>
        </is>
      </c>
      <c r="AO794" s="588" t="n">
        <v>7</v>
      </c>
      <c r="AP794" s="212" t="inlineStr">
        <is>
          <t>TIG0001</t>
        </is>
      </c>
      <c r="AQ794" s="712" t="n"/>
      <c r="AR794" s="434" t="n"/>
      <c r="AS794" s="588" t="n"/>
      <c r="AT794" s="713" t="n"/>
      <c r="AU794" s="712" t="n"/>
      <c r="AV794" s="434" t="n"/>
      <c r="AW794" s="588" t="n"/>
      <c r="AX794" s="713" t="n"/>
      <c r="AY794" s="712" t="n"/>
      <c r="AZ794" s="434" t="n"/>
      <c r="BA794" s="588" t="n"/>
      <c r="BB794" s="713" t="n"/>
      <c r="BC794" s="714" t="n"/>
      <c r="BD794" s="434" t="n"/>
      <c r="BE794" s="588" t="n"/>
      <c r="BF794" s="713" t="n"/>
      <c r="BG794" s="89" t="n"/>
      <c r="BH7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94">
        <f>_xlfn.LET(r,ROW(),oc,INDEX($A:$A,r),cv,TRIM(INDEX($Y:$Y,r)&amp;""),IF(oc&lt;&gt;"P1","",IF(cv="45","V45 - novo, nao alimentado pelo spool atual","V44 - alimentado pelo spool atual")))</f>
        <v/>
      </c>
    </row>
    <row r="795" ht="54" customFormat="1" customHeight="1" s="91">
      <c r="A795" s="306" t="inlineStr">
        <is>
          <t>P1</t>
        </is>
      </c>
      <c r="B795" s="307" t="n">
        <v>560</v>
      </c>
      <c r="C795" s="269" t="inlineStr">
        <is>
          <t>32 - Financement spécialisé</t>
        </is>
      </c>
      <c r="D795" s="236" t="inlineStr">
        <is>
          <t>32 - Dedicated funding</t>
        </is>
      </c>
      <c r="E795" s="307" t="inlineStr">
        <is>
          <t>P1 21.45</t>
        </is>
      </c>
      <c r="F795" s="308" t="inlineStr">
        <is>
          <t>Indicateur de la phase opérationnelle du projet financé</t>
        </is>
      </c>
      <c r="G795" s="309" t="inlineStr">
        <is>
          <t>Indicator of the operational phase of the financed project</t>
        </is>
      </c>
      <c r="H795" s="1493">
        <f>"RPAD( "&amp;SUBSTITUTE(SUBSTITUTE(E795," ","_"),".","_")&amp;","&amp;W795&amp;",' '); -- "&amp;E795</f>
        <v/>
      </c>
      <c r="I795" s="308" t="inlineStr">
        <is>
          <t>Indique si le projet financé est en phase opérationnelle (Projet finalisé et en cours d'exploitation).</t>
        </is>
      </c>
      <c r="J795" s="309" t="inlineStr">
        <is>
          <t>Indicates whether the financed project is in the operational phase (Finalized projet and in operation).</t>
        </is>
      </c>
      <c r="K795" s="370" t="inlineStr">
        <is>
          <t>ND</t>
        </is>
      </c>
      <c r="L795" s="371" t="inlineStr">
        <is>
          <t>ND</t>
        </is>
      </c>
      <c r="M795" s="1420" t="inlineStr">
        <is>
          <t>indPhaseOpe</t>
        </is>
      </c>
      <c r="N795" s="257" t="inlineStr">
        <is>
          <t>Obligatoire sous conditions</t>
        </is>
      </c>
      <c r="O795" s="310" t="inlineStr">
        <is>
          <t>Mandatory under conditions</t>
        </is>
      </c>
      <c r="P795" s="269" t="inlineStr">
        <is>
          <t>LC.0492</t>
        </is>
      </c>
      <c r="Q795" s="269" t="inlineStr">
        <is>
          <t>TA Z8IPOPFI</t>
        </is>
      </c>
      <c r="R795" s="1249" t="inlineStr">
        <is>
          <t>Concerne uniquement les financements spécialisés.
Se référer à l'article 122 bis- 3C de la réglementation CRR3</t>
        </is>
      </c>
      <c r="S795" s="235" t="inlineStr">
        <is>
          <t>Covers only specialized funding.
Refer to Article 122a- 3C of Regulation CRR3</t>
        </is>
      </c>
      <c r="T795" s="313" t="inlineStr">
        <is>
          <t>ALPHA</t>
        </is>
      </c>
      <c r="U795" s="237" t="inlineStr">
        <is>
          <t>NA</t>
        </is>
      </c>
      <c r="V795" s="238" t="inlineStr">
        <is>
          <t>NA</t>
        </is>
      </c>
      <c r="W795" s="257" t="n">
        <v>1</v>
      </c>
      <c r="X795" s="945" t="inlineStr">
        <is>
          <t>NA</t>
        </is>
      </c>
      <c r="Y795" s="237" t="n">
        <v>44</v>
      </c>
      <c r="Z795" s="237" t="inlineStr">
        <is>
          <t>NA</t>
        </is>
      </c>
      <c r="AA795" s="270" t="inlineStr">
        <is>
          <t>45.00</t>
        </is>
      </c>
      <c r="AB795" s="1286" t="inlineStr">
        <is>
          <t>CALCULS PRUDENTIELS</t>
        </is>
      </c>
      <c r="AC795" s="231" t="inlineStr">
        <is>
          <t>ND</t>
        </is>
      </c>
      <c r="AD795" s="257" t="inlineStr">
        <is>
          <t>N</t>
        </is>
      </c>
      <c r="AE795" s="1278" t="inlineStr">
        <is>
          <t>TRE2 à 4XX hors 203,205,206,207
SIG*</t>
        </is>
      </c>
      <c r="AF795" s="257" t="inlineStr">
        <is>
          <t>NA</t>
        </is>
      </c>
      <c r="AG795" s="258" t="inlineStr">
        <is>
          <t>NA</t>
        </is>
      </c>
      <c r="AH795" s="1363" t="n"/>
      <c r="AI795" s="1279" t="inlineStr">
        <is>
          <t>La donnée est obligatoire si le Portefeuille Bâle Opération [P1 2.18] = '061'</t>
        </is>
      </c>
      <c r="AJ795" s="434" t="inlineStr">
        <is>
          <t>The data is mandatory if the Basel Transaction Portfolio [P1 2.18] = '061'</t>
        </is>
      </c>
      <c r="AK795" s="588" t="n">
        <v>6</v>
      </c>
      <c r="AL795" s="731" t="inlineStr">
        <is>
          <t>TPS0937</t>
        </is>
      </c>
      <c r="AM795" s="712" t="inlineStr">
        <is>
          <t>Si elle est renseignée, la valeur doit être connue du Langage Commun associé</t>
        </is>
      </c>
      <c r="AN795" s="434" t="inlineStr">
        <is>
          <t>If specified, the value must be known to the associated Common Language</t>
        </is>
      </c>
      <c r="AO795" s="588" t="n">
        <v>7</v>
      </c>
      <c r="AP795" s="212" t="inlineStr">
        <is>
          <t>TIG0001</t>
        </is>
      </c>
      <c r="AQ795" s="712" t="n"/>
      <c r="AR795" s="434" t="n"/>
      <c r="AS795" s="588" t="n"/>
      <c r="AT795" s="713" t="n"/>
      <c r="AU795" s="712" t="n"/>
      <c r="AV795" s="434" t="n"/>
      <c r="AW795" s="588" t="n"/>
      <c r="AX795" s="713" t="n"/>
      <c r="AY795" s="712" t="n"/>
      <c r="AZ795" s="434" t="n"/>
      <c r="BA795" s="588" t="n"/>
      <c r="BB795" s="713" t="n"/>
      <c r="BC795" s="714" t="n"/>
      <c r="BD795" s="434" t="n"/>
      <c r="BE795" s="588" t="n"/>
      <c r="BF795" s="713" t="n"/>
      <c r="BG795" s="89" t="n"/>
      <c r="BH7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95">
        <f>_xlfn.LET(r,ROW(),oc,INDEX($A:$A,r),cv,TRIM(INDEX($Y:$Y,r)&amp;""),IF(oc&lt;&gt;"P1","",IF(cv="45","V45 - novo, nao alimentado pelo spool atual","V44 - alimentado pelo spool atual")))</f>
        <v/>
      </c>
    </row>
    <row r="796" ht="54" customFormat="1" customHeight="1" s="91">
      <c r="A796" s="306" t="inlineStr">
        <is>
          <t>P1</t>
        </is>
      </c>
      <c r="B796" s="307" t="n">
        <v>561</v>
      </c>
      <c r="C796" s="269" t="inlineStr">
        <is>
          <t>32 - Financement spécialisé</t>
        </is>
      </c>
      <c r="D796" s="236" t="inlineStr">
        <is>
          <t>32 - Dedicated funding</t>
        </is>
      </c>
      <c r="E796" s="307" t="inlineStr">
        <is>
          <t>P1 21.46</t>
        </is>
      </c>
      <c r="F796" s="1270" t="inlineStr">
        <is>
          <t xml:space="preserve">Indicateur de conformité des critères opérationnels du projet </t>
        </is>
      </c>
      <c r="G796" s="309" t="inlineStr">
        <is>
          <t xml:space="preserve">Indicator of conformity of the operational criteria of the project </t>
        </is>
      </c>
      <c r="H796" s="1493">
        <f>"RPAD( "&amp;SUBSTITUTE(SUBSTITUTE(E796," ","_"),".","_")&amp;","&amp;W796&amp;",' '); -- "&amp;E796</f>
        <v/>
      </c>
      <c r="I796" s="308" t="inlineStr">
        <is>
          <t>Indique si tous les critères opérationnels du projet listés dans l'article "122bis-3-c-ii " du CRR3 sont vérifiés</t>
        </is>
      </c>
      <c r="J796" s="309" t="inlineStr">
        <is>
          <t>Indicates whether all the operational criteria of the project listed in article "122bis-3-c-ii" of the CRR3 are verified</t>
        </is>
      </c>
      <c r="K796" s="370" t="inlineStr">
        <is>
          <t>ND</t>
        </is>
      </c>
      <c r="L796" s="371" t="inlineStr">
        <is>
          <t>ND</t>
        </is>
      </c>
      <c r="M796" s="1420" t="inlineStr">
        <is>
          <t>indConformCritOpe</t>
        </is>
      </c>
      <c r="N796" s="257" t="inlineStr">
        <is>
          <t>Obligatoire sous conditions</t>
        </is>
      </c>
      <c r="O796" s="310" t="inlineStr">
        <is>
          <t>Mandatory under conditions</t>
        </is>
      </c>
      <c r="P796" s="269" t="inlineStr">
        <is>
          <t>LC.0487</t>
        </is>
      </c>
      <c r="Q796" s="269" t="inlineStr">
        <is>
          <t>TA Z8ICDCOP</t>
        </is>
      </c>
      <c r="R796" s="1249" t="inlineStr">
        <is>
          <t>Concerne uniquement les financements spécialisés</t>
        </is>
      </c>
      <c r="S796" s="233" t="inlineStr">
        <is>
          <t>Covers only specialized funding</t>
        </is>
      </c>
      <c r="T796" s="313" t="inlineStr">
        <is>
          <t>ALPHA</t>
        </is>
      </c>
      <c r="U796" s="237" t="inlineStr">
        <is>
          <t>NA</t>
        </is>
      </c>
      <c r="V796" s="238" t="inlineStr">
        <is>
          <t>NA</t>
        </is>
      </c>
      <c r="W796" s="257" t="n">
        <v>1</v>
      </c>
      <c r="X796" s="945" t="inlineStr">
        <is>
          <t>NA</t>
        </is>
      </c>
      <c r="Y796" s="237" t="n">
        <v>44</v>
      </c>
      <c r="Z796" s="237" t="inlineStr">
        <is>
          <t>NA</t>
        </is>
      </c>
      <c r="AA796" s="270" t="inlineStr">
        <is>
          <t>45.00</t>
        </is>
      </c>
      <c r="AB796" s="1286" t="inlineStr">
        <is>
          <t>CALCULS PRUDENTIELS</t>
        </is>
      </c>
      <c r="AC796" s="231" t="inlineStr">
        <is>
          <t>ND</t>
        </is>
      </c>
      <c r="AD796" s="257" t="inlineStr">
        <is>
          <t>N</t>
        </is>
      </c>
      <c r="AE796" s="1271" t="inlineStr">
        <is>
          <t>TRE2 à 4XX hors 203,205,206,207
SIG*</t>
        </is>
      </c>
      <c r="AF796" s="257" t="inlineStr">
        <is>
          <t>NA</t>
        </is>
      </c>
      <c r="AG796" s="258" t="inlineStr">
        <is>
          <t>NA</t>
        </is>
      </c>
      <c r="AH796" s="1363" t="n"/>
      <c r="AI796" s="711" t="inlineStr">
        <is>
          <t>La donnée est obligatoire si le Portefeuille Bâle Opération [P1 2.18] = '061'</t>
        </is>
      </c>
      <c r="AJ796" s="434" t="inlineStr">
        <is>
          <t>The data is mandatory if the Basel Transaction Portfolio [P1 2.18] = '061'</t>
        </is>
      </c>
      <c r="AK796" s="588" t="n">
        <v>6</v>
      </c>
      <c r="AL796" s="731" t="inlineStr">
        <is>
          <t>TPS0937</t>
        </is>
      </c>
      <c r="AM796" s="712" t="inlineStr">
        <is>
          <t>Si elle est renseignée, la valeur doit être connue du Langage Commun associé</t>
        </is>
      </c>
      <c r="AN796" s="434" t="inlineStr">
        <is>
          <t>If specified, the value must be known to the associated Common Language</t>
        </is>
      </c>
      <c r="AO796" s="588" t="n">
        <v>7</v>
      </c>
      <c r="AP796" s="212" t="inlineStr">
        <is>
          <t>TIG0001</t>
        </is>
      </c>
      <c r="AQ796" s="712" t="n"/>
      <c r="AR796" s="434" t="n"/>
      <c r="AS796" s="588" t="n"/>
      <c r="AT796" s="713" t="n"/>
      <c r="AU796" s="712" t="n"/>
      <c r="AV796" s="434" t="n"/>
      <c r="AW796" s="588" t="n"/>
      <c r="AX796" s="713" t="n"/>
      <c r="AY796" s="712" t="n"/>
      <c r="AZ796" s="434" t="n"/>
      <c r="BA796" s="588" t="n"/>
      <c r="BB796" s="713" t="n"/>
      <c r="BC796" s="714" t="n"/>
      <c r="BD796" s="434" t="n"/>
      <c r="BE796" s="588" t="n"/>
      <c r="BF796" s="713" t="n"/>
      <c r="BG796" s="89" t="n"/>
      <c r="BH7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96">
        <f>_xlfn.LET(r,ROW(),oc,INDEX($A:$A,r),cv,TRIM(INDEX($Y:$Y,r)&amp;""),IF(oc&lt;&gt;"P1","",IF(cv="45","V45 - novo, nao alimentado pelo spool atual","V44 - alimentado pelo spool atual")))</f>
        <v/>
      </c>
    </row>
    <row r="797" ht="54" customFormat="1" customHeight="1" s="91">
      <c r="A797" s="306" t="inlineStr">
        <is>
          <t>P1</t>
        </is>
      </c>
      <c r="B797" s="307" t="n">
        <v>562</v>
      </c>
      <c r="C797" s="269" t="inlineStr">
        <is>
          <t>12 - Caractéristiques Prêts - Emprunts</t>
        </is>
      </c>
      <c r="D797" s="236" t="inlineStr">
        <is>
          <t>12 - Loans - Borrowings characteristics</t>
        </is>
      </c>
      <c r="E797" s="307" t="inlineStr">
        <is>
          <t>P1 21.38</t>
        </is>
      </c>
      <c r="F797" s="618" t="inlineStr">
        <is>
          <t xml:space="preserve">Indicateur d'exposition garantie par un bien immobilier générateur de revenu (IPRE) </t>
        </is>
      </c>
      <c r="G797" s="309" t="inlineStr">
        <is>
          <t xml:space="preserve">Exposure guaranteed by an Income Producing Real Estate (IPRE) indicator </t>
        </is>
      </c>
      <c r="H797" s="1493">
        <f>"RPAD( "&amp;SUBSTITUTE(SUBSTITUTE(E797," ","_"),".","_")&amp;","&amp;W797&amp;",' '); -- "&amp;E797</f>
        <v/>
      </c>
      <c r="I797" s="664" t="inlineStr">
        <is>
          <t>Indique si l'exposition est garantie par un ou plusieurs biens immobiliers résidentiels ou commerciaux lorsque le respect des obligations de crédit liées à l'exposition dépend significativement des flux de trésorerie générés par ces biens immobiliers garantissant cette exposition, plutôt que de la capacité du débiteur à remplir ses obligations de crédit à partir d'autres sources</t>
        </is>
      </c>
      <c r="J797" s="309" t="inlineStr">
        <is>
          <t>Indicates whether it is an IPRE exposure (Income producing Real Estate);
income-producing real estate exposure" means an exposure secured by one or more residential or commercial properties where satisfaction of the credit obligations associated with the exposure is significantly dependent on the cash flows generated by the properties securing that exposure, rather than on the obligor's ability to meet its credit obligations from other sources</t>
        </is>
      </c>
      <c r="K797" s="370" t="inlineStr">
        <is>
          <t>ND</t>
        </is>
      </c>
      <c r="L797" s="371" t="inlineStr">
        <is>
          <t>ND</t>
        </is>
      </c>
      <c r="M797" s="1420" t="inlineStr">
        <is>
          <t>indExpoGarIPRE</t>
        </is>
      </c>
      <c r="N797" s="257" t="inlineStr">
        <is>
          <t>Obligatoire sous conditions</t>
        </is>
      </c>
      <c r="O797" s="310" t="inlineStr">
        <is>
          <t>Mandatory under conditions</t>
        </is>
      </c>
      <c r="P797" s="269" t="inlineStr">
        <is>
          <t>LC.0497</t>
        </is>
      </c>
      <c r="Q797" s="269" t="inlineStr">
        <is>
          <t>TA Z8IEIPRE</t>
        </is>
      </c>
      <c r="R797" s="241" t="inlineStr">
        <is>
          <t>A renseigner s'il s'agit d'un prêt garanti par un bien immobilier</t>
        </is>
      </c>
      <c r="S797" s="235" t="inlineStr">
        <is>
          <t>To be filled if the loan is secured by real estate</t>
        </is>
      </c>
      <c r="T797" s="313" t="inlineStr">
        <is>
          <t>ALPHA</t>
        </is>
      </c>
      <c r="U797" s="237" t="inlineStr">
        <is>
          <t>NA</t>
        </is>
      </c>
      <c r="V797" s="238" t="inlineStr">
        <is>
          <t>NA</t>
        </is>
      </c>
      <c r="W797" s="257" t="n">
        <v>1</v>
      </c>
      <c r="X797" s="945" t="inlineStr">
        <is>
          <t>NA</t>
        </is>
      </c>
      <c r="Y797" s="237" t="n">
        <v>44</v>
      </c>
      <c r="Z797" s="237" t="inlineStr">
        <is>
          <t>NA</t>
        </is>
      </c>
      <c r="AA797" s="270" t="inlineStr">
        <is>
          <t>NA</t>
        </is>
      </c>
      <c r="AB797" s="1286" t="inlineStr">
        <is>
          <t>CALCULS PRUDENTIELS</t>
        </is>
      </c>
      <c r="AC797" s="231" t="inlineStr">
        <is>
          <t>ND</t>
        </is>
      </c>
      <c r="AD797" s="257" t="inlineStr">
        <is>
          <t>N</t>
        </is>
      </c>
      <c r="AE797" s="732" t="inlineStr">
        <is>
          <t>TRE2 à 5XX hors 203,205,206,207, SIG*</t>
        </is>
      </c>
      <c r="AF797" s="257" t="inlineStr">
        <is>
          <t>NA</t>
        </is>
      </c>
      <c r="AG797" s="258" t="inlineStr">
        <is>
          <t>NA</t>
        </is>
      </c>
      <c r="AH797" s="1363" t="n"/>
      <c r="AI797" s="733" t="inlineStr">
        <is>
          <t>La donnée est obligatoire si le type de risque [P1 2.0] est égal à {TRE2 à TRE5XX hors (TRE203, TRE205, TRE206, TRE207), SIG*} ET si l'Usage du bien immobilier apporté en garantie [P1 3.46] est égal à '1' ou '2' ET si l'Indicateur d'exposition sur acquisition, développement et construction (ADC) [P1 21.39] = 'N' ou vide</t>
        </is>
      </c>
      <c r="AJ797" s="434" t="inlineStr">
        <is>
          <t>The data is mandatory if Risk type [P1 2.0] is equal to {TRE2 to TRE5XX except (TRE203, TRE205, TRE206, TRE207), SIG*} AND if the Use of real-estate brought into guarantee [P1 3.46] is equal to '1' or '2' AND the Acquisition, Development and Construction (ADC) Exposure Indicator [P1 21.39] = 'N' or empty</t>
        </is>
      </c>
      <c r="AK797" s="588" t="n">
        <v>6</v>
      </c>
      <c r="AL797" s="455" t="inlineStr">
        <is>
          <t>TPS0938</t>
        </is>
      </c>
      <c r="AM797" s="712" t="inlineStr">
        <is>
          <t>Si elle est renseignée, la valeur doit être connue du Langage Commun associé</t>
        </is>
      </c>
      <c r="AN797" s="434" t="inlineStr">
        <is>
          <t>If specified, the value must be known to the associated Common Language</t>
        </is>
      </c>
      <c r="AO797" s="588" t="n">
        <v>7</v>
      </c>
      <c r="AP797" s="212" t="inlineStr">
        <is>
          <t>TIG0001</t>
        </is>
      </c>
      <c r="AQ797" s="712" t="n"/>
      <c r="AR797" s="434" t="n"/>
      <c r="AS797" s="588" t="n"/>
      <c r="AT797" s="713" t="n"/>
      <c r="AU797" s="712" t="n"/>
      <c r="AV797" s="434" t="n"/>
      <c r="AW797" s="588" t="n"/>
      <c r="AX797" s="713" t="n"/>
      <c r="AY797" s="712" t="n"/>
      <c r="AZ797" s="434" t="n"/>
      <c r="BA797" s="588" t="n"/>
      <c r="BB797" s="713" t="n"/>
      <c r="BC797" s="714" t="n"/>
      <c r="BD797" s="434" t="n"/>
      <c r="BE797" s="588" t="n"/>
      <c r="BF797" s="713" t="n"/>
      <c r="BG797" s="89" t="n"/>
      <c r="BH7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97">
        <f>_xlfn.LET(r,ROW(),oc,INDEX($A:$A,r),cv,TRIM(INDEX($Y:$Y,r)&amp;""),IF(oc&lt;&gt;"P1","",IF(cv="45","V45 - novo, nao alimentado pelo spool atual","V44 - alimentado pelo spool atual")))</f>
        <v/>
      </c>
    </row>
    <row r="798" ht="54" customFormat="1" customHeight="1" s="91">
      <c r="A798" s="306" t="inlineStr">
        <is>
          <t>P1</t>
        </is>
      </c>
      <c r="B798" s="307" t="n">
        <v>563</v>
      </c>
      <c r="C798" s="269" t="inlineStr">
        <is>
          <t>12 - Caractéristiques Prêts - Emprunts</t>
        </is>
      </c>
      <c r="D798" s="236" t="inlineStr">
        <is>
          <t>12 - Loans - Borrowings characteristics</t>
        </is>
      </c>
      <c r="E798" s="307" t="inlineStr">
        <is>
          <t>P1 21.39</t>
        </is>
      </c>
      <c r="F798" s="618" t="inlineStr">
        <is>
          <t>Indicateur d'exposition sur acquisition, développement et construction (ADC)</t>
        </is>
      </c>
      <c r="G798" s="309" t="inlineStr">
        <is>
          <t xml:space="preserve">Acquisition, Development and Construction (ADC) Exposure Indicator </t>
        </is>
      </c>
      <c r="H798" s="1493">
        <f>"RPAD( "&amp;SUBSTITUTE(SUBSTITUTE(E798," ","_"),".","_")&amp;","&amp;W798&amp;",' '); -- "&amp;E798</f>
        <v/>
      </c>
      <c r="I798" s="308" t="inlineStr">
        <is>
          <t>Indique si l'exposition est sur des entreprises ou des entités ad hoc qui financent toute acquisition de terrains à des fins de promotion et de construction, ou qui financent la promotion et la construction de tout bien immobilier résidentiel ou commercial;</t>
        </is>
      </c>
      <c r="J798" s="309" t="inlineStr">
        <is>
          <t>Indicates whether it is an ADC exposure (acquisition, development and construction).
Exposures to companies or special purpose entities that finance any acquisition of land for development and construction purposes, or that finance the development and construction of any residential or commercial real estate</t>
        </is>
      </c>
      <c r="K798" s="370" t="inlineStr">
        <is>
          <t>ND</t>
        </is>
      </c>
      <c r="L798" s="371" t="inlineStr">
        <is>
          <t>ND</t>
        </is>
      </c>
      <c r="M798" s="1420" t="inlineStr">
        <is>
          <t>indExpoADC</t>
        </is>
      </c>
      <c r="N798" s="257" t="inlineStr">
        <is>
          <t>Obligatoire sous conditions</t>
        </is>
      </c>
      <c r="O798" s="310" t="inlineStr">
        <is>
          <t>Mandatory under conditions</t>
        </is>
      </c>
      <c r="P798" s="269" t="inlineStr">
        <is>
          <t>LC.0498</t>
        </is>
      </c>
      <c r="Q798" s="269" t="inlineStr">
        <is>
          <t>TA Z8IESADC</t>
        </is>
      </c>
      <c r="R798" s="241" t="inlineStr">
        <is>
          <t>A renseigner s'il s'agit d'un prêt garanti par un bien immobilier</t>
        </is>
      </c>
      <c r="S798" s="235" t="inlineStr">
        <is>
          <t>To be filled if the loan is secured by real estate</t>
        </is>
      </c>
      <c r="T798" s="313" t="inlineStr">
        <is>
          <t>ALPHA</t>
        </is>
      </c>
      <c r="U798" s="237" t="inlineStr">
        <is>
          <t>NA</t>
        </is>
      </c>
      <c r="V798" s="238" t="inlineStr">
        <is>
          <t>NA</t>
        </is>
      </c>
      <c r="W798" s="257" t="n">
        <v>1</v>
      </c>
      <c r="X798" s="945" t="inlineStr">
        <is>
          <t>NA</t>
        </is>
      </c>
      <c r="Y798" s="237" t="n">
        <v>44</v>
      </c>
      <c r="Z798" s="237" t="inlineStr">
        <is>
          <t>NA</t>
        </is>
      </c>
      <c r="AA798" s="270" t="inlineStr">
        <is>
          <t>45.00</t>
        </is>
      </c>
      <c r="AB798" s="1286" t="inlineStr">
        <is>
          <t>CALCULS PRUDENTIELS</t>
        </is>
      </c>
      <c r="AC798" s="231" t="inlineStr">
        <is>
          <t>ND</t>
        </is>
      </c>
      <c r="AD798" s="257" t="inlineStr">
        <is>
          <t>N</t>
        </is>
      </c>
      <c r="AE798" s="732" t="inlineStr">
        <is>
          <t>TRE2 à 5XX hors 203,205,206,207, SIG*</t>
        </is>
      </c>
      <c r="AF798" s="257" t="inlineStr">
        <is>
          <t>NA</t>
        </is>
      </c>
      <c r="AG798" s="258" t="inlineStr">
        <is>
          <t>NA</t>
        </is>
      </c>
      <c r="AH798" s="1363" t="n"/>
      <c r="AI798" s="1281" t="inlineStr">
        <is>
          <t>La donnée est obligatoire si le type de risque [P1 2.0] = 'TRE2 à TRE5XX hors (TRE203, TRE205, TRE206, TRE207), SIG*' ET si l'Usage du bien immobilier apporté en garantie [P1 3.46] est égal à '1' ou '2'</t>
        </is>
      </c>
      <c r="AJ798" s="434" t="inlineStr">
        <is>
          <t>The data is mandatory if Risk type [P1 2.0] = 'TRE2 to TRE5XX except (TRE203, TRE205, TRE206, TRE207), SIG*' AND if the Use of real-estate brought into guarantee [P1 3.46] is equal to '1' or '2'</t>
        </is>
      </c>
      <c r="AK798" s="588" t="n">
        <v>6</v>
      </c>
      <c r="AL798" s="345" t="inlineStr">
        <is>
          <t>TPS0734</t>
        </is>
      </c>
      <c r="AM798" s="712" t="inlineStr">
        <is>
          <t>Si elle est renseignée, la valeur doit être connue du Langage Commun associé</t>
        </is>
      </c>
      <c r="AN798" s="434" t="inlineStr">
        <is>
          <t>If specified, the value must be known to the associated Common Language</t>
        </is>
      </c>
      <c r="AO798" s="588" t="n">
        <v>7</v>
      </c>
      <c r="AP798" s="212" t="inlineStr">
        <is>
          <t>TIG0001</t>
        </is>
      </c>
      <c r="AQ798" s="712" t="n"/>
      <c r="AR798" s="434" t="n"/>
      <c r="AS798" s="588" t="n"/>
      <c r="AT798" s="713" t="n"/>
      <c r="AU798" s="1283" t="inlineStr">
        <is>
          <t>Si type de risque [P1 2.0] = 'PRI*' OU si Portefeuille Bâle Opération [P1 2.18] = '011, 014', alors la donnée doit être différente de 'Y'</t>
        </is>
      </c>
      <c r="AV798" s="1001" t="inlineStr">
        <is>
          <t>If Risk type [P1 2.0] = 'PRI*' OR if Basel Transaction Portfolio [P1 2.18] = '011, 014', then the data must be different from 'Y'</t>
        </is>
      </c>
      <c r="AW798" s="1002" t="n">
        <v>6</v>
      </c>
      <c r="AX798" s="1284" t="inlineStr">
        <is>
          <t>TCSxxxx</t>
        </is>
      </c>
      <c r="AY798" s="712" t="n"/>
      <c r="AZ798" s="434" t="n"/>
      <c r="BA798" s="588" t="n"/>
      <c r="BB798" s="713" t="n"/>
      <c r="BC798" s="714" t="n"/>
      <c r="BD798" s="434" t="n"/>
      <c r="BE798" s="588" t="n"/>
      <c r="BF798" s="713" t="n"/>
      <c r="BG798" s="89" t="n"/>
      <c r="BH7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98">
        <f>_xlfn.LET(r,ROW(),oc,INDEX($A:$A,r),cv,TRIM(INDEX($Y:$Y,r)&amp;""),IF(oc&lt;&gt;"P1","",IF(cv="45","V45 - novo, nao alimentado pelo spool atual","V44 - alimentado pelo spool atual")))</f>
        <v/>
      </c>
    </row>
    <row r="799" ht="54" customFormat="1" customHeight="1" s="91">
      <c r="A799" s="306" t="inlineStr">
        <is>
          <t>P1</t>
        </is>
      </c>
      <c r="B799" s="307" t="n">
        <v>564</v>
      </c>
      <c r="C799" s="269" t="inlineStr">
        <is>
          <t>12 - Caractéristiques Prêts - Emprunts</t>
        </is>
      </c>
      <c r="D799" s="236" t="inlineStr">
        <is>
          <t>12 - Loans - Borrowings characteristics</t>
        </is>
      </c>
      <c r="E799" s="307" t="inlineStr">
        <is>
          <t>P1 21.40</t>
        </is>
      </c>
      <c r="F799" s="735" t="inlineStr">
        <is>
          <t>Réalisation des conditions de pondération préférentielle</t>
        </is>
      </c>
      <c r="G799" s="309" t="inlineStr">
        <is>
          <t>Realization of preferential weighting conditions</t>
        </is>
      </c>
      <c r="H799" s="1493">
        <f>"RPAD( "&amp;SUBSTITUTE(SUBSTITUTE(E799," ","_"),".","_")&amp;","&amp;W799&amp;",' '); -- "&amp;E799</f>
        <v/>
      </c>
      <c r="I799" s="1246" t="inlineStr">
        <is>
          <t>indique le respect des conditions des articles 124-3 et 124-2-a du règlement CRR3.
'Pour qu'une exposition garantie par un bien immobilier puisse recevoir le traitement préférentiel pour les pondérations de RWA, les conditions suivantes doivent être réunies:
* si le bien donné en garantie est un bien immobilier commercial =&gt; alors il faut vérifier les conditions de l'article 124-3 de CRR3 et l'exposition doit être NON-IPRE
* si le bien donné en garantie est un bien immobilier résidentiel =&gt; alors il faut vérifier les conditions de l'article 124-3 de CRR3 et l'exposition doit être soit NON-IPRE sans aucune autre condition, soit IPRE mais en respectant en plus les conditions de l'article 124-2-a de CRR3</t>
        </is>
      </c>
      <c r="J799" s="779" t="inlineStr">
        <is>
          <t>Indicates whether the conditions of articles 124-3 and 124-2-a of the CRR3 regulation are respected.
To have preferred RWA weighting rate, the following conditions must be met:
* if the collateral is commercial real estate =&gt; then the conditions of Article 124-3 of CRR3 must be verified and the exposure must be NON-IPRE
* if the collateral is residential real estate =&gt; then the conditions of Article 124-3 of CRR3 and the exposure must be either NON-IPRE without any other conditions, or IPRE but in addition respecting the conditions of Article 124-2-a of CRR3</t>
        </is>
      </c>
      <c r="K799" s="370" t="inlineStr">
        <is>
          <t>ND</t>
        </is>
      </c>
      <c r="L799" s="371" t="inlineStr">
        <is>
          <t>ND</t>
        </is>
      </c>
      <c r="M799" s="1420" t="inlineStr">
        <is>
          <t>indRealPondePref</t>
        </is>
      </c>
      <c r="N799" s="257" t="inlineStr">
        <is>
          <t>Obligatoire sous conditions</t>
        </is>
      </c>
      <c r="O799" s="310" t="inlineStr">
        <is>
          <t>Mandatory under conditions</t>
        </is>
      </c>
      <c r="P799" s="269" t="inlineStr">
        <is>
          <t>LC.0517</t>
        </is>
      </c>
      <c r="Q799" s="269" t="inlineStr">
        <is>
          <t>TA Z8RCONPP</t>
        </is>
      </c>
      <c r="R799" s="241" t="inlineStr">
        <is>
          <t>A renseigner s'il s'agit d'un prêt garanti par un bien immobilier</t>
        </is>
      </c>
      <c r="S799" s="235" t="inlineStr">
        <is>
          <t>To be filled if the loan is secured by real estate</t>
        </is>
      </c>
      <c r="T799" s="313" t="inlineStr">
        <is>
          <t>ALPHA</t>
        </is>
      </c>
      <c r="U799" s="237" t="inlineStr">
        <is>
          <t>NA</t>
        </is>
      </c>
      <c r="V799" s="238" t="inlineStr">
        <is>
          <t>NA</t>
        </is>
      </c>
      <c r="W799" s="257" t="n">
        <v>1</v>
      </c>
      <c r="X799" s="945" t="inlineStr">
        <is>
          <t>NA</t>
        </is>
      </c>
      <c r="Y799" s="237" t="n">
        <v>44</v>
      </c>
      <c r="Z799" s="237" t="inlineStr">
        <is>
          <t>NA</t>
        </is>
      </c>
      <c r="AA799" s="270" t="inlineStr">
        <is>
          <t>NA</t>
        </is>
      </c>
      <c r="AB799" s="1286" t="inlineStr">
        <is>
          <t>CALCULS PRUDENTIELS</t>
        </is>
      </c>
      <c r="AC799" s="231" t="inlineStr">
        <is>
          <t>ND</t>
        </is>
      </c>
      <c r="AD799" s="257" t="inlineStr">
        <is>
          <t>N</t>
        </is>
      </c>
      <c r="AE799" s="732" t="inlineStr">
        <is>
          <t>TRE2 à 5XX hors 203,205,206,207, SIG*</t>
        </is>
      </c>
      <c r="AF799" s="257" t="inlineStr">
        <is>
          <t>NA</t>
        </is>
      </c>
      <c r="AG799" s="258" t="inlineStr">
        <is>
          <t>NA</t>
        </is>
      </c>
      <c r="AH799" s="1363" t="n"/>
      <c r="AI799" s="733" t="inlineStr">
        <is>
          <t>La donnée est obligatoire si le type de risque [P1 2.0] est égal à {TRE2 à TRE5XX hors (TRE203, TRE205, TRE206, TRE207), SIG*} ET si l'Usage du bien immobilier apporté en garantie [P1 3.46] est égal à '1' ou '2' ET si l'Indicateur d'exposition sur acquisition, développement et construction (ADC) [P1 21.39] = 'N' ou vide</t>
        </is>
      </c>
      <c r="AJ799" s="434" t="inlineStr">
        <is>
          <t>The data is mandatory if Risk type [P1 2.0] is equal to {TRE2 to TRE5XX except (TRE203, TRE205, TRE206, TRE207), SIG*} AND if the Use of real-estate brought into guarantee [P1 3.46] is equal to '1' or '2' AND the Acquisition, Development and Construction (ADC) Exposure Indicator [P1 21.39] = 'N' or empty</t>
        </is>
      </c>
      <c r="AK799" s="588" t="n">
        <v>6</v>
      </c>
      <c r="AL799" s="455" t="inlineStr">
        <is>
          <t>TPS0938</t>
        </is>
      </c>
      <c r="AM799" s="712" t="inlineStr">
        <is>
          <t>Si elle est renseignée, la valeur doit être connue du Langage Commun associé</t>
        </is>
      </c>
      <c r="AN799" s="434" t="inlineStr">
        <is>
          <t>If specified, the value must be known to the associated Common Language</t>
        </is>
      </c>
      <c r="AO799" s="588" t="n">
        <v>7</v>
      </c>
      <c r="AP799" s="212" t="inlineStr">
        <is>
          <t>TIG0001</t>
        </is>
      </c>
      <c r="AQ799" s="712" t="n"/>
      <c r="AR799" s="434" t="n"/>
      <c r="AS799" s="588" t="n"/>
      <c r="AT799" s="713" t="n"/>
      <c r="AU799" s="712" t="n"/>
      <c r="AV799" s="434" t="n"/>
      <c r="AW799" s="588" t="n"/>
      <c r="AX799" s="713" t="n"/>
      <c r="AY799" s="712" t="n"/>
      <c r="AZ799" s="434" t="n"/>
      <c r="BA799" s="588" t="n"/>
      <c r="BB799" s="713" t="n"/>
      <c r="BC799" s="714" t="n"/>
      <c r="BD799" s="434" t="n"/>
      <c r="BE799" s="588" t="n"/>
      <c r="BF799" s="713" t="n"/>
      <c r="BG799" s="89" t="n"/>
      <c r="BH7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799">
        <f>_xlfn.LET(r,ROW(),oc,INDEX($A:$A,r),cv,TRIM(INDEX($Y:$Y,r)&amp;""),IF(oc&lt;&gt;"P1","",IF(cv="45","V45 - novo, nao alimentado pelo spool atual","V44 - alimentado pelo spool atual")))</f>
        <v/>
      </c>
    </row>
    <row r="800" ht="54" customFormat="1" customHeight="1" s="91">
      <c r="A800" s="306" t="inlineStr">
        <is>
          <t>P1</t>
        </is>
      </c>
      <c r="B800" s="307" t="n">
        <v>565</v>
      </c>
      <c r="C800" s="269" t="inlineStr">
        <is>
          <t>12 - Caractéristiques Prêts - Emprunts</t>
        </is>
      </c>
      <c r="D800" s="236" t="inlineStr">
        <is>
          <t>12 - Loans - Borrowings characteristics</t>
        </is>
      </c>
      <c r="E800" s="307" t="inlineStr">
        <is>
          <t>P1 21.41</t>
        </is>
      </c>
      <c r="F800" s="736" t="inlineStr">
        <is>
          <t xml:space="preserve">Indicateur de dépôt en espèces substantiel </t>
        </is>
      </c>
      <c r="G800" s="309" t="inlineStr">
        <is>
          <t xml:space="preserve">Indicator of substantial cash deposit </t>
        </is>
      </c>
      <c r="H800" s="1493">
        <f>"RPAD( "&amp;SUBSTITUTE(SUBSTITUTE(E800," ","_"),".","_")&amp;","&amp;W800&amp;",' '); -- "&amp;E800</f>
        <v/>
      </c>
      <c r="I800" s="737" t="inlineStr">
        <is>
          <t>Pour les expositions sur acquisition, développement et construction (ADC) sur des biens immobiliers résidentiels, indique s'il y a eu un dépôt en espèces substantiel par les acheteurs ou locataires du bien financé.
Le dépôt doit représenter une part importante du total des contrats juridiquement contraignants de prévente ou de prélocation. Ce dépôt sera retenu en cas de résiliation de contrat</t>
        </is>
      </c>
      <c r="J800" s="309" t="inlineStr">
        <is>
          <t>For residential property exposures on acquisition, devlopment and construction (ADC), indicates whether there has been a substantial cash deposit (which will be withheld in the event of contract termination) by buyers or tenants representing a significant portion of the total legally binding pre-sale or pre-rental contracts</t>
        </is>
      </c>
      <c r="K800" s="370" t="inlineStr">
        <is>
          <t>ND</t>
        </is>
      </c>
      <c r="L800" s="371" t="inlineStr">
        <is>
          <t>ND</t>
        </is>
      </c>
      <c r="M800" s="1420" t="inlineStr">
        <is>
          <t>indDepoEspSubst</t>
        </is>
      </c>
      <c r="N800" s="257" t="inlineStr">
        <is>
          <t>Obligatoire sous conditions</t>
        </is>
      </c>
      <c r="O800" s="310" t="inlineStr">
        <is>
          <t>Mandatory under conditions</t>
        </is>
      </c>
      <c r="P800" s="269" t="inlineStr">
        <is>
          <t>LC.0490</t>
        </is>
      </c>
      <c r="Q800" s="269" t="inlineStr">
        <is>
          <t>TA Z8IDESUB</t>
        </is>
      </c>
      <c r="R800" s="241" t="inlineStr">
        <is>
          <t>A renseigner s'il s'agit d'un prêt garanti par un bien immobilier
se référer à l'Article 126bis-2-a du réglement CRR3</t>
        </is>
      </c>
      <c r="S800" s="235" t="inlineStr">
        <is>
          <t>to be filled if the loan is secured by real estate
refer to Article 126bis-2-a of CRR3</t>
        </is>
      </c>
      <c r="T800" s="313" t="inlineStr">
        <is>
          <t>ALPHA</t>
        </is>
      </c>
      <c r="U800" s="237" t="inlineStr">
        <is>
          <t>NA</t>
        </is>
      </c>
      <c r="V800" s="238" t="inlineStr">
        <is>
          <t>NA</t>
        </is>
      </c>
      <c r="W800" s="257" t="n">
        <v>1</v>
      </c>
      <c r="X800" s="945" t="inlineStr">
        <is>
          <t>NA</t>
        </is>
      </c>
      <c r="Y800" s="237" t="n">
        <v>44</v>
      </c>
      <c r="Z800" s="237" t="inlineStr">
        <is>
          <t>NA</t>
        </is>
      </c>
      <c r="AA800" s="270" t="inlineStr">
        <is>
          <t>NA</t>
        </is>
      </c>
      <c r="AB800" s="1286" t="inlineStr">
        <is>
          <t>CALCULS PRUDENTIELS</t>
        </is>
      </c>
      <c r="AC800" s="231" t="inlineStr">
        <is>
          <t>ND</t>
        </is>
      </c>
      <c r="AD800" s="257" t="inlineStr">
        <is>
          <t>N</t>
        </is>
      </c>
      <c r="AE800" s="732" t="inlineStr">
        <is>
          <t>TRE2 à 4XX hors 203,205,206,207, SIG*</t>
        </is>
      </c>
      <c r="AF800" s="257" t="inlineStr">
        <is>
          <t>NA</t>
        </is>
      </c>
      <c r="AG800" s="258" t="inlineStr">
        <is>
          <t>NA</t>
        </is>
      </c>
      <c r="AH800" s="1363" t="n"/>
      <c r="AI800" s="734" t="inlineStr">
        <is>
          <t>La donnée est obligatoire si le type de risque [P1 2.0] est égal à {TRE2 à TRE4XX hors (TRE203, TRE205, TRE206, TRE207), SIG*} ET si l'Usage du bien immobilier apporté en garantie [P1 3.46] est égal à '1' ET l'Indicateur d'exposition sur acquisition, développement et construction (ADC) [P1 21.39] est égal à 'Y'</t>
        </is>
      </c>
      <c r="AJ800" s="434" t="inlineStr">
        <is>
          <t>The data is mandatory if Risk type [P1 2.0] is equal to {TRE2 to TRE4XX except (TRE203, TRE205, TRE206, TRE207), SIG*} AND if the Use of real-estate brought into guarantee [P1 3.46] is equal to '1' AND the Acquisition, Development and Construction (ADC) Exposure Indicator [P1 21.39] is equal to 'Y'</t>
        </is>
      </c>
      <c r="AK800" s="588" t="n">
        <v>6</v>
      </c>
      <c r="AL800" s="455" t="inlineStr">
        <is>
          <t>TPS0939</t>
        </is>
      </c>
      <c r="AM800" s="712" t="inlineStr">
        <is>
          <t>Si elle est renseignée, la valeur doit être connue du Langage Commun associé</t>
        </is>
      </c>
      <c r="AN800" s="434" t="inlineStr">
        <is>
          <t>If specified, the value must be known to the associated Common Language</t>
        </is>
      </c>
      <c r="AO800" s="588" t="n">
        <v>7</v>
      </c>
      <c r="AP800" s="212" t="inlineStr">
        <is>
          <t>TIG0001</t>
        </is>
      </c>
      <c r="AQ800" s="712" t="n"/>
      <c r="AR800" s="434" t="n"/>
      <c r="AS800" s="588" t="n"/>
      <c r="AT800" s="713" t="n"/>
      <c r="AU800" s="712" t="n"/>
      <c r="AV800" s="434" t="n"/>
      <c r="AW800" s="588" t="n"/>
      <c r="AX800" s="713" t="n"/>
      <c r="AY800" s="712" t="n"/>
      <c r="AZ800" s="434" t="n"/>
      <c r="BA800" s="588" t="n"/>
      <c r="BB800" s="713" t="n"/>
      <c r="BC800" s="714" t="n"/>
      <c r="BD800" s="434" t="n"/>
      <c r="BE800" s="588" t="n"/>
      <c r="BF800" s="713" t="n"/>
      <c r="BG800" s="89" t="n"/>
      <c r="BH8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00">
        <f>_xlfn.LET(r,ROW(),oc,INDEX($A:$A,r),cv,TRIM(INDEX($Y:$Y,r)&amp;""),IF(oc&lt;&gt;"P1","",IF(cv="45","V45 - novo, nao alimentado pelo spool atual","V44 - alimentado pelo spool atual")))</f>
        <v/>
      </c>
    </row>
    <row r="801" ht="54" customFormat="1" customHeight="1" s="91">
      <c r="A801" s="306" t="inlineStr">
        <is>
          <t>P1</t>
        </is>
      </c>
      <c r="B801" s="307" t="n">
        <v>566</v>
      </c>
      <c r="C801" s="269" t="inlineStr">
        <is>
          <t>12 - Caractéristiques Prêts - Emprunts</t>
        </is>
      </c>
      <c r="D801" s="236" t="inlineStr">
        <is>
          <t>12 - Loans - Borrowings characteristics</t>
        </is>
      </c>
      <c r="E801" s="307" t="inlineStr">
        <is>
          <t>P1 21.42</t>
        </is>
      </c>
      <c r="F801" s="736" t="inlineStr">
        <is>
          <t>Indicateur d'apport en fonds propres substantiels</t>
        </is>
      </c>
      <c r="G801" s="309" t="inlineStr">
        <is>
          <t>Indicator of substancial equity contribution</t>
        </is>
      </c>
      <c r="H801" s="1493">
        <f>"RPAD( "&amp;SUBSTITUTE(SUBSTITUTE(E801," ","_"),".","_")&amp;","&amp;W801&amp;",' '); -- "&amp;E801</f>
        <v/>
      </c>
      <c r="I801" s="308" t="inlineStr">
        <is>
          <t>Indique si le débiteur a apporté une contribution substantielle au capital total du projet financé. L'apport de cette contribution en capital est d'un montant approprié par rapport à la valeur estimée du bien immobilier résidentiel finalisé.</t>
        </is>
      </c>
      <c r="J801" s="309" t="inlineStr">
        <is>
          <t>Indicates whether the debtor has made a substantial contribution to the total capital of the financed project. 
The contribution of this capital contribution is of an appropriate amount in relation to the estimated value of the finalized residential property.</t>
        </is>
      </c>
      <c r="K801" s="370" t="inlineStr">
        <is>
          <t>ND</t>
        </is>
      </c>
      <c r="L801" s="371" t="inlineStr">
        <is>
          <t>ND</t>
        </is>
      </c>
      <c r="M801" s="1420" t="inlineStr">
        <is>
          <t>indFondPropSubst</t>
        </is>
      </c>
      <c r="N801" s="257" t="inlineStr">
        <is>
          <t>Obligatoire sous conditions</t>
        </is>
      </c>
      <c r="O801" s="310" t="inlineStr">
        <is>
          <t>Mandatory under conditions</t>
        </is>
      </c>
      <c r="P801" s="269" t="inlineStr">
        <is>
          <t>LC.0486</t>
        </is>
      </c>
      <c r="Q801" s="269" t="inlineStr">
        <is>
          <t>TA Z8IAEFPS</t>
        </is>
      </c>
      <c r="R801" s="241" t="inlineStr">
        <is>
          <t>A renseigner s'il s'agit d'un prêt garanti par un bien immobilier.
Lorsque l'établissement a plusieurs expositions garanties par le même bien immobilier il faut les traiter comme une seule exposition combinée et les montants d'exposition bruts pour chacune des expositions sont additionnés pour calculer le montant d'exposition brut de l'exposition combinée.
La valeur du bien immobilier ne dépasse pas la valeur moyenne mesurée pour ce bien ou pour un bien comparable au cours des trois dernières années dans le cas d'un bien immobilier commercial, et au cours des six dernières années dans le cas d'un bien immobilier résidentiel. 
se référer à l'Article 126bis-2-b du réglement CRR3</t>
        </is>
      </c>
      <c r="S801" s="235" t="inlineStr">
        <is>
          <t>to be filled if it is the loan is secured by real estate.
Where the institution has more than one exposure guaranteed by the same real estate, it shall be treated as one combined exposure and the gross exposure amounts for each of the exposures shall be summed to calculate the gross exposure amount of the combined exposure.
The value of the property does not exceed the average value measured for that property or for a comparable property in the last three years in the case of commercial real estate and in the last six years in the case of residential real estate. 
refer to Article 126a-2-b of CRR3</t>
        </is>
      </c>
      <c r="T801" s="313" t="inlineStr">
        <is>
          <t>ALPHA</t>
        </is>
      </c>
      <c r="U801" s="237" t="inlineStr">
        <is>
          <t>NA</t>
        </is>
      </c>
      <c r="V801" s="238" t="inlineStr">
        <is>
          <t>NA</t>
        </is>
      </c>
      <c r="W801" s="257" t="n">
        <v>1</v>
      </c>
      <c r="X801" s="945" t="inlineStr">
        <is>
          <t>NA</t>
        </is>
      </c>
      <c r="Y801" s="237" t="n">
        <v>44</v>
      </c>
      <c r="Z801" s="237" t="inlineStr">
        <is>
          <t>NA</t>
        </is>
      </c>
      <c r="AA801" s="270" t="inlineStr">
        <is>
          <t>NA</t>
        </is>
      </c>
      <c r="AB801" s="1286" t="inlineStr">
        <is>
          <t>CALCULS PRUDENTIELS</t>
        </is>
      </c>
      <c r="AC801" s="231" t="inlineStr">
        <is>
          <t>ND</t>
        </is>
      </c>
      <c r="AD801" s="257" t="inlineStr">
        <is>
          <t>N</t>
        </is>
      </c>
      <c r="AE801" s="738" t="inlineStr">
        <is>
          <t>TRE2 à 4XX hors 203,205,206,207, SIG*</t>
        </is>
      </c>
      <c r="AF801" s="257" t="inlineStr">
        <is>
          <t>NA</t>
        </is>
      </c>
      <c r="AG801" s="258" t="inlineStr">
        <is>
          <t>NA</t>
        </is>
      </c>
      <c r="AH801" s="1363" t="n"/>
      <c r="AI801" s="734" t="inlineStr">
        <is>
          <t>La donnée est obligatoire si le type de risque [P1 2.0] est égal à {TRE2 à TRE4XX hors (TRE203, TRE205, TRE206, TRE207), SIG*} ET si l'Usage du bien immobilier apporté en garantie [P1 3.46] est égal à '1' ET l'Indicateur d'exposition sur acquisition, développement et construction (ADC) [P1 21.39] est égal à 'Y'</t>
        </is>
      </c>
      <c r="AJ801" s="434" t="inlineStr">
        <is>
          <t>The data is mandatory if Risk type [P1 2.0] is equal to {TRE2 to TRE4XX except (TRE203, TRE205, TRE206, TRE207), SIG*} AND if the Use of real-estate brought into guarantee [P1 3.46] is equal to '1' AND the Acquisition, Development and Construction (ADC) Exposure Indicator [P1 21.39] is equal to 'Y'</t>
        </is>
      </c>
      <c r="AK801" s="588" t="n">
        <v>6</v>
      </c>
      <c r="AL801" s="455" t="inlineStr">
        <is>
          <t>TPS0939</t>
        </is>
      </c>
      <c r="AM801" s="712" t="inlineStr">
        <is>
          <t>Si elle est renseignée, la valeur doit être connue du Langage Commun associé</t>
        </is>
      </c>
      <c r="AN801" s="434" t="inlineStr">
        <is>
          <t>If specified, the value must be known to the associated Common Language</t>
        </is>
      </c>
      <c r="AO801" s="588" t="n">
        <v>7</v>
      </c>
      <c r="AP801" s="212" t="inlineStr">
        <is>
          <t>TIG0001</t>
        </is>
      </c>
      <c r="AQ801" s="712" t="n"/>
      <c r="AR801" s="434" t="n"/>
      <c r="AS801" s="588" t="n"/>
      <c r="AT801" s="713" t="n"/>
      <c r="AU801" s="712" t="n"/>
      <c r="AV801" s="434" t="n"/>
      <c r="AW801" s="588" t="n"/>
      <c r="AX801" s="713" t="n"/>
      <c r="AY801" s="712" t="n"/>
      <c r="AZ801" s="434" t="n"/>
      <c r="BA801" s="588" t="n"/>
      <c r="BB801" s="713" t="n"/>
      <c r="BC801" s="714" t="n"/>
      <c r="BD801" s="434" t="n"/>
      <c r="BE801" s="588" t="n"/>
      <c r="BF801" s="713" t="n"/>
      <c r="BG801" s="89" t="n"/>
      <c r="BH8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01">
        <f>_xlfn.LET(r,ROW(),oc,INDEX($A:$A,r),cv,TRIM(INDEX($Y:$Y,r)&amp;""),IF(oc&lt;&gt;"P1","",IF(cv="45","V45 - novo, nao alimentado pelo spool atual","V44 - alimentado pelo spool atual")))</f>
        <v/>
      </c>
    </row>
    <row r="802" ht="54" customFormat="1" customHeight="1" s="91">
      <c r="A802" s="306" t="inlineStr">
        <is>
          <t>P1</t>
        </is>
      </c>
      <c r="B802" s="307" t="n">
        <v>567</v>
      </c>
      <c r="C802" s="269" t="inlineStr">
        <is>
          <t>29 - Ratio</t>
        </is>
      </c>
      <c r="D802" s="236" t="inlineStr">
        <is>
          <t>29 - Ratio</t>
        </is>
      </c>
      <c r="E802" s="307" t="inlineStr">
        <is>
          <t>P1 21.43</t>
        </is>
      </c>
      <c r="F802" s="308" t="inlineStr">
        <is>
          <t xml:space="preserve">Ratio prudentiel d'Exposition/valeur (ETV) </t>
        </is>
      </c>
      <c r="G802" s="309" t="inlineStr">
        <is>
          <t>Prudential ratio Exposure To Value (ETV)</t>
        </is>
      </c>
      <c r="H802" s="1493">
        <f>"RPAD( "&amp;SUBSTITUTE(SUBSTITUTE(E802," ","_"),".","_")&amp;","&amp;W802&amp;",' '); -- "&amp;E802</f>
        <v/>
      </c>
      <c r="I802" s="678" t="inlineStr">
        <is>
          <t>Ce ratio représente la part du montant de l'exposition à date par rapport à la valeur prudente du bien financé
Exprimée en pourcentage</t>
        </is>
      </c>
      <c r="J802" s="309" t="inlineStr">
        <is>
          <t>Dividing the Exposure Amount revalorised by the prudent Value of the Financed Property
Expressed in percentage</t>
        </is>
      </c>
      <c r="K802" s="370" t="inlineStr">
        <is>
          <t>ND</t>
        </is>
      </c>
      <c r="L802" s="371" t="inlineStr">
        <is>
          <t>ND</t>
        </is>
      </c>
      <c r="M802" s="1420" t="inlineStr">
        <is>
          <t>ratioPrudETV</t>
        </is>
      </c>
      <c r="N802" s="257" t="inlineStr">
        <is>
          <t>Obligatoire sous conditions</t>
        </is>
      </c>
      <c r="O802" s="310" t="inlineStr">
        <is>
          <t>Mandatory under conditions</t>
        </is>
      </c>
      <c r="P802" s="269" t="inlineStr">
        <is>
          <t>NA</t>
        </is>
      </c>
      <c r="Q802" s="269" t="inlineStr">
        <is>
          <t>NA</t>
        </is>
      </c>
      <c r="R802" s="241" t="inlineStr">
        <is>
          <t>A renseigner s'il s'agit d'un prêt garanti par un bien immobilier.
Se référer à l'Article 124-5-a du réglement CRR3</t>
        </is>
      </c>
      <c r="S802" s="235" t="inlineStr">
        <is>
          <t>To be filled if it is the loan is secured by real estate.
Refer to Article 124-5-a of CRR3</t>
        </is>
      </c>
      <c r="T802" s="313" t="inlineStr">
        <is>
          <t>NUM</t>
        </is>
      </c>
      <c r="U802" s="237" t="inlineStr">
        <is>
          <t>15 dont signe et 9 décimales</t>
        </is>
      </c>
      <c r="V802" s="238" t="inlineStr">
        <is>
          <t>15 including sign and 9 decimals</t>
        </is>
      </c>
      <c r="W802" s="257" t="n">
        <v>15</v>
      </c>
      <c r="X802" s="945" t="inlineStr">
        <is>
          <t>NA</t>
        </is>
      </c>
      <c r="Y802" s="237" t="n">
        <v>44</v>
      </c>
      <c r="Z802" s="237" t="inlineStr">
        <is>
          <t>NA</t>
        </is>
      </c>
      <c r="AA802" s="270" t="inlineStr">
        <is>
          <t>NA</t>
        </is>
      </c>
      <c r="AB802" s="1286" t="inlineStr">
        <is>
          <t>CALCULS PRUDENTIELS</t>
        </is>
      </c>
      <c r="AC802" s="231" t="inlineStr">
        <is>
          <t>ND</t>
        </is>
      </c>
      <c r="AD802" s="257" t="inlineStr">
        <is>
          <t>N</t>
        </is>
      </c>
      <c r="AE802" s="732" t="inlineStr">
        <is>
          <t>TRE2 à 5XX hors 203,205,206,207, SIG*</t>
        </is>
      </c>
      <c r="AF802" s="257" t="inlineStr">
        <is>
          <t>NA</t>
        </is>
      </c>
      <c r="AG802" s="258" t="inlineStr">
        <is>
          <t>NA</t>
        </is>
      </c>
      <c r="AH802" s="1363" t="n"/>
      <c r="AI802" s="733" t="inlineStr">
        <is>
          <t>La donnée est obligatoire si le type de risque [P1 2.0] est égal à {TRE2 à TRE5XX hors (TRE203, TRE205, TRE206, TRE207), SIG*} ET si l'Usage du bien immobilier apporté en garantie [P1 3.46] est égal à '1' ou '2' ET si l'Indicateur d'exposition sur acquisition, développement et construction (ADC) [P1 21.39] = 'N' ou vide</t>
        </is>
      </c>
      <c r="AJ802" s="434" t="inlineStr">
        <is>
          <t>The data is mandatory if Risk type [P1 2.0] is equal to {TRE2 to TRE5XX except (TRE203, TRE205, TRE206, TRE207), SIG*} AND if the Use of real-estate brought into guarantee [P1 3.46] is equal to '1' or '2' AND the Acquisition, Development and Construction (ADC) Exposure Indicator [P1 21.39] = 'N' or empty</t>
        </is>
      </c>
      <c r="AK802" s="588" t="n">
        <v>6</v>
      </c>
      <c r="AL802" s="455" t="inlineStr">
        <is>
          <t>TPS0938</t>
        </is>
      </c>
      <c r="AM802" s="712" t="n"/>
      <c r="AN802" s="434" t="n"/>
      <c r="AO802" s="588" t="n"/>
      <c r="AP802" s="713" t="n"/>
      <c r="AQ802" s="712" t="n"/>
      <c r="AR802" s="434" t="n"/>
      <c r="AS802" s="588" t="n"/>
      <c r="AT802" s="713" t="n"/>
      <c r="AU802" s="712" t="n"/>
      <c r="AV802" s="434" t="n"/>
      <c r="AW802" s="588" t="n"/>
      <c r="AX802" s="713" t="n"/>
      <c r="AY802" s="712" t="n"/>
      <c r="AZ802" s="434" t="n"/>
      <c r="BA802" s="588" t="n"/>
      <c r="BB802" s="713" t="n"/>
      <c r="BC802" s="714" t="n"/>
      <c r="BD802" s="434" t="n"/>
      <c r="BE802" s="588" t="n"/>
      <c r="BF802" s="713" t="n"/>
      <c r="BG802" s="89" t="n"/>
      <c r="BH8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02">
        <f>_xlfn.LET(r,ROW(),oc,INDEX($A:$A,r),cv,TRIM(INDEX($Y:$Y,r)&amp;""),IF(oc&lt;&gt;"P1","",IF(cv="45","V45 - novo, nao alimentado pelo spool atual","V44 - alimentado pelo spool atual")))</f>
        <v/>
      </c>
    </row>
    <row r="803" ht="54" customFormat="1" customHeight="1" s="91">
      <c r="A803" s="306" t="inlineStr">
        <is>
          <t>P1</t>
        </is>
      </c>
      <c r="B803" s="307" t="n">
        <v>568</v>
      </c>
      <c r="C803" s="269" t="inlineStr">
        <is>
          <t>17 - Caractéristiques Titres</t>
        </is>
      </c>
      <c r="D803" s="236" t="inlineStr">
        <is>
          <t>17 - Securities characteristics</t>
        </is>
      </c>
      <c r="E803" s="307" t="inlineStr">
        <is>
          <t>P1 21.56</t>
        </is>
      </c>
      <c r="F803" s="664" t="inlineStr">
        <is>
          <t xml:space="preserve">Indicateur Intention de revente à court terme </t>
        </is>
      </c>
      <c r="G803" s="309" t="inlineStr">
        <is>
          <t>Short-term resale intention indicator</t>
        </is>
      </c>
      <c r="H803" s="1493">
        <f>"RPAD( "&amp;SUBSTITUTE(SUBSTITUTE(E803," ","_"),".","_")&amp;","&amp;W803&amp;",' '); -- "&amp;E803</f>
        <v/>
      </c>
      <c r="I803" s="739" t="inlineStr">
        <is>
          <t>indique que l'investissement est à des fins de revente à court terme - valable uniquement pour les actions non cotées.
Se référer à l'Article 133-4-a du réglement CRR3</t>
        </is>
      </c>
      <c r="J803" s="309" t="inlineStr">
        <is>
          <t>indicates that the investment is for short-term resale purposes - only for unlisted share.
More details in Article 133-4-a of CRR3 regulation</t>
        </is>
      </c>
      <c r="K803" s="370" t="inlineStr">
        <is>
          <t>ND</t>
        </is>
      </c>
      <c r="L803" s="371" t="inlineStr">
        <is>
          <t>ND</t>
        </is>
      </c>
      <c r="M803" s="1420" t="inlineStr">
        <is>
          <t>indReventeCT</t>
        </is>
      </c>
      <c r="N803" s="257" t="inlineStr">
        <is>
          <t>Obligatoire sous conditions</t>
        </is>
      </c>
      <c r="O803" s="310" t="inlineStr">
        <is>
          <t>Mandatory under conditions</t>
        </is>
      </c>
      <c r="P803" s="269" t="inlineStr">
        <is>
          <t>LC.0504</t>
        </is>
      </c>
      <c r="Q803" s="269" t="inlineStr">
        <is>
          <t>TA Z8INTRCT</t>
        </is>
      </c>
      <c r="R803" s="241" t="inlineStr">
        <is>
          <t>NA</t>
        </is>
      </c>
      <c r="S803" s="233" t="inlineStr">
        <is>
          <t>NA</t>
        </is>
      </c>
      <c r="T803" s="313" t="inlineStr">
        <is>
          <t>ALPHA</t>
        </is>
      </c>
      <c r="U803" s="237" t="inlineStr">
        <is>
          <t>NA</t>
        </is>
      </c>
      <c r="V803" s="238" t="inlineStr">
        <is>
          <t>NA</t>
        </is>
      </c>
      <c r="W803" s="257" t="n">
        <v>1</v>
      </c>
      <c r="X803" s="945" t="inlineStr">
        <is>
          <t>NA</t>
        </is>
      </c>
      <c r="Y803" s="237" t="n">
        <v>44</v>
      </c>
      <c r="Z803" s="237" t="inlineStr">
        <is>
          <t>NA</t>
        </is>
      </c>
      <c r="AA803" s="270" t="inlineStr">
        <is>
          <t>NA</t>
        </is>
      </c>
      <c r="AB803" s="1286" t="inlineStr">
        <is>
          <t>CALCULS PRUDENTIELS</t>
        </is>
      </c>
      <c r="AC803" s="231" t="inlineStr">
        <is>
          <t>ND</t>
        </is>
      </c>
      <c r="AD803" s="257" t="inlineStr">
        <is>
          <t>N</t>
        </is>
      </c>
      <c r="AE803" s="257" t="inlineStr">
        <is>
          <t>EQU*, ISS200, TRE405, TRE406</t>
        </is>
      </c>
      <c r="AF803" s="257" t="inlineStr">
        <is>
          <t>NA</t>
        </is>
      </c>
      <c r="AG803" s="258" t="inlineStr">
        <is>
          <t>NA</t>
        </is>
      </c>
      <c r="AH803" s="89" t="n"/>
      <c r="AI803" s="740" t="inlineStr">
        <is>
          <t>La donnée est obligatoire si le type de risque [P1 2.0] est égal à EQU* ou ISS200 ou TRE405 ou TRE406 ET si le Portefeuille Bâle Opération [P1 2.18] est égal à '080' ou '085'</t>
        </is>
      </c>
      <c r="AJ803" s="434" t="inlineStr">
        <is>
          <t>The data is mandatory if Risk type [P1 2.0] is equal to EQU* or ISS200 or TRE405 or TRE406 AND if the Basel Transaction Portfolio [P1 2.18] is equal to '080' or '085'</t>
        </is>
      </c>
      <c r="AK803" s="588" t="n">
        <v>6</v>
      </c>
      <c r="AL803" s="366" t="inlineStr">
        <is>
          <t>TPS0940</t>
        </is>
      </c>
      <c r="AM803" s="712" t="inlineStr">
        <is>
          <t>Si elle est renseignée, la valeur doit être connue du Langage Commun associé</t>
        </is>
      </c>
      <c r="AN803" s="434" t="inlineStr">
        <is>
          <t>If specified, the value must be known to the associated Common Language</t>
        </is>
      </c>
      <c r="AO803" s="588" t="n">
        <v>7</v>
      </c>
      <c r="AP803" s="212" t="inlineStr">
        <is>
          <t>TIG0001</t>
        </is>
      </c>
      <c r="AQ803" s="712" t="n"/>
      <c r="AR803" s="434" t="n"/>
      <c r="AS803" s="588" t="n"/>
      <c r="AT803" s="713" t="n"/>
      <c r="AU803" s="712" t="n"/>
      <c r="AV803" s="434" t="n"/>
      <c r="AW803" s="588" t="n"/>
      <c r="AX803" s="713" t="n"/>
      <c r="AY803" s="712" t="n"/>
      <c r="AZ803" s="434" t="n"/>
      <c r="BA803" s="588" t="n"/>
      <c r="BB803" s="713" t="n"/>
      <c r="BC803" s="714" t="n"/>
      <c r="BD803" s="434" t="n"/>
      <c r="BE803" s="588" t="n"/>
      <c r="BF803" s="713" t="n"/>
      <c r="BG803" s="89" t="n"/>
      <c r="BH8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03">
        <f>_xlfn.LET(r,ROW(),oc,INDEX($A:$A,r),cv,TRIM(INDEX($Y:$Y,r)&amp;""),IF(oc&lt;&gt;"P1","",IF(cv="45","V45 - novo, nao alimentado pelo spool atual","V44 - alimentado pelo spool atual")))</f>
        <v/>
      </c>
    </row>
    <row r="804" ht="54" customFormat="1" customHeight="1" s="91">
      <c r="A804" s="306" t="inlineStr">
        <is>
          <t>P1</t>
        </is>
      </c>
      <c r="B804" s="307" t="n">
        <v>569</v>
      </c>
      <c r="C804" s="269" t="inlineStr">
        <is>
          <t>17 - Caractéristiques Titres</t>
        </is>
      </c>
      <c r="D804" s="236" t="inlineStr">
        <is>
          <t>17 - Securities characteristics</t>
        </is>
      </c>
      <c r="E804" s="307" t="inlineStr">
        <is>
          <t>P1 21.57</t>
        </is>
      </c>
      <c r="F804" s="308" t="inlineStr">
        <is>
          <t xml:space="preserve">Indicateur d'investissement en Capital Risque </t>
        </is>
      </c>
      <c r="G804" s="309" t="inlineStr">
        <is>
          <t xml:space="preserve">Venture Capital investment Indicator </t>
        </is>
      </c>
      <c r="H804" s="1493">
        <f>"RPAD( "&amp;SUBSTITUTE(SUBSTITUTE(E804," ","_"),".","_")&amp;","&amp;W804&amp;",' '); -- "&amp;E804</f>
        <v/>
      </c>
      <c r="I804" s="737" t="inlineStr">
        <is>
          <t xml:space="preserve">Indique que c'est un investissement dans des entreprises de capital-risque ou investissement similaire qui est acquis en vue de réaliser d'importantes plus-values à court terme - valable uniquement pour les actions non cotées
</t>
        </is>
      </c>
      <c r="J804" s="309" t="inlineStr">
        <is>
          <t>Indicates that it is an investment in venture capital firms or similar investment which is acquired with a view to making significant short-term capital gains - only for unlisted share</t>
        </is>
      </c>
      <c r="K804" s="370" t="inlineStr">
        <is>
          <t>ND</t>
        </is>
      </c>
      <c r="L804" s="371" t="inlineStr">
        <is>
          <t>ND</t>
        </is>
      </c>
      <c r="M804" s="1420" t="inlineStr">
        <is>
          <t>indInvestCapRisq</t>
        </is>
      </c>
      <c r="N804" s="257" t="inlineStr">
        <is>
          <t>Obligatoire sous conditions</t>
        </is>
      </c>
      <c r="O804" s="310" t="inlineStr">
        <is>
          <t>Mandatory under conditions</t>
        </is>
      </c>
      <c r="P804" s="269" t="inlineStr">
        <is>
          <t>LC.0500</t>
        </is>
      </c>
      <c r="Q804" s="269" t="inlineStr">
        <is>
          <t>TA Z8INCRIS</t>
        </is>
      </c>
      <c r="R804" s="241" t="inlineStr">
        <is>
          <t>Se référer à l'Article 133-4-b du réglement CRR3</t>
        </is>
      </c>
      <c r="S804" s="233" t="inlineStr">
        <is>
          <t>Refer to article 133-4-b of regulation CRR3</t>
        </is>
      </c>
      <c r="T804" s="313" t="inlineStr">
        <is>
          <t>ALPHA</t>
        </is>
      </c>
      <c r="U804" s="237" t="inlineStr">
        <is>
          <t>NA</t>
        </is>
      </c>
      <c r="V804" s="238" t="inlineStr">
        <is>
          <t>NA</t>
        </is>
      </c>
      <c r="W804" s="257" t="n">
        <v>1</v>
      </c>
      <c r="X804" s="945" t="inlineStr">
        <is>
          <t>NA</t>
        </is>
      </c>
      <c r="Y804" s="237" t="n">
        <v>44</v>
      </c>
      <c r="Z804" s="237" t="inlineStr">
        <is>
          <t>NA</t>
        </is>
      </c>
      <c r="AA804" s="270" t="inlineStr">
        <is>
          <t>NA</t>
        </is>
      </c>
      <c r="AB804" s="1286" t="inlineStr">
        <is>
          <t>CALCULS PRUDENTIELS</t>
        </is>
      </c>
      <c r="AC804" s="231" t="inlineStr">
        <is>
          <t>ND</t>
        </is>
      </c>
      <c r="AD804" s="257" t="inlineStr">
        <is>
          <t>N</t>
        </is>
      </c>
      <c r="AE804" s="257" t="inlineStr">
        <is>
          <t>EQU*, ISS200, TRE405, TRE406</t>
        </is>
      </c>
      <c r="AF804" s="257" t="inlineStr">
        <is>
          <t>NA</t>
        </is>
      </c>
      <c r="AG804" s="258" t="inlineStr">
        <is>
          <t>NA</t>
        </is>
      </c>
      <c r="AH804" s="89" t="n"/>
      <c r="AI804" s="740" t="inlineStr">
        <is>
          <t>La donnée est obligatoire si le type de risque [P1 2.0] est égal à EQU* ou ISS200 ou TRE405 ou TRE406 ET si le Portefeuille Bâle Opération [P1 2.18] est égal à '080' ou '085'</t>
        </is>
      </c>
      <c r="AJ804" s="434" t="inlineStr">
        <is>
          <t>The data is mandatory if Risk type [P1 2.0] is equal to EQU* or ISS200 or TRE405 or TRE406 AND if the Basel Transaction Portfolio [P1 2.18] is equal to '080' or '085'</t>
        </is>
      </c>
      <c r="AK804" s="588" t="n">
        <v>6</v>
      </c>
      <c r="AL804" s="366" t="inlineStr">
        <is>
          <t>TPS0940</t>
        </is>
      </c>
      <c r="AM804" s="712" t="inlineStr">
        <is>
          <t>Si elle est renseignée, la valeur doit être connue du Langage Commun associé</t>
        </is>
      </c>
      <c r="AN804" s="434" t="inlineStr">
        <is>
          <t>If specified, the value must be known to the associated Common Language</t>
        </is>
      </c>
      <c r="AO804" s="588" t="n">
        <v>7</v>
      </c>
      <c r="AP804" s="212" t="inlineStr">
        <is>
          <t>TIG0001</t>
        </is>
      </c>
      <c r="AQ804" s="712" t="n"/>
      <c r="AR804" s="434" t="n"/>
      <c r="AS804" s="588" t="n"/>
      <c r="AT804" s="713" t="n"/>
      <c r="AU804" s="712" t="n"/>
      <c r="AV804" s="434" t="n"/>
      <c r="AW804" s="588" t="n"/>
      <c r="AX804" s="713" t="n"/>
      <c r="AY804" s="712" t="n"/>
      <c r="AZ804" s="434" t="n"/>
      <c r="BA804" s="588" t="n"/>
      <c r="BB804" s="713" t="n"/>
      <c r="BC804" s="714" t="n"/>
      <c r="BD804" s="434" t="n"/>
      <c r="BE804" s="588" t="n"/>
      <c r="BF804" s="713" t="n"/>
      <c r="BG804" s="89" t="n"/>
      <c r="BH8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04">
        <f>_xlfn.LET(r,ROW(),oc,INDEX($A:$A,r),cv,TRIM(INDEX($Y:$Y,r)&amp;""),IF(oc&lt;&gt;"P1","",IF(cv="45","V45 - novo, nao alimentado pelo spool atual","V44 - alimentado pelo spool atual")))</f>
        <v/>
      </c>
    </row>
    <row r="805" ht="54" customFormat="1" customHeight="1" s="91">
      <c r="A805" s="306" t="inlineStr">
        <is>
          <t>P1</t>
        </is>
      </c>
      <c r="B805" s="307" t="n">
        <v>570</v>
      </c>
      <c r="C805" s="269" t="inlineStr">
        <is>
          <t>17 - Caractéristiques Titres</t>
        </is>
      </c>
      <c r="D805" s="236" t="inlineStr">
        <is>
          <t>17 - Securities characteristics</t>
        </is>
      </c>
      <c r="E805" s="307" t="inlineStr">
        <is>
          <t>P1 21.58</t>
        </is>
      </c>
      <c r="F805" s="308" t="inlineStr">
        <is>
          <t xml:space="preserve">Indicateur d'investissement dans un programme législatif </t>
        </is>
      </c>
      <c r="G805" s="309" t="inlineStr">
        <is>
          <t>Legislative program investment indicator</t>
        </is>
      </c>
      <c r="H805" s="1493">
        <f>"RPAD( "&amp;SUBSTITUTE(SUBSTITUTE(E805," ","_"),".","_")&amp;","&amp;W805&amp;",' '); -- "&amp;E805</f>
        <v/>
      </c>
      <c r="I805" s="611" t="inlineStr">
        <is>
          <t>Indique s'il s'agit d'un investissement dans un programme législatif</t>
        </is>
      </c>
      <c r="J805" s="309" t="inlineStr">
        <is>
          <t>Indicates whether this is an investment in a legislative program</t>
        </is>
      </c>
      <c r="K805" s="370" t="inlineStr">
        <is>
          <t>ND</t>
        </is>
      </c>
      <c r="L805" s="371" t="inlineStr">
        <is>
          <t>ND</t>
        </is>
      </c>
      <c r="M805" s="1420" t="inlineStr">
        <is>
          <t>indInvestProgLeg</t>
        </is>
      </c>
      <c r="N805" s="257" t="inlineStr">
        <is>
          <t>Obligatoire sous conditions</t>
        </is>
      </c>
      <c r="O805" s="310" t="inlineStr">
        <is>
          <t>Mandatory under conditions</t>
        </is>
      </c>
      <c r="P805" s="269" t="inlineStr">
        <is>
          <t>LC.0505</t>
        </is>
      </c>
      <c r="Q805" s="269" t="inlineStr">
        <is>
          <t>TA Z8IPRLEG</t>
        </is>
      </c>
      <c r="R805" s="241" t="inlineStr">
        <is>
          <t>Se référer à l'Article 133-5 du réglement CRR3</t>
        </is>
      </c>
      <c r="S805" s="233" t="inlineStr">
        <is>
          <t>Refer to article 133-5 of regulation CRR3</t>
        </is>
      </c>
      <c r="T805" s="313" t="inlineStr">
        <is>
          <t>ALPHA</t>
        </is>
      </c>
      <c r="U805" s="237" t="inlineStr">
        <is>
          <t>NA</t>
        </is>
      </c>
      <c r="V805" s="238" t="inlineStr">
        <is>
          <t>NA</t>
        </is>
      </c>
      <c r="W805" s="257" t="n">
        <v>1</v>
      </c>
      <c r="X805" s="945" t="inlineStr">
        <is>
          <t>NA</t>
        </is>
      </c>
      <c r="Y805" s="237" t="n">
        <v>44</v>
      </c>
      <c r="Z805" s="237" t="inlineStr">
        <is>
          <t>NA</t>
        </is>
      </c>
      <c r="AA805" s="270" t="inlineStr">
        <is>
          <t>NA</t>
        </is>
      </c>
      <c r="AB805" s="1286" t="inlineStr">
        <is>
          <t>CALCULS PRUDENTIELS</t>
        </is>
      </c>
      <c r="AC805" s="231" t="inlineStr">
        <is>
          <t>ND</t>
        </is>
      </c>
      <c r="AD805" s="257" t="inlineStr">
        <is>
          <t>N</t>
        </is>
      </c>
      <c r="AE805" s="257" t="inlineStr">
        <is>
          <t>EQU*, ISS200, TRE405, TRE406</t>
        </is>
      </c>
      <c r="AF805" s="257" t="inlineStr">
        <is>
          <t>NA</t>
        </is>
      </c>
      <c r="AG805" s="258" t="inlineStr">
        <is>
          <t>NA</t>
        </is>
      </c>
      <c r="AH805" s="89" t="n"/>
      <c r="AI805" s="740" t="inlineStr">
        <is>
          <t>La donnée est obligatoire si le type de risque [P1 2.0] est égal à EQU* ou ISS200 ou TRE405 ou TRE406 ET si le Portefeuille Bâle Opération [P1 2.18] est égal à '080' ou '085'</t>
        </is>
      </c>
      <c r="AJ805" s="434" t="inlineStr">
        <is>
          <t>The data is mandatory if Risk type [P1 2.0] is equal to EQU* or ISS200 or TRE405 or TRE406 AND if the Basel Transaction Portfolio [P1 2.18] is equal to '080' or '085'</t>
        </is>
      </c>
      <c r="AK805" s="588" t="n">
        <v>6</v>
      </c>
      <c r="AL805" s="366" t="inlineStr">
        <is>
          <t>TPS0940</t>
        </is>
      </c>
      <c r="AM805" s="712" t="inlineStr">
        <is>
          <t>Si elle est renseignée, la valeur doit être connue du Langage Commun associé</t>
        </is>
      </c>
      <c r="AN805" s="434" t="inlineStr">
        <is>
          <t>If specified, the value must be known to the associated Common Language</t>
        </is>
      </c>
      <c r="AO805" s="588" t="n">
        <v>7</v>
      </c>
      <c r="AP805" s="212" t="inlineStr">
        <is>
          <t>TIG0001</t>
        </is>
      </c>
      <c r="AQ805" s="712" t="n"/>
      <c r="AR805" s="434" t="n"/>
      <c r="AS805" s="588" t="n"/>
      <c r="AT805" s="713" t="n"/>
      <c r="AU805" s="712" t="n"/>
      <c r="AV805" s="434" t="n"/>
      <c r="AW805" s="588" t="n"/>
      <c r="AX805" s="713" t="n"/>
      <c r="AY805" s="712" t="n"/>
      <c r="AZ805" s="434" t="n"/>
      <c r="BA805" s="588" t="n"/>
      <c r="BB805" s="713" t="n"/>
      <c r="BC805" s="714" t="n"/>
      <c r="BD805" s="434" t="n"/>
      <c r="BE805" s="588" t="n"/>
      <c r="BF805" s="713" t="n"/>
      <c r="BG805" s="89" t="n"/>
      <c r="BH8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05">
        <f>_xlfn.LET(r,ROW(),oc,INDEX($A:$A,r),cv,TRIM(INDEX($Y:$Y,r)&amp;""),IF(oc&lt;&gt;"P1","",IF(cv="45","V45 - novo, nao alimentado pelo spool atual","V44 - alimentado pelo spool atual")))</f>
        <v/>
      </c>
    </row>
    <row r="806" ht="54" customFormat="1" customHeight="1" s="91">
      <c r="A806" s="306" t="inlineStr">
        <is>
          <t>P1</t>
        </is>
      </c>
      <c r="B806" s="307" t="n">
        <v>571</v>
      </c>
      <c r="C806" s="269" t="inlineStr">
        <is>
          <t>17 - Caractéristiques Titres</t>
        </is>
      </c>
      <c r="D806" s="236" t="inlineStr">
        <is>
          <t>17 - Securities characteristics</t>
        </is>
      </c>
      <c r="E806" s="307" t="inlineStr">
        <is>
          <t>P1 21.59</t>
        </is>
      </c>
      <c r="F806" s="618" t="inlineStr">
        <is>
          <t>Indicateur de participation stratégique depuis plus de 6 ans</t>
        </is>
      </c>
      <c r="G806" s="309" t="inlineStr">
        <is>
          <t>Strategic participation for more than 6 years indicator</t>
        </is>
      </c>
      <c r="H806" s="1493">
        <f>"RPAD( "&amp;SUBSTITUTE(SUBSTITUTE(E806," ","_"),".","_")&amp;","&amp;W806&amp;",' '); -- "&amp;E806</f>
        <v/>
      </c>
      <c r="I806" s="308" t="inlineStr">
        <is>
          <t>Indique si la participation date depuis plus de 6 ans avec l'application de l'article 495bis -3</t>
        </is>
      </c>
      <c r="J806" s="309" t="inlineStr">
        <is>
          <t>Indicates if the participation dates back more than 6 years with applying article 495bis-3</t>
        </is>
      </c>
      <c r="K806" s="370" t="inlineStr">
        <is>
          <t>ND</t>
        </is>
      </c>
      <c r="L806" s="371" t="inlineStr">
        <is>
          <t>ND</t>
        </is>
      </c>
      <c r="M806" s="1420" t="inlineStr">
        <is>
          <t>IndParticipPlus6</t>
        </is>
      </c>
      <c r="N806" s="257" t="inlineStr">
        <is>
          <t>Obligatoire sous conditions</t>
        </is>
      </c>
      <c r="O806" s="310" t="inlineStr">
        <is>
          <t>Mandatory under conditions</t>
        </is>
      </c>
      <c r="P806" s="269" t="inlineStr">
        <is>
          <t>LC.0506</t>
        </is>
      </c>
      <c r="Q806" s="269" t="inlineStr">
        <is>
          <t>TA Z8IPARS6</t>
        </is>
      </c>
      <c r="R806" s="241" t="inlineStr">
        <is>
          <t>NA</t>
        </is>
      </c>
      <c r="S806" s="233" t="inlineStr">
        <is>
          <t>NA</t>
        </is>
      </c>
      <c r="T806" s="313" t="inlineStr">
        <is>
          <t>ALPHA</t>
        </is>
      </c>
      <c r="U806" s="237" t="inlineStr">
        <is>
          <t>NA</t>
        </is>
      </c>
      <c r="V806" s="238" t="inlineStr">
        <is>
          <t>NA</t>
        </is>
      </c>
      <c r="W806" s="257" t="n">
        <v>1</v>
      </c>
      <c r="X806" s="945" t="inlineStr">
        <is>
          <t>NA</t>
        </is>
      </c>
      <c r="Y806" s="237" t="n">
        <v>44</v>
      </c>
      <c r="Z806" s="237" t="inlineStr">
        <is>
          <t>NA</t>
        </is>
      </c>
      <c r="AA806" s="270" t="inlineStr">
        <is>
          <t>NA</t>
        </is>
      </c>
      <c r="AB806" s="1286" t="inlineStr">
        <is>
          <t>CALCULS PRUDENTIELS</t>
        </is>
      </c>
      <c r="AC806" s="231" t="inlineStr">
        <is>
          <t>ND</t>
        </is>
      </c>
      <c r="AD806" s="257" t="inlineStr">
        <is>
          <t>N</t>
        </is>
      </c>
      <c r="AE806" s="257" t="inlineStr">
        <is>
          <t>EQU*, ISS200, TRE405, TRE406</t>
        </is>
      </c>
      <c r="AF806" s="257" t="inlineStr">
        <is>
          <t>NA</t>
        </is>
      </c>
      <c r="AG806" s="258" t="inlineStr">
        <is>
          <t>NA</t>
        </is>
      </c>
      <c r="AH806" s="89" t="n"/>
      <c r="AI806" s="740" t="inlineStr">
        <is>
          <t>La donnée est obligatoire si le type de risque [P1 2.0] est égal à EQU* ou ISS200 ou TRE405 ou TRE406 ET si le Portefeuille Bâle Opération [P1 2.18] est égal à '080' ou '085'</t>
        </is>
      </c>
      <c r="AJ806" s="434" t="inlineStr">
        <is>
          <t>The data is mandatory if Risk type [P1 2.0] is equal to EQU* or ISS200 or TRE405 or TRE406 AND if the Basel Transaction Portfolio [P1 2.18] is equal to '080' or '085'</t>
        </is>
      </c>
      <c r="AK806" s="588" t="n">
        <v>6</v>
      </c>
      <c r="AL806" s="366" t="inlineStr">
        <is>
          <t>TPS0940</t>
        </is>
      </c>
      <c r="AM806" s="712" t="inlineStr">
        <is>
          <t>Si elle est renseignée, la valeur doit être connue du Langage Commun associé</t>
        </is>
      </c>
      <c r="AN806" s="434" t="inlineStr">
        <is>
          <t>If specified, the value must be known to the associated Common Language</t>
        </is>
      </c>
      <c r="AO806" s="588" t="n">
        <v>7</v>
      </c>
      <c r="AP806" s="212" t="inlineStr">
        <is>
          <t>TIG0001</t>
        </is>
      </c>
      <c r="AQ806" s="712" t="n"/>
      <c r="AR806" s="434" t="n"/>
      <c r="AS806" s="588" t="n"/>
      <c r="AT806" s="713" t="n"/>
      <c r="AU806" s="712" t="n"/>
      <c r="AV806" s="434" t="n"/>
      <c r="AW806" s="588" t="n"/>
      <c r="AX806" s="713" t="n"/>
      <c r="AY806" s="712" t="n"/>
      <c r="AZ806" s="434" t="n"/>
      <c r="BA806" s="588" t="n"/>
      <c r="BB806" s="713" t="n"/>
      <c r="BC806" s="714" t="n"/>
      <c r="BD806" s="434" t="n"/>
      <c r="BE806" s="588" t="n"/>
      <c r="BF806" s="713" t="n"/>
      <c r="BG806" s="89" t="n"/>
      <c r="BH8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06">
        <f>_xlfn.LET(r,ROW(),oc,INDEX($A:$A,r),cv,TRIM(INDEX($Y:$Y,r)&amp;""),IF(oc&lt;&gt;"P1","",IF(cv="45","V45 - novo, nao alimentado pelo spool atual","V44 - alimentado pelo spool atual")))</f>
        <v/>
      </c>
    </row>
    <row r="807" ht="54" customFormat="1" customHeight="1" s="91">
      <c r="A807" s="306" t="inlineStr">
        <is>
          <t>P1</t>
        </is>
      </c>
      <c r="B807" s="307" t="n">
        <v>572</v>
      </c>
      <c r="C807" s="269" t="inlineStr">
        <is>
          <t>17 - Caractéristiques Titres</t>
        </is>
      </c>
      <c r="D807" s="236" t="inlineStr">
        <is>
          <t>17 - Securities characteristics</t>
        </is>
      </c>
      <c r="E807" s="307" t="inlineStr">
        <is>
          <t>P1 21.60</t>
        </is>
      </c>
      <c r="F807" s="308" t="inlineStr">
        <is>
          <t>Taux historique de pondération de la participation</t>
        </is>
      </c>
      <c r="G807" s="309" t="inlineStr">
        <is>
          <t>Historical participation weighting rate</t>
        </is>
      </c>
      <c r="H807" s="1493">
        <f>"RPAD( "&amp;SUBSTITUTE(SUBSTITUTE(E807," ","_"),".","_")&amp;","&amp;W807&amp;",' '); -- "&amp;E807</f>
        <v/>
      </c>
      <c r="I807" s="1248" t="inlineStr">
        <is>
          <t xml:space="preserve">Taux historique de pondération appliqué à la participation pour le calcul du RWA.
Exprimé en %
</t>
        </is>
      </c>
      <c r="J807" s="309" t="inlineStr">
        <is>
          <t>Historical weighting rate applied to the participation for the calculation of the RWA.
Expressed as %</t>
        </is>
      </c>
      <c r="K807" s="370" t="inlineStr">
        <is>
          <t>ND</t>
        </is>
      </c>
      <c r="L807" s="371" t="inlineStr">
        <is>
          <t>ND</t>
        </is>
      </c>
      <c r="M807" s="1420" t="inlineStr">
        <is>
          <t>txHistoPondeParticip</t>
        </is>
      </c>
      <c r="N807" s="257" t="inlineStr">
        <is>
          <t>Obligatoire sous conditions</t>
        </is>
      </c>
      <c r="O807" s="310" t="inlineStr">
        <is>
          <t>Mandatory under conditions</t>
        </is>
      </c>
      <c r="P807" s="269" t="inlineStr">
        <is>
          <t>NA</t>
        </is>
      </c>
      <c r="Q807" s="269" t="inlineStr">
        <is>
          <t>NA</t>
        </is>
      </c>
      <c r="R807" s="241" t="inlineStr">
        <is>
          <t>Se référer à l'Article 495bis-3 du réglement CRR3</t>
        </is>
      </c>
      <c r="S807" s="233" t="inlineStr">
        <is>
          <t>Refer to Article 495bis-3 of CRR3 regulation</t>
        </is>
      </c>
      <c r="T807" s="313" t="inlineStr">
        <is>
          <t>NUM</t>
        </is>
      </c>
      <c r="U807" s="237" t="inlineStr">
        <is>
          <t>15 dont signe et 9 décimales</t>
        </is>
      </c>
      <c r="V807" s="238" t="inlineStr">
        <is>
          <t>15 including sign and 9 decimals</t>
        </is>
      </c>
      <c r="W807" s="257" t="n">
        <v>15</v>
      </c>
      <c r="X807" s="945" t="inlineStr">
        <is>
          <t>NA</t>
        </is>
      </c>
      <c r="Y807" s="237" t="n">
        <v>44</v>
      </c>
      <c r="Z807" s="237" t="inlineStr">
        <is>
          <t>NA</t>
        </is>
      </c>
      <c r="AA807" s="270" t="inlineStr">
        <is>
          <t>NA</t>
        </is>
      </c>
      <c r="AB807" s="1286" t="inlineStr">
        <is>
          <t>CALCULS PRUDENTIELS</t>
        </is>
      </c>
      <c r="AC807" s="231" t="inlineStr">
        <is>
          <t>ND</t>
        </is>
      </c>
      <c r="AD807" s="257" t="inlineStr">
        <is>
          <t>N</t>
        </is>
      </c>
      <c r="AE807" s="257" t="inlineStr">
        <is>
          <t>EQU*, ISS200, TRE405, TRE406</t>
        </is>
      </c>
      <c r="AF807" s="257" t="inlineStr">
        <is>
          <t>NA</t>
        </is>
      </c>
      <c r="AG807" s="258" t="inlineStr">
        <is>
          <t>NA</t>
        </is>
      </c>
      <c r="AH807" s="89" t="n"/>
      <c r="AI807" s="740" t="inlineStr">
        <is>
          <t>La donnée est obligatoire si le type de risque [P1 2.0] est égal à EQU* ou ISS200 ou TRE405 ou TRE406 ET si le Portefeuille Bâle Opération [P1 2.18] est égal à '080' ou '085' ET si l'Indicateur de participation stratégique depuis plus de 6 ans [P1 21.59] est égal à 'Y'</t>
        </is>
      </c>
      <c r="AJ807" s="434" t="inlineStr">
        <is>
          <t>The data is mandatory if Risk type [P1 2.0] is equal to EQU* or ISS200 or TRE405 or TRE406 AND if the Basel Transaction Portfolio [P1 2.18] is equal to '080' or '085' AND if the Strategic participation for more than 6 years indicator [P1 21.59] is equal to 'Y'</t>
        </is>
      </c>
      <c r="AK807" s="588" t="n">
        <v>6</v>
      </c>
      <c r="AL807" s="741" t="inlineStr">
        <is>
          <t>TPS0941</t>
        </is>
      </c>
      <c r="AM807" s="712" t="n"/>
      <c r="AN807" s="434" t="n"/>
      <c r="AO807" s="588" t="n"/>
      <c r="AP807" s="713" t="n"/>
      <c r="AQ807" s="712" t="n"/>
      <c r="AR807" s="434" t="n"/>
      <c r="AS807" s="588" t="n"/>
      <c r="AT807" s="713" t="n"/>
      <c r="AU807" s="712" t="n"/>
      <c r="AV807" s="434" t="n"/>
      <c r="AW807" s="588" t="n"/>
      <c r="AX807" s="713" t="n"/>
      <c r="AY807" s="712" t="n"/>
      <c r="AZ807" s="434" t="n"/>
      <c r="BA807" s="588" t="n"/>
      <c r="BB807" s="713" t="n"/>
      <c r="BC807" s="714" t="n"/>
      <c r="BD807" s="434" t="n"/>
      <c r="BE807" s="588" t="n"/>
      <c r="BF807" s="713" t="n"/>
      <c r="BG807" s="89" t="n"/>
      <c r="BH8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07">
        <f>_xlfn.LET(r,ROW(),oc,INDEX($A:$A,r),cv,TRIM(INDEX($Y:$Y,r)&amp;""),IF(oc&lt;&gt;"P1","",IF(cv="45","V45 - novo, nao alimentado pelo spool atual","V44 - alimentado pelo spool atual")))</f>
        <v/>
      </c>
    </row>
    <row r="808" ht="54" customFormat="1" customHeight="1" s="91">
      <c r="A808" s="306" t="inlineStr">
        <is>
          <t>P1</t>
        </is>
      </c>
      <c r="B808" s="307" t="n">
        <v>573</v>
      </c>
      <c r="C808" s="269" t="inlineStr">
        <is>
          <t>31 - Paramètres bâlois</t>
        </is>
      </c>
      <c r="D808" s="236" t="inlineStr">
        <is>
          <t>31 - Basel settings</t>
        </is>
      </c>
      <c r="E808" s="307" t="inlineStr">
        <is>
          <t>P1 21.61</t>
        </is>
      </c>
      <c r="F808" s="695" t="inlineStr">
        <is>
          <t>Perte en cas de défaut (LGD) de la part d'encours couverte par des sûretés réelles</t>
        </is>
      </c>
      <c r="G808" s="309" t="inlineStr">
        <is>
          <t>LGD of secured part (in %)</t>
        </is>
      </c>
      <c r="H808" s="1493">
        <f>"RPAD( "&amp;SUBSTITUTE(SUBSTITUTE(E808," ","_"),".","_")&amp;","&amp;W808&amp;",' '); -- "&amp;E808</f>
        <v/>
      </c>
      <c r="I808" s="695" t="inlineStr">
        <is>
          <t>Correspond à la LGD moyenne de la part de l'encours couverte par des sûretés réelles
Exprimée en pourcentage</t>
        </is>
      </c>
      <c r="J808" s="309" t="inlineStr">
        <is>
          <t>LGD in percentage calculated by the entity
Corresponds to the average LGD of the part of outstandings covered by collateral</t>
        </is>
      </c>
      <c r="K808" s="370" t="inlineStr">
        <is>
          <t>ND</t>
        </is>
      </c>
      <c r="L808" s="371" t="inlineStr">
        <is>
          <t>ND</t>
        </is>
      </c>
      <c r="M808" s="1420" t="inlineStr">
        <is>
          <t>txLDGCouvSur</t>
        </is>
      </c>
      <c r="N808" s="257" t="inlineStr">
        <is>
          <t>Obligatoire sous conditions</t>
        </is>
      </c>
      <c r="O808" s="310" t="inlineStr">
        <is>
          <t>Mandatory under conditions</t>
        </is>
      </c>
      <c r="P808" s="269" t="inlineStr">
        <is>
          <t>NA</t>
        </is>
      </c>
      <c r="Q808" s="269" t="inlineStr">
        <is>
          <t>NA</t>
        </is>
      </c>
      <c r="R808" s="241" t="inlineStr">
        <is>
          <t>Donnée utilisée par le moteur IRB A et utilisée pour les engagements de certaines activités du groupe.
A ne pas renseigner pour les Dérivés et Repos car par convention, on la renseignera sur le champ 'LGD partie non couverte'</t>
        </is>
      </c>
      <c r="S808" s="235" t="inlineStr">
        <is>
          <t>Data used by the IRB A engine and used for the funds in use of certain group activities.
Do not fill for derivatives and Repos because by convention, it will be reported on the field 'LGD part not covered'</t>
        </is>
      </c>
      <c r="T808" s="313" t="inlineStr">
        <is>
          <t>NUM</t>
        </is>
      </c>
      <c r="U808" s="237" t="inlineStr">
        <is>
          <t>10 dont signe et 5 décimales</t>
        </is>
      </c>
      <c r="V808" s="238" t="inlineStr">
        <is>
          <t>10 including sign and 5 decimals</t>
        </is>
      </c>
      <c r="W808" s="257" t="n">
        <v>10</v>
      </c>
      <c r="X808" s="945" t="inlineStr">
        <is>
          <t>NA</t>
        </is>
      </c>
      <c r="Y808" s="237" t="n">
        <v>44</v>
      </c>
      <c r="Z808" s="237" t="inlineStr">
        <is>
          <t>NA</t>
        </is>
      </c>
      <c r="AA808" s="270" t="inlineStr">
        <is>
          <t>NA</t>
        </is>
      </c>
      <c r="AB808" s="1286" t="inlineStr">
        <is>
          <t>CALCULS PRUDENTIELS</t>
        </is>
      </c>
      <c r="AC808" s="231" t="inlineStr">
        <is>
          <t>ND</t>
        </is>
      </c>
      <c r="AD808" s="257" t="inlineStr">
        <is>
          <t>N</t>
        </is>
      </c>
      <c r="AE808" s="971" t="inlineStr">
        <is>
          <t>EQU101
EQU201
ISS100
ISS200 et 300
TRE100
TRE2 à 4XX hors 203,205,206,207
TRE203, 205, 207
TRE206
TRE5XX
SIG
VAR*
INT</t>
        </is>
      </c>
      <c r="AF808" s="257" t="inlineStr">
        <is>
          <t>NA</t>
        </is>
      </c>
      <c r="AG808" s="258" t="inlineStr">
        <is>
          <t>NA</t>
        </is>
      </c>
      <c r="AH808" s="89" t="n"/>
      <c r="AI808" s="711" t="inlineStr">
        <is>
          <t>La donnée est obligatoire si la Méthodologie Bâloise [P1 1.1] est égale à 'IRB A' et si le Montant d'encours pour la partie couverte par des sûretés réelles [P1 21.63] est renseigné et différent de '0'</t>
        </is>
      </c>
      <c r="AJ808" s="434" t="inlineStr">
        <is>
          <t>The data is mandatory if the Basel methodology [P1 1.1] is equal to 'IRB A' and if the Secured part exposure amount [P1 21.63] is filled and different from '0'</t>
        </is>
      </c>
      <c r="AK808" s="588" t="n">
        <v>6</v>
      </c>
      <c r="AL808" s="345" t="inlineStr">
        <is>
          <t>TPS0942</t>
        </is>
      </c>
      <c r="AM808" s="712" t="n"/>
      <c r="AN808" s="434" t="n"/>
      <c r="AO808" s="588" t="n"/>
      <c r="AP808" s="713" t="n"/>
      <c r="AQ808" s="712" t="n"/>
      <c r="AR808" s="434" t="n"/>
      <c r="AS808" s="588" t="n"/>
      <c r="AT808" s="713" t="n"/>
      <c r="AU808" s="712" t="n"/>
      <c r="AV808" s="434" t="n"/>
      <c r="AW808" s="588" t="n"/>
      <c r="AX808" s="713" t="n"/>
      <c r="AY808" s="712" t="n"/>
      <c r="AZ808" s="434" t="n"/>
      <c r="BA808" s="588" t="n"/>
      <c r="BB808" s="713" t="n"/>
      <c r="BC808" s="714" t="n"/>
      <c r="BD808" s="434" t="n"/>
      <c r="BE808" s="588" t="n"/>
      <c r="BF808" s="713" t="n"/>
      <c r="BG808" s="89" t="n"/>
      <c r="BH8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08">
        <f>_xlfn.LET(r,ROW(),oc,INDEX($A:$A,r),cv,TRIM(INDEX($Y:$Y,r)&amp;""),IF(oc&lt;&gt;"P1","",IF(cv="45","V45 - novo, nao alimentado pelo spool atual","V44 - alimentado pelo spool atual")))</f>
        <v/>
      </c>
    </row>
    <row r="809" ht="54" customFormat="1" customHeight="1" s="91">
      <c r="A809" s="306" t="inlineStr">
        <is>
          <t>P1</t>
        </is>
      </c>
      <c r="B809" s="307" t="n">
        <v>574</v>
      </c>
      <c r="C809" s="269" t="inlineStr">
        <is>
          <t>31 - Paramètres bâlois</t>
        </is>
      </c>
      <c r="D809" s="236" t="inlineStr">
        <is>
          <t>31 - Basel settings</t>
        </is>
      </c>
      <c r="E809" s="307" t="inlineStr">
        <is>
          <t>P1 21.62</t>
        </is>
      </c>
      <c r="F809" s="308" t="inlineStr">
        <is>
          <t>Perte en cas de défaut (LGD) de la part d'encours non couverte par des sûretés réelles</t>
        </is>
      </c>
      <c r="G809" s="309" t="inlineStr">
        <is>
          <t>LGD of unsecured part (in %)</t>
        </is>
      </c>
      <c r="H809" s="1493">
        <f>"RPAD( "&amp;SUBSTITUTE(SUBSTITUTE(E809," ","_"),".","_")&amp;","&amp;W809&amp;",' '); -- "&amp;E809</f>
        <v/>
      </c>
      <c r="I809" s="737" t="inlineStr">
        <is>
          <t>Correspond à la LGD de la part de l'encours non couverte par des sûretés réelles
Exprimée en %</t>
        </is>
      </c>
      <c r="J809" s="309" t="inlineStr">
        <is>
          <t>Corresponds to the LGD of the unsecured part of outstandings
Expressed in %</t>
        </is>
      </c>
      <c r="K809" s="370" t="inlineStr">
        <is>
          <t>ND</t>
        </is>
      </c>
      <c r="L809" s="371" t="inlineStr">
        <is>
          <t>ND</t>
        </is>
      </c>
      <c r="M809" s="1420" t="inlineStr">
        <is>
          <t>txLGDnonCouvSur</t>
        </is>
      </c>
      <c r="N809" s="257" t="inlineStr">
        <is>
          <t>Obligatoire sous conditions</t>
        </is>
      </c>
      <c r="O809" s="310" t="inlineStr">
        <is>
          <t>Mandatory under conditions</t>
        </is>
      </c>
      <c r="P809" s="269" t="inlineStr">
        <is>
          <t>NA</t>
        </is>
      </c>
      <c r="Q809" s="269" t="inlineStr">
        <is>
          <t>NA</t>
        </is>
      </c>
      <c r="R809" s="1249" t="inlineStr">
        <is>
          <t>Donnée utilisée par le moteur IRB A et utilisée pour les engagements de certaines activités du groupe</t>
        </is>
      </c>
      <c r="S809" s="235" t="inlineStr">
        <is>
          <t>Data used by the IRB A engine and used for the commitments of some group activities</t>
        </is>
      </c>
      <c r="T809" s="313" t="inlineStr">
        <is>
          <t>NUM</t>
        </is>
      </c>
      <c r="U809" s="237" t="inlineStr">
        <is>
          <t>10 dont signe et 5 décimales</t>
        </is>
      </c>
      <c r="V809" s="238" t="inlineStr">
        <is>
          <t>10 including sign and 5 decimals</t>
        </is>
      </c>
      <c r="W809" s="257" t="n">
        <v>10</v>
      </c>
      <c r="X809" s="945" t="inlineStr">
        <is>
          <t>NA</t>
        </is>
      </c>
      <c r="Y809" s="237" t="n">
        <v>44</v>
      </c>
      <c r="Z809" s="237" t="inlineStr">
        <is>
          <t>NA</t>
        </is>
      </c>
      <c r="AA809" s="270" t="inlineStr">
        <is>
          <t>NA</t>
        </is>
      </c>
      <c r="AB809" s="1286" t="inlineStr">
        <is>
          <t>CALCULS PRUDENTIELS</t>
        </is>
      </c>
      <c r="AC809" s="231" t="inlineStr">
        <is>
          <t>ND</t>
        </is>
      </c>
      <c r="AD809" s="257" t="inlineStr">
        <is>
          <t>N</t>
        </is>
      </c>
      <c r="AE809" s="971" t="inlineStr">
        <is>
          <t>EQU101
EQU201
ISS100
ISS200 et 300
TRE100
TRE2 à 4XX hors 203,205,206,207
TRE203, 205, 207
TRE206
TRE5XX
SIG
VAR*
INT</t>
        </is>
      </c>
      <c r="AF809" s="257" t="inlineStr">
        <is>
          <t>NA</t>
        </is>
      </c>
      <c r="AG809" s="258" t="inlineStr">
        <is>
          <t>NA</t>
        </is>
      </c>
      <c r="AH809" s="89" t="n"/>
      <c r="AI809" s="742" t="inlineStr">
        <is>
          <t>La donnée est obligatoire si la Méthodologie Bâloise [P1 1.1] est égale à 'IRB A' et si le Montant d'encours pour la partie couverte par des sûretés réelles [P1 21.63] est égal à '0' ou vide</t>
        </is>
      </c>
      <c r="AJ809" s="434" t="inlineStr">
        <is>
          <t>The data is mandatory if the Basel methodology [P1 1.1] is equal to 'IRB A' and if the Secured part exposure amount [P1 21.63] is equal to '0' or empty</t>
        </is>
      </c>
      <c r="AK809" s="588" t="n">
        <v>6</v>
      </c>
      <c r="AL809" s="345" t="inlineStr">
        <is>
          <t>TPS0943</t>
        </is>
      </c>
      <c r="AM809" s="712" t="n"/>
      <c r="AN809" s="434" t="n"/>
      <c r="AO809" s="588" t="n"/>
      <c r="AP809" s="713" t="n"/>
      <c r="AQ809" s="712" t="n"/>
      <c r="AR809" s="434" t="n"/>
      <c r="AS809" s="588" t="n"/>
      <c r="AT809" s="713" t="n"/>
      <c r="AU809" s="712" t="n"/>
      <c r="AV809" s="434" t="n"/>
      <c r="AW809" s="588" t="n"/>
      <c r="AX809" s="713" t="n"/>
      <c r="AY809" s="712" t="n"/>
      <c r="AZ809" s="434" t="n"/>
      <c r="BA809" s="588" t="n"/>
      <c r="BB809" s="713" t="n"/>
      <c r="BC809" s="714" t="n"/>
      <c r="BD809" s="434" t="n"/>
      <c r="BE809" s="588" t="n"/>
      <c r="BF809" s="713" t="n"/>
      <c r="BG809" s="89" t="n"/>
      <c r="BH8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09">
        <f>_xlfn.LET(r,ROW(),oc,INDEX($A:$A,r),cv,TRIM(INDEX($Y:$Y,r)&amp;""),IF(oc&lt;&gt;"P1","",IF(cv="45","V45 - novo, nao alimentado pelo spool atual","V44 - alimentado pelo spool atual")))</f>
        <v/>
      </c>
    </row>
    <row r="810" ht="54" customFormat="1" customHeight="1" s="91">
      <c r="A810" s="306" t="inlineStr">
        <is>
          <t>P1</t>
        </is>
      </c>
      <c r="B810" s="307" t="n">
        <v>575</v>
      </c>
      <c r="C810" s="269" t="inlineStr">
        <is>
          <t>15 - Caractéristiques Sureté</t>
        </is>
      </c>
      <c r="D810" s="236" t="inlineStr">
        <is>
          <t>15 - Safety characteristics</t>
        </is>
      </c>
      <c r="E810" s="307" t="inlineStr">
        <is>
          <t>P1 21.63</t>
        </is>
      </c>
      <c r="F810" s="618" t="inlineStr">
        <is>
          <t>Montant d'encours pour la partie couverte par des sûretés réelles</t>
        </is>
      </c>
      <c r="G810" s="309" t="inlineStr">
        <is>
          <t>Secured part exposure amount</t>
        </is>
      </c>
      <c r="H810" s="1493">
        <f>"RPAD( "&amp;SUBSTITUTE(SUBSTITUTE(E810," ","_"),".","_")&amp;","&amp;W810&amp;",' '); -- "&amp;E810</f>
        <v/>
      </c>
      <c r="I810" s="308" t="inlineStr">
        <is>
          <t>Correspond au montant de la part de l'encours couverte par des sûretés réelles</t>
        </is>
      </c>
      <c r="J810" s="309" t="inlineStr">
        <is>
          <t>Corresponds to the amount of the secured part of the outstanding</t>
        </is>
      </c>
      <c r="K810" s="370" t="inlineStr">
        <is>
          <t>ND</t>
        </is>
      </c>
      <c r="L810" s="371" t="inlineStr">
        <is>
          <t>ND</t>
        </is>
      </c>
      <c r="M810" s="1420" t="inlineStr">
        <is>
          <t>mntEncCouvSur</t>
        </is>
      </c>
      <c r="N810" s="599" t="inlineStr">
        <is>
          <t>Obligatoire (SC)</t>
        </is>
      </c>
      <c r="O810" s="310" t="inlineStr">
        <is>
          <t>Mandatory (SC)</t>
        </is>
      </c>
      <c r="P810" s="269" t="inlineStr">
        <is>
          <t>NA</t>
        </is>
      </c>
      <c r="Q810" s="269" t="inlineStr">
        <is>
          <t>NA</t>
        </is>
      </c>
      <c r="R810" s="1249" t="inlineStr">
        <is>
          <t>La donnée est obligatoire si la Méthodologie Bâloise [P1 1.1] est égale à ‘IRB A' et si le contrat est garanti par une sûreté réelle.
Pour les types de risque 'VAR***' (Dérivés et Repos), cette donnée ne doit pas être renseignée</t>
        </is>
      </c>
      <c r="S810" s="235" t="inlineStr">
        <is>
          <t>The data is mandatory if the Basel methodology [P1 1.1] is equal to ‘IRB A' and if the contract is secured by a security interest.
For risk types 'VAR***' (Derivatives and Repos), this data must not be filled</t>
        </is>
      </c>
      <c r="T810" s="313" t="inlineStr">
        <is>
          <t>NUM</t>
        </is>
      </c>
      <c r="U810" s="237" t="inlineStr">
        <is>
          <t>19 dont signe et 2 décimales</t>
        </is>
      </c>
      <c r="V810" s="238" t="inlineStr">
        <is>
          <t>19 including sign and 2 decimals</t>
        </is>
      </c>
      <c r="W810" s="257" t="n">
        <v>19</v>
      </c>
      <c r="X810" s="945" t="inlineStr">
        <is>
          <t>NA</t>
        </is>
      </c>
      <c r="Y810" s="237" t="n">
        <v>44</v>
      </c>
      <c r="Z810" s="237" t="inlineStr">
        <is>
          <t>NA</t>
        </is>
      </c>
      <c r="AA810" s="270" t="inlineStr">
        <is>
          <t>NA</t>
        </is>
      </c>
      <c r="AB810" s="1286" t="inlineStr">
        <is>
          <t>CALCULS PRUDENTIELS</t>
        </is>
      </c>
      <c r="AC810" s="231" t="inlineStr">
        <is>
          <t>ND</t>
        </is>
      </c>
      <c r="AD810" s="257" t="inlineStr">
        <is>
          <t>N</t>
        </is>
      </c>
      <c r="AE810" s="257" t="inlineStr">
        <is>
          <t>EQU101
EQU201
ISS100
ISS200 et 300
TRE100
TRE2 à 4XX hors 203,205,206,207
TRE203, 205, 207
TRE206
TRE5XX
SIG
INT</t>
        </is>
      </c>
      <c r="AF810" s="257" t="inlineStr">
        <is>
          <t>NA</t>
        </is>
      </c>
      <c r="AG810" s="258" t="inlineStr">
        <is>
          <t>NA</t>
        </is>
      </c>
      <c r="AH810" s="89" t="n"/>
      <c r="AI810" s="316" t="n"/>
      <c r="AJ810" s="434" t="n"/>
      <c r="AK810" s="588" t="n"/>
      <c r="AL810" s="713" t="n"/>
      <c r="AM810" s="712" t="n"/>
      <c r="AN810" s="434" t="n"/>
      <c r="AO810" s="588" t="n"/>
      <c r="AP810" s="713" t="n"/>
      <c r="AQ810" s="712" t="n"/>
      <c r="AR810" s="434" t="n"/>
      <c r="AS810" s="588" t="n"/>
      <c r="AT810" s="713" t="n"/>
      <c r="AU810" s="743" t="inlineStr">
        <is>
          <t>Si le type de risque [P1 2.0] est égal à 'VARxxx', la donnée ne doit pas être renseignée.</t>
        </is>
      </c>
      <c r="AV810" s="434" t="inlineStr">
        <is>
          <t>If the risk type [P1 2.0] is equal to 'VARxxx', the data must be not filled</t>
        </is>
      </c>
      <c r="AW810" s="588" t="n">
        <v>6</v>
      </c>
      <c r="AX810" s="355" t="inlineStr">
        <is>
          <t>TCS0741</t>
        </is>
      </c>
      <c r="AY810" s="712" t="n"/>
      <c r="AZ810" s="434" t="n"/>
      <c r="BA810" s="588" t="n"/>
      <c r="BB810" s="713" t="n"/>
      <c r="BC810" s="714" t="n"/>
      <c r="BD810" s="434" t="n"/>
      <c r="BE810" s="588" t="n"/>
      <c r="BF810" s="713" t="n"/>
      <c r="BG810" s="89" t="n"/>
      <c r="BH8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10">
        <f>_xlfn.LET(r,ROW(),oc,INDEX($A:$A,r),cv,TRIM(INDEX($Y:$Y,r)&amp;""),IF(oc&lt;&gt;"P1","",IF(cv="45","V45 - novo, nao alimentado pelo spool atual","V44 - alimentado pelo spool atual")))</f>
        <v/>
      </c>
    </row>
    <row r="811" ht="54" customFormat="1" customHeight="1" s="91">
      <c r="A811" s="306" t="inlineStr">
        <is>
          <t>P1</t>
        </is>
      </c>
      <c r="B811" s="307" t="n">
        <v>576</v>
      </c>
      <c r="C811" s="269" t="inlineStr">
        <is>
          <t>15 - Caractéristiques Sureté</t>
        </is>
      </c>
      <c r="D811" s="236" t="inlineStr">
        <is>
          <t>15 - Safety characteristics</t>
        </is>
      </c>
      <c r="E811" s="307" t="inlineStr">
        <is>
          <t>P1 21.64</t>
        </is>
      </c>
      <c r="F811" s="308" t="inlineStr">
        <is>
          <t>Devise du montant d'encours pour la partie couverte des sûretés réelles</t>
        </is>
      </c>
      <c r="G811" s="309" t="inlineStr">
        <is>
          <t>Currency of the exposure amount secured part</t>
        </is>
      </c>
      <c r="H811" s="1493">
        <f>"RPAD( "&amp;SUBSTITUTE(SUBSTITUTE(E811," ","_"),".","_")&amp;","&amp;W811&amp;",' '); -- "&amp;E811</f>
        <v/>
      </c>
      <c r="I811" s="308" t="inlineStr">
        <is>
          <t>Devise du montant encours partie couverte</t>
        </is>
      </c>
      <c r="J811" s="309" t="inlineStr">
        <is>
          <t>Currency of the exposure amount secured part</t>
        </is>
      </c>
      <c r="K811" s="370" t="inlineStr">
        <is>
          <t>ND</t>
        </is>
      </c>
      <c r="L811" s="371" t="inlineStr">
        <is>
          <t>ND</t>
        </is>
      </c>
      <c r="M811" s="1420" t="inlineStr">
        <is>
          <t>cdDevMntEncCouvSur</t>
        </is>
      </c>
      <c r="N811" s="257" t="inlineStr">
        <is>
          <t>Obligatoire sous conditions</t>
        </is>
      </c>
      <c r="O811" s="310" t="inlineStr">
        <is>
          <t>Mandatory under conditions</t>
        </is>
      </c>
      <c r="P811" s="269" t="inlineStr">
        <is>
          <t>LC.0005</t>
        </is>
      </c>
      <c r="Q811" s="269" t="inlineStr">
        <is>
          <t>TA NM253</t>
        </is>
      </c>
      <c r="R811" s="241" t="inlineStr">
        <is>
          <t>NA</t>
        </is>
      </c>
      <c r="S811" s="233" t="inlineStr">
        <is>
          <t>NA</t>
        </is>
      </c>
      <c r="T811" s="313" t="inlineStr">
        <is>
          <t>ALPHA</t>
        </is>
      </c>
      <c r="U811" s="237" t="inlineStr">
        <is>
          <t>NA</t>
        </is>
      </c>
      <c r="V811" s="238" t="inlineStr">
        <is>
          <t>NA</t>
        </is>
      </c>
      <c r="W811" s="257" t="n">
        <v>3</v>
      </c>
      <c r="X811" s="945" t="inlineStr">
        <is>
          <t>NA</t>
        </is>
      </c>
      <c r="Y811" s="237" t="n">
        <v>44</v>
      </c>
      <c r="Z811" s="237" t="inlineStr">
        <is>
          <t>NA</t>
        </is>
      </c>
      <c r="AA811" s="270" t="inlineStr">
        <is>
          <t>NA</t>
        </is>
      </c>
      <c r="AB811" s="1286" t="inlineStr">
        <is>
          <t>CALCULS PRUDENTIELS</t>
        </is>
      </c>
      <c r="AC811" s="231" t="inlineStr">
        <is>
          <t>ND</t>
        </is>
      </c>
      <c r="AD811" s="257" t="inlineStr">
        <is>
          <t>N</t>
        </is>
      </c>
      <c r="AE811" s="257" t="inlineStr">
        <is>
          <t>EQU101
EQU201
ISS100
ISS200 et 300
TRE100
TRE2 à 4XX hors 203,205,206,207
TRE203, 205, 207
TRE206
TRE5XX
SIG
INT</t>
        </is>
      </c>
      <c r="AF811" s="257" t="inlineStr">
        <is>
          <t>NA</t>
        </is>
      </c>
      <c r="AG811" s="258" t="inlineStr">
        <is>
          <t>NA</t>
        </is>
      </c>
      <c r="AH811" s="89" t="n"/>
      <c r="AI811" s="711" t="inlineStr">
        <is>
          <t>La donnée est obligatoire si le Montant d'encours pour la partie couverte par des sûretés réelles [P1 21.63] est renseigné</t>
        </is>
      </c>
      <c r="AJ811" s="434" t="inlineStr">
        <is>
          <t>The data is mandatory if the Secured part exposure amount [P1 21.63] is filled</t>
        </is>
      </c>
      <c r="AK811" s="588" t="n">
        <v>7</v>
      </c>
      <c r="AL811" s="335" t="inlineStr">
        <is>
          <t>TPG0002</t>
        </is>
      </c>
      <c r="AM811" s="712" t="inlineStr">
        <is>
          <t>Si elle est renseignée, la valeur doit être connue du Langage Commun associé</t>
        </is>
      </c>
      <c r="AN811" s="434" t="inlineStr">
        <is>
          <t>If specified, the value must be known to the associated Common Language</t>
        </is>
      </c>
      <c r="AO811" s="588" t="n">
        <v>7</v>
      </c>
      <c r="AP811" s="212" t="inlineStr">
        <is>
          <t>TIG0001</t>
        </is>
      </c>
      <c r="AQ811" s="712" t="n"/>
      <c r="AR811" s="434" t="n"/>
      <c r="AS811" s="588" t="n"/>
      <c r="AT811" s="713" t="n"/>
      <c r="AU811" s="712" t="n"/>
      <c r="AV811" s="434" t="n"/>
      <c r="AW811" s="588" t="n"/>
      <c r="AX811" s="713" t="n"/>
      <c r="AY811" s="712" t="n"/>
      <c r="AZ811" s="434" t="n"/>
      <c r="BA811" s="588" t="n"/>
      <c r="BB811" s="713" t="n"/>
      <c r="BC811" s="714" t="n"/>
      <c r="BD811" s="434" t="n"/>
      <c r="BE811" s="588" t="n"/>
      <c r="BF811" s="713" t="n"/>
      <c r="BG811" s="89" t="n"/>
      <c r="BH8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11">
        <f>_xlfn.LET(r,ROW(),oc,INDEX($A:$A,r),cv,TRIM(INDEX($Y:$Y,r)&amp;""),IF(oc&lt;&gt;"P1","",IF(cv="45","V45 - novo, nao alimentado pelo spool atual","V44 - alimentado pelo spool atual")))</f>
        <v/>
      </c>
    </row>
    <row r="812" ht="54" customFormat="1" customHeight="1" s="91">
      <c r="A812" s="306" t="inlineStr">
        <is>
          <t>P1</t>
        </is>
      </c>
      <c r="B812" s="307" t="n">
        <v>577</v>
      </c>
      <c r="C812" s="269" t="inlineStr">
        <is>
          <t>09 - Caractéristiques Dérivés</t>
        </is>
      </c>
      <c r="D812" s="236" t="inlineStr">
        <is>
          <t>09 - Derivative characteristics</t>
        </is>
      </c>
      <c r="E812" s="307" t="inlineStr">
        <is>
          <t>P1 21.65</t>
        </is>
      </c>
      <c r="F812" s="992" t="inlineStr">
        <is>
          <t>Entité juridique de rattachement du contrat de netting prudentiel</t>
        </is>
      </c>
      <c r="G812" s="309" t="inlineStr">
        <is>
          <t>Legal entity of the netting contract</t>
        </is>
      </c>
      <c r="H812" s="1493">
        <f>"RPAD( "&amp;SUBSTITUTE(SUBSTITUTE(E812," ","_"),".","_")&amp;","&amp;W812&amp;",' '); -- "&amp;E812</f>
        <v/>
      </c>
      <c r="I812" s="278" t="inlineStr">
        <is>
          <t>Correspond au code de consolidation de l'entité juridique à laquelle est rattaché le contrat de netting prudentiel. Champ utilisé pour des contraintes purement techniques et sans signification fonctionnelle.</t>
        </is>
      </c>
      <c r="J812" s="160" t="inlineStr">
        <is>
          <t>Corresponds to the consolidation code of the legal entity to which the netting contract is attached. Field used for technical purpose, without functional meaning.</t>
        </is>
      </c>
      <c r="K812" s="370" t="inlineStr">
        <is>
          <t>ND</t>
        </is>
      </c>
      <c r="L812" s="371" t="inlineStr">
        <is>
          <t>ND</t>
        </is>
      </c>
      <c r="M812" s="1420" t="inlineStr">
        <is>
          <t>EntJurContNettPrud</t>
        </is>
      </c>
      <c r="N812" s="257" t="inlineStr">
        <is>
          <t>Obligatoire sous conditions</t>
        </is>
      </c>
      <c r="O812" s="310" t="inlineStr">
        <is>
          <t>Mandatory under conditions</t>
        </is>
      </c>
      <c r="P812" s="932" t="inlineStr">
        <is>
          <t>NA</t>
        </is>
      </c>
      <c r="Q812" s="932" t="inlineStr">
        <is>
          <t>NA</t>
        </is>
      </c>
      <c r="R812" s="998" t="inlineStr">
        <is>
          <t>L'entité juridique de rattachement du contrat de netting prudentiel peut être une entité présente dans le LC.0003 TA 0990 FI59</t>
        </is>
      </c>
      <c r="S812" s="1009" t="inlineStr">
        <is>
          <t>The legal entity of the netting contract may be an entity present in LC.0003 TA 0990 FI59</t>
        </is>
      </c>
      <c r="T812" s="313" t="inlineStr">
        <is>
          <t>ALPHA</t>
        </is>
      </c>
      <c r="U812" s="237" t="inlineStr">
        <is>
          <t>NA</t>
        </is>
      </c>
      <c r="V812" s="238" t="inlineStr">
        <is>
          <t>NA</t>
        </is>
      </c>
      <c r="W812" s="958" t="n">
        <v>50</v>
      </c>
      <c r="X812" s="945" t="inlineStr">
        <is>
          <t>NA</t>
        </is>
      </c>
      <c r="Y812" s="237" t="n">
        <v>44</v>
      </c>
      <c r="Z812" s="237" t="inlineStr">
        <is>
          <t>NA</t>
        </is>
      </c>
      <c r="AA812" s="270" t="inlineStr">
        <is>
          <t>45.00</t>
        </is>
      </c>
      <c r="AB812" s="1286" t="inlineStr">
        <is>
          <t>CALCULS PRUDENTIELS</t>
        </is>
      </c>
      <c r="AC812" s="231" t="inlineStr">
        <is>
          <t>ND</t>
        </is>
      </c>
      <c r="AD812" s="257" t="inlineStr">
        <is>
          <t>N</t>
        </is>
      </c>
      <c r="AE812" s="971" t="inlineStr">
        <is>
          <t>TRE203, 205, 207
TRE206
VAR*</t>
        </is>
      </c>
      <c r="AF812" s="257" t="inlineStr">
        <is>
          <t>NA</t>
        </is>
      </c>
      <c r="AG812" s="258" t="inlineStr">
        <is>
          <t>NA</t>
        </is>
      </c>
      <c r="AH812" s="89" t="n"/>
      <c r="AI812" s="744" t="inlineStr">
        <is>
          <t>La donnée est obligatoire si le type de risque [P1 2.0] = 'EQU, ISS, VAR, INT, TRE203, TRE205, TRE206, TRE207, TRE405, TRE406' ET si l'Indicateur accord de netting prudentiel [P1 3.16] est égal à 'Y'</t>
        </is>
      </c>
      <c r="AJ812" s="434" t="inlineStr">
        <is>
          <t>The data is mandatory if Risk type [P1 2.0] = 'EQU, ISS, VAR, INT, TRE203, TRE205, TRE206, TRE207, TRE405, TRE406' AND if the Prudential netting arrangement indicator [P1 3.16] is equal to 'Y'</t>
        </is>
      </c>
      <c r="AK812" s="588" t="n">
        <v>6</v>
      </c>
      <c r="AL812" s="447" t="inlineStr">
        <is>
          <t>TPS0944</t>
        </is>
      </c>
      <c r="AM812" s="1000" t="n"/>
      <c r="AN812" s="1001" t="n"/>
      <c r="AO812" s="1002" t="n"/>
      <c r="AP812" s="1003" t="n"/>
      <c r="AQ812" s="712" t="n"/>
      <c r="AR812" s="434" t="n"/>
      <c r="AS812" s="588" t="n"/>
      <c r="AT812" s="713" t="n"/>
      <c r="AU812" s="712" t="n"/>
      <c r="AV812" s="434" t="n"/>
      <c r="AW812" s="588" t="n"/>
      <c r="AX812" s="713" t="n"/>
      <c r="AY812" s="712" t="n"/>
      <c r="AZ812" s="434" t="n"/>
      <c r="BA812" s="588" t="n"/>
      <c r="BB812" s="713" t="n"/>
      <c r="BC812" s="714" t="n"/>
      <c r="BD812" s="434" t="n"/>
      <c r="BE812" s="588" t="n"/>
      <c r="BF812" s="713" t="n"/>
      <c r="BG812" s="89" t="n"/>
      <c r="BH8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12">
        <f>_xlfn.LET(r,ROW(),oc,INDEX($A:$A,r),cv,TRIM(INDEX($Y:$Y,r)&amp;""),IF(oc&lt;&gt;"P1","",IF(cv="45","V45 - novo, nao alimentado pelo spool atual","V44 - alimentado pelo spool atual")))</f>
        <v/>
      </c>
    </row>
    <row r="813" ht="54" customFormat="1" customHeight="1" s="91">
      <c r="A813" s="306" t="inlineStr">
        <is>
          <t>P1</t>
        </is>
      </c>
      <c r="B813" s="307" t="n">
        <v>578</v>
      </c>
      <c r="C813" s="269" t="inlineStr">
        <is>
          <t>03 - Caractéristiques Générales</t>
        </is>
      </c>
      <c r="D813" s="236" t="inlineStr">
        <is>
          <t>03 - General characteristics</t>
        </is>
      </c>
      <c r="E813" s="307" t="inlineStr">
        <is>
          <t>P1 21.66</t>
        </is>
      </c>
      <c r="F813" s="664" t="inlineStr">
        <is>
          <t>Indicateur d'engagement hors bilan annulable sans conditions (UCC)</t>
        </is>
      </c>
      <c r="G813" s="309" t="inlineStr">
        <is>
          <t>Indicator of an off balance-sheet commitment unconditionally cancellable (UCC)</t>
        </is>
      </c>
      <c r="H813" s="1493">
        <f>"RPAD( "&amp;SUBSTITUTE(SUBSTITUTE(E813," ","_"),".","_")&amp;","&amp;W813&amp;",' '); -- "&amp;E813</f>
        <v/>
      </c>
      <c r="I813" s="745" t="inlineStr">
        <is>
          <t>Permet d'identifier un encours hors-bilan UCC afin de lui appliquer le CCF adéquat et l'identifier dans les reportings réglementaires</t>
        </is>
      </c>
      <c r="J813" s="309" t="inlineStr">
        <is>
          <t>Allows to identify an off-balance UCC exposure in order to apply the appropriate CCF and identify it in the regulatory reporting</t>
        </is>
      </c>
      <c r="K813" s="370" t="inlineStr">
        <is>
          <t>ND</t>
        </is>
      </c>
      <c r="L813" s="371" t="inlineStr">
        <is>
          <t>ND</t>
        </is>
      </c>
      <c r="M813" s="1420" t="inlineStr">
        <is>
          <t>indHbUCC</t>
        </is>
      </c>
      <c r="N813" s="257" t="inlineStr">
        <is>
          <t>Facultatif</t>
        </is>
      </c>
      <c r="O813" s="310" t="inlineStr">
        <is>
          <t>Optional</t>
        </is>
      </c>
      <c r="P813" s="269" t="inlineStr">
        <is>
          <t>LC.0495</t>
        </is>
      </c>
      <c r="Q813" s="269" t="inlineStr">
        <is>
          <t>TA Z8IHBUCC</t>
        </is>
      </c>
      <c r="R813" s="1249" t="inlineStr">
        <is>
          <t>Pour le cas des expositions en méthode IRBA, le top UCC ne doit pas être renseigné si l'exposition fait partie du périmètre de calibrage du modèle. Dans ce cas, le CCF à prendre en compte est celui du modèle IRBA</t>
        </is>
      </c>
      <c r="S813" s="233" t="inlineStr">
        <is>
          <t>For IRBA exposures, the top UCC does not need to be entered if the exposure is part of the model's calibration perimeter. In this case, the CCF to be taken into account is that of the IRBA model</t>
        </is>
      </c>
      <c r="T813" s="313" t="inlineStr">
        <is>
          <t>ALPHA</t>
        </is>
      </c>
      <c r="U813" s="237" t="inlineStr">
        <is>
          <t>NA</t>
        </is>
      </c>
      <c r="V813" s="238" t="inlineStr">
        <is>
          <t>NA</t>
        </is>
      </c>
      <c r="W813" s="257" t="n">
        <v>1</v>
      </c>
      <c r="X813" s="945" t="inlineStr">
        <is>
          <t>NA</t>
        </is>
      </c>
      <c r="Y813" s="237" t="n">
        <v>44</v>
      </c>
      <c r="Z813" s="237" t="inlineStr">
        <is>
          <t>NA</t>
        </is>
      </c>
      <c r="AA813" s="270" t="inlineStr">
        <is>
          <t>NA</t>
        </is>
      </c>
      <c r="AB813" s="1286" t="inlineStr">
        <is>
          <t>CALCULS PRUDENTIELS</t>
        </is>
      </c>
      <c r="AC813" s="231" t="inlineStr">
        <is>
          <t>ND</t>
        </is>
      </c>
      <c r="AD813" s="257" t="inlineStr">
        <is>
          <t>N</t>
        </is>
      </c>
      <c r="AE813" s="738" t="inlineStr">
        <is>
          <t>TRE2 à 4XX hors 203,205,206,207, SIG*</t>
        </is>
      </c>
      <c r="AF813" s="257" t="inlineStr">
        <is>
          <t>NA</t>
        </is>
      </c>
      <c r="AG813" s="258" t="inlineStr">
        <is>
          <t>NA</t>
        </is>
      </c>
      <c r="AH813" s="1363" t="n"/>
      <c r="AI813" s="714" t="n"/>
      <c r="AJ813" s="434" t="n"/>
      <c r="AK813" s="588" t="n"/>
      <c r="AL813" s="713" t="n"/>
      <c r="AM813" s="712" t="inlineStr">
        <is>
          <t>Si elle est renseignée, la valeur doit être connue du Langage Commun associé</t>
        </is>
      </c>
      <c r="AN813" s="434" t="inlineStr">
        <is>
          <t>If specified, the value must be known to the associated Common Language</t>
        </is>
      </c>
      <c r="AO813" s="588" t="n">
        <v>7</v>
      </c>
      <c r="AP813" s="212" t="inlineStr">
        <is>
          <t>TIG0001</t>
        </is>
      </c>
      <c r="AQ813" s="712" t="n"/>
      <c r="AR813" s="434" t="n"/>
      <c r="AS813" s="588" t="n"/>
      <c r="AT813" s="713" t="n"/>
      <c r="AU813" s="712" t="n"/>
      <c r="AV813" s="434" t="n"/>
      <c r="AW813" s="588" t="n"/>
      <c r="AX813" s="713" t="n"/>
      <c r="AY813" s="712" t="n"/>
      <c r="AZ813" s="434" t="n"/>
      <c r="BA813" s="588" t="n"/>
      <c r="BB813" s="713" t="n"/>
      <c r="BC813" s="714" t="n"/>
      <c r="BD813" s="434" t="n"/>
      <c r="BE813" s="588" t="n"/>
      <c r="BF813" s="713" t="n"/>
      <c r="BG813" s="89" t="n"/>
      <c r="BH8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13">
        <f>_xlfn.LET(r,ROW(),oc,INDEX($A:$A,r),cv,TRIM(INDEX($Y:$Y,r)&amp;""),IF(oc&lt;&gt;"P1","",IF(cv="45","V45 - novo, nao alimentado pelo spool atual","V44 - alimentado pelo spool atual")))</f>
        <v/>
      </c>
    </row>
    <row r="814" ht="54" customFormat="1" customHeight="1" s="91">
      <c r="A814" s="306" t="inlineStr">
        <is>
          <t>P1</t>
        </is>
      </c>
      <c r="B814" s="307" t="n">
        <v>579</v>
      </c>
      <c r="C814" s="269" t="inlineStr">
        <is>
          <t>31 - Paramètres bâlois</t>
        </is>
      </c>
      <c r="D814" s="236" t="inlineStr">
        <is>
          <t>31 - Basel settings</t>
        </is>
      </c>
      <c r="E814" s="307" t="inlineStr">
        <is>
          <t>P1 21.67</t>
        </is>
      </c>
      <c r="F814" s="308" t="inlineStr">
        <is>
          <t xml:space="preserve">Indicateur de l'application de l'approche par mandat </t>
        </is>
      </c>
      <c r="G814" s="309" t="inlineStr">
        <is>
          <t>Mandate-based approach indicator</t>
        </is>
      </c>
      <c r="H814" s="1493">
        <f>"RPAD( "&amp;SUBSTITUTE(SUBSTITUTE(E814," ","_"),".","_")&amp;","&amp;W814&amp;",' '); -- "&amp;E814</f>
        <v/>
      </c>
      <c r="I814" s="664" t="inlineStr">
        <is>
          <t>Indicateur permettant de préciser si l'exposition sous forme de parts ou d'actions d'OPC est à pondérer selon l'approche par mandat ou selon l'approche alternative, soit 1250%.</t>
        </is>
      </c>
      <c r="J814" s="309" t="inlineStr">
        <is>
          <t>Allows to indicate that the exposure in the form of UCITS units or shares is to be weighted according to mandate-based approach.
If not, the exposure will be weighted using the alternative approach, i.e. 1250%</t>
        </is>
      </c>
      <c r="K814" s="370" t="inlineStr">
        <is>
          <t>ND</t>
        </is>
      </c>
      <c r="L814" s="371" t="inlineStr">
        <is>
          <t>ND</t>
        </is>
      </c>
      <c r="M814" s="1420" t="inlineStr">
        <is>
          <t>indMandatApproch</t>
        </is>
      </c>
      <c r="N814" s="599" t="inlineStr">
        <is>
          <t>Obligatoire (SC)</t>
        </is>
      </c>
      <c r="O814" s="310" t="inlineStr">
        <is>
          <t>Mandatory (SC)</t>
        </is>
      </c>
      <c r="P814" s="269" t="inlineStr">
        <is>
          <t>LC.0493</t>
        </is>
      </c>
      <c r="Q814" s="269" t="inlineStr">
        <is>
          <t>TA Z8IAPPMA</t>
        </is>
      </c>
      <c r="R814" s="746" t="inlineStr">
        <is>
          <t>Champ à renseigner pour les OPCVM externes.
S'il est alimenté à 'Y', bien renseigner le champ nature du sous-jacent (P1 12.1) afin de pondérer correctement l'encours sinon il sera pondéré à 1250%</t>
        </is>
      </c>
      <c r="S814" s="235" t="inlineStr">
        <is>
          <t>Field to be completed for external UCITS.
If it is fed to 'Y', fill in the nature field of the underlying (P1 12.1) in order to correctly weight the outstanding otherwise it will be weighted at 1250%</t>
        </is>
      </c>
      <c r="T814" s="313" t="inlineStr">
        <is>
          <t>ALPHA</t>
        </is>
      </c>
      <c r="U814" s="237" t="inlineStr">
        <is>
          <t>NA</t>
        </is>
      </c>
      <c r="V814" s="238" t="inlineStr">
        <is>
          <t>NA</t>
        </is>
      </c>
      <c r="W814" s="257" t="n">
        <v>1</v>
      </c>
      <c r="X814" s="945" t="inlineStr">
        <is>
          <t>NA</t>
        </is>
      </c>
      <c r="Y814" s="237" t="n">
        <v>44</v>
      </c>
      <c r="Z814" s="237" t="inlineStr">
        <is>
          <t>NA</t>
        </is>
      </c>
      <c r="AA814" s="270" t="inlineStr">
        <is>
          <t>NA</t>
        </is>
      </c>
      <c r="AB814" s="1286" t="inlineStr">
        <is>
          <t>CALCULS PRUDENTIELS</t>
        </is>
      </c>
      <c r="AC814" s="231" t="inlineStr">
        <is>
          <t>ND</t>
        </is>
      </c>
      <c r="AD814" s="257" t="inlineStr">
        <is>
          <t>N</t>
        </is>
      </c>
      <c r="AE814" s="257" t="inlineStr">
        <is>
          <t>SIG*, ISS*</t>
        </is>
      </c>
      <c r="AF814" s="257" t="inlineStr">
        <is>
          <t>NA</t>
        </is>
      </c>
      <c r="AG814" s="258" t="inlineStr">
        <is>
          <t>NA</t>
        </is>
      </c>
      <c r="AH814" s="89" t="n"/>
      <c r="AI814" s="714" t="n"/>
      <c r="AJ814" s="434" t="n"/>
      <c r="AK814" s="588" t="n"/>
      <c r="AL814" s="713" t="n"/>
      <c r="AM814" s="712" t="inlineStr">
        <is>
          <t>Si elle est renseignée, la valeur doit être connue du Langage Commun associé</t>
        </is>
      </c>
      <c r="AN814" s="434" t="inlineStr">
        <is>
          <t>If specified, the value must be known to the associated Common Language</t>
        </is>
      </c>
      <c r="AO814" s="588" t="n">
        <v>7</v>
      </c>
      <c r="AP814" s="212" t="inlineStr">
        <is>
          <t>TIG0001</t>
        </is>
      </c>
      <c r="AQ814" s="712" t="n"/>
      <c r="AR814" s="434" t="n"/>
      <c r="AS814" s="588" t="n"/>
      <c r="AT814" s="713" t="n"/>
      <c r="AU814" s="712" t="n"/>
      <c r="AV814" s="434" t="n"/>
      <c r="AW814" s="588" t="n"/>
      <c r="AX814" s="713" t="n"/>
      <c r="AY814" s="712" t="n"/>
      <c r="AZ814" s="434" t="n"/>
      <c r="BA814" s="588" t="n"/>
      <c r="BB814" s="713" t="n"/>
      <c r="BC814" s="714" t="n"/>
      <c r="BD814" s="434" t="n"/>
      <c r="BE814" s="588" t="n"/>
      <c r="BF814" s="713" t="n"/>
      <c r="BG814" s="89" t="n"/>
      <c r="BH8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14">
        <f>_xlfn.LET(r,ROW(),oc,INDEX($A:$A,r),cv,TRIM(INDEX($Y:$Y,r)&amp;""),IF(oc&lt;&gt;"P1","",IF(cv="45","V45 - novo, nao alimentado pelo spool atual","V44 - alimentado pelo spool atual")))</f>
        <v/>
      </c>
    </row>
    <row r="815" ht="54" customFormat="1" customHeight="1" s="91">
      <c r="A815" s="306" t="inlineStr">
        <is>
          <t>P1</t>
        </is>
      </c>
      <c r="B815" s="307" t="n">
        <v>580</v>
      </c>
      <c r="C815" s="269" t="inlineStr">
        <is>
          <t>31 - Paramètres bâlois</t>
        </is>
      </c>
      <c r="D815" s="236" t="inlineStr">
        <is>
          <t>31 - Basel settings</t>
        </is>
      </c>
      <c r="E815" s="307" t="inlineStr">
        <is>
          <t>P1 21.68</t>
        </is>
      </c>
      <c r="F815" s="308" t="inlineStr">
        <is>
          <t>Niveau de risque CRR3</t>
        </is>
      </c>
      <c r="G815" s="309" t="inlineStr">
        <is>
          <t>Risk level (CRR3)</t>
        </is>
      </c>
      <c r="H815" s="1493">
        <f>"RPAD( "&amp;SUBSTITUTE(SUBSTITUTE(E815," ","_"),".","_")&amp;","&amp;W815&amp;",' '); -- "&amp;E815</f>
        <v/>
      </c>
      <c r="I815" s="664" t="inlineStr">
        <is>
          <t>Permet de préciser le niveau de risque associé à l'engagement et de forcer le taux de CCF à appliquer.
Si ce champ n'est pas renseigné, alors le CCF sera déterminé en fonction des différents paramètres (type de risque, maturité, …)
Ce champ respecte les définitions de la réglementation CRR3 - Annexe 1</t>
        </is>
      </c>
      <c r="J815" s="309" t="inlineStr">
        <is>
          <t>Allows you to specify the level of risk associated with the commitment and to force the CCF rate to be applied.
If this field is not filled in, then the CCF will be determined according to the different parameters (type of risk, maturity, etc.)
It follows CRR3 - Appendix 1 Regulation definitions</t>
        </is>
      </c>
      <c r="K815" s="370" t="inlineStr">
        <is>
          <t>ND</t>
        </is>
      </c>
      <c r="L815" s="371" t="inlineStr">
        <is>
          <t>ND</t>
        </is>
      </c>
      <c r="M815" s="1420" t="inlineStr">
        <is>
          <t>NivRisqCRR3</t>
        </is>
      </c>
      <c r="N815" s="257" t="inlineStr">
        <is>
          <t>Facultatif</t>
        </is>
      </c>
      <c r="O815" s="310" t="inlineStr">
        <is>
          <t>Optional</t>
        </is>
      </c>
      <c r="P815" s="269" t="inlineStr">
        <is>
          <t>LC.0511</t>
        </is>
      </c>
      <c r="Q815" s="269" t="inlineStr">
        <is>
          <t>TA Z8NRCRR3</t>
        </is>
      </c>
      <c r="R815" s="1249" t="inlineStr">
        <is>
          <t>Si renseigné, le CCF associé à ce niveau de risque sera pris en compte dans le calcul de la valeur exposée au risque EAD, sinon le CCF est déterminé en central à partir du type de risque et de la maturité de l'engagement</t>
        </is>
      </c>
      <c r="S815" s="235" t="inlineStr">
        <is>
          <t>If completed, the CCF associated with this risk level will be considered in the calculation of the EAD risk exposure value, otherwise the CCF is determined centrally based on the risk type and maturity of the funds in use</t>
        </is>
      </c>
      <c r="T815" s="313" t="inlineStr">
        <is>
          <t>ALPHA</t>
        </is>
      </c>
      <c r="U815" s="237" t="inlineStr">
        <is>
          <t>NA</t>
        </is>
      </c>
      <c r="V815" s="238" t="inlineStr">
        <is>
          <t>NA</t>
        </is>
      </c>
      <c r="W815" s="257" t="n">
        <v>1</v>
      </c>
      <c r="X815" s="945" t="inlineStr">
        <is>
          <t>NA</t>
        </is>
      </c>
      <c r="Y815" s="237" t="n">
        <v>44</v>
      </c>
      <c r="Z815" s="237" t="inlineStr">
        <is>
          <t>NA</t>
        </is>
      </c>
      <c r="AA815" s="270" t="inlineStr">
        <is>
          <t>NA</t>
        </is>
      </c>
      <c r="AB815" s="1286" t="inlineStr">
        <is>
          <t>CALCULS PRUDENTIELS</t>
        </is>
      </c>
      <c r="AC815" s="231" t="inlineStr">
        <is>
          <t>ND</t>
        </is>
      </c>
      <c r="AD815" s="257" t="inlineStr">
        <is>
          <t>N</t>
        </is>
      </c>
      <c r="AE815" s="971" t="inlineStr">
        <is>
          <t>EQU101
EQU201
ISS100
ISS200 et 300
TRE100
TRE2 à 4XX hors 203,205,206,207
TRE203, 205, 207
TRE206
TRE5XX
SIG
VAR*
INT</t>
        </is>
      </c>
      <c r="AF815" s="257" t="inlineStr">
        <is>
          <t>NA</t>
        </is>
      </c>
      <c r="AG815" s="258" t="inlineStr">
        <is>
          <t>NA</t>
        </is>
      </c>
      <c r="AH815" s="89" t="n"/>
      <c r="AI815" s="714" t="n"/>
      <c r="AJ815" s="434" t="n"/>
      <c r="AK815" s="588" t="n"/>
      <c r="AL815" s="713" t="n"/>
      <c r="AM815" s="712" t="inlineStr">
        <is>
          <t>Si elle est renseignée, la valeur doit être connue du Langage Commun associé</t>
        </is>
      </c>
      <c r="AN815" s="434" t="inlineStr">
        <is>
          <t>If specified, the value must be known to the associated Common Language</t>
        </is>
      </c>
      <c r="AO815" s="588" t="n">
        <v>7</v>
      </c>
      <c r="AP815" s="212" t="inlineStr">
        <is>
          <t>TIG0001</t>
        </is>
      </c>
      <c r="AQ815" s="712" t="n"/>
      <c r="AR815" s="434" t="n"/>
      <c r="AS815" s="588" t="n"/>
      <c r="AT815" s="713" t="n"/>
      <c r="AU815" s="712" t="n"/>
      <c r="AV815" s="434" t="n"/>
      <c r="AW815" s="588" t="n"/>
      <c r="AX815" s="713" t="n"/>
      <c r="AY815" s="712" t="n"/>
      <c r="AZ815" s="434" t="n"/>
      <c r="BA815" s="588" t="n"/>
      <c r="BB815" s="713" t="n"/>
      <c r="BC815" s="714" t="n"/>
      <c r="BD815" s="434" t="n"/>
      <c r="BE815" s="588" t="n"/>
      <c r="BF815" s="713" t="n"/>
      <c r="BG815" s="89" t="n"/>
      <c r="BH8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15">
        <f>_xlfn.LET(r,ROW(),oc,INDEX($A:$A,r),cv,TRIM(INDEX($Y:$Y,r)&amp;""),IF(oc&lt;&gt;"P1","",IF(cv="45","V45 - novo, nao alimentado pelo spool atual","V44 - alimentado pelo spool atual")))</f>
        <v/>
      </c>
    </row>
    <row r="816" ht="54" customFormat="1" customHeight="1" s="91">
      <c r="A816" s="306" t="inlineStr">
        <is>
          <t>P1</t>
        </is>
      </c>
      <c r="B816" s="307" t="n">
        <v>581</v>
      </c>
      <c r="C816" s="269" t="inlineStr">
        <is>
          <t>31 - Paramètres bâlois</t>
        </is>
      </c>
      <c r="D816" s="236" t="inlineStr">
        <is>
          <t>31 - Basel settings</t>
        </is>
      </c>
      <c r="E816" s="307" t="inlineStr">
        <is>
          <t>P1 21.55</t>
        </is>
      </c>
      <c r="F816" s="564" t="inlineStr">
        <is>
          <t>NATure d'Opération de l'engagement pour le calcul Output floor</t>
        </is>
      </c>
      <c r="G816" s="309" t="inlineStr">
        <is>
          <t>Commitment Transaction Nature for Output floor calculation</t>
        </is>
      </c>
      <c r="H816" s="1493">
        <f>"RPAD( "&amp;SUBSTITUTE(SUBSTITUTE(E816," ","_"),".","_")&amp;","&amp;W816&amp;",' '); -- "&amp;E816</f>
        <v/>
      </c>
      <c r="I816" s="646" t="inlineStr">
        <is>
          <t>Correspond à la classification de l'encours pour le calcul en Output Floor selon la nomenclature Groupe CA "NATO" commune aux Risques et à la Comptabilité.</t>
        </is>
      </c>
      <c r="J816" s="309" t="inlineStr">
        <is>
          <t>Represents the classification of outstanding amounts for Output floor calculation on the basis of the CA Group shared Risk and Accounting "NATO" (transaction nature) nomenclature</t>
        </is>
      </c>
      <c r="K816" s="370" t="inlineStr">
        <is>
          <t>ND</t>
        </is>
      </c>
      <c r="L816" s="371" t="inlineStr">
        <is>
          <t>ND</t>
        </is>
      </c>
      <c r="M816" s="1420" t="inlineStr">
        <is>
          <t>cdNatOpCalcOutFloor</t>
        </is>
      </c>
      <c r="N816" s="257" t="inlineStr">
        <is>
          <t>Obligatoire</t>
        </is>
      </c>
      <c r="O816" s="310" t="inlineStr">
        <is>
          <t>Mandatory</t>
        </is>
      </c>
      <c r="P816" s="269" t="inlineStr">
        <is>
          <t>LC.0064</t>
        </is>
      </c>
      <c r="Q816" s="269" t="inlineStr">
        <is>
          <t>TA H8NATOPE</t>
        </is>
      </c>
      <c r="R816" s="241" t="inlineStr">
        <is>
          <t>Il s'agit ici de la NATure d'Opération telle que déterminée et employée par l'entité pour la déclaration de l'outputfloor</t>
        </is>
      </c>
      <c r="S816" s="235" t="inlineStr">
        <is>
          <t>This is the Operation NATure as determined and used by the entity for the outputfloor reporting</t>
        </is>
      </c>
      <c r="T816" s="313" t="inlineStr">
        <is>
          <t>ALPHA</t>
        </is>
      </c>
      <c r="U816" s="237" t="inlineStr">
        <is>
          <t>NA</t>
        </is>
      </c>
      <c r="V816" s="238" t="inlineStr">
        <is>
          <t>NA</t>
        </is>
      </c>
      <c r="W816" s="257" t="n">
        <v>12</v>
      </c>
      <c r="X816" s="945" t="inlineStr">
        <is>
          <t>NA</t>
        </is>
      </c>
      <c r="Y816" s="237" t="n">
        <v>44</v>
      </c>
      <c r="Z816" s="237" t="inlineStr">
        <is>
          <t>NA</t>
        </is>
      </c>
      <c r="AA816" s="270" t="inlineStr">
        <is>
          <t>NA</t>
        </is>
      </c>
      <c r="AB816" s="1286" t="inlineStr">
        <is>
          <t>CALCULS PRUDENTIELS</t>
        </is>
      </c>
      <c r="AC816" s="231" t="inlineStr">
        <is>
          <t>ND</t>
        </is>
      </c>
      <c r="AD816" s="257" t="inlineStr">
        <is>
          <t>N</t>
        </is>
      </c>
      <c r="AE816" s="971" t="inlineStr">
        <is>
          <t>EQU101
EQU201
ISS100
ISS200 et 300
TRE100
TRE2 à 4XX hors 203,205,206,207
TRE203, 205, 207
TRE206
TRE5XX
SIG
VAR*
INT</t>
        </is>
      </c>
      <c r="AF816" s="257" t="inlineStr">
        <is>
          <t>NA</t>
        </is>
      </c>
      <c r="AG816" s="258" t="inlineStr">
        <is>
          <t>NA</t>
        </is>
      </c>
      <c r="AH816" s="89" t="n"/>
      <c r="AI816" s="714" t="inlineStr">
        <is>
          <t>La donnée est obligatoire</t>
        </is>
      </c>
      <c r="AJ816" s="434" t="inlineStr">
        <is>
          <t>The data is mandatory</t>
        </is>
      </c>
      <c r="AK816" s="588" t="n">
        <v>7</v>
      </c>
      <c r="AL816" s="335" t="inlineStr">
        <is>
          <t>TPG0001</t>
        </is>
      </c>
      <c r="AM816" s="712" t="inlineStr">
        <is>
          <t>Si elle est renseignée, la valeur doit être connue du Langage Commun associé</t>
        </is>
      </c>
      <c r="AN816" s="434" t="inlineStr">
        <is>
          <t>If specified, the value must be known to the associated Common Language</t>
        </is>
      </c>
      <c r="AO816" s="588" t="n">
        <v>7</v>
      </c>
      <c r="AP816" s="212" t="inlineStr">
        <is>
          <t>TIG0001</t>
        </is>
      </c>
      <c r="AQ816" s="712" t="n"/>
      <c r="AR816" s="434" t="n"/>
      <c r="AS816" s="588" t="n"/>
      <c r="AT816" s="713" t="n"/>
      <c r="AU816" s="712" t="n"/>
      <c r="AV816" s="434" t="n"/>
      <c r="AW816" s="588" t="n"/>
      <c r="AX816" s="713" t="n"/>
      <c r="AY816" s="712" t="n"/>
      <c r="AZ816" s="434" t="n"/>
      <c r="BA816" s="588" t="n"/>
      <c r="BB816" s="713" t="n"/>
      <c r="BC816" s="714" t="n"/>
      <c r="BD816" s="434" t="n"/>
      <c r="BE816" s="588" t="n"/>
      <c r="BF816" s="713" t="n"/>
      <c r="BG816" s="89" t="n"/>
      <c r="BH8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16">
        <f>_xlfn.LET(r,ROW(),oc,INDEX($A:$A,r),cv,TRIM(INDEX($Y:$Y,r)&amp;""),IF(oc&lt;&gt;"P1","",IF(cv="45","V45 - novo, nao alimentado pelo spool atual","V44 - alimentado pelo spool atual")))</f>
        <v/>
      </c>
    </row>
    <row r="817" ht="54" customFormat="1" customHeight="1" s="91">
      <c r="A817" s="306" t="inlineStr">
        <is>
          <t>P1</t>
        </is>
      </c>
      <c r="B817" s="307" t="n">
        <v>582</v>
      </c>
      <c r="C817" s="269" t="inlineStr">
        <is>
          <t>09 - Caractéristiques Dérivés</t>
        </is>
      </c>
      <c r="D817" s="236" t="inlineStr">
        <is>
          <t>09 - Derivative characteristics</t>
        </is>
      </c>
      <c r="E817" s="307" t="inlineStr">
        <is>
          <t>P1 21.69</t>
        </is>
      </c>
      <c r="F817" s="747" t="inlineStr">
        <is>
          <t>Indicateur de calcul de l'ajustement de l'évaluation de crédit (CVA) prudentielle en local</t>
        </is>
      </c>
      <c r="G817" s="309" t="inlineStr">
        <is>
          <t>Prudential credit valuation adjustment (CVA) local calculation indicator</t>
        </is>
      </c>
      <c r="H817" s="1493">
        <f>"RPAD( "&amp;SUBSTITUTE(SUBSTITUTE(E817," ","_"),".","_")&amp;","&amp;W817&amp;",' '); -- "&amp;E817</f>
        <v/>
      </c>
      <c r="I817" s="308" t="inlineStr">
        <is>
          <t>Indique si le calcul de la CVA prudentielle se fait en local</t>
        </is>
      </c>
      <c r="J817" s="309" t="inlineStr">
        <is>
          <t>Indicates if the Prudential CVA calculation is done locally</t>
        </is>
      </c>
      <c r="K817" s="370" t="inlineStr">
        <is>
          <t>ND</t>
        </is>
      </c>
      <c r="L817" s="371" t="inlineStr">
        <is>
          <t>ND</t>
        </is>
      </c>
      <c r="M817" s="1420" t="inlineStr">
        <is>
          <t>indCalcCVAlocal</t>
        </is>
      </c>
      <c r="N817" s="449" t="inlineStr">
        <is>
          <t>Obligatoire sous conditions</t>
        </is>
      </c>
      <c r="O817" s="310" t="inlineStr">
        <is>
          <t>Mandatory under conditions</t>
        </is>
      </c>
      <c r="P817" s="269" t="inlineStr">
        <is>
          <t>LC.0485</t>
        </is>
      </c>
      <c r="Q817" s="269" t="inlineStr">
        <is>
          <t>TA Z8ICVAPL</t>
        </is>
      </c>
      <c r="R817" s="1016" t="inlineStr">
        <is>
          <t>NA</t>
        </is>
      </c>
      <c r="S817" s="233" t="inlineStr">
        <is>
          <t>NA</t>
        </is>
      </c>
      <c r="T817" s="313" t="inlineStr">
        <is>
          <t>ALPHA</t>
        </is>
      </c>
      <c r="U817" s="237" t="inlineStr">
        <is>
          <t>NA</t>
        </is>
      </c>
      <c r="V817" s="238" t="inlineStr">
        <is>
          <t>NA</t>
        </is>
      </c>
      <c r="W817" s="257" t="n">
        <v>1</v>
      </c>
      <c r="X817" s="945" t="inlineStr">
        <is>
          <t>NA</t>
        </is>
      </c>
      <c r="Y817" s="237" t="n">
        <v>44</v>
      </c>
      <c r="Z817" s="237" t="inlineStr">
        <is>
          <t>NA</t>
        </is>
      </c>
      <c r="AA817" s="270" t="inlineStr">
        <is>
          <t>NA</t>
        </is>
      </c>
      <c r="AB817" s="1286" t="inlineStr">
        <is>
          <t>CALCULS PRUDENTIELS</t>
        </is>
      </c>
      <c r="AC817" s="231" t="inlineStr">
        <is>
          <t>ND</t>
        </is>
      </c>
      <c r="AD817" s="257" t="inlineStr">
        <is>
          <t>N</t>
        </is>
      </c>
      <c r="AE817" s="748" t="inlineStr">
        <is>
          <t>VAR*</t>
        </is>
      </c>
      <c r="AF817" s="257" t="inlineStr">
        <is>
          <t>NA</t>
        </is>
      </c>
      <c r="AG817" s="258" t="inlineStr">
        <is>
          <t>NA</t>
        </is>
      </c>
      <c r="AH817" s="89" t="n"/>
      <c r="AI817" s="749" t="inlineStr">
        <is>
          <t>La donnée est obligatoire, si Type de risque [P1 2.0] = ‘VAR*'</t>
        </is>
      </c>
      <c r="AJ817" s="434" t="inlineStr">
        <is>
          <t>The data is mandatory, if Risk type [P1 2.0] = ‘VAR*'</t>
        </is>
      </c>
      <c r="AK817" s="588" t="n">
        <v>6</v>
      </c>
      <c r="AL817" s="366" t="inlineStr">
        <is>
          <t>TPS0809</t>
        </is>
      </c>
      <c r="AM817" s="712" t="inlineStr">
        <is>
          <t>Si elle est renseignée, la valeur doit être connue du Langage Commun associé</t>
        </is>
      </c>
      <c r="AN817" s="434" t="inlineStr">
        <is>
          <t>If specified, the value must be known to the associated Common Language</t>
        </is>
      </c>
      <c r="AO817" s="588" t="n">
        <v>7</v>
      </c>
      <c r="AP817" s="212" t="inlineStr">
        <is>
          <t>TIG0001</t>
        </is>
      </c>
      <c r="AQ817" s="712" t="n"/>
      <c r="AR817" s="434" t="n"/>
      <c r="AS817" s="588" t="n"/>
      <c r="AT817" s="713" t="n"/>
      <c r="AU817" s="712" t="n"/>
      <c r="AV817" s="434" t="n"/>
      <c r="AW817" s="588" t="n"/>
      <c r="AX817" s="713" t="n"/>
      <c r="AY817" s="712" t="n"/>
      <c r="AZ817" s="434" t="n"/>
      <c r="BA817" s="588" t="n"/>
      <c r="BB817" s="713" t="n"/>
      <c r="BC817" s="714" t="n"/>
      <c r="BD817" s="434" t="n"/>
      <c r="BE817" s="588" t="n"/>
      <c r="BF817" s="713" t="n"/>
      <c r="BG817" s="89" t="n"/>
      <c r="BH8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17">
        <f>_xlfn.LET(r,ROW(),oc,INDEX($A:$A,r),cv,TRIM(INDEX($Y:$Y,r)&amp;""),IF(oc&lt;&gt;"P1","",IF(cv="45","V45 - novo, nao alimentado pelo spool atual","V44 - alimentado pelo spool atual")))</f>
        <v/>
      </c>
    </row>
    <row r="818" ht="54" customFormat="1" customHeight="1" s="91">
      <c r="A818" s="306" t="inlineStr">
        <is>
          <t>P1</t>
        </is>
      </c>
      <c r="B818" s="307" t="n">
        <v>583</v>
      </c>
      <c r="C818" s="269" t="inlineStr">
        <is>
          <t>16 - Identification Tiers</t>
        </is>
      </c>
      <c r="D818" s="236" t="inlineStr">
        <is>
          <t>16 - Third party identification</t>
        </is>
      </c>
      <c r="E818" s="307" t="inlineStr">
        <is>
          <t>P1 21.89</t>
        </is>
      </c>
      <c r="F818" s="308" t="inlineStr">
        <is>
          <t>Identifiant local du client de l'intermédiaire compensateur</t>
        </is>
      </c>
      <c r="G818" s="309" t="inlineStr">
        <is>
          <t>Local identifier of the clearing intermediary's customer</t>
        </is>
      </c>
      <c r="H818" s="1493">
        <f>"RPAD( "&amp;SUBSTITUTE(SUBSTITUTE(E818," ","_"),".","_")&amp;","&amp;W818&amp;",' '); -- "&amp;E818</f>
        <v/>
      </c>
      <c r="I818" s="308" t="inlineStr">
        <is>
          <t>Identifiant du client de l'intermédiaire compensateur dans le système local utilisé pour générer le flux.
Identifiant local du client intragroupe pour le compte duquel l'intermédiaire (entité déclarante) réalise la compensation via CCP sans garantie de bonne fin.
Ce champ est à renseigner sur les opérations entre l'intermédiaire et la CCP.</t>
        </is>
      </c>
      <c r="J818" s="309" t="inlineStr">
        <is>
          <t>Identifier of the clearing intermediary's customer in the local system used to generate the flow.
The local identifier of the intra-group customer on whose behalf the intermediary (reporting entity) makes the compensation via CCP without a completion guarantee.
This field is to be filled on declared transactions between the intermediary and the CCP.</t>
        </is>
      </c>
      <c r="K818" s="370" t="inlineStr">
        <is>
          <t>ND</t>
        </is>
      </c>
      <c r="L818" s="371" t="inlineStr">
        <is>
          <t>ND</t>
        </is>
      </c>
      <c r="M818" s="1420" t="inlineStr">
        <is>
          <t>idLocalCliCompens</t>
        </is>
      </c>
      <c r="N818" s="257" t="inlineStr">
        <is>
          <t>Facultatif</t>
        </is>
      </c>
      <c r="O818" s="310" t="inlineStr">
        <is>
          <t>Optional</t>
        </is>
      </c>
      <c r="P818" s="269" t="inlineStr">
        <is>
          <t>NA</t>
        </is>
      </c>
      <c r="Q818" s="269" t="inlineStr">
        <is>
          <t>NA</t>
        </is>
      </c>
      <c r="R818" s="1249" t="inlineStr">
        <is>
          <t>Ce champ est à renseigner sur les opérations entre l'intermédiaire et la CCP. Il ne devrait être renseigné que lorsque le client fait partie du groupe Crédit Agricole.
Champ réservé à CACEIS</t>
        </is>
      </c>
      <c r="S818" s="235" t="inlineStr">
        <is>
          <t>This field is for information on the transactions between the intermediary and the CCP. It should only be provided when the customer Credit Agricole Group is part of the
Field reserved for CACEIS</t>
        </is>
      </c>
      <c r="T818" s="313" t="inlineStr">
        <is>
          <t>ALPHA</t>
        </is>
      </c>
      <c r="U818" s="237" t="inlineStr">
        <is>
          <t>NA</t>
        </is>
      </c>
      <c r="V818" s="238" t="inlineStr">
        <is>
          <t>NA</t>
        </is>
      </c>
      <c r="W818" s="257" t="n">
        <v>20</v>
      </c>
      <c r="X818" s="945" t="inlineStr">
        <is>
          <t>NA</t>
        </is>
      </c>
      <c r="Y818" s="237" t="n">
        <v>44</v>
      </c>
      <c r="Z818" s="237" t="inlineStr">
        <is>
          <t>NA</t>
        </is>
      </c>
      <c r="AA818" s="270" t="inlineStr">
        <is>
          <t>NA</t>
        </is>
      </c>
      <c r="AB818" s="1286" t="inlineStr">
        <is>
          <t>CALCULS PRUDENTIELS</t>
        </is>
      </c>
      <c r="AC818" s="231" t="inlineStr">
        <is>
          <t>ND</t>
        </is>
      </c>
      <c r="AD818" s="257" t="inlineStr">
        <is>
          <t>N</t>
        </is>
      </c>
      <c r="AE818" s="971" t="inlineStr">
        <is>
          <t>TRE203, 205, 207
TRE206
VAR*</t>
        </is>
      </c>
      <c r="AF818" s="257" t="inlineStr">
        <is>
          <t>NA</t>
        </is>
      </c>
      <c r="AG818" s="258" t="inlineStr">
        <is>
          <t>NA</t>
        </is>
      </c>
      <c r="AH818" s="89" t="n"/>
      <c r="AI818" s="714" t="n"/>
      <c r="AJ818" s="434" t="n"/>
      <c r="AK818" s="588" t="n"/>
      <c r="AL818" s="713" t="n"/>
      <c r="AM818" s="712" t="n"/>
      <c r="AN818" s="434" t="n"/>
      <c r="AO818" s="588" t="n"/>
      <c r="AP818" s="713" t="n"/>
      <c r="AQ818" s="712" t="n"/>
      <c r="AR818" s="434" t="n"/>
      <c r="AS818" s="588" t="n"/>
      <c r="AT818" s="713" t="n"/>
      <c r="AU818" s="712" t="n"/>
      <c r="AV818" s="434" t="n"/>
      <c r="AW818" s="588" t="n"/>
      <c r="AX818" s="713" t="n"/>
      <c r="AY818" s="337" t="inlineStr">
        <is>
          <t>Le tiers doit exister (présence du tiers dans TIGRE)</t>
        </is>
      </c>
      <c r="AZ818" s="317" t="inlineStr">
        <is>
          <t>The third-party must exist (presence of the third-party in TIGRE)</t>
        </is>
      </c>
      <c r="BA818" s="588" t="n">
        <v>7</v>
      </c>
      <c r="BB818" s="352" t="inlineStr">
        <is>
          <t>TIG0002</t>
        </is>
      </c>
      <c r="BC818" s="714" t="n"/>
      <c r="BD818" s="434" t="n"/>
      <c r="BE818" s="588" t="n"/>
      <c r="BF818" s="713" t="n"/>
      <c r="BG818" s="89" t="n"/>
      <c r="BH8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18">
        <f>_xlfn.LET(r,ROW(),oc,INDEX($A:$A,r),cv,TRIM(INDEX($Y:$Y,r)&amp;""),IF(oc&lt;&gt;"P1","",IF(cv="45","V45 - novo, nao alimentado pelo spool atual","V44 - alimentado pelo spool atual")))</f>
        <v/>
      </c>
    </row>
    <row r="819" ht="54" customFormat="1" customHeight="1" s="91">
      <c r="A819" s="306" t="inlineStr">
        <is>
          <t>P1</t>
        </is>
      </c>
      <c r="B819" s="307" t="n">
        <v>584</v>
      </c>
      <c r="C819" s="269" t="inlineStr">
        <is>
          <t>16 - Identification Tiers</t>
        </is>
      </c>
      <c r="D819" s="236" t="inlineStr">
        <is>
          <t>16 - Third party identification</t>
        </is>
      </c>
      <c r="E819" s="307" t="inlineStr">
        <is>
          <t>P1 21.90</t>
        </is>
      </c>
      <c r="F819" s="308" t="inlineStr">
        <is>
          <t>Identifiant central du client de l'intermédiaire compensateur</t>
        </is>
      </c>
      <c r="G819" s="309" t="inlineStr">
        <is>
          <t>Central identifier of the clearing intermediary's customer</t>
        </is>
      </c>
      <c r="H819" s="1493">
        <f>"RPAD( "&amp;SUBSTITUTE(SUBSTITUTE(E819," ","_"),".","_")&amp;","&amp;W819&amp;",' '); -- "&amp;E819</f>
        <v/>
      </c>
      <c r="I819" s="308" t="inlineStr">
        <is>
          <t>Identifiant central du client intragroupe pour le compte duquel l'intermédiaire (entité déclarante) réalise la compensation via CCP sans garantie de bonne fin.
Ce champ est à renseigner sur les opérations entre l'intermédiaire et la CCP.</t>
        </is>
      </c>
      <c r="J819" s="309" t="inlineStr">
        <is>
          <t>The central identifier of the intra-group customer on whose behalf the intermediary (reporting entity) makes the compensation via CCP without a completion guarantee.
This field is to be filled on declared transactions between the intermediary and the CCP.</t>
        </is>
      </c>
      <c r="K819" s="370" t="inlineStr">
        <is>
          <t>ND</t>
        </is>
      </c>
      <c r="L819" s="371" t="inlineStr">
        <is>
          <t>ND</t>
        </is>
      </c>
      <c r="M819" s="1420" t="inlineStr">
        <is>
          <t>idCentralCliCompens</t>
        </is>
      </c>
      <c r="N819" s="257" t="inlineStr">
        <is>
          <t>Facultatif</t>
        </is>
      </c>
      <c r="O819" s="310" t="inlineStr">
        <is>
          <t>Optional</t>
        </is>
      </c>
      <c r="P819" s="269" t="inlineStr">
        <is>
          <t>NA</t>
        </is>
      </c>
      <c r="Q819" s="269" t="inlineStr">
        <is>
          <t>NA</t>
        </is>
      </c>
      <c r="R819" s="1249" t="inlineStr">
        <is>
          <t>Ce champ est à renseigner sur les opérations entre l'intermédiaire et la CCP. Il ne devrait être renseigné que lorsque le client fait partie du groupe Crédit Agricole.
Champ réservé à CACEIS</t>
        </is>
      </c>
      <c r="S819" s="235" t="inlineStr">
        <is>
          <t>This field is for information on the transactions between the intermediary and the CCP. It should only be provided when the customer Credit Agricole Group is part of the
Field reserved for CACEIS</t>
        </is>
      </c>
      <c r="T819" s="313" t="inlineStr">
        <is>
          <t>ALPHA</t>
        </is>
      </c>
      <c r="U819" s="237" t="inlineStr">
        <is>
          <t>NA</t>
        </is>
      </c>
      <c r="V819" s="238" t="inlineStr">
        <is>
          <t>NA</t>
        </is>
      </c>
      <c r="W819" s="257" t="n">
        <v>10</v>
      </c>
      <c r="X819" s="945" t="inlineStr">
        <is>
          <t>NA</t>
        </is>
      </c>
      <c r="Y819" s="237" t="n">
        <v>44</v>
      </c>
      <c r="Z819" s="237" t="inlineStr">
        <is>
          <t>NA</t>
        </is>
      </c>
      <c r="AA819" s="270" t="inlineStr">
        <is>
          <t>45.00</t>
        </is>
      </c>
      <c r="AB819" s="1287" t="inlineStr">
        <is>
          <t>ASTRE, CALCULS PRUDENTIELS</t>
        </is>
      </c>
      <c r="AC819" s="231" t="inlineStr">
        <is>
          <t>ND</t>
        </is>
      </c>
      <c r="AD819" s="257" t="inlineStr">
        <is>
          <t>N</t>
        </is>
      </c>
      <c r="AE819" s="971" t="inlineStr">
        <is>
          <t>TRE203, 205, 207
TRE206
VAR*</t>
        </is>
      </c>
      <c r="AF819" s="257" t="inlineStr">
        <is>
          <t>NA</t>
        </is>
      </c>
      <c r="AG819" s="258" t="inlineStr">
        <is>
          <t>NA</t>
        </is>
      </c>
      <c r="AH819" s="89" t="n"/>
      <c r="AI819" s="714" t="n"/>
      <c r="AJ819" s="434" t="n"/>
      <c r="AK819" s="588" t="n"/>
      <c r="AL819" s="713" t="n"/>
      <c r="AM819" s="712" t="n"/>
      <c r="AN819" s="434" t="n"/>
      <c r="AO819" s="588" t="n"/>
      <c r="AP819" s="713" t="n"/>
      <c r="AQ819" s="712" t="n"/>
      <c r="AR819" s="434" t="n"/>
      <c r="AS819" s="588" t="n"/>
      <c r="AT819" s="713" t="n"/>
      <c r="AU819" s="712" t="n"/>
      <c r="AV819" s="434" t="n"/>
      <c r="AW819" s="588" t="n"/>
      <c r="AX819" s="713" t="n"/>
      <c r="AY819" s="1183" t="inlineStr">
        <is>
          <t>S'il est renseigné, l'identifiant doit correspondre à un enregistrement dans l'objet associé, indépendamment de l'entité
---
La donnée doit être présente dans TIGRE
---
Le couple identifiant local / central (P1 21.89 et P1 21.90) doit exister dans TIGRE</t>
        </is>
      </c>
      <c r="AZ819" s="1001" t="inlineStr">
        <is>
          <t>If it is filled in, the identifier must correspond to a record in the associated object, regardless of the entity
---
Data must be present in TIGRE
---
The local/central identifier pair (P1 21.89 and P1 21.90) must exist in TIGRE</t>
        </is>
      </c>
      <c r="BA819" s="1181" t="inlineStr">
        <is>
          <t>7
6
6</t>
        </is>
      </c>
      <c r="BB819" s="1182" t="inlineStr">
        <is>
          <t>TI0003
TIG0002
TIG0004</t>
        </is>
      </c>
      <c r="BC819" s="714" t="n"/>
      <c r="BD819" s="434" t="n"/>
      <c r="BE819" s="588" t="n"/>
      <c r="BF819" s="713" t="n"/>
      <c r="BG819" s="89" t="n"/>
      <c r="BH8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19">
        <f>_xlfn.LET(r,ROW(),oc,INDEX($A:$A,r),cv,TRIM(INDEX($Y:$Y,r)&amp;""),IF(oc&lt;&gt;"P1","",IF(cv="45","V45 - novo, nao alimentado pelo spool atual","V44 - alimentado pelo spool atual")))</f>
        <v/>
      </c>
    </row>
    <row r="820" ht="54" customFormat="1" customHeight="1" s="91">
      <c r="A820" s="306" t="inlineStr">
        <is>
          <t>P1</t>
        </is>
      </c>
      <c r="B820" s="307" t="n">
        <v>585</v>
      </c>
      <c r="C820" s="269" t="inlineStr">
        <is>
          <t>12 - Caractéristiques Prêts - Emprunts</t>
        </is>
      </c>
      <c r="D820" s="236" t="inlineStr">
        <is>
          <t>12 - Loans - Borrowings characteristics</t>
        </is>
      </c>
      <c r="E820" s="307" t="inlineStr">
        <is>
          <t>P1 8.13</t>
        </is>
      </c>
      <c r="F820" s="409" t="inlineStr">
        <is>
          <t>Usage du bien immobilier financé</t>
        </is>
      </c>
      <c r="G820" s="309" t="inlineStr">
        <is>
          <t>Use of financed property</t>
        </is>
      </c>
      <c r="H820" s="1493">
        <f>"RPAD( "&amp;SUBSTITUTE(SUBSTITUTE(E820," ","_"),".","_")&amp;","&amp;W820&amp;",' '); -- "&amp;E820</f>
        <v/>
      </c>
      <c r="I820" s="308" t="inlineStr">
        <is>
          <t>Permet de préciser si le bien financé est à usage résidentiel ou à usage commercial</t>
        </is>
      </c>
      <c r="J820" s="309" t="inlineStr">
        <is>
          <t>Specifies whether the funded property is for residential or commercial use</t>
        </is>
      </c>
      <c r="K820" s="370" t="inlineStr">
        <is>
          <t>ND</t>
        </is>
      </c>
      <c r="L820" s="371" t="inlineStr">
        <is>
          <t>ND</t>
        </is>
      </c>
      <c r="M820" s="1420" t="inlineStr">
        <is>
          <t>cdUsBienFin</t>
        </is>
      </c>
      <c r="N820" s="599" t="inlineStr">
        <is>
          <t>Obligatoire sous conditions</t>
        </is>
      </c>
      <c r="O820" s="310" t="inlineStr">
        <is>
          <t>Mandatory under conditions</t>
        </is>
      </c>
      <c r="P820" s="269" t="inlineStr">
        <is>
          <t>LC.0166</t>
        </is>
      </c>
      <c r="Q820" s="269" t="inlineStr">
        <is>
          <t>TA KVUSGBI</t>
        </is>
      </c>
      <c r="R820" s="750" t="inlineStr">
        <is>
          <t>Il s'agit du bien financé (et non du bien apporté en garantie)
Si le bien financé n'est pas un bien immobilier, mettre '0'</t>
        </is>
      </c>
      <c r="S820" s="233" t="inlineStr">
        <is>
          <t>It is the financed property (not the property assigned as collateral)
If the financed property is not real estate, put '0'</t>
        </is>
      </c>
      <c r="T820" s="313" t="inlineStr">
        <is>
          <t>ALPHA</t>
        </is>
      </c>
      <c r="U820" s="237" t="inlineStr">
        <is>
          <t>NA</t>
        </is>
      </c>
      <c r="V820" s="238" t="inlineStr">
        <is>
          <t>NA</t>
        </is>
      </c>
      <c r="W820" s="257" t="n">
        <v>1</v>
      </c>
      <c r="X820" s="945" t="inlineStr">
        <is>
          <t>NA</t>
        </is>
      </c>
      <c r="Y820" s="237" t="n">
        <v>44</v>
      </c>
      <c r="Z820" s="237" t="inlineStr">
        <is>
          <t>NA</t>
        </is>
      </c>
      <c r="AA820" s="270" t="inlineStr">
        <is>
          <t>NA</t>
        </is>
      </c>
      <c r="AB820" s="269" t="inlineStr">
        <is>
          <t>ESG PILIER 3, NZBA, RISQUE PHYSIQUE</t>
        </is>
      </c>
      <c r="AC820" s="231" t="inlineStr">
        <is>
          <t>ND</t>
        </is>
      </c>
      <c r="AD820" s="257" t="inlineStr">
        <is>
          <t>N</t>
        </is>
      </c>
      <c r="AE820" s="442" t="inlineStr">
        <is>
          <t>TRE2 à 4XX (hors 201,203,205,206,207)
TRE5XX</t>
        </is>
      </c>
      <c r="AF820" s="257" t="inlineStr">
        <is>
          <t>NA</t>
        </is>
      </c>
      <c r="AG820" s="258" t="inlineStr">
        <is>
          <t>NA</t>
        </is>
      </c>
      <c r="AH820" s="89" t="n"/>
      <c r="AI820" s="751" t="inlineStr">
        <is>
          <t>La donnée est obligatoire si le type de risque [P1 2.0] = 'TRE2xx' à 'TRE5xx', hors (TRE201, TRE203, TRE205, TRE206, TRE207)</t>
        </is>
      </c>
      <c r="AJ820" s="434" t="inlineStr">
        <is>
          <t>The data is mandatory if Risk type [P1 2.0] = 'TRE2xx' to 'TRE5xx', out (TRE201, TRE203, TRE205, TRE206, TRE207)</t>
        </is>
      </c>
      <c r="AK820" s="588" t="n">
        <v>6</v>
      </c>
      <c r="AL820" s="366" t="inlineStr">
        <is>
          <t>TPS0803</t>
        </is>
      </c>
      <c r="AM820" s="712" t="inlineStr">
        <is>
          <t>Si elle est renseignée, la valeur doit être connue du Langage Commun associé</t>
        </is>
      </c>
      <c r="AN820" s="434" t="inlineStr">
        <is>
          <t>If specified, the value must be known to the associated Common Language</t>
        </is>
      </c>
      <c r="AO820" s="588" t="n">
        <v>7</v>
      </c>
      <c r="AP820" s="212" t="inlineStr">
        <is>
          <t>TIG0001</t>
        </is>
      </c>
      <c r="AQ820" s="712" t="n"/>
      <c r="AR820" s="434" t="n"/>
      <c r="AS820" s="588" t="n"/>
      <c r="AT820" s="713" t="n"/>
      <c r="AU820" s="712" t="n"/>
      <c r="AV820" s="434" t="n"/>
      <c r="AW820" s="588" t="n"/>
      <c r="AX820" s="713" t="n"/>
      <c r="AY820" s="712" t="n"/>
      <c r="AZ820" s="434" t="n"/>
      <c r="BA820" s="588" t="n"/>
      <c r="BB820" s="713" t="n"/>
      <c r="BC820" s="714" t="n"/>
      <c r="BD820" s="434" t="n"/>
      <c r="BE820" s="588" t="n"/>
      <c r="BF820" s="713" t="n"/>
      <c r="BG820" s="89" t="n"/>
      <c r="BH8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20">
        <f>_xlfn.LET(r,ROW(),oc,INDEX($A:$A,r),cv,TRIM(INDEX($Y:$Y,r)&amp;""),IF(oc&lt;&gt;"P1","",IF(cv="45","V45 - novo, nao alimentado pelo spool atual","V44 - alimentado pelo spool atual")))</f>
        <v/>
      </c>
    </row>
    <row r="821" ht="54" customFormat="1" customHeight="1" s="91">
      <c r="A821" s="306" t="inlineStr">
        <is>
          <t>P1</t>
        </is>
      </c>
      <c r="B821" s="307" t="n">
        <v>586</v>
      </c>
      <c r="C821" s="269" t="inlineStr">
        <is>
          <t>27 - Caractéristiques extra-financière</t>
        </is>
      </c>
      <c r="D821" s="236" t="inlineStr">
        <is>
          <t>27 - Extra-financial caracteristics</t>
        </is>
      </c>
      <c r="E821" s="307" t="inlineStr">
        <is>
          <t>P1 21.71</t>
        </is>
      </c>
      <c r="F821" s="683" t="inlineStr">
        <is>
          <t>Lieu d'investissement du bien principal financé : Nom commune</t>
        </is>
      </c>
      <c r="G821" s="309" t="inlineStr">
        <is>
          <t>Investment location of the principal asset financed: Commune name</t>
        </is>
      </c>
      <c r="H821" s="1493">
        <f>"RPAD( "&amp;SUBSTITUTE(SUBSTITUTE(E821," ","_"),".","_")&amp;","&amp;W821&amp;",' '); -- "&amp;E821</f>
        <v/>
      </c>
      <c r="I821" s="308" t="inlineStr">
        <is>
          <t>Lieu d'investissement du bien financé : Nom de la commune</t>
        </is>
      </c>
      <c r="J821" s="309" t="inlineStr">
        <is>
          <t>Investment location of the financed asset: Name of the commune</t>
        </is>
      </c>
      <c r="K821" s="370" t="inlineStr">
        <is>
          <t>ND</t>
        </is>
      </c>
      <c r="L821" s="371" t="inlineStr">
        <is>
          <t>ND</t>
        </is>
      </c>
      <c r="M821" s="1420" t="inlineStr">
        <is>
          <t>NomCommBienFin</t>
        </is>
      </c>
      <c r="N821" s="257" t="inlineStr">
        <is>
          <t>Facultatif</t>
        </is>
      </c>
      <c r="O821" s="310" t="inlineStr">
        <is>
          <t>Optional</t>
        </is>
      </c>
      <c r="P821" s="269" t="inlineStr">
        <is>
          <t>LC.0369</t>
        </is>
      </c>
      <c r="Q821" s="269" t="inlineStr">
        <is>
          <t>TA COMU0001 à COMU0098</t>
        </is>
      </c>
      <c r="R821" s="241" t="inlineStr">
        <is>
          <t>NA</t>
        </is>
      </c>
      <c r="S821" s="233" t="inlineStr">
        <is>
          <t>NA</t>
        </is>
      </c>
      <c r="T821" s="313" t="inlineStr">
        <is>
          <t>ALPHA</t>
        </is>
      </c>
      <c r="U821" s="237" t="inlineStr">
        <is>
          <t>NA</t>
        </is>
      </c>
      <c r="V821" s="238" t="inlineStr">
        <is>
          <t>NA</t>
        </is>
      </c>
      <c r="W821" s="257" t="n">
        <v>40</v>
      </c>
      <c r="X821" s="945" t="inlineStr">
        <is>
          <t>NA</t>
        </is>
      </c>
      <c r="Y821" s="237" t="n">
        <v>44</v>
      </c>
      <c r="Z821" s="237" t="inlineStr">
        <is>
          <t>NA</t>
        </is>
      </c>
      <c r="AA821" s="239" t="inlineStr">
        <is>
          <t>NA</t>
        </is>
      </c>
      <c r="AB821" s="269" t="inlineStr">
        <is>
          <t>NZBA, RISQUE PHYSIQUE</t>
        </is>
      </c>
      <c r="AC821" s="231" t="inlineStr">
        <is>
          <t>ND</t>
        </is>
      </c>
      <c r="AD821" s="257" t="inlineStr">
        <is>
          <t>N</t>
        </is>
      </c>
      <c r="AE821" s="257" t="inlineStr">
        <is>
          <t>TRE2 à 5XX hors 201,203,205-207</t>
        </is>
      </c>
      <c r="AF821" s="257" t="inlineStr">
        <is>
          <t>NA</t>
        </is>
      </c>
      <c r="AG821" s="258" t="inlineStr">
        <is>
          <t>NA</t>
        </is>
      </c>
      <c r="AH821" s="89" t="n"/>
      <c r="AI821" s="752" t="n"/>
      <c r="AJ821" s="434" t="n"/>
      <c r="AK821" s="588" t="n"/>
      <c r="AL821" s="463" t="n"/>
      <c r="AM821" s="743" t="n"/>
      <c r="AN821" s="434" t="n"/>
      <c r="AO821" s="588" t="n"/>
      <c r="AP821" s="753" t="n"/>
      <c r="AQ821" s="712" t="n"/>
      <c r="AR821" s="434" t="n"/>
      <c r="AS821" s="588" t="n"/>
      <c r="AT821" s="713" t="n"/>
      <c r="AU821" s="712" t="n"/>
      <c r="AV821" s="434" t="n"/>
      <c r="AW821" s="588" t="n"/>
      <c r="AX821" s="713" t="n"/>
      <c r="AY821" s="712" t="n"/>
      <c r="AZ821" s="434" t="n"/>
      <c r="BA821" s="588" t="n"/>
      <c r="BB821" s="713" t="n"/>
      <c r="BC821" s="714" t="n"/>
      <c r="BD821" s="434" t="n"/>
      <c r="BE821" s="588" t="n"/>
      <c r="BF821" s="713" t="n"/>
      <c r="BG821" s="89" t="n"/>
      <c r="BH8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21">
        <f>_xlfn.LET(r,ROW(),oc,INDEX($A:$A,r),cv,TRIM(INDEX($Y:$Y,r)&amp;""),IF(oc&lt;&gt;"P1","",IF(cv="45","V45 - novo, nao alimentado pelo spool atual","V44 - alimentado pelo spool atual")))</f>
        <v/>
      </c>
    </row>
    <row r="822" ht="54" customFormat="1" customHeight="1" s="91">
      <c r="A822" s="306" t="inlineStr">
        <is>
          <t>P1</t>
        </is>
      </c>
      <c r="B822" s="307" t="n">
        <v>587</v>
      </c>
      <c r="C822" s="269" t="inlineStr">
        <is>
          <t>27 - Caractéristiques extra-financière</t>
        </is>
      </c>
      <c r="D822" s="236" t="inlineStr">
        <is>
          <t>27 - Extra-financial caracteristics</t>
        </is>
      </c>
      <c r="E822" s="307" t="inlineStr">
        <is>
          <t>P1 21.72</t>
        </is>
      </c>
      <c r="F822" s="683" t="inlineStr">
        <is>
          <t>Lieu d'investissement du bien principal financé : numéro dans la voie</t>
        </is>
      </c>
      <c r="G822" s="309" t="inlineStr">
        <is>
          <t>Investment location of the principal asset financed: number in the road/street</t>
        </is>
      </c>
      <c r="H822" s="1493">
        <f>"RPAD( "&amp;SUBSTITUTE(SUBSTITUTE(E822," ","_"),".","_")&amp;","&amp;W822&amp;",' '); -- "&amp;E822</f>
        <v/>
      </c>
      <c r="I822" s="308" t="inlineStr">
        <is>
          <t>Lieu d'investissement du bien financé : numéro dans la voie</t>
        </is>
      </c>
      <c r="J822" s="309" t="inlineStr">
        <is>
          <t>Investment location of the financed asset: number in the road name</t>
        </is>
      </c>
      <c r="K822" s="370" t="inlineStr">
        <is>
          <t>ND</t>
        </is>
      </c>
      <c r="L822" s="371" t="inlineStr">
        <is>
          <t>ND</t>
        </is>
      </c>
      <c r="M822" s="1420" t="inlineStr">
        <is>
          <t>NumVoieBienFin</t>
        </is>
      </c>
      <c r="N822" s="257" t="inlineStr">
        <is>
          <t>Facultatif</t>
        </is>
      </c>
      <c r="O822" s="310" t="inlineStr">
        <is>
          <t>Optional</t>
        </is>
      </c>
      <c r="P822" s="269" t="inlineStr">
        <is>
          <t>NA</t>
        </is>
      </c>
      <c r="Q822" s="269" t="inlineStr">
        <is>
          <t>NA</t>
        </is>
      </c>
      <c r="R822" s="241" t="inlineStr">
        <is>
          <t>NA</t>
        </is>
      </c>
      <c r="S822" s="233" t="inlineStr">
        <is>
          <t>NA</t>
        </is>
      </c>
      <c r="T822" s="313" t="inlineStr">
        <is>
          <t>ALPHA</t>
        </is>
      </c>
      <c r="U822" s="237" t="inlineStr">
        <is>
          <t>NA</t>
        </is>
      </c>
      <c r="V822" s="238" t="inlineStr">
        <is>
          <t>NA</t>
        </is>
      </c>
      <c r="W822" s="257" t="n">
        <v>40</v>
      </c>
      <c r="X822" s="945" t="inlineStr">
        <is>
          <t>NA</t>
        </is>
      </c>
      <c r="Y822" s="237" t="n">
        <v>44</v>
      </c>
      <c r="Z822" s="237" t="inlineStr">
        <is>
          <t>NA</t>
        </is>
      </c>
      <c r="AA822" s="239" t="inlineStr">
        <is>
          <t>NA</t>
        </is>
      </c>
      <c r="AB822" s="269" t="inlineStr">
        <is>
          <t>NZBA, RISQUE PHYSIQUE</t>
        </is>
      </c>
      <c r="AC822" s="231" t="inlineStr">
        <is>
          <t>ND</t>
        </is>
      </c>
      <c r="AD822" s="257" t="inlineStr">
        <is>
          <t>N</t>
        </is>
      </c>
      <c r="AE822" s="257" t="inlineStr">
        <is>
          <t>TRE2 à 5XX hors 201,203,205-207</t>
        </is>
      </c>
      <c r="AF822" s="257" t="inlineStr">
        <is>
          <t>NA</t>
        </is>
      </c>
      <c r="AG822" s="258" t="inlineStr">
        <is>
          <t>NA</t>
        </is>
      </c>
      <c r="AH822" s="89" t="n"/>
      <c r="AI822" s="752" t="n"/>
      <c r="AJ822" s="434" t="n"/>
      <c r="AK822" s="588" t="n"/>
      <c r="AL822" s="463" t="n"/>
      <c r="AM822" s="712" t="n"/>
      <c r="AN822" s="434" t="n"/>
      <c r="AO822" s="588" t="n"/>
      <c r="AP822" s="713" t="n"/>
      <c r="AQ822" s="712" t="n"/>
      <c r="AR822" s="434" t="n"/>
      <c r="AS822" s="588" t="n"/>
      <c r="AT822" s="713" t="n"/>
      <c r="AU822" s="712" t="n"/>
      <c r="AV822" s="434" t="n"/>
      <c r="AW822" s="588" t="n"/>
      <c r="AX822" s="713" t="n"/>
      <c r="AY822" s="712" t="n"/>
      <c r="AZ822" s="434" t="n"/>
      <c r="BA822" s="588" t="n"/>
      <c r="BB822" s="713" t="n"/>
      <c r="BC822" s="714" t="n"/>
      <c r="BD822" s="434" t="n"/>
      <c r="BE822" s="588" t="n"/>
      <c r="BF822" s="713" t="n"/>
      <c r="BG822" s="89" t="n"/>
      <c r="BH8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22">
        <f>_xlfn.LET(r,ROW(),oc,INDEX($A:$A,r),cv,TRIM(INDEX($Y:$Y,r)&amp;""),IF(oc&lt;&gt;"P1","",IF(cv="45","V45 - novo, nao alimentado pelo spool atual","V44 - alimentado pelo spool atual")))</f>
        <v/>
      </c>
    </row>
    <row r="823" ht="54" customFormat="1" customHeight="1" s="91">
      <c r="A823" s="306" t="inlineStr">
        <is>
          <t>P1</t>
        </is>
      </c>
      <c r="B823" s="307" t="n">
        <v>588</v>
      </c>
      <c r="C823" s="269" t="inlineStr">
        <is>
          <t>27 - Caractéristiques extra-financière</t>
        </is>
      </c>
      <c r="D823" s="236" t="inlineStr">
        <is>
          <t>27 - Extra-financial caracteristics</t>
        </is>
      </c>
      <c r="E823" s="307" t="inlineStr">
        <is>
          <t>P1 21.73</t>
        </is>
      </c>
      <c r="F823" s="683" t="inlineStr">
        <is>
          <t>Lieu d'investissement du bien principal financé : extension</t>
        </is>
      </c>
      <c r="G823" s="309" t="inlineStr">
        <is>
          <t>Investment location of the principal asset financed: Extension to the number</t>
        </is>
      </c>
      <c r="H823" s="1493">
        <f>"RPAD( "&amp;SUBSTITUTE(SUBSTITUTE(E823," ","_"),".","_")&amp;","&amp;W823&amp;",' '); -- "&amp;E823</f>
        <v/>
      </c>
      <c r="I823" s="308" t="inlineStr">
        <is>
          <t>Lieu d'investissement du bien financé : extension (bis, ter…)</t>
        </is>
      </c>
      <c r="J823" s="309" t="inlineStr">
        <is>
          <t>Investment location of the financed asset: Extension to the number</t>
        </is>
      </c>
      <c r="K823" s="370" t="inlineStr">
        <is>
          <t>ND</t>
        </is>
      </c>
      <c r="L823" s="371" t="inlineStr">
        <is>
          <t>ND</t>
        </is>
      </c>
      <c r="M823" s="1420" t="inlineStr">
        <is>
          <t>ExtNumBienFin</t>
        </is>
      </c>
      <c r="N823" s="257" t="inlineStr">
        <is>
          <t>Facultatif</t>
        </is>
      </c>
      <c r="O823" s="310" t="inlineStr">
        <is>
          <t>Optional</t>
        </is>
      </c>
      <c r="P823" s="269" t="inlineStr">
        <is>
          <t>NA</t>
        </is>
      </c>
      <c r="Q823" s="269" t="inlineStr">
        <is>
          <t>NA</t>
        </is>
      </c>
      <c r="R823" s="241" t="inlineStr">
        <is>
          <t>NA</t>
        </is>
      </c>
      <c r="S823" s="233" t="inlineStr">
        <is>
          <t>NA</t>
        </is>
      </c>
      <c r="T823" s="313" t="inlineStr">
        <is>
          <t>ALPHA</t>
        </is>
      </c>
      <c r="U823" s="237" t="inlineStr">
        <is>
          <t>NA</t>
        </is>
      </c>
      <c r="V823" s="238" t="inlineStr">
        <is>
          <t>NA</t>
        </is>
      </c>
      <c r="W823" s="257" t="n">
        <v>40</v>
      </c>
      <c r="X823" s="945" t="inlineStr">
        <is>
          <t>NA</t>
        </is>
      </c>
      <c r="Y823" s="237" t="n">
        <v>44</v>
      </c>
      <c r="Z823" s="237" t="inlineStr">
        <is>
          <t>NA</t>
        </is>
      </c>
      <c r="AA823" s="239" t="inlineStr">
        <is>
          <t>NA</t>
        </is>
      </c>
      <c r="AB823" s="269" t="inlineStr">
        <is>
          <t>RISQUE PHYSIQUE</t>
        </is>
      </c>
      <c r="AC823" s="231" t="inlineStr">
        <is>
          <t>ND</t>
        </is>
      </c>
      <c r="AD823" s="257" t="inlineStr">
        <is>
          <t>N</t>
        </is>
      </c>
      <c r="AE823" s="257" t="inlineStr">
        <is>
          <t>TRE2 à 5XX hors 201,203,205-207</t>
        </is>
      </c>
      <c r="AF823" s="257" t="inlineStr">
        <is>
          <t>NA</t>
        </is>
      </c>
      <c r="AG823" s="258" t="inlineStr">
        <is>
          <t>NA</t>
        </is>
      </c>
      <c r="AH823" s="89" t="n"/>
      <c r="AI823" s="714" t="n"/>
      <c r="AJ823" s="434" t="n"/>
      <c r="AK823" s="588" t="n"/>
      <c r="AL823" s="713" t="n"/>
      <c r="AM823" s="712" t="n"/>
      <c r="AN823" s="434" t="n"/>
      <c r="AO823" s="588" t="n"/>
      <c r="AP823" s="713" t="n"/>
      <c r="AQ823" s="712" t="n"/>
      <c r="AR823" s="434" t="n"/>
      <c r="AS823" s="588" t="n"/>
      <c r="AT823" s="713" t="n"/>
      <c r="AU823" s="712" t="n"/>
      <c r="AV823" s="434" t="n"/>
      <c r="AW823" s="588" t="n"/>
      <c r="AX823" s="713" t="n"/>
      <c r="AY823" s="712" t="n"/>
      <c r="AZ823" s="434" t="n"/>
      <c r="BA823" s="588" t="n"/>
      <c r="BB823" s="713" t="n"/>
      <c r="BC823" s="714" t="n"/>
      <c r="BD823" s="434" t="n"/>
      <c r="BE823" s="588" t="n"/>
      <c r="BF823" s="713" t="n"/>
      <c r="BG823" s="89" t="n"/>
      <c r="BH8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23">
        <f>_xlfn.LET(r,ROW(),oc,INDEX($A:$A,r),cv,TRIM(INDEX($Y:$Y,r)&amp;""),IF(oc&lt;&gt;"P1","",IF(cv="45","V45 - novo, nao alimentado pelo spool atual","V44 - alimentado pelo spool atual")))</f>
        <v/>
      </c>
    </row>
    <row r="824" ht="54" customFormat="1" customHeight="1" s="91">
      <c r="A824" s="306" t="inlineStr">
        <is>
          <t>P1</t>
        </is>
      </c>
      <c r="B824" s="307" t="n">
        <v>589</v>
      </c>
      <c r="C824" s="269" t="inlineStr">
        <is>
          <t>27 - Caractéristiques extra-financière</t>
        </is>
      </c>
      <c r="D824" s="236" t="inlineStr">
        <is>
          <t>27 - Extra-financial caracteristics</t>
        </is>
      </c>
      <c r="E824" s="307" t="inlineStr">
        <is>
          <t>P1 21.74</t>
        </is>
      </c>
      <c r="F824" s="683" t="inlineStr">
        <is>
          <t>Lieu d'investissement du bien principal financé : type de voie</t>
        </is>
      </c>
      <c r="G824" s="309" t="inlineStr">
        <is>
          <t>Investment location of the principal asset financed: type of road</t>
        </is>
      </c>
      <c r="H824" s="1493">
        <f>"RPAD( "&amp;SUBSTITUTE(SUBSTITUTE(E824," ","_"),".","_")&amp;","&amp;W824&amp;",' '); -- "&amp;E824</f>
        <v/>
      </c>
      <c r="I824" s="308" t="inlineStr">
        <is>
          <t>Lieu d'investissement du bien financé : type de voie (rue, avenue, allée, boulevard etc…)</t>
        </is>
      </c>
      <c r="J824" s="309" t="inlineStr">
        <is>
          <t>Investment location of the financed asset: type of road</t>
        </is>
      </c>
      <c r="K824" s="370" t="inlineStr">
        <is>
          <t>ND</t>
        </is>
      </c>
      <c r="L824" s="371" t="inlineStr">
        <is>
          <t>ND</t>
        </is>
      </c>
      <c r="M824" s="1420" t="inlineStr">
        <is>
          <t>TypVoieBienFin</t>
        </is>
      </c>
      <c r="N824" s="257" t="inlineStr">
        <is>
          <t>Facultatif</t>
        </is>
      </c>
      <c r="O824" s="310" t="inlineStr">
        <is>
          <t>Optional</t>
        </is>
      </c>
      <c r="P824" s="269" t="inlineStr">
        <is>
          <t>NA</t>
        </is>
      </c>
      <c r="Q824" s="269" t="inlineStr">
        <is>
          <t>NA</t>
        </is>
      </c>
      <c r="R824" s="241" t="inlineStr">
        <is>
          <t>NA</t>
        </is>
      </c>
      <c r="S824" s="233" t="inlineStr">
        <is>
          <t>NA</t>
        </is>
      </c>
      <c r="T824" s="313" t="inlineStr">
        <is>
          <t>ALPHA</t>
        </is>
      </c>
      <c r="U824" s="237" t="inlineStr">
        <is>
          <t>NA</t>
        </is>
      </c>
      <c r="V824" s="238" t="inlineStr">
        <is>
          <t>NA</t>
        </is>
      </c>
      <c r="W824" s="257" t="n">
        <v>40</v>
      </c>
      <c r="X824" s="945" t="inlineStr">
        <is>
          <t>NA</t>
        </is>
      </c>
      <c r="Y824" s="237" t="n">
        <v>44</v>
      </c>
      <c r="Z824" s="237" t="inlineStr">
        <is>
          <t>NA</t>
        </is>
      </c>
      <c r="AA824" s="239" t="inlineStr">
        <is>
          <t>NA</t>
        </is>
      </c>
      <c r="AB824" s="269" t="inlineStr">
        <is>
          <t>NZBA, RISQUE PHYSIQUE</t>
        </is>
      </c>
      <c r="AC824" s="231" t="inlineStr">
        <is>
          <t>ND</t>
        </is>
      </c>
      <c r="AD824" s="257" t="inlineStr">
        <is>
          <t>N</t>
        </is>
      </c>
      <c r="AE824" s="257" t="inlineStr">
        <is>
          <t>TRE2 à 5XX hors 201,203,205-207</t>
        </is>
      </c>
      <c r="AF824" s="257" t="inlineStr">
        <is>
          <t>NA</t>
        </is>
      </c>
      <c r="AG824" s="258" t="inlineStr">
        <is>
          <t>NA</t>
        </is>
      </c>
      <c r="AH824" s="89" t="n"/>
      <c r="AI824" s="752" t="n"/>
      <c r="AJ824" s="434" t="n"/>
      <c r="AK824" s="588" t="n"/>
      <c r="AL824" s="463" t="n"/>
      <c r="AM824" s="712" t="n"/>
      <c r="AN824" s="434" t="n"/>
      <c r="AO824" s="588" t="n"/>
      <c r="AP824" s="713" t="n"/>
      <c r="AQ824" s="712" t="n"/>
      <c r="AR824" s="434" t="n"/>
      <c r="AS824" s="588" t="n"/>
      <c r="AT824" s="713" t="n"/>
      <c r="AU824" s="712" t="n"/>
      <c r="AV824" s="434" t="n"/>
      <c r="AW824" s="588" t="n"/>
      <c r="AX824" s="713" t="n"/>
      <c r="AY824" s="712" t="n"/>
      <c r="AZ824" s="434" t="n"/>
      <c r="BA824" s="588" t="n"/>
      <c r="BB824" s="713" t="n"/>
      <c r="BC824" s="714" t="n"/>
      <c r="BD824" s="434" t="n"/>
      <c r="BE824" s="588" t="n"/>
      <c r="BF824" s="713" t="n"/>
      <c r="BG824" s="89" t="n"/>
      <c r="BH8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24">
        <f>_xlfn.LET(r,ROW(),oc,INDEX($A:$A,r),cv,TRIM(INDEX($Y:$Y,r)&amp;""),IF(oc&lt;&gt;"P1","",IF(cv="45","V45 - novo, nao alimentado pelo spool atual","V44 - alimentado pelo spool atual")))</f>
        <v/>
      </c>
    </row>
    <row r="825" ht="54" customFormat="1" customHeight="1" s="91">
      <c r="A825" s="306" t="inlineStr">
        <is>
          <t>P1</t>
        </is>
      </c>
      <c r="B825" s="307" t="n">
        <v>590</v>
      </c>
      <c r="C825" s="269" t="inlineStr">
        <is>
          <t>27 - Caractéristiques extra-financière</t>
        </is>
      </c>
      <c r="D825" s="236" t="inlineStr">
        <is>
          <t>27 - Extra-financial caracteristics</t>
        </is>
      </c>
      <c r="E825" s="307" t="inlineStr">
        <is>
          <t>P1 21.75</t>
        </is>
      </c>
      <c r="F825" s="683" t="inlineStr">
        <is>
          <t>Lieu d'investissement du bien principal financé : libellé de la voie</t>
        </is>
      </c>
      <c r="G825" s="309" t="inlineStr">
        <is>
          <t>Investment location of the principal asset financed: road name</t>
        </is>
      </c>
      <c r="H825" s="1493">
        <f>"RPAD( "&amp;SUBSTITUTE(SUBSTITUTE(E825," ","_"),".","_")&amp;","&amp;W825&amp;",' '); -- "&amp;E825</f>
        <v/>
      </c>
      <c r="I825" s="308" t="inlineStr">
        <is>
          <t>Lieu d'investissement du bien financé : libellé de la voie</t>
        </is>
      </c>
      <c r="J825" s="309" t="inlineStr">
        <is>
          <t>Investment location of the financed asset: road name</t>
        </is>
      </c>
      <c r="K825" s="370" t="inlineStr">
        <is>
          <t>ND</t>
        </is>
      </c>
      <c r="L825" s="371" t="inlineStr">
        <is>
          <t>ND</t>
        </is>
      </c>
      <c r="M825" s="1420" t="inlineStr">
        <is>
          <t>LibVoieBienFin</t>
        </is>
      </c>
      <c r="N825" s="257" t="inlineStr">
        <is>
          <t>Facultatif</t>
        </is>
      </c>
      <c r="O825" s="310" t="inlineStr">
        <is>
          <t>Optional</t>
        </is>
      </c>
      <c r="P825" s="269" t="inlineStr">
        <is>
          <t>NA</t>
        </is>
      </c>
      <c r="Q825" s="269" t="inlineStr">
        <is>
          <t>NA</t>
        </is>
      </c>
      <c r="R825" s="241" t="inlineStr">
        <is>
          <t>NA</t>
        </is>
      </c>
      <c r="S825" s="233" t="inlineStr">
        <is>
          <t>NA</t>
        </is>
      </c>
      <c r="T825" s="313" t="inlineStr">
        <is>
          <t>ALPHA</t>
        </is>
      </c>
      <c r="U825" s="237" t="inlineStr">
        <is>
          <t>NA</t>
        </is>
      </c>
      <c r="V825" s="238" t="inlineStr">
        <is>
          <t>NA</t>
        </is>
      </c>
      <c r="W825" s="257" t="n">
        <v>40</v>
      </c>
      <c r="X825" s="945" t="inlineStr">
        <is>
          <t>NA</t>
        </is>
      </c>
      <c r="Y825" s="237" t="n">
        <v>44</v>
      </c>
      <c r="Z825" s="237" t="inlineStr">
        <is>
          <t>NA</t>
        </is>
      </c>
      <c r="AA825" s="239" t="inlineStr">
        <is>
          <t>NA</t>
        </is>
      </c>
      <c r="AB825" s="269" t="inlineStr">
        <is>
          <t>NZBA, RISQUE PHYSIQUE</t>
        </is>
      </c>
      <c r="AC825" s="231" t="inlineStr">
        <is>
          <t>ND</t>
        </is>
      </c>
      <c r="AD825" s="257" t="inlineStr">
        <is>
          <t>N</t>
        </is>
      </c>
      <c r="AE825" s="257" t="inlineStr">
        <is>
          <t>TRE2 à 5XX hors 201,203,205-207</t>
        </is>
      </c>
      <c r="AF825" s="257" t="inlineStr">
        <is>
          <t>NA</t>
        </is>
      </c>
      <c r="AG825" s="258" t="inlineStr">
        <is>
          <t>NA</t>
        </is>
      </c>
      <c r="AH825" s="89" t="n"/>
      <c r="AI825" s="752" t="n"/>
      <c r="AJ825" s="434" t="n"/>
      <c r="AK825" s="588" t="n"/>
      <c r="AL825" s="463" t="n"/>
      <c r="AM825" s="712" t="n"/>
      <c r="AN825" s="434" t="n"/>
      <c r="AO825" s="588" t="n"/>
      <c r="AP825" s="713" t="n"/>
      <c r="AQ825" s="712" t="n"/>
      <c r="AR825" s="434" t="n"/>
      <c r="AS825" s="588" t="n"/>
      <c r="AT825" s="713" t="n"/>
      <c r="AU825" s="712" t="n"/>
      <c r="AV825" s="434" t="n"/>
      <c r="AW825" s="588" t="n"/>
      <c r="AX825" s="713" t="n"/>
      <c r="AY825" s="712" t="n"/>
      <c r="AZ825" s="434" t="n"/>
      <c r="BA825" s="588" t="n"/>
      <c r="BB825" s="713" t="n"/>
      <c r="BC825" s="714" t="n"/>
      <c r="BD825" s="434" t="n"/>
      <c r="BE825" s="588" t="n"/>
      <c r="BF825" s="713" t="n"/>
      <c r="BG825" s="89" t="n"/>
      <c r="BH8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25">
        <f>_xlfn.LET(r,ROW(),oc,INDEX($A:$A,r),cv,TRIM(INDEX($Y:$Y,r)&amp;""),IF(oc&lt;&gt;"P1","",IF(cv="45","V45 - novo, nao alimentado pelo spool atual","V44 - alimentado pelo spool atual")))</f>
        <v/>
      </c>
    </row>
    <row r="826" ht="54" customFormat="1" customHeight="1" s="91">
      <c r="A826" s="306" t="inlineStr">
        <is>
          <t>P1</t>
        </is>
      </c>
      <c r="B826" s="307" t="n">
        <v>591</v>
      </c>
      <c r="C826" s="269" t="inlineStr">
        <is>
          <t>27 - Caractéristiques extra-financière</t>
        </is>
      </c>
      <c r="D826" s="236" t="inlineStr">
        <is>
          <t>27 - Extra-financial caracteristics</t>
        </is>
      </c>
      <c r="E826" s="307" t="inlineStr">
        <is>
          <t>P1 21.76</t>
        </is>
      </c>
      <c r="F826" s="683" t="inlineStr">
        <is>
          <t>Lieu d'investissement du bien principal financé : lieu dit / service particulier de distribution</t>
        </is>
      </c>
      <c r="G826" s="309" t="inlineStr">
        <is>
          <t>Investment location of the principal asset financed: Locality / special delivery service</t>
        </is>
      </c>
      <c r="H826" s="1493">
        <f>"RPAD( "&amp;SUBSTITUTE(SUBSTITUTE(E826," ","_"),".","_")&amp;","&amp;W826&amp;",' '); -- "&amp;E826</f>
        <v/>
      </c>
      <c r="I826" s="308" t="inlineStr">
        <is>
          <t>Lieu d'investissement du bien financé : lieu dit / service particulier de distribution</t>
        </is>
      </c>
      <c r="J826" s="309" t="inlineStr">
        <is>
          <t>Investment location of the financed asset: Locality / special delivery service</t>
        </is>
      </c>
      <c r="K826" s="370" t="inlineStr">
        <is>
          <t>ND</t>
        </is>
      </c>
      <c r="L826" s="371" t="inlineStr">
        <is>
          <t>ND</t>
        </is>
      </c>
      <c r="M826" s="1420" t="inlineStr">
        <is>
          <t>LieuDitBienFin</t>
        </is>
      </c>
      <c r="N826" s="754" t="inlineStr">
        <is>
          <t>Facultatif</t>
        </is>
      </c>
      <c r="O826" s="310" t="inlineStr">
        <is>
          <t>Optional</t>
        </is>
      </c>
      <c r="P826" s="269" t="inlineStr">
        <is>
          <t>NA</t>
        </is>
      </c>
      <c r="Q826" s="269" t="inlineStr">
        <is>
          <t>NA</t>
        </is>
      </c>
      <c r="R826" s="241" t="inlineStr">
        <is>
          <t>NA</t>
        </is>
      </c>
      <c r="S826" s="233" t="inlineStr">
        <is>
          <t>NA</t>
        </is>
      </c>
      <c r="T826" s="313" t="inlineStr">
        <is>
          <t>ALPHA</t>
        </is>
      </c>
      <c r="U826" s="237" t="inlineStr">
        <is>
          <t>NA</t>
        </is>
      </c>
      <c r="V826" s="238" t="inlineStr">
        <is>
          <t>NA</t>
        </is>
      </c>
      <c r="W826" s="257" t="n">
        <v>40</v>
      </c>
      <c r="X826" s="945" t="inlineStr">
        <is>
          <t>NA</t>
        </is>
      </c>
      <c r="Y826" s="237" t="n">
        <v>44</v>
      </c>
      <c r="Z826" s="237" t="inlineStr">
        <is>
          <t>NA</t>
        </is>
      </c>
      <c r="AA826" s="239" t="inlineStr">
        <is>
          <t>NA</t>
        </is>
      </c>
      <c r="AB826" s="269" t="inlineStr">
        <is>
          <t>RISQUE PHYSIQUE</t>
        </is>
      </c>
      <c r="AC826" s="231" t="inlineStr">
        <is>
          <t>ND</t>
        </is>
      </c>
      <c r="AD826" s="257" t="inlineStr">
        <is>
          <t>N</t>
        </is>
      </c>
      <c r="AE826" s="257" t="inlineStr">
        <is>
          <t>TRE2 à 5XX hors 201,203,205-207</t>
        </is>
      </c>
      <c r="AF826" s="257" t="inlineStr">
        <is>
          <t>NA</t>
        </is>
      </c>
      <c r="AG826" s="258" t="inlineStr">
        <is>
          <t>NA</t>
        </is>
      </c>
      <c r="AH826" s="89" t="n"/>
      <c r="AI826" s="711" t="n"/>
      <c r="AJ826" s="434" t="n"/>
      <c r="AK826" s="588" t="n"/>
      <c r="AL826" s="713" t="n"/>
      <c r="AM826" s="712" t="n"/>
      <c r="AN826" s="434" t="n"/>
      <c r="AO826" s="588" t="n"/>
      <c r="AP826" s="713" t="n"/>
      <c r="AQ826" s="712" t="n"/>
      <c r="AR826" s="434" t="n"/>
      <c r="AS826" s="588" t="n"/>
      <c r="AT826" s="713" t="n"/>
      <c r="AU826" s="712" t="n"/>
      <c r="AV826" s="434" t="n"/>
      <c r="AW826" s="588" t="n"/>
      <c r="AX826" s="713" t="n"/>
      <c r="AY826" s="712" t="n"/>
      <c r="AZ826" s="434" t="n"/>
      <c r="BA826" s="588" t="n"/>
      <c r="BB826" s="713" t="n"/>
      <c r="BC826" s="714" t="n"/>
      <c r="BD826" s="434" t="n"/>
      <c r="BE826" s="588" t="n"/>
      <c r="BF826" s="713" t="n"/>
      <c r="BG826" s="89" t="n"/>
      <c r="BH8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26">
        <f>_xlfn.LET(r,ROW(),oc,INDEX($A:$A,r),cv,TRIM(INDEX($Y:$Y,r)&amp;""),IF(oc&lt;&gt;"P1","",IF(cv="45","V45 - novo, nao alimentado pelo spool atual","V44 - alimentado pelo spool atual")))</f>
        <v/>
      </c>
    </row>
    <row r="827" ht="54" customFormat="1" customHeight="1" s="91">
      <c r="A827" s="306" t="inlineStr">
        <is>
          <t>P1</t>
        </is>
      </c>
      <c r="B827" s="307" t="n">
        <v>592</v>
      </c>
      <c r="C827" s="269" t="inlineStr">
        <is>
          <t>27 - Caractéristiques extra-financière</t>
        </is>
      </c>
      <c r="D827" s="236" t="inlineStr">
        <is>
          <t>27 - Extra-financial caracteristics</t>
        </is>
      </c>
      <c r="E827" s="307" t="inlineStr">
        <is>
          <t>P1 21.77</t>
        </is>
      </c>
      <c r="F827" s="683" t="inlineStr">
        <is>
          <t>Lieu d'investissement du bien principal financé : coordonnées GPS - Latitude</t>
        </is>
      </c>
      <c r="G827" s="309" t="inlineStr">
        <is>
          <t>Investment location of the principal asset financed: Coordinates GPS - Latitude</t>
        </is>
      </c>
      <c r="H827" s="1493">
        <f>"RPAD( "&amp;SUBSTITUTE(SUBSTITUTE(E827," ","_"),".","_")&amp;","&amp;W827&amp;",' '); -- "&amp;E827</f>
        <v/>
      </c>
      <c r="I827" s="755" t="inlineStr">
        <is>
          <t>Latitude de la localisation géographique (GPS) exprimée en degrés décimaux (DD) du bien immobilier financé</t>
        </is>
      </c>
      <c r="J827" s="309" t="inlineStr">
        <is>
          <t>Latitude of the geographical location (GPS) expressed in decimal degrees (DD) of the funded property</t>
        </is>
      </c>
      <c r="K827" s="370" t="inlineStr">
        <is>
          <t>ND</t>
        </is>
      </c>
      <c r="L827" s="371" t="inlineStr">
        <is>
          <t>ND</t>
        </is>
      </c>
      <c r="M827" s="1420" t="inlineStr">
        <is>
          <t>GPSLatBienFin</t>
        </is>
      </c>
      <c r="N827" s="257" t="inlineStr">
        <is>
          <t>Facultatif</t>
        </is>
      </c>
      <c r="O827" s="310" t="inlineStr">
        <is>
          <t>Optional</t>
        </is>
      </c>
      <c r="P827" s="269" t="inlineStr">
        <is>
          <t>NA</t>
        </is>
      </c>
      <c r="Q827" s="269" t="inlineStr">
        <is>
          <t>NA</t>
        </is>
      </c>
      <c r="R827" s="1249" t="inlineStr">
        <is>
          <t>Format : +-NN.DDDDDDD avec NN situé entre -90 et +90, selon la norme WGS84.
Les coordonnées GPS sont utilisées pour déterminer les sensibilités aux risques physiques à cette position.
Les coordonnées GPS sont requises si l'adresse du bien immobilier financé n'est pas renseignée</t>
        </is>
      </c>
      <c r="S827" s="233" t="inlineStr">
        <is>
          <t>Format: +-NN.DDDDD with NN between -90 and +90, in accordance with WGS84.
GPS coordinates are used to determine sensitivity to physical risks at this position.
GPS coordinates are required if the address of the property financed is not provided</t>
        </is>
      </c>
      <c r="T827" s="756" t="inlineStr">
        <is>
          <t>NUM</t>
        </is>
      </c>
      <c r="U827" s="237" t="inlineStr">
        <is>
          <t>11 dont signe, séparateur et 7 décimales</t>
        </is>
      </c>
      <c r="V827" s="238" t="inlineStr">
        <is>
          <t>11 including sign, separator and 7 decimals</t>
        </is>
      </c>
      <c r="W827" s="257" t="n">
        <v>11</v>
      </c>
      <c r="X827" s="945" t="inlineStr">
        <is>
          <t>NA</t>
        </is>
      </c>
      <c r="Y827" s="237" t="n">
        <v>44</v>
      </c>
      <c r="Z827" s="237" t="inlineStr">
        <is>
          <t>NA</t>
        </is>
      </c>
      <c r="AA827" s="270" t="inlineStr">
        <is>
          <t>NA</t>
        </is>
      </c>
      <c r="AB827" s="269" t="inlineStr">
        <is>
          <t>RISQUE PHYSIQUE</t>
        </is>
      </c>
      <c r="AC827" s="231" t="inlineStr">
        <is>
          <t>ND</t>
        </is>
      </c>
      <c r="AD827" s="257" t="inlineStr">
        <is>
          <t>N</t>
        </is>
      </c>
      <c r="AE827" s="257" t="inlineStr">
        <is>
          <t>TRE2 à 5XX hors 201,203,205-207</t>
        </is>
      </c>
      <c r="AF827" s="257" t="inlineStr">
        <is>
          <t>NA</t>
        </is>
      </c>
      <c r="AG827" s="258" t="inlineStr">
        <is>
          <t>NA</t>
        </is>
      </c>
      <c r="AH827" s="89" t="n"/>
      <c r="AI827" s="757" t="n"/>
      <c r="AJ827" s="317" t="n"/>
      <c r="AK827" s="588" t="n"/>
      <c r="AL827" s="463" t="n"/>
      <c r="AM827" s="712" t="n"/>
      <c r="AN827" s="434" t="n"/>
      <c r="AO827" s="588" t="n"/>
      <c r="AP827" s="713" t="n"/>
      <c r="AQ827" s="712" t="n"/>
      <c r="AR827" s="434" t="n"/>
      <c r="AS827" s="588" t="n"/>
      <c r="AT827" s="713" t="n"/>
      <c r="AU827" s="712" t="n"/>
      <c r="AV827" s="434" t="n"/>
      <c r="AW827" s="588" t="n"/>
      <c r="AX827" s="713" t="n"/>
      <c r="AY827" s="712" t="n"/>
      <c r="AZ827" s="434" t="n"/>
      <c r="BA827" s="588" t="n"/>
      <c r="BB827" s="713" t="n"/>
      <c r="BC827" s="714" t="n"/>
      <c r="BD827" s="434" t="n"/>
      <c r="BE827" s="588" t="n"/>
      <c r="BF827" s="713" t="n"/>
      <c r="BG827" s="89" t="n"/>
      <c r="BH8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27">
        <f>_xlfn.LET(r,ROW(),oc,INDEX($A:$A,r),cv,TRIM(INDEX($Y:$Y,r)&amp;""),IF(oc&lt;&gt;"P1","",IF(cv="45","V45 - novo, nao alimentado pelo spool atual","V44 - alimentado pelo spool atual")))</f>
        <v/>
      </c>
    </row>
    <row r="828" ht="54" customFormat="1" customHeight="1" s="91">
      <c r="A828" s="306" t="inlineStr">
        <is>
          <t>P1</t>
        </is>
      </c>
      <c r="B828" s="307" t="n">
        <v>593</v>
      </c>
      <c r="C828" s="269" t="inlineStr">
        <is>
          <t>27 - Caractéristiques extra-financière</t>
        </is>
      </c>
      <c r="D828" s="236" t="inlineStr">
        <is>
          <t>27 - Extra-financial caracteristics</t>
        </is>
      </c>
      <c r="E828" s="307" t="inlineStr">
        <is>
          <t>P1 21.78</t>
        </is>
      </c>
      <c r="F828" s="683" t="inlineStr">
        <is>
          <t>Lieu d'investissement du bien principal financé : coordonnées GPS - Longitude</t>
        </is>
      </c>
      <c r="G828" s="309" t="inlineStr">
        <is>
          <t>Investment location of the principal asset financed: Coordinates GPS - Longitude</t>
        </is>
      </c>
      <c r="H828" s="1493">
        <f>"RPAD( "&amp;SUBSTITUTE(SUBSTITUTE(E828," ","_"),".","_")&amp;","&amp;W828&amp;",' '); -- "&amp;E828</f>
        <v/>
      </c>
      <c r="I828" s="755" t="inlineStr">
        <is>
          <t>Longitude de la localisation géographique (GPS) exprimée en degrés décimaux (DD) du bien immobilier financé</t>
        </is>
      </c>
      <c r="J828" s="309" t="inlineStr">
        <is>
          <t>Longitude of the geographical location (GPS) expressed in decimal degrees (DD) of the funded property</t>
        </is>
      </c>
      <c r="K828" s="370" t="inlineStr">
        <is>
          <t>ND</t>
        </is>
      </c>
      <c r="L828" s="371" t="inlineStr">
        <is>
          <t>ND</t>
        </is>
      </c>
      <c r="M828" s="1420" t="inlineStr">
        <is>
          <t>GPSLongBienFin</t>
        </is>
      </c>
      <c r="N828" s="257" t="inlineStr">
        <is>
          <t>Facultatif</t>
        </is>
      </c>
      <c r="O828" s="310" t="inlineStr">
        <is>
          <t>Optional</t>
        </is>
      </c>
      <c r="P828" s="269" t="inlineStr">
        <is>
          <t>NA</t>
        </is>
      </c>
      <c r="Q828" s="269" t="inlineStr">
        <is>
          <t>NA</t>
        </is>
      </c>
      <c r="R828" s="1249" t="inlineStr">
        <is>
          <t>Format : +-NNN.DDDDDDD avec NNN situé entre -180 et +180, selon la norme WGS84.
Les coordonnées GPS sont utilisées pour déterminer les sensibilités aux risques physiques à cette position.
Les coordonnées GPS sont requises si l'adresse du bien immobilier financé n'est pas renseignée</t>
        </is>
      </c>
      <c r="S828" s="233" t="inlineStr">
        <is>
          <t>Format: +-NNN.DDDDDD with NNN between -180 and +180, in accordance with WGS84.
GPS coordinates are used to determine sensitivity to physical risks at this position.
GPS coordinates are required if the address of the property financed is not provided</t>
        </is>
      </c>
      <c r="T828" s="756" t="inlineStr">
        <is>
          <t>NUM</t>
        </is>
      </c>
      <c r="U828" s="237" t="inlineStr">
        <is>
          <t>12 dont signe, séparateur et 7 décimales</t>
        </is>
      </c>
      <c r="V828" s="238" t="inlineStr">
        <is>
          <t>12 including sign, separator and 7 decimals</t>
        </is>
      </c>
      <c r="W828" s="257" t="n">
        <v>12</v>
      </c>
      <c r="X828" s="945" t="inlineStr">
        <is>
          <t>NA</t>
        </is>
      </c>
      <c r="Y828" s="237" t="n">
        <v>44</v>
      </c>
      <c r="Z828" s="237" t="inlineStr">
        <is>
          <t>NA</t>
        </is>
      </c>
      <c r="AA828" s="270" t="inlineStr">
        <is>
          <t>NA</t>
        </is>
      </c>
      <c r="AB828" s="269" t="inlineStr">
        <is>
          <t>RISQUE PHYSIQUE</t>
        </is>
      </c>
      <c r="AC828" s="231" t="inlineStr">
        <is>
          <t>ND</t>
        </is>
      </c>
      <c r="AD828" s="257" t="inlineStr">
        <is>
          <t>N</t>
        </is>
      </c>
      <c r="AE828" s="257" t="inlineStr">
        <is>
          <t>TRE2 à 5XX hors 201,203,205-207</t>
        </is>
      </c>
      <c r="AF828" s="257" t="inlineStr">
        <is>
          <t>NA</t>
        </is>
      </c>
      <c r="AG828" s="258" t="inlineStr">
        <is>
          <t>NA</t>
        </is>
      </c>
      <c r="AH828" s="89" t="n"/>
      <c r="AI828" s="757" t="n"/>
      <c r="AJ828" s="317" t="n"/>
      <c r="AK828" s="588" t="n"/>
      <c r="AL828" s="463" t="n"/>
      <c r="AM828" s="712" t="n"/>
      <c r="AN828" s="434" t="n"/>
      <c r="AO828" s="588" t="n"/>
      <c r="AP828" s="713" t="n"/>
      <c r="AQ828" s="712" t="n"/>
      <c r="AR828" s="434" t="n"/>
      <c r="AS828" s="588" t="n"/>
      <c r="AT828" s="713" t="n"/>
      <c r="AU828" s="712" t="n"/>
      <c r="AV828" s="434" t="n"/>
      <c r="AW828" s="588" t="n"/>
      <c r="AX828" s="713" t="n"/>
      <c r="AY828" s="712" t="n"/>
      <c r="AZ828" s="434" t="n"/>
      <c r="BA828" s="588" t="n"/>
      <c r="BB828" s="713" t="n"/>
      <c r="BC828" s="714" t="n"/>
      <c r="BD828" s="434" t="n"/>
      <c r="BE828" s="588" t="n"/>
      <c r="BF828" s="713" t="n"/>
      <c r="BG828" s="89" t="n"/>
      <c r="BH8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28">
        <f>_xlfn.LET(r,ROW(),oc,INDEX($A:$A,r),cv,TRIM(INDEX($Y:$Y,r)&amp;""),IF(oc&lt;&gt;"P1","",IF(cv="45","V45 - novo, nao alimentado pelo spool atual","V44 - alimentado pelo spool atual")))</f>
        <v/>
      </c>
    </row>
    <row r="829" ht="54" customFormat="1" customHeight="1" s="91">
      <c r="A829" s="306" t="inlineStr">
        <is>
          <t>P1</t>
        </is>
      </c>
      <c r="B829" s="307" t="n">
        <v>594</v>
      </c>
      <c r="C829" s="269" t="inlineStr">
        <is>
          <t>17 - Caractéristiques Titres</t>
        </is>
      </c>
      <c r="D829" s="236" t="inlineStr">
        <is>
          <t>17 - Securities characteristics</t>
        </is>
      </c>
      <c r="E829" s="307" t="inlineStr">
        <is>
          <t>P1 21.94</t>
        </is>
      </c>
      <c r="F829" s="1431" t="inlineStr">
        <is>
          <t>Indicateur d'actif liquide de haute qualité (HQLA)</t>
        </is>
      </c>
      <c r="G829" s="309" t="inlineStr">
        <is>
          <t>High quality liquid asset (HQLA) indicator</t>
        </is>
      </c>
      <c r="H829" s="1493">
        <f>"RPAD( "&amp;SUBSTITUTE(SUBSTITUTE(E829," ","_"),".","_")&amp;","&amp;W829&amp;",' '); -- "&amp;E829</f>
        <v/>
      </c>
      <c r="I829" s="308" t="inlineStr">
        <is>
          <t>Indicateur précisant si l'actif est considéré liquide de haute qualité</t>
        </is>
      </c>
      <c r="J829" s="309" t="inlineStr">
        <is>
          <t>Indicator of whether the asset is considered high quality liquid</t>
        </is>
      </c>
      <c r="K829" s="370" t="inlineStr">
        <is>
          <t>ND</t>
        </is>
      </c>
      <c r="L829" s="371" t="inlineStr">
        <is>
          <t>ND</t>
        </is>
      </c>
      <c r="M829" s="1420" t="inlineStr">
        <is>
          <t>indHQLA</t>
        </is>
      </c>
      <c r="N829" s="257" t="inlineStr">
        <is>
          <t>Obligatoire sous conditions</t>
        </is>
      </c>
      <c r="O829" s="310" t="inlineStr">
        <is>
          <t>Mandatory under conditions</t>
        </is>
      </c>
      <c r="P829" s="269" t="inlineStr">
        <is>
          <t>LC.0502</t>
        </is>
      </c>
      <c r="Q829" s="269" t="inlineStr">
        <is>
          <t>RB Z8INHQLA</t>
        </is>
      </c>
      <c r="R829" s="241" t="inlineStr">
        <is>
          <t>NA</t>
        </is>
      </c>
      <c r="S829" s="233" t="inlineStr">
        <is>
          <t>NA</t>
        </is>
      </c>
      <c r="T829" s="313" t="inlineStr">
        <is>
          <t>ALPHA</t>
        </is>
      </c>
      <c r="U829" s="237" t="inlineStr">
        <is>
          <t>NA</t>
        </is>
      </c>
      <c r="V829" s="238" t="inlineStr">
        <is>
          <t>NA</t>
        </is>
      </c>
      <c r="W829" s="257" t="n">
        <v>1</v>
      </c>
      <c r="X829" s="945" t="inlineStr">
        <is>
          <t>NA</t>
        </is>
      </c>
      <c r="Y829" s="237" t="n">
        <v>44</v>
      </c>
      <c r="Z829" s="237" t="inlineStr">
        <is>
          <t>NA</t>
        </is>
      </c>
      <c r="AA829" s="283" t="inlineStr">
        <is>
          <t>NA</t>
        </is>
      </c>
      <c r="AB829" s="269" t="inlineStr">
        <is>
          <t>CORFOU</t>
        </is>
      </c>
      <c r="AC829" s="231" t="inlineStr">
        <is>
          <t>ND</t>
        </is>
      </c>
      <c r="AD829" s="257" t="inlineStr">
        <is>
          <t>N</t>
        </is>
      </c>
      <c r="AE829" s="257" t="inlineStr">
        <is>
          <t>EQU101, ISS*</t>
        </is>
      </c>
      <c r="AF829" s="257" t="inlineStr">
        <is>
          <t>NA</t>
        </is>
      </c>
      <c r="AG829" s="258" t="inlineStr">
        <is>
          <t>NA</t>
        </is>
      </c>
      <c r="AH829" s="89" t="n"/>
      <c r="AI829" s="711" t="inlineStr">
        <is>
          <t xml:space="preserve">La donnée est obligatoire si le type de risque [P1 2.0] = 'EQU101', 'ISSxxx' </t>
        </is>
      </c>
      <c r="AJ829" s="434" t="inlineStr">
        <is>
          <t xml:space="preserve">The data is mandatory if Risk type [P1 2.0] = 'EQU101', 'ISSxxx' </t>
        </is>
      </c>
      <c r="AK829" s="588" t="n">
        <v>6</v>
      </c>
      <c r="AL829" s="741" t="inlineStr">
        <is>
          <t>TPS0876</t>
        </is>
      </c>
      <c r="AM829" s="712" t="inlineStr">
        <is>
          <t>Si elle est renseignée, la valeur doit être connue du Langage Commun associé</t>
        </is>
      </c>
      <c r="AN829" s="434" t="inlineStr">
        <is>
          <t>If specified, the value must be known to the associated Common Language</t>
        </is>
      </c>
      <c r="AO829" s="588" t="n">
        <v>7</v>
      </c>
      <c r="AP829" s="212" t="inlineStr">
        <is>
          <t>TIG0001</t>
        </is>
      </c>
      <c r="AQ829" s="712" t="n"/>
      <c r="AR829" s="434" t="n"/>
      <c r="AS829" s="588" t="n"/>
      <c r="AT829" s="713" t="n"/>
      <c r="AU829" s="712" t="n"/>
      <c r="AV829" s="434" t="n"/>
      <c r="AW829" s="588" t="n"/>
      <c r="AX829" s="713" t="n"/>
      <c r="AY829" s="712" t="n"/>
      <c r="AZ829" s="434" t="n"/>
      <c r="BA829" s="588" t="n"/>
      <c r="BB829" s="713" t="n"/>
      <c r="BC829" s="714" t="n"/>
      <c r="BD829" s="434" t="n"/>
      <c r="BE829" s="588" t="n"/>
      <c r="BF829" s="713" t="n"/>
      <c r="BG829" s="89" t="n"/>
      <c r="BH8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29">
        <f>_xlfn.LET(r,ROW(),oc,INDEX($A:$A,r),cv,TRIM(INDEX($Y:$Y,r)&amp;""),IF(oc&lt;&gt;"P1","",IF(cv="45","V45 - novo, nao alimentado pelo spool atual","V44 - alimentado pelo spool atual")))</f>
        <v/>
      </c>
    </row>
    <row r="830" ht="54" customFormat="1" customHeight="1" s="91">
      <c r="A830" s="306" t="inlineStr">
        <is>
          <t>P1</t>
        </is>
      </c>
      <c r="B830" s="307" t="n">
        <v>595</v>
      </c>
      <c r="C830" s="269" t="inlineStr">
        <is>
          <t>17 - Caractéristiques Titres</t>
        </is>
      </c>
      <c r="D830" s="236" t="inlineStr">
        <is>
          <t>17 - Securities characteristics</t>
        </is>
      </c>
      <c r="E830" s="307" t="inlineStr">
        <is>
          <t>P1 21.95</t>
        </is>
      </c>
      <c r="F830" s="308" t="inlineStr">
        <is>
          <t>Niveau de l'actif liquide de haute qualité (HQLA)</t>
        </is>
      </c>
      <c r="G830" s="309" t="inlineStr">
        <is>
          <t>High quality liquid asset (HQLA) level</t>
        </is>
      </c>
      <c r="H830" s="1493">
        <f>"RPAD( "&amp;SUBSTITUTE(SUBSTITUTE(E830," ","_"),".","_")&amp;","&amp;W830&amp;",' '); -- "&amp;E830</f>
        <v/>
      </c>
      <c r="I830" s="308" t="inlineStr">
        <is>
          <t>Niveau HQLA de l'actif</t>
        </is>
      </c>
      <c r="J830" s="309" t="inlineStr">
        <is>
          <t>HQLA level of the asset</t>
        </is>
      </c>
      <c r="K830" s="370" t="inlineStr">
        <is>
          <t>ND</t>
        </is>
      </c>
      <c r="L830" s="371" t="inlineStr">
        <is>
          <t>ND</t>
        </is>
      </c>
      <c r="M830" s="1420" t="inlineStr">
        <is>
          <t>NivHQLA</t>
        </is>
      </c>
      <c r="N830" s="958" t="inlineStr">
        <is>
          <t>Obligatoire sous conditions</t>
        </is>
      </c>
      <c r="O830" s="999" t="inlineStr">
        <is>
          <t>Mandatory under conditions</t>
        </is>
      </c>
      <c r="P830" s="269" t="inlineStr">
        <is>
          <t>LC.0512</t>
        </is>
      </c>
      <c r="Q830" s="269" t="inlineStr">
        <is>
          <t>RB Z8NVHQLA</t>
        </is>
      </c>
      <c r="R830" s="241" t="inlineStr">
        <is>
          <t>NA</t>
        </is>
      </c>
      <c r="S830" s="233" t="inlineStr">
        <is>
          <t>NA</t>
        </is>
      </c>
      <c r="T830" s="313" t="inlineStr">
        <is>
          <t>ALPHA</t>
        </is>
      </c>
      <c r="U830" s="237" t="inlineStr">
        <is>
          <t>NA</t>
        </is>
      </c>
      <c r="V830" s="238" t="inlineStr">
        <is>
          <t>NA</t>
        </is>
      </c>
      <c r="W830" s="257" t="n">
        <v>2</v>
      </c>
      <c r="X830" s="945" t="inlineStr">
        <is>
          <t>NA</t>
        </is>
      </c>
      <c r="Y830" s="237" t="n">
        <v>44</v>
      </c>
      <c r="Z830" s="237" t="inlineStr">
        <is>
          <t>NA</t>
        </is>
      </c>
      <c r="AA830" s="283" t="inlineStr">
        <is>
          <t>45.00</t>
        </is>
      </c>
      <c r="AB830" s="269" t="inlineStr">
        <is>
          <t>CORFOU</t>
        </is>
      </c>
      <c r="AC830" s="231" t="inlineStr">
        <is>
          <t>ND</t>
        </is>
      </c>
      <c r="AD830" s="257" t="inlineStr">
        <is>
          <t>N</t>
        </is>
      </c>
      <c r="AE830" s="257" t="inlineStr">
        <is>
          <t>EQU101, ISS*</t>
        </is>
      </c>
      <c r="AF830" s="257" t="inlineStr">
        <is>
          <t>NA</t>
        </is>
      </c>
      <c r="AG830" s="258" t="inlineStr">
        <is>
          <t>NA</t>
        </is>
      </c>
      <c r="AH830" s="89" t="n"/>
      <c r="AI830" s="1432" t="inlineStr">
        <is>
          <t xml:space="preserve">La donnée est obligatoire si Indicateur d'actif liquide de haute qualité (HQLA) [P1 21.94] = 'Y' </t>
        </is>
      </c>
      <c r="AJ830" s="1001" t="inlineStr">
        <is>
          <t xml:space="preserve">The data is mandatory if High quality liquid asset (HQLA) indicator [P1 21.94] = 'Y' </t>
        </is>
      </c>
      <c r="AK830" s="1002" t="n">
        <v>6</v>
      </c>
      <c r="AL830" s="1433" t="inlineStr">
        <is>
          <t>TPSxxxx</t>
        </is>
      </c>
      <c r="AM830" s="712" t="inlineStr">
        <is>
          <t>Si elle est renseignée, la valeur doit être connue du Langage Commun associé</t>
        </is>
      </c>
      <c r="AN830" s="434" t="inlineStr">
        <is>
          <t>If specified, the value must be known to the associated Common Language</t>
        </is>
      </c>
      <c r="AO830" s="588" t="n">
        <v>7</v>
      </c>
      <c r="AP830" s="212" t="inlineStr">
        <is>
          <t>TIG0001</t>
        </is>
      </c>
      <c r="AQ830" s="712" t="n"/>
      <c r="AR830" s="434" t="n"/>
      <c r="AS830" s="588" t="n"/>
      <c r="AT830" s="713" t="n"/>
      <c r="AU830" s="712" t="n"/>
      <c r="AV830" s="434" t="n"/>
      <c r="AW830" s="588" t="n"/>
      <c r="AX830" s="713" t="n"/>
      <c r="AY830" s="712" t="n"/>
      <c r="AZ830" s="434" t="n"/>
      <c r="BA830" s="588" t="n"/>
      <c r="BB830" s="713" t="n"/>
      <c r="BC830" s="714" t="n"/>
      <c r="BD830" s="434" t="n"/>
      <c r="BE830" s="588" t="n"/>
      <c r="BF830" s="713" t="n"/>
      <c r="BG830" s="89" t="n"/>
      <c r="BH8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30">
        <f>_xlfn.LET(r,ROW(),oc,INDEX($A:$A,r),cv,TRIM(INDEX($Y:$Y,r)&amp;""),IF(oc&lt;&gt;"P1","",IF(cv="45","V45 - novo, nao alimentado pelo spool atual","V44 - alimentado pelo spool atual")))</f>
        <v/>
      </c>
    </row>
    <row r="831" ht="54" customFormat="1" customHeight="1" s="91">
      <c r="A831" s="306" t="inlineStr">
        <is>
          <t>P1</t>
        </is>
      </c>
      <c r="B831" s="307" t="n">
        <v>596</v>
      </c>
      <c r="C831" s="269" t="inlineStr">
        <is>
          <t>17 - Caractéristiques Titres</t>
        </is>
      </c>
      <c r="D831" s="236" t="inlineStr">
        <is>
          <t>17 - Securities characteristics</t>
        </is>
      </c>
      <c r="E831" s="307" t="inlineStr">
        <is>
          <t>P1 21.79</t>
        </is>
      </c>
      <c r="F831" s="491" t="inlineStr">
        <is>
          <t>Indicateur Titre de Participation</t>
        </is>
      </c>
      <c r="G831" s="309" t="inlineStr">
        <is>
          <t>Equity Security indicator</t>
        </is>
      </c>
      <c r="H831" s="1493">
        <f>"RPAD( "&amp;SUBSTITUTE(SUBSTITUTE(E831," ","_"),".","_")&amp;","&amp;W831&amp;",' '); -- "&amp;E831</f>
        <v/>
      </c>
      <c r="I831" s="308" t="inlineStr">
        <is>
          <t>Indique si le titre est un titre de participation</t>
        </is>
      </c>
      <c r="J831" s="309" t="inlineStr">
        <is>
          <t>Indicates whether the security is an equity security (or not)</t>
        </is>
      </c>
      <c r="K831" s="370" t="inlineStr">
        <is>
          <t>ND</t>
        </is>
      </c>
      <c r="L831" s="371" t="inlineStr">
        <is>
          <t>ND</t>
        </is>
      </c>
      <c r="M831" s="1420" t="inlineStr">
        <is>
          <t>indTitrePartic</t>
        </is>
      </c>
      <c r="N831" s="257" t="inlineStr">
        <is>
          <t>Obligatoire sous conditions</t>
        </is>
      </c>
      <c r="O831" s="310" t="inlineStr">
        <is>
          <t>Mandatory under conditions</t>
        </is>
      </c>
      <c r="P831" s="269" t="inlineStr">
        <is>
          <t>LC.0509</t>
        </is>
      </c>
      <c r="Q831" s="269" t="inlineStr">
        <is>
          <t>TA Z8ITPART</t>
        </is>
      </c>
      <c r="R831" s="241" t="inlineStr">
        <is>
          <t>NA</t>
        </is>
      </c>
      <c r="S831" s="233" t="inlineStr">
        <is>
          <t>NA</t>
        </is>
      </c>
      <c r="T831" s="313" t="inlineStr">
        <is>
          <t>ALPHA</t>
        </is>
      </c>
      <c r="U831" s="237" t="inlineStr">
        <is>
          <t>NA</t>
        </is>
      </c>
      <c r="V831" s="238" t="inlineStr">
        <is>
          <t>NA</t>
        </is>
      </c>
      <c r="W831" s="257" t="n">
        <v>1</v>
      </c>
      <c r="X831" s="945" t="inlineStr">
        <is>
          <t>NA</t>
        </is>
      </c>
      <c r="Y831" s="237" t="n">
        <v>44</v>
      </c>
      <c r="Z831" s="237" t="inlineStr">
        <is>
          <t>NA</t>
        </is>
      </c>
      <c r="AA831" s="283" t="inlineStr">
        <is>
          <t>NA</t>
        </is>
      </c>
      <c r="AB831" s="269" t="inlineStr">
        <is>
          <t>CORFOU, PVA</t>
        </is>
      </c>
      <c r="AC831" s="231" t="inlineStr">
        <is>
          <t>ND</t>
        </is>
      </c>
      <c r="AD831" s="257" t="inlineStr">
        <is>
          <t>N</t>
        </is>
      </c>
      <c r="AE831" s="602" t="inlineStr">
        <is>
          <t>EQU101
ISS200, ISS300</t>
        </is>
      </c>
      <c r="AF831" s="257" t="inlineStr">
        <is>
          <t>NA</t>
        </is>
      </c>
      <c r="AG831" s="258" t="inlineStr">
        <is>
          <t>NA</t>
        </is>
      </c>
      <c r="AH831" s="89" t="n"/>
      <c r="AI831" s="759" t="inlineStr">
        <is>
          <t>La donnée est obligatoire si le type de risque [P1 2.0] = 'EQU101', 'ISS200', 'ISS300' ET Nature du sous-jacent [P1 12.1] = '12, 13, 14'</t>
        </is>
      </c>
      <c r="AJ831" s="434" t="inlineStr">
        <is>
          <t>Mandatory data if Risk type [P1 2.0] = 'EQU101', 'ISS200', 'ISS300' AND Nature of underlying [P1 12.1] = '12, 13, 14'</t>
        </is>
      </c>
      <c r="AK831" s="588" t="n">
        <v>6</v>
      </c>
      <c r="AL831" s="760" t="inlineStr">
        <is>
          <t>TPS0917</t>
        </is>
      </c>
      <c r="AM831" s="712" t="inlineStr">
        <is>
          <t>Si elle est renseignée, la valeur doit être connue du Langage Commun associé</t>
        </is>
      </c>
      <c r="AN831" s="434" t="inlineStr">
        <is>
          <t>If specified, the value must be known to the associated Common Language</t>
        </is>
      </c>
      <c r="AO831" s="588" t="n">
        <v>7</v>
      </c>
      <c r="AP831" s="212" t="inlineStr">
        <is>
          <t>TIG0001</t>
        </is>
      </c>
      <c r="AQ831" s="712" t="n"/>
      <c r="AR831" s="434" t="n"/>
      <c r="AS831" s="588" t="n"/>
      <c r="AT831" s="713" t="n"/>
      <c r="AU831" s="712" t="n"/>
      <c r="AV831" s="434" t="n"/>
      <c r="AW831" s="588" t="n"/>
      <c r="AX831" s="713" t="n"/>
      <c r="AY831" s="712" t="n"/>
      <c r="AZ831" s="434" t="n"/>
      <c r="BA831" s="588" t="n"/>
      <c r="BB831" s="713" t="n"/>
      <c r="BC831" s="714" t="n"/>
      <c r="BD831" s="434" t="n"/>
      <c r="BE831" s="588" t="n"/>
      <c r="BF831" s="713" t="n"/>
      <c r="BG831" s="89" t="n"/>
      <c r="BH8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31">
        <f>_xlfn.LET(r,ROW(),oc,INDEX($A:$A,r),cv,TRIM(INDEX($Y:$Y,r)&amp;""),IF(oc&lt;&gt;"P1","",IF(cv="45","V45 - novo, nao alimentado pelo spool atual","V44 - alimentado pelo spool atual")))</f>
        <v/>
      </c>
    </row>
    <row r="832" ht="54" customFormat="1" customHeight="1" s="91">
      <c r="A832" s="306" t="inlineStr">
        <is>
          <t>P1</t>
        </is>
      </c>
      <c r="B832" s="307" t="n">
        <v>597</v>
      </c>
      <c r="C832" s="269" t="inlineStr">
        <is>
          <t xml:space="preserve">19 - Données comptables </t>
        </is>
      </c>
      <c r="D832" s="236" t="inlineStr">
        <is>
          <t>19 - Accounting data</t>
        </is>
      </c>
      <c r="E832" s="307" t="inlineStr">
        <is>
          <t>P1 21.80</t>
        </is>
      </c>
      <c r="F832" s="308" t="inlineStr">
        <is>
          <t>Classification comptable de l'élément couvert par le dérivé</t>
        </is>
      </c>
      <c r="G832" s="309" t="inlineStr">
        <is>
          <t>Reference accounting classification of the security covered by the derivative transaction</t>
        </is>
      </c>
      <c r="H832" s="1493">
        <f>"RPAD( "&amp;SUBSTITUTE(SUBSTITUTE(E832," ","_"),".","_")&amp;","&amp;W832&amp;",' '); -- "&amp;E832</f>
        <v/>
      </c>
      <c r="I832" s="308" t="inlineStr">
        <is>
          <t>Classification comptable de l'élément couvert par le dérivé</t>
        </is>
      </c>
      <c r="J832" s="309" t="inlineStr">
        <is>
          <t>Reference accounting classification of the security covered by the derivative transaction</t>
        </is>
      </c>
      <c r="K832" s="370" t="inlineStr">
        <is>
          <t>ND</t>
        </is>
      </c>
      <c r="L832" s="371" t="inlineStr">
        <is>
          <t>ND</t>
        </is>
      </c>
      <c r="M832" s="1420" t="inlineStr">
        <is>
          <t>cdClassCptEltDeriv</t>
        </is>
      </c>
      <c r="N832" s="257" t="inlineStr">
        <is>
          <t>Obligatoire sous conditions</t>
        </is>
      </c>
      <c r="O832" s="310" t="inlineStr">
        <is>
          <t>Mandatory under conditions</t>
        </is>
      </c>
      <c r="P832" s="269" t="inlineStr">
        <is>
          <t>LC.0066</t>
        </is>
      </c>
      <c r="Q832" s="269" t="inlineStr">
        <is>
          <t>TA KVCLCOMP</t>
        </is>
      </c>
      <c r="R832" s="241" t="inlineStr">
        <is>
          <t>NA</t>
        </is>
      </c>
      <c r="S832" s="233" t="inlineStr">
        <is>
          <t>NA</t>
        </is>
      </c>
      <c r="T832" s="313" t="inlineStr">
        <is>
          <t>ALPHA</t>
        </is>
      </c>
      <c r="U832" s="237" t="inlineStr">
        <is>
          <t>NA</t>
        </is>
      </c>
      <c r="V832" s="238" t="inlineStr">
        <is>
          <t>NA</t>
        </is>
      </c>
      <c r="W832" s="257" t="n">
        <v>3</v>
      </c>
      <c r="X832" s="945" t="inlineStr">
        <is>
          <t>NA</t>
        </is>
      </c>
      <c r="Y832" s="237" t="n">
        <v>44</v>
      </c>
      <c r="Z832" s="237" t="inlineStr">
        <is>
          <t>NA</t>
        </is>
      </c>
      <c r="AA832" s="239" t="inlineStr">
        <is>
          <t>45.00</t>
        </is>
      </c>
      <c r="AB832" s="269" t="inlineStr">
        <is>
          <t>CORFOU, PVA</t>
        </is>
      </c>
      <c r="AC832" s="231" t="inlineStr">
        <is>
          <t>ND</t>
        </is>
      </c>
      <c r="AD832" s="257" t="inlineStr">
        <is>
          <t>N</t>
        </is>
      </c>
      <c r="AE832" s="956" t="inlineStr">
        <is>
          <t>VAR (hors Repos VAR105, VAR302)</t>
        </is>
      </c>
      <c r="AF832" s="257" t="inlineStr">
        <is>
          <t>NA</t>
        </is>
      </c>
      <c r="AG832" s="258" t="inlineStr">
        <is>
          <t>NA</t>
        </is>
      </c>
      <c r="AH832" s="89" t="n"/>
      <c r="AI832" s="744" t="inlineStr">
        <is>
          <t>La donnée est obligatoire si le type de risque [P1 2.0] est égal à VAR (hors Repos VAR105, VAR302) et si la Référence unique du titre couvert par l'opération de dérivé [P1 24.37] est renseignée</t>
        </is>
      </c>
      <c r="AJ832" s="434" t="inlineStr">
        <is>
          <t>The data is mandatory if Risk type [P1 2.0] is equal to VAR (except Repos VAR105, VAR302) and if the Unique reference of the security covered by the derivative transaction [P1 24.37] is filled</t>
        </is>
      </c>
      <c r="AK832" s="588" t="n">
        <v>6</v>
      </c>
      <c r="AL832" s="761" t="inlineStr">
        <is>
          <t>TPS0945</t>
        </is>
      </c>
      <c r="AM832" s="712" t="inlineStr">
        <is>
          <t>Si elle est renseignée, la valeur doit être connue du Langage Commun associé</t>
        </is>
      </c>
      <c r="AN832" s="434" t="inlineStr">
        <is>
          <t>If specified, the value must be known to the associated Common Language</t>
        </is>
      </c>
      <c r="AO832" s="588" t="n">
        <v>7</v>
      </c>
      <c r="AP832" s="212" t="inlineStr">
        <is>
          <t>TIG0001</t>
        </is>
      </c>
      <c r="AQ832" s="712" t="n"/>
      <c r="AR832" s="434" t="n"/>
      <c r="AS832" s="588" t="n"/>
      <c r="AT832" s="713" t="n"/>
      <c r="AU832" s="1004" t="inlineStr">
        <is>
          <t>La valeur renseignée doit être cohérente avec le type de risque [P1 2.0] (LC.0066 - Z8COCCTR)</t>
        </is>
      </c>
      <c r="AV832" s="931" t="inlineStr">
        <is>
          <t>The value filled must be consistent with the risk type [P1 2.0] (LC.0066 - Z8COCCTR)</t>
        </is>
      </c>
      <c r="AW832" s="958" t="n">
        <v>6</v>
      </c>
      <c r="AX832" s="959" t="inlineStr">
        <is>
          <t>TCS0709</t>
        </is>
      </c>
      <c r="AY832" s="712" t="n"/>
      <c r="AZ832" s="434" t="n"/>
      <c r="BA832" s="588" t="n"/>
      <c r="BB832" s="713" t="n"/>
      <c r="BC832" s="714" t="n"/>
      <c r="BD832" s="434" t="n"/>
      <c r="BE832" s="588" t="n"/>
      <c r="BF832" s="713" t="n"/>
      <c r="BG832" s="89" t="n"/>
      <c r="BH8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32">
        <f>_xlfn.LET(r,ROW(),oc,INDEX($A:$A,r),cv,TRIM(INDEX($Y:$Y,r)&amp;""),IF(oc&lt;&gt;"P1","",IF(cv="45","V45 - novo, nao alimentado pelo spool atual","V44 - alimentado pelo spool atual")))</f>
        <v/>
      </c>
    </row>
    <row r="833" ht="54" customFormat="1" customHeight="1" s="91">
      <c r="A833" s="306" t="inlineStr">
        <is>
          <t>P1</t>
        </is>
      </c>
      <c r="B833" s="307" t="n">
        <v>598</v>
      </c>
      <c r="C833" s="269" t="inlineStr">
        <is>
          <t>29 - Ratio</t>
        </is>
      </c>
      <c r="D833" s="236" t="inlineStr">
        <is>
          <t>29 - Ratio</t>
        </is>
      </c>
      <c r="E833" s="307" t="inlineStr">
        <is>
          <t>P1 21.81</t>
        </is>
      </c>
      <c r="F833" s="308" t="inlineStr">
        <is>
          <t>DSCR (ratio de couverture des charges d'emprunt) à l'octroi</t>
        </is>
      </c>
      <c r="G833" s="309" t="inlineStr">
        <is>
          <t>Local DSCR ratio at the origin</t>
        </is>
      </c>
      <c r="H833" s="1493">
        <f>"RPAD( "&amp;SUBSTITUTE(SUBSTITUTE(E833," ","_"),".","_")&amp;","&amp;W833&amp;",' '); -- "&amp;E833</f>
        <v/>
      </c>
      <c r="I833" s="611" t="inlineStr">
        <is>
          <t>DSCR local à l'octroi
Correspond aux revenus annuels produits par l'usage du bien commercial sur la valeur des charges liées au prêt garanti par le bien immobilier commercial
Exprimée en pourcentage</t>
        </is>
      </c>
      <c r="J833" s="309" t="inlineStr">
        <is>
          <t>Local DSCR ratio upon origination
Corresponds to the annual income generated by the use of the commercial property over the value of the charges related to the loan secured by the commercial property
Expressed in percentage</t>
        </is>
      </c>
      <c r="K833" s="370" t="inlineStr">
        <is>
          <t>ND</t>
        </is>
      </c>
      <c r="L833" s="371" t="inlineStr">
        <is>
          <t>ND</t>
        </is>
      </c>
      <c r="M833" s="1420" t="inlineStr">
        <is>
          <t>txDSCRoctroi</t>
        </is>
      </c>
      <c r="N833" s="257" t="inlineStr">
        <is>
          <t>Obligatoire sous conditions</t>
        </is>
      </c>
      <c r="O833" s="310" t="inlineStr">
        <is>
          <t>Mandatory under conditions</t>
        </is>
      </c>
      <c r="P833" s="269" t="inlineStr">
        <is>
          <t>NA</t>
        </is>
      </c>
      <c r="Q833" s="269" t="inlineStr">
        <is>
          <t>NA</t>
        </is>
      </c>
      <c r="R833" s="241" t="inlineStr">
        <is>
          <t>NA</t>
        </is>
      </c>
      <c r="S833" s="233" t="inlineStr">
        <is>
          <t>NA</t>
        </is>
      </c>
      <c r="T833" s="313" t="inlineStr">
        <is>
          <t>NUM</t>
        </is>
      </c>
      <c r="U833" s="237" t="inlineStr">
        <is>
          <t>10 dont signe et 5 décimales</t>
        </is>
      </c>
      <c r="V833" s="238" t="inlineStr">
        <is>
          <t>10 including sign and 5 decimals</t>
        </is>
      </c>
      <c r="W833" s="257" t="n">
        <v>10</v>
      </c>
      <c r="X833" s="945" t="inlineStr">
        <is>
          <t>NA</t>
        </is>
      </c>
      <c r="Y833" s="237" t="n">
        <v>44</v>
      </c>
      <c r="Z833" s="237" t="inlineStr">
        <is>
          <t>NA</t>
        </is>
      </c>
      <c r="AA833" s="270" t="inlineStr">
        <is>
          <t>NA</t>
        </is>
      </c>
      <c r="AB833" s="269" t="inlineStr">
        <is>
          <t>OCTROI DE CREDIT</t>
        </is>
      </c>
      <c r="AC833" s="231" t="inlineStr">
        <is>
          <t>ND</t>
        </is>
      </c>
      <c r="AD833" s="257" t="inlineStr">
        <is>
          <t>N</t>
        </is>
      </c>
      <c r="AE833" s="257" t="inlineStr">
        <is>
          <t>TRE2 à 5XX hors 203,205-207</t>
        </is>
      </c>
      <c r="AF833" s="257" t="inlineStr">
        <is>
          <t>NA</t>
        </is>
      </c>
      <c r="AG833" s="258" t="inlineStr">
        <is>
          <t>NA</t>
        </is>
      </c>
      <c r="AH833" s="89" t="n"/>
      <c r="AI833" s="711" t="inlineStr">
        <is>
          <t>La donnée est obligatoire, si le type de risque [P1 2.0] = 'TRExx' (hors 'TRE203, TRE205, TRE206, TRE207'), 'SIGxx' ET si l'Usage du bien immobilier financé [P1 8.13] ='2'</t>
        </is>
      </c>
      <c r="AJ833" s="434" t="inlineStr">
        <is>
          <t>The data is mandatory, if the Risk type [P1 2.0] = 'TRExx' (except 'TRE203, TRE205, TRE206, TRE207'), 'SIGxx' AND if Use of financed property [P1 8.13] ='2'</t>
        </is>
      </c>
      <c r="AK833" s="588" t="n">
        <v>6</v>
      </c>
      <c r="AL833" s="335" t="inlineStr">
        <is>
          <t>TPS0865</t>
        </is>
      </c>
      <c r="AM833" s="712" t="n"/>
      <c r="AN833" s="434" t="n"/>
      <c r="AO833" s="588" t="n"/>
      <c r="AP833" s="713" t="n"/>
      <c r="AQ833" s="712" t="n"/>
      <c r="AR833" s="434" t="n"/>
      <c r="AS833" s="588" t="n"/>
      <c r="AT833" s="713" t="n"/>
      <c r="AU833" s="712" t="n"/>
      <c r="AV833" s="434" t="n"/>
      <c r="AW833" s="588" t="n"/>
      <c r="AX833" s="713" t="n"/>
      <c r="AY833" s="712" t="n"/>
      <c r="AZ833" s="434" t="n"/>
      <c r="BA833" s="588" t="n"/>
      <c r="BB833" s="713" t="n"/>
      <c r="BC833" s="714" t="n"/>
      <c r="BD833" s="434" t="n"/>
      <c r="BE833" s="588" t="n"/>
      <c r="BF833" s="713" t="n"/>
      <c r="BG833" s="89" t="n"/>
      <c r="BH8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33">
        <f>_xlfn.LET(r,ROW(),oc,INDEX($A:$A,r),cv,TRIM(INDEX($Y:$Y,r)&amp;""),IF(oc&lt;&gt;"P1","",IF(cv="45","V45 - novo, nao alimentado pelo spool atual","V44 - alimentado pelo spool atual")))</f>
        <v/>
      </c>
    </row>
    <row r="834" ht="54" customFormat="1" customHeight="1" s="91">
      <c r="A834" s="306" t="inlineStr">
        <is>
          <t>P1</t>
        </is>
      </c>
      <c r="B834" s="307" t="n">
        <v>599</v>
      </c>
      <c r="C834" s="269" t="inlineStr">
        <is>
          <t>29 - Ratio</t>
        </is>
      </c>
      <c r="D834" s="236" t="inlineStr">
        <is>
          <t>29 - Ratio</t>
        </is>
      </c>
      <c r="E834" s="307" t="inlineStr">
        <is>
          <t>P1 21.82</t>
        </is>
      </c>
      <c r="F834" s="308" t="inlineStr">
        <is>
          <t>DSCR (ratio de couverture des charges d'emprunt) revalorisé</t>
        </is>
      </c>
      <c r="G834" s="309" t="inlineStr">
        <is>
          <t>Recalculated DSCR ratio</t>
        </is>
      </c>
      <c r="H834" s="1493">
        <f>"RPAD( "&amp;SUBSTITUTE(SUBSTITUTE(E834," ","_"),".","_")&amp;","&amp;W834&amp;",' '); -- "&amp;E834</f>
        <v/>
      </c>
      <c r="I834" s="678" t="inlineStr">
        <is>
          <t>DSCR local revalorisé
Correspond aux revenus annuels roduits par l'usage du bien commercial sur la valeur des charges liées au prêt garanti par le bien immobilier commercial
Exprimée en pourcentage</t>
        </is>
      </c>
      <c r="J834" s="309" t="inlineStr">
        <is>
          <t>Recalculated Local DSCR ratio
Corresponds to the annual income generated by the use of the commercial property over the value of the charges related to the loan secured by the commercial property
Expressed in percentage</t>
        </is>
      </c>
      <c r="K834" s="370" t="inlineStr">
        <is>
          <t>ND</t>
        </is>
      </c>
      <c r="L834" s="371" t="inlineStr">
        <is>
          <t>ND</t>
        </is>
      </c>
      <c r="M834" s="1420" t="inlineStr">
        <is>
          <t>txDSCRreval</t>
        </is>
      </c>
      <c r="N834" s="257" t="inlineStr">
        <is>
          <t>Obligatoire sous conditions</t>
        </is>
      </c>
      <c r="O834" s="310" t="inlineStr">
        <is>
          <t>Mandatory under conditions</t>
        </is>
      </c>
      <c r="P834" s="269" t="inlineStr">
        <is>
          <t>NA</t>
        </is>
      </c>
      <c r="Q834" s="269" t="inlineStr">
        <is>
          <t>NA</t>
        </is>
      </c>
      <c r="R834" s="241" t="inlineStr">
        <is>
          <t>NA</t>
        </is>
      </c>
      <c r="S834" s="233" t="inlineStr">
        <is>
          <t>NA</t>
        </is>
      </c>
      <c r="T834" s="313" t="inlineStr">
        <is>
          <t>NUM</t>
        </is>
      </c>
      <c r="U834" s="237" t="inlineStr">
        <is>
          <t>10 dont signe et 5 décimales</t>
        </is>
      </c>
      <c r="V834" s="238" t="inlineStr">
        <is>
          <t>10 including sign and 5 decimals</t>
        </is>
      </c>
      <c r="W834" s="257" t="n">
        <v>10</v>
      </c>
      <c r="X834" s="945" t="inlineStr">
        <is>
          <t>NA</t>
        </is>
      </c>
      <c r="Y834" s="237" t="n">
        <v>44</v>
      </c>
      <c r="Z834" s="237" t="inlineStr">
        <is>
          <t>NA</t>
        </is>
      </c>
      <c r="AA834" s="283" t="inlineStr">
        <is>
          <t>NA</t>
        </is>
      </c>
      <c r="AB834" s="269" t="inlineStr">
        <is>
          <t>OCTROI DE CREDIT</t>
        </is>
      </c>
      <c r="AC834" s="231" t="inlineStr">
        <is>
          <t>ND</t>
        </is>
      </c>
      <c r="AD834" s="257" t="inlineStr">
        <is>
          <t>N</t>
        </is>
      </c>
      <c r="AE834" s="257" t="inlineStr">
        <is>
          <t>TRE2 à 5XX hors 203,205-207</t>
        </is>
      </c>
      <c r="AF834" s="257" t="inlineStr">
        <is>
          <t>NA</t>
        </is>
      </c>
      <c r="AG834" s="258" t="inlineStr">
        <is>
          <t>NA</t>
        </is>
      </c>
      <c r="AH834" s="89" t="n"/>
      <c r="AI834" s="1407" t="inlineStr">
        <is>
          <t>La donnée est obligatoire, si le type de risque [P1 2.0] = 'TRExx' (hors 'TRE203, TRE205, TRE206, TRE207'), 'SIGxx' ET si l'usage du bien immobilier financé [P1 8.13] est égal à '2' et si la Date de revalorisation du bien [P1 22.46] est renseignée</t>
        </is>
      </c>
      <c r="AJ834" s="434" t="inlineStr">
        <is>
          <t>The data is mandatory if the Risk type [P1 2.0] = 'TRExx' (except 'TRE203, TRE205, TRE206, TRE207'), 'SIGxx' AND if the Use of financed property [P1 8.13] is equal to '2' and if the Property's revaluation date [P1 22.46] is filled</t>
        </is>
      </c>
      <c r="AK834" s="588" t="n">
        <v>6</v>
      </c>
      <c r="AL834" s="335" t="inlineStr">
        <is>
          <t>TPS0946</t>
        </is>
      </c>
      <c r="AM834" s="712" t="n"/>
      <c r="AN834" s="434" t="n"/>
      <c r="AO834" s="588" t="n"/>
      <c r="AP834" s="713" t="n"/>
      <c r="AQ834" s="712" t="n"/>
      <c r="AR834" s="434" t="n"/>
      <c r="AS834" s="588" t="n"/>
      <c r="AT834" s="713" t="n"/>
      <c r="AU834" s="712" t="n"/>
      <c r="AV834" s="434" t="n"/>
      <c r="AW834" s="588" t="n"/>
      <c r="AX834" s="713" t="n"/>
      <c r="AY834" s="712" t="n"/>
      <c r="AZ834" s="434" t="n"/>
      <c r="BA834" s="588" t="n"/>
      <c r="BB834" s="713" t="n"/>
      <c r="BC834" s="714" t="n"/>
      <c r="BD834" s="434" t="n"/>
      <c r="BE834" s="588" t="n"/>
      <c r="BF834" s="713" t="n"/>
      <c r="BG834" s="89" t="n"/>
      <c r="BH8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34">
        <f>_xlfn.LET(r,ROW(),oc,INDEX($A:$A,r),cv,TRIM(INDEX($Y:$Y,r)&amp;""),IF(oc&lt;&gt;"P1","",IF(cv="45","V45 - novo, nao alimentado pelo spool atual","V44 - alimentado pelo spool atual")))</f>
        <v/>
      </c>
    </row>
    <row r="835" ht="54" customFormat="1" customHeight="1" s="91">
      <c r="A835" s="306" t="inlineStr">
        <is>
          <t>P1</t>
        </is>
      </c>
      <c r="B835" s="307" t="n">
        <v>600</v>
      </c>
      <c r="C835" s="269" t="inlineStr">
        <is>
          <t>29 - Ratio</t>
        </is>
      </c>
      <c r="D835" s="236" t="inlineStr">
        <is>
          <t>29 - Ratio</t>
        </is>
      </c>
      <c r="E835" s="307" t="inlineStr">
        <is>
          <t>P1 21.83</t>
        </is>
      </c>
      <c r="F835" s="308" t="inlineStr">
        <is>
          <t>Ratio de couverture des intérêts (ICR) revalorisé</t>
        </is>
      </c>
      <c r="G835" s="309" t="inlineStr">
        <is>
          <t>Recalculated ICR ratio</t>
        </is>
      </c>
      <c r="H835" s="1493">
        <f>"RPAD( "&amp;SUBSTITUTE(SUBSTITUTE(E835," ","_"),".","_")&amp;","&amp;W835&amp;",' '); -- "&amp;E835</f>
        <v/>
      </c>
      <c r="I835" s="308" t="inlineStr">
        <is>
          <t>Le ratio ICR (Interest Coverage Ratio) revalorisé correspond au rapport entre l'excédent brut d'exploitation (EBE) de l'emprunteur et le coût annuel des intérêts du service total de la dette au moment du montage du prêt.</t>
        </is>
      </c>
      <c r="J835" s="309" t="inlineStr">
        <is>
          <t>The Recalculated Interest Coverage Ratio (ICR) corresponds to the ratio between the borrower's gross operating surplus (GOS) and the annual interest cost of the total debt service at the time of the loan.</t>
        </is>
      </c>
      <c r="K835" s="370" t="inlineStr">
        <is>
          <t>ND</t>
        </is>
      </c>
      <c r="L835" s="371" t="inlineStr">
        <is>
          <t>ND</t>
        </is>
      </c>
      <c r="M835" s="1420" t="inlineStr">
        <is>
          <t>txICRreval</t>
        </is>
      </c>
      <c r="N835" s="257" t="inlineStr">
        <is>
          <t>Obligatoire sous conditions</t>
        </is>
      </c>
      <c r="O835" s="310" t="inlineStr">
        <is>
          <t>Mandatory under conditions</t>
        </is>
      </c>
      <c r="P835" s="269" t="inlineStr">
        <is>
          <t>NA</t>
        </is>
      </c>
      <c r="Q835" s="269" t="inlineStr">
        <is>
          <t>NA</t>
        </is>
      </c>
      <c r="R835" s="241" t="inlineStr">
        <is>
          <t>NA</t>
        </is>
      </c>
      <c r="S835" s="233" t="inlineStr">
        <is>
          <t>NA</t>
        </is>
      </c>
      <c r="T835" s="313" t="inlineStr">
        <is>
          <t>NUM</t>
        </is>
      </c>
      <c r="U835" s="237" t="inlineStr">
        <is>
          <t>15 dont signe et 9 décimales</t>
        </is>
      </c>
      <c r="V835" s="238" t="inlineStr">
        <is>
          <t>15 including sign and 9 decimals</t>
        </is>
      </c>
      <c r="W835" s="257" t="n">
        <v>15</v>
      </c>
      <c r="X835" s="945" t="inlineStr">
        <is>
          <t>NA</t>
        </is>
      </c>
      <c r="Y835" s="237" t="n">
        <v>44</v>
      </c>
      <c r="Z835" s="237" t="inlineStr">
        <is>
          <t>NA</t>
        </is>
      </c>
      <c r="AA835" s="239" t="inlineStr">
        <is>
          <t>NA</t>
        </is>
      </c>
      <c r="AB835" s="269" t="inlineStr">
        <is>
          <t>OCTROI DE CREDIT</t>
        </is>
      </c>
      <c r="AC835" s="231" t="inlineStr">
        <is>
          <t>ND</t>
        </is>
      </c>
      <c r="AD835" s="257" t="inlineStr">
        <is>
          <t>N</t>
        </is>
      </c>
      <c r="AE835" s="257" t="inlineStr">
        <is>
          <t>TRE2 à 5XX hors 203,205-207</t>
        </is>
      </c>
      <c r="AF835" s="257" t="inlineStr">
        <is>
          <t>NA</t>
        </is>
      </c>
      <c r="AG835" s="258" t="inlineStr">
        <is>
          <t>NA</t>
        </is>
      </c>
      <c r="AH835" s="89" t="n"/>
      <c r="AI835" s="711" t="inlineStr">
        <is>
          <t xml:space="preserve">La donnée est obligatoire si le type de risque [P1 2.0] est égal à 'TRE2xx' à 'TRE4xx', 'TRE502' hors (TRE201, TRE203, TRE205, TRE206, TRE207) ET si la donnée objet financé [P1 22.7] est égale à '03' ET si la donnée méthodologie de notation [C1 4.3] du tiers en risque est égale à 'M1 ', 'M2', 'M41', 'M43' ou 'M44' ET si la date revalorisation du bien [P1 22.46] est renseignée </t>
        </is>
      </c>
      <c r="AJ835" s="434" t="inlineStr">
        <is>
          <t>The data is mandatory if Risk type [P1 2.0] is equal to 'TRE2xx' to 'TRE4xx', 'TRE502' except (TRE201, TRE203, TRE205, TRE206, TRE207) AND if the data Object financed [P1 22.7] is equal to '03' AND if the data Rating methodology [C1 4.3] of third-party in risk is equal to 'M1 ', 'M2', 'M41', 'M43' or 'M44' AND if the Property's revaluation date [P1 22.46] is filled</t>
        </is>
      </c>
      <c r="AK835" s="588" t="n">
        <v>6</v>
      </c>
      <c r="AL835" s="762" t="inlineStr">
        <is>
          <t>TP2037</t>
        </is>
      </c>
      <c r="AM835" s="712" t="n"/>
      <c r="AN835" s="434" t="n"/>
      <c r="AO835" s="588" t="n"/>
      <c r="AP835" s="713" t="n"/>
      <c r="AQ835" s="712" t="n"/>
      <c r="AR835" s="434" t="n"/>
      <c r="AS835" s="588" t="n"/>
      <c r="AT835" s="713" t="n"/>
      <c r="AU835" s="712" t="n"/>
      <c r="AV835" s="434" t="n"/>
      <c r="AW835" s="588" t="n"/>
      <c r="AX835" s="713" t="n"/>
      <c r="AY835" s="712" t="n"/>
      <c r="AZ835" s="434" t="n"/>
      <c r="BA835" s="588" t="n"/>
      <c r="BB835" s="713" t="n"/>
      <c r="BC835" s="714" t="n"/>
      <c r="BD835" s="434" t="n"/>
      <c r="BE835" s="588" t="n"/>
      <c r="BF835" s="713" t="n"/>
      <c r="BG835" s="89" t="n"/>
      <c r="BH8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35">
        <f>_xlfn.LET(r,ROW(),oc,INDEX($A:$A,r),cv,TRIM(INDEX($Y:$Y,r)&amp;""),IF(oc&lt;&gt;"P1","",IF(cv="45","V45 - novo, nao alimentado pelo spool atual","V44 - alimentado pelo spool atual")))</f>
        <v/>
      </c>
    </row>
    <row r="836" ht="54" customFormat="1" customHeight="1" s="91">
      <c r="A836" s="306" t="inlineStr">
        <is>
          <t>P1</t>
        </is>
      </c>
      <c r="B836" s="307" t="n">
        <v>601</v>
      </c>
      <c r="C836" s="269" t="inlineStr">
        <is>
          <t>29 - Ratio</t>
        </is>
      </c>
      <c r="D836" s="236" t="inlineStr">
        <is>
          <t>29 - Ratio</t>
        </is>
      </c>
      <c r="E836" s="307" t="inlineStr">
        <is>
          <t>P1 21.84</t>
        </is>
      </c>
      <c r="F836" s="308" t="inlineStr">
        <is>
          <t>Ratio prêts-coûts (LTC) à l'octroi</t>
        </is>
      </c>
      <c r="G836" s="309" t="inlineStr">
        <is>
          <t>LTC (Loan to Cost) at the origin</t>
        </is>
      </c>
      <c r="H836" s="1493">
        <f>"RPAD( "&amp;SUBSTITUTE(SUBSTITUTE(E836," ","_"),".","_")&amp;","&amp;W836&amp;",' '); -- "&amp;E836</f>
        <v/>
      </c>
      <c r="I836" s="308" t="inlineStr">
        <is>
          <t>Le ratio LTC (Loan To Cost) représente le montant initial de l'ensemble des prêts accordés par rapport aux coûts liés à la construction d'un bien immobilier jusqu'à son achèvement</t>
        </is>
      </c>
      <c r="J836" s="309" t="inlineStr">
        <is>
          <t>The Loan To Cost (LTC) ratio represents the initial amount of all loans granted relative to the costs of the property construction until its completion</t>
        </is>
      </c>
      <c r="K836" s="370" t="inlineStr">
        <is>
          <t>ND</t>
        </is>
      </c>
      <c r="L836" s="371" t="inlineStr">
        <is>
          <t>ND</t>
        </is>
      </c>
      <c r="M836" s="1420" t="inlineStr">
        <is>
          <t>txLTCoctroi</t>
        </is>
      </c>
      <c r="N836" s="257" t="inlineStr">
        <is>
          <t>Obligatoire sous conditions</t>
        </is>
      </c>
      <c r="O836" s="310" t="inlineStr">
        <is>
          <t>Mandatory under conditions</t>
        </is>
      </c>
      <c r="P836" s="269" t="inlineStr">
        <is>
          <t>NA</t>
        </is>
      </c>
      <c r="Q836" s="269" t="inlineStr">
        <is>
          <t>NA</t>
        </is>
      </c>
      <c r="R836" s="241" t="inlineStr">
        <is>
          <t>NA</t>
        </is>
      </c>
      <c r="S836" s="233" t="inlineStr">
        <is>
          <t>NA</t>
        </is>
      </c>
      <c r="T836" s="313" t="inlineStr">
        <is>
          <t>NUM</t>
        </is>
      </c>
      <c r="U836" s="237" t="inlineStr">
        <is>
          <t>15 dont signe et 9 décimales</t>
        </is>
      </c>
      <c r="V836" s="238" t="inlineStr">
        <is>
          <t>15 including sign and 9 decimals</t>
        </is>
      </c>
      <c r="W836" s="257" t="n">
        <v>15</v>
      </c>
      <c r="X836" s="945" t="inlineStr">
        <is>
          <t>NA</t>
        </is>
      </c>
      <c r="Y836" s="237" t="n">
        <v>44</v>
      </c>
      <c r="Z836" s="237" t="inlineStr">
        <is>
          <t>NA</t>
        </is>
      </c>
      <c r="AA836" s="239" t="inlineStr">
        <is>
          <t>NA</t>
        </is>
      </c>
      <c r="AB836" s="269" t="inlineStr">
        <is>
          <t>OCTROI DE CREDIT</t>
        </is>
      </c>
      <c r="AC836" s="231" t="inlineStr">
        <is>
          <t>ND</t>
        </is>
      </c>
      <c r="AD836" s="257" t="inlineStr">
        <is>
          <t>N</t>
        </is>
      </c>
      <c r="AE836" s="257" t="inlineStr">
        <is>
          <t>TRE2 à 5XX hors 203,205-207</t>
        </is>
      </c>
      <c r="AF836" s="257" t="inlineStr">
        <is>
          <t>NA</t>
        </is>
      </c>
      <c r="AG836" s="258" t="inlineStr">
        <is>
          <t>NA</t>
        </is>
      </c>
      <c r="AH836" s="89" t="n"/>
      <c r="AI836" s="763" t="inlineStr">
        <is>
          <t xml:space="preserve">La donnée est obligatoire si le type de risque [P1 2.0] est égal à 'TRE2xx' à 'TRE4xx', 'TRE502' hors (TRE201, TRE203, TRE205, TRE206, TRE207) ET si la donnée objet financé [P1 22.7] est égale à '03' ET si la donnée méthodologie de notation [C1 4.3] du tiers en risque est égale à 'M1 ', 'M2', 'M41', 'M43' ou 'M44' ET si la date revalorisation du bien [P1 22.46] est renseignée </t>
        </is>
      </c>
      <c r="AJ836" s="434" t="inlineStr">
        <is>
          <t>The data is mandatory if Risk type [P1 2.0] is equal to 'TRE2xx' to 'TRE4xx', 'TRE502' except (TRE201, TRE203, TRE205, TRE206, TRE207) AND if the data Object financed [P1 22.7] is equal to '03' AND if the data Rating methodology [C1 4.3] of third-party in risk is equal to 'M1 ', 'M2', 'M41', 'M43' or 'M44' AND if the Property's revaluation date [P1 22.46] is filled</t>
        </is>
      </c>
      <c r="AK836" s="588" t="n">
        <v>6</v>
      </c>
      <c r="AL836" s="762" t="inlineStr">
        <is>
          <t>TP2037</t>
        </is>
      </c>
      <c r="AM836" s="712" t="n"/>
      <c r="AN836" s="434" t="n"/>
      <c r="AO836" s="588" t="n"/>
      <c r="AP836" s="713" t="n"/>
      <c r="AQ836" s="712" t="n"/>
      <c r="AR836" s="434" t="n"/>
      <c r="AS836" s="588" t="n"/>
      <c r="AT836" s="713" t="n"/>
      <c r="AU836" s="712" t="n"/>
      <c r="AV836" s="434" t="n"/>
      <c r="AW836" s="588" t="n"/>
      <c r="AX836" s="713" t="n"/>
      <c r="AY836" s="712" t="n"/>
      <c r="AZ836" s="434" t="n"/>
      <c r="BA836" s="588" t="n"/>
      <c r="BB836" s="713" t="n"/>
      <c r="BC836" s="714" t="n"/>
      <c r="BD836" s="434" t="n"/>
      <c r="BE836" s="588" t="n"/>
      <c r="BF836" s="713" t="n"/>
      <c r="BG836" s="89" t="n"/>
      <c r="BH8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36">
        <f>_xlfn.LET(r,ROW(),oc,INDEX($A:$A,r),cv,TRIM(INDEX($Y:$Y,r)&amp;""),IF(oc&lt;&gt;"P1","",IF(cv="45","V45 - novo, nao alimentado pelo spool atual","V44 - alimentado pelo spool atual")))</f>
        <v/>
      </c>
    </row>
    <row r="837" ht="54" customFormat="1" customHeight="1" s="91">
      <c r="A837" s="306" t="inlineStr">
        <is>
          <t>P1</t>
        </is>
      </c>
      <c r="B837" s="307" t="n">
        <v>602</v>
      </c>
      <c r="C837" s="269" t="inlineStr">
        <is>
          <t>12 - Caractéristiques Prêts - Emprunts</t>
        </is>
      </c>
      <c r="D837" s="236" t="inlineStr">
        <is>
          <t>12 - Loans - Borrowings characteristics</t>
        </is>
      </c>
      <c r="E837" s="307" t="inlineStr">
        <is>
          <t>P1 21.85</t>
        </is>
      </c>
      <c r="F837" s="308" t="inlineStr">
        <is>
          <t>Taux de précommercialisation / prélocation à l'octroi</t>
        </is>
      </c>
      <c r="G837" s="309" t="inlineStr">
        <is>
          <t>Pre-market/pre-grant rate at the origin</t>
        </is>
      </c>
      <c r="H837" s="1493">
        <f>"RPAD( "&amp;SUBSTITUTE(SUBSTITUTE(E837," ","_"),".","_")&amp;","&amp;W837&amp;",' '); -- "&amp;E837</f>
        <v/>
      </c>
      <c r="I837" s="1248" t="inlineStr">
        <is>
          <t>Correspond à la surface pré-réservée (location ou vente) au moment de l'accord de prêt / surface totale après achèvement du bien
Exprimé en %</t>
        </is>
      </c>
      <c r="J837" s="309" t="inlineStr">
        <is>
          <t>Corresponds to the pre-reserved area (renting or sale) at the time of the loan agreement / total area after completion of the property
Expressed as %</t>
        </is>
      </c>
      <c r="K837" s="370" t="inlineStr">
        <is>
          <t>ND</t>
        </is>
      </c>
      <c r="L837" s="371" t="inlineStr">
        <is>
          <t>ND</t>
        </is>
      </c>
      <c r="M837" s="1420" t="inlineStr">
        <is>
          <t>txPreOctroi</t>
        </is>
      </c>
      <c r="N837" s="257" t="inlineStr">
        <is>
          <t>Obligatoire sous conditions</t>
        </is>
      </c>
      <c r="O837" s="310" t="inlineStr">
        <is>
          <t>Mandatory under conditions</t>
        </is>
      </c>
      <c r="P837" s="269" t="inlineStr">
        <is>
          <t>NA</t>
        </is>
      </c>
      <c r="Q837" s="269" t="inlineStr">
        <is>
          <t>NA</t>
        </is>
      </c>
      <c r="R837" s="241" t="inlineStr">
        <is>
          <t>NA</t>
        </is>
      </c>
      <c r="S837" s="233" t="inlineStr">
        <is>
          <t>NA</t>
        </is>
      </c>
      <c r="T837" s="313" t="inlineStr">
        <is>
          <t>NUM</t>
        </is>
      </c>
      <c r="U837" s="237" t="inlineStr">
        <is>
          <t>15 dont signe et 9 décimales</t>
        </is>
      </c>
      <c r="V837" s="238" t="inlineStr">
        <is>
          <t>15 including sign and 9 decimals</t>
        </is>
      </c>
      <c r="W837" s="257" t="n">
        <v>15</v>
      </c>
      <c r="X837" s="945" t="inlineStr">
        <is>
          <t>NA</t>
        </is>
      </c>
      <c r="Y837" s="237" t="n">
        <v>44</v>
      </c>
      <c r="Z837" s="237" t="inlineStr">
        <is>
          <t>NA</t>
        </is>
      </c>
      <c r="AA837" s="239" t="inlineStr">
        <is>
          <t>NA</t>
        </is>
      </c>
      <c r="AB837" s="269" t="inlineStr">
        <is>
          <t>OCTROI DE CREDIT</t>
        </is>
      </c>
      <c r="AC837" s="231" t="inlineStr">
        <is>
          <t>ND</t>
        </is>
      </c>
      <c r="AD837" s="257" t="inlineStr">
        <is>
          <t>N</t>
        </is>
      </c>
      <c r="AE837" s="257" t="inlineStr">
        <is>
          <t>TRE2 à 5XX hors 203,205-207</t>
        </is>
      </c>
      <c r="AF837" s="257" t="inlineStr">
        <is>
          <t>NA</t>
        </is>
      </c>
      <c r="AG837" s="258" t="inlineStr">
        <is>
          <t>NA</t>
        </is>
      </c>
      <c r="AH837" s="89" t="n"/>
      <c r="AI837" s="711" t="inlineStr">
        <is>
          <t xml:space="preserve">La donnée est obligatoire si le type de risque [P1 2.0] est égal à 'TRE2xx' à 'TRE4xx', 'TRE502' hors (TRE201, TRE203, TRE205, TRE206, TRE207) ET si la donnée objet financé [P1 22.7] est égale à '03' ET si la donnée méthodologie de notation [C1 4.3] du tiers en risque est égale à 'M1 ', 'M2', 'M41', 'M43' ou 'M44' ET si la date revalorisation du bien [P1 22.46] est renseignée </t>
        </is>
      </c>
      <c r="AJ837" s="434" t="inlineStr">
        <is>
          <t>The data is mandatory if Risk type [P1 2.0] is equal to 'TRE2xx' to 'TRE4xx', 'TRE502' except (TRE201, TRE203, TRE205, TRE206, TRE207) AND if the data Object financed [P1 22.7] is equal to '03' AND if the data Rating methodology [C1 4.3] of third-party in risk is equal to 'M1 ', 'M2', 'M41', 'M43' or 'M44' AND if the Property's revaluation date [P1 22.46] is filled</t>
        </is>
      </c>
      <c r="AK837" s="588" t="n">
        <v>6</v>
      </c>
      <c r="AL837" s="762" t="inlineStr">
        <is>
          <t>TP2037</t>
        </is>
      </c>
      <c r="AM837" s="712" t="n"/>
      <c r="AN837" s="434" t="n"/>
      <c r="AO837" s="588" t="n"/>
      <c r="AP837" s="713" t="n"/>
      <c r="AQ837" s="712" t="n"/>
      <c r="AR837" s="434" t="n"/>
      <c r="AS837" s="588" t="n"/>
      <c r="AT837" s="713" t="n"/>
      <c r="AU837" s="712" t="n"/>
      <c r="AV837" s="434" t="n"/>
      <c r="AW837" s="588" t="n"/>
      <c r="AX837" s="713" t="n"/>
      <c r="AY837" s="712" t="n"/>
      <c r="AZ837" s="434" t="n"/>
      <c r="BA837" s="588" t="n"/>
      <c r="BB837" s="713" t="n"/>
      <c r="BC837" s="714" t="n"/>
      <c r="BD837" s="434" t="n"/>
      <c r="BE837" s="588" t="n"/>
      <c r="BF837" s="713" t="n"/>
      <c r="BG837" s="89" t="n"/>
      <c r="BH8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37">
        <f>_xlfn.LET(r,ROW(),oc,INDEX($A:$A,r),cv,TRIM(INDEX($Y:$Y,r)&amp;""),IF(oc&lt;&gt;"P1","",IF(cv="45","V45 - novo, nao alimentado pelo spool atual","V44 - alimentado pelo spool atual")))</f>
        <v/>
      </c>
    </row>
    <row r="838" ht="54" customFormat="1" customHeight="1" s="91">
      <c r="A838" s="306" t="inlineStr">
        <is>
          <t>P1</t>
        </is>
      </c>
      <c r="B838" s="307" t="n">
        <v>603</v>
      </c>
      <c r="C838" s="269" t="inlineStr">
        <is>
          <t>03 - Caractéristiques Générales</t>
        </is>
      </c>
      <c r="D838" s="236" t="inlineStr">
        <is>
          <t>03 - General characteristics</t>
        </is>
      </c>
      <c r="E838" s="307" t="inlineStr">
        <is>
          <t>P1 21.86</t>
        </is>
      </c>
      <c r="F838" s="764" t="inlineStr">
        <is>
          <t>Type de bien commercial</t>
        </is>
      </c>
      <c r="G838" s="309" t="inlineStr">
        <is>
          <t>Type of commercial property</t>
        </is>
      </c>
      <c r="H838" s="1493">
        <f>"RPAD( "&amp;SUBSTITUTE(SUBSTITUTE(E838," ","_"),".","_")&amp;","&amp;W838&amp;",' '); -- "&amp;E838</f>
        <v/>
      </c>
      <c r="I838" s="765" t="inlineStr">
        <is>
          <t>Correspond à l'usage principal du bien immobilier commercial</t>
        </is>
      </c>
      <c r="J838" s="309" t="inlineStr">
        <is>
          <t>Corresponds to the principle use of the commercial real estate property</t>
        </is>
      </c>
      <c r="K838" s="370" t="inlineStr">
        <is>
          <t>ND</t>
        </is>
      </c>
      <c r="L838" s="371" t="inlineStr">
        <is>
          <t>ND</t>
        </is>
      </c>
      <c r="M838" s="1420" t="inlineStr">
        <is>
          <t>TypBienCcial</t>
        </is>
      </c>
      <c r="N838" s="597" t="inlineStr">
        <is>
          <t>Facultatif</t>
        </is>
      </c>
      <c r="O838" s="310" t="inlineStr">
        <is>
          <t>Optional</t>
        </is>
      </c>
      <c r="P838" s="269" t="inlineStr">
        <is>
          <t>LC.0513</t>
        </is>
      </c>
      <c r="Q838" s="269" t="inlineStr">
        <is>
          <t>TA Z8TYPBCO</t>
        </is>
      </c>
      <c r="R838" s="241" t="inlineStr">
        <is>
          <t>NA</t>
        </is>
      </c>
      <c r="S838" s="233" t="inlineStr">
        <is>
          <t>NA</t>
        </is>
      </c>
      <c r="T838" s="313" t="inlineStr">
        <is>
          <t>ALPHA</t>
        </is>
      </c>
      <c r="U838" s="237" t="inlineStr">
        <is>
          <t>NA</t>
        </is>
      </c>
      <c r="V838" s="238" t="inlineStr">
        <is>
          <t>NA</t>
        </is>
      </c>
      <c r="W838" s="257" t="n">
        <v>1</v>
      </c>
      <c r="X838" s="945" t="inlineStr">
        <is>
          <t>NA</t>
        </is>
      </c>
      <c r="Y838" s="237" t="n">
        <v>44</v>
      </c>
      <c r="Z838" s="237" t="inlineStr">
        <is>
          <t>NA</t>
        </is>
      </c>
      <c r="AA838" s="283" t="inlineStr">
        <is>
          <t>NA</t>
        </is>
      </c>
      <c r="AB838" s="269" t="inlineStr">
        <is>
          <t>OCTROI DE CREDIT</t>
        </is>
      </c>
      <c r="AC838" s="231" t="inlineStr">
        <is>
          <t>ND</t>
        </is>
      </c>
      <c r="AD838" s="257" t="inlineStr">
        <is>
          <t>N</t>
        </is>
      </c>
      <c r="AE838" s="257" t="inlineStr">
        <is>
          <t>TRE2 à 5XX hors 203,205-207</t>
        </is>
      </c>
      <c r="AF838" s="257" t="inlineStr">
        <is>
          <t>NA</t>
        </is>
      </c>
      <c r="AG838" s="258" t="inlineStr">
        <is>
          <t>NA</t>
        </is>
      </c>
      <c r="AH838" s="89" t="n"/>
      <c r="AI838" s="711" t="n"/>
      <c r="AJ838" s="434" t="n"/>
      <c r="AK838" s="588" t="n"/>
      <c r="AL838" s="335" t="n"/>
      <c r="AM838" s="712" t="inlineStr">
        <is>
          <t>Si elle est renseignée, la valeur doit être connue du Langage Commun associé</t>
        </is>
      </c>
      <c r="AN838" s="434" t="inlineStr">
        <is>
          <t>If specified, the value must be known to the associated Common Language</t>
        </is>
      </c>
      <c r="AO838" s="588" t="n">
        <v>7</v>
      </c>
      <c r="AP838" s="212" t="inlineStr">
        <is>
          <t>TIG0001</t>
        </is>
      </c>
      <c r="AQ838" s="712" t="n"/>
      <c r="AR838" s="434" t="n"/>
      <c r="AS838" s="588" t="n"/>
      <c r="AT838" s="713" t="n"/>
      <c r="AU838" s="712" t="n"/>
      <c r="AV838" s="434" t="n"/>
      <c r="AW838" s="588" t="n"/>
      <c r="AX838" s="713" t="n"/>
      <c r="AY838" s="712" t="n"/>
      <c r="AZ838" s="434" t="n"/>
      <c r="BA838" s="588" t="n"/>
      <c r="BB838" s="713" t="n"/>
      <c r="BC838" s="714" t="n"/>
      <c r="BD838" s="434" t="n"/>
      <c r="BE838" s="588" t="n"/>
      <c r="BF838" s="713" t="n"/>
      <c r="BG838" s="89" t="n"/>
      <c r="BH8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38">
        <f>_xlfn.LET(r,ROW(),oc,INDEX($A:$A,r),cv,TRIM(INDEX($Y:$Y,r)&amp;""),IF(oc&lt;&gt;"P1","",IF(cv="45","V45 - novo, nao alimentado pelo spool atual","V44 - alimentado pelo spool atual")))</f>
        <v/>
      </c>
    </row>
    <row r="839" ht="54" customFormat="1" customHeight="1" s="91">
      <c r="A839" s="306" t="inlineStr">
        <is>
          <t>P1</t>
        </is>
      </c>
      <c r="B839" s="307" t="n">
        <v>604</v>
      </c>
      <c r="C839" s="269" t="inlineStr">
        <is>
          <t>03 - Caractéristiques Générales</t>
        </is>
      </c>
      <c r="D839" s="236" t="inlineStr">
        <is>
          <t>03 - General characteristics</t>
        </is>
      </c>
      <c r="E839" s="307" t="inlineStr">
        <is>
          <t>P1 21.87</t>
        </is>
      </c>
      <c r="F839" s="765" t="inlineStr">
        <is>
          <t>Emplacement du bien immobilier commercial</t>
        </is>
      </c>
      <c r="G839" s="309" t="inlineStr">
        <is>
          <t>Location of the commercial real estate property</t>
        </is>
      </c>
      <c r="H839" s="1493">
        <f>"RPAD( "&amp;SUBSTITUTE(SUBSTITUTE(E839," ","_"),".","_")&amp;","&amp;W839&amp;",' '); -- "&amp;E839</f>
        <v/>
      </c>
      <c r="I839" s="308" t="inlineStr">
        <is>
          <t>Fait référence à la répartition géographique ou aux sous-marchés immobiliers.
Comprend les emplacements privilégiés et les emplacements non-privilégiés (cf. le langage commun pour une définition d'un emplacement privilégié).</t>
        </is>
      </c>
      <c r="J839" s="309" t="inlineStr">
        <is>
          <t>Refers to geographical distribution or real-estate submarkets.
Includes preferred and non-preferred locations (see the common language for a definition of a preferred location)</t>
        </is>
      </c>
      <c r="K839" s="370" t="inlineStr">
        <is>
          <t>ND</t>
        </is>
      </c>
      <c r="L839" s="371" t="inlineStr">
        <is>
          <t>ND</t>
        </is>
      </c>
      <c r="M839" s="1420" t="inlineStr">
        <is>
          <t>EmplBienCcial</t>
        </is>
      </c>
      <c r="N839" s="597" t="inlineStr">
        <is>
          <t>Facultatif</t>
        </is>
      </c>
      <c r="O839" s="310" t="inlineStr">
        <is>
          <t>Optional</t>
        </is>
      </c>
      <c r="P839" s="269" t="inlineStr">
        <is>
          <t>LC.0516</t>
        </is>
      </c>
      <c r="Q839" s="269" t="inlineStr">
        <is>
          <t>TA Z8EMPBCO</t>
        </is>
      </c>
      <c r="R839" s="241" t="inlineStr">
        <is>
          <t>NA</t>
        </is>
      </c>
      <c r="S839" s="233" t="inlineStr">
        <is>
          <t>NA</t>
        </is>
      </c>
      <c r="T839" s="313" t="inlineStr">
        <is>
          <t>ALPHA</t>
        </is>
      </c>
      <c r="U839" s="237" t="inlineStr">
        <is>
          <t>NA</t>
        </is>
      </c>
      <c r="V839" s="238" t="inlineStr">
        <is>
          <t>NA</t>
        </is>
      </c>
      <c r="W839" s="257" t="n">
        <v>1</v>
      </c>
      <c r="X839" s="945" t="inlineStr">
        <is>
          <t>NA</t>
        </is>
      </c>
      <c r="Y839" s="237" t="n">
        <v>44</v>
      </c>
      <c r="Z839" s="237" t="inlineStr">
        <is>
          <t>NA</t>
        </is>
      </c>
      <c r="AA839" s="283" t="inlineStr">
        <is>
          <t>NA</t>
        </is>
      </c>
      <c r="AB839" s="269" t="inlineStr">
        <is>
          <t>OCTROI DE CREDIT</t>
        </is>
      </c>
      <c r="AC839" s="231" t="inlineStr">
        <is>
          <t>ND</t>
        </is>
      </c>
      <c r="AD839" s="257" t="inlineStr">
        <is>
          <t>N</t>
        </is>
      </c>
      <c r="AE839" s="257" t="inlineStr">
        <is>
          <t>TRE2 à 5XX hors 203,205-207</t>
        </is>
      </c>
      <c r="AF839" s="257" t="inlineStr">
        <is>
          <t>NA</t>
        </is>
      </c>
      <c r="AG839" s="258" t="inlineStr">
        <is>
          <t>NA</t>
        </is>
      </c>
      <c r="AH839" s="89" t="n"/>
      <c r="AI839" s="711" t="n"/>
      <c r="AJ839" s="434" t="n"/>
      <c r="AK839" s="588" t="n"/>
      <c r="AL839" s="335" t="n"/>
      <c r="AM839" s="712" t="inlineStr">
        <is>
          <t>Si elle est renseignée, la valeur doit être connue du Langage Commun associé</t>
        </is>
      </c>
      <c r="AN839" s="434" t="inlineStr">
        <is>
          <t>If specified, the value must be known to the associated Common Language</t>
        </is>
      </c>
      <c r="AO839" s="588" t="n">
        <v>7</v>
      </c>
      <c r="AP839" s="212" t="inlineStr">
        <is>
          <t>TIG0001</t>
        </is>
      </c>
      <c r="AQ839" s="712" t="n"/>
      <c r="AR839" s="434" t="n"/>
      <c r="AS839" s="588" t="n"/>
      <c r="AT839" s="713" t="n"/>
      <c r="AU839" s="712" t="n"/>
      <c r="AV839" s="434" t="n"/>
      <c r="AW839" s="588" t="n"/>
      <c r="AX839" s="713" t="n"/>
      <c r="AY839" s="712" t="n"/>
      <c r="AZ839" s="434" t="n"/>
      <c r="BA839" s="588" t="n"/>
      <c r="BB839" s="713" t="n"/>
      <c r="BC839" s="714" t="n"/>
      <c r="BD839" s="434" t="n"/>
      <c r="BE839" s="588" t="n"/>
      <c r="BF839" s="713" t="n"/>
      <c r="BG839" s="89" t="n"/>
      <c r="BH8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39">
        <f>_xlfn.LET(r,ROW(),oc,INDEX($A:$A,r),cv,TRIM(INDEX($Y:$Y,r)&amp;""),IF(oc&lt;&gt;"P1","",IF(cv="45","V45 - novo, nao alimentado pelo spool atual","V44 - alimentado pelo spool atual")))</f>
        <v/>
      </c>
    </row>
    <row r="840" ht="54" customFormat="1" customHeight="1" s="91">
      <c r="A840" s="306" t="inlineStr">
        <is>
          <t>P1</t>
        </is>
      </c>
      <c r="B840" s="307" t="n">
        <v>605</v>
      </c>
      <c r="C840" s="269" t="inlineStr">
        <is>
          <t xml:space="preserve">08 - Caractéristiques d'arriérés et de restructuration </t>
        </is>
      </c>
      <c r="D840" s="236" t="inlineStr">
        <is>
          <t>08 - Characteristics of overdues and restructuring</t>
        </is>
      </c>
      <c r="E840" s="307" t="inlineStr">
        <is>
          <t>P1 21.88</t>
        </is>
      </c>
      <c r="F840" s="308" t="inlineStr">
        <is>
          <t>Indicateur d'opération avec recours</t>
        </is>
      </c>
      <c r="G840" s="309" t="inlineStr">
        <is>
          <t>Operation with recourse indicator</t>
        </is>
      </c>
      <c r="H840" s="1493">
        <f>"RPAD( "&amp;SUBSTITUTE(SUBSTITUTE(E840," ","_"),".","_")&amp;","&amp;W840&amp;",' '); -- "&amp;E840</f>
        <v/>
      </c>
      <c r="I840" s="766" t="inlineStr">
        <is>
          <t>Classification des opérations en fonction des droits qu'a le créancier de saisir des actifs ne constituant pas une protection nantie pour garantir l'opération.
Dans le cas de créances commerciales, il s'agit du droit de recouvrer la dette auprès de l'entité ayant vendu ces créances au créancier.</t>
        </is>
      </c>
      <c r="J840" s="309" t="inlineStr">
        <is>
          <t>Classification of operation according to the creditor's rights to seize assets not pledged as security for the operation.
In the case of trade receivables, it is the right to collect the debt from the entity that sold the receivables to the creditor.</t>
        </is>
      </c>
      <c r="K840" s="370" t="inlineStr">
        <is>
          <t>ND</t>
        </is>
      </c>
      <c r="L840" s="371" t="inlineStr">
        <is>
          <t>ND</t>
        </is>
      </c>
      <c r="M840" s="1420" t="inlineStr">
        <is>
          <t>indOpeAvcRecours</t>
        </is>
      </c>
      <c r="N840" s="505" t="inlineStr">
        <is>
          <t>Obligatoire sous conditions</t>
        </is>
      </c>
      <c r="O840" s="310" t="inlineStr">
        <is>
          <t>Mandatory under conditions</t>
        </is>
      </c>
      <c r="P840" s="269" t="inlineStr">
        <is>
          <t>LC.0503</t>
        </is>
      </c>
      <c r="Q840" s="269" t="inlineStr">
        <is>
          <t>TA Z8INSARE</t>
        </is>
      </c>
      <c r="R840" s="241" t="inlineStr">
        <is>
          <t>NA</t>
        </is>
      </c>
      <c r="S840" s="233" t="inlineStr">
        <is>
          <t>NA</t>
        </is>
      </c>
      <c r="T840" s="313" t="inlineStr">
        <is>
          <t>ALPHA</t>
        </is>
      </c>
      <c r="U840" s="237" t="inlineStr">
        <is>
          <t>NA</t>
        </is>
      </c>
      <c r="V840" s="238" t="inlineStr">
        <is>
          <t>NA</t>
        </is>
      </c>
      <c r="W840" s="257" t="n">
        <v>1</v>
      </c>
      <c r="X840" s="945" t="inlineStr">
        <is>
          <t>NA</t>
        </is>
      </c>
      <c r="Y840" s="237" t="n">
        <v>44</v>
      </c>
      <c r="Z840" s="237" t="inlineStr">
        <is>
          <t>NA</t>
        </is>
      </c>
      <c r="AA840" s="283" t="inlineStr">
        <is>
          <t>NA</t>
        </is>
      </c>
      <c r="AB840" s="269" t="inlineStr">
        <is>
          <t>ANACREDIT</t>
        </is>
      </c>
      <c r="AC840" s="231" t="inlineStr">
        <is>
          <t>ND</t>
        </is>
      </c>
      <c r="AD840" s="257" t="inlineStr">
        <is>
          <t>N</t>
        </is>
      </c>
      <c r="AE840" s="767" t="inlineStr">
        <is>
          <t>TRE2xx' à 'TRE5xx' hors (TRE201, TRE203, TRE205, TRE206, TRE207)</t>
        </is>
      </c>
      <c r="AF840" s="257" t="inlineStr">
        <is>
          <t>NA</t>
        </is>
      </c>
      <c r="AG840" s="258" t="inlineStr">
        <is>
          <t>NA</t>
        </is>
      </c>
      <c r="AH840" s="89" t="n"/>
      <c r="AI840" s="768" t="inlineStr">
        <is>
          <t>La donnée est obligatoire si le type de risque [P1 2.0] = 'TRE2xx' à 'TRE5xx', hors (TRE201, TRE203, TRE205, TRE206, TRE207)</t>
        </is>
      </c>
      <c r="AJ840" s="434" t="inlineStr">
        <is>
          <t>The data is mandatory if Risk type [P1 2.0] = 'TRE2xx' to 'TRE5xx', out (TRE201, TRE203, TRE205, TRE206, TRE207)</t>
        </is>
      </c>
      <c r="AK840" s="588" t="n">
        <v>6</v>
      </c>
      <c r="AL840" s="366" t="inlineStr">
        <is>
          <t>TPS0803</t>
        </is>
      </c>
      <c r="AM840" s="712" t="inlineStr">
        <is>
          <t>Si elle est renseignée, la valeur doit être connue du Langage Commun associé</t>
        </is>
      </c>
      <c r="AN840" s="434" t="inlineStr">
        <is>
          <t>If specified, the value must be known to the associated Common Language</t>
        </is>
      </c>
      <c r="AO840" s="588" t="n">
        <v>7</v>
      </c>
      <c r="AP840" s="212" t="inlineStr">
        <is>
          <t>TIG0001</t>
        </is>
      </c>
      <c r="AQ840" s="712" t="n"/>
      <c r="AR840" s="434" t="n"/>
      <c r="AS840" s="588" t="n"/>
      <c r="AT840" s="713" t="n"/>
      <c r="AU840" s="712" t="n"/>
      <c r="AV840" s="434" t="n"/>
      <c r="AW840" s="588" t="n"/>
      <c r="AX840" s="713" t="n"/>
      <c r="AY840" s="712" t="n"/>
      <c r="AZ840" s="434" t="n"/>
      <c r="BA840" s="588" t="n"/>
      <c r="BB840" s="713" t="n"/>
      <c r="BC840" s="714" t="n"/>
      <c r="BD840" s="434" t="n"/>
      <c r="BE840" s="588" t="n"/>
      <c r="BF840" s="713" t="n"/>
      <c r="BG840" s="89" t="n"/>
      <c r="BH8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40">
        <f>_xlfn.LET(r,ROW(),oc,INDEX($A:$A,r),cv,TRIM(INDEX($Y:$Y,r)&amp;""),IF(oc&lt;&gt;"P1","",IF(cv="45","V45 - novo, nao alimentado pelo spool atual","V44 - alimentado pelo spool atual")))</f>
        <v/>
      </c>
    </row>
    <row r="841" ht="54" customFormat="1" customHeight="1" s="91">
      <c r="A841" s="306" t="inlineStr">
        <is>
          <t>P1</t>
        </is>
      </c>
      <c r="B841" s="307" t="n">
        <v>606</v>
      </c>
      <c r="C841" s="269" t="inlineStr">
        <is>
          <t xml:space="preserve">08 - Caractéristiques d'arriérés et de restructuration </t>
        </is>
      </c>
      <c r="D841" s="236" t="inlineStr">
        <is>
          <t>08 - Characteristics of overdues and restructuring</t>
        </is>
      </c>
      <c r="E841" s="307" t="inlineStr">
        <is>
          <t>P1 21.91</t>
        </is>
      </c>
      <c r="F841" s="769" t="inlineStr">
        <is>
          <t>Montant des variations cumulées de la juste valeur dues au risque de crédit</t>
        </is>
      </c>
      <c r="G841" s="309" t="inlineStr">
        <is>
          <t>Amount of cumulative changes of the fair value due to credit risk</t>
        </is>
      </c>
      <c r="H841" s="1493">
        <f>"RPAD( "&amp;SUBSTITUTE(SUBSTITUTE(E841," ","_"),".","_")&amp;","&amp;W841&amp;",' '); -- "&amp;E841</f>
        <v/>
      </c>
      <c r="I841" s="308" t="inlineStr">
        <is>
          <t xml:space="preserve">Ce montant représente les variations cumulées de la juste valeur dues au risque de crédit conformément à l'annexe V, partie 2.46, du règlement d'exécution (UE) no 680/2014. Les variations cumulées de la juste valeur dues au risque de crédit sont calculées en additionnant toutes les variations négatives et positives de la juste valeur de l'instrument dues au risque de crédit qui se sont produites depuis sa comptabilisation. 
</t>
        </is>
      </c>
      <c r="J841" s="309" t="inlineStr">
        <is>
          <t>This amount represents the cumulative changes in fair value due to credit risk in accordance with Annex V, Part 2.46 of Implementing Regulation (EU) No 680/2014. Cumulative changes in fair value due to credit risk are calculated as the sum of all negative and positive changes in the fair value of the instrument due to credit risk that have occurred since its recognition.</t>
        </is>
      </c>
      <c r="K841" s="370" t="inlineStr">
        <is>
          <t>ND</t>
        </is>
      </c>
      <c r="L841" s="371" t="inlineStr">
        <is>
          <t>ND</t>
        </is>
      </c>
      <c r="M841" s="1420" t="inlineStr">
        <is>
          <t>mtVarJustValRisq</t>
        </is>
      </c>
      <c r="N841" s="257" t="inlineStr">
        <is>
          <t>Facultatif</t>
        </is>
      </c>
      <c r="O841" s="310" t="inlineStr">
        <is>
          <t>Optional</t>
        </is>
      </c>
      <c r="P841" s="269" t="inlineStr">
        <is>
          <t>NA</t>
        </is>
      </c>
      <c r="Q841" s="269" t="inlineStr">
        <is>
          <t>NA</t>
        </is>
      </c>
      <c r="R841" s="1249" t="inlineStr">
        <is>
          <t>Les variations cumulées de la juste valeur dues au risque de crédit sont calculées en additionnant toutes les variations négatives et positives de la juste valeur de l'instrument dues au risque de crédit qui se sont produites depuis sa comptabilisation</t>
        </is>
      </c>
      <c r="S841" s="233" t="inlineStr">
        <is>
          <t>Cumulative changes in fair value due to credit risk are calculated as the sum of all negative and positive changes in the fair value of the instrument due to credit risk that have occurred since its recognition</t>
        </is>
      </c>
      <c r="T841" s="313" t="inlineStr">
        <is>
          <t>NUM</t>
        </is>
      </c>
      <c r="U841" s="237" t="inlineStr">
        <is>
          <t>19 dont signe et 2 décimales</t>
        </is>
      </c>
      <c r="V841" s="238" t="inlineStr">
        <is>
          <t>19 including sign and 2 decimals</t>
        </is>
      </c>
      <c r="W841" s="257" t="n">
        <v>19</v>
      </c>
      <c r="X841" s="945" t="inlineStr">
        <is>
          <t>NA</t>
        </is>
      </c>
      <c r="Y841" s="237" t="n">
        <v>44</v>
      </c>
      <c r="Z841" s="237" t="inlineStr">
        <is>
          <t>NA</t>
        </is>
      </c>
      <c r="AA841" s="239" t="inlineStr">
        <is>
          <t>NA</t>
        </is>
      </c>
      <c r="AB841" s="269" t="inlineStr">
        <is>
          <t>ANACREDIT</t>
        </is>
      </c>
      <c r="AC841" s="231" t="inlineStr">
        <is>
          <t>ND</t>
        </is>
      </c>
      <c r="AD841" s="257" t="inlineStr">
        <is>
          <t>N</t>
        </is>
      </c>
      <c r="AE841" s="767" t="inlineStr">
        <is>
          <t>NA</t>
        </is>
      </c>
      <c r="AF841" s="257" t="inlineStr">
        <is>
          <t>NA</t>
        </is>
      </c>
      <c r="AG841" s="258" t="inlineStr">
        <is>
          <t>NA</t>
        </is>
      </c>
      <c r="AH841" s="89" t="n"/>
      <c r="AI841" s="714" t="n"/>
      <c r="AJ841" s="434" t="n"/>
      <c r="AK841" s="588" t="n"/>
      <c r="AL841" s="713" t="n"/>
      <c r="AM841" s="712" t="n"/>
      <c r="AN841" s="434" t="n"/>
      <c r="AO841" s="588" t="n"/>
      <c r="AP841" s="713" t="n"/>
      <c r="AQ841" s="712" t="n"/>
      <c r="AR841" s="434" t="n"/>
      <c r="AS841" s="588" t="n"/>
      <c r="AT841" s="713" t="n"/>
      <c r="AU841" s="712" t="n"/>
      <c r="AV841" s="434" t="n"/>
      <c r="AW841" s="588" t="n"/>
      <c r="AX841" s="713" t="n"/>
      <c r="AY841" s="712" t="n"/>
      <c r="AZ841" s="434" t="n"/>
      <c r="BA841" s="588" t="n"/>
      <c r="BB841" s="713" t="n"/>
      <c r="BC841" s="714" t="n"/>
      <c r="BD841" s="434" t="n"/>
      <c r="BE841" s="588" t="n"/>
      <c r="BF841" s="713" t="n"/>
      <c r="BG841" s="89" t="n"/>
      <c r="BH8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41">
        <f>_xlfn.LET(r,ROW(),oc,INDEX($A:$A,r),cv,TRIM(INDEX($Y:$Y,r)&amp;""),IF(oc&lt;&gt;"P1","",IF(cv="45","V45 - novo, nao alimentado pelo spool atual","V44 - alimentado pelo spool atual")))</f>
        <v/>
      </c>
    </row>
    <row r="842" ht="54" customFormat="1" customHeight="1" s="91">
      <c r="A842" s="306" t="inlineStr">
        <is>
          <t>P1</t>
        </is>
      </c>
      <c r="B842" s="307" t="n">
        <v>607</v>
      </c>
      <c r="C842" s="269" t="inlineStr">
        <is>
          <t xml:space="preserve">08 - Caractéristiques d'arriérés et de restructuration </t>
        </is>
      </c>
      <c r="D842" s="236" t="inlineStr">
        <is>
          <t>08 - Characteristics of overdues and restructuring</t>
        </is>
      </c>
      <c r="E842" s="307" t="inlineStr">
        <is>
          <t>P1 21.92</t>
        </is>
      </c>
      <c r="F842" s="769" t="inlineStr">
        <is>
          <t>Devise du montant des variations cumulées de la juste valeur dues au risque de crédit</t>
        </is>
      </c>
      <c r="G842" s="309" t="inlineStr">
        <is>
          <t>Currency of the amount of cumulative changes of the fair value due to credit risk</t>
        </is>
      </c>
      <c r="H842" s="1493">
        <f>"RPAD( "&amp;SUBSTITUTE(SUBSTITUTE(E842," ","_"),".","_")&amp;","&amp;W842&amp;",' '); -- "&amp;E842</f>
        <v/>
      </c>
      <c r="I842" s="308" t="inlineStr">
        <is>
          <t>Devise du montant des variations cumulées de la juste valeur dues au risque de crédit</t>
        </is>
      </c>
      <c r="J842" s="309" t="inlineStr">
        <is>
          <t>Currency of the amount of cumulative changes of the fair value due to credit risk</t>
        </is>
      </c>
      <c r="K842" s="370" t="inlineStr">
        <is>
          <t>ND</t>
        </is>
      </c>
      <c r="L842" s="371" t="inlineStr">
        <is>
          <t>ND</t>
        </is>
      </c>
      <c r="M842" s="1420" t="inlineStr">
        <is>
          <t>cdDevMtVarJustValRisq</t>
        </is>
      </c>
      <c r="N842" s="257" t="inlineStr">
        <is>
          <t>Obligatoire sous conditions</t>
        </is>
      </c>
      <c r="O842" s="310" t="inlineStr">
        <is>
          <t>Mandatory under conditions</t>
        </is>
      </c>
      <c r="P842" s="269" t="inlineStr">
        <is>
          <t>LC.0005</t>
        </is>
      </c>
      <c r="Q842" s="269" t="inlineStr">
        <is>
          <t>TA NM253</t>
        </is>
      </c>
      <c r="R842" s="241" t="inlineStr">
        <is>
          <t>NA</t>
        </is>
      </c>
      <c r="S842" s="233" t="inlineStr">
        <is>
          <t>NA</t>
        </is>
      </c>
      <c r="T842" s="313" t="inlineStr">
        <is>
          <t>ALPHA</t>
        </is>
      </c>
      <c r="U842" s="237" t="inlineStr">
        <is>
          <t>NA</t>
        </is>
      </c>
      <c r="V842" s="238" t="inlineStr">
        <is>
          <t>NA</t>
        </is>
      </c>
      <c r="W842" s="257" t="n">
        <v>3</v>
      </c>
      <c r="X842" s="945" t="inlineStr">
        <is>
          <t>NA</t>
        </is>
      </c>
      <c r="Y842" s="237" t="n">
        <v>44</v>
      </c>
      <c r="Z842" s="237" t="inlineStr">
        <is>
          <t>NA</t>
        </is>
      </c>
      <c r="AA842" s="283" t="inlineStr">
        <is>
          <t>NA</t>
        </is>
      </c>
      <c r="AB842" s="269" t="inlineStr">
        <is>
          <t>ANACREDIT</t>
        </is>
      </c>
      <c r="AC842" s="231" t="inlineStr">
        <is>
          <t>ND</t>
        </is>
      </c>
      <c r="AD842" s="257" t="inlineStr">
        <is>
          <t>N</t>
        </is>
      </c>
      <c r="AE842" s="767" t="inlineStr">
        <is>
          <t>NA</t>
        </is>
      </c>
      <c r="AF842" s="257" t="inlineStr">
        <is>
          <t>NA</t>
        </is>
      </c>
      <c r="AG842" s="258" t="inlineStr">
        <is>
          <t>NA</t>
        </is>
      </c>
      <c r="AH842" s="89" t="n"/>
      <c r="AI842" s="711" t="inlineStr">
        <is>
          <t>La donnée est obligatoire si le Montant des variations cumulées de la juste valeur dues au risque de crédit [P1 21.91] est renseigné</t>
        </is>
      </c>
      <c r="AJ842" s="434" t="inlineStr">
        <is>
          <t>The data is mandatory if the Amount of cumulative changes of the fair value due to credit risk [P1 21.91] is filled</t>
        </is>
      </c>
      <c r="AK842" s="588" t="n">
        <v>7</v>
      </c>
      <c r="AL842" s="335" t="inlineStr">
        <is>
          <t>TPG0002</t>
        </is>
      </c>
      <c r="AM842" s="712" t="inlineStr">
        <is>
          <t>Si elle est renseignée, la valeur doit être connue du Langage Commun associé</t>
        </is>
      </c>
      <c r="AN842" s="434" t="inlineStr">
        <is>
          <t>If specified, the value must be known to the associated Common Language</t>
        </is>
      </c>
      <c r="AO842" s="588" t="n">
        <v>7</v>
      </c>
      <c r="AP842" s="212" t="inlineStr">
        <is>
          <t>TIG0001</t>
        </is>
      </c>
      <c r="AQ842" s="712" t="n"/>
      <c r="AR842" s="434" t="n"/>
      <c r="AS842" s="588" t="n"/>
      <c r="AT842" s="713" t="n"/>
      <c r="AU842" s="712" t="n"/>
      <c r="AV842" s="434" t="n"/>
      <c r="AW842" s="588" t="n"/>
      <c r="AX842" s="713" t="n"/>
      <c r="AY842" s="712" t="n"/>
      <c r="AZ842" s="434" t="n"/>
      <c r="BA842" s="588" t="n"/>
      <c r="BB842" s="713" t="n"/>
      <c r="BC842" s="714" t="n"/>
      <c r="BD842" s="434" t="n"/>
      <c r="BE842" s="588" t="n"/>
      <c r="BF842" s="713" t="n"/>
      <c r="BG842" s="89" t="n"/>
      <c r="BH8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42">
        <f>_xlfn.LET(r,ROW(),oc,INDEX($A:$A,r),cv,TRIM(INDEX($Y:$Y,r)&amp;""),IF(oc&lt;&gt;"P1","",IF(cv="45","V45 - novo, nao alimentado pelo spool atual","V44 - alimentado pelo spool atual")))</f>
        <v/>
      </c>
    </row>
    <row r="843" ht="54" customFormat="1" customHeight="1" s="62">
      <c r="A843" s="770" t="inlineStr">
        <is>
          <t>P1</t>
        </is>
      </c>
      <c r="B843" s="307" t="n">
        <v>608</v>
      </c>
      <c r="C843" s="269" t="inlineStr">
        <is>
          <t>03 - Caractéristiques Générales</t>
        </is>
      </c>
      <c r="D843" s="236" t="inlineStr">
        <is>
          <t>03 - General characteristics</t>
        </is>
      </c>
      <c r="E843" s="505" t="inlineStr">
        <is>
          <t>P1 21.93</t>
        </is>
      </c>
      <c r="F843" s="278" t="inlineStr">
        <is>
          <t>Numéro du dernier billet financier apériodique</t>
        </is>
      </c>
      <c r="G843" s="160" t="inlineStr">
        <is>
          <t>Number of the last aperiodic financial banknote</t>
        </is>
      </c>
      <c r="H843" s="1493">
        <f>"RPAD( "&amp;SUBSTITUTE(SUBSTITUTE(E843," ","_"),".","_")&amp;","&amp;W843&amp;",' '); -- "&amp;E843</f>
        <v/>
      </c>
      <c r="I843" s="278" t="inlineStr">
        <is>
          <t>Permet d'indiquer le numéro du dernier billet financier apériodique qui a été utilisé dans une opération utilisant ce type de produit bancaire.</t>
        </is>
      </c>
      <c r="J843" s="160" t="inlineStr">
        <is>
          <t>Used to indicate the number of the last aperiodic financial banknote that was used in a transaction using this type of banking product.</t>
        </is>
      </c>
      <c r="K843" s="771" t="inlineStr">
        <is>
          <t>ND</t>
        </is>
      </c>
      <c r="L843" s="772" t="inlineStr">
        <is>
          <t>ND</t>
        </is>
      </c>
      <c r="M843" s="519" t="inlineStr">
        <is>
          <t>NumDernBilletFin</t>
        </is>
      </c>
      <c r="N843" s="505" t="inlineStr">
        <is>
          <t>Obligatoire sous conditions</t>
        </is>
      </c>
      <c r="O843" s="284" t="inlineStr">
        <is>
          <t>Mandatory under conditions</t>
        </is>
      </c>
      <c r="P843" s="505" t="inlineStr">
        <is>
          <t>NA</t>
        </is>
      </c>
      <c r="Q843" s="269" t="inlineStr">
        <is>
          <t>NA</t>
        </is>
      </c>
      <c r="R843" s="278" t="inlineStr">
        <is>
          <t>Donnée réservée aux Caisses régionales. A laisser à vide si pas concerné</t>
        </is>
      </c>
      <c r="S843" s="233" t="inlineStr">
        <is>
          <t>Data reserved for Crédit agricole regional bank. To be left empty if not concerned</t>
        </is>
      </c>
      <c r="T843" s="773" t="inlineStr">
        <is>
          <t>ALPHA</t>
        </is>
      </c>
      <c r="U843" s="774" t="inlineStr">
        <is>
          <t>NA</t>
        </is>
      </c>
      <c r="V843" s="775" t="inlineStr">
        <is>
          <t>NA</t>
        </is>
      </c>
      <c r="W843" s="776" t="n">
        <v>5</v>
      </c>
      <c r="X843" s="231" t="inlineStr">
        <is>
          <t>NA</t>
        </is>
      </c>
      <c r="Y843" s="237" t="n">
        <v>44</v>
      </c>
      <c r="Z843" s="777" t="inlineStr">
        <is>
          <t>NA</t>
        </is>
      </c>
      <c r="AA843" s="283" t="inlineStr">
        <is>
          <t>NA</t>
        </is>
      </c>
      <c r="AB843" s="505" t="inlineStr">
        <is>
          <t>ANACREDIT</t>
        </is>
      </c>
      <c r="AC843" s="505" t="inlineStr">
        <is>
          <t>ND</t>
        </is>
      </c>
      <c r="AD843" s="505" t="inlineStr">
        <is>
          <t>N</t>
        </is>
      </c>
      <c r="AE843" s="505" t="inlineStr">
        <is>
          <t>TRE*</t>
        </is>
      </c>
      <c r="AF843" s="257" t="inlineStr">
        <is>
          <t>NA</t>
        </is>
      </c>
      <c r="AG843" s="258" t="inlineStr">
        <is>
          <t>NA</t>
        </is>
      </c>
      <c r="AH843" s="89" t="n"/>
      <c r="AI843" s="768" t="inlineStr">
        <is>
          <t>La donnée est obligatoire si le Type de produit bancaire [P1 4.42] = CRED14</t>
        </is>
      </c>
      <c r="AJ843" s="434" t="inlineStr">
        <is>
          <t>The data is mandatory if the Banking Product type [P1 4.42] ='CRED14'</t>
        </is>
      </c>
      <c r="AK843" s="778" t="n">
        <v>6</v>
      </c>
      <c r="AL843" s="345" t="inlineStr">
        <is>
          <t>TPS0947</t>
        </is>
      </c>
      <c r="AM843" s="768" t="n"/>
      <c r="AN843" s="779" t="n"/>
      <c r="AO843" s="778" t="n"/>
      <c r="AP843" s="780" t="n"/>
      <c r="AQ843" s="768" t="n"/>
      <c r="AR843" s="779" t="n"/>
      <c r="AS843" s="778" t="n"/>
      <c r="AT843" s="780" t="n"/>
      <c r="AU843" s="768" t="n"/>
      <c r="AV843" s="779" t="n"/>
      <c r="AW843" s="778" t="n"/>
      <c r="AX843" s="781" t="n"/>
      <c r="AY843" s="1399" t="n"/>
      <c r="AZ843" s="779" t="n"/>
      <c r="BA843" s="778" t="n"/>
      <c r="BB843" s="780" t="n"/>
      <c r="BC843" s="714" t="n"/>
      <c r="BD843" s="434" t="n"/>
      <c r="BE843" s="588" t="n"/>
      <c r="BF843" s="713" t="n"/>
      <c r="BG843" s="89" t="n"/>
      <c r="BH8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43">
        <f>_xlfn.LET(r,ROW(),oc,INDEX($A:$A,r),cv,TRIM(INDEX($Y:$Y,r)&amp;""),IF(oc&lt;&gt;"P1","",IF(cv="45","V45 - novo, nao alimentado pelo spool atual","V44 - alimentado pelo spool atual")))</f>
        <v/>
      </c>
    </row>
    <row r="844" ht="54" customFormat="1" customHeight="1" s="91">
      <c r="A844" s="325" t="inlineStr">
        <is>
          <t>P1</t>
        </is>
      </c>
      <c r="B844" s="326" t="n">
        <v>609</v>
      </c>
      <c r="C844" s="284" t="inlineStr">
        <is>
          <t>03 - Caractéristiques Générales</t>
        </is>
      </c>
      <c r="D844" s="244" t="inlineStr">
        <is>
          <t>03 - General characteristics</t>
        </is>
      </c>
      <c r="E844" s="326" t="inlineStr">
        <is>
          <t>P1 31.51</t>
        </is>
      </c>
      <c r="F844" s="327" t="inlineStr">
        <is>
          <t>Identifiant du contrat maître en responsabilité solidaire</t>
        </is>
      </c>
      <c r="G844" s="327" t="inlineStr">
        <is>
          <t>Master contract in joint liability identifier</t>
        </is>
      </c>
      <c r="H844" s="1493">
        <f>"RPAD( "&amp;SUBSTITUTE(SUBSTITUTE(E844," ","_"),".","_")&amp;","&amp;W844&amp;",' '); -- "&amp;E844</f>
        <v/>
      </c>
      <c r="I844" s="327" t="inlineStr">
        <is>
          <t>Identifiant du contrat maître en responsabilité solidaire</t>
        </is>
      </c>
      <c r="J844" s="327" t="inlineStr">
        <is>
          <t>Master contract in joint liability identifier</t>
        </is>
      </c>
      <c r="K844" s="388" t="inlineStr">
        <is>
          <t>NA</t>
        </is>
      </c>
      <c r="L844" s="388" t="inlineStr">
        <is>
          <t>NA</t>
        </is>
      </c>
      <c r="M844" s="1421" t="inlineStr">
        <is>
          <t>idEngRespSolid</t>
        </is>
      </c>
      <c r="N844" s="284" t="inlineStr">
        <is>
          <t>NA</t>
        </is>
      </c>
      <c r="O844" s="284" t="inlineStr">
        <is>
          <t>NA</t>
        </is>
      </c>
      <c r="P844" s="284" t="inlineStr">
        <is>
          <t>NA</t>
        </is>
      </c>
      <c r="Q844" s="284" t="inlineStr">
        <is>
          <t>NA</t>
        </is>
      </c>
      <c r="R844" s="245" t="inlineStr">
        <is>
          <t>NA</t>
        </is>
      </c>
      <c r="S844" s="245" t="inlineStr">
        <is>
          <t>NA</t>
        </is>
      </c>
      <c r="T844" s="326" t="inlineStr">
        <is>
          <t>ALPHA</t>
        </is>
      </c>
      <c r="U844" s="248" t="inlineStr">
        <is>
          <t>NA</t>
        </is>
      </c>
      <c r="V844" s="248" t="inlineStr">
        <is>
          <t>NA</t>
        </is>
      </c>
      <c r="W844" s="284" t="n">
        <v>20</v>
      </c>
      <c r="X844" s="284" t="inlineStr">
        <is>
          <t>NA</t>
        </is>
      </c>
      <c r="Y844" s="248" t="n">
        <v>44</v>
      </c>
      <c r="Z844" s="782" t="inlineStr">
        <is>
          <t>44</t>
        </is>
      </c>
      <c r="AA844" s="249" t="inlineStr">
        <is>
          <t>NA</t>
        </is>
      </c>
      <c r="AB844" s="284" t="inlineStr">
        <is>
          <t>ANACREDIT, SRB VALUATION</t>
        </is>
      </c>
      <c r="AC844" s="244" t="inlineStr">
        <is>
          <t>NA</t>
        </is>
      </c>
      <c r="AD844" s="284" t="inlineStr">
        <is>
          <t>N</t>
        </is>
      </c>
      <c r="AE844" s="284" t="inlineStr">
        <is>
          <t xml:space="preserve">TRE2 à 4XX hors 203,205,206,207
TRE5XX
</t>
        </is>
      </c>
      <c r="AF844" s="284" t="inlineStr">
        <is>
          <t>NA</t>
        </is>
      </c>
      <c r="AG844" s="285" t="inlineStr">
        <is>
          <t>NA</t>
        </is>
      </c>
      <c r="AH844" s="89" t="n"/>
      <c r="AI844" s="744" t="n"/>
      <c r="AJ844" s="434" t="n"/>
      <c r="AK844" s="588" t="n"/>
      <c r="AL844" s="713" t="n"/>
      <c r="AM844" s="712" t="n"/>
      <c r="AN844" s="434" t="n"/>
      <c r="AO844" s="588" t="n"/>
      <c r="AP844" s="713" t="n"/>
      <c r="AQ844" s="712" t="n"/>
      <c r="AR844" s="434" t="n"/>
      <c r="AS844" s="588" t="n"/>
      <c r="AT844" s="713" t="n"/>
      <c r="AU844" s="712" t="n"/>
      <c r="AV844" s="434" t="n"/>
      <c r="AW844" s="588" t="n"/>
      <c r="AX844" s="713" t="n"/>
      <c r="AY844" s="712" t="n"/>
      <c r="AZ844" s="434" t="n"/>
      <c r="BA844" s="588" t="n"/>
      <c r="BB844" s="713" t="n"/>
      <c r="BC844" s="714" t="n"/>
      <c r="BD844" s="434" t="n"/>
      <c r="BE844" s="588" t="n"/>
      <c r="BF844" s="713" t="n"/>
      <c r="BG844" s="89" t="n"/>
      <c r="BH8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44">
        <f>_xlfn.LET(r,ROW(),oc,INDEX($A:$A,r),cv,TRIM(INDEX($Y:$Y,r)&amp;""),IF(oc&lt;&gt;"P1","",IF(cv="45","V45 - novo, nao alimentado pelo spool atual","V44 - alimentado pelo spool atual")))</f>
        <v/>
      </c>
    </row>
    <row r="845" ht="54" customFormat="1" customHeight="1" s="91">
      <c r="A845" s="325" t="inlineStr">
        <is>
          <t>P1</t>
        </is>
      </c>
      <c r="B845" s="326" t="n">
        <v>610</v>
      </c>
      <c r="C845" s="284" t="inlineStr">
        <is>
          <t>03 - Caractéristiques Générales</t>
        </is>
      </c>
      <c r="D845" s="244" t="inlineStr">
        <is>
          <t>03 - General characteristics</t>
        </is>
      </c>
      <c r="E845" s="326" t="inlineStr">
        <is>
          <t>P1 31.52</t>
        </is>
      </c>
      <c r="F845" s="327" t="inlineStr">
        <is>
          <t>Montant en responsabilité solidaire</t>
        </is>
      </c>
      <c r="G845" s="327" t="inlineStr">
        <is>
          <t>Joint liability amount</t>
        </is>
      </c>
      <c r="H845" s="1493">
        <f>"RPAD( "&amp;SUBSTITUTE(SUBSTITUTE(E845," ","_"),".","_")&amp;","&amp;W845&amp;",' '); -- "&amp;E845</f>
        <v/>
      </c>
      <c r="I845" s="327" t="inlineStr">
        <is>
          <t>Montant en responsabilité solidaire</t>
        </is>
      </c>
      <c r="J845" s="327" t="inlineStr">
        <is>
          <t>Joint liability amount</t>
        </is>
      </c>
      <c r="K845" s="388" t="inlineStr">
        <is>
          <t>NA</t>
        </is>
      </c>
      <c r="L845" s="388" t="inlineStr">
        <is>
          <t>NA</t>
        </is>
      </c>
      <c r="M845" s="1421" t="inlineStr">
        <is>
          <t>mtRespSolid</t>
        </is>
      </c>
      <c r="N845" s="284" t="inlineStr">
        <is>
          <t>NA</t>
        </is>
      </c>
      <c r="O845" s="284" t="inlineStr">
        <is>
          <t>NA</t>
        </is>
      </c>
      <c r="P845" s="284" t="inlineStr">
        <is>
          <t>NA</t>
        </is>
      </c>
      <c r="Q845" s="284" t="inlineStr">
        <is>
          <t>NA</t>
        </is>
      </c>
      <c r="R845" s="245" t="inlineStr">
        <is>
          <t>NA</t>
        </is>
      </c>
      <c r="S845" s="245" t="inlineStr">
        <is>
          <t>NA</t>
        </is>
      </c>
      <c r="T845" s="326" t="inlineStr">
        <is>
          <t>NUM</t>
        </is>
      </c>
      <c r="U845" s="248" t="inlineStr">
        <is>
          <t>19 dont signe et 2 décimales</t>
        </is>
      </c>
      <c r="V845" s="248" t="inlineStr">
        <is>
          <t>19 including sign and 2 decimals</t>
        </is>
      </c>
      <c r="W845" s="284" t="n">
        <v>19</v>
      </c>
      <c r="X845" s="284" t="inlineStr">
        <is>
          <t>NA</t>
        </is>
      </c>
      <c r="Y845" s="248" t="n">
        <v>44</v>
      </c>
      <c r="Z845" s="782" t="inlineStr">
        <is>
          <t>44</t>
        </is>
      </c>
      <c r="AA845" s="249" t="inlineStr">
        <is>
          <t>NA</t>
        </is>
      </c>
      <c r="AB845" s="284" t="inlineStr">
        <is>
          <t>ANACREDIT, SRB VALUATION</t>
        </is>
      </c>
      <c r="AC845" s="244" t="inlineStr">
        <is>
          <t>NA</t>
        </is>
      </c>
      <c r="AD845" s="284" t="inlineStr">
        <is>
          <t>N</t>
        </is>
      </c>
      <c r="AE845" s="284" t="inlineStr">
        <is>
          <t xml:space="preserve">TRE2 à 4XX hors 203,205,206,207
TRE5XX
</t>
        </is>
      </c>
      <c r="AF845" s="284" t="inlineStr">
        <is>
          <t>NA</t>
        </is>
      </c>
      <c r="AG845" s="285" t="inlineStr">
        <is>
          <t>NA</t>
        </is>
      </c>
      <c r="AH845" s="89" t="n"/>
      <c r="AI845" s="711" t="n"/>
      <c r="AJ845" s="434" t="n"/>
      <c r="AK845" s="588" t="n"/>
      <c r="AL845" s="713" t="n"/>
      <c r="AM845" s="712" t="n"/>
      <c r="AN845" s="434" t="n"/>
      <c r="AO845" s="588" t="n"/>
      <c r="AP845" s="713" t="n"/>
      <c r="AQ845" s="712" t="n"/>
      <c r="AR845" s="434" t="n"/>
      <c r="AS845" s="588" t="n"/>
      <c r="AT845" s="713" t="n"/>
      <c r="AU845" s="712" t="n"/>
      <c r="AV845" s="434" t="n"/>
      <c r="AW845" s="588" t="n"/>
      <c r="AX845" s="713" t="n"/>
      <c r="AY845" s="712" t="n"/>
      <c r="AZ845" s="434" t="n"/>
      <c r="BA845" s="588" t="n"/>
      <c r="BB845" s="713" t="n"/>
      <c r="BC845" s="714" t="n"/>
      <c r="BD845" s="434" t="n"/>
      <c r="BE845" s="588" t="n"/>
      <c r="BF845" s="713" t="n"/>
      <c r="BG845" s="89" t="n"/>
      <c r="BH8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45">
        <f>_xlfn.LET(r,ROW(),oc,INDEX($A:$A,r),cv,TRIM(INDEX($Y:$Y,r)&amp;""),IF(oc&lt;&gt;"P1","",IF(cv="45","V45 - novo, nao alimentado pelo spool atual","V44 - alimentado pelo spool atual")))</f>
        <v/>
      </c>
    </row>
    <row r="846" ht="54" customFormat="1" customHeight="1" s="91">
      <c r="A846" s="325" t="inlineStr">
        <is>
          <t>P1</t>
        </is>
      </c>
      <c r="B846" s="326" t="n">
        <v>611</v>
      </c>
      <c r="C846" s="284" t="inlineStr">
        <is>
          <t>03 - Caractéristiques Générales</t>
        </is>
      </c>
      <c r="D846" s="244" t="inlineStr">
        <is>
          <t>03 - General characteristics</t>
        </is>
      </c>
      <c r="E846" s="326" t="inlineStr">
        <is>
          <t>P1 31.53</t>
        </is>
      </c>
      <c r="F846" s="327" t="inlineStr">
        <is>
          <t>Devise du montant en responsabilité solidaire</t>
        </is>
      </c>
      <c r="G846" s="327" t="inlineStr">
        <is>
          <t>Currency of the joint liability amount</t>
        </is>
      </c>
      <c r="H846" s="1493">
        <f>"RPAD( "&amp;SUBSTITUTE(SUBSTITUTE(E846," ","_"),".","_")&amp;","&amp;W846&amp;",' '); -- "&amp;E846</f>
        <v/>
      </c>
      <c r="I846" s="327" t="inlineStr">
        <is>
          <t>Devise du montant en responsabilité solidaire</t>
        </is>
      </c>
      <c r="J846" s="327" t="inlineStr">
        <is>
          <t>Currency of the joint liability amount</t>
        </is>
      </c>
      <c r="K846" s="388" t="inlineStr">
        <is>
          <t>NA</t>
        </is>
      </c>
      <c r="L846" s="388" t="inlineStr">
        <is>
          <t>NA</t>
        </is>
      </c>
      <c r="M846" s="1421" t="inlineStr">
        <is>
          <t>cdDevMtRespSolid</t>
        </is>
      </c>
      <c r="N846" s="284" t="inlineStr">
        <is>
          <t>NA</t>
        </is>
      </c>
      <c r="O846" s="284" t="inlineStr">
        <is>
          <t>NA</t>
        </is>
      </c>
      <c r="P846" s="284" t="inlineStr">
        <is>
          <t>LC.0005</t>
        </is>
      </c>
      <c r="Q846" s="284" t="inlineStr">
        <is>
          <t>TA NM253</t>
        </is>
      </c>
      <c r="R846" s="245" t="inlineStr">
        <is>
          <t>NA</t>
        </is>
      </c>
      <c r="S846" s="245" t="inlineStr">
        <is>
          <t>NA</t>
        </is>
      </c>
      <c r="T846" s="326" t="inlineStr">
        <is>
          <t>ALPHA</t>
        </is>
      </c>
      <c r="U846" s="248" t="inlineStr">
        <is>
          <t>NA</t>
        </is>
      </c>
      <c r="V846" s="248" t="inlineStr">
        <is>
          <t>NA</t>
        </is>
      </c>
      <c r="W846" s="284" t="n">
        <v>3</v>
      </c>
      <c r="X846" s="284" t="inlineStr">
        <is>
          <t>NA</t>
        </is>
      </c>
      <c r="Y846" s="248" t="n">
        <v>44</v>
      </c>
      <c r="Z846" s="782" t="inlineStr">
        <is>
          <t>44</t>
        </is>
      </c>
      <c r="AA846" s="249" t="inlineStr">
        <is>
          <t>NA</t>
        </is>
      </c>
      <c r="AB846" s="284" t="inlineStr">
        <is>
          <t>ANACREDIT, SRB VALUATION</t>
        </is>
      </c>
      <c r="AC846" s="244" t="inlineStr">
        <is>
          <t>NA</t>
        </is>
      </c>
      <c r="AD846" s="284" t="inlineStr">
        <is>
          <t>N</t>
        </is>
      </c>
      <c r="AE846" s="284" t="inlineStr">
        <is>
          <t xml:space="preserve">TRE2 à 4XX hors 203,205,206,207
TRE5XX
</t>
        </is>
      </c>
      <c r="AF846" s="284" t="inlineStr">
        <is>
          <t>NA</t>
        </is>
      </c>
      <c r="AG846" s="285" t="inlineStr">
        <is>
          <t>NA</t>
        </is>
      </c>
      <c r="AH846" s="89" t="n"/>
      <c r="AI846" s="711" t="n"/>
      <c r="AJ846" s="434" t="n"/>
      <c r="AK846" s="588" t="n"/>
      <c r="AL846" s="713" t="n"/>
      <c r="AM846" s="712" t="n"/>
      <c r="AN846" s="434" t="n"/>
      <c r="AO846" s="588" t="n"/>
      <c r="AP846" s="753" t="n"/>
      <c r="AQ846" s="712" t="n"/>
      <c r="AR846" s="434" t="n"/>
      <c r="AS846" s="588" t="n"/>
      <c r="AT846" s="713" t="n"/>
      <c r="AU846" s="712" t="n"/>
      <c r="AV846" s="434" t="n"/>
      <c r="AW846" s="588" t="n"/>
      <c r="AX846" s="713" t="n"/>
      <c r="AY846" s="712" t="n"/>
      <c r="AZ846" s="434" t="n"/>
      <c r="BA846" s="588" t="n"/>
      <c r="BB846" s="713" t="n"/>
      <c r="BC846" s="714" t="n"/>
      <c r="BD846" s="434" t="n"/>
      <c r="BE846" s="588" t="n"/>
      <c r="BF846" s="713" t="n"/>
      <c r="BG846" s="89" t="n"/>
      <c r="BH8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46">
        <f>_xlfn.LET(r,ROW(),oc,INDEX($A:$A,r),cv,TRIM(INDEX($Y:$Y,r)&amp;""),IF(oc&lt;&gt;"P1","",IF(cv="45","V45 - novo, nao alimentado pelo spool atual","V44 - alimentado pelo spool atual")))</f>
        <v/>
      </c>
    </row>
    <row r="847" ht="60" customHeight="1">
      <c r="A847" s="1290" t="inlineStr">
        <is>
          <t>P1</t>
        </is>
      </c>
      <c r="B847" s="1290" t="n">
        <v>612</v>
      </c>
      <c r="C847" s="1291" t="inlineStr">
        <is>
          <t>03 - Caractéristiques Générales</t>
        </is>
      </c>
      <c r="D847" s="1292" t="inlineStr">
        <is>
          <t>03 - General characteristics</t>
        </is>
      </c>
      <c r="E847" s="1290" t="inlineStr">
        <is>
          <t>P1 1001</t>
        </is>
      </c>
      <c r="F847" s="1293" t="inlineStr">
        <is>
          <t>Date de réalisation du tirage</t>
        </is>
      </c>
      <c r="G847" s="1294" t="inlineStr">
        <is>
          <t>Date of drawing</t>
        </is>
      </c>
      <c r="H847" s="1493">
        <f>"RPAD( "&amp;SUBSTITUTE(SUBSTITUTE(E847," ","_"),".","_")&amp;","&amp;W847&amp;",' '); -- "&amp;E847</f>
        <v/>
      </c>
      <c r="I847" s="1293" t="inlineStr">
        <is>
          <t>Date de mise à disposition des fonds au client</t>
        </is>
      </c>
      <c r="J847" s="1294" t="inlineStr">
        <is>
          <t>Date funds are made available to the client</t>
        </is>
      </c>
      <c r="K847" s="1290" t="inlineStr">
        <is>
          <t>ND</t>
        </is>
      </c>
      <c r="L847" s="1295" t="inlineStr">
        <is>
          <t>ND</t>
        </is>
      </c>
      <c r="M847" s="1326" t="inlineStr">
        <is>
          <t>TBD</t>
        </is>
      </c>
      <c r="N847" s="1291" t="inlineStr">
        <is>
          <t>Obligatoire sous conditions</t>
        </is>
      </c>
      <c r="O847" s="1292" t="inlineStr">
        <is>
          <t>Mandatory under conditions</t>
        </is>
      </c>
      <c r="P847" s="1290" t="inlineStr">
        <is>
          <t>NA</t>
        </is>
      </c>
      <c r="Q847" s="1290" t="inlineStr">
        <is>
          <t>NA</t>
        </is>
      </c>
      <c r="R847" s="1293" t="inlineStr">
        <is>
          <t>Concerne les billets périodiques et apériodiques des Caisses régionales</t>
        </is>
      </c>
      <c r="S847" s="1294" t="inlineStr">
        <is>
          <t>Concerns the periodic and aperiodic notes of the Regional Banks</t>
        </is>
      </c>
      <c r="T847" s="1290" t="inlineStr">
        <is>
          <t>DATE</t>
        </is>
      </c>
      <c r="U847" s="1290" t="inlineStr">
        <is>
          <t>AAAAMMJJ</t>
        </is>
      </c>
      <c r="V847" s="1295" t="inlineStr">
        <is>
          <t>YYYYMMDD</t>
        </is>
      </c>
      <c r="W847" s="1290" t="n">
        <v>8</v>
      </c>
      <c r="X847" s="1290" t="inlineStr">
        <is>
          <t>NA</t>
        </is>
      </c>
      <c r="Y847" s="1296" t="inlineStr">
        <is>
          <t>45</t>
        </is>
      </c>
      <c r="Z847" s="1290" t="inlineStr">
        <is>
          <t>NA</t>
        </is>
      </c>
      <c r="AA847" s="1296" t="inlineStr">
        <is>
          <t>NA</t>
        </is>
      </c>
      <c r="AB847" s="1291" t="inlineStr">
        <is>
          <t>ANACREDIT</t>
        </is>
      </c>
      <c r="AC847" s="1291" t="inlineStr">
        <is>
          <t>ND</t>
        </is>
      </c>
      <c r="AD847" s="1290" t="inlineStr">
        <is>
          <t>N</t>
        </is>
      </c>
      <c r="AE847" s="1291" t="inlineStr">
        <is>
          <t>CRED13
CRED14</t>
        </is>
      </c>
      <c r="AF847" s="1290" t="inlineStr">
        <is>
          <t>NA</t>
        </is>
      </c>
      <c r="AG847" s="1297" t="inlineStr">
        <is>
          <t>NA</t>
        </is>
      </c>
      <c r="AH847" s="49" t="n"/>
      <c r="AI847" s="1298" t="inlineStr">
        <is>
          <t>La donnée est obligatoire, si Type de produit bancaire [P1 4.42] = 'CRED13, CRED14'</t>
        </is>
      </c>
      <c r="AJ847" s="1294" t="inlineStr">
        <is>
          <t>The data is mandatory, if Type of banking product [P1 4.42] = 'CRED13, CRED14'</t>
        </is>
      </c>
      <c r="AK847" s="1290" t="n">
        <v>6</v>
      </c>
      <c r="AL847" s="1299" t="inlineStr">
        <is>
          <t>TPSXXXX</t>
        </is>
      </c>
      <c r="AM847" s="1300" t="n"/>
      <c r="AN847" s="1294" t="n"/>
      <c r="AO847" s="1290" t="n"/>
      <c r="AP847" s="1297" t="n"/>
      <c r="AQ847" s="1301" t="inlineStr">
        <is>
          <t>Si renseignée, la donnée doit être supérieure ou égale à '19000101'</t>
        </is>
      </c>
      <c r="AR847" s="1302" t="inlineStr">
        <is>
          <t>If filled, data must be greater or equal to '19000101'</t>
        </is>
      </c>
      <c r="AS847" s="1303" t="n">
        <v>7</v>
      </c>
      <c r="AT847" s="1304" t="inlineStr">
        <is>
          <t>TVG0005</t>
        </is>
      </c>
      <c r="AU847" s="1301" t="n"/>
      <c r="AV847" s="1302" t="n"/>
      <c r="AW847" s="1303" t="n"/>
      <c r="AX847" s="1304" t="n"/>
      <c r="AY847" s="1300" t="n"/>
      <c r="AZ847" s="1294" t="n"/>
      <c r="BA847" s="1290" t="n"/>
      <c r="BB847" s="1297" t="n"/>
      <c r="BC847" s="1300" t="n"/>
      <c r="BD847" s="1294" t="n"/>
      <c r="BE847" s="1290" t="n"/>
      <c r="BF847" s="1297" t="n"/>
      <c r="BH8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47">
        <f>_xlfn.LET(r,ROW(),oc,INDEX($A:$A,r),cv,TRIM(INDEX($Y:$Y,r)&amp;""),IF(oc&lt;&gt;"P1","",IF(cv="45","V45 - novo, nao alimentado pelo spool atual","V44 - alimentado pelo spool atual")))</f>
        <v/>
      </c>
    </row>
    <row r="848" ht="54" customFormat="1" customHeight="1" s="62">
      <c r="A848" s="1305" t="inlineStr">
        <is>
          <t>P1</t>
        </is>
      </c>
      <c r="B848" s="1290" t="n">
        <v>613</v>
      </c>
      <c r="C848" s="1291" t="inlineStr">
        <is>
          <t>03 - Caractéristiques Générales</t>
        </is>
      </c>
      <c r="D848" s="1309" t="inlineStr">
        <is>
          <t>03 - General characteristics</t>
        </is>
      </c>
      <c r="E848" s="1303" t="inlineStr">
        <is>
          <t>P1 1002</t>
        </is>
      </c>
      <c r="F848" s="1307" t="inlineStr">
        <is>
          <t>Date d'échéance du tirage</t>
        </is>
      </c>
      <c r="G848" s="1302" t="inlineStr">
        <is>
          <t>Drawing maturity date</t>
        </is>
      </c>
      <c r="H848" s="1493">
        <f>"RPAD( "&amp;SUBSTITUTE(SUBSTITUTE(E848," ","_"),".","_")&amp;","&amp;W848&amp;",' '); -- "&amp;E848</f>
        <v/>
      </c>
      <c r="I848" s="1308" t="inlineStr">
        <is>
          <t>Date de remboursement des fonds par le client</t>
        </is>
      </c>
      <c r="J848" s="1306" t="inlineStr">
        <is>
          <t>Date of repayment of funds by the customer</t>
        </is>
      </c>
      <c r="K848" s="1303" t="inlineStr">
        <is>
          <t>ND</t>
        </is>
      </c>
      <c r="L848" s="1309" t="inlineStr">
        <is>
          <t>ND</t>
        </is>
      </c>
      <c r="M848" s="1308" t="inlineStr">
        <is>
          <t>TBD</t>
        </is>
      </c>
      <c r="N848" s="1291" t="inlineStr">
        <is>
          <t>Obligatoire sous conditions</t>
        </is>
      </c>
      <c r="O848" s="1292" t="inlineStr">
        <is>
          <t>Mandatory under conditions</t>
        </is>
      </c>
      <c r="P848" s="1303" t="inlineStr">
        <is>
          <t>NA</t>
        </is>
      </c>
      <c r="Q848" s="1303" t="inlineStr">
        <is>
          <t>NA</t>
        </is>
      </c>
      <c r="R848" s="1307" t="inlineStr">
        <is>
          <t>Concerne les billets périodiques et apériodiques des Caisses régionales</t>
        </is>
      </c>
      <c r="S848" s="1310" t="inlineStr">
        <is>
          <t>Concerns the periodic and aperiodic notes of the Regional Banks</t>
        </is>
      </c>
      <c r="T848" s="1311" t="inlineStr">
        <is>
          <t>DATE</t>
        </is>
      </c>
      <c r="U848" s="1312" t="inlineStr">
        <is>
          <t>AAAAMMJJ</t>
        </is>
      </c>
      <c r="V848" s="1313" t="inlineStr">
        <is>
          <t>YYYYMMDD</t>
        </is>
      </c>
      <c r="W848" s="1312" t="n">
        <v>8</v>
      </c>
      <c r="X848" s="1312" t="inlineStr">
        <is>
          <t>NA</t>
        </is>
      </c>
      <c r="Y848" s="1314" t="inlineStr">
        <is>
          <t>45</t>
        </is>
      </c>
      <c r="Z848" s="1312" t="inlineStr">
        <is>
          <t>NA</t>
        </is>
      </c>
      <c r="AA848" s="1315" t="inlineStr">
        <is>
          <t>NA</t>
        </is>
      </c>
      <c r="AB848" s="1303" t="inlineStr">
        <is>
          <t>ANACREDIT</t>
        </is>
      </c>
      <c r="AC848" s="1303" t="inlineStr">
        <is>
          <t>ND</t>
        </is>
      </c>
      <c r="AD848" s="1303" t="inlineStr">
        <is>
          <t>N</t>
        </is>
      </c>
      <c r="AE848" s="1303" t="inlineStr">
        <is>
          <t>CRED13
CRED14</t>
        </is>
      </c>
      <c r="AF848" s="1303" t="inlineStr">
        <is>
          <t>NA</t>
        </is>
      </c>
      <c r="AG848" s="1316" t="inlineStr">
        <is>
          <t>NA</t>
        </is>
      </c>
      <c r="AI848" s="1301" t="inlineStr">
        <is>
          <t>La donnée est obligatoire, si Type de produit bancaire [P2 4.42] = 'CRED13, CRED14'</t>
        </is>
      </c>
      <c r="AJ848" s="1302" t="inlineStr">
        <is>
          <t>The data is mandatory, if Type of banking product [P1 4.42] = 'CRED13, CRED14'</t>
        </is>
      </c>
      <c r="AK848" s="1303" t="n">
        <v>6</v>
      </c>
      <c r="AL848" s="1304" t="inlineStr">
        <is>
          <t>TPSXXXX</t>
        </is>
      </c>
      <c r="AM848" s="1317" t="n"/>
      <c r="AN848" s="1318" t="n"/>
      <c r="AO848" s="1311" t="n"/>
      <c r="AP848" s="1319" t="n"/>
      <c r="AQ848" s="1301" t="n"/>
      <c r="AR848" s="1302" t="n"/>
      <c r="AS848" s="1303" t="n"/>
      <c r="AT848" s="1304" t="n"/>
      <c r="AU848" s="1301" t="inlineStr">
        <is>
          <t>Si renseignée, la date d'échéance du tirage [P1 1002] doit être supérieure ou égale à la date de réalisation du tirage [P1 1001]</t>
        </is>
      </c>
      <c r="AV848" s="1302" t="inlineStr">
        <is>
          <t>If filled, the drawing maturity date [P1 1002] must be higher or equal to the date of drawing [P1 1001]</t>
        </is>
      </c>
      <c r="AW848" s="1303" t="n">
        <v>6</v>
      </c>
      <c r="AX848" s="1304" t="inlineStr">
        <is>
          <t>TCSXXX</t>
        </is>
      </c>
      <c r="AY848" s="1400" t="n"/>
      <c r="AZ848" s="1302" t="n"/>
      <c r="BA848" s="1303" t="n"/>
      <c r="BB848" s="1304" t="n"/>
      <c r="BC848" s="1301" t="n"/>
      <c r="BD848" s="1302" t="n"/>
      <c r="BE848" s="1303" t="n"/>
      <c r="BF848" s="1304" t="n"/>
      <c r="BH8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48">
        <f>_xlfn.LET(r,ROW(),oc,INDEX($A:$A,r),cv,TRIM(INDEX($Y:$Y,r)&amp;""),IF(oc&lt;&gt;"P1","",IF(cv="45","V45 - novo, nao alimentado pelo spool atual","V44 - alimentado pelo spool atual")))</f>
        <v/>
      </c>
    </row>
    <row r="849" ht="38.65" customHeight="1">
      <c r="A849" s="1290" t="inlineStr">
        <is>
          <t>P1</t>
        </is>
      </c>
      <c r="B849" s="1290" t="n">
        <v>614</v>
      </c>
      <c r="C849" s="1291" t="inlineStr">
        <is>
          <t>06 - Caractéristiques échéancier</t>
        </is>
      </c>
      <c r="D849" s="1292" t="inlineStr">
        <is>
          <t>06 - Schedule characteristics</t>
        </is>
      </c>
      <c r="E849" s="1290" t="inlineStr">
        <is>
          <t>P1 22.222</t>
        </is>
      </c>
      <c r="F849" s="1293" t="inlineStr">
        <is>
          <t>Indicateur différé d'amortissement</t>
        </is>
      </c>
      <c r="G849" s="1294" t="inlineStr">
        <is>
          <t>Deferred depreciation indicator</t>
        </is>
      </c>
      <c r="H849" s="1493">
        <f>"RPAD( "&amp;SUBSTITUTE(SUBSTITUTE(E849," ","_"),".","_")&amp;","&amp;W849&amp;",' '); -- "&amp;E849</f>
        <v/>
      </c>
      <c r="I849" s="1293" t="inlineStr">
        <is>
          <t>Signale la présence d'une période pendant laquelle l'emprunteur ne rembourse pas le capital de son prêt, mais uniquement les intérêts. Cette période, située au début du crédit, permet d'alléger temporairement les mensualités avant le démarrage de l'amortissement complet (capital + intérêts)</t>
        </is>
      </c>
      <c r="J849" s="1294" t="inlineStr">
        <is>
          <t>Indicates the presence of a period during which the borrower does not repay the principal of his loan, but only the interest. This period, located at the beginning of the loan, allows to temporarily reduce the monthly payments before the start of the full amortisation (capital + interest)</t>
        </is>
      </c>
      <c r="K849" s="1290" t="inlineStr">
        <is>
          <t>ND</t>
        </is>
      </c>
      <c r="L849" s="1295" t="inlineStr">
        <is>
          <t>ND</t>
        </is>
      </c>
      <c r="M849" s="1326" t="inlineStr">
        <is>
          <t>TBD</t>
        </is>
      </c>
      <c r="N849" s="1291" t="inlineStr">
        <is>
          <t>Obligatoire sous conditions</t>
        </is>
      </c>
      <c r="O849" s="1292" t="inlineStr">
        <is>
          <t>Mandatory under conditions</t>
        </is>
      </c>
      <c r="P849" s="1290" t="inlineStr">
        <is>
          <t>LC.0576</t>
        </is>
      </c>
      <c r="Q849" s="1290" t="inlineStr">
        <is>
          <t>RB Z8IDDIAM</t>
        </is>
      </c>
      <c r="R849" s="1293" t="inlineStr">
        <is>
          <t>NA</t>
        </is>
      </c>
      <c r="S849" s="1294" t="inlineStr">
        <is>
          <t>NA</t>
        </is>
      </c>
      <c r="T849" s="1290" t="inlineStr">
        <is>
          <t>ALPHA</t>
        </is>
      </c>
      <c r="U849" s="1290" t="inlineStr">
        <is>
          <t>NA</t>
        </is>
      </c>
      <c r="V849" s="1295" t="inlineStr">
        <is>
          <t>NA</t>
        </is>
      </c>
      <c r="W849" s="1290" t="n">
        <v>1</v>
      </c>
      <c r="X849" s="1320" t="inlineStr">
        <is>
          <t>NA</t>
        </is>
      </c>
      <c r="Y849" s="1296" t="inlineStr">
        <is>
          <t>45</t>
        </is>
      </c>
      <c r="Z849" s="1290" t="inlineStr">
        <is>
          <t>NA</t>
        </is>
      </c>
      <c r="AA849" s="1296" t="inlineStr">
        <is>
          <t>NA</t>
        </is>
      </c>
      <c r="AB849" s="1291" t="inlineStr">
        <is>
          <t>ANACREDIT, LOAN TAPE, OMP, PALMA</t>
        </is>
      </c>
      <c r="AC849" s="1291" t="inlineStr">
        <is>
          <t>ND</t>
        </is>
      </c>
      <c r="AD849" s="1290" t="inlineStr">
        <is>
          <t>N</t>
        </is>
      </c>
      <c r="AE849" s="1291" t="inlineStr">
        <is>
          <t>TRE2 à 4XX hors 203,205,206,207
TRE5XX
SIG</t>
        </is>
      </c>
      <c r="AF849" s="1290" t="inlineStr">
        <is>
          <t>NA</t>
        </is>
      </c>
      <c r="AG849" s="1297" t="inlineStr">
        <is>
          <t>NA</t>
        </is>
      </c>
      <c r="AH849" s="49" t="n"/>
      <c r="AI849" s="1300" t="inlineStr">
        <is>
          <t xml:space="preserve">La donnée est obligatoire si le type de risque [P1 2.0] = TRE2xx, TRE3xx, TRE4xx, TRE5xx hors (TRE203, TRE205, TRE206, TRE207) </t>
        </is>
      </c>
      <c r="AJ849" s="1294" t="inlineStr">
        <is>
          <t>The data is mandatory if Risk type [P1 2.0] = TRE2xx, TRE3xx, TRE4xx, TRE5xx except (TRE203, TRE205, TRE206, TRE207)</t>
        </is>
      </c>
      <c r="AK849" s="1290" t="n">
        <v>7</v>
      </c>
      <c r="AL849" s="1299" t="inlineStr">
        <is>
          <t>TPSXXXX</t>
        </is>
      </c>
      <c r="AM849" s="1321" t="inlineStr">
        <is>
          <t>Si elle est renseignée, la valeur doit être connue du Langage Commun associé</t>
        </is>
      </c>
      <c r="AN849" s="1322" t="inlineStr">
        <is>
          <t>If specified, the value must be known to the associated Common Language</t>
        </is>
      </c>
      <c r="AO849" s="1323" t="n">
        <v>7</v>
      </c>
      <c r="AP849" s="1324" t="inlineStr">
        <is>
          <t>TIG0001</t>
        </is>
      </c>
      <c r="AQ849" s="1325" t="n"/>
      <c r="AR849" s="1294" t="n"/>
      <c r="AS849" s="1326" t="n"/>
      <c r="AT849" s="1299" t="n"/>
      <c r="AU849" s="1325" t="n"/>
      <c r="AV849" s="1327" t="n"/>
      <c r="AW849" s="1326" t="n"/>
      <c r="AX849" s="1299" t="n"/>
      <c r="AY849" s="1300" t="n"/>
      <c r="AZ849" s="1294" t="n"/>
      <c r="BA849" s="1290" t="n"/>
      <c r="BB849" s="1297" t="n"/>
      <c r="BC849" s="1300" t="n"/>
      <c r="BD849" s="1294" t="n"/>
      <c r="BE849" s="1290" t="n"/>
      <c r="BF849" s="1297" t="n"/>
      <c r="BH8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49">
        <f>_xlfn.LET(r,ROW(),oc,INDEX($A:$A,r),cv,TRIM(INDEX($Y:$Y,r)&amp;""),IF(oc&lt;&gt;"P1","",IF(cv="45","V45 - novo, nao alimentado pelo spool atual","V44 - alimentado pelo spool atual")))</f>
        <v/>
      </c>
    </row>
    <row r="850" ht="54" customFormat="1" customHeight="1" s="1351">
      <c r="A850" s="1328" t="inlineStr">
        <is>
          <t>P1</t>
        </is>
      </c>
      <c r="B850" s="1290" t="n">
        <v>615</v>
      </c>
      <c r="C850" s="1329" t="inlineStr">
        <is>
          <t>02 - Caractéristiques d'identification fonctionnelles</t>
        </is>
      </c>
      <c r="D850" s="1330" t="inlineStr">
        <is>
          <t>02 - Functional identification characteristics</t>
        </is>
      </c>
      <c r="E850" s="1331" t="inlineStr">
        <is>
          <t>P1 24.22.1</t>
        </is>
      </c>
      <c r="F850" s="1332" t="inlineStr">
        <is>
          <t>Indicateur dérivé en couverture</t>
        </is>
      </c>
      <c r="G850" s="1333" t="inlineStr">
        <is>
          <t>Indicator of Derived in hedge</t>
        </is>
      </c>
      <c r="H850" s="1493">
        <f>"RPAD( "&amp;SUBSTITUTE(SUBSTITUTE(E850," ","_"),".","_")&amp;","&amp;W850&amp;",' '); -- "&amp;E850</f>
        <v/>
      </c>
      <c r="I850" s="1332" t="inlineStr">
        <is>
          <t>Indique l'existence d'un instrument financier dérivé (comme un swap, une option ou un contrat à terme) utilisé par l'entreprise pour se protéger contre un risque financier spécifique (taux d'intérêt, change, matières premières)</t>
        </is>
      </c>
      <c r="J850" s="1333" t="inlineStr">
        <is>
          <t>Indicates the existence of a derivative financial instrument (such as a swap, option or futures contract) used by the company to protect against a specific financial risk (interest rate, foreign exchange, commodities)</t>
        </is>
      </c>
      <c r="K850" s="1334" t="inlineStr">
        <is>
          <t>ND</t>
        </is>
      </c>
      <c r="L850" s="1330" t="inlineStr">
        <is>
          <t>ND</t>
        </is>
      </c>
      <c r="M850" s="1426" t="inlineStr">
        <is>
          <t>TBD</t>
        </is>
      </c>
      <c r="N850" s="1291" t="inlineStr">
        <is>
          <t>Obligatoire sous conditions</t>
        </is>
      </c>
      <c r="O850" s="1292" t="inlineStr">
        <is>
          <t>Mandatory under conditions</t>
        </is>
      </c>
      <c r="P850" s="1334" t="inlineStr">
        <is>
          <t>LC.0590</t>
        </is>
      </c>
      <c r="Q850" s="1334" t="inlineStr">
        <is>
          <t>RB Z8IDDERC</t>
        </is>
      </c>
      <c r="R850" s="1335" t="inlineStr">
        <is>
          <t>NA</t>
        </is>
      </c>
      <c r="S850" s="1336" t="inlineStr">
        <is>
          <t>NA</t>
        </is>
      </c>
      <c r="T850" s="1337" t="inlineStr">
        <is>
          <t>ALPHA</t>
        </is>
      </c>
      <c r="U850" s="1337" t="inlineStr">
        <is>
          <t>NA</t>
        </is>
      </c>
      <c r="V850" s="1338" t="inlineStr">
        <is>
          <t>NA</t>
        </is>
      </c>
      <c r="W850" s="1337" t="n">
        <v>1</v>
      </c>
      <c r="X850" s="1337" t="inlineStr">
        <is>
          <t>NA</t>
        </is>
      </c>
      <c r="Y850" s="1339" t="n">
        <v>45</v>
      </c>
      <c r="Z850" s="1334" t="inlineStr">
        <is>
          <t>NA</t>
        </is>
      </c>
      <c r="AA850" s="1334" t="inlineStr">
        <is>
          <t>NA</t>
        </is>
      </c>
      <c r="AB850" s="1331" t="inlineStr">
        <is>
          <t>PALMA, SRB VALUATION</t>
        </is>
      </c>
      <c r="AC850" s="1334" t="inlineStr">
        <is>
          <t>ND</t>
        </is>
      </c>
      <c r="AD850" s="1334" t="inlineStr">
        <is>
          <t>N</t>
        </is>
      </c>
      <c r="AE850" s="1334" t="inlineStr">
        <is>
          <t>EQU101
ISS200 et 300
TRE4xx</t>
        </is>
      </c>
      <c r="AF850" s="1334" t="inlineStr">
        <is>
          <t>NA</t>
        </is>
      </c>
      <c r="AG850" s="1340" t="inlineStr">
        <is>
          <t>NA</t>
        </is>
      </c>
      <c r="AI850" s="1342" t="inlineStr">
        <is>
          <t>La donnée est obligatoire, si type de risque [P1 2.0] = 'EQU101, ISS200 et 300, TRE4xx'</t>
        </is>
      </c>
      <c r="AJ850" s="1343" t="inlineStr">
        <is>
          <t>The date is mandatory, if Risk type [P1 2.0] = 'EQU101, ISS200 et 300, TRE4xx'</t>
        </is>
      </c>
      <c r="AK850" s="1344" t="n">
        <v>7</v>
      </c>
      <c r="AL850" s="1345" t="inlineStr">
        <is>
          <t>TPSxxx</t>
        </is>
      </c>
      <c r="AM850" s="1346" t="inlineStr">
        <is>
          <t>Si elle est renseignée, la valeur doit être connue du Langage Commun associé</t>
        </is>
      </c>
      <c r="AN850" s="1347" t="inlineStr">
        <is>
          <t>If specified, the value must be known to the associated Common Language</t>
        </is>
      </c>
      <c r="AO850" s="1348" t="n">
        <v>7</v>
      </c>
      <c r="AP850" s="1324" t="inlineStr">
        <is>
          <t>TIG0001</t>
        </is>
      </c>
      <c r="AQ850" s="1321" t="n"/>
      <c r="AR850" s="1343" t="n"/>
      <c r="AS850" s="1320" t="n"/>
      <c r="AT850" s="1324" t="n"/>
      <c r="AU850" s="1321" t="n"/>
      <c r="AV850" s="1343" t="n"/>
      <c r="AW850" s="1320" t="n"/>
      <c r="AX850" s="1324" t="n"/>
      <c r="AY850" s="1321" t="n"/>
      <c r="AZ850" s="1349" t="n"/>
      <c r="BA850" s="1344" t="n"/>
      <c r="BB850" s="1324" t="n"/>
      <c r="BC850" s="1321" t="n"/>
      <c r="BD850" s="1350" t="n"/>
      <c r="BE850" s="1344" t="n"/>
      <c r="BF850" s="1324" t="n"/>
      <c r="BH8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50">
        <f>_xlfn.LET(r,ROW(),oc,INDEX($A:$A,r),cv,TRIM(INDEX($Y:$Y,r)&amp;""),IF(oc&lt;&gt;"P1","",IF(cv="45","V45 - novo, nao alimentado pelo spool atual","V44 - alimentado pelo spool atual")))</f>
        <v/>
      </c>
    </row>
    <row r="851" ht="54" customFormat="1" customHeight="1" s="1351">
      <c r="A851" s="1328" t="inlineStr">
        <is>
          <t>P1</t>
        </is>
      </c>
      <c r="B851" s="1290" t="n">
        <v>616</v>
      </c>
      <c r="C851" s="1329" t="inlineStr">
        <is>
          <t xml:space="preserve">08 - Caractéristiques d'arriérés et de restructuration </t>
        </is>
      </c>
      <c r="D851" s="1330" t="inlineStr">
        <is>
          <t>08 - Characteristics of overdues and restructuring</t>
        </is>
      </c>
      <c r="E851" s="1331" t="inlineStr">
        <is>
          <t>P1 600</t>
        </is>
      </c>
      <c r="F851" s="1332" t="inlineStr">
        <is>
          <t>Indicateur Présence de recouvrement</t>
        </is>
      </c>
      <c r="G851" s="1333" t="inlineStr">
        <is>
          <t>Recovery Presence Indicator</t>
        </is>
      </c>
      <c r="H851" s="1493">
        <f>"RPAD( "&amp;SUBSTITUTE(SUBSTITUTE(E851," ","_"),".","_")&amp;","&amp;W851&amp;",' '); -- "&amp;E851</f>
        <v/>
      </c>
      <c r="I851" s="1332" t="inlineStr">
        <is>
          <t>Indicateur qui précise si l'encours est en procédure de recouvrement ou non</t>
        </is>
      </c>
      <c r="J851" s="1333" t="inlineStr">
        <is>
          <t>Indicator specifying whether the outstanding amount is in recovery or not</t>
        </is>
      </c>
      <c r="K851" s="1334" t="inlineStr">
        <is>
          <t>ND</t>
        </is>
      </c>
      <c r="L851" s="1330" t="inlineStr">
        <is>
          <t>ND</t>
        </is>
      </c>
      <c r="M851" s="1426" t="inlineStr">
        <is>
          <t>TBD</t>
        </is>
      </c>
      <c r="N851" s="1291" t="inlineStr">
        <is>
          <t>Obligatoire sous conditions</t>
        </is>
      </c>
      <c r="O851" s="1292" t="inlineStr">
        <is>
          <t>Mandatory under conditions</t>
        </is>
      </c>
      <c r="P851" s="1334" t="inlineStr">
        <is>
          <t>LC.0571</t>
        </is>
      </c>
      <c r="Q851" s="1334" t="inlineStr">
        <is>
          <t>RB KVIDPRRC</t>
        </is>
      </c>
      <c r="R851" s="1352" t="inlineStr">
        <is>
          <t>NA</t>
        </is>
      </c>
      <c r="S851" s="1333" t="inlineStr">
        <is>
          <t>NA</t>
        </is>
      </c>
      <c r="T851" s="1337" t="inlineStr">
        <is>
          <t>ALPHA</t>
        </is>
      </c>
      <c r="U851" s="1337" t="inlineStr">
        <is>
          <t>NA</t>
        </is>
      </c>
      <c r="V851" s="1338" t="inlineStr">
        <is>
          <t>NA</t>
        </is>
      </c>
      <c r="W851" s="1337" t="n">
        <v>1</v>
      </c>
      <c r="X851" s="1337" t="inlineStr">
        <is>
          <t>NA</t>
        </is>
      </c>
      <c r="Y851" s="1339" t="n">
        <v>45</v>
      </c>
      <c r="Z851" s="1334" t="inlineStr">
        <is>
          <t>NA</t>
        </is>
      </c>
      <c r="AA851" s="1334" t="inlineStr">
        <is>
          <t>NA</t>
        </is>
      </c>
      <c r="AB851" s="1331" t="inlineStr">
        <is>
          <t>BASE LGD</t>
        </is>
      </c>
      <c r="AC851" s="1334" t="inlineStr">
        <is>
          <t>ND</t>
        </is>
      </c>
      <c r="AD851" s="1334" t="inlineStr">
        <is>
          <t>N</t>
        </is>
      </c>
      <c r="AE851" s="1334" t="inlineStr">
        <is>
          <t>EQU*, ISS*, TRE*, VAR*, INT, SIG*</t>
        </is>
      </c>
      <c r="AF851" s="1334" t="inlineStr">
        <is>
          <t>NA</t>
        </is>
      </c>
      <c r="AG851" s="1340" t="inlineStr">
        <is>
          <t>NA</t>
        </is>
      </c>
      <c r="AI851" s="1342" t="inlineStr">
        <is>
          <t>La donnée est obligatoire, si Indicateur Engagement en défaut [P1 5.2] = 'Y'</t>
        </is>
      </c>
      <c r="AJ851" s="1343" t="inlineStr">
        <is>
          <t>The data is mandatory, if Defaulted commitments indicator [P1 5.2] = 'Y'</t>
        </is>
      </c>
      <c r="AK851" s="1344" t="n">
        <v>6</v>
      </c>
      <c r="AL851" s="1345" t="inlineStr">
        <is>
          <t>TPSxxx</t>
        </is>
      </c>
      <c r="AM851" s="1346" t="inlineStr">
        <is>
          <t>Si elle est renseignée, la valeur doit être connue du Langage Commun associé</t>
        </is>
      </c>
      <c r="AN851" s="1347" t="inlineStr">
        <is>
          <t>If specified, the value must be known to the associated Common Language</t>
        </is>
      </c>
      <c r="AO851" s="1348" t="n">
        <v>7</v>
      </c>
      <c r="AP851" s="1324" t="inlineStr">
        <is>
          <t>TIG0001</t>
        </is>
      </c>
      <c r="AQ851" s="1321" t="n"/>
      <c r="AR851" s="1343" t="n"/>
      <c r="AS851" s="1320" t="n"/>
      <c r="AT851" s="1324" t="n"/>
      <c r="AU851" s="1321" t="n"/>
      <c r="AV851" s="1343" t="n"/>
      <c r="AW851" s="1320" t="n"/>
      <c r="AX851" s="1324" t="n"/>
      <c r="AY851" s="1321" t="n"/>
      <c r="AZ851" s="1349" t="n"/>
      <c r="BA851" s="1344" t="n"/>
      <c r="BB851" s="1324" t="n"/>
      <c r="BC851" s="1321" t="n"/>
      <c r="BD851" s="1350" t="n"/>
      <c r="BE851" s="1344" t="n"/>
      <c r="BF851" s="1324" t="n"/>
      <c r="BH8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51">
        <f>_xlfn.LET(r,ROW(),oc,INDEX($A:$A,r),cv,TRIM(INDEX($Y:$Y,r)&amp;""),IF(oc&lt;&gt;"P1","",IF(cv="45","V45 - novo, nao alimentado pelo spool atual","V44 - alimentado pelo spool atual")))</f>
        <v/>
      </c>
    </row>
    <row r="852" ht="54" customFormat="1" customHeight="1" s="1351">
      <c r="A852" s="1328" t="inlineStr">
        <is>
          <t>P1</t>
        </is>
      </c>
      <c r="B852" s="1290" t="n">
        <v>617</v>
      </c>
      <c r="C852" s="1329" t="inlineStr">
        <is>
          <t xml:space="preserve">08 - Caractéristiques d'arriérés et de restructuration </t>
        </is>
      </c>
      <c r="D852" s="1330" t="inlineStr">
        <is>
          <t>08 - Characteristics of overdues and restructuring</t>
        </is>
      </c>
      <c r="E852" s="1331" t="inlineStr">
        <is>
          <t>P1 601</t>
        </is>
      </c>
      <c r="F852" s="1332" t="inlineStr">
        <is>
          <t>Type de recouvrement à l'amiable ou contentieux</t>
        </is>
      </c>
      <c r="G852" s="1333" t="inlineStr">
        <is>
          <t>Type of recovery amicable or contentious</t>
        </is>
      </c>
      <c r="H852" s="1493">
        <f>"RPAD( "&amp;SUBSTITUTE(SUBSTITUTE(E852," ","_"),".","_")&amp;","&amp;W852&amp;",' '); -- "&amp;E852</f>
        <v/>
      </c>
      <c r="I852" s="1332" t="inlineStr">
        <is>
          <t>Le type de recouvrement désigne la méthode employée pour récupérer une créance impayée, soit par une approche amiable privilégiant le dialogue et la négociation avec le débiteur, soit par une voie contentieuse impliquant des procédures judiciaires et l'intervention d'huissiers lorsque les tentatives de résolution à l'amiable ont échoué</t>
        </is>
      </c>
      <c r="J852" s="1333" t="inlineStr">
        <is>
          <t>The type of recovery refers to the method used to recover an unpaid debt, either through an amicable approach favouring dialogue and negotiation with the debtor, or through a contentious route involving legal proceedings and the intervention of bailiffs when attempts at amicable resolution have failed</t>
        </is>
      </c>
      <c r="K852" s="1334" t="inlineStr">
        <is>
          <t>ND</t>
        </is>
      </c>
      <c r="L852" s="1330" t="inlineStr">
        <is>
          <t>ND</t>
        </is>
      </c>
      <c r="M852" s="1426" t="inlineStr">
        <is>
          <t>TBD</t>
        </is>
      </c>
      <c r="N852" s="1291" t="inlineStr">
        <is>
          <t>Obligatoire sous conditions</t>
        </is>
      </c>
      <c r="O852" s="1292" t="inlineStr">
        <is>
          <t>Mandatory under conditions</t>
        </is>
      </c>
      <c r="P852" s="1334" t="inlineStr">
        <is>
          <t>LC.0572</t>
        </is>
      </c>
      <c r="Q852" s="1334" t="inlineStr">
        <is>
          <t>RB KVTYRECO</t>
        </is>
      </c>
      <c r="R852" s="1352" t="inlineStr">
        <is>
          <t>NA</t>
        </is>
      </c>
      <c r="S852" s="1333" t="inlineStr">
        <is>
          <t>NA</t>
        </is>
      </c>
      <c r="T852" s="1337" t="inlineStr">
        <is>
          <t>ALPHA</t>
        </is>
      </c>
      <c r="U852" s="1337" t="inlineStr">
        <is>
          <t>NA</t>
        </is>
      </c>
      <c r="V852" s="1338" t="inlineStr">
        <is>
          <t>NA</t>
        </is>
      </c>
      <c r="W852" s="1337" t="n">
        <v>1</v>
      </c>
      <c r="X852" s="1337" t="inlineStr">
        <is>
          <t>NA</t>
        </is>
      </c>
      <c r="Y852" s="1339" t="n">
        <v>45</v>
      </c>
      <c r="Z852" s="1334" t="inlineStr">
        <is>
          <t>NA</t>
        </is>
      </c>
      <c r="AA852" s="1334" t="inlineStr">
        <is>
          <t>NA</t>
        </is>
      </c>
      <c r="AB852" s="1331" t="inlineStr">
        <is>
          <t>BASE LGD</t>
        </is>
      </c>
      <c r="AC852" s="1334" t="inlineStr">
        <is>
          <t>ND</t>
        </is>
      </c>
      <c r="AD852" s="1334" t="inlineStr">
        <is>
          <t>N</t>
        </is>
      </c>
      <c r="AE852" s="1334" t="inlineStr">
        <is>
          <t>EQU*, ISS*, TRE*, VAR*, INT, SIG*</t>
        </is>
      </c>
      <c r="AF852" s="1334" t="inlineStr">
        <is>
          <t>NA</t>
        </is>
      </c>
      <c r="AG852" s="1340" t="inlineStr">
        <is>
          <t>NA</t>
        </is>
      </c>
      <c r="AI852" s="1342" t="inlineStr">
        <is>
          <t>La donnée est obligatoire, si Indicateur Présence de recouvrement [P1 600] = 'Y'</t>
        </is>
      </c>
      <c r="AJ852" s="1343" t="inlineStr">
        <is>
          <t>The data is mandatory, if Recovery Presence Indicator [P1 600] = 'Y'</t>
        </is>
      </c>
      <c r="AK852" s="1344" t="n">
        <v>6</v>
      </c>
      <c r="AL852" s="1345" t="inlineStr">
        <is>
          <t>TPSxxx</t>
        </is>
      </c>
      <c r="AM852" s="1346" t="inlineStr">
        <is>
          <t>Si elle est renseignée, la valeur doit être connue du Langage Commun associé</t>
        </is>
      </c>
      <c r="AN852" s="1347" t="inlineStr">
        <is>
          <t>If specified, the value must be known to the associated Common Language</t>
        </is>
      </c>
      <c r="AO852" s="1348" t="n">
        <v>7</v>
      </c>
      <c r="AP852" s="1324" t="inlineStr">
        <is>
          <t>TIG0001</t>
        </is>
      </c>
      <c r="AQ852" s="1321" t="n"/>
      <c r="AR852" s="1343" t="n"/>
      <c r="AS852" s="1320" t="n"/>
      <c r="AT852" s="1324" t="n"/>
      <c r="AU852" s="1321" t="n"/>
      <c r="AV852" s="1343" t="n"/>
      <c r="AW852" s="1320" t="n"/>
      <c r="AX852" s="1324" t="n"/>
      <c r="AY852" s="1321" t="n"/>
      <c r="AZ852" s="1349" t="n"/>
      <c r="BA852" s="1344" t="n"/>
      <c r="BB852" s="1324" t="n"/>
      <c r="BC852" s="1321" t="n"/>
      <c r="BD852" s="1350" t="n"/>
      <c r="BE852" s="1344" t="n"/>
      <c r="BF852" s="1324" t="n"/>
      <c r="BH8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52">
        <f>_xlfn.LET(r,ROW(),oc,INDEX($A:$A,r),cv,TRIM(INDEX($Y:$Y,r)&amp;""),IF(oc&lt;&gt;"P1","",IF(cv="45","V45 - novo, nao alimentado pelo spool atual","V44 - alimentado pelo spool atual")))</f>
        <v/>
      </c>
    </row>
    <row r="853" ht="54" customFormat="1" customHeight="1" s="1351">
      <c r="A853" s="1328" t="inlineStr">
        <is>
          <t>P1</t>
        </is>
      </c>
      <c r="B853" s="1290" t="n">
        <v>618</v>
      </c>
      <c r="C853" s="1329" t="inlineStr">
        <is>
          <t xml:space="preserve">08 - Caractéristiques d'arriérés et de restructuration </t>
        </is>
      </c>
      <c r="D853" s="1330" t="inlineStr">
        <is>
          <t>08 - Characteristics of overdues and restructuring</t>
        </is>
      </c>
      <c r="E853" s="1331" t="inlineStr">
        <is>
          <t>P1 602</t>
        </is>
      </c>
      <c r="F853" s="1332" t="inlineStr">
        <is>
          <t>Statut de recouvrement</t>
        </is>
      </c>
      <c r="G853" s="1333" t="inlineStr">
        <is>
          <t>Status of recovery</t>
        </is>
      </c>
      <c r="H853" s="1493">
        <f>"RPAD( "&amp;SUBSTITUTE(SUBSTITUTE(E853," ","_"),".","_")&amp;","&amp;W853&amp;",' '); -- "&amp;E853</f>
        <v/>
      </c>
      <c r="I853" s="1332" t="inlineStr">
        <is>
          <t>Le statut de recouvrement indique l'état actuel de la procédure mise en place pour récupérer des créances impayées : "en cours" signifie que des actions de recouvrement sont activement menées, "clôturé" indique que la procédure est terminée (soit par règlement complet, soit par abandon de créance), et "suspendu" signifie que les démarches sont temporairement arrêtées en attente d'un événement particulier. Ce statut permet aux gestionnaires de suivre efficacement l'évolution des dossiers de recouvrement et d'adapter leurs actions en fonction de la situation de chaque client concerné.</t>
        </is>
      </c>
      <c r="J853" s="1333" t="inlineStr">
        <is>
          <t xml:space="preserve">
The recovery status indicates the current state of the procedure for recovering unpaid claims: "in progress" means that recovery actions are actively carried out, "closed" indicates that the procedure is completed (either by full settlement or by debt waiver), and "suspended" means that the procedures are temporarily stopped pending a particular event. This status allows managers to effectively monitor the evolution of recovery cases and adapt their actions according to the situation of each customer concerned.</t>
        </is>
      </c>
      <c r="K853" s="1334" t="inlineStr">
        <is>
          <t>ND</t>
        </is>
      </c>
      <c r="L853" s="1330" t="inlineStr">
        <is>
          <t>ND</t>
        </is>
      </c>
      <c r="M853" s="1426" t="inlineStr">
        <is>
          <t>TBD</t>
        </is>
      </c>
      <c r="N853" s="1291" t="inlineStr">
        <is>
          <t>Obligatoire sous conditions</t>
        </is>
      </c>
      <c r="O853" s="1292" t="inlineStr">
        <is>
          <t>Mandatory under conditions</t>
        </is>
      </c>
      <c r="P853" s="1334" t="inlineStr">
        <is>
          <t>LC.0578</t>
        </is>
      </c>
      <c r="Q853" s="1334" t="inlineStr">
        <is>
          <t>RB KVSTAREC</t>
        </is>
      </c>
      <c r="R853" s="1352" t="inlineStr">
        <is>
          <t>NA</t>
        </is>
      </c>
      <c r="S853" s="1333" t="inlineStr">
        <is>
          <t>NA</t>
        </is>
      </c>
      <c r="T853" s="1337" t="inlineStr">
        <is>
          <t>ALPHA</t>
        </is>
      </c>
      <c r="U853" s="1337" t="inlineStr">
        <is>
          <t>NA</t>
        </is>
      </c>
      <c r="V853" s="1338" t="inlineStr">
        <is>
          <t>NA</t>
        </is>
      </c>
      <c r="W853" s="1337" t="n">
        <v>1</v>
      </c>
      <c r="X853" s="1337" t="inlineStr">
        <is>
          <t>NA</t>
        </is>
      </c>
      <c r="Y853" s="1339" t="n">
        <v>45</v>
      </c>
      <c r="Z853" s="1334" t="inlineStr">
        <is>
          <t>NA</t>
        </is>
      </c>
      <c r="AA853" s="1334" t="inlineStr">
        <is>
          <t>NA</t>
        </is>
      </c>
      <c r="AB853" s="1331" t="inlineStr">
        <is>
          <t>BASE LGD</t>
        </is>
      </c>
      <c r="AC853" s="1334" t="inlineStr">
        <is>
          <t>ND</t>
        </is>
      </c>
      <c r="AD853" s="1334" t="inlineStr">
        <is>
          <t>N</t>
        </is>
      </c>
      <c r="AE853" s="1334" t="inlineStr">
        <is>
          <t>EQU*, ISS*, TRE*, VAR*, INT, SIG*</t>
        </is>
      </c>
      <c r="AF853" s="1334" t="inlineStr">
        <is>
          <t>NA</t>
        </is>
      </c>
      <c r="AG853" s="1340" t="inlineStr">
        <is>
          <t>NA</t>
        </is>
      </c>
      <c r="AI853" s="1342" t="inlineStr">
        <is>
          <t>La donnée est obligatoire, si Indicateur Présence de recouvrement [P1 600] = 'Y'</t>
        </is>
      </c>
      <c r="AJ853" s="1343" t="inlineStr">
        <is>
          <t>The data is mandatory, if Recovery Presence Indicator [P1 600] = 'Y'</t>
        </is>
      </c>
      <c r="AK853" s="1344" t="n">
        <v>6</v>
      </c>
      <c r="AL853" s="1345" t="inlineStr">
        <is>
          <t>TPSxxx</t>
        </is>
      </c>
      <c r="AM853" s="1346" t="inlineStr">
        <is>
          <t>Si elle est renseignée, la valeur doit être connue du Langage Commun associé</t>
        </is>
      </c>
      <c r="AN853" s="1347" t="inlineStr">
        <is>
          <t>If specified, the value must be known to the associated Common Language</t>
        </is>
      </c>
      <c r="AO853" s="1348" t="n">
        <v>7</v>
      </c>
      <c r="AP853" s="1324" t="inlineStr">
        <is>
          <t>TIG0001</t>
        </is>
      </c>
      <c r="AQ853" s="1321" t="n"/>
      <c r="AR853" s="1343" t="n"/>
      <c r="AS853" s="1320" t="n"/>
      <c r="AT853" s="1324" t="n"/>
      <c r="AU853" s="1321" t="n"/>
      <c r="AV853" s="1343" t="n"/>
      <c r="AW853" s="1320" t="n"/>
      <c r="AX853" s="1324" t="n"/>
      <c r="AY853" s="1321" t="n"/>
      <c r="AZ853" s="1349" t="n"/>
      <c r="BA853" s="1344" t="n"/>
      <c r="BB853" s="1324" t="n"/>
      <c r="BC853" s="1321" t="n"/>
      <c r="BD853" s="1350" t="n"/>
      <c r="BE853" s="1344" t="n"/>
      <c r="BF853" s="1324" t="n"/>
      <c r="BH8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53">
        <f>_xlfn.LET(r,ROW(),oc,INDEX($A:$A,r),cv,TRIM(INDEX($Y:$Y,r)&amp;""),IF(oc&lt;&gt;"P1","",IF(cv="45","V45 - novo, nao alimentado pelo spool atual","V44 - alimentado pelo spool atual")))</f>
        <v/>
      </c>
    </row>
    <row r="854" ht="54" customFormat="1" customHeight="1" s="1351">
      <c r="A854" s="1328" t="inlineStr">
        <is>
          <t>P1</t>
        </is>
      </c>
      <c r="B854" s="1290" t="n">
        <v>619</v>
      </c>
      <c r="C854" s="1329" t="inlineStr">
        <is>
          <t xml:space="preserve">08 - Caractéristiques d'arriérés et de restructuration </t>
        </is>
      </c>
      <c r="D854" s="1330" t="inlineStr">
        <is>
          <t>08 - Characteristics of overdues and restructuring</t>
        </is>
      </c>
      <c r="E854" s="1331" t="inlineStr">
        <is>
          <t>P1 603</t>
        </is>
      </c>
      <c r="F854" s="1332" t="inlineStr">
        <is>
          <t>Montant recouvré depuis le défaut</t>
        </is>
      </c>
      <c r="G854" s="1333" t="inlineStr">
        <is>
          <t>Amount recovered during the month since default</t>
        </is>
      </c>
      <c r="H854" s="1493">
        <f>"RPAD( "&amp;SUBSTITUTE(SUBSTITUTE(E854," ","_"),".","_")&amp;","&amp;W854&amp;",' '); -- "&amp;E854</f>
        <v/>
      </c>
      <c r="I854" s="1332" t="inlineStr">
        <is>
          <t>Montant cumulé recouvré depuis le défaut</t>
        </is>
      </c>
      <c r="J854" s="1333" t="inlineStr">
        <is>
          <t>Amount recovered associated with the outstanding balance during the month</t>
        </is>
      </c>
      <c r="K854" s="1334" t="inlineStr">
        <is>
          <t>ND</t>
        </is>
      </c>
      <c r="L854" s="1330" t="inlineStr">
        <is>
          <t>ND</t>
        </is>
      </c>
      <c r="M854" s="1426" t="inlineStr">
        <is>
          <t>TBD</t>
        </is>
      </c>
      <c r="N854" s="1291" t="inlineStr">
        <is>
          <t>Obligatoire sous conditions</t>
        </is>
      </c>
      <c r="O854" s="1292" t="inlineStr">
        <is>
          <t>Mandatory under conditions</t>
        </is>
      </c>
      <c r="P854" s="1334" t="inlineStr">
        <is>
          <t>NA</t>
        </is>
      </c>
      <c r="Q854" s="1334" t="inlineStr">
        <is>
          <t>NA</t>
        </is>
      </c>
      <c r="R854" s="1352" t="inlineStr">
        <is>
          <t>NA</t>
        </is>
      </c>
      <c r="S854" s="1333" t="inlineStr">
        <is>
          <t>NA</t>
        </is>
      </c>
      <c r="T854" s="1337" t="inlineStr">
        <is>
          <t>NUM</t>
        </is>
      </c>
      <c r="U854" s="1331" t="inlineStr">
        <is>
          <t>19 dont signe et 2 décimales</t>
        </is>
      </c>
      <c r="V854" s="1353" t="inlineStr">
        <is>
          <t>19 including sign and 2 decimals</t>
        </is>
      </c>
      <c r="W854" s="1337" t="n">
        <v>19</v>
      </c>
      <c r="X854" s="1337" t="inlineStr">
        <is>
          <t>NA</t>
        </is>
      </c>
      <c r="Y854" s="1339" t="n">
        <v>45</v>
      </c>
      <c r="Z854" s="1334" t="inlineStr">
        <is>
          <t>NA</t>
        </is>
      </c>
      <c r="AA854" s="1334" t="inlineStr">
        <is>
          <t>NA</t>
        </is>
      </c>
      <c r="AB854" s="1331" t="inlineStr">
        <is>
          <t>BASE LGD</t>
        </is>
      </c>
      <c r="AC854" s="1334" t="inlineStr">
        <is>
          <t>ND</t>
        </is>
      </c>
      <c r="AD854" s="1334" t="inlineStr">
        <is>
          <t>N</t>
        </is>
      </c>
      <c r="AE854" s="1334" t="inlineStr">
        <is>
          <t>EQU*, ISS*, TRE*, VAR*, INT, SIG*</t>
        </is>
      </c>
      <c r="AF854" s="1334" t="inlineStr">
        <is>
          <t>NA</t>
        </is>
      </c>
      <c r="AG854" s="1340" t="inlineStr">
        <is>
          <t>NA</t>
        </is>
      </c>
      <c r="AI854" s="1342" t="inlineStr">
        <is>
          <t>La donnée est obligatoire, si Indicateur Engagement en défaut [P1 5.2] = 'Y'</t>
        </is>
      </c>
      <c r="AJ854" s="1343" t="inlineStr">
        <is>
          <t>The data is mandatory, if Defaulted commitments indicator [P1 5.2] = 'Y'</t>
        </is>
      </c>
      <c r="AK854" s="1344" t="n">
        <v>6</v>
      </c>
      <c r="AL854" s="1345" t="inlineStr">
        <is>
          <t>TPSxxx</t>
        </is>
      </c>
      <c r="AM854" s="1321" t="n"/>
      <c r="AN854" s="1343" t="n"/>
      <c r="AO854" s="1344" t="n"/>
      <c r="AP854" s="1319" t="n"/>
      <c r="AQ854" s="1321" t="n"/>
      <c r="AR854" s="1343" t="n"/>
      <c r="AS854" s="1320" t="n"/>
      <c r="AT854" s="1324" t="n"/>
      <c r="AU854" s="1321" t="n"/>
      <c r="AV854" s="1343" t="n"/>
      <c r="AW854" s="1320" t="n"/>
      <c r="AX854" s="1324" t="n"/>
      <c r="AY854" s="1321" t="n"/>
      <c r="AZ854" s="1349" t="n"/>
      <c r="BA854" s="1344" t="n"/>
      <c r="BB854" s="1324" t="n"/>
      <c r="BC854" s="1321" t="n"/>
      <c r="BD854" s="1350" t="n"/>
      <c r="BE854" s="1344" t="n"/>
      <c r="BF854" s="1324" t="n"/>
      <c r="BH8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54">
        <f>_xlfn.LET(r,ROW(),oc,INDEX($A:$A,r),cv,TRIM(INDEX($Y:$Y,r)&amp;""),IF(oc&lt;&gt;"P1","",IF(cv="45","V45 - novo, nao alimentado pelo spool atual","V44 - alimentado pelo spool atual")))</f>
        <v/>
      </c>
    </row>
    <row r="855" ht="54" customFormat="1" customHeight="1" s="1351">
      <c r="A855" s="1328" t="inlineStr">
        <is>
          <t>P1</t>
        </is>
      </c>
      <c r="B855" s="1290" t="n">
        <v>620</v>
      </c>
      <c r="C855" s="1329" t="inlineStr">
        <is>
          <t xml:space="preserve">08 - Caractéristiques d'arriérés et de restructuration </t>
        </is>
      </c>
      <c r="D855" s="1330" t="inlineStr">
        <is>
          <t>08 - Characteristics of overdues and restructuring</t>
        </is>
      </c>
      <c r="E855" s="1331" t="inlineStr">
        <is>
          <t>P1 603.1</t>
        </is>
      </c>
      <c r="F855" s="1332" t="inlineStr">
        <is>
          <t>Devise du montant recouvré depuis le défaut</t>
        </is>
      </c>
      <c r="G855" s="1333" t="inlineStr">
        <is>
          <t>Currency of the amount recovered during the month</t>
        </is>
      </c>
      <c r="H855" s="1493">
        <f>"RPAD( "&amp;SUBSTITUTE(SUBSTITUTE(E855," ","_"),".","_")&amp;","&amp;W855&amp;",' '); -- "&amp;E855</f>
        <v/>
      </c>
      <c r="I855" s="1332" t="inlineStr">
        <is>
          <t>Devise du montant recouvré depuis le défaut</t>
        </is>
      </c>
      <c r="J855" s="1333" t="inlineStr">
        <is>
          <t>Currency of the amount recovered during the month</t>
        </is>
      </c>
      <c r="K855" s="1334" t="inlineStr">
        <is>
          <t>ND</t>
        </is>
      </c>
      <c r="L855" s="1330" t="inlineStr">
        <is>
          <t>ND</t>
        </is>
      </c>
      <c r="M855" s="1426" t="inlineStr">
        <is>
          <t>TBD</t>
        </is>
      </c>
      <c r="N855" s="1291" t="inlineStr">
        <is>
          <t>Obligatoire sous conditions</t>
        </is>
      </c>
      <c r="O855" s="1292" t="inlineStr">
        <is>
          <t>Mandatory under conditions</t>
        </is>
      </c>
      <c r="P855" s="1334" t="inlineStr">
        <is>
          <t>LC.0005</t>
        </is>
      </c>
      <c r="Q855" s="1354" t="inlineStr">
        <is>
          <t>TA NM253</t>
        </is>
      </c>
      <c r="R855" s="1352" t="inlineStr">
        <is>
          <t>NA</t>
        </is>
      </c>
      <c r="S855" s="1333" t="inlineStr">
        <is>
          <t>NA</t>
        </is>
      </c>
      <c r="T855" s="1337" t="inlineStr">
        <is>
          <t>ALPHA</t>
        </is>
      </c>
      <c r="U855" s="1337" t="inlineStr">
        <is>
          <t>NA</t>
        </is>
      </c>
      <c r="V855" s="1338" t="inlineStr">
        <is>
          <t>NA</t>
        </is>
      </c>
      <c r="W855" s="1337" t="n">
        <v>3</v>
      </c>
      <c r="X855" s="1337" t="inlineStr">
        <is>
          <t>NA</t>
        </is>
      </c>
      <c r="Y855" s="1339" t="n">
        <v>45</v>
      </c>
      <c r="Z855" s="1334" t="inlineStr">
        <is>
          <t>NA</t>
        </is>
      </c>
      <c r="AA855" s="1334" t="inlineStr">
        <is>
          <t>NA</t>
        </is>
      </c>
      <c r="AB855" s="1331" t="inlineStr">
        <is>
          <t>BASE LGD</t>
        </is>
      </c>
      <c r="AC855" s="1334" t="inlineStr">
        <is>
          <t>ND</t>
        </is>
      </c>
      <c r="AD855" s="1334" t="inlineStr">
        <is>
          <t>N</t>
        </is>
      </c>
      <c r="AE855" s="1334" t="inlineStr">
        <is>
          <t>EQU*, ISS*, TRE*, VAR*, INT, SIG*</t>
        </is>
      </c>
      <c r="AF855" s="1334" t="inlineStr">
        <is>
          <t>NA</t>
        </is>
      </c>
      <c r="AG855" s="1340" t="inlineStr">
        <is>
          <t>NA</t>
        </is>
      </c>
      <c r="AI855" s="1342" t="inlineStr">
        <is>
          <t>La donnée est obligatoire si Montant recouvré depuis le défaut [P1 603] est renseignée</t>
        </is>
      </c>
      <c r="AJ855" s="1343" t="inlineStr">
        <is>
          <t>The data is mandatory if Amount recovered during the month since default [P1 603] data is filled</t>
        </is>
      </c>
      <c r="AK855" s="1344" t="n">
        <v>7</v>
      </c>
      <c r="AL855" s="1345" t="inlineStr">
        <is>
          <t>TPG0002</t>
        </is>
      </c>
      <c r="AM855" s="1346" t="inlineStr">
        <is>
          <t>Si elle est renseignée, la valeur doit être connue du Langage Commun associé</t>
        </is>
      </c>
      <c r="AN855" s="1347" t="inlineStr">
        <is>
          <t>If specified, the value must be known to the associated Common Language</t>
        </is>
      </c>
      <c r="AO855" s="1348" t="n">
        <v>7</v>
      </c>
      <c r="AP855" s="1324" t="inlineStr">
        <is>
          <t>TIG0001</t>
        </is>
      </c>
      <c r="AQ855" s="1321" t="n"/>
      <c r="AR855" s="1343" t="n"/>
      <c r="AS855" s="1320" t="n"/>
      <c r="AT855" s="1324" t="n"/>
      <c r="AU855" s="1321" t="n"/>
      <c r="AV855" s="1343" t="n"/>
      <c r="AW855" s="1320" t="n"/>
      <c r="AX855" s="1324" t="n"/>
      <c r="AY855" s="1321" t="n"/>
      <c r="AZ855" s="1349" t="n"/>
      <c r="BA855" s="1344" t="n"/>
      <c r="BB855" s="1324" t="n"/>
      <c r="BC855" s="1321" t="n"/>
      <c r="BD855" s="1350" t="n"/>
      <c r="BE855" s="1344" t="n"/>
      <c r="BF855" s="1324" t="n"/>
      <c r="BH8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55">
        <f>_xlfn.LET(r,ROW(),oc,INDEX($A:$A,r),cv,TRIM(INDEX($Y:$Y,r)&amp;""),IF(oc&lt;&gt;"P1","",IF(cv="45","V45 - novo, nao alimentado pelo spool atual","V44 - alimentado pelo spool atual")))</f>
        <v/>
      </c>
    </row>
    <row r="856" ht="54" customFormat="1" customHeight="1" s="1351">
      <c r="A856" s="1328" t="inlineStr">
        <is>
          <t>P1</t>
        </is>
      </c>
      <c r="B856" s="1290" t="n">
        <v>621</v>
      </c>
      <c r="C856" s="1329" t="inlineStr">
        <is>
          <t xml:space="preserve">08 - Caractéristiques d'arriérés et de restructuration </t>
        </is>
      </c>
      <c r="D856" s="1330" t="inlineStr">
        <is>
          <t>08 - Characteristics of overdues and restructuring</t>
        </is>
      </c>
      <c r="E856" s="1331" t="inlineStr">
        <is>
          <t>P1 604</t>
        </is>
      </c>
      <c r="F856" s="1332" t="inlineStr">
        <is>
          <t>Montant passé à perte depuis le défaut</t>
        </is>
      </c>
      <c r="G856" s="1333" t="inlineStr">
        <is>
          <t>Amount written off during the month</t>
        </is>
      </c>
      <c r="H856" s="1493">
        <f>"RPAD( "&amp;SUBSTITUTE(SUBSTITUTE(E856," ","_"),".","_")&amp;","&amp;W856&amp;",' '); -- "&amp;E856</f>
        <v/>
      </c>
      <c r="I856" s="1332" t="inlineStr">
        <is>
          <t>Montant cumulé passé à perte depuis le défaut</t>
        </is>
      </c>
      <c r="J856" s="1333" t="inlineStr">
        <is>
          <t>Amount written off during the month</t>
        </is>
      </c>
      <c r="K856" s="1334" t="inlineStr">
        <is>
          <t>ND</t>
        </is>
      </c>
      <c r="L856" s="1330" t="inlineStr">
        <is>
          <t>ND</t>
        </is>
      </c>
      <c r="M856" s="1426" t="inlineStr">
        <is>
          <t>TBD</t>
        </is>
      </c>
      <c r="N856" s="1291" t="inlineStr">
        <is>
          <t>Obligatoire sous conditions</t>
        </is>
      </c>
      <c r="O856" s="1292" t="inlineStr">
        <is>
          <t>Mandatory under conditions</t>
        </is>
      </c>
      <c r="P856" s="1334" t="inlineStr">
        <is>
          <t>NA</t>
        </is>
      </c>
      <c r="Q856" s="1334" t="inlineStr">
        <is>
          <t>NA</t>
        </is>
      </c>
      <c r="R856" s="1352" t="inlineStr">
        <is>
          <t>NA</t>
        </is>
      </c>
      <c r="S856" s="1333" t="inlineStr">
        <is>
          <t>NA</t>
        </is>
      </c>
      <c r="T856" s="1337" t="inlineStr">
        <is>
          <t>NUM</t>
        </is>
      </c>
      <c r="U856" s="1331" t="inlineStr">
        <is>
          <t>19 dont signe et 2 décimales</t>
        </is>
      </c>
      <c r="V856" s="1353" t="inlineStr">
        <is>
          <t>19 including sign and 2 decimals</t>
        </is>
      </c>
      <c r="W856" s="1337" t="n">
        <v>19</v>
      </c>
      <c r="X856" s="1337" t="inlineStr">
        <is>
          <t>NA</t>
        </is>
      </c>
      <c r="Y856" s="1339" t="n">
        <v>45</v>
      </c>
      <c r="Z856" s="1334" t="inlineStr">
        <is>
          <t>NA</t>
        </is>
      </c>
      <c r="AA856" s="1334" t="inlineStr">
        <is>
          <t>NA</t>
        </is>
      </c>
      <c r="AB856" s="1331" t="inlineStr">
        <is>
          <t>BASE LGD</t>
        </is>
      </c>
      <c r="AC856" s="1334" t="inlineStr">
        <is>
          <t>ND</t>
        </is>
      </c>
      <c r="AD856" s="1334" t="inlineStr">
        <is>
          <t>N</t>
        </is>
      </c>
      <c r="AE856" s="1334" t="inlineStr">
        <is>
          <t>EQU*, ISS*, TRE*, VAR*, INT, SIG*</t>
        </is>
      </c>
      <c r="AF856" s="1334" t="inlineStr">
        <is>
          <t>NA</t>
        </is>
      </c>
      <c r="AG856" s="1340" t="inlineStr">
        <is>
          <t>NA</t>
        </is>
      </c>
      <c r="AI856" s="1342" t="inlineStr">
        <is>
          <t>La donnée est obligatoire, si Indicateur Engagement en défaut [P1 5.2] = 'Y'</t>
        </is>
      </c>
      <c r="AJ856" s="1343" t="inlineStr">
        <is>
          <t>The data is mandatory, if Defaulted commitments indicator [P1 5.2] = 'Y'</t>
        </is>
      </c>
      <c r="AK856" s="1344" t="n">
        <v>6</v>
      </c>
      <c r="AL856" s="1345" t="inlineStr">
        <is>
          <t>TPSxxx</t>
        </is>
      </c>
      <c r="AM856" s="1321" t="n"/>
      <c r="AN856" s="1343" t="n"/>
      <c r="AO856" s="1344" t="n"/>
      <c r="AP856" s="1319" t="n"/>
      <c r="AQ856" s="1321" t="n"/>
      <c r="AR856" s="1343" t="n"/>
      <c r="AS856" s="1320" t="n"/>
      <c r="AT856" s="1324" t="n"/>
      <c r="AU856" s="1321" t="n"/>
      <c r="AV856" s="1343" t="n"/>
      <c r="AW856" s="1320" t="n"/>
      <c r="AX856" s="1324" t="n"/>
      <c r="AY856" s="1321" t="n"/>
      <c r="AZ856" s="1349" t="n"/>
      <c r="BA856" s="1344" t="n"/>
      <c r="BB856" s="1324" t="n"/>
      <c r="BC856" s="1321" t="n"/>
      <c r="BD856" s="1350" t="n"/>
      <c r="BE856" s="1344" t="n"/>
      <c r="BF856" s="1324" t="n"/>
      <c r="BH8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56">
        <f>_xlfn.LET(r,ROW(),oc,INDEX($A:$A,r),cv,TRIM(INDEX($Y:$Y,r)&amp;""),IF(oc&lt;&gt;"P1","",IF(cv="45","V45 - novo, nao alimentado pelo spool atual","V44 - alimentado pelo spool atual")))</f>
        <v/>
      </c>
    </row>
    <row r="857" ht="54" customFormat="1" customHeight="1" s="1351">
      <c r="A857" s="1328" t="inlineStr">
        <is>
          <t>P1</t>
        </is>
      </c>
      <c r="B857" s="1290" t="n">
        <v>622</v>
      </c>
      <c r="C857" s="1329" t="inlineStr">
        <is>
          <t xml:space="preserve">08 - Caractéristiques d'arriérés et de restructuration </t>
        </is>
      </c>
      <c r="D857" s="1330" t="inlineStr">
        <is>
          <t>08 - Characteristics of overdues and restructuring</t>
        </is>
      </c>
      <c r="E857" s="1331" t="inlineStr">
        <is>
          <t>P1 604.1</t>
        </is>
      </c>
      <c r="F857" s="1332" t="inlineStr">
        <is>
          <t>Devise du montant passé à perte depuis le défaut</t>
        </is>
      </c>
      <c r="G857" s="1333" t="inlineStr">
        <is>
          <t>Currency of the amount Amount written off during the month</t>
        </is>
      </c>
      <c r="H857" s="1493">
        <f>"RPAD( "&amp;SUBSTITUTE(SUBSTITUTE(E857," ","_"),".","_")&amp;","&amp;W857&amp;",' '); -- "&amp;E857</f>
        <v/>
      </c>
      <c r="I857" s="1332" t="inlineStr">
        <is>
          <t>Devise du montant passé à perte depuis le défaut</t>
        </is>
      </c>
      <c r="J857" s="1333" t="inlineStr">
        <is>
          <t>Currency of the amount Amount written off during the month</t>
        </is>
      </c>
      <c r="K857" s="1334" t="inlineStr">
        <is>
          <t>ND</t>
        </is>
      </c>
      <c r="L857" s="1330" t="inlineStr">
        <is>
          <t>ND</t>
        </is>
      </c>
      <c r="M857" s="1426" t="inlineStr">
        <is>
          <t>TBD</t>
        </is>
      </c>
      <c r="N857" s="1291" t="inlineStr">
        <is>
          <t>Obligatoire sous conditions</t>
        </is>
      </c>
      <c r="O857" s="1292" t="inlineStr">
        <is>
          <t>Mandatory under conditions</t>
        </is>
      </c>
      <c r="P857" s="1334" t="inlineStr">
        <is>
          <t>LC.0005</t>
        </is>
      </c>
      <c r="Q857" s="1354" t="inlineStr">
        <is>
          <t>TA NM253</t>
        </is>
      </c>
      <c r="R857" s="1352" t="inlineStr">
        <is>
          <t>NA</t>
        </is>
      </c>
      <c r="S857" s="1333" t="inlineStr">
        <is>
          <t>NA</t>
        </is>
      </c>
      <c r="T857" s="1337" t="inlineStr">
        <is>
          <t>ALPHA</t>
        </is>
      </c>
      <c r="U857" s="1337" t="inlineStr">
        <is>
          <t>NA</t>
        </is>
      </c>
      <c r="V857" s="1338" t="inlineStr">
        <is>
          <t>NA</t>
        </is>
      </c>
      <c r="W857" s="1337" t="n">
        <v>3</v>
      </c>
      <c r="X857" s="1337" t="inlineStr">
        <is>
          <t>NA</t>
        </is>
      </c>
      <c r="Y857" s="1339" t="n">
        <v>45</v>
      </c>
      <c r="Z857" s="1334" t="inlineStr">
        <is>
          <t>NA</t>
        </is>
      </c>
      <c r="AA857" s="1334" t="inlineStr">
        <is>
          <t>NA</t>
        </is>
      </c>
      <c r="AB857" s="1331" t="inlineStr">
        <is>
          <t>BASE LGD</t>
        </is>
      </c>
      <c r="AC857" s="1334" t="inlineStr">
        <is>
          <t>ND</t>
        </is>
      </c>
      <c r="AD857" s="1334" t="inlineStr">
        <is>
          <t>N</t>
        </is>
      </c>
      <c r="AE857" s="1334" t="inlineStr">
        <is>
          <t>EQU*, ISS*, TRE*, VAR*, INT, SIG*</t>
        </is>
      </c>
      <c r="AF857" s="1334" t="inlineStr">
        <is>
          <t>NA</t>
        </is>
      </c>
      <c r="AG857" s="1340" t="inlineStr">
        <is>
          <t>NA</t>
        </is>
      </c>
      <c r="AI857" s="1342" t="inlineStr">
        <is>
          <t>La donnée est obligatoire si Montant passé à perte depuis le défaut [P1 604] est renseignée</t>
        </is>
      </c>
      <c r="AJ857" s="1343" t="inlineStr">
        <is>
          <t>The data is mandatory if Amount written off during the month [P1 604] data is filled</t>
        </is>
      </c>
      <c r="AK857" s="1344" t="n">
        <v>7</v>
      </c>
      <c r="AL857" s="1345" t="inlineStr">
        <is>
          <t>TPG0002</t>
        </is>
      </c>
      <c r="AM857" s="1346" t="inlineStr">
        <is>
          <t>Si elle est renseignée, la valeur doit être connue du Langage Commun associé</t>
        </is>
      </c>
      <c r="AN857" s="1347" t="inlineStr">
        <is>
          <t>If specified, the value must be known to the associated Common Language</t>
        </is>
      </c>
      <c r="AO857" s="1348" t="n">
        <v>7</v>
      </c>
      <c r="AP857" s="1324" t="inlineStr">
        <is>
          <t>TIG0001</t>
        </is>
      </c>
      <c r="AQ857" s="1321" t="n"/>
      <c r="AR857" s="1343" t="n"/>
      <c r="AS857" s="1320" t="n"/>
      <c r="AT857" s="1324" t="n"/>
      <c r="AU857" s="1321" t="n"/>
      <c r="AV857" s="1343" t="n"/>
      <c r="AW857" s="1320" t="n"/>
      <c r="AX857" s="1324" t="n"/>
      <c r="AY857" s="1321" t="n"/>
      <c r="AZ857" s="1349" t="n"/>
      <c r="BA857" s="1344" t="n"/>
      <c r="BB857" s="1324" t="n"/>
      <c r="BC857" s="1321" t="n"/>
      <c r="BD857" s="1350" t="n"/>
      <c r="BE857" s="1344" t="n"/>
      <c r="BF857" s="1324" t="n"/>
      <c r="BH8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57">
        <f>_xlfn.LET(r,ROW(),oc,INDEX($A:$A,r),cv,TRIM(INDEX($Y:$Y,r)&amp;""),IF(oc&lt;&gt;"P1","",IF(cv="45","V45 - novo, nao alimentado pelo spool atual","V44 - alimentado pelo spool atual")))</f>
        <v/>
      </c>
    </row>
    <row r="858" ht="54" customFormat="1" customHeight="1" s="1351">
      <c r="A858" s="1328" t="inlineStr">
        <is>
          <t>P1</t>
        </is>
      </c>
      <c r="B858" s="1290" t="n">
        <v>623</v>
      </c>
      <c r="C858" s="1329" t="inlineStr">
        <is>
          <t xml:space="preserve">08 - Caractéristiques d'arriérés et de restructuration </t>
        </is>
      </c>
      <c r="D858" s="1330" t="inlineStr">
        <is>
          <t>08 - Characteristics of overdues and restructuring</t>
        </is>
      </c>
      <c r="E858" s="1331" t="inlineStr">
        <is>
          <t>P1 605</t>
        </is>
      </c>
      <c r="F858" s="1332" t="inlineStr">
        <is>
          <t>Montant tiré depuis le défaut</t>
        </is>
      </c>
      <c r="G858" s="1333" t="inlineStr">
        <is>
          <t>Amount drawn during the month</t>
        </is>
      </c>
      <c r="H858" s="1493">
        <f>"RPAD( "&amp;SUBSTITUTE(SUBSTITUTE(E858," ","_"),".","_")&amp;","&amp;W858&amp;",' '); -- "&amp;E858</f>
        <v/>
      </c>
      <c r="I858" s="1332" t="inlineStr">
        <is>
          <t>Montant cumulé tiré depuis le défaut</t>
        </is>
      </c>
      <c r="J858" s="1333" t="inlineStr">
        <is>
          <t>Amount drawn during the month</t>
        </is>
      </c>
      <c r="K858" s="1334" t="inlineStr">
        <is>
          <t>ND</t>
        </is>
      </c>
      <c r="L858" s="1330" t="inlineStr">
        <is>
          <t>ND</t>
        </is>
      </c>
      <c r="M858" s="1426" t="inlineStr">
        <is>
          <t>TBD</t>
        </is>
      </c>
      <c r="N858" s="1291" t="inlineStr">
        <is>
          <t>Obligatoire sous conditions</t>
        </is>
      </c>
      <c r="O858" s="1292" t="inlineStr">
        <is>
          <t>Mandatory under conditions</t>
        </is>
      </c>
      <c r="P858" s="1334" t="inlineStr">
        <is>
          <t>NA</t>
        </is>
      </c>
      <c r="Q858" s="1334" t="inlineStr">
        <is>
          <t>NA</t>
        </is>
      </c>
      <c r="R858" s="1352" t="inlineStr">
        <is>
          <t>NA</t>
        </is>
      </c>
      <c r="S858" s="1333" t="inlineStr">
        <is>
          <t>NA</t>
        </is>
      </c>
      <c r="T858" s="1337" t="inlineStr">
        <is>
          <t>NUM</t>
        </is>
      </c>
      <c r="U858" s="1331" t="inlineStr">
        <is>
          <t>19 dont signe et 2 décimales</t>
        </is>
      </c>
      <c r="V858" s="1353" t="inlineStr">
        <is>
          <t>19 including sign and 2 decimals</t>
        </is>
      </c>
      <c r="W858" s="1337" t="n">
        <v>19</v>
      </c>
      <c r="X858" s="1337" t="inlineStr">
        <is>
          <t>NA</t>
        </is>
      </c>
      <c r="Y858" s="1339" t="n">
        <v>45</v>
      </c>
      <c r="Z858" s="1334" t="inlineStr">
        <is>
          <t>NA</t>
        </is>
      </c>
      <c r="AA858" s="1334" t="inlineStr">
        <is>
          <t>NA</t>
        </is>
      </c>
      <c r="AB858" s="1331" t="inlineStr">
        <is>
          <t>BASE LGD</t>
        </is>
      </c>
      <c r="AC858" s="1334" t="inlineStr">
        <is>
          <t>ND</t>
        </is>
      </c>
      <c r="AD858" s="1334" t="inlineStr">
        <is>
          <t>N</t>
        </is>
      </c>
      <c r="AE858" s="1334" t="inlineStr">
        <is>
          <t>EQU*, ISS*, TRE*, VAR*, INT, SIG*</t>
        </is>
      </c>
      <c r="AF858" s="1334" t="inlineStr">
        <is>
          <t>NA</t>
        </is>
      </c>
      <c r="AG858" s="1340" t="inlineStr">
        <is>
          <t>NA</t>
        </is>
      </c>
      <c r="AI858" s="1342" t="inlineStr">
        <is>
          <t>La donnée est obligatoire, si Indicateur Engagement en défaut [P1 5.2] = 'Y'</t>
        </is>
      </c>
      <c r="AJ858" s="1343" t="inlineStr">
        <is>
          <t>The data is mandatory, if Defaulted commitments indicator [P1 5.2] = 'Y'</t>
        </is>
      </c>
      <c r="AK858" s="1344" t="n">
        <v>6</v>
      </c>
      <c r="AL858" s="1345" t="inlineStr">
        <is>
          <t>TPSxxx</t>
        </is>
      </c>
      <c r="AM858" s="1321" t="n"/>
      <c r="AN858" s="1343" t="n"/>
      <c r="AO858" s="1344" t="n"/>
      <c r="AP858" s="1319" t="n"/>
      <c r="AQ858" s="1321" t="n"/>
      <c r="AR858" s="1343" t="n"/>
      <c r="AS858" s="1320" t="n"/>
      <c r="AT858" s="1324" t="n"/>
      <c r="AU858" s="1321" t="n"/>
      <c r="AV858" s="1343" t="n"/>
      <c r="AW858" s="1320" t="n"/>
      <c r="AX858" s="1324" t="n"/>
      <c r="AY858" s="1321" t="n"/>
      <c r="AZ858" s="1349" t="n"/>
      <c r="BA858" s="1344" t="n"/>
      <c r="BB858" s="1324" t="n"/>
      <c r="BC858" s="1321" t="n"/>
      <c r="BD858" s="1350" t="n"/>
      <c r="BE858" s="1344" t="n"/>
      <c r="BF858" s="1324" t="n"/>
      <c r="BH8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58">
        <f>_xlfn.LET(r,ROW(),oc,INDEX($A:$A,r),cv,TRIM(INDEX($Y:$Y,r)&amp;""),IF(oc&lt;&gt;"P1","",IF(cv="45","V45 - novo, nao alimentado pelo spool atual","V44 - alimentado pelo spool atual")))</f>
        <v/>
      </c>
    </row>
    <row r="859" ht="54" customFormat="1" customHeight="1" s="1351">
      <c r="A859" s="1328" t="inlineStr">
        <is>
          <t>P1</t>
        </is>
      </c>
      <c r="B859" s="1290" t="n">
        <v>624</v>
      </c>
      <c r="C859" s="1329" t="inlineStr">
        <is>
          <t xml:space="preserve">08 - Caractéristiques d'arriérés et de restructuration </t>
        </is>
      </c>
      <c r="D859" s="1330" t="inlineStr">
        <is>
          <t>08 - Characteristics of overdues and restructuring</t>
        </is>
      </c>
      <c r="E859" s="1331" t="inlineStr">
        <is>
          <t>P1 605.1</t>
        </is>
      </c>
      <c r="F859" s="1332" t="inlineStr">
        <is>
          <t>Devise du montant tiré depuis le défaut</t>
        </is>
      </c>
      <c r="G859" s="1333" t="inlineStr">
        <is>
          <t>Currency of the amount drawn during the month</t>
        </is>
      </c>
      <c r="H859" s="1493">
        <f>"RPAD( "&amp;SUBSTITUTE(SUBSTITUTE(E859," ","_"),".","_")&amp;","&amp;W859&amp;",' '); -- "&amp;E859</f>
        <v/>
      </c>
      <c r="I859" s="1332" t="inlineStr">
        <is>
          <t>Devise du montant tiré depuis le défaut</t>
        </is>
      </c>
      <c r="J859" s="1333" t="inlineStr">
        <is>
          <t>Currency of the amount drawn during the month</t>
        </is>
      </c>
      <c r="K859" s="1334" t="inlineStr">
        <is>
          <t>ND</t>
        </is>
      </c>
      <c r="L859" s="1330" t="inlineStr">
        <is>
          <t>ND</t>
        </is>
      </c>
      <c r="M859" s="1426" t="inlineStr">
        <is>
          <t>TBD</t>
        </is>
      </c>
      <c r="N859" s="1291" t="inlineStr">
        <is>
          <t>Obligatoire sous conditions</t>
        </is>
      </c>
      <c r="O859" s="1292" t="inlineStr">
        <is>
          <t>Mandatory under conditions</t>
        </is>
      </c>
      <c r="P859" s="1334" t="inlineStr">
        <is>
          <t>LC.0005</t>
        </is>
      </c>
      <c r="Q859" s="1354" t="inlineStr">
        <is>
          <t>TA NM253</t>
        </is>
      </c>
      <c r="R859" s="1352" t="inlineStr">
        <is>
          <t>NA</t>
        </is>
      </c>
      <c r="S859" s="1333" t="inlineStr">
        <is>
          <t>NA</t>
        </is>
      </c>
      <c r="T859" s="1337" t="inlineStr">
        <is>
          <t>ALPHA</t>
        </is>
      </c>
      <c r="U859" s="1337" t="inlineStr">
        <is>
          <t>NA</t>
        </is>
      </c>
      <c r="V859" s="1338" t="inlineStr">
        <is>
          <t>NA</t>
        </is>
      </c>
      <c r="W859" s="1337" t="n">
        <v>3</v>
      </c>
      <c r="X859" s="1337" t="inlineStr">
        <is>
          <t>NA</t>
        </is>
      </c>
      <c r="Y859" s="1339" t="n">
        <v>45</v>
      </c>
      <c r="Z859" s="1334" t="inlineStr">
        <is>
          <t>NA</t>
        </is>
      </c>
      <c r="AA859" s="1334" t="inlineStr">
        <is>
          <t>NA</t>
        </is>
      </c>
      <c r="AB859" s="1331" t="inlineStr">
        <is>
          <t>BASE LGD</t>
        </is>
      </c>
      <c r="AC859" s="1334" t="inlineStr">
        <is>
          <t>ND</t>
        </is>
      </c>
      <c r="AD859" s="1334" t="inlineStr">
        <is>
          <t>N</t>
        </is>
      </c>
      <c r="AE859" s="1334" t="inlineStr">
        <is>
          <t>EQU*, ISS*, TRE*, VAR*, INT, SIG*</t>
        </is>
      </c>
      <c r="AF859" s="1334" t="inlineStr">
        <is>
          <t>NA</t>
        </is>
      </c>
      <c r="AG859" s="1340" t="inlineStr">
        <is>
          <t>NA</t>
        </is>
      </c>
      <c r="AI859" s="1342" t="inlineStr">
        <is>
          <t>La donnée est obligatoire si Montant tiré depuis le défaut [P1 605] est renseignée</t>
        </is>
      </c>
      <c r="AJ859" s="1343" t="inlineStr">
        <is>
          <t>The data is mandatory if Amount drawn during the month [P1 605] data is filled</t>
        </is>
      </c>
      <c r="AK859" s="1344" t="n">
        <v>7</v>
      </c>
      <c r="AL859" s="1345" t="inlineStr">
        <is>
          <t>TPG0002</t>
        </is>
      </c>
      <c r="AM859" s="1346" t="inlineStr">
        <is>
          <t>Si elle est renseignée, la valeur doit être connue du Langage Commun associé</t>
        </is>
      </c>
      <c r="AN859" s="1347" t="inlineStr">
        <is>
          <t>If specified, the value must be known to the associated Common Language</t>
        </is>
      </c>
      <c r="AO859" s="1348" t="n">
        <v>7</v>
      </c>
      <c r="AP859" s="1324" t="inlineStr">
        <is>
          <t>TIG0001</t>
        </is>
      </c>
      <c r="AQ859" s="1321" t="n"/>
      <c r="AR859" s="1343" t="n"/>
      <c r="AS859" s="1320" t="n"/>
      <c r="AT859" s="1324" t="n"/>
      <c r="AU859" s="1321" t="n"/>
      <c r="AV859" s="1343" t="n"/>
      <c r="AW859" s="1320" t="n"/>
      <c r="AX859" s="1324" t="n"/>
      <c r="AY859" s="1321" t="n"/>
      <c r="AZ859" s="1349" t="n"/>
      <c r="BA859" s="1344" t="n"/>
      <c r="BB859" s="1324" t="n"/>
      <c r="BC859" s="1321" t="n"/>
      <c r="BD859" s="1350" t="n"/>
      <c r="BE859" s="1344" t="n"/>
      <c r="BF859" s="1324" t="n"/>
      <c r="BH8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59">
        <f>_xlfn.LET(r,ROW(),oc,INDEX($A:$A,r),cv,TRIM(INDEX($Y:$Y,r)&amp;""),IF(oc&lt;&gt;"P1","",IF(cv="45","V45 - novo, nao alimentado pelo spool atual","V44 - alimentado pelo spool atual")))</f>
        <v/>
      </c>
    </row>
    <row r="860" ht="54" customFormat="1" customHeight="1" s="1351">
      <c r="A860" s="1328" t="inlineStr">
        <is>
          <t>P1</t>
        </is>
      </c>
      <c r="B860" s="1290" t="n">
        <v>625</v>
      </c>
      <c r="C860" s="1329" t="inlineStr">
        <is>
          <t xml:space="preserve">08 - Caractéristiques d'arriérés et de restructuration </t>
        </is>
      </c>
      <c r="D860" s="1330" t="inlineStr">
        <is>
          <t>08 - Characteristics of overdues and restructuring</t>
        </is>
      </c>
      <c r="E860" s="1331" t="inlineStr">
        <is>
          <t>P1 606</t>
        </is>
      </c>
      <c r="F860" s="1332" t="inlineStr">
        <is>
          <t>Identifiant du contrat restructuré en cas de changement d’identifiant post restructuration</t>
        </is>
      </c>
      <c r="G860" s="1333" t="inlineStr">
        <is>
          <t>Identifier of the restructured contract in case of change of identifier post-restructuring</t>
        </is>
      </c>
      <c r="H860" s="1493">
        <f>"RPAD( "&amp;SUBSTITUTE(SUBSTITUTE(E860," ","_"),".","_")&amp;","&amp;W860&amp;",' '); -- "&amp;E860</f>
        <v/>
      </c>
      <c r="I860" s="1332" t="inlineStr">
        <is>
          <t>Identifiant du contrat parent ayant fait l'objet de la restructuration en cas de changement d’identifiant post restructuration</t>
        </is>
      </c>
      <c r="J860" s="1333" t="inlineStr">
        <is>
          <t>Identifier of the restructured contract in case of change of identifier post-restructuring</t>
        </is>
      </c>
      <c r="K860" s="1334" t="inlineStr">
        <is>
          <t>ND</t>
        </is>
      </c>
      <c r="L860" s="1330" t="inlineStr">
        <is>
          <t>ND</t>
        </is>
      </c>
      <c r="M860" s="1426" t="inlineStr">
        <is>
          <t>TBD</t>
        </is>
      </c>
      <c r="N860" s="1331" t="inlineStr">
        <is>
          <t>Facultatif</t>
        </is>
      </c>
      <c r="O860" s="1330" t="inlineStr">
        <is>
          <t>Optional</t>
        </is>
      </c>
      <c r="P860" s="1334" t="inlineStr">
        <is>
          <t>NA</t>
        </is>
      </c>
      <c r="Q860" s="1334" t="inlineStr">
        <is>
          <t>NA</t>
        </is>
      </c>
      <c r="R860" s="1352" t="inlineStr">
        <is>
          <t>NA</t>
        </is>
      </c>
      <c r="S860" s="1333" t="inlineStr">
        <is>
          <t>NA</t>
        </is>
      </c>
      <c r="T860" s="1337" t="inlineStr">
        <is>
          <t>ALPHA</t>
        </is>
      </c>
      <c r="U860" s="1337" t="inlineStr">
        <is>
          <t>NA</t>
        </is>
      </c>
      <c r="V860" s="1338" t="inlineStr">
        <is>
          <t>NA</t>
        </is>
      </c>
      <c r="W860" s="1337" t="n">
        <v>40</v>
      </c>
      <c r="X860" s="1337" t="inlineStr">
        <is>
          <t>NA</t>
        </is>
      </c>
      <c r="Y860" s="1339" t="n">
        <v>45</v>
      </c>
      <c r="Z860" s="1334" t="inlineStr">
        <is>
          <t>NA</t>
        </is>
      </c>
      <c r="AA860" s="1334" t="inlineStr">
        <is>
          <t>NA</t>
        </is>
      </c>
      <c r="AB860" s="1331" t="inlineStr">
        <is>
          <t>BASE LGD</t>
        </is>
      </c>
      <c r="AC860" s="1334" t="inlineStr">
        <is>
          <t>ND</t>
        </is>
      </c>
      <c r="AD860" s="1334" t="inlineStr">
        <is>
          <t>N</t>
        </is>
      </c>
      <c r="AE860" s="1334" t="inlineStr">
        <is>
          <t>EQU*, ISS*, TRE*, VAR*, INT, SIG*</t>
        </is>
      </c>
      <c r="AF860" s="1334" t="inlineStr">
        <is>
          <t>NA</t>
        </is>
      </c>
      <c r="AG860" s="1340" t="inlineStr">
        <is>
          <t>NA</t>
        </is>
      </c>
      <c r="AI860" s="1342" t="n"/>
      <c r="AJ860" s="1343" t="n"/>
      <c r="AK860" s="1344" t="n"/>
      <c r="AL860" s="1345" t="n"/>
      <c r="AM860" s="1321" t="n"/>
      <c r="AN860" s="1343" t="n"/>
      <c r="AO860" s="1344" t="n"/>
      <c r="AP860" s="1319" t="n"/>
      <c r="AQ860" s="1321" t="n"/>
      <c r="AR860" s="1343" t="n"/>
      <c r="AS860" s="1320" t="n"/>
      <c r="AT860" s="1324" t="n"/>
      <c r="AU860" s="1321" t="n"/>
      <c r="AV860" s="1343" t="n"/>
      <c r="AW860" s="1320" t="n"/>
      <c r="AX860" s="1324" t="n"/>
      <c r="AY860" s="1321" t="n"/>
      <c r="AZ860" s="1349" t="n"/>
      <c r="BA860" s="1344" t="n"/>
      <c r="BB860" s="1324" t="n"/>
      <c r="BC860" s="1321" t="n"/>
      <c r="BD860" s="1350" t="n"/>
      <c r="BE860" s="1344" t="n"/>
      <c r="BF860" s="1324" t="n"/>
      <c r="BH8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60">
        <f>_xlfn.LET(r,ROW(),oc,INDEX($A:$A,r),cv,TRIM(INDEX($Y:$Y,r)&amp;""),IF(oc&lt;&gt;"P1","",IF(cv="45","V45 - novo, nao alimentado pelo spool atual","V44 - alimentado pelo spool atual")))</f>
        <v/>
      </c>
    </row>
    <row r="861" ht="54" customFormat="1" customHeight="1" s="1351">
      <c r="A861" s="1328" t="inlineStr">
        <is>
          <t>P1</t>
        </is>
      </c>
      <c r="B861" s="1290" t="n">
        <v>626</v>
      </c>
      <c r="C861" s="1329" t="inlineStr">
        <is>
          <t>03 - Caractéristiques Générales</t>
        </is>
      </c>
      <c r="D861" s="1330" t="inlineStr">
        <is>
          <t>03 - General characteristics</t>
        </is>
      </c>
      <c r="E861" s="1331" t="inlineStr">
        <is>
          <t>P1 607</t>
        </is>
      </c>
      <c r="F861" s="1332" t="inlineStr">
        <is>
          <t>Indicateur de multi financement par plusieurs entités</t>
        </is>
      </c>
      <c r="G861" s="1333" t="inlineStr">
        <is>
          <t>Indicator of multi-funding by multiple entities</t>
        </is>
      </c>
      <c r="H861" s="1493">
        <f>"RPAD( "&amp;SUBSTITUTE(SUBSTITUTE(E861," ","_"),".","_")&amp;","&amp;W861&amp;",' '); -- "&amp;E861</f>
        <v/>
      </c>
      <c r="I861" s="1332" t="inlineStr">
        <is>
          <t>Indicateur de multi financement par plusieurs entités du Groupe</t>
        </is>
      </c>
      <c r="J861" s="1333" t="inlineStr">
        <is>
          <t>Indicator of multi-funding by multiple entities</t>
        </is>
      </c>
      <c r="K861" s="1334" t="inlineStr">
        <is>
          <t>ND</t>
        </is>
      </c>
      <c r="L861" s="1330" t="inlineStr">
        <is>
          <t>ND</t>
        </is>
      </c>
      <c r="M861" s="1426" t="inlineStr">
        <is>
          <t>TBD</t>
        </is>
      </c>
      <c r="N861" s="1331" t="inlineStr">
        <is>
          <t>Facultatif</t>
        </is>
      </c>
      <c r="O861" s="1330" t="inlineStr">
        <is>
          <t>Optional</t>
        </is>
      </c>
      <c r="P861" s="1334" t="inlineStr">
        <is>
          <t>LC.0579</t>
        </is>
      </c>
      <c r="Q861" s="1334" t="inlineStr">
        <is>
          <t>RB KVIDMUFI</t>
        </is>
      </c>
      <c r="R861" s="1352" t="inlineStr">
        <is>
          <t>NA</t>
        </is>
      </c>
      <c r="S861" s="1333" t="inlineStr">
        <is>
          <t>NA</t>
        </is>
      </c>
      <c r="T861" s="1337" t="inlineStr">
        <is>
          <t>ALPHA</t>
        </is>
      </c>
      <c r="U861" s="1337" t="inlineStr">
        <is>
          <t>NA</t>
        </is>
      </c>
      <c r="V861" s="1338" t="inlineStr">
        <is>
          <t>NA</t>
        </is>
      </c>
      <c r="W861" s="1337" t="n">
        <v>1</v>
      </c>
      <c r="X861" s="1337" t="inlineStr">
        <is>
          <t>NA</t>
        </is>
      </c>
      <c r="Y861" s="1339" t="n">
        <v>45</v>
      </c>
      <c r="Z861" s="1334" t="inlineStr">
        <is>
          <t>NA</t>
        </is>
      </c>
      <c r="AA861" s="1334" t="inlineStr">
        <is>
          <t>NA</t>
        </is>
      </c>
      <c r="AB861" s="1331" t="inlineStr">
        <is>
          <t>BASE LGD</t>
        </is>
      </c>
      <c r="AC861" s="1334" t="inlineStr">
        <is>
          <t>ND</t>
        </is>
      </c>
      <c r="AD861" s="1334" t="inlineStr">
        <is>
          <t>N</t>
        </is>
      </c>
      <c r="AE861" s="1334" t="inlineStr">
        <is>
          <t>EQU*, ISS*, TRE*, VAR*, INT, SIG*</t>
        </is>
      </c>
      <c r="AF861" s="1334" t="inlineStr">
        <is>
          <t>NA</t>
        </is>
      </c>
      <c r="AG861" s="1340" t="inlineStr">
        <is>
          <t>NA</t>
        </is>
      </c>
      <c r="AI861" s="1342" t="n"/>
      <c r="AJ861" s="1343" t="n"/>
      <c r="AK861" s="1344" t="n"/>
      <c r="AL861" s="1345" t="n"/>
      <c r="AM861" s="1346" t="inlineStr">
        <is>
          <t>Si elle est renseignée, la valeur doit être connue du Langage Commun associé</t>
        </is>
      </c>
      <c r="AN861" s="1347" t="inlineStr">
        <is>
          <t>If specified, the value must be known to the associated Common Language</t>
        </is>
      </c>
      <c r="AO861" s="1348" t="n">
        <v>7</v>
      </c>
      <c r="AP861" s="1324" t="inlineStr">
        <is>
          <t>TIG0001</t>
        </is>
      </c>
      <c r="AQ861" s="1321" t="n"/>
      <c r="AR861" s="1343" t="n"/>
      <c r="AS861" s="1320" t="n"/>
      <c r="AT861" s="1324" t="n"/>
      <c r="AU861" s="1321" t="n"/>
      <c r="AV861" s="1343" t="n"/>
      <c r="AW861" s="1320" t="n"/>
      <c r="AX861" s="1324" t="n"/>
      <c r="AY861" s="1321" t="n"/>
      <c r="AZ861" s="1349" t="n"/>
      <c r="BA861" s="1344" t="n"/>
      <c r="BB861" s="1324" t="n"/>
      <c r="BC861" s="1321" t="n"/>
      <c r="BD861" s="1350" t="n"/>
      <c r="BE861" s="1344" t="n"/>
      <c r="BF861" s="1324" t="n"/>
      <c r="BH8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61">
        <f>_xlfn.LET(r,ROW(),oc,INDEX($A:$A,r),cv,TRIM(INDEX($Y:$Y,r)&amp;""),IF(oc&lt;&gt;"P1","",IF(cv="45","V45 - novo, nao alimentado pelo spool atual","V44 - alimentado pelo spool atual")))</f>
        <v/>
      </c>
    </row>
    <row r="862" ht="54" customFormat="1" customHeight="1" s="1351">
      <c r="A862" s="1328" t="inlineStr">
        <is>
          <t>P1</t>
        </is>
      </c>
      <c r="B862" s="1290" t="n">
        <v>627</v>
      </c>
      <c r="C862" s="1329" t="inlineStr">
        <is>
          <t xml:space="preserve">08 - Caractéristiques d'arriérés et de restructuration </t>
        </is>
      </c>
      <c r="D862" s="1330" t="inlineStr">
        <is>
          <t>08 - Characteristics of overdues and restructuring</t>
        </is>
      </c>
      <c r="E862" s="1331" t="inlineStr">
        <is>
          <t>P1 608</t>
        </is>
      </c>
      <c r="F862" s="1332" t="inlineStr">
        <is>
          <t>Montant des prélèvements supplémentaires après le défaut</t>
        </is>
      </c>
      <c r="G862" s="1333" t="inlineStr">
        <is>
          <t>Amount of additional deductions after default</t>
        </is>
      </c>
      <c r="H862" s="1493">
        <f>"RPAD( "&amp;SUBSTITUTE(SUBSTITUTE(E862," ","_"),".","_")&amp;","&amp;W862&amp;",' '); -- "&amp;E862</f>
        <v/>
      </c>
      <c r="I862" s="1332" t="inlineStr">
        <is>
          <t>Tout octroi d’un nouveau montant de financement sur la ligne venant augmenter l’exposition inscrite au bilan (hors capitalisation des intérêts échus et non échus post entrée en défaut). Correspond une augmentation du principal. Peut le cas échéant correspondre à l’utilisation d’une ligne hors-bilan.</t>
        </is>
      </c>
      <c r="J862" s="1333" t="inlineStr">
        <is>
          <t>Amount of additional deductions after default</t>
        </is>
      </c>
      <c r="K862" s="1334" t="inlineStr">
        <is>
          <t>ND</t>
        </is>
      </c>
      <c r="L862" s="1330" t="inlineStr">
        <is>
          <t>ND</t>
        </is>
      </c>
      <c r="M862" s="1426" t="inlineStr">
        <is>
          <t>TBD</t>
        </is>
      </c>
      <c r="N862" s="1291" t="inlineStr">
        <is>
          <t>Obligatoire sous conditions</t>
        </is>
      </c>
      <c r="O862" s="1292" t="inlineStr">
        <is>
          <t>Mandatory under conditions</t>
        </is>
      </c>
      <c r="P862" s="1334" t="inlineStr">
        <is>
          <t>NA</t>
        </is>
      </c>
      <c r="Q862" s="1334" t="inlineStr">
        <is>
          <t>NA</t>
        </is>
      </c>
      <c r="R862" s="1352" t="inlineStr">
        <is>
          <t>NA</t>
        </is>
      </c>
      <c r="S862" s="1333" t="inlineStr">
        <is>
          <t>NA</t>
        </is>
      </c>
      <c r="T862" s="1337" t="inlineStr">
        <is>
          <t>NUM</t>
        </is>
      </c>
      <c r="U862" s="1331" t="inlineStr">
        <is>
          <t>19 dont signe et 2 décimales</t>
        </is>
      </c>
      <c r="V862" s="1353" t="inlineStr">
        <is>
          <t>19 including sign and 2 decimals</t>
        </is>
      </c>
      <c r="W862" s="1337" t="n">
        <v>19</v>
      </c>
      <c r="X862" s="1337" t="inlineStr">
        <is>
          <t>NA</t>
        </is>
      </c>
      <c r="Y862" s="1339" t="n">
        <v>45</v>
      </c>
      <c r="Z862" s="1334" t="inlineStr">
        <is>
          <t>NA</t>
        </is>
      </c>
      <c r="AA862" s="1334" t="inlineStr">
        <is>
          <t>NA</t>
        </is>
      </c>
      <c r="AB862" s="1331" t="inlineStr">
        <is>
          <t>BASE LGD</t>
        </is>
      </c>
      <c r="AC862" s="1334" t="inlineStr">
        <is>
          <t>ND</t>
        </is>
      </c>
      <c r="AD862" s="1334" t="inlineStr">
        <is>
          <t>N</t>
        </is>
      </c>
      <c r="AE862" s="1334" t="inlineStr">
        <is>
          <t>EQU*, ISS*, TRE*, VAR*, INT, SIG*</t>
        </is>
      </c>
      <c r="AF862" s="1334" t="inlineStr">
        <is>
          <t>NA</t>
        </is>
      </c>
      <c r="AG862" s="1340" t="inlineStr">
        <is>
          <t>NA</t>
        </is>
      </c>
      <c r="AI862" s="1342" t="inlineStr">
        <is>
          <t>La donnée est obligatoire, si Indicateur Engagement en défaut [P1 5.2] = 'Y'</t>
        </is>
      </c>
      <c r="AJ862" s="1343" t="inlineStr">
        <is>
          <t>The data is mandatory, if Defaulted commitments indicator [P1 5.2] = 'Y'</t>
        </is>
      </c>
      <c r="AK862" s="1344" t="n">
        <v>6</v>
      </c>
      <c r="AL862" s="1345" t="inlineStr">
        <is>
          <t>TPSxxx</t>
        </is>
      </c>
      <c r="AM862" s="1321" t="n"/>
      <c r="AN862" s="1343" t="n"/>
      <c r="AO862" s="1344" t="n"/>
      <c r="AP862" s="1319" t="n"/>
      <c r="AQ862" s="1321" t="n"/>
      <c r="AR862" s="1343" t="n"/>
      <c r="AS862" s="1320" t="n"/>
      <c r="AT862" s="1324" t="n"/>
      <c r="AU862" s="1321" t="n"/>
      <c r="AV862" s="1343" t="n"/>
      <c r="AW862" s="1320" t="n"/>
      <c r="AX862" s="1324" t="n"/>
      <c r="AY862" s="1321" t="n"/>
      <c r="AZ862" s="1349" t="n"/>
      <c r="BA862" s="1344" t="n"/>
      <c r="BB862" s="1324" t="n"/>
      <c r="BC862" s="1321" t="n"/>
      <c r="BD862" s="1350" t="n"/>
      <c r="BE862" s="1344" t="n"/>
      <c r="BF862" s="1324" t="n"/>
      <c r="BH8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62">
        <f>_xlfn.LET(r,ROW(),oc,INDEX($A:$A,r),cv,TRIM(INDEX($Y:$Y,r)&amp;""),IF(oc&lt;&gt;"P1","",IF(cv="45","V45 - novo, nao alimentado pelo spool atual","V44 - alimentado pelo spool atual")))</f>
        <v/>
      </c>
    </row>
    <row r="863" ht="54" customFormat="1" customHeight="1" s="1351">
      <c r="A863" s="1328" t="inlineStr">
        <is>
          <t>P1</t>
        </is>
      </c>
      <c r="B863" s="1290" t="n">
        <v>628</v>
      </c>
      <c r="C863" s="1329" t="inlineStr">
        <is>
          <t xml:space="preserve">08 - Caractéristiques d'arriérés et de restructuration </t>
        </is>
      </c>
      <c r="D863" s="1330" t="inlineStr">
        <is>
          <t>08 - Characteristics of overdues and restructuring</t>
        </is>
      </c>
      <c r="E863" s="1331" t="inlineStr">
        <is>
          <t>P1 608.1</t>
        </is>
      </c>
      <c r="F863" s="1332" t="inlineStr">
        <is>
          <t>Devise du montant des prélèvements supplémentaires après le défaut</t>
        </is>
      </c>
      <c r="G863" s="1333" t="inlineStr">
        <is>
          <t>Currency of the amount of additional deductions after default</t>
        </is>
      </c>
      <c r="H863" s="1493">
        <f>"RPAD( "&amp;SUBSTITUTE(SUBSTITUTE(E863," ","_"),".","_")&amp;","&amp;W863&amp;",' '); -- "&amp;E863</f>
        <v/>
      </c>
      <c r="I863" s="1332" t="inlineStr">
        <is>
          <t>Devise du montant des prélèvements supplémentaires après le défaut</t>
        </is>
      </c>
      <c r="J863" s="1333" t="inlineStr">
        <is>
          <t>Currency of the amount of additional deductions after default</t>
        </is>
      </c>
      <c r="K863" s="1334" t="inlineStr">
        <is>
          <t>ND</t>
        </is>
      </c>
      <c r="L863" s="1330" t="inlineStr">
        <is>
          <t>ND</t>
        </is>
      </c>
      <c r="M863" s="1426" t="inlineStr">
        <is>
          <t>TBD</t>
        </is>
      </c>
      <c r="N863" s="1291" t="inlineStr">
        <is>
          <t>Obligatoire sous conditions</t>
        </is>
      </c>
      <c r="O863" s="1292" t="inlineStr">
        <is>
          <t>Mandatory under conditions</t>
        </is>
      </c>
      <c r="P863" s="1334" t="inlineStr">
        <is>
          <t>LC.0005</t>
        </is>
      </c>
      <c r="Q863" s="1354" t="inlineStr">
        <is>
          <t>TA NM253</t>
        </is>
      </c>
      <c r="R863" s="1352" t="inlineStr">
        <is>
          <t>NA</t>
        </is>
      </c>
      <c r="S863" s="1333" t="inlineStr">
        <is>
          <t>NA</t>
        </is>
      </c>
      <c r="T863" s="1337" t="inlineStr">
        <is>
          <t>ALPHA</t>
        </is>
      </c>
      <c r="U863" s="1337" t="inlineStr">
        <is>
          <t>NA</t>
        </is>
      </c>
      <c r="V863" s="1338" t="inlineStr">
        <is>
          <t>NA</t>
        </is>
      </c>
      <c r="W863" s="1337" t="n">
        <v>3</v>
      </c>
      <c r="X863" s="1337" t="inlineStr">
        <is>
          <t>NA</t>
        </is>
      </c>
      <c r="Y863" s="1339" t="n">
        <v>45</v>
      </c>
      <c r="Z863" s="1334" t="inlineStr">
        <is>
          <t>NA</t>
        </is>
      </c>
      <c r="AA863" s="1334" t="inlineStr">
        <is>
          <t>NA</t>
        </is>
      </c>
      <c r="AB863" s="1331" t="inlineStr">
        <is>
          <t>BASE LGD</t>
        </is>
      </c>
      <c r="AC863" s="1334" t="inlineStr">
        <is>
          <t>ND</t>
        </is>
      </c>
      <c r="AD863" s="1334" t="inlineStr">
        <is>
          <t>N</t>
        </is>
      </c>
      <c r="AE863" s="1334" t="inlineStr">
        <is>
          <t>EQU*, ISS*, TRE*, VAR*, INT, SIG*</t>
        </is>
      </c>
      <c r="AF863" s="1334" t="inlineStr">
        <is>
          <t>NA</t>
        </is>
      </c>
      <c r="AG863" s="1340" t="inlineStr">
        <is>
          <t>NA</t>
        </is>
      </c>
      <c r="AI863" s="1342" t="inlineStr">
        <is>
          <t>La donnée est obligatoire si Montant des prélèvements supplémentaires après le défaut [P1 608] est renseignée</t>
        </is>
      </c>
      <c r="AJ863" s="1343" t="inlineStr">
        <is>
          <t>The data is mandatory if Amount of additional deductions after default [P1 608] data is filled</t>
        </is>
      </c>
      <c r="AK863" s="1344" t="n">
        <v>7</v>
      </c>
      <c r="AL863" s="1345" t="inlineStr">
        <is>
          <t>TPG0002</t>
        </is>
      </c>
      <c r="AM863" s="1346" t="inlineStr">
        <is>
          <t>Si elle est renseignée, la valeur doit être connue du Langage Commun associé</t>
        </is>
      </c>
      <c r="AN863" s="1347" t="inlineStr">
        <is>
          <t>If specified, the value must be known to the associated Common Language</t>
        </is>
      </c>
      <c r="AO863" s="1348" t="n">
        <v>7</v>
      </c>
      <c r="AP863" s="1324" t="inlineStr">
        <is>
          <t>TIG0001</t>
        </is>
      </c>
      <c r="AQ863" s="1321" t="n"/>
      <c r="AR863" s="1343" t="n"/>
      <c r="AS863" s="1320" t="n"/>
      <c r="AT863" s="1324" t="n"/>
      <c r="AU863" s="1321" t="n"/>
      <c r="AV863" s="1343" t="n"/>
      <c r="AW863" s="1320" t="n"/>
      <c r="AX863" s="1324" t="n"/>
      <c r="AY863" s="1321" t="n"/>
      <c r="AZ863" s="1349" t="n"/>
      <c r="BA863" s="1344" t="n"/>
      <c r="BB863" s="1324" t="n"/>
      <c r="BC863" s="1321" t="n"/>
      <c r="BD863" s="1350" t="n"/>
      <c r="BE863" s="1344" t="n"/>
      <c r="BF863" s="1324" t="n"/>
      <c r="BH8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63">
        <f>_xlfn.LET(r,ROW(),oc,INDEX($A:$A,r),cv,TRIM(INDEX($Y:$Y,r)&amp;""),IF(oc&lt;&gt;"P1","",IF(cv="45","V45 - novo, nao alimentado pelo spool atual","V44 - alimentado pelo spool atual")))</f>
        <v/>
      </c>
    </row>
    <row r="864" ht="54" customFormat="1" customHeight="1" s="1351">
      <c r="A864" s="1328" t="inlineStr">
        <is>
          <t>P1</t>
        </is>
      </c>
      <c r="B864" s="1290" t="n">
        <v>629</v>
      </c>
      <c r="C864" s="1329" t="inlineStr">
        <is>
          <t xml:space="preserve">08 - Caractéristiques d'arriérés et de restructuration </t>
        </is>
      </c>
      <c r="D864" s="1330" t="inlineStr">
        <is>
          <t>08 - Characteristics of overdues and restructuring</t>
        </is>
      </c>
      <c r="E864" s="1331" t="inlineStr">
        <is>
          <t>P1 609</t>
        </is>
      </c>
      <c r="F864" s="1332" t="inlineStr">
        <is>
          <t>Date des prélèvements supplémentaires après le défaut</t>
        </is>
      </c>
      <c r="G864" s="1333" t="inlineStr">
        <is>
          <t>Date of additional deductions after default</t>
        </is>
      </c>
      <c r="H864" s="1493">
        <f>"RPAD( "&amp;SUBSTITUTE(SUBSTITUTE(E864," ","_"),".","_")&amp;","&amp;W864&amp;",' '); -- "&amp;E864</f>
        <v/>
      </c>
      <c r="I864" s="1332" t="inlineStr">
        <is>
          <t>Date des prélèvements supplémentaires après le défaut</t>
        </is>
      </c>
      <c r="J864" s="1333" t="inlineStr">
        <is>
          <t>Date of additional deductions after default</t>
        </is>
      </c>
      <c r="K864" s="1334" t="inlineStr">
        <is>
          <t>ND</t>
        </is>
      </c>
      <c r="L864" s="1330" t="inlineStr">
        <is>
          <t>ND</t>
        </is>
      </c>
      <c r="M864" s="1426" t="inlineStr">
        <is>
          <t>TBD</t>
        </is>
      </c>
      <c r="N864" s="1291" t="inlineStr">
        <is>
          <t>Obligatoire sous conditions</t>
        </is>
      </c>
      <c r="O864" s="1292" t="inlineStr">
        <is>
          <t>Mandatory under conditions</t>
        </is>
      </c>
      <c r="P864" s="1334" t="inlineStr">
        <is>
          <t>NA</t>
        </is>
      </c>
      <c r="Q864" s="1334" t="inlineStr">
        <is>
          <t>NA</t>
        </is>
      </c>
      <c r="R864" s="1352" t="inlineStr">
        <is>
          <t>NA</t>
        </is>
      </c>
      <c r="S864" s="1333" t="inlineStr">
        <is>
          <t>NA</t>
        </is>
      </c>
      <c r="T864" s="1337" t="inlineStr">
        <is>
          <t>DATE</t>
        </is>
      </c>
      <c r="U864" s="1337" t="inlineStr">
        <is>
          <t>AAAAMMJJ</t>
        </is>
      </c>
      <c r="V864" s="1313" t="inlineStr">
        <is>
          <t>YYYYMMDD</t>
        </is>
      </c>
      <c r="W864" s="1337" t="n">
        <v>8</v>
      </c>
      <c r="X864" s="1337" t="inlineStr">
        <is>
          <t>NA</t>
        </is>
      </c>
      <c r="Y864" s="1339" t="n">
        <v>45</v>
      </c>
      <c r="Z864" s="1334" t="inlineStr">
        <is>
          <t>NA</t>
        </is>
      </c>
      <c r="AA864" s="1334" t="inlineStr">
        <is>
          <t>NA</t>
        </is>
      </c>
      <c r="AB864" s="1331" t="inlineStr">
        <is>
          <t>BASE LGD</t>
        </is>
      </c>
      <c r="AC864" s="1334" t="inlineStr">
        <is>
          <t>ND</t>
        </is>
      </c>
      <c r="AD864" s="1334" t="inlineStr">
        <is>
          <t>N</t>
        </is>
      </c>
      <c r="AE864" s="1334" t="inlineStr">
        <is>
          <t>EQU*, ISS*, TRE*, VAR*, INT, SIG*</t>
        </is>
      </c>
      <c r="AF864" s="1334" t="inlineStr">
        <is>
          <t>NA</t>
        </is>
      </c>
      <c r="AG864" s="1340" t="inlineStr">
        <is>
          <t>NA</t>
        </is>
      </c>
      <c r="AI864" s="1342" t="inlineStr">
        <is>
          <t>La donnée est obligatoire, si Indicateur Engagement en défaut [P1 5.2] = 'Y'</t>
        </is>
      </c>
      <c r="AJ864" s="1343" t="inlineStr">
        <is>
          <t>The data is mandatory, if Defaulted commitments indicator [P1 5.2] = 'Y'</t>
        </is>
      </c>
      <c r="AK864" s="1344" t="n">
        <v>6</v>
      </c>
      <c r="AL864" s="1345" t="inlineStr">
        <is>
          <t>TPSxxx</t>
        </is>
      </c>
      <c r="AM864" s="1321" t="n"/>
      <c r="AN864" s="1343" t="n"/>
      <c r="AO864" s="1344" t="n"/>
      <c r="AP864" s="1319" t="n"/>
      <c r="AQ864" s="1301" t="inlineStr">
        <is>
          <t>Si renseignée, la donnée doit être supérieure ou égale à '19000101'</t>
        </is>
      </c>
      <c r="AR864" s="1302" t="inlineStr">
        <is>
          <t>If filled, data must be greater or equal to '19000101'</t>
        </is>
      </c>
      <c r="AS864" s="1303" t="n">
        <v>7</v>
      </c>
      <c r="AT864" s="1304" t="inlineStr">
        <is>
          <t>TVG0005</t>
        </is>
      </c>
      <c r="AU864" s="1301" t="n"/>
      <c r="AV864" s="1302" t="n"/>
      <c r="AW864" s="1303" t="n"/>
      <c r="AX864" s="1304" t="n"/>
      <c r="AY864" s="1321" t="n"/>
      <c r="AZ864" s="1349" t="n"/>
      <c r="BA864" s="1344" t="n"/>
      <c r="BB864" s="1324" t="n"/>
      <c r="BC864" s="1321" t="n"/>
      <c r="BD864" s="1350" t="n"/>
      <c r="BE864" s="1344" t="n"/>
      <c r="BF864" s="1324" t="n"/>
      <c r="BH8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64">
        <f>_xlfn.LET(r,ROW(),oc,INDEX($A:$A,r),cv,TRIM(INDEX($Y:$Y,r)&amp;""),IF(oc&lt;&gt;"P1","",IF(cv="45","V45 - novo, nao alimentado pelo spool atual","V44 - alimentado pelo spool atual")))</f>
        <v/>
      </c>
    </row>
    <row r="865" ht="54" customFormat="1" customHeight="1" s="1351">
      <c r="A865" s="1328" t="inlineStr">
        <is>
          <t>P1</t>
        </is>
      </c>
      <c r="B865" s="1290" t="n">
        <v>630</v>
      </c>
      <c r="C865" s="1329" t="inlineStr">
        <is>
          <t xml:space="preserve">08 - Caractéristiques d'arriérés et de restructuration </t>
        </is>
      </c>
      <c r="D865" s="1330" t="inlineStr">
        <is>
          <t>08 - Characteristics of overdues and restructuring</t>
        </is>
      </c>
      <c r="E865" s="1331" t="inlineStr">
        <is>
          <t>P1 610</t>
        </is>
      </c>
      <c r="F865" s="1332" t="inlineStr">
        <is>
          <t>Montant des coûts directs associés à la procédure de recouvrement</t>
        </is>
      </c>
      <c r="G865" s="1333" t="inlineStr">
        <is>
          <t>Amount of direct costs associated with the recovery process</t>
        </is>
      </c>
      <c r="H865" s="1493">
        <f>"RPAD( "&amp;SUBSTITUTE(SUBSTITUTE(E865," ","_"),".","_")&amp;","&amp;W865&amp;",' '); -- "&amp;E865</f>
        <v/>
      </c>
      <c r="I865" s="1332" t="inlineStr">
        <is>
          <t>Montant des coûts directs associés à la procédure de recouvrement (spécifique à la créance, frais d'huissiers, avocats, lettres de relance …). De façon générale, tout frais de recouvrement spécifique à la créance (tout ce qui ne relève pas des coûts de fonctionnement ou de structure type loyer, salaire/ETP, recours à un prestataire).</t>
        </is>
      </c>
      <c r="J865" s="1333" t="inlineStr">
        <is>
          <t>Amount of direct costs associated with the recovery process</t>
        </is>
      </c>
      <c r="K865" s="1334" t="inlineStr">
        <is>
          <t>ND</t>
        </is>
      </c>
      <c r="L865" s="1330" t="inlineStr">
        <is>
          <t>ND</t>
        </is>
      </c>
      <c r="M865" s="1426" t="inlineStr">
        <is>
          <t>TBD</t>
        </is>
      </c>
      <c r="N865" s="1291" t="inlineStr">
        <is>
          <t>Obligatoire sous conditions</t>
        </is>
      </c>
      <c r="O865" s="1292" t="inlineStr">
        <is>
          <t>Mandatory under conditions</t>
        </is>
      </c>
      <c r="P865" s="1334" t="inlineStr">
        <is>
          <t>NA</t>
        </is>
      </c>
      <c r="Q865" s="1334" t="inlineStr">
        <is>
          <t>NA</t>
        </is>
      </c>
      <c r="R865" s="1352" t="inlineStr">
        <is>
          <t>NA</t>
        </is>
      </c>
      <c r="S865" s="1333" t="inlineStr">
        <is>
          <t>NA</t>
        </is>
      </c>
      <c r="T865" s="1337" t="inlineStr">
        <is>
          <t>NUM</t>
        </is>
      </c>
      <c r="U865" s="1331" t="inlineStr">
        <is>
          <t>19 dont signe et 2 décimales</t>
        </is>
      </c>
      <c r="V865" s="1353" t="inlineStr">
        <is>
          <t>19 including sign and 2 decimals</t>
        </is>
      </c>
      <c r="W865" s="1337" t="n">
        <v>19</v>
      </c>
      <c r="X865" s="1337" t="inlineStr">
        <is>
          <t>NA</t>
        </is>
      </c>
      <c r="Y865" s="1339" t="n">
        <v>45</v>
      </c>
      <c r="Z865" s="1334" t="inlineStr">
        <is>
          <t>NA</t>
        </is>
      </c>
      <c r="AA865" s="1334" t="inlineStr">
        <is>
          <t>NA</t>
        </is>
      </c>
      <c r="AB865" s="1331" t="inlineStr">
        <is>
          <t>BASE LGD</t>
        </is>
      </c>
      <c r="AC865" s="1334" t="inlineStr">
        <is>
          <t>ND</t>
        </is>
      </c>
      <c r="AD865" s="1334" t="inlineStr">
        <is>
          <t>N</t>
        </is>
      </c>
      <c r="AE865" s="1334" t="inlineStr">
        <is>
          <t>EQU*, ISS*, TRE*, VAR*, INT, SIG*</t>
        </is>
      </c>
      <c r="AF865" s="1334" t="inlineStr">
        <is>
          <t>NA</t>
        </is>
      </c>
      <c r="AG865" s="1340" t="inlineStr">
        <is>
          <t>NA</t>
        </is>
      </c>
      <c r="AI865" s="1342" t="inlineStr">
        <is>
          <t>La donnée est obligatoire, si Indicateur Présence de recouvrement [P1 600] = 'Y'</t>
        </is>
      </c>
      <c r="AJ865" s="1343" t="inlineStr">
        <is>
          <t>The data is mandatory, if Recovery Presence Indicator [P1 600] = 'Y'</t>
        </is>
      </c>
      <c r="AK865" s="1344" t="n">
        <v>6</v>
      </c>
      <c r="AL865" s="1345" t="inlineStr">
        <is>
          <t>TPSxxx</t>
        </is>
      </c>
      <c r="AM865" s="1321" t="n"/>
      <c r="AN865" s="1343" t="n"/>
      <c r="AO865" s="1344" t="n"/>
      <c r="AP865" s="1319" t="n"/>
      <c r="AQ865" s="1321" t="n"/>
      <c r="AR865" s="1343" t="n"/>
      <c r="AS865" s="1320" t="n"/>
      <c r="AT865" s="1324" t="n"/>
      <c r="AU865" s="1321" t="n"/>
      <c r="AV865" s="1343" t="n"/>
      <c r="AW865" s="1320" t="n"/>
      <c r="AX865" s="1324" t="n"/>
      <c r="AY865" s="1321" t="n"/>
      <c r="AZ865" s="1349" t="n"/>
      <c r="BA865" s="1344" t="n"/>
      <c r="BB865" s="1324" t="n"/>
      <c r="BC865" s="1321" t="n"/>
      <c r="BD865" s="1350" t="n"/>
      <c r="BE865" s="1344" t="n"/>
      <c r="BF865" s="1324" t="n"/>
      <c r="BH8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65">
        <f>_xlfn.LET(r,ROW(),oc,INDEX($A:$A,r),cv,TRIM(INDEX($Y:$Y,r)&amp;""),IF(oc&lt;&gt;"P1","",IF(cv="45","V45 - novo, nao alimentado pelo spool atual","V44 - alimentado pelo spool atual")))</f>
        <v/>
      </c>
    </row>
    <row r="866" ht="54" customFormat="1" customHeight="1" s="1351">
      <c r="A866" s="1328" t="inlineStr">
        <is>
          <t>P1</t>
        </is>
      </c>
      <c r="B866" s="1290" t="n">
        <v>631</v>
      </c>
      <c r="C866" s="1329" t="inlineStr">
        <is>
          <t xml:space="preserve">08 - Caractéristiques d'arriérés et de restructuration </t>
        </is>
      </c>
      <c r="D866" s="1330" t="inlineStr">
        <is>
          <t>08 - Characteristics of overdues and restructuring</t>
        </is>
      </c>
      <c r="E866" s="1331" t="inlineStr">
        <is>
          <t>P1 610.1</t>
        </is>
      </c>
      <c r="F866" s="1332" t="inlineStr">
        <is>
          <t>Devise du montant des coûts directs associés à la procédure de recouvrement</t>
        </is>
      </c>
      <c r="G866" s="1333" t="inlineStr">
        <is>
          <t>Currency of the amount of direct costs associated with the recovery process</t>
        </is>
      </c>
      <c r="H866" s="1493">
        <f>"RPAD( "&amp;SUBSTITUTE(SUBSTITUTE(E866," ","_"),".","_")&amp;","&amp;W866&amp;",' '); -- "&amp;E866</f>
        <v/>
      </c>
      <c r="I866" s="1332" t="inlineStr">
        <is>
          <t>Devise du montant des coûts directs associés à la procédure de recouvrement</t>
        </is>
      </c>
      <c r="J866" s="1333" t="inlineStr">
        <is>
          <t>Currency of the amount of direct costs associated with the recovery process</t>
        </is>
      </c>
      <c r="K866" s="1334" t="inlineStr">
        <is>
          <t>ND</t>
        </is>
      </c>
      <c r="L866" s="1330" t="inlineStr">
        <is>
          <t>ND</t>
        </is>
      </c>
      <c r="M866" s="1426" t="inlineStr">
        <is>
          <t>TBD</t>
        </is>
      </c>
      <c r="N866" s="1291" t="inlineStr">
        <is>
          <t>Obligatoire sous conditions</t>
        </is>
      </c>
      <c r="O866" s="1292" t="inlineStr">
        <is>
          <t>Mandatory under conditions</t>
        </is>
      </c>
      <c r="P866" s="1334" t="inlineStr">
        <is>
          <t>LC.0005</t>
        </is>
      </c>
      <c r="Q866" s="1354" t="inlineStr">
        <is>
          <t>TA NM253</t>
        </is>
      </c>
      <c r="R866" s="1352" t="inlineStr">
        <is>
          <t>NA</t>
        </is>
      </c>
      <c r="S866" s="1333" t="inlineStr">
        <is>
          <t>NA</t>
        </is>
      </c>
      <c r="T866" s="1337" t="inlineStr">
        <is>
          <t>ALPHA</t>
        </is>
      </c>
      <c r="U866" s="1337" t="inlineStr">
        <is>
          <t>NA</t>
        </is>
      </c>
      <c r="V866" s="1338" t="inlineStr">
        <is>
          <t>NA</t>
        </is>
      </c>
      <c r="W866" s="1337" t="n">
        <v>3</v>
      </c>
      <c r="X866" s="1337" t="inlineStr">
        <is>
          <t>NA</t>
        </is>
      </c>
      <c r="Y866" s="1339" t="n">
        <v>45</v>
      </c>
      <c r="Z866" s="1334" t="inlineStr">
        <is>
          <t>NA</t>
        </is>
      </c>
      <c r="AA866" s="1334" t="inlineStr">
        <is>
          <t>NA</t>
        </is>
      </c>
      <c r="AB866" s="1331" t="inlineStr">
        <is>
          <t>BASE LGD</t>
        </is>
      </c>
      <c r="AC866" s="1334" t="inlineStr">
        <is>
          <t>ND</t>
        </is>
      </c>
      <c r="AD866" s="1334" t="inlineStr">
        <is>
          <t>N</t>
        </is>
      </c>
      <c r="AE866" s="1334" t="inlineStr">
        <is>
          <t>EQU*, ISS*, TRE*, VAR*, INT, SIG*</t>
        </is>
      </c>
      <c r="AF866" s="1334" t="inlineStr">
        <is>
          <t>NA</t>
        </is>
      </c>
      <c r="AG866" s="1340" t="inlineStr">
        <is>
          <t>NA</t>
        </is>
      </c>
      <c r="AI866" s="1342" t="inlineStr">
        <is>
          <t>La donnée est obligatoire si Montant des coûts directs associés à la procédure de recouvrement [P1 610] est renseignée</t>
        </is>
      </c>
      <c r="AJ866" s="1343" t="inlineStr">
        <is>
          <t>The data is mandatory if Amount of direct costs associated with the recovery process [P1 610] data is filled</t>
        </is>
      </c>
      <c r="AK866" s="1344" t="n">
        <v>7</v>
      </c>
      <c r="AL866" s="1345" t="inlineStr">
        <is>
          <t>TPG0002</t>
        </is>
      </c>
      <c r="AM866" s="1346" t="inlineStr">
        <is>
          <t>Si elle est renseignée, la valeur doit être connue du Langage Commun associé</t>
        </is>
      </c>
      <c r="AN866" s="1347" t="inlineStr">
        <is>
          <t>If specified, the value must be known to the associated Common Language</t>
        </is>
      </c>
      <c r="AO866" s="1348" t="n">
        <v>7</v>
      </c>
      <c r="AP866" s="1324" t="inlineStr">
        <is>
          <t>TIG0001</t>
        </is>
      </c>
      <c r="AQ866" s="1321" t="n"/>
      <c r="AR866" s="1343" t="n"/>
      <c r="AS866" s="1320" t="n"/>
      <c r="AT866" s="1324" t="n"/>
      <c r="AU866" s="1321" t="n"/>
      <c r="AV866" s="1343" t="n"/>
      <c r="AW866" s="1320" t="n"/>
      <c r="AX866" s="1324" t="n"/>
      <c r="AY866" s="1321" t="n"/>
      <c r="AZ866" s="1349" t="n"/>
      <c r="BA866" s="1344" t="n"/>
      <c r="BB866" s="1324" t="n"/>
      <c r="BC866" s="1321" t="n"/>
      <c r="BD866" s="1350" t="n"/>
      <c r="BE866" s="1344" t="n"/>
      <c r="BF866" s="1324" t="n"/>
      <c r="BH8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66">
        <f>_xlfn.LET(r,ROW(),oc,INDEX($A:$A,r),cv,TRIM(INDEX($Y:$Y,r)&amp;""),IF(oc&lt;&gt;"P1","",IF(cv="45","V45 - novo, nao alimentado pelo spool atual","V44 - alimentado pelo spool atual")))</f>
        <v/>
      </c>
    </row>
    <row r="867" ht="54" customFormat="1" customHeight="1" s="1351">
      <c r="A867" s="1328" t="inlineStr">
        <is>
          <t>P1</t>
        </is>
      </c>
      <c r="B867" s="1290" t="n">
        <v>632</v>
      </c>
      <c r="C867" s="1329" t="inlineStr">
        <is>
          <t xml:space="preserve">08 - Caractéristiques d'arriérés et de restructuration </t>
        </is>
      </c>
      <c r="D867" s="1330" t="inlineStr">
        <is>
          <t>08 - Characteristics of overdues and restructuring</t>
        </is>
      </c>
      <c r="E867" s="1331" t="inlineStr">
        <is>
          <t>P1 611</t>
        </is>
      </c>
      <c r="F867" s="1332" t="inlineStr">
        <is>
          <t>Date des coûts directs associés à la procédure de recouvrement</t>
        </is>
      </c>
      <c r="G867" s="1333" t="inlineStr">
        <is>
          <t>Date of direct costs associated with the recovery process</t>
        </is>
      </c>
      <c r="H867" s="1493">
        <f>"RPAD( "&amp;SUBSTITUTE(SUBSTITUTE(E867," ","_"),".","_")&amp;","&amp;W867&amp;",' '); -- "&amp;E867</f>
        <v/>
      </c>
      <c r="I867" s="1332" t="inlineStr">
        <is>
          <t>Date des coûts directs associés à la procédure de recouvrement</t>
        </is>
      </c>
      <c r="J867" s="1333" t="inlineStr">
        <is>
          <t>Date of direct costs associated with the recovery process</t>
        </is>
      </c>
      <c r="K867" s="1334" t="inlineStr">
        <is>
          <t>ND</t>
        </is>
      </c>
      <c r="L867" s="1330" t="inlineStr">
        <is>
          <t>ND</t>
        </is>
      </c>
      <c r="M867" s="1426" t="inlineStr">
        <is>
          <t>TBD</t>
        </is>
      </c>
      <c r="N867" s="1291" t="inlineStr">
        <is>
          <t>Obligatoire sous conditions</t>
        </is>
      </c>
      <c r="O867" s="1292" t="inlineStr">
        <is>
          <t>Mandatory under conditions</t>
        </is>
      </c>
      <c r="P867" s="1334" t="inlineStr">
        <is>
          <t>NA</t>
        </is>
      </c>
      <c r="Q867" s="1334" t="inlineStr">
        <is>
          <t>NA</t>
        </is>
      </c>
      <c r="R867" s="1352" t="inlineStr">
        <is>
          <t>NA</t>
        </is>
      </c>
      <c r="S867" s="1333" t="inlineStr">
        <is>
          <t>NA</t>
        </is>
      </c>
      <c r="T867" s="1337" t="inlineStr">
        <is>
          <t>DATE</t>
        </is>
      </c>
      <c r="U867" s="1337" t="inlineStr">
        <is>
          <t>AAAAMMJJ</t>
        </is>
      </c>
      <c r="V867" s="1313" t="inlineStr">
        <is>
          <t>YYYYMMDD</t>
        </is>
      </c>
      <c r="W867" s="1337" t="n">
        <v>8</v>
      </c>
      <c r="X867" s="1337" t="inlineStr">
        <is>
          <t>NA</t>
        </is>
      </c>
      <c r="Y867" s="1339" t="n">
        <v>45</v>
      </c>
      <c r="Z867" s="1334" t="inlineStr">
        <is>
          <t>NA</t>
        </is>
      </c>
      <c r="AA867" s="1334" t="inlineStr">
        <is>
          <t>NA</t>
        </is>
      </c>
      <c r="AB867" s="1331" t="inlineStr">
        <is>
          <t>BASE LGD</t>
        </is>
      </c>
      <c r="AC867" s="1334" t="inlineStr">
        <is>
          <t>ND</t>
        </is>
      </c>
      <c r="AD867" s="1334" t="inlineStr">
        <is>
          <t>N</t>
        </is>
      </c>
      <c r="AE867" s="1334" t="inlineStr">
        <is>
          <t>EQU*, ISS*, TRE*, VAR*, INT, SIG*</t>
        </is>
      </c>
      <c r="AF867" s="1334" t="inlineStr">
        <is>
          <t>NA</t>
        </is>
      </c>
      <c r="AG867" s="1340" t="inlineStr">
        <is>
          <t>NA</t>
        </is>
      </c>
      <c r="AI867" s="1342" t="inlineStr">
        <is>
          <t>La donnée est obligatoire, si Indicateur Présence de recouvrement [P1 600] = 'Y'</t>
        </is>
      </c>
      <c r="AJ867" s="1343" t="inlineStr">
        <is>
          <t>The data is mandatory, if Recovery Presence Indicator [P1 600] = 'Y'</t>
        </is>
      </c>
      <c r="AK867" s="1344" t="n">
        <v>6</v>
      </c>
      <c r="AL867" s="1345" t="inlineStr">
        <is>
          <t>TPSxxx</t>
        </is>
      </c>
      <c r="AM867" s="1321" t="n"/>
      <c r="AN867" s="1343" t="n"/>
      <c r="AO867" s="1344" t="n"/>
      <c r="AP867" s="1319" t="n"/>
      <c r="AQ867" s="1301" t="inlineStr">
        <is>
          <t>Si renseignée, la donnée doit être supérieure ou égale à '19000101'</t>
        </is>
      </c>
      <c r="AR867" s="1302" t="inlineStr">
        <is>
          <t>If filled, data must be greater or equal to '19000101'</t>
        </is>
      </c>
      <c r="AS867" s="1303" t="n">
        <v>7</v>
      </c>
      <c r="AT867" s="1304" t="inlineStr">
        <is>
          <t>TVG0005</t>
        </is>
      </c>
      <c r="AU867" s="1301" t="n"/>
      <c r="AV867" s="1302" t="n"/>
      <c r="AW867" s="1303" t="n"/>
      <c r="AX867" s="1304" t="n"/>
      <c r="AY867" s="1321" t="n"/>
      <c r="AZ867" s="1349" t="n"/>
      <c r="BA867" s="1344" t="n"/>
      <c r="BB867" s="1324" t="n"/>
      <c r="BC867" s="1321" t="n"/>
      <c r="BD867" s="1350" t="n"/>
      <c r="BE867" s="1344" t="n"/>
      <c r="BF867" s="1324" t="n"/>
      <c r="BH8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67">
        <f>_xlfn.LET(r,ROW(),oc,INDEX($A:$A,r),cv,TRIM(INDEX($Y:$Y,r)&amp;""),IF(oc&lt;&gt;"P1","",IF(cv="45","V45 - novo, nao alimentado pelo spool atual","V44 - alimentado pelo spool atual")))</f>
        <v/>
      </c>
    </row>
    <row r="868" ht="54" customFormat="1" customHeight="1" s="1351">
      <c r="A868" s="1328" t="inlineStr">
        <is>
          <t>P1</t>
        </is>
      </c>
      <c r="B868" s="1290" t="n">
        <v>633</v>
      </c>
      <c r="C868" s="1329" t="inlineStr">
        <is>
          <t xml:space="preserve">08 - Caractéristiques d'arriérés et de restructuration </t>
        </is>
      </c>
      <c r="D868" s="1330" t="inlineStr">
        <is>
          <t>08 - Characteristics of overdues and restructuring</t>
        </is>
      </c>
      <c r="E868" s="1331" t="inlineStr">
        <is>
          <t>P1 612</t>
        </is>
      </c>
      <c r="F868" s="1332" t="inlineStr">
        <is>
          <t>Montant des frais divers</t>
        </is>
      </c>
      <c r="G868" s="1333" t="inlineStr">
        <is>
          <t>Amount of miscellaneous fees</t>
        </is>
      </c>
      <c r="H868" s="1493">
        <f>"RPAD( "&amp;SUBSTITUTE(SUBSTITUTE(E868," ","_"),".","_")&amp;","&amp;W868&amp;",' '); -- "&amp;E868</f>
        <v/>
      </c>
      <c r="I868" s="1332" t="inlineStr">
        <is>
          <t>Frais supplémentaires liés au non-respect des conditions du contrat (ex : retards de paiement)</t>
        </is>
      </c>
      <c r="J868" s="1333" t="inlineStr">
        <is>
          <t>Additional costs related to non-compliance with contract conditions (e.g. late payment)</t>
        </is>
      </c>
      <c r="K868" s="1334" t="inlineStr">
        <is>
          <t>ND</t>
        </is>
      </c>
      <c r="L868" s="1330" t="inlineStr">
        <is>
          <t>ND</t>
        </is>
      </c>
      <c r="M868" s="1426" t="inlineStr">
        <is>
          <t>TBD</t>
        </is>
      </c>
      <c r="N868" s="1291" t="inlineStr">
        <is>
          <t>Obligatoire sous conditions</t>
        </is>
      </c>
      <c r="O868" s="1292" t="inlineStr">
        <is>
          <t>Mandatory under conditions</t>
        </is>
      </c>
      <c r="P868" s="1334" t="inlineStr">
        <is>
          <t>NA</t>
        </is>
      </c>
      <c r="Q868" s="1334" t="inlineStr">
        <is>
          <t>NA</t>
        </is>
      </c>
      <c r="R868" s="1352" t="inlineStr">
        <is>
          <t>En cas d'absence de frais, alimenter à zéro</t>
        </is>
      </c>
      <c r="S868" s="1333" t="inlineStr">
        <is>
          <t>In case of no charge, feed to zero</t>
        </is>
      </c>
      <c r="T868" s="1337" t="inlineStr">
        <is>
          <t>NUM</t>
        </is>
      </c>
      <c r="U868" s="1331" t="inlineStr">
        <is>
          <t>19 dont signe et 2 décimales</t>
        </is>
      </c>
      <c r="V868" s="1353" t="inlineStr">
        <is>
          <t>19 including sign and 2 decimals</t>
        </is>
      </c>
      <c r="W868" s="1337" t="n">
        <v>19</v>
      </c>
      <c r="X868" s="1337" t="inlineStr">
        <is>
          <t>NA</t>
        </is>
      </c>
      <c r="Y868" s="1339" t="n">
        <v>45</v>
      </c>
      <c r="Z868" s="1334" t="inlineStr">
        <is>
          <t>NA</t>
        </is>
      </c>
      <c r="AA868" s="1334" t="inlineStr">
        <is>
          <t>NA</t>
        </is>
      </c>
      <c r="AB868" s="1331" t="inlineStr">
        <is>
          <t>BASE LGD</t>
        </is>
      </c>
      <c r="AC868" s="1334" t="inlineStr">
        <is>
          <t>ND</t>
        </is>
      </c>
      <c r="AD868" s="1334" t="inlineStr">
        <is>
          <t>N</t>
        </is>
      </c>
      <c r="AE868" s="1334" t="inlineStr">
        <is>
          <t>EQU*, ISS*, TRE*, VAR*, INT, SIG*</t>
        </is>
      </c>
      <c r="AF868" s="1334" t="inlineStr">
        <is>
          <t>NA</t>
        </is>
      </c>
      <c r="AG868" s="1340" t="inlineStr">
        <is>
          <t>NA</t>
        </is>
      </c>
      <c r="AI868" s="1342" t="inlineStr">
        <is>
          <t>La donnée est obligatoire, si Indicateur Engagement en défaut [P1 5.2] = 'Y'</t>
        </is>
      </c>
      <c r="AJ868" s="1343" t="inlineStr">
        <is>
          <t>The data is mandatory, if Defaulted commitments indicator [P1 5.2] = 'Y'</t>
        </is>
      </c>
      <c r="AK868" s="1344" t="n">
        <v>6</v>
      </c>
      <c r="AL868" s="1345" t="inlineStr">
        <is>
          <t>TPSxxx</t>
        </is>
      </c>
      <c r="AM868" s="1321" t="n"/>
      <c r="AN868" s="1343" t="n"/>
      <c r="AO868" s="1344" t="n"/>
      <c r="AP868" s="1319" t="n"/>
      <c r="AQ868" s="1321" t="n"/>
      <c r="AR868" s="1343" t="n"/>
      <c r="AS868" s="1320" t="n"/>
      <c r="AT868" s="1324" t="n"/>
      <c r="AU868" s="1321" t="n"/>
      <c r="AV868" s="1343" t="n"/>
      <c r="AW868" s="1320" t="n"/>
      <c r="AX868" s="1324" t="n"/>
      <c r="AY868" s="1321" t="n"/>
      <c r="AZ868" s="1349" t="n"/>
      <c r="BA868" s="1344" t="n"/>
      <c r="BB868" s="1324" t="n"/>
      <c r="BC868" s="1321" t="n"/>
      <c r="BD868" s="1350" t="n"/>
      <c r="BE868" s="1344" t="n"/>
      <c r="BF868" s="1324" t="n"/>
      <c r="BH8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68">
        <f>_xlfn.LET(r,ROW(),oc,INDEX($A:$A,r),cv,TRIM(INDEX($Y:$Y,r)&amp;""),IF(oc&lt;&gt;"P1","",IF(cv="45","V45 - novo, nao alimentado pelo spool atual","V44 - alimentado pelo spool atual")))</f>
        <v/>
      </c>
    </row>
    <row r="869" ht="54" customFormat="1" customHeight="1" s="1351">
      <c r="A869" s="1328" t="inlineStr">
        <is>
          <t>P1</t>
        </is>
      </c>
      <c r="B869" s="1290" t="n">
        <v>634</v>
      </c>
      <c r="C869" s="1329" t="inlineStr">
        <is>
          <t xml:space="preserve">08 - Caractéristiques d'arriérés et de restructuration </t>
        </is>
      </c>
      <c r="D869" s="1330" t="inlineStr">
        <is>
          <t>08 - Characteristics of overdues and restructuring</t>
        </is>
      </c>
      <c r="E869" s="1331" t="inlineStr">
        <is>
          <t>P1 612.1</t>
        </is>
      </c>
      <c r="F869" s="1332" t="inlineStr">
        <is>
          <t>Devise du montant des frais divers</t>
        </is>
      </c>
      <c r="G869" s="1333" t="inlineStr">
        <is>
          <t>Currency of the amount of miscellaneous fees</t>
        </is>
      </c>
      <c r="H869" s="1493">
        <f>"RPAD( "&amp;SUBSTITUTE(SUBSTITUTE(E869," ","_"),".","_")&amp;","&amp;W869&amp;",' '); -- "&amp;E869</f>
        <v/>
      </c>
      <c r="I869" s="1332" t="inlineStr">
        <is>
          <t>Devise du montant des frais divers</t>
        </is>
      </c>
      <c r="J869" s="1333" t="inlineStr">
        <is>
          <t>Currency of the amount of miscellaneous fees</t>
        </is>
      </c>
      <c r="K869" s="1334" t="inlineStr">
        <is>
          <t>ND</t>
        </is>
      </c>
      <c r="L869" s="1330" t="inlineStr">
        <is>
          <t>ND</t>
        </is>
      </c>
      <c r="M869" s="1426" t="inlineStr">
        <is>
          <t>TBD</t>
        </is>
      </c>
      <c r="N869" s="1291" t="inlineStr">
        <is>
          <t>Obligatoire sous conditions</t>
        </is>
      </c>
      <c r="O869" s="1292" t="inlineStr">
        <is>
          <t>Mandatory under conditions</t>
        </is>
      </c>
      <c r="P869" s="1334" t="inlineStr">
        <is>
          <t>LC.0005</t>
        </is>
      </c>
      <c r="Q869" s="1354" t="inlineStr">
        <is>
          <t>TA NM253</t>
        </is>
      </c>
      <c r="R869" s="1352" t="inlineStr">
        <is>
          <t>NA</t>
        </is>
      </c>
      <c r="S869" s="1333" t="inlineStr">
        <is>
          <t>NA</t>
        </is>
      </c>
      <c r="T869" s="1337" t="inlineStr">
        <is>
          <t>ALPHA</t>
        </is>
      </c>
      <c r="U869" s="1337" t="inlineStr">
        <is>
          <t>NA</t>
        </is>
      </c>
      <c r="V869" s="1338" t="inlineStr">
        <is>
          <t>NA</t>
        </is>
      </c>
      <c r="W869" s="1337" t="n">
        <v>3</v>
      </c>
      <c r="X869" s="1337" t="inlineStr">
        <is>
          <t>NA</t>
        </is>
      </c>
      <c r="Y869" s="1339" t="n">
        <v>45</v>
      </c>
      <c r="Z869" s="1334" t="inlineStr">
        <is>
          <t>NA</t>
        </is>
      </c>
      <c r="AA869" s="1334" t="inlineStr">
        <is>
          <t>NA</t>
        </is>
      </c>
      <c r="AB869" s="1331" t="inlineStr">
        <is>
          <t>BASE LGD</t>
        </is>
      </c>
      <c r="AC869" s="1334" t="inlineStr">
        <is>
          <t>ND</t>
        </is>
      </c>
      <c r="AD869" s="1334" t="inlineStr">
        <is>
          <t>N</t>
        </is>
      </c>
      <c r="AE869" s="1334" t="inlineStr">
        <is>
          <t>EQU*, ISS*, TRE*, VAR*, INT, SIG*</t>
        </is>
      </c>
      <c r="AF869" s="1334" t="inlineStr">
        <is>
          <t>NA</t>
        </is>
      </c>
      <c r="AG869" s="1340" t="inlineStr">
        <is>
          <t>NA</t>
        </is>
      </c>
      <c r="AI869" s="1342" t="inlineStr">
        <is>
          <t>La donnée est obligatoire si Montant des frais divers [P1 612] est renseignée</t>
        </is>
      </c>
      <c r="AJ869" s="1343" t="inlineStr">
        <is>
          <t>The data is mandatory if Amount of miscellaneous fees [P1 612] data is filled</t>
        </is>
      </c>
      <c r="AK869" s="1344" t="n">
        <v>7</v>
      </c>
      <c r="AL869" s="1345" t="inlineStr">
        <is>
          <t>TPG0002</t>
        </is>
      </c>
      <c r="AM869" s="1346" t="inlineStr">
        <is>
          <t>Si elle est renseignée, la valeur doit être connue du Langage Commun associé</t>
        </is>
      </c>
      <c r="AN869" s="1347" t="inlineStr">
        <is>
          <t>If specified, the value must be known to the associated Common Language</t>
        </is>
      </c>
      <c r="AO869" s="1348" t="n">
        <v>7</v>
      </c>
      <c r="AP869" s="1324" t="inlineStr">
        <is>
          <t>TIG0001</t>
        </is>
      </c>
      <c r="AQ869" s="1321" t="n"/>
      <c r="AR869" s="1343" t="n"/>
      <c r="AS869" s="1320" t="n"/>
      <c r="AT869" s="1324" t="n"/>
      <c r="AU869" s="1321" t="n"/>
      <c r="AV869" s="1343" t="n"/>
      <c r="AW869" s="1320" t="n"/>
      <c r="AX869" s="1324" t="n"/>
      <c r="AY869" s="1321" t="n"/>
      <c r="AZ869" s="1349" t="n"/>
      <c r="BA869" s="1344" t="n"/>
      <c r="BB869" s="1324" t="n"/>
      <c r="BC869" s="1321" t="n"/>
      <c r="BD869" s="1350" t="n"/>
      <c r="BE869" s="1344" t="n"/>
      <c r="BF869" s="1324" t="n"/>
      <c r="BH8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69">
        <f>_xlfn.LET(r,ROW(),oc,INDEX($A:$A,r),cv,TRIM(INDEX($Y:$Y,r)&amp;""),IF(oc&lt;&gt;"P1","",IF(cv="45","V45 - novo, nao alimentado pelo spool atual","V44 - alimentado pelo spool atual")))</f>
        <v/>
      </c>
    </row>
    <row r="870" ht="54" customFormat="1" customHeight="1" s="1351">
      <c r="A870" s="1355" t="inlineStr">
        <is>
          <t>P1</t>
        </is>
      </c>
      <c r="B870" s="1290" t="n">
        <v>635</v>
      </c>
      <c r="C870" s="1329" t="inlineStr">
        <is>
          <t>03 - Caractéristiques Générales</t>
        </is>
      </c>
      <c r="D870" s="1330" t="inlineStr">
        <is>
          <t>03 - General characteristics</t>
        </is>
      </c>
      <c r="E870" s="1331" t="inlineStr">
        <is>
          <t>P1 613</t>
        </is>
      </c>
      <c r="F870" s="1332" t="inlineStr">
        <is>
          <t>Indicateur engagement renouvelable</t>
        </is>
      </c>
      <c r="G870" s="1333" t="inlineStr">
        <is>
          <t>Renewable Engagement Indicator</t>
        </is>
      </c>
      <c r="H870" s="1493">
        <f>"RPAD( "&amp;SUBSTITUTE(SUBSTITUTE(E870," ","_"),".","_")&amp;","&amp;W870&amp;",' '); -- "&amp;E870</f>
        <v/>
      </c>
      <c r="I870" s="1356" t="inlineStr">
        <is>
          <t>Indique si un engagement est réputé "Renouvelable" au sens du CRR3 Article 166 8ter : Un engagement est réputé renouvelable lorsqu’il laisse à un débiteur la liberté de décider à quelle fréquence et selon quelle périodicité il souhaite utiliser son prêt, le débiteur étant ainsi autorisé à utiliser, rembourser et réutiliser les fonds qui lui ont été avancés. Les accords contractuels qui autorisent les paiements anticipés et les réutilisations ultérieures de ces paiements anticipés sont considérés comme renouvelables.</t>
        </is>
      </c>
      <c r="J870" s="1357" t="inlineStr">
        <is>
          <t>indicates if a commitment is deemed 'revolving' according to CRR3 Article 166 8b : a commitment shall be deemed ‘revolving’ where it lets an obligor obtain a loan where the obligor has the flexibility to decide how often to withdraw from the loan and at what intervals, allowing the obligor to drawdown, repay and redraw loans advanced to it. Contractual arrangements that allow prepayments and subsequent redraws of those prepayments shall be considered revolving</t>
        </is>
      </c>
      <c r="K870" s="1334" t="inlineStr">
        <is>
          <t>ND</t>
        </is>
      </c>
      <c r="L870" s="1330" t="inlineStr">
        <is>
          <t>ND</t>
        </is>
      </c>
      <c r="M870" s="1426" t="inlineStr">
        <is>
          <t>TBD</t>
        </is>
      </c>
      <c r="N870" s="1331" t="inlineStr">
        <is>
          <t>Facultatif</t>
        </is>
      </c>
      <c r="O870" s="1330" t="inlineStr">
        <is>
          <t>Optional</t>
        </is>
      </c>
      <c r="P870" s="1334" t="inlineStr">
        <is>
          <t>LC.0580</t>
        </is>
      </c>
      <c r="Q870" s="1334" t="inlineStr">
        <is>
          <t>RB KVIDEGRE</t>
        </is>
      </c>
      <c r="R870" s="1352" t="inlineStr">
        <is>
          <t>NA</t>
        </is>
      </c>
      <c r="S870" s="1333" t="inlineStr">
        <is>
          <t>NA</t>
        </is>
      </c>
      <c r="T870" s="1337" t="inlineStr">
        <is>
          <t>ALPHA</t>
        </is>
      </c>
      <c r="U870" s="1337" t="inlineStr">
        <is>
          <t>NA</t>
        </is>
      </c>
      <c r="V870" s="1338" t="inlineStr">
        <is>
          <t>NA</t>
        </is>
      </c>
      <c r="W870" s="1337" t="n">
        <v>1</v>
      </c>
      <c r="X870" s="1337" t="inlineStr">
        <is>
          <t>NA</t>
        </is>
      </c>
      <c r="Y870" s="1339" t="n">
        <v>45</v>
      </c>
      <c r="Z870" s="1334" t="inlineStr">
        <is>
          <t>NA</t>
        </is>
      </c>
      <c r="AA870" s="1334" t="inlineStr">
        <is>
          <t>NA</t>
        </is>
      </c>
      <c r="AB870" s="1331" t="inlineStr">
        <is>
          <t>BASE LGD</t>
        </is>
      </c>
      <c r="AC870" s="1334" t="inlineStr">
        <is>
          <t>ND</t>
        </is>
      </c>
      <c r="AD870" s="1334" t="inlineStr">
        <is>
          <t>N</t>
        </is>
      </c>
      <c r="AE870" s="1334" t="inlineStr">
        <is>
          <t>EQU*, ISS*, TRE*, VAR*, INT, SIG*</t>
        </is>
      </c>
      <c r="AF870" s="1334" t="inlineStr">
        <is>
          <t>NA</t>
        </is>
      </c>
      <c r="AG870" s="1340" t="inlineStr">
        <is>
          <t>NA</t>
        </is>
      </c>
      <c r="AI870" s="1342" t="n"/>
      <c r="AJ870" s="1343" t="n"/>
      <c r="AK870" s="1344" t="n"/>
      <c r="AL870" s="1345" t="n"/>
      <c r="AM870" s="1346" t="inlineStr">
        <is>
          <t>Si elle est renseignée, la valeur doit être connue du Langage Commun associé</t>
        </is>
      </c>
      <c r="AN870" s="1347" t="inlineStr">
        <is>
          <t>If specified, the value must be known to the associated Common Language</t>
        </is>
      </c>
      <c r="AO870" s="1348" t="n">
        <v>7</v>
      </c>
      <c r="AP870" s="1324" t="inlineStr">
        <is>
          <t>TIG0001</t>
        </is>
      </c>
      <c r="AQ870" s="1321" t="n"/>
      <c r="AR870" s="1343" t="n"/>
      <c r="AS870" s="1320" t="n"/>
      <c r="AT870" s="1324" t="n"/>
      <c r="AU870" s="1321" t="n"/>
      <c r="AV870" s="1343" t="n"/>
      <c r="AW870" s="1320" t="n"/>
      <c r="AX870" s="1324" t="n"/>
      <c r="AY870" s="1321" t="n"/>
      <c r="AZ870" s="1349" t="n"/>
      <c r="BA870" s="1344" t="n"/>
      <c r="BB870" s="1324" t="n"/>
      <c r="BC870" s="1321" t="n"/>
      <c r="BD870" s="1350" t="n"/>
      <c r="BE870" s="1344" t="n"/>
      <c r="BF870" s="1324" t="n"/>
      <c r="BH8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70">
        <f>_xlfn.LET(r,ROW(),oc,INDEX($A:$A,r),cv,TRIM(INDEX($Y:$Y,r)&amp;""),IF(oc&lt;&gt;"P1","",IF(cv="45","V45 - novo, nao alimentado pelo spool atual","V44 - alimentado pelo spool atual")))</f>
        <v/>
      </c>
    </row>
    <row r="871" ht="54" customFormat="1" customHeight="1" s="1351">
      <c r="A871" s="1328" t="inlineStr">
        <is>
          <t>P1</t>
        </is>
      </c>
      <c r="B871" s="1290" t="n">
        <v>636</v>
      </c>
      <c r="C871" s="1329" t="inlineStr">
        <is>
          <t>31 - Paramètres bâlois</t>
        </is>
      </c>
      <c r="D871" s="1330" t="inlineStr">
        <is>
          <t>31 - Basel settings</t>
        </is>
      </c>
      <c r="E871" s="1331" t="inlineStr">
        <is>
          <t>P1 614</t>
        </is>
      </c>
      <c r="F871" s="1332" t="inlineStr">
        <is>
          <t>Exposure at default (EAD) standard local</t>
        </is>
      </c>
      <c r="G871" s="1333" t="inlineStr">
        <is>
          <t>Standard locally calculated Exposure at default (EAD)</t>
        </is>
      </c>
      <c r="H871" s="1493">
        <f>"RPAD( "&amp;SUBSTITUTE(SUBSTITUTE(E871," ","_"),".","_")&amp;","&amp;W871&amp;",' '); -- "&amp;E871</f>
        <v/>
      </c>
      <c r="I871" s="1332" t="inlineStr">
        <is>
          <t>Exposure at default (EAD) standard calculé en local sur les Repos (spécifique CACIB)</t>
        </is>
      </c>
      <c r="J871" s="1333" t="inlineStr">
        <is>
          <t>Standard locally calculated Exposure at default (EAD) on Rest (CACIB specific)</t>
        </is>
      </c>
      <c r="K871" s="1334" t="inlineStr">
        <is>
          <t>ND</t>
        </is>
      </c>
      <c r="L871" s="1330" t="inlineStr">
        <is>
          <t>ND</t>
        </is>
      </c>
      <c r="M871" s="1426" t="inlineStr">
        <is>
          <t>TBD</t>
        </is>
      </c>
      <c r="N871" s="1331" t="inlineStr">
        <is>
          <t>Facultatif</t>
        </is>
      </c>
      <c r="O871" s="1330" t="inlineStr">
        <is>
          <t>Optional</t>
        </is>
      </c>
      <c r="P871" s="1334" t="inlineStr">
        <is>
          <t>NA</t>
        </is>
      </c>
      <c r="Q871" s="1334" t="inlineStr">
        <is>
          <t>NA</t>
        </is>
      </c>
      <c r="R871" s="1352" t="inlineStr">
        <is>
          <t>A renseigner par CACIB uniquement pour les types de risque VAR102 et VAR305</t>
        </is>
      </c>
      <c r="S871" s="1333" t="inlineStr">
        <is>
          <t>To be filled in by CACIB only for VAR102 and VAR305 risk types</t>
        </is>
      </c>
      <c r="T871" s="1337" t="inlineStr">
        <is>
          <t>NUM</t>
        </is>
      </c>
      <c r="U871" s="1331" t="inlineStr">
        <is>
          <t>19 dont signe et 2 décimales</t>
        </is>
      </c>
      <c r="V871" s="1353" t="inlineStr">
        <is>
          <t>19 including sign and 2 decimals</t>
        </is>
      </c>
      <c r="W871" s="1337" t="n">
        <v>19</v>
      </c>
      <c r="X871" s="1337" t="inlineStr">
        <is>
          <t>NA</t>
        </is>
      </c>
      <c r="Y871" s="1339" t="n">
        <v>45</v>
      </c>
      <c r="Z871" s="1334" t="inlineStr">
        <is>
          <t>NA</t>
        </is>
      </c>
      <c r="AA871" s="1334" t="inlineStr">
        <is>
          <t>NA</t>
        </is>
      </c>
      <c r="AB871" s="1331" t="inlineStr">
        <is>
          <t>CALCULS PRUDENTIELS</t>
        </is>
      </c>
      <c r="AC871" s="1334" t="inlineStr">
        <is>
          <t>ND</t>
        </is>
      </c>
      <c r="AD871" s="1334" t="inlineStr">
        <is>
          <t>N</t>
        </is>
      </c>
      <c r="AE871" s="1334" t="inlineStr">
        <is>
          <t>VAR105 et VAR302</t>
        </is>
      </c>
      <c r="AF871" s="1334" t="inlineStr">
        <is>
          <t>NA</t>
        </is>
      </c>
      <c r="AG871" s="1340" t="inlineStr">
        <is>
          <t>NA</t>
        </is>
      </c>
      <c r="AI871" s="1342" t="n"/>
      <c r="AJ871" s="1343" t="n"/>
      <c r="AK871" s="1344" t="n"/>
      <c r="AL871" s="1345" t="n"/>
      <c r="AM871" s="1321" t="n"/>
      <c r="AN871" s="1343" t="n"/>
      <c r="AO871" s="1344" t="n"/>
      <c r="AP871" s="1319" t="n"/>
      <c r="AQ871" s="1321" t="n"/>
      <c r="AR871" s="1343" t="n"/>
      <c r="AS871" s="1320" t="n"/>
      <c r="AT871" s="1324" t="n"/>
      <c r="AU871" s="1321" t="n"/>
      <c r="AV871" s="1343" t="n"/>
      <c r="AW871" s="1320" t="n"/>
      <c r="AX871" s="1324" t="n"/>
      <c r="AY871" s="1321" t="n"/>
      <c r="AZ871" s="1349" t="n"/>
      <c r="BA871" s="1344" t="n"/>
      <c r="BB871" s="1324" t="n"/>
      <c r="BC871" s="1321" t="n"/>
      <c r="BD871" s="1350" t="n"/>
      <c r="BE871" s="1344" t="n"/>
      <c r="BF871" s="1324" t="n"/>
      <c r="BH8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71">
        <f>_xlfn.LET(r,ROW(),oc,INDEX($A:$A,r),cv,TRIM(INDEX($Y:$Y,r)&amp;""),IF(oc&lt;&gt;"P1","",IF(cv="45","V45 - novo, nao alimentado pelo spool atual","V44 - alimentado pelo spool atual")))</f>
        <v/>
      </c>
    </row>
    <row r="872" ht="54" customFormat="1" customHeight="1" s="1351">
      <c r="A872" s="1328" t="inlineStr">
        <is>
          <t>P1</t>
        </is>
      </c>
      <c r="B872" s="1290" t="n">
        <v>637</v>
      </c>
      <c r="C872" s="1329" t="inlineStr">
        <is>
          <t>31 - Paramètres bâlois</t>
        </is>
      </c>
      <c r="D872" s="1330" t="inlineStr">
        <is>
          <t>31 - Basel settings</t>
        </is>
      </c>
      <c r="E872" s="1331" t="inlineStr">
        <is>
          <t>P1 614.1</t>
        </is>
      </c>
      <c r="F872" s="1332" t="inlineStr">
        <is>
          <t>Devise de l'Exposure at default (EAD) standard local</t>
        </is>
      </c>
      <c r="G872" s="1333" t="inlineStr">
        <is>
          <t>Currency of EAD standard calculé en local sur les Repos (spécifique CACIB)</t>
        </is>
      </c>
      <c r="H872" s="1493">
        <f>"RPAD( "&amp;SUBSTITUTE(SUBSTITUTE(E872," ","_"),".","_")&amp;","&amp;W872&amp;",' '); -- "&amp;E872</f>
        <v/>
      </c>
      <c r="I872" s="1332" t="inlineStr">
        <is>
          <t>Exposure at default (EAD) standard calculé en local sur les Repos (spécifique CACIB)</t>
        </is>
      </c>
      <c r="J872" s="1333" t="inlineStr">
        <is>
          <t>Standard locally calculated Exposure at default (EAD) on Rest (CACIB specific)</t>
        </is>
      </c>
      <c r="K872" s="1334" t="inlineStr">
        <is>
          <t>ND</t>
        </is>
      </c>
      <c r="L872" s="1330" t="inlineStr">
        <is>
          <t>ND</t>
        </is>
      </c>
      <c r="M872" s="1426" t="inlineStr">
        <is>
          <t>TBD</t>
        </is>
      </c>
      <c r="N872" s="1291" t="inlineStr">
        <is>
          <t>Obligatoire sous conditions</t>
        </is>
      </c>
      <c r="O872" s="1292" t="inlineStr">
        <is>
          <t>Mandatory under conditions</t>
        </is>
      </c>
      <c r="P872" s="1334" t="inlineStr">
        <is>
          <t>LC.0005</t>
        </is>
      </c>
      <c r="Q872" s="1334" t="inlineStr">
        <is>
          <t>TA NM253</t>
        </is>
      </c>
      <c r="R872" s="1352" t="inlineStr">
        <is>
          <t>A renseigner par CACIB uniquement pour les types de risque VAR102 et VAR305</t>
        </is>
      </c>
      <c r="S872" s="1333" t="inlineStr">
        <is>
          <t>To be filled in by CACIB only for VAR102 and VAR305 risk types</t>
        </is>
      </c>
      <c r="T872" s="1337" t="inlineStr">
        <is>
          <t>ALPHA</t>
        </is>
      </c>
      <c r="U872" s="1337" t="inlineStr">
        <is>
          <t>NA</t>
        </is>
      </c>
      <c r="V872" s="1338" t="inlineStr">
        <is>
          <t>NA</t>
        </is>
      </c>
      <c r="W872" s="1337" t="n">
        <v>3</v>
      </c>
      <c r="X872" s="1337" t="inlineStr">
        <is>
          <t>NA</t>
        </is>
      </c>
      <c r="Y872" s="1339" t="n">
        <v>45</v>
      </c>
      <c r="Z872" s="1334" t="inlineStr">
        <is>
          <t>NA</t>
        </is>
      </c>
      <c r="AA872" s="1334" t="inlineStr">
        <is>
          <t>NA</t>
        </is>
      </c>
      <c r="AB872" s="1331" t="inlineStr">
        <is>
          <t>CALCULS PRUDENTIELS</t>
        </is>
      </c>
      <c r="AC872" s="1334" t="inlineStr">
        <is>
          <t>ND</t>
        </is>
      </c>
      <c r="AD872" s="1334" t="inlineStr">
        <is>
          <t>N</t>
        </is>
      </c>
      <c r="AE872" s="1334" t="inlineStr">
        <is>
          <t>VAR105 et VAR302</t>
        </is>
      </c>
      <c r="AF872" s="1334" t="inlineStr">
        <is>
          <t>NA</t>
        </is>
      </c>
      <c r="AG872" s="1340" t="inlineStr">
        <is>
          <t>NA</t>
        </is>
      </c>
      <c r="AI872" s="1342" t="inlineStr">
        <is>
          <t>La donnée est obligatoire si Exposure at default (EAD) standard local [P1 614] est renseignée</t>
        </is>
      </c>
      <c r="AJ872" s="1343" t="inlineStr">
        <is>
          <t>The data is mandatory if Standard locally calculated Exposure at default (EAD) [P1 614] data is filled</t>
        </is>
      </c>
      <c r="AK872" s="1344" t="n">
        <v>7</v>
      </c>
      <c r="AL872" s="1345" t="inlineStr">
        <is>
          <t>TPG0002</t>
        </is>
      </c>
      <c r="AM872" s="1321" t="inlineStr">
        <is>
          <t>Si elle est renseignée, la valeur doit être connue du Langage Commun associé</t>
        </is>
      </c>
      <c r="AN872" s="1343" t="inlineStr">
        <is>
          <t>If specified, the value must be known to the associated Common Language</t>
        </is>
      </c>
      <c r="AO872" s="1344" t="n">
        <v>7</v>
      </c>
      <c r="AP872" s="1319" t="inlineStr">
        <is>
          <t>TIG0001</t>
        </is>
      </c>
      <c r="AQ872" s="1321" t="n"/>
      <c r="AR872" s="1343" t="n"/>
      <c r="AS872" s="1320" t="n"/>
      <c r="AT872" s="1324" t="n"/>
      <c r="AU872" s="1321" t="n"/>
      <c r="AV872" s="1343" t="n"/>
      <c r="AW872" s="1320" t="n"/>
      <c r="AX872" s="1324" t="n"/>
      <c r="AY872" s="1321" t="n"/>
      <c r="AZ872" s="1349" t="n"/>
      <c r="BA872" s="1344" t="n"/>
      <c r="BB872" s="1324" t="n"/>
      <c r="BC872" s="1321" t="n"/>
      <c r="BD872" s="1350" t="n"/>
      <c r="BE872" s="1344" t="n"/>
      <c r="BF872" s="1324" t="n"/>
      <c r="BH8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72">
        <f>_xlfn.LET(r,ROW(),oc,INDEX($A:$A,r),cv,TRIM(INDEX($Y:$Y,r)&amp;""),IF(oc&lt;&gt;"P1","",IF(cv="45","V45 - novo, nao alimentado pelo spool atual","V44 - alimentado pelo spool atual")))</f>
        <v/>
      </c>
    </row>
    <row r="873" ht="54" customFormat="1" customHeight="1" s="1351">
      <c r="A873" s="1328" t="inlineStr">
        <is>
          <t>P1</t>
        </is>
      </c>
      <c r="B873" s="1290" t="n">
        <v>638</v>
      </c>
      <c r="C873" s="1329" t="inlineStr">
        <is>
          <t>31 - Paramètres bâlois</t>
        </is>
      </c>
      <c r="D873" s="1330" t="inlineStr">
        <is>
          <t>31 - Basel settings</t>
        </is>
      </c>
      <c r="E873" s="1331" t="inlineStr">
        <is>
          <t>P1 615</t>
        </is>
      </c>
      <c r="F873" s="1332" t="inlineStr">
        <is>
          <t>Maturité Exposure at default (EAD) standard local</t>
        </is>
      </c>
      <c r="G873" s="1333" t="inlineStr">
        <is>
          <t>Maturité lié au calcul local de l'EAD standard sur les Repos (spécifique CACIB)</t>
        </is>
      </c>
      <c r="H873" s="1493">
        <f>"RPAD( "&amp;SUBSTITUTE(SUBSTITUTE(E873," ","_"),".","_")&amp;","&amp;W873&amp;",' '); -- "&amp;E873</f>
        <v/>
      </c>
      <c r="I873" s="1332" t="inlineStr">
        <is>
          <t>Maturité lié au calcul local de l'exposure at default (EAD) standard sur les Repos (spécifique CACIB)</t>
        </is>
      </c>
      <c r="J873" s="1333" t="inlineStr">
        <is>
          <t>Maturity linked to the local calculation of the standard exposure at default (EAD) on the Repos (specific CACIB)</t>
        </is>
      </c>
      <c r="K873" s="1334" t="inlineStr">
        <is>
          <t>ND</t>
        </is>
      </c>
      <c r="L873" s="1330" t="inlineStr">
        <is>
          <t>ND</t>
        </is>
      </c>
      <c r="M873" s="1426" t="inlineStr">
        <is>
          <t>TBD</t>
        </is>
      </c>
      <c r="N873" s="1331" t="inlineStr">
        <is>
          <t>Facultatif</t>
        </is>
      </c>
      <c r="O873" s="1330" t="inlineStr">
        <is>
          <t>Optional</t>
        </is>
      </c>
      <c r="P873" s="1334" t="inlineStr">
        <is>
          <t>NA</t>
        </is>
      </c>
      <c r="Q873" s="1334" t="inlineStr">
        <is>
          <t>NA</t>
        </is>
      </c>
      <c r="R873" s="1352" t="inlineStr">
        <is>
          <t>A renseigner par CACIB uniquement pour les types de risque VAR102 et VAR305</t>
        </is>
      </c>
      <c r="S873" s="1333" t="inlineStr">
        <is>
          <t>To be filled in by CACIB only for VAR102 and VAR305 risk types</t>
        </is>
      </c>
      <c r="T873" s="1337" t="inlineStr">
        <is>
          <t>NUM</t>
        </is>
      </c>
      <c r="U873" s="1291" t="inlineStr">
        <is>
          <t>6 dont signe et 4 décimales</t>
        </is>
      </c>
      <c r="V873" s="1292" t="inlineStr">
        <is>
          <t>6 including sign and 4 decimals</t>
        </is>
      </c>
      <c r="W873" s="1337" t="n">
        <v>6</v>
      </c>
      <c r="X873" s="1337" t="inlineStr">
        <is>
          <t>NA</t>
        </is>
      </c>
      <c r="Y873" s="1339" t="n">
        <v>45</v>
      </c>
      <c r="Z873" s="1334" t="inlineStr">
        <is>
          <t>NA</t>
        </is>
      </c>
      <c r="AA873" s="1334" t="inlineStr">
        <is>
          <t>NA</t>
        </is>
      </c>
      <c r="AB873" s="1331" t="inlineStr">
        <is>
          <t>CALCULS PRUDENTIELS</t>
        </is>
      </c>
      <c r="AC873" s="1334" t="inlineStr">
        <is>
          <t>ND</t>
        </is>
      </c>
      <c r="AD873" s="1334" t="inlineStr">
        <is>
          <t>N</t>
        </is>
      </c>
      <c r="AE873" s="1334" t="inlineStr">
        <is>
          <t>VAR105 et VAR302</t>
        </is>
      </c>
      <c r="AF873" s="1334" t="inlineStr">
        <is>
          <t>NA</t>
        </is>
      </c>
      <c r="AG873" s="1340" t="inlineStr">
        <is>
          <t>NA</t>
        </is>
      </c>
      <c r="AI873" s="1342" t="n"/>
      <c r="AJ873" s="1343" t="n"/>
      <c r="AK873" s="1344" t="n"/>
      <c r="AL873" s="1345" t="n"/>
      <c r="AM873" s="1321" t="n"/>
      <c r="AN873" s="1343" t="n"/>
      <c r="AO873" s="1344" t="n"/>
      <c r="AP873" s="1319" t="n"/>
      <c r="AQ873" s="1321" t="n"/>
      <c r="AR873" s="1343" t="n"/>
      <c r="AS873" s="1320" t="n"/>
      <c r="AT873" s="1324" t="n"/>
      <c r="AU873" s="1321" t="n"/>
      <c r="AV873" s="1343" t="n"/>
      <c r="AW873" s="1320" t="n"/>
      <c r="AX873" s="1324" t="n"/>
      <c r="AY873" s="1321" t="n"/>
      <c r="AZ873" s="1349" t="n"/>
      <c r="BA873" s="1344" t="n"/>
      <c r="BB873" s="1324" t="n"/>
      <c r="BC873" s="1321" t="n"/>
      <c r="BD873" s="1350" t="n"/>
      <c r="BE873" s="1344" t="n"/>
      <c r="BF873" s="1324" t="n"/>
      <c r="BH8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73">
        <f>_xlfn.LET(r,ROW(),oc,INDEX($A:$A,r),cv,TRIM(INDEX($Y:$Y,r)&amp;""),IF(oc&lt;&gt;"P1","",IF(cv="45","V45 - novo, nao alimentado pelo spool atual","V44 - alimentado pelo spool atual")))</f>
        <v/>
      </c>
    </row>
    <row r="874" ht="54" customFormat="1" customHeight="1" s="1351">
      <c r="A874" s="1355" t="inlineStr">
        <is>
          <t>P1</t>
        </is>
      </c>
      <c r="B874" s="1290" t="n">
        <v>639</v>
      </c>
      <c r="C874" s="1329" t="inlineStr">
        <is>
          <t>31 - Paramètres bâlois</t>
        </is>
      </c>
      <c r="D874" s="1330" t="inlineStr">
        <is>
          <t>31 - Basel settings</t>
        </is>
      </c>
      <c r="E874" s="1331" t="inlineStr">
        <is>
          <t>P1 616</t>
        </is>
      </c>
      <c r="F874" s="1332" t="inlineStr">
        <is>
          <t>Indicateur calcul de RWA en local au titre de la CVA prudentiel</t>
        </is>
      </c>
      <c r="G874" s="1333" t="inlineStr">
        <is>
          <t>Indicator calculation of local RWA under prudential CVA</t>
        </is>
      </c>
      <c r="H874" s="1493">
        <f>"RPAD( "&amp;SUBSTITUTE(SUBSTITUTE(E874," ","_"),".","_")&amp;","&amp;W874&amp;",' '); -- "&amp;E874</f>
        <v/>
      </c>
      <c r="I874" s="1356" t="inlineStr">
        <is>
          <t xml:space="preserve">Indique si les encours donnent lieu en local à un calcul sans exemption de RWA CVA. Dans ce cas-là il faut appliquer un plafond de 1 an en RWA CCR (spécifique CACIB)
</t>
        </is>
      </c>
      <c r="J874" s="1357" t="inlineStr">
        <is>
          <t>Indicates whether outstanding amounts are calculated locally without an exemption from RWA CVA. In this case, a ceiling of 1 year in RWA CCR (specific CACIB) must be applied</t>
        </is>
      </c>
      <c r="K874" s="1334" t="inlineStr">
        <is>
          <t>ND</t>
        </is>
      </c>
      <c r="L874" s="1330" t="inlineStr">
        <is>
          <t>ND</t>
        </is>
      </c>
      <c r="M874" s="1426" t="inlineStr">
        <is>
          <t>TBD</t>
        </is>
      </c>
      <c r="N874" s="1291" t="inlineStr">
        <is>
          <t>Obligatoire sous conditions</t>
        </is>
      </c>
      <c r="O874" s="1292" t="inlineStr">
        <is>
          <t>Mandatory under conditions</t>
        </is>
      </c>
      <c r="P874" s="1334" t="inlineStr">
        <is>
          <t>LC.0591</t>
        </is>
      </c>
      <c r="Q874" s="1334" t="inlineStr">
        <is>
          <t>RB KVIDCRWA</t>
        </is>
      </c>
      <c r="R874" s="1352" t="inlineStr">
        <is>
          <t>A renseigner par CACIB uniquement pour les types de risque VAR*. 
Pour les autres entités à renseigner à 'N'</t>
        </is>
      </c>
      <c r="S874" s="1333" t="inlineStr">
        <is>
          <t>To be filled in by CACIB only for VAR102* risk types.
For other entities to fill in 'N'</t>
        </is>
      </c>
      <c r="T874" s="1337" t="inlineStr">
        <is>
          <t>ALPHA</t>
        </is>
      </c>
      <c r="U874" s="1337" t="inlineStr">
        <is>
          <t>NA</t>
        </is>
      </c>
      <c r="V874" s="1338" t="inlineStr">
        <is>
          <t>NA</t>
        </is>
      </c>
      <c r="W874" s="1337" t="n">
        <v>1</v>
      </c>
      <c r="X874" s="1337" t="inlineStr">
        <is>
          <t>NA</t>
        </is>
      </c>
      <c r="Y874" s="1339" t="n">
        <v>45</v>
      </c>
      <c r="Z874" s="1334" t="inlineStr">
        <is>
          <t>NA</t>
        </is>
      </c>
      <c r="AA874" s="1334" t="inlineStr">
        <is>
          <t>NA</t>
        </is>
      </c>
      <c r="AB874" s="1331" t="inlineStr">
        <is>
          <t>CALCULS PRUDENTIELS</t>
        </is>
      </c>
      <c r="AC874" s="1334" t="inlineStr">
        <is>
          <t>ND</t>
        </is>
      </c>
      <c r="AD874" s="1334" t="inlineStr">
        <is>
          <t>N</t>
        </is>
      </c>
      <c r="AE874" s="1334" t="inlineStr">
        <is>
          <t>VAR*</t>
        </is>
      </c>
      <c r="AF874" s="1334" t="inlineStr">
        <is>
          <t>NA</t>
        </is>
      </c>
      <c r="AG874" s="1340" t="inlineStr">
        <is>
          <t>NA</t>
        </is>
      </c>
      <c r="AI874" s="1342" t="inlineStr">
        <is>
          <t>La donnée est obligatoire, si type de risque [P1 2.0] = 'VAR*'</t>
        </is>
      </c>
      <c r="AJ874" s="1343" t="inlineStr">
        <is>
          <t>The data is mandatory, if Risk type [P1 2.0] = 'VAR*'</t>
        </is>
      </c>
      <c r="AK874" s="1344" t="n">
        <v>7</v>
      </c>
      <c r="AL874" s="1345" t="inlineStr">
        <is>
          <t>TPSxxxx</t>
        </is>
      </c>
      <c r="AM874" s="1346" t="inlineStr">
        <is>
          <t>Si elle est renseignée, la valeur doit être connue du Langage Commun associé</t>
        </is>
      </c>
      <c r="AN874" s="1347" t="inlineStr">
        <is>
          <t>If specified, the value must be known to the associated Common Language</t>
        </is>
      </c>
      <c r="AO874" s="1348" t="n">
        <v>7</v>
      </c>
      <c r="AP874" s="1324" t="inlineStr">
        <is>
          <t>TIG0001</t>
        </is>
      </c>
      <c r="AQ874" s="1321" t="n"/>
      <c r="AR874" s="1343" t="n"/>
      <c r="AS874" s="1320" t="n"/>
      <c r="AT874" s="1324" t="n"/>
      <c r="AU874" s="1321" t="n"/>
      <c r="AV874" s="1343" t="n"/>
      <c r="AW874" s="1320" t="n"/>
      <c r="AX874" s="1324" t="n"/>
      <c r="AY874" s="1321" t="n"/>
      <c r="AZ874" s="1349" t="n"/>
      <c r="BA874" s="1344" t="n"/>
      <c r="BB874" s="1324" t="n"/>
      <c r="BC874" s="1321" t="n"/>
      <c r="BD874" s="1350" t="n"/>
      <c r="BE874" s="1344" t="n"/>
      <c r="BF874" s="1324" t="n"/>
      <c r="BH8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74">
        <f>_xlfn.LET(r,ROW(),oc,INDEX($A:$A,r),cv,TRIM(INDEX($Y:$Y,r)&amp;""),IF(oc&lt;&gt;"P1","",IF(cv="45","V45 - novo, nao alimentado pelo spool atual","V44 - alimentado pelo spool atual")))</f>
        <v/>
      </c>
    </row>
    <row r="875" ht="54" customFormat="1" customHeight="1" s="1351">
      <c r="A875" s="1355" t="inlineStr">
        <is>
          <t>P1</t>
        </is>
      </c>
      <c r="B875" s="1290" t="n">
        <v>640</v>
      </c>
      <c r="C875" s="1329" t="inlineStr">
        <is>
          <t>31 - Paramètres bâlois</t>
        </is>
      </c>
      <c r="D875" s="1330" t="inlineStr">
        <is>
          <t>31 - Basel settings</t>
        </is>
      </c>
      <c r="E875" s="1331" t="inlineStr">
        <is>
          <t>P1 617</t>
        </is>
      </c>
      <c r="F875" s="1332" t="inlineStr">
        <is>
          <t>Plan de roll-out</t>
        </is>
      </c>
      <c r="G875" s="1333" t="inlineStr">
        <is>
          <t>Roll-out plan</t>
        </is>
      </c>
      <c r="H875" s="1493">
        <f>"RPAD( "&amp;SUBSTITUTE(SUBSTITUTE(E875," ","_"),".","_")&amp;","&amp;W875&amp;",' '); -- "&amp;E875</f>
        <v/>
      </c>
      <c r="I875" s="1356" t="inlineStr">
        <is>
          <t>Cet indicateur est demandé pour pouvoir alimenter l'état C08.07 du COREP (définition des périmètres d'utilisation des méthodes IRB et SA-CCR)</t>
        </is>
      </c>
      <c r="J875" s="1357" t="inlineStr">
        <is>
          <t>This indicator is required to be able to feed the COREP status C08.07 (definition of the scope of use of the IRB and SA-CCR methods)</t>
        </is>
      </c>
      <c r="K875" s="1334" t="inlineStr">
        <is>
          <t>ND</t>
        </is>
      </c>
      <c r="L875" s="1330" t="inlineStr">
        <is>
          <t>ND</t>
        </is>
      </c>
      <c r="M875" s="1426" t="inlineStr">
        <is>
          <t>TBD</t>
        </is>
      </c>
      <c r="N875" s="1291" t="inlineStr">
        <is>
          <t>Obligatoire sous conditions</t>
        </is>
      </c>
      <c r="O875" s="1292" t="inlineStr">
        <is>
          <t>Mandatory under conditions</t>
        </is>
      </c>
      <c r="P875" s="1334" t="inlineStr">
        <is>
          <t>LC.0581</t>
        </is>
      </c>
      <c r="Q875" s="1334" t="inlineStr">
        <is>
          <t>RB KVIDPROL</t>
        </is>
      </c>
      <c r="R875" s="1352" t="inlineStr">
        <is>
          <t>Si Méthodologie bâloise [P1 1.1] ='STD' et Plan de roll-out inconnu, mettre '1'
Si Méthodologie bâloise [P1 1.1] = 'IRB A' ou 'IRB F' et plan de roll-out inconnu, mettre '2'</t>
        </is>
      </c>
      <c r="S875" s="1333" t="inlineStr">
        <is>
          <t>If Basel Methodology [P1 1.1] ='STD' and Unknown Roll-out Plan, put '1'
If Basel Methodology [P1 1.1] = 'IRB A' or 'IRB F' and unknown roll-out plan, put '2'</t>
        </is>
      </c>
      <c r="T875" s="1337" t="inlineStr">
        <is>
          <t>ALPHA</t>
        </is>
      </c>
      <c r="U875" s="1337" t="inlineStr">
        <is>
          <t>NA</t>
        </is>
      </c>
      <c r="V875" s="1338" t="inlineStr">
        <is>
          <t>NA</t>
        </is>
      </c>
      <c r="W875" s="1337" t="n">
        <v>1</v>
      </c>
      <c r="X875" s="1337" t="inlineStr">
        <is>
          <t>NA</t>
        </is>
      </c>
      <c r="Y875" s="1339" t="n">
        <v>45</v>
      </c>
      <c r="Z875" s="1334" t="inlineStr">
        <is>
          <t>NA</t>
        </is>
      </c>
      <c r="AA875" s="1334" t="inlineStr">
        <is>
          <t>NA</t>
        </is>
      </c>
      <c r="AB875" s="1331" t="inlineStr">
        <is>
          <t>CALCULS PRUDENTIELS</t>
        </is>
      </c>
      <c r="AC875" s="1334" t="inlineStr">
        <is>
          <t>ND</t>
        </is>
      </c>
      <c r="AD875" s="1334" t="inlineStr">
        <is>
          <t>N</t>
        </is>
      </c>
      <c r="AE875" s="1334" t="inlineStr">
        <is>
          <t>EQU101
EQU201
ISS100
ISS200 et 300
TRE100
TRE2 à 4XX hors 203,205,206,207
TRE203, 205, 207
TRE206
TRE5XX
SIG
VAR*
INT</t>
        </is>
      </c>
      <c r="AF875" s="1334" t="inlineStr">
        <is>
          <t>NA</t>
        </is>
      </c>
      <c r="AG875" s="1340" t="inlineStr">
        <is>
          <t>NA</t>
        </is>
      </c>
      <c r="AI875" s="1342" t="inlineStr">
        <is>
          <t>La donnée est obligatoire, si Méthodologie Bâloise [P1 1.1] = 'STD, IRB A, IRB F'</t>
        </is>
      </c>
      <c r="AJ875" s="1343" t="inlineStr">
        <is>
          <t>The data is mandatory, if Basel methodology [P1 1.1] = 'STD, IRB A, IRB F'</t>
        </is>
      </c>
      <c r="AK875" s="1344" t="n">
        <v>7</v>
      </c>
      <c r="AL875" s="1345" t="inlineStr">
        <is>
          <t>TPSxxxx</t>
        </is>
      </c>
      <c r="AM875" s="1346" t="inlineStr">
        <is>
          <t>Si elle est renseignée, la valeur doit être connue du Langage Commun associé</t>
        </is>
      </c>
      <c r="AN875" s="1347" t="inlineStr">
        <is>
          <t>If specified, the value must be known to the associated Common Language</t>
        </is>
      </c>
      <c r="AO875" s="1348" t="n">
        <v>7</v>
      </c>
      <c r="AP875" s="1324" t="inlineStr">
        <is>
          <t>TIG0001</t>
        </is>
      </c>
      <c r="AQ875" s="1321" t="n"/>
      <c r="AR875" s="1343" t="n"/>
      <c r="AS875" s="1320" t="n"/>
      <c r="AT875" s="1324" t="n"/>
      <c r="AU875" s="1321" t="n"/>
      <c r="AV875" s="1343" t="n"/>
      <c r="AW875" s="1320" t="n"/>
      <c r="AX875" s="1324" t="n"/>
      <c r="AY875" s="1321" t="n"/>
      <c r="AZ875" s="1349" t="n"/>
      <c r="BA875" s="1344" t="n"/>
      <c r="BB875" s="1324" t="n"/>
      <c r="BC875" s="1321" t="n"/>
      <c r="BD875" s="1350" t="n"/>
      <c r="BE875" s="1344" t="n"/>
      <c r="BF875" s="1324" t="n"/>
      <c r="BH8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75">
        <f>_xlfn.LET(r,ROW(),oc,INDEX($A:$A,r),cv,TRIM(INDEX($Y:$Y,r)&amp;""),IF(oc&lt;&gt;"P1","",IF(cv="45","V45 - novo, nao alimentado pelo spool atual","V44 - alimentado pelo spool atual")))</f>
        <v/>
      </c>
    </row>
    <row r="876" ht="54" customFormat="1" customHeight="1" s="1351">
      <c r="A876" s="1355" t="inlineStr">
        <is>
          <t>P1</t>
        </is>
      </c>
      <c r="B876" s="1290" t="n">
        <v>641</v>
      </c>
      <c r="C876" s="1329" t="inlineStr">
        <is>
          <t>31 - Paramètres bâlois</t>
        </is>
      </c>
      <c r="D876" s="1330" t="inlineStr">
        <is>
          <t>31 - Basel settings</t>
        </is>
      </c>
      <c r="E876" s="1331" t="inlineStr">
        <is>
          <t>P1 618</t>
        </is>
      </c>
      <c r="F876" s="1332" t="inlineStr">
        <is>
          <t>Type de crypto-actifs au sens de l'article 501 quinquies de CRR3</t>
        </is>
      </c>
      <c r="G876" s="1333" t="inlineStr">
        <is>
          <t>Type of crypto-asset as defined in Article 501d of CRR3</t>
        </is>
      </c>
      <c r="H876" s="1493">
        <f>"RPAD( "&amp;SUBSTITUTE(SUBSTITUTE(E876," ","_"),".","_")&amp;","&amp;W876&amp;",' '); -- "&amp;E876</f>
        <v/>
      </c>
      <c r="I876" s="1356" t="inlineStr">
        <is>
          <t>Prise en compte de l'article 501 quinquies concernant les dispositions transitoires sur les crypto-actifs. 3 valeurs possibles</t>
        </is>
      </c>
      <c r="J876" s="1357" t="inlineStr">
        <is>
          <t>Consideration of Article 501d concerning transitional provisions on crypto-assets. 3 possible values</t>
        </is>
      </c>
      <c r="K876" s="1334" t="inlineStr">
        <is>
          <t>ND</t>
        </is>
      </c>
      <c r="L876" s="1330" t="inlineStr">
        <is>
          <t>ND</t>
        </is>
      </c>
      <c r="M876" s="1426" t="inlineStr">
        <is>
          <t>TBD</t>
        </is>
      </c>
      <c r="N876" s="1331" t="inlineStr">
        <is>
          <t>Facultatif</t>
        </is>
      </c>
      <c r="O876" s="1330" t="inlineStr">
        <is>
          <t>Optional</t>
        </is>
      </c>
      <c r="P876" s="1334" t="inlineStr">
        <is>
          <t>LC.0582</t>
        </is>
      </c>
      <c r="Q876" s="1334" t="inlineStr">
        <is>
          <t>RB KVTYCRYP</t>
        </is>
      </c>
      <c r="R876" s="1352" t="inlineStr">
        <is>
          <t>NA</t>
        </is>
      </c>
      <c r="S876" s="1333" t="inlineStr">
        <is>
          <t>NA</t>
        </is>
      </c>
      <c r="T876" s="1337" t="inlineStr">
        <is>
          <t>ALPHA</t>
        </is>
      </c>
      <c r="U876" s="1337" t="inlineStr">
        <is>
          <t>NA</t>
        </is>
      </c>
      <c r="V876" s="1338" t="inlineStr">
        <is>
          <t>NA</t>
        </is>
      </c>
      <c r="W876" s="1337" t="n">
        <v>1</v>
      </c>
      <c r="X876" s="1337" t="inlineStr">
        <is>
          <t>NA</t>
        </is>
      </c>
      <c r="Y876" s="1339" t="n">
        <v>45</v>
      </c>
      <c r="Z876" s="1334" t="inlineStr">
        <is>
          <t>NA</t>
        </is>
      </c>
      <c r="AA876" s="1334" t="inlineStr">
        <is>
          <t>NA</t>
        </is>
      </c>
      <c r="AB876" s="1331" t="inlineStr">
        <is>
          <t>CALCULS PRUDENTIELS</t>
        </is>
      </c>
      <c r="AC876" s="1334" t="inlineStr">
        <is>
          <t>ND</t>
        </is>
      </c>
      <c r="AD876" s="1334" t="inlineStr">
        <is>
          <t>N</t>
        </is>
      </c>
      <c r="AE876" s="1334" t="inlineStr">
        <is>
          <t>TRE*
VAR*</t>
        </is>
      </c>
      <c r="AF876" s="1334" t="inlineStr">
        <is>
          <t>NA</t>
        </is>
      </c>
      <c r="AG876" s="1340" t="inlineStr">
        <is>
          <t>NA</t>
        </is>
      </c>
      <c r="AI876" s="1342" t="n"/>
      <c r="AJ876" s="1343" t="n"/>
      <c r="AK876" s="1344" t="n"/>
      <c r="AL876" s="1345" t="n"/>
      <c r="AM876" s="1346" t="inlineStr">
        <is>
          <t>Si elle est renseignée, la valeur doit être connue du Langage Commun associé</t>
        </is>
      </c>
      <c r="AN876" s="1347" t="inlineStr">
        <is>
          <t>If specified, the value must be known to the associated Common Language</t>
        </is>
      </c>
      <c r="AO876" s="1348" t="n">
        <v>7</v>
      </c>
      <c r="AP876" s="1324" t="inlineStr">
        <is>
          <t>TIG0001</t>
        </is>
      </c>
      <c r="AQ876" s="1321" t="n"/>
      <c r="AR876" s="1343" t="n"/>
      <c r="AS876" s="1320" t="n"/>
      <c r="AT876" s="1324" t="n"/>
      <c r="AU876" s="1321" t="n"/>
      <c r="AV876" s="1343" t="n"/>
      <c r="AW876" s="1320" t="n"/>
      <c r="AX876" s="1324" t="n"/>
      <c r="AY876" s="1321" t="n"/>
      <c r="AZ876" s="1349" t="n"/>
      <c r="BA876" s="1344" t="n"/>
      <c r="BB876" s="1324" t="n"/>
      <c r="BC876" s="1321" t="n"/>
      <c r="BD876" s="1350" t="n"/>
      <c r="BE876" s="1344" t="n"/>
      <c r="BF876" s="1324" t="n"/>
      <c r="BH8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76">
        <f>_xlfn.LET(r,ROW(),oc,INDEX($A:$A,r),cv,TRIM(INDEX($Y:$Y,r)&amp;""),IF(oc&lt;&gt;"P1","",IF(cv="45","V45 - novo, nao alimentado pelo spool atual","V44 - alimentado pelo spool atual")))</f>
        <v/>
      </c>
    </row>
    <row r="877" ht="54" customFormat="1" customHeight="1" s="1351">
      <c r="A877" s="1355" t="inlineStr">
        <is>
          <t>P1</t>
        </is>
      </c>
      <c r="B877" s="1290" t="n">
        <v>642</v>
      </c>
      <c r="C877" s="1329" t="inlineStr">
        <is>
          <t>31 - Paramètres bâlois</t>
        </is>
      </c>
      <c r="D877" s="1330" t="inlineStr">
        <is>
          <t>31 - Basel settings</t>
        </is>
      </c>
      <c r="E877" s="1331" t="inlineStr">
        <is>
          <t>P1 619</t>
        </is>
      </c>
      <c r="F877" s="1332" t="inlineStr">
        <is>
          <t>Coefficient « Beta » pour modèles IRBA</t>
        </is>
      </c>
      <c r="G877" s="1333" t="inlineStr">
        <is>
          <t>valeur forfaitaire correspondant à l'estimation directe du montant d’EAD s'il n'y a pas de CCF disponible
Une donnée propre aux modèles IRBA, corporate ou retail. Dans certains cas les modèles prennent en compte des coefficients « Beta » pour simuler un impact de type CCF. Il se présente sous la forme d’un montant. Il faudrait le prévoir dans le C3RD sur le P3T et en corporate sur les P1 et P2</t>
        </is>
      </c>
      <c r="H877" s="1493">
        <f>"RPAD( "&amp;SUBSTITUTE(SUBSTITUTE(E877," ","_"),".","_")&amp;","&amp;W877&amp;",' '); -- "&amp;E877</f>
        <v/>
      </c>
      <c r="I877" s="1332" t="inlineStr">
        <is>
          <t xml:space="preserve">Valeur forfaitaire correspondant à l'estimation directe du montant d’EAD s'il n'y a pas de CCF disponible
Une donnée propre aux modèles IRBA, corporate ou retail. Dans certains cas, les modèles prennent en compte des coefficients « Beta » pour simuler un impact de type CCF. </t>
        </is>
      </c>
      <c r="J877" s="1333" t="inlineStr">
        <is>
          <t>Lump sum value corresponding to the direct estimate of the amount of EAD if there is no CCF available
Data specific to IRBA, corporate or retail models. In some cases, the models take into account “Beta” coefficients to simulate a CCF-type impact</t>
        </is>
      </c>
      <c r="K877" s="1334" t="inlineStr">
        <is>
          <t>ND</t>
        </is>
      </c>
      <c r="L877" s="1330" t="inlineStr">
        <is>
          <t>ND</t>
        </is>
      </c>
      <c r="M877" s="1426" t="inlineStr">
        <is>
          <t>TBD</t>
        </is>
      </c>
      <c r="N877" s="1331" t="inlineStr">
        <is>
          <t>Facultatif</t>
        </is>
      </c>
      <c r="O877" s="1330" t="inlineStr">
        <is>
          <t>Optional</t>
        </is>
      </c>
      <c r="P877" s="1334" t="inlineStr">
        <is>
          <t>NA</t>
        </is>
      </c>
      <c r="Q877" s="1334" t="inlineStr">
        <is>
          <t>NA</t>
        </is>
      </c>
      <c r="R877" s="1352" t="inlineStr">
        <is>
          <t>NA</t>
        </is>
      </c>
      <c r="S877" s="1333" t="inlineStr">
        <is>
          <t>NA</t>
        </is>
      </c>
      <c r="T877" s="1337" t="inlineStr">
        <is>
          <t>NUM</t>
        </is>
      </c>
      <c r="U877" s="1331" t="inlineStr">
        <is>
          <t>19 dont signe et 2 décimales</t>
        </is>
      </c>
      <c r="V877" s="1353" t="inlineStr">
        <is>
          <t>19 including sign and 2 decimals</t>
        </is>
      </c>
      <c r="W877" s="1337" t="n">
        <v>19</v>
      </c>
      <c r="X877" s="1337" t="inlineStr">
        <is>
          <t>NA</t>
        </is>
      </c>
      <c r="Y877" s="1339" t="n">
        <v>45</v>
      </c>
      <c r="Z877" s="1334" t="inlineStr">
        <is>
          <t>NA</t>
        </is>
      </c>
      <c r="AA877" s="1334" t="inlineStr">
        <is>
          <t>NA</t>
        </is>
      </c>
      <c r="AB877" s="1331" t="inlineStr">
        <is>
          <t>CALCULS PRUDENTIELS</t>
        </is>
      </c>
      <c r="AC877" s="1334" t="inlineStr">
        <is>
          <t>ND</t>
        </is>
      </c>
      <c r="AD877" s="1334" t="inlineStr">
        <is>
          <t>N</t>
        </is>
      </c>
      <c r="AE877" s="1334" t="inlineStr">
        <is>
          <t>EQU101
EQU201
ISS100
ISS200 et 300
TRE100
TRE2 à 4XX hors 203,205,206,207
TRE203, 205, 207
TRE206
TRE5XX
SIG
VAR*
INT</t>
        </is>
      </c>
      <c r="AF877" s="1334" t="inlineStr">
        <is>
          <t>NA</t>
        </is>
      </c>
      <c r="AG877" s="1340" t="inlineStr">
        <is>
          <t>NA</t>
        </is>
      </c>
      <c r="AI877" s="1342" t="n"/>
      <c r="AJ877" s="1343" t="n"/>
      <c r="AK877" s="1344" t="n"/>
      <c r="AL877" s="1345" t="n"/>
      <c r="AM877" s="1321" t="n"/>
      <c r="AN877" s="1343" t="n"/>
      <c r="AO877" s="1344" t="n"/>
      <c r="AP877" s="1319" t="n"/>
      <c r="AQ877" s="1321" t="n"/>
      <c r="AR877" s="1343" t="n"/>
      <c r="AS877" s="1320" t="n"/>
      <c r="AT877" s="1324" t="n"/>
      <c r="AU877" s="1321" t="n"/>
      <c r="AV877" s="1343" t="n"/>
      <c r="AW877" s="1320" t="n"/>
      <c r="AX877" s="1324" t="n"/>
      <c r="AY877" s="1321" t="n"/>
      <c r="AZ877" s="1349" t="n"/>
      <c r="BA877" s="1344" t="n"/>
      <c r="BB877" s="1324" t="n"/>
      <c r="BC877" s="1321" t="n"/>
      <c r="BD877" s="1350" t="n"/>
      <c r="BE877" s="1344" t="n"/>
      <c r="BF877" s="1324" t="n"/>
      <c r="BH8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77">
        <f>_xlfn.LET(r,ROW(),oc,INDEX($A:$A,r),cv,TRIM(INDEX($Y:$Y,r)&amp;""),IF(oc&lt;&gt;"P1","",IF(cv="45","V45 - novo, nao alimentado pelo spool atual","V44 - alimentado pelo spool atual")))</f>
        <v/>
      </c>
    </row>
    <row r="878" ht="54" customFormat="1" customHeight="1" s="1351">
      <c r="A878" s="1328" t="inlineStr">
        <is>
          <t>P1</t>
        </is>
      </c>
      <c r="B878" s="1290" t="n">
        <v>643</v>
      </c>
      <c r="C878" s="1329" t="inlineStr">
        <is>
          <t>31 - Paramètres bâlois</t>
        </is>
      </c>
      <c r="D878" s="1330" t="inlineStr">
        <is>
          <t>31 - Basel settings</t>
        </is>
      </c>
      <c r="E878" s="1331" t="inlineStr">
        <is>
          <t>P1 620</t>
        </is>
      </c>
      <c r="F878" s="1332" t="inlineStr">
        <is>
          <t>Indicateur Exposition financée en devise locale</t>
        </is>
      </c>
      <c r="G878" s="1333" t="inlineStr">
        <is>
          <t>Exposure funded in local currency indicator</t>
        </is>
      </c>
      <c r="H878" s="1493">
        <f>"RPAD( "&amp;SUBSTITUTE(SUBSTITUTE(E878," ","_"),".","_")&amp;","&amp;W878&amp;",' '); -- "&amp;E878</f>
        <v/>
      </c>
      <c r="I878" s="1356" t="inlineStr">
        <is>
          <t>Cet indicateur sert à la vérification de l'application de l'article 114 de CRR3:
Pour les expositions sur les administrations centrales ou banques centrales, pour les pays équivalents à l'Union Européenne, l'établissement bancaire peut pondérer ses expositions de la même manière que l'autorité compétente du pays de résidence fiscale du Tiers dès lors que l'exposition est libellée et financée dans sa monnaie locale.
Cet indicateur permet d'indiquer que l'exposition est "financée" dans la monnaire locale soit par la collecte locale, soit via des instruments de couverture du risque de change (cross currency swaps)</t>
        </is>
      </c>
      <c r="J878" s="1357" t="inlineStr">
        <is>
          <t>This indicator is used to verify the application of Article 114 of CRR3:
For exposures to central governments or central banks, for countries equivalent to the European Union, the banking institution may weight its exposures in the same way as the competent authority of the third party's country of tax residence, provided that the exposure is denominated and financed in its local currency.
This indicator indicates that the exposure is "financed" in the local currency either through local inflows or through cross currency swaps</t>
        </is>
      </c>
      <c r="K878" s="1334" t="inlineStr">
        <is>
          <t>ND</t>
        </is>
      </c>
      <c r="L878" s="1330" t="inlineStr">
        <is>
          <t>ND</t>
        </is>
      </c>
      <c r="M878" s="1426" t="inlineStr">
        <is>
          <t>TBD</t>
        </is>
      </c>
      <c r="N878" s="1331" t="inlineStr">
        <is>
          <t>Obligatoire</t>
        </is>
      </c>
      <c r="O878" s="1330" t="inlineStr">
        <is>
          <t>Mandatory</t>
        </is>
      </c>
      <c r="P878" s="1334" t="inlineStr">
        <is>
          <t>LC.0584</t>
        </is>
      </c>
      <c r="Q878" s="1334" t="inlineStr">
        <is>
          <t>RB KVEXFIDE</t>
        </is>
      </c>
      <c r="R878" s="1352" t="inlineStr">
        <is>
          <t>NA</t>
        </is>
      </c>
      <c r="S878" s="1333" t="inlineStr">
        <is>
          <t>NA</t>
        </is>
      </c>
      <c r="T878" s="1337" t="inlineStr">
        <is>
          <t>ALPHA</t>
        </is>
      </c>
      <c r="U878" s="1337" t="inlineStr">
        <is>
          <t>NA</t>
        </is>
      </c>
      <c r="V878" s="1338" t="inlineStr">
        <is>
          <t>NA</t>
        </is>
      </c>
      <c r="W878" s="1337" t="n">
        <v>1</v>
      </c>
      <c r="X878" s="1337" t="inlineStr">
        <is>
          <t>NA</t>
        </is>
      </c>
      <c r="Y878" s="1339" t="n">
        <v>45</v>
      </c>
      <c r="Z878" s="1334" t="inlineStr">
        <is>
          <t>NA</t>
        </is>
      </c>
      <c r="AA878" s="1334" t="inlineStr">
        <is>
          <t>NA</t>
        </is>
      </c>
      <c r="AB878" s="1331" t="inlineStr">
        <is>
          <t>CALCULS PRUDENTIELS</t>
        </is>
      </c>
      <c r="AC878" s="1334" t="inlineStr">
        <is>
          <t>ND</t>
        </is>
      </c>
      <c r="AD878" s="1334" t="inlineStr">
        <is>
          <t>N</t>
        </is>
      </c>
      <c r="AE878" s="1334" t="inlineStr">
        <is>
          <t>EQU*, ISS*, TRE*, VAR*, INT, SIG*</t>
        </is>
      </c>
      <c r="AF878" s="1334" t="inlineStr">
        <is>
          <t>NA</t>
        </is>
      </c>
      <c r="AG878" s="1340" t="inlineStr">
        <is>
          <t>NA</t>
        </is>
      </c>
      <c r="AI878" s="1342" t="inlineStr">
        <is>
          <t>La donnée est obligatoire</t>
        </is>
      </c>
      <c r="AJ878" s="1343" t="inlineStr">
        <is>
          <t>The data is mandatory</t>
        </is>
      </c>
      <c r="AK878" s="1344" t="n">
        <v>7</v>
      </c>
      <c r="AL878" s="1345" t="inlineStr">
        <is>
          <t>TPG0001</t>
        </is>
      </c>
      <c r="AM878" s="1346" t="inlineStr">
        <is>
          <t>Si elle est renseignée, la valeur doit être connue du Langage Commun associé</t>
        </is>
      </c>
      <c r="AN878" s="1347" t="inlineStr">
        <is>
          <t>If specified, the value must be known to the associated Common Language</t>
        </is>
      </c>
      <c r="AO878" s="1348" t="n">
        <v>7</v>
      </c>
      <c r="AP878" s="1324" t="inlineStr">
        <is>
          <t>TIG0001</t>
        </is>
      </c>
      <c r="AQ878" s="1321" t="n"/>
      <c r="AR878" s="1343" t="n"/>
      <c r="AS878" s="1320" t="n"/>
      <c r="AT878" s="1324" t="n"/>
      <c r="AU878" s="1321" t="n"/>
      <c r="AV878" s="1343" t="n"/>
      <c r="AW878" s="1320" t="n"/>
      <c r="AX878" s="1324" t="n"/>
      <c r="AY878" s="1321" t="n"/>
      <c r="AZ878" s="1349" t="n"/>
      <c r="BA878" s="1344" t="n"/>
      <c r="BB878" s="1324" t="n"/>
      <c r="BC878" s="1321" t="n"/>
      <c r="BD878" s="1350" t="n"/>
      <c r="BE878" s="1344" t="n"/>
      <c r="BF878" s="1324" t="n"/>
      <c r="BH8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78">
        <f>_xlfn.LET(r,ROW(),oc,INDEX($A:$A,r),cv,TRIM(INDEX($Y:$Y,r)&amp;""),IF(oc&lt;&gt;"P1","",IF(cv="45","V45 - novo, nao alimentado pelo spool atual","V44 - alimentado pelo spool atual")))</f>
        <v/>
      </c>
    </row>
    <row r="879" ht="54" customFormat="1" customHeight="1" s="1351">
      <c r="A879" s="1355" t="inlineStr">
        <is>
          <t>P1</t>
        </is>
      </c>
      <c r="B879" s="1290" t="n">
        <v>644</v>
      </c>
      <c r="C879" s="1329" t="inlineStr">
        <is>
          <t>31 - Paramètres bâlois</t>
        </is>
      </c>
      <c r="D879" s="1330" t="inlineStr">
        <is>
          <t>31 - Basel settings</t>
        </is>
      </c>
      <c r="E879" s="1331" t="inlineStr">
        <is>
          <t>P1 635</t>
        </is>
      </c>
      <c r="F879" s="1332" t="inlineStr">
        <is>
          <t>Indicateur Facteur de Conversion de Crédit (CCF) modèle interne</t>
        </is>
      </c>
      <c r="G879" s="1333" t="inlineStr">
        <is>
          <t>Credit Conversion Factor (CCF) indicator internal model</t>
        </is>
      </c>
      <c r="H879" s="1493">
        <f>"RPAD( "&amp;SUBSTITUTE(SUBSTITUTE(E879," ","_"),".","_")&amp;","&amp;W879&amp;",' '); -- "&amp;E879</f>
        <v/>
      </c>
      <c r="I879" s="1356" t="inlineStr">
        <is>
          <t>Indicateur pour indiquer si le Facteur de Conversion de Crédit (CCF) est issu d'un modèle interne. Cet indicateur sera utilisé pour alimenter la colonne 0101 des états COREP IRB C08.01 et C08.02</t>
        </is>
      </c>
      <c r="J879" s="1357" t="inlineStr">
        <is>
          <t>Indicator to indicate whether the Credit Conversion Factor (CCF) is derived from an internal model. This indicator will be used to supply column 0101 of the COREP IRB C08.01 and C08.02 reports</t>
        </is>
      </c>
      <c r="K879" s="1334" t="inlineStr">
        <is>
          <t>ND</t>
        </is>
      </c>
      <c r="L879" s="1330" t="inlineStr">
        <is>
          <t>ND</t>
        </is>
      </c>
      <c r="M879" s="1426" t="inlineStr">
        <is>
          <t>TBD</t>
        </is>
      </c>
      <c r="N879" s="1291" t="inlineStr">
        <is>
          <t>Obligatoire sous conditions</t>
        </is>
      </c>
      <c r="O879" s="1292" t="inlineStr">
        <is>
          <t>Mandatory under conditions</t>
        </is>
      </c>
      <c r="P879" s="1334" t="inlineStr">
        <is>
          <t>LC.0585</t>
        </is>
      </c>
      <c r="Q879" s="1334" t="inlineStr">
        <is>
          <t>RB KVIDCCFM</t>
        </is>
      </c>
      <c r="R879" s="1352" t="inlineStr">
        <is>
          <t>NA</t>
        </is>
      </c>
      <c r="S879" s="1333" t="inlineStr">
        <is>
          <t>NA</t>
        </is>
      </c>
      <c r="T879" s="1337" t="inlineStr">
        <is>
          <t>ALPHA</t>
        </is>
      </c>
      <c r="U879" s="1337" t="inlineStr">
        <is>
          <t>NA</t>
        </is>
      </c>
      <c r="V879" s="1338" t="inlineStr">
        <is>
          <t>NA</t>
        </is>
      </c>
      <c r="W879" s="1337" t="n">
        <v>1</v>
      </c>
      <c r="X879" s="1337" t="inlineStr">
        <is>
          <t>NA</t>
        </is>
      </c>
      <c r="Y879" s="1339" t="n">
        <v>45</v>
      </c>
      <c r="Z879" s="1334" t="inlineStr">
        <is>
          <t>NA</t>
        </is>
      </c>
      <c r="AA879" s="1334" t="inlineStr">
        <is>
          <t>NA</t>
        </is>
      </c>
      <c r="AB879" s="1331" t="inlineStr">
        <is>
          <t>CALCULS PRUDENTIELS</t>
        </is>
      </c>
      <c r="AC879" s="1334" t="inlineStr">
        <is>
          <t>ND</t>
        </is>
      </c>
      <c r="AD879" s="1334" t="inlineStr">
        <is>
          <t>N</t>
        </is>
      </c>
      <c r="AE879" s="1334" t="inlineStr">
        <is>
          <t>SIG*</t>
        </is>
      </c>
      <c r="AF879" s="1334" t="inlineStr">
        <is>
          <t>NA</t>
        </is>
      </c>
      <c r="AG879" s="1340" t="inlineStr">
        <is>
          <t>NA</t>
        </is>
      </c>
      <c r="AI879" s="1342" t="inlineStr">
        <is>
          <t>La donnée est obligatoire, si type de risque [P1 2.0] = 'SIG*' ET si Méthodologie Bâloise [P1 1.1] = 'IRB A'</t>
        </is>
      </c>
      <c r="AJ879" s="1343" t="inlineStr">
        <is>
          <t>The data is mandatory, if Risk type [P1 2.0] = 'SIG*' AND if Basel methodology [P1 1.1] = 'IRB A'</t>
        </is>
      </c>
      <c r="AK879" s="1344" t="n">
        <v>7</v>
      </c>
      <c r="AL879" s="1345" t="inlineStr">
        <is>
          <t>TPSxxxx</t>
        </is>
      </c>
      <c r="AM879" s="1346" t="inlineStr">
        <is>
          <t>Si elle est renseignée, la valeur doit être connue du Langage Commun associé</t>
        </is>
      </c>
      <c r="AN879" s="1347" t="inlineStr">
        <is>
          <t>If specified, the value must be known to the associated Common Language</t>
        </is>
      </c>
      <c r="AO879" s="1348" t="n">
        <v>7</v>
      </c>
      <c r="AP879" s="1324" t="inlineStr">
        <is>
          <t>TIG0001</t>
        </is>
      </c>
      <c r="AQ879" s="1321" t="n"/>
      <c r="AR879" s="1343" t="n"/>
      <c r="AS879" s="1320" t="n"/>
      <c r="AT879" s="1324" t="n"/>
      <c r="AU879" s="1321" t="n"/>
      <c r="AV879" s="1343" t="n"/>
      <c r="AW879" s="1320" t="n"/>
      <c r="AX879" s="1324" t="n"/>
      <c r="AY879" s="1321" t="n"/>
      <c r="AZ879" s="1349" t="n"/>
      <c r="BA879" s="1344" t="n"/>
      <c r="BB879" s="1324" t="n"/>
      <c r="BC879" s="1321" t="n"/>
      <c r="BD879" s="1350" t="n"/>
      <c r="BE879" s="1344" t="n"/>
      <c r="BF879" s="1324" t="n"/>
      <c r="BH8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79">
        <f>_xlfn.LET(r,ROW(),oc,INDEX($A:$A,r),cv,TRIM(INDEX($Y:$Y,r)&amp;""),IF(oc&lt;&gt;"P1","",IF(cv="45","V45 - novo, nao alimentado pelo spool atual","V44 - alimentado pelo spool atual")))</f>
        <v/>
      </c>
    </row>
    <row r="880" ht="54" customFormat="1" customHeight="1" s="1351">
      <c r="A880" s="1328" t="inlineStr">
        <is>
          <t>P1</t>
        </is>
      </c>
      <c r="B880" s="1290" t="n">
        <v>645</v>
      </c>
      <c r="C880" s="1329" t="inlineStr">
        <is>
          <t>17 - Caractéristiques Titres</t>
        </is>
      </c>
      <c r="D880" s="1330" t="inlineStr">
        <is>
          <t>17 - Securities characteristics</t>
        </is>
      </c>
      <c r="E880" s="1331" t="inlineStr">
        <is>
          <t>P1 622</t>
        </is>
      </c>
      <c r="F880" s="1332" t="inlineStr">
        <is>
          <t>Intention de gestion de l’opération pour compte propre (OCP)</t>
        </is>
      </c>
      <c r="G880" s="1333" t="inlineStr">
        <is>
          <t>Own account transaction management intent (OCP)</t>
        </is>
      </c>
      <c r="H880" s="1493">
        <f>"RPAD( "&amp;SUBSTITUTE(SUBSTITUTE(E880," ","_"),".","_")&amp;","&amp;W880&amp;",' '); -- "&amp;E880</f>
        <v/>
      </c>
      <c r="I880" s="1356" t="inlineStr">
        <is>
          <t>Permet de distinguer parmis les positions pour compte propre (OCP), celles qui sont en portefeuille à des fins de réserve de liquidité, et celles acquises avec un objectif de rendement complémentaire</t>
        </is>
      </c>
      <c r="J880" s="1357" t="inlineStr">
        <is>
          <t>Distinguishes between proprietary positions (OCPs), those held in the portfolio for liquidity reserve purposes, and those acquired with a complementary return target</t>
        </is>
      </c>
      <c r="K880" s="1334" t="inlineStr">
        <is>
          <t>ND</t>
        </is>
      </c>
      <c r="L880" s="1330" t="inlineStr">
        <is>
          <t>ND</t>
        </is>
      </c>
      <c r="M880" s="1426" t="inlineStr">
        <is>
          <t>TBD</t>
        </is>
      </c>
      <c r="N880" s="1291" t="inlineStr">
        <is>
          <t>Obligatoire sous conditions</t>
        </is>
      </c>
      <c r="O880" s="1292" t="inlineStr">
        <is>
          <t>Mandatory under conditions</t>
        </is>
      </c>
      <c r="P880" s="1334" t="inlineStr">
        <is>
          <t>LC.0587</t>
        </is>
      </c>
      <c r="Q880" s="1334" t="inlineStr">
        <is>
          <t>RB KVIDGOCP</t>
        </is>
      </c>
      <c r="R880" s="1352" t="inlineStr">
        <is>
          <t>NA</t>
        </is>
      </c>
      <c r="S880" s="1333" t="inlineStr">
        <is>
          <t>NA</t>
        </is>
      </c>
      <c r="T880" s="1337" t="inlineStr">
        <is>
          <t>ALPHA</t>
        </is>
      </c>
      <c r="U880" s="1337" t="inlineStr">
        <is>
          <t>NA</t>
        </is>
      </c>
      <c r="V880" s="1338" t="inlineStr">
        <is>
          <t>NA</t>
        </is>
      </c>
      <c r="W880" s="1337" t="n">
        <v>1</v>
      </c>
      <c r="X880" s="1337" t="inlineStr">
        <is>
          <t>NA</t>
        </is>
      </c>
      <c r="Y880" s="1339" t="n">
        <v>45</v>
      </c>
      <c r="Z880" s="1334" t="inlineStr">
        <is>
          <t>NA</t>
        </is>
      </c>
      <c r="AA880" s="1334" t="inlineStr">
        <is>
          <t>NA</t>
        </is>
      </c>
      <c r="AB880" s="1331" t="inlineStr">
        <is>
          <t>CORFOU</t>
        </is>
      </c>
      <c r="AC880" s="1334" t="inlineStr">
        <is>
          <t>ND</t>
        </is>
      </c>
      <c r="AD880" s="1334" t="inlineStr">
        <is>
          <t>N</t>
        </is>
      </c>
      <c r="AE880" s="1334" t="inlineStr">
        <is>
          <t>EQU101
ISS200 et 300</t>
        </is>
      </c>
      <c r="AF880" s="1334" t="inlineStr">
        <is>
          <t>NA</t>
        </is>
      </c>
      <c r="AG880" s="1340" t="inlineStr">
        <is>
          <t>NA</t>
        </is>
      </c>
      <c r="AI880" s="1342" t="inlineStr">
        <is>
          <t>La donnée est obligatoire, si type de risque [P1 2.0] = 'EQU101, ISS200, ISS300'</t>
        </is>
      </c>
      <c r="AJ880" s="1343" t="inlineStr">
        <is>
          <t>The data is mandatory, if Risk type [P1 2.0] = 'EQU101, ISS200, ISS300'</t>
        </is>
      </c>
      <c r="AK880" s="1344" t="n">
        <v>6</v>
      </c>
      <c r="AL880" s="1345" t="inlineStr">
        <is>
          <t>TPSxxxx</t>
        </is>
      </c>
      <c r="AM880" s="1346" t="inlineStr">
        <is>
          <t>Si elle est renseignée, la valeur doit être connue du Langage Commun associé</t>
        </is>
      </c>
      <c r="AN880" s="1347" t="inlineStr">
        <is>
          <t>If specified, the value must be known to the associated Common Language</t>
        </is>
      </c>
      <c r="AO880" s="1348" t="n">
        <v>7</v>
      </c>
      <c r="AP880" s="1324" t="inlineStr">
        <is>
          <t>TIG0001</t>
        </is>
      </c>
      <c r="AQ880" s="1321" t="n"/>
      <c r="AR880" s="1343" t="n"/>
      <c r="AS880" s="1320" t="n"/>
      <c r="AT880" s="1324" t="n"/>
      <c r="AU880" s="1321" t="n"/>
      <c r="AV880" s="1343" t="n"/>
      <c r="AW880" s="1320" t="n"/>
      <c r="AX880" s="1324" t="n"/>
      <c r="AY880" s="1321" t="n"/>
      <c r="AZ880" s="1349" t="n"/>
      <c r="BA880" s="1344" t="n"/>
      <c r="BB880" s="1324" t="n"/>
      <c r="BC880" s="1321" t="n"/>
      <c r="BD880" s="1350" t="n"/>
      <c r="BE880" s="1344" t="n"/>
      <c r="BF880" s="1324" t="n"/>
      <c r="BH8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80">
        <f>_xlfn.LET(r,ROW(),oc,INDEX($A:$A,r),cv,TRIM(INDEX($Y:$Y,r)&amp;""),IF(oc&lt;&gt;"P1","",IF(cv="45","V45 - novo, nao alimentado pelo spool atual","V44 - alimentado pelo spool atual")))</f>
        <v/>
      </c>
    </row>
    <row r="881" ht="54" customFormat="1" customHeight="1" s="1351">
      <c r="A881" s="1328" t="inlineStr">
        <is>
          <t>P1</t>
        </is>
      </c>
      <c r="B881" s="1290" t="n">
        <v>646</v>
      </c>
      <c r="C881" s="1329" t="inlineStr">
        <is>
          <t>09 - Caractéristiques Dérivés</t>
        </is>
      </c>
      <c r="D881" s="1330" t="inlineStr">
        <is>
          <t>09 - Derivative characteristics</t>
        </is>
      </c>
      <c r="E881" s="1331" t="inlineStr">
        <is>
          <t>P1 623</t>
        </is>
      </c>
      <c r="F881" s="1332" t="inlineStr">
        <is>
          <t>Identifiant Markit</t>
        </is>
      </c>
      <c r="G881" s="1333" t="inlineStr">
        <is>
          <t>Markit ticker</t>
        </is>
      </c>
      <c r="H881" s="1493">
        <f>"RPAD( "&amp;SUBSTITUTE(SUBSTITUTE(E881," ","_"),".","_")&amp;","&amp;W881&amp;",' '); -- "&amp;E881</f>
        <v/>
      </c>
      <c r="I881" s="1332" t="inlineStr">
        <is>
          <t>L'identifiant Markit permet dans l'écosystème financier l'identification unique et standardisée des éléments à appliquer chaque contrat CDS (Credit Default Swaps), et en particulier ici la référence de la courbe de crédit à affecter aux contreparties
NB : Markit est l'autorité de référence pour les CDS</t>
        </is>
      </c>
      <c r="J881" s="1333" t="inlineStr">
        <is>
          <t>The Markit identifier allows, within the financial ecosystem, the unique and standardized identification of elements to be applied to each CDS (Credit Default Swaps) contract, and particularly in this case, the reference of the credit curve to be assigned to counterparties. Note: Markit is the reference authority for CDS</t>
        </is>
      </c>
      <c r="K881" s="1334" t="inlineStr">
        <is>
          <t>ND</t>
        </is>
      </c>
      <c r="L881" s="1330" t="inlineStr">
        <is>
          <t>ND</t>
        </is>
      </c>
      <c r="M881" s="1426" t="inlineStr">
        <is>
          <t>TBD</t>
        </is>
      </c>
      <c r="N881" s="1291" t="inlineStr">
        <is>
          <t>Obligatoire sous conditions</t>
        </is>
      </c>
      <c r="O881" s="1292" t="inlineStr">
        <is>
          <t>Mandatory under conditions</t>
        </is>
      </c>
      <c r="P881" s="1334" t="inlineStr">
        <is>
          <t>NA</t>
        </is>
      </c>
      <c r="Q881" s="1334" t="inlineStr">
        <is>
          <t>NA</t>
        </is>
      </c>
      <c r="R881" s="1352" t="inlineStr">
        <is>
          <t>NA</t>
        </is>
      </c>
      <c r="S881" s="1333" t="inlineStr">
        <is>
          <t>NA</t>
        </is>
      </c>
      <c r="T881" s="1337" t="inlineStr">
        <is>
          <t>ALPHA</t>
        </is>
      </c>
      <c r="U881" s="1337" t="inlineStr">
        <is>
          <t>NA</t>
        </is>
      </c>
      <c r="V881" s="1338" t="inlineStr">
        <is>
          <t>NA</t>
        </is>
      </c>
      <c r="W881" s="1337" t="n">
        <v>40</v>
      </c>
      <c r="X881" s="1337" t="inlineStr">
        <is>
          <t>NA</t>
        </is>
      </c>
      <c r="Y881" s="1339" t="n">
        <v>45</v>
      </c>
      <c r="Z881" s="1334" t="inlineStr">
        <is>
          <t>NA</t>
        </is>
      </c>
      <c r="AA881" s="1334" t="inlineStr">
        <is>
          <t>NA</t>
        </is>
      </c>
      <c r="AB881" s="1331" t="inlineStr">
        <is>
          <t>CORFOU</t>
        </is>
      </c>
      <c r="AC881" s="1334" t="inlineStr">
        <is>
          <t>ND</t>
        </is>
      </c>
      <c r="AD881" s="1334" t="inlineStr">
        <is>
          <t>N</t>
        </is>
      </c>
      <c r="AE881" s="1334" t="inlineStr">
        <is>
          <t>VAR (hors VAR105 et 302)</t>
        </is>
      </c>
      <c r="AF881" s="1334" t="inlineStr">
        <is>
          <t>NA</t>
        </is>
      </c>
      <c r="AG881" s="1340" t="inlineStr">
        <is>
          <t>NA</t>
        </is>
      </c>
      <c r="AI881" s="1342" t="inlineStr">
        <is>
          <t>La donnée est obligatoire, si Instrument financier [P1 3.75] = '84, 85'</t>
        </is>
      </c>
      <c r="AJ881" s="1343" t="inlineStr">
        <is>
          <t>The data is mandatory if Financial instrument [P1 3.75] = '84, 85'</t>
        </is>
      </c>
      <c r="AK881" s="1344" t="n">
        <v>6</v>
      </c>
      <c r="AL881" s="1345" t="inlineStr">
        <is>
          <t>TPSxxxx</t>
        </is>
      </c>
      <c r="AM881" s="1321" t="n"/>
      <c r="AN881" s="1343" t="n"/>
      <c r="AO881" s="1344" t="n"/>
      <c r="AP881" s="1319" t="n"/>
      <c r="AQ881" s="1321" t="n"/>
      <c r="AR881" s="1343" t="n"/>
      <c r="AS881" s="1320" t="n"/>
      <c r="AT881" s="1324" t="n"/>
      <c r="AU881" s="1321" t="n"/>
      <c r="AV881" s="1343" t="n"/>
      <c r="AW881" s="1320" t="n"/>
      <c r="AX881" s="1324" t="n"/>
      <c r="AY881" s="1321" t="n"/>
      <c r="AZ881" s="1349" t="n"/>
      <c r="BA881" s="1344" t="n"/>
      <c r="BB881" s="1324" t="n"/>
      <c r="BC881" s="1321" t="n"/>
      <c r="BD881" s="1350" t="n"/>
      <c r="BE881" s="1344" t="n"/>
      <c r="BF881" s="1324" t="n"/>
      <c r="BH8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81">
        <f>_xlfn.LET(r,ROW(),oc,INDEX($A:$A,r),cv,TRIM(INDEX($Y:$Y,r)&amp;""),IF(oc&lt;&gt;"P1","",IF(cv="45","V45 - novo, nao alimentado pelo spool atual","V44 - alimentado pelo spool atual")))</f>
        <v/>
      </c>
    </row>
    <row r="882" ht="54" customFormat="1" customHeight="1" s="1351">
      <c r="A882" s="1328" t="inlineStr">
        <is>
          <t>P1</t>
        </is>
      </c>
      <c r="B882" s="1290" t="n">
        <v>647</v>
      </c>
      <c r="C882" s="1329" t="inlineStr">
        <is>
          <t>09 - Caractéristiques Dérivés</t>
        </is>
      </c>
      <c r="D882" s="1330" t="inlineStr">
        <is>
          <t>09 - Derivative characteristics</t>
        </is>
      </c>
      <c r="E882" s="1331" t="inlineStr">
        <is>
          <t>P1 624</t>
        </is>
      </c>
      <c r="F882" s="1332" t="inlineStr">
        <is>
          <t>Taux de recouvrement du Credit Default Swap (CDS)</t>
        </is>
      </c>
      <c r="G882" s="1333" t="inlineStr">
        <is>
          <t>Credit Default Swap (CDS) Recovery Rate</t>
        </is>
      </c>
      <c r="H882" s="1493">
        <f>"RPAD( "&amp;SUBSTITUTE(SUBSTITUTE(E882," ","_"),".","_")&amp;","&amp;W882&amp;",' '); -- "&amp;E882</f>
        <v/>
      </c>
      <c r="I882" s="1332" t="inlineStr">
        <is>
          <t>Le taux de recouvrement d'un CDS (Credit Default Swap) est un élément essentiel qui sert à déterminer le montant de compensation en cas d'événement de crédit : il représente le pourcentage de la valeur nominale que les détenteurs de dette peuvent espérer récupérer après un défaut. NB : estimation de la perte en cas de défaut (LGD - Loss Given Default) : LGD = 1 - taux de recouvrement
Exprimé en %</t>
        </is>
      </c>
      <c r="J882" s="1333" t="inlineStr">
        <is>
          <t>The recovery rate of a CDS (Credit Default Swap) is an essential element used to determine the compensation amount in case of a credit event: it represents the percentage of the nominal value that debt holders can expect to recover after a default. Note: estimation of the Loss Given Default (LGD): LGD = 1 - recovery rate.
Expressed as %</t>
        </is>
      </c>
      <c r="K882" s="1334" t="inlineStr">
        <is>
          <t>ND</t>
        </is>
      </c>
      <c r="L882" s="1330" t="inlineStr">
        <is>
          <t>ND</t>
        </is>
      </c>
      <c r="M882" s="1426" t="inlineStr">
        <is>
          <t>TBD</t>
        </is>
      </c>
      <c r="N882" s="1291" t="inlineStr">
        <is>
          <t>Obligatoire sous conditions</t>
        </is>
      </c>
      <c r="O882" s="1292" t="inlineStr">
        <is>
          <t>Mandatory under conditions</t>
        </is>
      </c>
      <c r="P882" s="1334" t="inlineStr">
        <is>
          <t>NA</t>
        </is>
      </c>
      <c r="Q882" s="1334" t="inlineStr">
        <is>
          <t>NA</t>
        </is>
      </c>
      <c r="R882" s="1352" t="inlineStr">
        <is>
          <t>NA</t>
        </is>
      </c>
      <c r="S882" s="1333" t="inlineStr">
        <is>
          <t>NA</t>
        </is>
      </c>
      <c r="T882" s="1290" t="inlineStr">
        <is>
          <t>NUM</t>
        </is>
      </c>
      <c r="U882" s="1291" t="inlineStr">
        <is>
          <t>15 dont signe et 9 décimales</t>
        </is>
      </c>
      <c r="V882" s="1292" t="inlineStr">
        <is>
          <t>15 including sign and 9 decimals</t>
        </is>
      </c>
      <c r="W882" s="1337" t="n">
        <v>15</v>
      </c>
      <c r="X882" s="1337" t="inlineStr">
        <is>
          <t>NA</t>
        </is>
      </c>
      <c r="Y882" s="1339" t="n">
        <v>45</v>
      </c>
      <c r="Z882" s="1334" t="inlineStr">
        <is>
          <t>NA</t>
        </is>
      </c>
      <c r="AA882" s="1334" t="inlineStr">
        <is>
          <t>NA</t>
        </is>
      </c>
      <c r="AB882" s="1331" t="inlineStr">
        <is>
          <t>CORFOU</t>
        </is>
      </c>
      <c r="AC882" s="1334" t="inlineStr">
        <is>
          <t>ND</t>
        </is>
      </c>
      <c r="AD882" s="1334" t="inlineStr">
        <is>
          <t>N</t>
        </is>
      </c>
      <c r="AE882" s="1334" t="inlineStr">
        <is>
          <t>VAR (hors VAR105 et 302)</t>
        </is>
      </c>
      <c r="AF882" s="1334" t="inlineStr">
        <is>
          <t>NA</t>
        </is>
      </c>
      <c r="AG882" s="1340" t="inlineStr">
        <is>
          <t>NA</t>
        </is>
      </c>
      <c r="AI882" s="1342" t="inlineStr">
        <is>
          <t>La donnée est obligatoire, si Instrument financier [P1 3.75] = '84, 85'</t>
        </is>
      </c>
      <c r="AJ882" s="1343" t="inlineStr">
        <is>
          <t>The data is mandatory if Financial instrument [P1 3.75] = '84, 85'</t>
        </is>
      </c>
      <c r="AK882" s="1344" t="n">
        <v>6</v>
      </c>
      <c r="AL882" s="1345" t="inlineStr">
        <is>
          <t>TPSxxxx</t>
        </is>
      </c>
      <c r="AM882" s="1321" t="n"/>
      <c r="AN882" s="1343" t="n"/>
      <c r="AO882" s="1344" t="n"/>
      <c r="AP882" s="1319" t="n"/>
      <c r="AQ882" s="1321" t="n"/>
      <c r="AR882" s="1343" t="n"/>
      <c r="AS882" s="1320" t="n"/>
      <c r="AT882" s="1324" t="n"/>
      <c r="AU882" s="1321" t="n"/>
      <c r="AV882" s="1343" t="n"/>
      <c r="AW882" s="1320" t="n"/>
      <c r="AX882" s="1324" t="n"/>
      <c r="AY882" s="1321" t="n"/>
      <c r="AZ882" s="1349" t="n"/>
      <c r="BA882" s="1344" t="n"/>
      <c r="BB882" s="1324" t="n"/>
      <c r="BC882" s="1321" t="n"/>
      <c r="BD882" s="1350" t="n"/>
      <c r="BE882" s="1344" t="n"/>
      <c r="BF882" s="1324" t="n"/>
      <c r="BH8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82">
        <f>_xlfn.LET(r,ROW(),oc,INDEX($A:$A,r),cv,TRIM(INDEX($Y:$Y,r)&amp;""),IF(oc&lt;&gt;"P1","",IF(cv="45","V45 - novo, nao alimentado pelo spool atual","V44 - alimentado pelo spool atual")))</f>
        <v/>
      </c>
    </row>
    <row r="883" ht="54" customFormat="1" customHeight="1" s="1351">
      <c r="A883" s="1328" t="inlineStr">
        <is>
          <t>P1</t>
        </is>
      </c>
      <c r="B883" s="1290" t="n">
        <v>648</v>
      </c>
      <c r="C883" s="1329" t="inlineStr">
        <is>
          <t>11 - Caractéristiques Opérations à effet de levier</t>
        </is>
      </c>
      <c r="D883" s="1330" t="inlineStr">
        <is>
          <t>11 - Leveraged Operations characteristics</t>
        </is>
      </c>
      <c r="E883" s="1331" t="inlineStr">
        <is>
          <t>P1 625</t>
        </is>
      </c>
      <c r="F883" s="1332" t="inlineStr">
        <is>
          <t>Note estimée du groupe de risque à l'origination des financements LBO/FSA</t>
        </is>
      </c>
      <c r="G883" s="1333" t="inlineStr">
        <is>
          <t>Nor Group at the origination of LBOs/FSAs operations</t>
        </is>
      </c>
      <c r="H883" s="1493">
        <f>"RPAD( "&amp;SUBSTITUTE(SUBSTITUTE(E883," ","_"),".","_")&amp;","&amp;W883&amp;",' '); -- "&amp;E883</f>
        <v/>
      </c>
      <c r="I883" s="1356" t="inlineStr">
        <is>
          <t>Note estimée à l'origination du groupe de risque, après mise en place du financement d'acquisition LBO/FSA.
(note calculée lors du montage du dossier de crédit).</t>
        </is>
      </c>
      <c r="J883" s="1357" t="inlineStr">
        <is>
          <t>NOR group during the creation/implementation of acquisition financing. This data is specific to the LBO/FSA perimeter.</t>
        </is>
      </c>
      <c r="K883" s="1334" t="inlineStr">
        <is>
          <t>ND</t>
        </is>
      </c>
      <c r="L883" s="1330" t="inlineStr">
        <is>
          <t>ND</t>
        </is>
      </c>
      <c r="M883" s="1426" t="inlineStr">
        <is>
          <t>TBD</t>
        </is>
      </c>
      <c r="N883" s="1291" t="inlineStr">
        <is>
          <t>Obligatoire sous conditions</t>
        </is>
      </c>
      <c r="O883" s="1292" t="inlineStr">
        <is>
          <t>Mandatory under conditions</t>
        </is>
      </c>
      <c r="P883" s="1334" t="inlineStr">
        <is>
          <t>LC.0006</t>
        </is>
      </c>
      <c r="Q883" s="1334" t="inlineStr">
        <is>
          <t>TA NM648</t>
        </is>
      </c>
      <c r="R883" s="1358" t="inlineStr">
        <is>
          <t xml:space="preserve">Identifier la NOR du groupe de risque à l'origination (signature du contrat) incluant tout l’endettement connu, y compris le nouveau financement d'acquisition (bilan et hors bilan) pour les financements de type LBO/FSA. </t>
        </is>
      </c>
      <c r="S883" s="1359" t="inlineStr">
        <is>
          <t>Identify the NOR group at origination (contract signing), including all known debt, including the new acquisition financing (on- and off-balance sheet) for LBO/FSA-type financing.</t>
        </is>
      </c>
      <c r="T883" s="1337" t="inlineStr">
        <is>
          <t>ALPHA</t>
        </is>
      </c>
      <c r="U883" s="1337" t="inlineStr">
        <is>
          <t>NA</t>
        </is>
      </c>
      <c r="V883" s="1338" t="inlineStr">
        <is>
          <t>NA</t>
        </is>
      </c>
      <c r="W883" s="1337" t="n">
        <v>2</v>
      </c>
      <c r="X883" s="1337" t="inlineStr">
        <is>
          <t>NA</t>
        </is>
      </c>
      <c r="Y883" s="1339" t="n">
        <v>45</v>
      </c>
      <c r="Z883" s="1334" t="inlineStr">
        <is>
          <t>NA</t>
        </is>
      </c>
      <c r="AA883" s="1334" t="inlineStr">
        <is>
          <t>NA</t>
        </is>
      </c>
      <c r="AB883" s="1331" t="inlineStr">
        <is>
          <t>FEL</t>
        </is>
      </c>
      <c r="AC883" s="1334" t="inlineStr">
        <is>
          <t>ND</t>
        </is>
      </c>
      <c r="AD883" s="1334" t="inlineStr">
        <is>
          <t>N</t>
        </is>
      </c>
      <c r="AE883" s="1334" t="inlineStr">
        <is>
          <t xml:space="preserve">EQU101
EQU201
TRE2 à 4XX hors 203,205,206,207
TRE5XX
SIG
</t>
        </is>
      </c>
      <c r="AF883" s="1334" t="inlineStr">
        <is>
          <t>NA</t>
        </is>
      </c>
      <c r="AG883" s="1340" t="inlineStr">
        <is>
          <t>NA</t>
        </is>
      </c>
      <c r="AI883" s="1342" t="inlineStr">
        <is>
          <t>La donnée est obligatoire, si Indicateur opération effet de levier [P1 28.1] = '1,2'</t>
        </is>
      </c>
      <c r="AJ883" s="1343" t="inlineStr">
        <is>
          <t>The data is mandatory, if Leveraged transaction Indicator [P1 28.1] = '1,2'</t>
        </is>
      </c>
      <c r="AK883" s="1344" t="n">
        <v>6</v>
      </c>
      <c r="AL883" s="1345" t="inlineStr">
        <is>
          <t>TPSxxxx</t>
        </is>
      </c>
      <c r="AM883" s="1346" t="inlineStr">
        <is>
          <t>Si elle est renseignée, la valeur doit être connue du Langage Commun associé</t>
        </is>
      </c>
      <c r="AN883" s="1347" t="inlineStr">
        <is>
          <t>If specified, the value must be known to the associated Common Language</t>
        </is>
      </c>
      <c r="AO883" s="1348" t="n">
        <v>7</v>
      </c>
      <c r="AP883" s="1324" t="inlineStr">
        <is>
          <t>TIG0001</t>
        </is>
      </c>
      <c r="AQ883" s="1321" t="n"/>
      <c r="AR883" s="1343" t="n"/>
      <c r="AS883" s="1320" t="n"/>
      <c r="AT883" s="1324" t="n"/>
      <c r="AU883" s="1321" t="n"/>
      <c r="AV883" s="1343" t="n"/>
      <c r="AW883" s="1320" t="n"/>
      <c r="AX883" s="1324" t="n"/>
      <c r="AY883" s="1321" t="n"/>
      <c r="AZ883" s="1349" t="n"/>
      <c r="BA883" s="1344" t="n"/>
      <c r="BB883" s="1324" t="n"/>
      <c r="BC883" s="1321" t="n"/>
      <c r="BD883" s="1350" t="n"/>
      <c r="BE883" s="1344" t="n"/>
      <c r="BF883" s="1324" t="n"/>
      <c r="BH8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83">
        <f>_xlfn.LET(r,ROW(),oc,INDEX($A:$A,r),cv,TRIM(INDEX($Y:$Y,r)&amp;""),IF(oc&lt;&gt;"P1","",IF(cv="45","V45 - novo, nao alimentado pelo spool atual","V44 - alimentado pelo spool atual")))</f>
        <v/>
      </c>
    </row>
    <row r="884" ht="54" customFormat="1" customHeight="1" s="1351">
      <c r="A884" s="1328" t="inlineStr">
        <is>
          <t>P1</t>
        </is>
      </c>
      <c r="B884" s="1290" t="n">
        <v>649</v>
      </c>
      <c r="C884" s="1329" t="inlineStr">
        <is>
          <t>11 - Caractéristiques Opérations à effet de levier</t>
        </is>
      </c>
      <c r="D884" s="1330" t="inlineStr">
        <is>
          <t>11 - Leveraged Operations characteristics</t>
        </is>
      </c>
      <c r="E884" s="1331" t="inlineStr">
        <is>
          <t>P1 626</t>
        </is>
      </c>
      <c r="F884" s="1332" t="inlineStr">
        <is>
          <t>Indicateur nouvelle production (trimestriel)</t>
        </is>
      </c>
      <c r="G884" s="1333" t="inlineStr">
        <is>
          <t>New production indicator (quarterly)</t>
        </is>
      </c>
      <c r="H884" s="1493">
        <f>"RPAD( "&amp;SUBSTITUTE(SUBSTITUTE(E884," ","_"),".","_")&amp;","&amp;W884&amp;",' '); -- "&amp;E884</f>
        <v/>
      </c>
      <c r="I884" s="1356" t="inlineStr">
        <is>
          <t>Indique si le contrat a été produit durant le dernier trimestre glissant intégrant toute nouvelle production sur l'ensemble des financements pour lesquels des documents d'engagement ont été signés par l'entité au cours de la période (committed lines) y compris les refinancements, les recapitalisations et les restructurations.</t>
        </is>
      </c>
      <c r="J884" s="1357" t="inlineStr">
        <is>
          <t>Indicates whether the contract was produced during the last rolling quarter, including any new production across all financings for which commitment documents were signed by the entity during the period (committed lines), including refinancing, recapitalizations, and restructurings.</t>
        </is>
      </c>
      <c r="K884" s="1334" t="inlineStr">
        <is>
          <t>ND</t>
        </is>
      </c>
      <c r="L884" s="1330" t="inlineStr">
        <is>
          <t>ND</t>
        </is>
      </c>
      <c r="M884" s="1426" t="inlineStr">
        <is>
          <t>TBD</t>
        </is>
      </c>
      <c r="N884" s="1291" t="inlineStr">
        <is>
          <t>Obligatoire sous conditions</t>
        </is>
      </c>
      <c r="O884" s="1292" t="inlineStr">
        <is>
          <t>Mandatory under conditions</t>
        </is>
      </c>
      <c r="P884" s="1334" t="inlineStr">
        <is>
          <t>LC.0592</t>
        </is>
      </c>
      <c r="Q884" s="1334" t="inlineStr">
        <is>
          <t>RB KVIDNPTR</t>
        </is>
      </c>
      <c r="R884" s="1352" t="inlineStr">
        <is>
          <t>Sont à intégrer dans la nouvelle production du trimestre tous les nouveaux financements « originés » sur le trimestre concerné (date d’origination = date de signature du contrat) – incluant les nouveaux financements, les refinancements et les restructurations.
Le critère déterminant est donc la signature du contrat pendant le trimestre en question, indépendamment de la date de déblocage des fonds ou de la mise en place effective du financement. (= date de l'engagement contractuel formalisé par la signature, qui représente le moment où l'accord est officiellement conclu entre l'établissement et le client).Donnée à renseigner avec les valeurs suivantes :
Si production nouvelle alors : renseigner à "Y".
Sinon renseigner à "N".</t>
        </is>
      </c>
      <c r="S884" s="1333" t="inlineStr">
        <is>
          <t>All new financing for the relevant quarter (original date = contract signing date) – including new financing, refinancing, and restructuring – must be included in the quarter's production figures.
The determining factor is therefore the contract signing during the relevant quarter, which establishes the date of fund disbursement or effective implementation of the financing. (This is the date of the formal contractual commitment through signature, representing the point at which the agreement is presumed to be concluded between the institution and the client.) Data to be entered with the following values:
If new production, enter "Y".
Otherwise, enter "N".</t>
        </is>
      </c>
      <c r="T884" s="1337" t="inlineStr">
        <is>
          <t>ALPHA</t>
        </is>
      </c>
      <c r="U884" s="1337" t="inlineStr">
        <is>
          <t>NA</t>
        </is>
      </c>
      <c r="V884" s="1338" t="inlineStr">
        <is>
          <t>NA</t>
        </is>
      </c>
      <c r="W884" s="1337" t="n">
        <v>1</v>
      </c>
      <c r="X884" s="1337" t="inlineStr">
        <is>
          <t>NA</t>
        </is>
      </c>
      <c r="Y884" s="1339" t="n">
        <v>45</v>
      </c>
      <c r="Z884" s="1334" t="inlineStr">
        <is>
          <t>NA</t>
        </is>
      </c>
      <c r="AA884" s="1334" t="inlineStr">
        <is>
          <t>NA</t>
        </is>
      </c>
      <c r="AB884" s="1331" t="inlineStr">
        <is>
          <t>FEL</t>
        </is>
      </c>
      <c r="AC884" s="1334" t="inlineStr">
        <is>
          <t>ND</t>
        </is>
      </c>
      <c r="AD884" s="1334" t="inlineStr">
        <is>
          <t>N</t>
        </is>
      </c>
      <c r="AE884" s="1334" t="inlineStr">
        <is>
          <t xml:space="preserve">EQU101
EQU201
TRE2 à 4XX hors 203,205,206,207
TRE5XX
SIG
</t>
        </is>
      </c>
      <c r="AF884" s="1334" t="inlineStr">
        <is>
          <t>NA</t>
        </is>
      </c>
      <c r="AG884" s="1340" t="inlineStr">
        <is>
          <t>NA</t>
        </is>
      </c>
      <c r="AI884" s="1342" t="inlineStr">
        <is>
          <t>La donnée est obligatoire, si Indicateur opération effet de levier [P1 28.1] = '1,2,3'</t>
        </is>
      </c>
      <c r="AJ884" s="1343" t="inlineStr">
        <is>
          <t>The data is mandatory, if Leveraged transaction Indicator [P1 28.1] = '1,2,3'</t>
        </is>
      </c>
      <c r="AK884" s="1344" t="n">
        <v>7</v>
      </c>
      <c r="AL884" s="1345" t="inlineStr">
        <is>
          <t>TPSxxxx</t>
        </is>
      </c>
      <c r="AM884" s="1346" t="inlineStr">
        <is>
          <t>Si elle est renseignée, la valeur doit être connue du Langage Commun associé</t>
        </is>
      </c>
      <c r="AN884" s="1347" t="inlineStr">
        <is>
          <t>If specified, the value must be known to the associated Common Language</t>
        </is>
      </c>
      <c r="AO884" s="1348" t="n">
        <v>7</v>
      </c>
      <c r="AP884" s="1324" t="inlineStr">
        <is>
          <t>TIG0001</t>
        </is>
      </c>
      <c r="AQ884" s="1321" t="n"/>
      <c r="AR884" s="1343" t="n"/>
      <c r="AS884" s="1320" t="n"/>
      <c r="AT884" s="1324" t="n"/>
      <c r="AU884" s="1321" t="n"/>
      <c r="AV884" s="1343" t="n"/>
      <c r="AW884" s="1320" t="n"/>
      <c r="AX884" s="1324" t="n"/>
      <c r="AY884" s="1321" t="n"/>
      <c r="AZ884" s="1349" t="n"/>
      <c r="BA884" s="1344" t="n"/>
      <c r="BB884" s="1324" t="n"/>
      <c r="BC884" s="1321" t="n"/>
      <c r="BD884" s="1350" t="n"/>
      <c r="BE884" s="1344" t="n"/>
      <c r="BF884" s="1324" t="n"/>
      <c r="BH8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84">
        <f>_xlfn.LET(r,ROW(),oc,INDEX($A:$A,r),cv,TRIM(INDEX($Y:$Y,r)&amp;""),IF(oc&lt;&gt;"P1","",IF(cv="45","V45 - novo, nao alimentado pelo spool atual","V44 - alimentado pelo spool atual")))</f>
        <v/>
      </c>
    </row>
    <row r="885" ht="54" customFormat="1" customHeight="1" s="1351">
      <c r="A885" s="1328" t="inlineStr">
        <is>
          <t>P1</t>
        </is>
      </c>
      <c r="B885" s="1290" t="n">
        <v>650</v>
      </c>
      <c r="C885" s="1329" t="inlineStr">
        <is>
          <t>11 - Caractéristiques Opérations à effet de levier</t>
        </is>
      </c>
      <c r="D885" s="1330" t="inlineStr">
        <is>
          <t>11 - Leveraged Operations characteristics</t>
        </is>
      </c>
      <c r="E885" s="1331" t="inlineStr">
        <is>
          <t>P1 627</t>
        </is>
      </c>
      <c r="F885" s="1332" t="inlineStr">
        <is>
          <t>Indicateur période de fronting</t>
        </is>
      </c>
      <c r="G885" s="1333" t="inlineStr">
        <is>
          <t>Fronting period indicator</t>
        </is>
      </c>
      <c r="H885" s="1493">
        <f>"RPAD( "&amp;SUBSTITUTE(SUBSTITUTE(E885," ","_"),".","_")&amp;","&amp;W885&amp;",' '); -- "&amp;E885</f>
        <v/>
      </c>
      <c r="I885" s="1356" t="inlineStr">
        <is>
          <t>Dans une opération de syndication, le "fronting" désigne la période transitoire pendant laquelle l'entité attend de recevoir les fonds correspondant à l’engagement financier, confirmé, par l’un(les) investisseur(s). Durant cette phase, la quote-part concernée n'est pas encore officiellement enregistrée au nom du(des) investisseur(s) dans les livres de l'agent.
L'indicateur précise si l'opéation est soumise au "fronting".</t>
        </is>
      </c>
      <c r="J885" s="1357" t="inlineStr">
        <is>
          <t>In a syndication operation, "fronting" refers to the transitional period during which the entity awaits receipt of funds corresponding to the financial commitment, confirmed, by the investor(s). During this phase, the concerned share is not yet officially registered in the name of the investor(s) in the agent's books. The indicator specifies whether the operation is subject to "fronting".</t>
        </is>
      </c>
      <c r="K885" s="1334" t="inlineStr">
        <is>
          <t>ND</t>
        </is>
      </c>
      <c r="L885" s="1330" t="inlineStr">
        <is>
          <t>ND</t>
        </is>
      </c>
      <c r="M885" s="1426" t="inlineStr">
        <is>
          <t>TBD</t>
        </is>
      </c>
      <c r="N885" s="1291" t="inlineStr">
        <is>
          <t>Obligatoire sous conditions</t>
        </is>
      </c>
      <c r="O885" s="1292" t="inlineStr">
        <is>
          <t>Mandatory under conditions</t>
        </is>
      </c>
      <c r="P885" s="1334" t="inlineStr">
        <is>
          <t>LC.0593</t>
        </is>
      </c>
      <c r="Q885" s="1334" t="inlineStr">
        <is>
          <t>RB KVIDPFRO</t>
        </is>
      </c>
      <c r="R885" s="1352" t="inlineStr">
        <is>
          <t>Entités hors CACIB, renseigner par 'N'</t>
        </is>
      </c>
      <c r="S885" s="1333" t="inlineStr">
        <is>
          <t>Entities except CACIB, fill in with 'N'</t>
        </is>
      </c>
      <c r="T885" s="1337" t="inlineStr">
        <is>
          <t>ALPHA</t>
        </is>
      </c>
      <c r="U885" s="1337" t="inlineStr">
        <is>
          <t>NA</t>
        </is>
      </c>
      <c r="V885" s="1338" t="inlineStr">
        <is>
          <t>NA</t>
        </is>
      </c>
      <c r="W885" s="1337" t="n">
        <v>1</v>
      </c>
      <c r="X885" s="1337" t="inlineStr">
        <is>
          <t>NA</t>
        </is>
      </c>
      <c r="Y885" s="1339" t="n">
        <v>45</v>
      </c>
      <c r="Z885" s="1334" t="inlineStr">
        <is>
          <t>NA</t>
        </is>
      </c>
      <c r="AA885" s="1334" t="inlineStr">
        <is>
          <t>NA</t>
        </is>
      </c>
      <c r="AB885" s="1331" t="inlineStr">
        <is>
          <t>FEL</t>
        </is>
      </c>
      <c r="AC885" s="1334" t="inlineStr">
        <is>
          <t>ND</t>
        </is>
      </c>
      <c r="AD885" s="1334" t="inlineStr">
        <is>
          <t>N</t>
        </is>
      </c>
      <c r="AE885" s="1334" t="inlineStr">
        <is>
          <t xml:space="preserve">EQU101
EQU201
TRE2 à 4XX hors 203,205,206,207
TRE5XX
SIG
</t>
        </is>
      </c>
      <c r="AF885" s="1334" t="inlineStr">
        <is>
          <t>NA</t>
        </is>
      </c>
      <c r="AG885" s="1340" t="inlineStr">
        <is>
          <t>NA</t>
        </is>
      </c>
      <c r="AI885" s="1342" t="inlineStr">
        <is>
          <t>La donnée est obligatoire, si Indicateur opération effet de levier [P1 28.1] = '1,2,3'</t>
        </is>
      </c>
      <c r="AJ885" s="1343" t="inlineStr">
        <is>
          <t>The data is mandatory, if Leveraged transaction Indicator [P1 28.1] = '1,2,3'</t>
        </is>
      </c>
      <c r="AK885" s="1344" t="n">
        <v>7</v>
      </c>
      <c r="AL885" s="1345" t="inlineStr">
        <is>
          <t>TPSxxxx</t>
        </is>
      </c>
      <c r="AM885" s="1346" t="inlineStr">
        <is>
          <t>Si elle est renseignée, la valeur doit être connue du Langage Commun associé</t>
        </is>
      </c>
      <c r="AN885" s="1347" t="inlineStr">
        <is>
          <t>If specified, the value must be known to the associated Common Language</t>
        </is>
      </c>
      <c r="AO885" s="1348" t="n">
        <v>7</v>
      </c>
      <c r="AP885" s="1324" t="inlineStr">
        <is>
          <t>TIG0001</t>
        </is>
      </c>
      <c r="AQ885" s="1321" t="n"/>
      <c r="AR885" s="1343" t="n"/>
      <c r="AS885" s="1320" t="n"/>
      <c r="AT885" s="1324" t="n"/>
      <c r="AU885" s="1321" t="n"/>
      <c r="AV885" s="1343" t="n"/>
      <c r="AW885" s="1320" t="n"/>
      <c r="AX885" s="1324" t="n"/>
      <c r="AY885" s="1321" t="n"/>
      <c r="AZ885" s="1349" t="n"/>
      <c r="BA885" s="1344" t="n"/>
      <c r="BB885" s="1324" t="n"/>
      <c r="BC885" s="1321" t="n"/>
      <c r="BD885" s="1350" t="n"/>
      <c r="BE885" s="1344" t="n"/>
      <c r="BF885" s="1324" t="n"/>
      <c r="BH8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85">
        <f>_xlfn.LET(r,ROW(),oc,INDEX($A:$A,r),cv,TRIM(INDEX($Y:$Y,r)&amp;""),IF(oc&lt;&gt;"P1","",IF(cv="45","V45 - novo, nao alimentado pelo spool atual","V44 - alimentado pelo spool atual")))</f>
        <v/>
      </c>
    </row>
    <row r="886" ht="54" customFormat="1" customHeight="1" s="1351">
      <c r="A886" s="1328" t="inlineStr">
        <is>
          <t>P1</t>
        </is>
      </c>
      <c r="B886" s="1290" t="n">
        <v>651</v>
      </c>
      <c r="C886" s="1329" t="inlineStr">
        <is>
          <t>11 - Caractéristiques Opérations à effet de levier</t>
        </is>
      </c>
      <c r="D886" s="1330" t="inlineStr">
        <is>
          <t>11 - Leveraged Operations characteristics</t>
        </is>
      </c>
      <c r="E886" s="1331" t="inlineStr">
        <is>
          <t>P1 628</t>
        </is>
      </c>
      <c r="F886" s="1332" t="inlineStr">
        <is>
          <t>Montant d'exposition réglementaire soumise au fronting</t>
        </is>
      </c>
      <c r="G886" s="1333" t="inlineStr">
        <is>
          <t>Amount of regulatory exposure subject to fronting</t>
        </is>
      </c>
      <c r="H886" s="1493">
        <f>"RPAD( "&amp;SUBSTITUTE(SUBSTITUTE(E886," ","_"),".","_")&amp;","&amp;W886&amp;",' '); -- "&amp;E886</f>
        <v/>
      </c>
      <c r="I886" s="1332" t="inlineStr">
        <is>
          <t>Montant associé à la quote part du financement acheté par des investisseurs pour lequel l'entité n'a pas encore reçu le cash correspondant à cette quote part et qui n’a pas encore été transférée au nom des investisseurs dans les livres de l’agent.</t>
        </is>
      </c>
      <c r="J886" s="1333" t="inlineStr">
        <is>
          <t>Amount associated to the share of financing purchased by investors for which the entity has not yet received the cash corresponding to that share and which has not yet been transferred in the agent's books.</t>
        </is>
      </c>
      <c r="K886" s="1334" t="inlineStr">
        <is>
          <t>ND</t>
        </is>
      </c>
      <c r="L886" s="1330" t="inlineStr">
        <is>
          <t>ND</t>
        </is>
      </c>
      <c r="M886" s="1426" t="inlineStr">
        <is>
          <t>TBD</t>
        </is>
      </c>
      <c r="N886" s="1291" t="inlineStr">
        <is>
          <t>Obligatoire sous conditions</t>
        </is>
      </c>
      <c r="O886" s="1292" t="inlineStr">
        <is>
          <t>Mandatory under conditions</t>
        </is>
      </c>
      <c r="P886" s="1334" t="inlineStr">
        <is>
          <t>NA</t>
        </is>
      </c>
      <c r="Q886" s="1334" t="inlineStr">
        <is>
          <t>NA</t>
        </is>
      </c>
      <c r="R886" s="1352" t="inlineStr">
        <is>
          <t>NA</t>
        </is>
      </c>
      <c r="S886" s="1333" t="inlineStr">
        <is>
          <t>NA</t>
        </is>
      </c>
      <c r="T886" s="1337" t="inlineStr">
        <is>
          <t>NUM</t>
        </is>
      </c>
      <c r="U886" s="1331" t="inlineStr">
        <is>
          <t>19 dont signe et 2 décimales</t>
        </is>
      </c>
      <c r="V886" s="1353" t="inlineStr">
        <is>
          <t>19 including sign and 2 decimals</t>
        </is>
      </c>
      <c r="W886" s="1337" t="n">
        <v>19</v>
      </c>
      <c r="X886" s="1337" t="inlineStr">
        <is>
          <t>NA</t>
        </is>
      </c>
      <c r="Y886" s="1339" t="n">
        <v>45</v>
      </c>
      <c r="Z886" s="1334" t="inlineStr">
        <is>
          <t>NA</t>
        </is>
      </c>
      <c r="AA886" s="1334" t="inlineStr">
        <is>
          <t>NA</t>
        </is>
      </c>
      <c r="AB886" s="1331" t="inlineStr">
        <is>
          <t>FEL</t>
        </is>
      </c>
      <c r="AC886" s="1334" t="inlineStr">
        <is>
          <t>ND</t>
        </is>
      </c>
      <c r="AD886" s="1334" t="inlineStr">
        <is>
          <t>N</t>
        </is>
      </c>
      <c r="AE886" s="1334" t="inlineStr">
        <is>
          <t xml:space="preserve">EQU101
EQU201
TRE2 à 4XX hors 203,205,206,207
TRE5XX
SIG
</t>
        </is>
      </c>
      <c r="AF886" s="1334" t="inlineStr">
        <is>
          <t>NA</t>
        </is>
      </c>
      <c r="AG886" s="1340" t="inlineStr">
        <is>
          <t>NA</t>
        </is>
      </c>
      <c r="AI886" s="1342" t="inlineStr">
        <is>
          <t>La donnée est obligatoire, si Indicateur période de fronting [P1 627] = 'Y'
---
La donnée est obligatoire, si Indicateur opération effet de levier [P1 28.1] = '1,2,3'</t>
        </is>
      </c>
      <c r="AJ886" s="1343" t="inlineStr">
        <is>
          <t>The data is mandatory, if Fronting period indicator [P1 627] = 'Y'
---
The data is mandatory, if Leveraged transaction Indicator [P1 28.1] = '1,2,3'</t>
        </is>
      </c>
      <c r="AK886" s="1344" t="n">
        <v>6</v>
      </c>
      <c r="AL886" s="1345" t="inlineStr">
        <is>
          <t>TPSxxxx (x2)</t>
        </is>
      </c>
      <c r="AM886" s="1321" t="n"/>
      <c r="AN886" s="1343" t="n"/>
      <c r="AO886" s="1344" t="n"/>
      <c r="AP886" s="1319" t="n"/>
      <c r="AQ886" s="1321" t="n"/>
      <c r="AR886" s="1343" t="n"/>
      <c r="AS886" s="1320" t="n"/>
      <c r="AT886" s="1324" t="n"/>
      <c r="AU886" s="1321" t="n"/>
      <c r="AV886" s="1343" t="n"/>
      <c r="AW886" s="1320" t="n"/>
      <c r="AX886" s="1324" t="n"/>
      <c r="AY886" s="1321" t="n"/>
      <c r="AZ886" s="1349" t="n"/>
      <c r="BA886" s="1344" t="n"/>
      <c r="BB886" s="1324" t="n"/>
      <c r="BC886" s="1321" t="n"/>
      <c r="BD886" s="1350" t="n"/>
      <c r="BE886" s="1344" t="n"/>
      <c r="BF886" s="1324" t="n"/>
      <c r="BH8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86">
        <f>_xlfn.LET(r,ROW(),oc,INDEX($A:$A,r),cv,TRIM(INDEX($Y:$Y,r)&amp;""),IF(oc&lt;&gt;"P1","",IF(cv="45","V45 - novo, nao alimentado pelo spool atual","V44 - alimentado pelo spool atual")))</f>
        <v/>
      </c>
    </row>
    <row r="887" ht="54" customFormat="1" customHeight="1" s="1351">
      <c r="A887" s="1328" t="inlineStr">
        <is>
          <t>P1</t>
        </is>
      </c>
      <c r="B887" s="1290" t="n">
        <v>652</v>
      </c>
      <c r="C887" s="1329" t="inlineStr">
        <is>
          <t>11 - Caractéristiques Opérations à effet de levier</t>
        </is>
      </c>
      <c r="D887" s="1330" t="inlineStr">
        <is>
          <t>11 - Leveraged Operations characteristics</t>
        </is>
      </c>
      <c r="E887" s="1331" t="inlineStr">
        <is>
          <t>P1 628.1</t>
        </is>
      </c>
      <c r="F887" s="1332" t="inlineStr">
        <is>
          <t>Devise du montant d'exposition réglementaire soumise au fronting</t>
        </is>
      </c>
      <c r="G887" s="1333" t="inlineStr">
        <is>
          <t>Currency of Amount of regulatory exposure subject to fronting</t>
        </is>
      </c>
      <c r="H887" s="1493">
        <f>"RPAD( "&amp;SUBSTITUTE(SUBSTITUTE(E887," ","_"),".","_")&amp;","&amp;W887&amp;",' '); -- "&amp;E887</f>
        <v/>
      </c>
      <c r="I887" s="1332" t="inlineStr">
        <is>
          <t>Devise du montant associé à la quote part du financement acheté par des investisseurs pour lequel l'entité n'a pas encore reçu le cash correspondant à cette quote part et qui n’a pas encore été transférée au nom des investisseurs dans les livres de l’agent.</t>
        </is>
      </c>
      <c r="J887" s="1333" t="inlineStr">
        <is>
          <t>Currency of amount associated to the share of financing purchased by investors for which the entity has not yet received the cash corresponding to that share and which has not yet been transferred in the agent's books.</t>
        </is>
      </c>
      <c r="K887" s="1334" t="inlineStr">
        <is>
          <t>ND</t>
        </is>
      </c>
      <c r="L887" s="1330" t="inlineStr">
        <is>
          <t>ND</t>
        </is>
      </c>
      <c r="M887" s="1426" t="inlineStr">
        <is>
          <t>TBD</t>
        </is>
      </c>
      <c r="N887" s="1291" t="inlineStr">
        <is>
          <t>Obligatoire sous conditions</t>
        </is>
      </c>
      <c r="O887" s="1292" t="inlineStr">
        <is>
          <t>Mandatory under conditions</t>
        </is>
      </c>
      <c r="P887" s="1334" t="inlineStr">
        <is>
          <t>LC.0005</t>
        </is>
      </c>
      <c r="Q887" s="1334" t="inlineStr">
        <is>
          <t>TA NM253</t>
        </is>
      </c>
      <c r="R887" s="1352" t="inlineStr">
        <is>
          <t>NA</t>
        </is>
      </c>
      <c r="S887" s="1333" t="inlineStr">
        <is>
          <t>NA</t>
        </is>
      </c>
      <c r="T887" s="1337" t="inlineStr">
        <is>
          <t>ALPHA</t>
        </is>
      </c>
      <c r="U887" s="1331" t="inlineStr">
        <is>
          <t>NA</t>
        </is>
      </c>
      <c r="V887" s="1353" t="inlineStr">
        <is>
          <t>NA</t>
        </is>
      </c>
      <c r="W887" s="1337" t="n">
        <v>3</v>
      </c>
      <c r="X887" s="1337" t="inlineStr">
        <is>
          <t>NA</t>
        </is>
      </c>
      <c r="Y887" s="1339" t="n">
        <v>45</v>
      </c>
      <c r="Z887" s="1334" t="inlineStr">
        <is>
          <t>NA</t>
        </is>
      </c>
      <c r="AA887" s="1334" t="inlineStr">
        <is>
          <t>NA</t>
        </is>
      </c>
      <c r="AB887" s="1331" t="inlineStr">
        <is>
          <t>FEL</t>
        </is>
      </c>
      <c r="AC887" s="1334" t="inlineStr">
        <is>
          <t>ND</t>
        </is>
      </c>
      <c r="AD887" s="1334" t="inlineStr">
        <is>
          <t>N</t>
        </is>
      </c>
      <c r="AE887" s="1334" t="inlineStr">
        <is>
          <t xml:space="preserve">EQU101
EQU201
TRE2 à 4XX hors 203,205,206,207
TRE5XX
SIG
</t>
        </is>
      </c>
      <c r="AF887" s="1334" t="inlineStr">
        <is>
          <t>NA</t>
        </is>
      </c>
      <c r="AG887" s="1340" t="inlineStr">
        <is>
          <t>NA</t>
        </is>
      </c>
      <c r="AI887" s="1342" t="inlineStr">
        <is>
          <t>La donnée est obligatoire si Montant d'exposition réglementaire soumise au fronting [P1 628] est renseignée</t>
        </is>
      </c>
      <c r="AJ887" s="1343" t="inlineStr">
        <is>
          <t>The data is mandatory if Amount of regulatory exposure subject to fronting [P1 628] data is filled</t>
        </is>
      </c>
      <c r="AK887" s="1344" t="n">
        <v>7</v>
      </c>
      <c r="AL887" s="1345" t="inlineStr">
        <is>
          <t>TPG0002</t>
        </is>
      </c>
      <c r="AM887" s="1321" t="inlineStr">
        <is>
          <t>Si elle est renseignée, la valeur doit être connue du Langage Commun associé</t>
        </is>
      </c>
      <c r="AN887" s="1343" t="inlineStr">
        <is>
          <t>If specified, the value must be known to the associated Common Language</t>
        </is>
      </c>
      <c r="AO887" s="1344" t="n">
        <v>7</v>
      </c>
      <c r="AP887" s="1319" t="inlineStr">
        <is>
          <t>TIG0001</t>
        </is>
      </c>
      <c r="AQ887" s="1321" t="n"/>
      <c r="AR887" s="1343" t="n"/>
      <c r="AS887" s="1320" t="n"/>
      <c r="AT887" s="1324" t="n"/>
      <c r="AU887" s="1321" t="n"/>
      <c r="AV887" s="1343" t="n"/>
      <c r="AW887" s="1320" t="n"/>
      <c r="AX887" s="1324" t="n"/>
      <c r="AY887" s="1321" t="n"/>
      <c r="AZ887" s="1349" t="n"/>
      <c r="BA887" s="1344" t="n"/>
      <c r="BB887" s="1324" t="n"/>
      <c r="BC887" s="1321" t="n"/>
      <c r="BD887" s="1350" t="n"/>
      <c r="BE887" s="1344" t="n"/>
      <c r="BF887" s="1324" t="n"/>
      <c r="BH8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87">
        <f>_xlfn.LET(r,ROW(),oc,INDEX($A:$A,r),cv,TRIM(INDEX($Y:$Y,r)&amp;""),IF(oc&lt;&gt;"P1","",IF(cv="45","V45 - novo, nao alimentado pelo spool atual","V44 - alimentado pelo spool atual")))</f>
        <v/>
      </c>
    </row>
    <row r="888" ht="54" customFormat="1" customHeight="1" s="1351">
      <c r="A888" s="1328" t="inlineStr">
        <is>
          <t>P1</t>
        </is>
      </c>
      <c r="B888" s="1290" t="n">
        <v>653</v>
      </c>
      <c r="C888" s="1329" t="inlineStr">
        <is>
          <t>11 - Caractéristiques Opérations à effet de levier</t>
        </is>
      </c>
      <c r="D888" s="1330" t="inlineStr">
        <is>
          <t>11 - Leveraged Operations characteristics</t>
        </is>
      </c>
      <c r="E888" s="1331" t="inlineStr">
        <is>
          <t>P1 629</t>
        </is>
      </c>
      <c r="F888" s="1332" t="inlineStr">
        <is>
          <t>Indicateur Reserve Based Lending (RBL)</t>
        </is>
      </c>
      <c r="G888" s="1333" t="inlineStr">
        <is>
          <t>Reserve Based Lending (RBL) indicator</t>
        </is>
      </c>
      <c r="H888" s="1493">
        <f>"RPAD( "&amp;SUBSTITUTE(SUBSTITUTE(E888," ","_"),".","_")&amp;","&amp;W888&amp;",' '); -- "&amp;E888</f>
        <v/>
      </c>
      <c r="I888" s="1356" t="inlineStr">
        <is>
          <t xml:space="preserve">Indicateur "Reserve-based lending".
Financement adossé au secteur de l’énergie (pétrole, gaz, mines…) </t>
        </is>
      </c>
      <c r="J888" s="1357" t="inlineStr">
        <is>
          <t>"Reserve-based lending" indicator: Financing backed by the energy sector (oil, gas, mining, etc.)</t>
        </is>
      </c>
      <c r="K888" s="1334" t="inlineStr">
        <is>
          <t>ND</t>
        </is>
      </c>
      <c r="L888" s="1330" t="inlineStr">
        <is>
          <t>ND</t>
        </is>
      </c>
      <c r="M888" s="1426" t="inlineStr">
        <is>
          <t>TBD</t>
        </is>
      </c>
      <c r="N888" s="1291" t="inlineStr">
        <is>
          <t>Obligatoire sous conditions</t>
        </is>
      </c>
      <c r="O888" s="1292" t="inlineStr">
        <is>
          <t>Mandatory under conditions</t>
        </is>
      </c>
      <c r="P888" s="1334" t="inlineStr">
        <is>
          <t>LC.0594</t>
        </is>
      </c>
      <c r="Q888" s="1334" t="inlineStr">
        <is>
          <t>RB KVIDRRBL</t>
        </is>
      </c>
      <c r="R888" s="1352" t="inlineStr">
        <is>
          <t>Entités hors CACIB, renseigner par 'N'</t>
        </is>
      </c>
      <c r="S888" s="1333" t="inlineStr">
        <is>
          <t>Entities except CACIB, fill in with 'N'</t>
        </is>
      </c>
      <c r="T888" s="1337" t="inlineStr">
        <is>
          <t>ALPHA</t>
        </is>
      </c>
      <c r="U888" s="1337" t="inlineStr">
        <is>
          <t>NA</t>
        </is>
      </c>
      <c r="V888" s="1338" t="inlineStr">
        <is>
          <t>NA</t>
        </is>
      </c>
      <c r="W888" s="1337" t="n">
        <v>1</v>
      </c>
      <c r="X888" s="1337" t="inlineStr">
        <is>
          <t>NA</t>
        </is>
      </c>
      <c r="Y888" s="1339" t="n">
        <v>45</v>
      </c>
      <c r="Z888" s="1334" t="inlineStr">
        <is>
          <t>NA</t>
        </is>
      </c>
      <c r="AA888" s="1334" t="inlineStr">
        <is>
          <t>NA</t>
        </is>
      </c>
      <c r="AB888" s="1331" t="inlineStr">
        <is>
          <t>FEL</t>
        </is>
      </c>
      <c r="AC888" s="1334" t="inlineStr">
        <is>
          <t>ND</t>
        </is>
      </c>
      <c r="AD888" s="1334" t="inlineStr">
        <is>
          <t>N</t>
        </is>
      </c>
      <c r="AE888" s="1334" t="inlineStr">
        <is>
          <t xml:space="preserve">EQU101
EQU201
TRE2 à 4XX hors 203,205,206,207
TRE5XX
SIG
</t>
        </is>
      </c>
      <c r="AF888" s="1334" t="inlineStr">
        <is>
          <t>NA</t>
        </is>
      </c>
      <c r="AG888" s="1340" t="inlineStr">
        <is>
          <t>NA</t>
        </is>
      </c>
      <c r="AI888" s="1342" t="inlineStr">
        <is>
          <t>La donnée est obligatoire, si Indicateur opération effet de levier [P1 28.1] = '1,2,3'</t>
        </is>
      </c>
      <c r="AJ888" s="1343" t="inlineStr">
        <is>
          <t>The data is mandatory, if Leveraged transaction Indicator [P1 28.1] = '1,2,3'</t>
        </is>
      </c>
      <c r="AK888" s="1344" t="n">
        <v>7</v>
      </c>
      <c r="AL888" s="1345" t="inlineStr">
        <is>
          <t>TPSxxxx</t>
        </is>
      </c>
      <c r="AM888" s="1346" t="inlineStr">
        <is>
          <t>Si elle est renseignée, la valeur doit être connue du Langage Commun associé</t>
        </is>
      </c>
      <c r="AN888" s="1347" t="inlineStr">
        <is>
          <t>If specified, the value must be known to the associated Common Language</t>
        </is>
      </c>
      <c r="AO888" s="1348" t="n">
        <v>7</v>
      </c>
      <c r="AP888" s="1324" t="inlineStr">
        <is>
          <t>TIG0001</t>
        </is>
      </c>
      <c r="AQ888" s="1321" t="n"/>
      <c r="AR888" s="1343" t="n"/>
      <c r="AS888" s="1320" t="n"/>
      <c r="AT888" s="1324" t="n"/>
      <c r="AU888" s="1321" t="n"/>
      <c r="AV888" s="1343" t="n"/>
      <c r="AW888" s="1320" t="n"/>
      <c r="AX888" s="1324" t="n"/>
      <c r="AY888" s="1321" t="n"/>
      <c r="AZ888" s="1349" t="n"/>
      <c r="BA888" s="1344" t="n"/>
      <c r="BB888" s="1324" t="n"/>
      <c r="BC888" s="1321" t="n"/>
      <c r="BD888" s="1350" t="n"/>
      <c r="BE888" s="1344" t="n"/>
      <c r="BF888" s="1324" t="n"/>
      <c r="BH8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88">
        <f>_xlfn.LET(r,ROW(),oc,INDEX($A:$A,r),cv,TRIM(INDEX($Y:$Y,r)&amp;""),IF(oc&lt;&gt;"P1","",IF(cv="45","V45 - novo, nao alimentado pelo spool atual","V44 - alimentado pelo spool atual")))</f>
        <v/>
      </c>
    </row>
    <row r="889" ht="54" customFormat="1" customHeight="1" s="1351">
      <c r="A889" s="1328" t="inlineStr">
        <is>
          <t>P1</t>
        </is>
      </c>
      <c r="B889" s="1290" t="n">
        <v>654</v>
      </c>
      <c r="C889" s="1329" t="inlineStr">
        <is>
          <t>11 - Caractéristiques Opérations à effet de levier</t>
        </is>
      </c>
      <c r="D889" s="1330" t="inlineStr">
        <is>
          <t>11 - Leveraged Operations characteristics</t>
        </is>
      </c>
      <c r="E889" s="1331" t="inlineStr">
        <is>
          <t>P1 630</t>
        </is>
      </c>
      <c r="F889" s="1332" t="inlineStr">
        <is>
          <t>Exposition réglementaire soumise au RBL</t>
        </is>
      </c>
      <c r="G889" s="1333" t="inlineStr">
        <is>
          <t>Regulatory amount subject to RBL</t>
        </is>
      </c>
      <c r="H889" s="1493">
        <f>"RPAD( "&amp;SUBSTITUTE(SUBSTITUTE(E889," ","_"),".","_")&amp;","&amp;W889&amp;",' '); -- "&amp;E889</f>
        <v/>
      </c>
      <c r="I889" s="1332" t="inlineStr">
        <is>
          <t>Montant associé à l'indicateur Reserve-based lending Financements adossés à l'actif financé (pétrole, charbon...)</t>
        </is>
      </c>
      <c r="J889" s="1333" t="inlineStr">
        <is>
          <t>Amount associated with the Reserve-based lending indicator: Financing backed by the financed asset (oil, coal, etc.)</t>
        </is>
      </c>
      <c r="K889" s="1334" t="inlineStr">
        <is>
          <t>ND</t>
        </is>
      </c>
      <c r="L889" s="1330" t="inlineStr">
        <is>
          <t>ND</t>
        </is>
      </c>
      <c r="M889" s="1426" t="inlineStr">
        <is>
          <t>TBD</t>
        </is>
      </c>
      <c r="N889" s="1291" t="inlineStr">
        <is>
          <t>Obligatoire sous conditions</t>
        </is>
      </c>
      <c r="O889" s="1292" t="inlineStr">
        <is>
          <t>Mandatory under conditions</t>
        </is>
      </c>
      <c r="P889" s="1334" t="inlineStr">
        <is>
          <t>NA</t>
        </is>
      </c>
      <c r="Q889" s="1334" t="inlineStr">
        <is>
          <t>NA</t>
        </is>
      </c>
      <c r="R889" s="1352" t="inlineStr">
        <is>
          <t>NA</t>
        </is>
      </c>
      <c r="S889" s="1333" t="inlineStr">
        <is>
          <t>NA</t>
        </is>
      </c>
      <c r="T889" s="1337" t="inlineStr">
        <is>
          <t>NUM</t>
        </is>
      </c>
      <c r="U889" s="1331" t="inlineStr">
        <is>
          <t>19 dont signe et 2 décimales</t>
        </is>
      </c>
      <c r="V889" s="1353" t="inlineStr">
        <is>
          <t>19 including sign and 2 decimals</t>
        </is>
      </c>
      <c r="W889" s="1337" t="n">
        <v>19</v>
      </c>
      <c r="X889" s="1337" t="inlineStr">
        <is>
          <t>NA</t>
        </is>
      </c>
      <c r="Y889" s="1339" t="n">
        <v>45</v>
      </c>
      <c r="Z889" s="1334" t="inlineStr">
        <is>
          <t>NA</t>
        </is>
      </c>
      <c r="AA889" s="1334" t="inlineStr">
        <is>
          <t>NA</t>
        </is>
      </c>
      <c r="AB889" s="1331" t="inlineStr">
        <is>
          <t>FEL</t>
        </is>
      </c>
      <c r="AC889" s="1334" t="inlineStr">
        <is>
          <t>ND</t>
        </is>
      </c>
      <c r="AD889" s="1334" t="inlineStr">
        <is>
          <t>N</t>
        </is>
      </c>
      <c r="AE889" s="1334" t="inlineStr">
        <is>
          <t xml:space="preserve">EQU101
EQU201
TRE2 à 4XX hors 203,205,206,207
TRE5XX
SIG
</t>
        </is>
      </c>
      <c r="AF889" s="1334" t="inlineStr">
        <is>
          <t>NA</t>
        </is>
      </c>
      <c r="AG889" s="1340" t="inlineStr">
        <is>
          <t>NA</t>
        </is>
      </c>
      <c r="AI889" s="1342" t="inlineStr">
        <is>
          <t>La donnée est obligatoire, si Indicateur Reserve Based Lending (RBL) [P1 629]= 'Y'</t>
        </is>
      </c>
      <c r="AJ889" s="1343" t="inlineStr">
        <is>
          <t>The data is mandatory, if Reserve Based Lending (RBL) indicator [P1 629] = 'Y'</t>
        </is>
      </c>
      <c r="AK889" s="1344" t="n">
        <v>7</v>
      </c>
      <c r="AL889" s="1345" t="inlineStr">
        <is>
          <t>TPSxxxx</t>
        </is>
      </c>
      <c r="AM889" s="1321" t="n"/>
      <c r="AN889" s="1343" t="n"/>
      <c r="AO889" s="1344" t="n"/>
      <c r="AP889" s="1319" t="n"/>
      <c r="AQ889" s="1321" t="n"/>
      <c r="AR889" s="1343" t="n"/>
      <c r="AS889" s="1320" t="n"/>
      <c r="AT889" s="1324" t="n"/>
      <c r="AU889" s="1321" t="n"/>
      <c r="AV889" s="1343" t="n"/>
      <c r="AW889" s="1320" t="n"/>
      <c r="AX889" s="1324" t="n"/>
      <c r="AY889" s="1321" t="n"/>
      <c r="AZ889" s="1349" t="n"/>
      <c r="BA889" s="1344" t="n"/>
      <c r="BB889" s="1324" t="n"/>
      <c r="BC889" s="1321" t="n"/>
      <c r="BD889" s="1350" t="n"/>
      <c r="BE889" s="1344" t="n"/>
      <c r="BF889" s="1324" t="n"/>
      <c r="BH8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89">
        <f>_xlfn.LET(r,ROW(),oc,INDEX($A:$A,r),cv,TRIM(INDEX($Y:$Y,r)&amp;""),IF(oc&lt;&gt;"P1","",IF(cv="45","V45 - novo, nao alimentado pelo spool atual","V44 - alimentado pelo spool atual")))</f>
        <v/>
      </c>
    </row>
    <row r="890" ht="54" customFormat="1" customHeight="1" s="1351">
      <c r="A890" s="1328" t="inlineStr">
        <is>
          <t>P1</t>
        </is>
      </c>
      <c r="B890" s="1290" t="n">
        <v>655</v>
      </c>
      <c r="C890" s="1329" t="inlineStr">
        <is>
          <t>11 - Caractéristiques Opérations à effet de levier</t>
        </is>
      </c>
      <c r="D890" s="1330" t="inlineStr">
        <is>
          <t>11 - Leveraged Operations characteristics</t>
        </is>
      </c>
      <c r="E890" s="1331" t="inlineStr">
        <is>
          <t>P1 630.1</t>
        </is>
      </c>
      <c r="F890" s="1332" t="inlineStr">
        <is>
          <t>Devise de l'exposition réglementaire soumise au RBL</t>
        </is>
      </c>
      <c r="G890" s="1333" t="inlineStr">
        <is>
          <t>Currency of Regulatory amount subject to RBL</t>
        </is>
      </c>
      <c r="H890" s="1493">
        <f>"RPAD( "&amp;SUBSTITUTE(SUBSTITUTE(E890," ","_"),".","_")&amp;","&amp;W890&amp;",' '); -- "&amp;E890</f>
        <v/>
      </c>
      <c r="I890" s="1332" t="inlineStr">
        <is>
          <t>Devise du montant associé à l'indicateur Reserve-based lending Financements adossés à l'actif financé (pétrole, charbon...)</t>
        </is>
      </c>
      <c r="J890" s="1333" t="inlineStr">
        <is>
          <t>Currency of amount associated with the Reserve-based lending indicator: Financing backed by the financed asset (oil, coal, etc.)</t>
        </is>
      </c>
      <c r="K890" s="1334" t="inlineStr">
        <is>
          <t>ND</t>
        </is>
      </c>
      <c r="L890" s="1330" t="inlineStr">
        <is>
          <t>ND</t>
        </is>
      </c>
      <c r="M890" s="1426" t="inlineStr">
        <is>
          <t>TBD</t>
        </is>
      </c>
      <c r="N890" s="1291" t="inlineStr">
        <is>
          <t>Obligatoire sous conditions</t>
        </is>
      </c>
      <c r="O890" s="1292" t="inlineStr">
        <is>
          <t>Mandatory under conditions</t>
        </is>
      </c>
      <c r="P890" s="1334" t="inlineStr">
        <is>
          <t>LC.0005</t>
        </is>
      </c>
      <c r="Q890" s="1334" t="inlineStr">
        <is>
          <t>TA NM253</t>
        </is>
      </c>
      <c r="R890" s="1352" t="inlineStr">
        <is>
          <t>NA</t>
        </is>
      </c>
      <c r="S890" s="1333" t="inlineStr">
        <is>
          <t>NA</t>
        </is>
      </c>
      <c r="T890" s="1337" t="inlineStr">
        <is>
          <t>ALPHA</t>
        </is>
      </c>
      <c r="U890" s="1331" t="inlineStr">
        <is>
          <t>NA</t>
        </is>
      </c>
      <c r="V890" s="1353" t="inlineStr">
        <is>
          <t>NA</t>
        </is>
      </c>
      <c r="W890" s="1337" t="n">
        <v>3</v>
      </c>
      <c r="X890" s="1337" t="inlineStr">
        <is>
          <t>NA</t>
        </is>
      </c>
      <c r="Y890" s="1339" t="n">
        <v>45</v>
      </c>
      <c r="Z890" s="1334" t="inlineStr">
        <is>
          <t>NA</t>
        </is>
      </c>
      <c r="AA890" s="1334" t="inlineStr">
        <is>
          <t>NA</t>
        </is>
      </c>
      <c r="AB890" s="1331" t="inlineStr">
        <is>
          <t>FEL</t>
        </is>
      </c>
      <c r="AC890" s="1334" t="inlineStr">
        <is>
          <t>ND</t>
        </is>
      </c>
      <c r="AD890" s="1334" t="inlineStr">
        <is>
          <t>N</t>
        </is>
      </c>
      <c r="AE890" s="1334" t="inlineStr">
        <is>
          <t xml:space="preserve">EQU101
EQU201
TRE2 à 4XX hors 203,205,206,207
TRE5XX
SIG
</t>
        </is>
      </c>
      <c r="AF890" s="1334" t="inlineStr">
        <is>
          <t>NA</t>
        </is>
      </c>
      <c r="AG890" s="1340" t="inlineStr">
        <is>
          <t>NA</t>
        </is>
      </c>
      <c r="AI890" s="1342" t="inlineStr">
        <is>
          <t>La donnée est obligatoire si Exposition réglementaire soumise au RBL [P1 630] est renseignée</t>
        </is>
      </c>
      <c r="AJ890" s="1343" t="inlineStr">
        <is>
          <t>The data is mandatory if Regulatory amount subject to RBL [P1 631] data is filled</t>
        </is>
      </c>
      <c r="AK890" s="1344" t="n">
        <v>7</v>
      </c>
      <c r="AL890" s="1345" t="inlineStr">
        <is>
          <t>TPG0002</t>
        </is>
      </c>
      <c r="AM890" s="1321" t="inlineStr">
        <is>
          <t>Si elle est renseignée, la valeur doit être connue du Langage Commun associé</t>
        </is>
      </c>
      <c r="AN890" s="1343" t="inlineStr">
        <is>
          <t>If specified, the value must be known to the associated Common Language</t>
        </is>
      </c>
      <c r="AO890" s="1344" t="n">
        <v>7</v>
      </c>
      <c r="AP890" s="1319" t="inlineStr">
        <is>
          <t>TIG0001</t>
        </is>
      </c>
      <c r="AQ890" s="1321" t="n"/>
      <c r="AR890" s="1343" t="n"/>
      <c r="AS890" s="1320" t="n"/>
      <c r="AT890" s="1324" t="n"/>
      <c r="AU890" s="1321" t="n"/>
      <c r="AV890" s="1343" t="n"/>
      <c r="AW890" s="1320" t="n"/>
      <c r="AX890" s="1324" t="n"/>
      <c r="AY890" s="1321" t="n"/>
      <c r="AZ890" s="1349" t="n"/>
      <c r="BA890" s="1344" t="n"/>
      <c r="BB890" s="1324" t="n"/>
      <c r="BC890" s="1321" t="n"/>
      <c r="BD890" s="1350" t="n"/>
      <c r="BE890" s="1344" t="n"/>
      <c r="BF890" s="1324" t="n"/>
      <c r="BH8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90">
        <f>_xlfn.LET(r,ROW(),oc,INDEX($A:$A,r),cv,TRIM(INDEX($Y:$Y,r)&amp;""),IF(oc&lt;&gt;"P1","",IF(cv="45","V45 - novo, nao alimentado pelo spool atual","V44 - alimentado pelo spool atual")))</f>
        <v/>
      </c>
    </row>
    <row r="891" ht="54" customFormat="1" customHeight="1" s="1351">
      <c r="A891" s="1328" t="inlineStr">
        <is>
          <t>P1</t>
        </is>
      </c>
      <c r="B891" s="1290" t="n">
        <v>656</v>
      </c>
      <c r="C891" s="1329" t="inlineStr">
        <is>
          <t>11 - Caractéristiques Opérations à effet de levier</t>
        </is>
      </c>
      <c r="D891" s="1330" t="inlineStr">
        <is>
          <t>11 - Leveraged Operations characteristics</t>
        </is>
      </c>
      <c r="E891" s="1331" t="inlineStr">
        <is>
          <t>P1 631</t>
        </is>
      </c>
      <c r="F891" s="1332" t="inlineStr">
        <is>
          <t>Expositions à date d'arrêté (vision stock) sur High Yield Bonds</t>
        </is>
      </c>
      <c r="G891" s="1333" t="inlineStr">
        <is>
          <t>Exposures as of the reporting date (stock view) on High Yield Bonds</t>
        </is>
      </c>
      <c r="H891" s="1493">
        <f>"RPAD( "&amp;SUBSTITUTE(SUBSTITUTE(E891," ","_"),".","_")&amp;","&amp;W891&amp;",' '); -- "&amp;E891</f>
        <v/>
      </c>
      <c r="I891" s="1332" t="inlineStr">
        <is>
          <t>Expostions à date d'arrêté, liées à l'émission d'obligation de sociétés « non investment grade ». Les émissions obligataires souveraines ainsi que les émissions obligataires « investment grade » sont exclues</t>
        </is>
      </c>
      <c r="J891" s="1333" t="inlineStr">
        <is>
          <t>Exposures as of the reporting date, related to the issuance of 'non-investment grade' corporate bonds. Sovereign bond issuances as well as 'investment grade' bond issuances are excluded.</t>
        </is>
      </c>
      <c r="K891" s="1334" t="inlineStr">
        <is>
          <t>ND</t>
        </is>
      </c>
      <c r="L891" s="1330" t="inlineStr">
        <is>
          <t>ND</t>
        </is>
      </c>
      <c r="M891" s="1426" t="inlineStr">
        <is>
          <t>TBD</t>
        </is>
      </c>
      <c r="N891" s="1291" t="inlineStr">
        <is>
          <t>Obligatoire sous conditions</t>
        </is>
      </c>
      <c r="O891" s="1292" t="inlineStr">
        <is>
          <t>Mandatory under conditions</t>
        </is>
      </c>
      <c r="P891" s="1334" t="inlineStr">
        <is>
          <t>NA</t>
        </is>
      </c>
      <c r="Q891" s="1334" t="inlineStr">
        <is>
          <t>NA</t>
        </is>
      </c>
      <c r="R891" s="1352" t="inlineStr">
        <is>
          <t>NA</t>
        </is>
      </c>
      <c r="S891" s="1333" t="inlineStr">
        <is>
          <t>NA</t>
        </is>
      </c>
      <c r="T891" s="1337" t="inlineStr">
        <is>
          <t>NUM</t>
        </is>
      </c>
      <c r="U891" s="1331" t="inlineStr">
        <is>
          <t>19 dont signe et 2 décimales</t>
        </is>
      </c>
      <c r="V891" s="1353" t="inlineStr">
        <is>
          <t>19 including sign and 2 decimals</t>
        </is>
      </c>
      <c r="W891" s="1337" t="n">
        <v>19</v>
      </c>
      <c r="X891" s="1337" t="inlineStr">
        <is>
          <t>NA</t>
        </is>
      </c>
      <c r="Y891" s="1339" t="n">
        <v>45</v>
      </c>
      <c r="Z891" s="1334" t="inlineStr">
        <is>
          <t>NA</t>
        </is>
      </c>
      <c r="AA891" s="1334" t="inlineStr">
        <is>
          <t>NA</t>
        </is>
      </c>
      <c r="AB891" s="1331" t="inlineStr">
        <is>
          <t>FEL</t>
        </is>
      </c>
      <c r="AC891" s="1334" t="inlineStr">
        <is>
          <t>ND</t>
        </is>
      </c>
      <c r="AD891" s="1334" t="inlineStr">
        <is>
          <t>N</t>
        </is>
      </c>
      <c r="AE891" s="1334" t="inlineStr">
        <is>
          <t xml:space="preserve">EQU101
EQU201
TRE2 à 4XX hors 203,205,206,207
TRE5XX
SIG
</t>
        </is>
      </c>
      <c r="AF891" s="1334" t="inlineStr">
        <is>
          <t>NA</t>
        </is>
      </c>
      <c r="AG891" s="1340" t="inlineStr">
        <is>
          <t>NA</t>
        </is>
      </c>
      <c r="AI891" s="1342" t="inlineStr">
        <is>
          <t>La donnée est obligatoire, si Indicateur opération effet de levier [P1 28.1] = '1,2,3'</t>
        </is>
      </c>
      <c r="AJ891" s="1343" t="inlineStr">
        <is>
          <t>The data is mandatory, if Leveraged transaction Indicator [P1 28.1] = '1,2,3'</t>
        </is>
      </c>
      <c r="AK891" s="1344" t="n">
        <v>6</v>
      </c>
      <c r="AL891" s="1345" t="inlineStr">
        <is>
          <t>TPSxxxx</t>
        </is>
      </c>
      <c r="AM891" s="1321" t="n"/>
      <c r="AN891" s="1343" t="n"/>
      <c r="AO891" s="1344" t="n"/>
      <c r="AP891" s="1319" t="n"/>
      <c r="AQ891" s="1321" t="n"/>
      <c r="AR891" s="1343" t="n"/>
      <c r="AS891" s="1320" t="n"/>
      <c r="AT891" s="1324" t="n"/>
      <c r="AU891" s="1321" t="n"/>
      <c r="AV891" s="1343" t="n"/>
      <c r="AW891" s="1320" t="n"/>
      <c r="AX891" s="1324" t="n"/>
      <c r="AY891" s="1321" t="n"/>
      <c r="AZ891" s="1349" t="n"/>
      <c r="BA891" s="1344" t="n"/>
      <c r="BB891" s="1324" t="n"/>
      <c r="BC891" s="1321" t="n"/>
      <c r="BD891" s="1350" t="n"/>
      <c r="BE891" s="1344" t="n"/>
      <c r="BF891" s="1324" t="n"/>
      <c r="BH8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91">
        <f>_xlfn.LET(r,ROW(),oc,INDEX($A:$A,r),cv,TRIM(INDEX($Y:$Y,r)&amp;""),IF(oc&lt;&gt;"P1","",IF(cv="45","V45 - novo, nao alimentado pelo spool atual","V44 - alimentado pelo spool atual")))</f>
        <v/>
      </c>
    </row>
    <row r="892" ht="54" customFormat="1" customHeight="1" s="1351">
      <c r="A892" s="1328" t="inlineStr">
        <is>
          <t>P1</t>
        </is>
      </c>
      <c r="B892" s="1290" t="n">
        <v>657</v>
      </c>
      <c r="C892" s="1329" t="inlineStr">
        <is>
          <t>11 - Caractéristiques Opérations à effet de levier</t>
        </is>
      </c>
      <c r="D892" s="1330" t="inlineStr">
        <is>
          <t>11 - Leveraged Operations characteristics</t>
        </is>
      </c>
      <c r="E892" s="1331" t="inlineStr">
        <is>
          <t>P1 631.1</t>
        </is>
      </c>
      <c r="F892" s="1332" t="inlineStr">
        <is>
          <t>Devise des expositions à date d'arrêté (vision stock) sur High Yield Bonds</t>
        </is>
      </c>
      <c r="G892" s="1333" t="inlineStr">
        <is>
          <t>Currency of exposures as of the reporting date (stock view) on High Yield Bonds</t>
        </is>
      </c>
      <c r="H892" s="1493">
        <f>"RPAD( "&amp;SUBSTITUTE(SUBSTITUTE(E892," ","_"),".","_")&amp;","&amp;W892&amp;",' '); -- "&amp;E892</f>
        <v/>
      </c>
      <c r="I892" s="1332" t="inlineStr">
        <is>
          <t>Devise des expostions à date d'arrêté, liées à l'émission d'obligation de sociétés « non investment grade ». Les émissions obligataires souveraines ainsi que les émissions obligataires « investment grade » sont exclues</t>
        </is>
      </c>
      <c r="J892" s="1333" t="inlineStr">
        <is>
          <t>Currency of exposures as of the reporting date, related to the issuance of 'non-investment grade' corporate bonds. Sovereign bond issuances as well as 'investment grade' bond issuances are excluded.</t>
        </is>
      </c>
      <c r="K892" s="1334" t="inlineStr">
        <is>
          <t>ND</t>
        </is>
      </c>
      <c r="L892" s="1330" t="inlineStr">
        <is>
          <t>ND</t>
        </is>
      </c>
      <c r="M892" s="1426" t="inlineStr">
        <is>
          <t>TBD</t>
        </is>
      </c>
      <c r="N892" s="1291" t="inlineStr">
        <is>
          <t>Obligatoire sous conditions</t>
        </is>
      </c>
      <c r="O892" s="1292" t="inlineStr">
        <is>
          <t>Mandatory under conditions</t>
        </is>
      </c>
      <c r="P892" s="1334" t="inlineStr">
        <is>
          <t>LC.0005</t>
        </is>
      </c>
      <c r="Q892" s="1334" t="inlineStr">
        <is>
          <t>TA NM253</t>
        </is>
      </c>
      <c r="R892" s="1352" t="inlineStr">
        <is>
          <t>NA</t>
        </is>
      </c>
      <c r="S892" s="1333" t="inlineStr">
        <is>
          <t>NA</t>
        </is>
      </c>
      <c r="T892" s="1337" t="inlineStr">
        <is>
          <t>ALPHA</t>
        </is>
      </c>
      <c r="U892" s="1331" t="inlineStr">
        <is>
          <t>NA</t>
        </is>
      </c>
      <c r="V892" s="1353" t="inlineStr">
        <is>
          <t>NA</t>
        </is>
      </c>
      <c r="W892" s="1337" t="n">
        <v>3</v>
      </c>
      <c r="X892" s="1337" t="inlineStr">
        <is>
          <t>NA</t>
        </is>
      </c>
      <c r="Y892" s="1339" t="n">
        <v>45</v>
      </c>
      <c r="Z892" s="1334" t="inlineStr">
        <is>
          <t>NA</t>
        </is>
      </c>
      <c r="AA892" s="1334" t="inlineStr">
        <is>
          <t>NA</t>
        </is>
      </c>
      <c r="AB892" s="1331" t="inlineStr">
        <is>
          <t>FEL</t>
        </is>
      </c>
      <c r="AC892" s="1334" t="inlineStr">
        <is>
          <t>ND</t>
        </is>
      </c>
      <c r="AD892" s="1334" t="inlineStr">
        <is>
          <t>N</t>
        </is>
      </c>
      <c r="AE892" s="1334" t="inlineStr">
        <is>
          <t xml:space="preserve">EQU101
EQU201
TRE2 à 4XX hors 203,205,206,207
TRE5XX
SIG
</t>
        </is>
      </c>
      <c r="AF892" s="1334" t="inlineStr">
        <is>
          <t>NA</t>
        </is>
      </c>
      <c r="AG892" s="1340" t="inlineStr">
        <is>
          <t>NA</t>
        </is>
      </c>
      <c r="AI892" s="1342" t="inlineStr">
        <is>
          <t>La donnée est obligatoire si Expositions à date d'arrêté (vision stock) sur High Yield Bonds [P1 631] est renseignée</t>
        </is>
      </c>
      <c r="AJ892" s="1343" t="inlineStr">
        <is>
          <t>The data is mandatory if Exposures as of the reporting date (stock view) on High Yield Bonds [P1 631] data is filled</t>
        </is>
      </c>
      <c r="AK892" s="1344" t="n">
        <v>7</v>
      </c>
      <c r="AL892" s="1345" t="inlineStr">
        <is>
          <t>TPG0002</t>
        </is>
      </c>
      <c r="AM892" s="1321" t="inlineStr">
        <is>
          <t>Si elle est renseignée, la valeur doit être connue du Langage Commun associé</t>
        </is>
      </c>
      <c r="AN892" s="1343" t="inlineStr">
        <is>
          <t>If specified, the value must be known to the associated Common Language</t>
        </is>
      </c>
      <c r="AO892" s="1344" t="n">
        <v>7</v>
      </c>
      <c r="AP892" s="1319" t="inlineStr">
        <is>
          <t>TIG0001</t>
        </is>
      </c>
      <c r="AQ892" s="1321" t="n"/>
      <c r="AR892" s="1343" t="n"/>
      <c r="AS892" s="1320" t="n"/>
      <c r="AT892" s="1324" t="n"/>
      <c r="AU892" s="1321" t="n"/>
      <c r="AV892" s="1343" t="n"/>
      <c r="AW892" s="1320" t="n"/>
      <c r="AX892" s="1324" t="n"/>
      <c r="AY892" s="1321" t="n"/>
      <c r="AZ892" s="1349" t="n"/>
      <c r="BA892" s="1344" t="n"/>
      <c r="BB892" s="1324" t="n"/>
      <c r="BC892" s="1321" t="n"/>
      <c r="BD892" s="1350" t="n"/>
      <c r="BE892" s="1344" t="n"/>
      <c r="BF892" s="1324" t="n"/>
      <c r="BH8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92">
        <f>_xlfn.LET(r,ROW(),oc,INDEX($A:$A,r),cv,TRIM(INDEX($Y:$Y,r)&amp;""),IF(oc&lt;&gt;"P1","",IF(cv="45","V45 - novo, nao alimentado pelo spool atual","V44 - alimentado pelo spool atual")))</f>
        <v/>
      </c>
    </row>
    <row r="893" ht="54" customFormat="1" customHeight="1" s="1351">
      <c r="A893" s="1328" t="inlineStr">
        <is>
          <t>P1</t>
        </is>
      </c>
      <c r="B893" s="1290" t="n">
        <v>658</v>
      </c>
      <c r="C893" s="1329" t="inlineStr">
        <is>
          <t>11 - Caractéristiques Opérations à effet de levier</t>
        </is>
      </c>
      <c r="D893" s="1330" t="inlineStr">
        <is>
          <t>11 - Leveraged Operations characteristics</t>
        </is>
      </c>
      <c r="E893" s="1331" t="inlineStr">
        <is>
          <t>P1 632</t>
        </is>
      </c>
      <c r="F893" s="1332" t="inlineStr">
        <is>
          <t>Expositions arrangées par la banque au cours du trimestre sur High Yield Bonds</t>
        </is>
      </c>
      <c r="G893" s="1333" t="inlineStr">
        <is>
          <t>Exposures arranged by the bank during the quarter on High Yield Bonds</t>
        </is>
      </c>
      <c r="H893" s="1493">
        <f>"RPAD( "&amp;SUBSTITUTE(SUBSTITUTE(E893," ","_"),".","_")&amp;","&amp;W893&amp;",' '); -- "&amp;E893</f>
        <v/>
      </c>
      <c r="I893" s="1332" t="inlineStr">
        <is>
          <t>Expostions au cours du trimestre, liées à l'émission d'obligation de sociétés « non investment grade ». Les émissions obligataires souveraines ainsi que les émissions obligataires « investment grade » sont exclues</t>
        </is>
      </c>
      <c r="J893" s="1333" t="inlineStr">
        <is>
          <t>Exposures during the quarter related to the issuance of 'non-investment grade' corporate bonds. Sovereign bond issuances and 'investment grade' bond issuances are excluded.</t>
        </is>
      </c>
      <c r="K893" s="1334" t="inlineStr">
        <is>
          <t>ND</t>
        </is>
      </c>
      <c r="L893" s="1330" t="inlineStr">
        <is>
          <t>ND</t>
        </is>
      </c>
      <c r="M893" s="1426" t="inlineStr">
        <is>
          <t>TBD</t>
        </is>
      </c>
      <c r="N893" s="1291" t="inlineStr">
        <is>
          <t>Obligatoire sous conditions</t>
        </is>
      </c>
      <c r="O893" s="1292" t="inlineStr">
        <is>
          <t>Mandatory under conditions</t>
        </is>
      </c>
      <c r="P893" s="1334" t="inlineStr">
        <is>
          <t>NA</t>
        </is>
      </c>
      <c r="Q893" s="1334" t="inlineStr">
        <is>
          <t>NA</t>
        </is>
      </c>
      <c r="R893" s="1352" t="inlineStr">
        <is>
          <t>NA</t>
        </is>
      </c>
      <c r="S893" s="1333" t="inlineStr">
        <is>
          <t>NA</t>
        </is>
      </c>
      <c r="T893" s="1337" t="inlineStr">
        <is>
          <t>NUM</t>
        </is>
      </c>
      <c r="U893" s="1331" t="inlineStr">
        <is>
          <t>19 dont signe et 2 décimales</t>
        </is>
      </c>
      <c r="V893" s="1353" t="inlineStr">
        <is>
          <t>19 including sign and 2 decimals</t>
        </is>
      </c>
      <c r="W893" s="1337" t="n">
        <v>19</v>
      </c>
      <c r="X893" s="1337" t="inlineStr">
        <is>
          <t>NA</t>
        </is>
      </c>
      <c r="Y893" s="1339" t="n">
        <v>45</v>
      </c>
      <c r="Z893" s="1334" t="inlineStr">
        <is>
          <t>NA</t>
        </is>
      </c>
      <c r="AA893" s="1334" t="inlineStr">
        <is>
          <t>NA</t>
        </is>
      </c>
      <c r="AB893" s="1331" t="inlineStr">
        <is>
          <t>FEL</t>
        </is>
      </c>
      <c r="AC893" s="1334" t="inlineStr">
        <is>
          <t>ND</t>
        </is>
      </c>
      <c r="AD893" s="1334" t="inlineStr">
        <is>
          <t>N</t>
        </is>
      </c>
      <c r="AE893" s="1334" t="inlineStr">
        <is>
          <t xml:space="preserve">EQU101
EQU201
TRE2 à 4XX hors 203,205,206,207
TRE5XX
SIG
</t>
        </is>
      </c>
      <c r="AF893" s="1334" t="inlineStr">
        <is>
          <t>NA</t>
        </is>
      </c>
      <c r="AG893" s="1340" t="inlineStr">
        <is>
          <t>NA</t>
        </is>
      </c>
      <c r="AI893" s="1342" t="inlineStr">
        <is>
          <t>La donnée est obligatoire, si Indicateur opération effet de levier [P1 28.1] = '1,2,3'</t>
        </is>
      </c>
      <c r="AJ893" s="1343" t="inlineStr">
        <is>
          <t>The data is mandatory, if Leveraged transaction Indicator [P1 28.1] = '1,2,3'</t>
        </is>
      </c>
      <c r="AK893" s="1344" t="n">
        <v>6</v>
      </c>
      <c r="AL893" s="1345" t="inlineStr">
        <is>
          <t>TPSxxxx</t>
        </is>
      </c>
      <c r="AM893" s="1321" t="n"/>
      <c r="AN893" s="1343" t="n"/>
      <c r="AO893" s="1344" t="n"/>
      <c r="AP893" s="1319" t="n"/>
      <c r="AQ893" s="1321" t="n"/>
      <c r="AR893" s="1343" t="n"/>
      <c r="AS893" s="1320" t="n"/>
      <c r="AT893" s="1324" t="n"/>
      <c r="AU893" s="1321" t="n"/>
      <c r="AV893" s="1343" t="n"/>
      <c r="AW893" s="1320" t="n"/>
      <c r="AX893" s="1324" t="n"/>
      <c r="AY893" s="1321" t="n"/>
      <c r="AZ893" s="1349" t="n"/>
      <c r="BA893" s="1344" t="n"/>
      <c r="BB893" s="1324" t="n"/>
      <c r="BC893" s="1321" t="n"/>
      <c r="BD893" s="1350" t="n"/>
      <c r="BE893" s="1344" t="n"/>
      <c r="BF893" s="1324" t="n"/>
      <c r="BH8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93">
        <f>_xlfn.LET(r,ROW(),oc,INDEX($A:$A,r),cv,TRIM(INDEX($Y:$Y,r)&amp;""),IF(oc&lt;&gt;"P1","",IF(cv="45","V45 - novo, nao alimentado pelo spool atual","V44 - alimentado pelo spool atual")))</f>
        <v/>
      </c>
    </row>
    <row r="894" ht="54" customFormat="1" customHeight="1" s="1351">
      <c r="A894" s="1328" t="inlineStr">
        <is>
          <t>P1</t>
        </is>
      </c>
      <c r="B894" s="1290" t="n">
        <v>659</v>
      </c>
      <c r="C894" s="1329" t="inlineStr">
        <is>
          <t>11 - Caractéristiques Opérations à effet de levier</t>
        </is>
      </c>
      <c r="D894" s="1330" t="inlineStr">
        <is>
          <t>11 - Leveraged Operations characteristics</t>
        </is>
      </c>
      <c r="E894" s="1331" t="inlineStr">
        <is>
          <t>P1 632.1</t>
        </is>
      </c>
      <c r="F894" s="1332" t="inlineStr">
        <is>
          <t>Devise des expositions arrangées par la banque au cours du trimestre sur High Yield Bonds</t>
        </is>
      </c>
      <c r="G894" s="1333" t="inlineStr">
        <is>
          <t>Currency of exposures arranged by the bank during the quarter on High Yield Bonds</t>
        </is>
      </c>
      <c r="H894" s="1493">
        <f>"RPAD( "&amp;SUBSTITUTE(SUBSTITUTE(E894," ","_"),".","_")&amp;","&amp;W894&amp;",' '); -- "&amp;E894</f>
        <v/>
      </c>
      <c r="I894" s="1332" t="inlineStr">
        <is>
          <t>Devise des expostions au cours du trimestre, liées à l'émission d'obligation de sociétés « non investment grade ». Les émissions obligataires souveraines ainsi que les émissions obligataires « investment grade » sont exclues</t>
        </is>
      </c>
      <c r="J894" s="1333" t="inlineStr">
        <is>
          <t>Currency of exposures during the quarter related to the issuance of 'non-investment grade' corporate bonds. Sovereign bond issuances and 'investment grade' bond issuances are excluded.</t>
        </is>
      </c>
      <c r="K894" s="1334" t="inlineStr">
        <is>
          <t>ND</t>
        </is>
      </c>
      <c r="L894" s="1330" t="inlineStr">
        <is>
          <t>ND</t>
        </is>
      </c>
      <c r="M894" s="1426" t="inlineStr">
        <is>
          <t>TBD</t>
        </is>
      </c>
      <c r="N894" s="1291" t="inlineStr">
        <is>
          <t>Obligatoire sous conditions</t>
        </is>
      </c>
      <c r="O894" s="1292" t="inlineStr">
        <is>
          <t>Mandatory under conditions</t>
        </is>
      </c>
      <c r="P894" s="1334" t="inlineStr">
        <is>
          <t>LC.0005</t>
        </is>
      </c>
      <c r="Q894" s="1334" t="inlineStr">
        <is>
          <t>TA NM253</t>
        </is>
      </c>
      <c r="R894" s="1352" t="inlineStr">
        <is>
          <t>NA</t>
        </is>
      </c>
      <c r="S894" s="1333" t="inlineStr">
        <is>
          <t>NA</t>
        </is>
      </c>
      <c r="T894" s="1337" t="inlineStr">
        <is>
          <t>ALPHA</t>
        </is>
      </c>
      <c r="U894" s="1331" t="inlineStr">
        <is>
          <t>NA</t>
        </is>
      </c>
      <c r="V894" s="1353" t="inlineStr">
        <is>
          <t>NA</t>
        </is>
      </c>
      <c r="W894" s="1337" t="n">
        <v>3</v>
      </c>
      <c r="X894" s="1337" t="inlineStr">
        <is>
          <t>NA</t>
        </is>
      </c>
      <c r="Y894" s="1339" t="n">
        <v>45</v>
      </c>
      <c r="Z894" s="1334" t="inlineStr">
        <is>
          <t>NA</t>
        </is>
      </c>
      <c r="AA894" s="1334" t="inlineStr">
        <is>
          <t>NA</t>
        </is>
      </c>
      <c r="AB894" s="1331" t="inlineStr">
        <is>
          <t>FEL</t>
        </is>
      </c>
      <c r="AC894" s="1334" t="inlineStr">
        <is>
          <t>ND</t>
        </is>
      </c>
      <c r="AD894" s="1334" t="inlineStr">
        <is>
          <t>N</t>
        </is>
      </c>
      <c r="AE894" s="1334" t="inlineStr">
        <is>
          <t xml:space="preserve">EQU101
EQU201
TRE2 à 4XX hors 203,205,206,207
TRE5XX
SIG
</t>
        </is>
      </c>
      <c r="AF894" s="1334" t="inlineStr">
        <is>
          <t>NA</t>
        </is>
      </c>
      <c r="AG894" s="1340" t="inlineStr">
        <is>
          <t>NA</t>
        </is>
      </c>
      <c r="AI894" s="1342" t="inlineStr">
        <is>
          <t>La donnée est obligatoire si Expositions arrangées par la banque au cours du trimestre sur High Yield Bonds [P1 632] est renseignée</t>
        </is>
      </c>
      <c r="AJ894" s="1343" t="inlineStr">
        <is>
          <t>The data is mandatory if Exposures arranged by the bank during the quarter on High Yield Bonds [P1 632] data is filled</t>
        </is>
      </c>
      <c r="AK894" s="1344" t="n">
        <v>7</v>
      </c>
      <c r="AL894" s="1345" t="inlineStr">
        <is>
          <t>TPG0002</t>
        </is>
      </c>
      <c r="AM894" s="1321" t="inlineStr">
        <is>
          <t>Si elle est renseignée, la valeur doit être connue du Langage Commun associé</t>
        </is>
      </c>
      <c r="AN894" s="1343" t="inlineStr">
        <is>
          <t>If specified, the value must be known to the associated Common Language</t>
        </is>
      </c>
      <c r="AO894" s="1344" t="n">
        <v>7</v>
      </c>
      <c r="AP894" s="1319" t="inlineStr">
        <is>
          <t>TIG0001</t>
        </is>
      </c>
      <c r="AQ894" s="1321" t="n"/>
      <c r="AR894" s="1343" t="n"/>
      <c r="AS894" s="1320" t="n"/>
      <c r="AT894" s="1324" t="n"/>
      <c r="AU894" s="1321" t="n"/>
      <c r="AV894" s="1343" t="n"/>
      <c r="AW894" s="1320" t="n"/>
      <c r="AX894" s="1324" t="n"/>
      <c r="AY894" s="1321" t="n"/>
      <c r="AZ894" s="1349" t="n"/>
      <c r="BA894" s="1344" t="n"/>
      <c r="BB894" s="1324" t="n"/>
      <c r="BC894" s="1321" t="n"/>
      <c r="BD894" s="1350" t="n"/>
      <c r="BE894" s="1344" t="n"/>
      <c r="BF894" s="1324" t="n"/>
      <c r="BH8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94">
        <f>_xlfn.LET(r,ROW(),oc,INDEX($A:$A,r),cv,TRIM(INDEX($Y:$Y,r)&amp;""),IF(oc&lt;&gt;"P1","",IF(cv="45","V45 - novo, nao alimentado pelo spool atual","V44 - alimentado pelo spool atual")))</f>
        <v/>
      </c>
    </row>
    <row r="895" ht="54" customFormat="1" customHeight="1" s="1351">
      <c r="A895" s="1328" t="inlineStr">
        <is>
          <t>P1</t>
        </is>
      </c>
      <c r="B895" s="1290" t="n">
        <v>660</v>
      </c>
      <c r="C895" s="1329" t="inlineStr">
        <is>
          <t>11 - Caractéristiques Opérations à effet de levier</t>
        </is>
      </c>
      <c r="D895" s="1330" t="inlineStr">
        <is>
          <t>11 - Leveraged Operations characteristics</t>
        </is>
      </c>
      <c r="E895" s="1331" t="inlineStr">
        <is>
          <t>P1 633</t>
        </is>
      </c>
      <c r="F895" s="1332" t="inlineStr">
        <is>
          <t>Montant du Mark-to-market hors part à syndiquer</t>
        </is>
      </c>
      <c r="G895" s="1333" t="inlineStr">
        <is>
          <t>Amount of exposures excluding shares to be syndicated - Fair value amount</t>
        </is>
      </c>
      <c r="H895" s="1493">
        <f>"RPAD( "&amp;SUBSTITUTE(SUBSTITUTE(E895," ","_"),".","_")&amp;","&amp;W895&amp;",' '); -- "&amp;E895</f>
        <v/>
      </c>
      <c r="I895" s="1332" t="inlineStr">
        <is>
          <t>Montant juste valeur des expositions hors part à syndiquer (prises fermes)</t>
        </is>
      </c>
      <c r="J895" s="1333" t="inlineStr">
        <is>
          <t>Fair value amount of exposures excluding part to be syndicated (firm commitments)</t>
        </is>
      </c>
      <c r="K895" s="1334" t="inlineStr">
        <is>
          <t>ND</t>
        </is>
      </c>
      <c r="L895" s="1330" t="inlineStr">
        <is>
          <t>ND</t>
        </is>
      </c>
      <c r="M895" s="1426" t="inlineStr">
        <is>
          <t>TBD</t>
        </is>
      </c>
      <c r="N895" s="1291" t="inlineStr">
        <is>
          <t>Obligatoire sous conditions</t>
        </is>
      </c>
      <c r="O895" s="1292" t="inlineStr">
        <is>
          <t>Mandatory under conditions</t>
        </is>
      </c>
      <c r="P895" s="1334" t="inlineStr">
        <is>
          <t>NA</t>
        </is>
      </c>
      <c r="Q895" s="1334" t="inlineStr">
        <is>
          <t>NA</t>
        </is>
      </c>
      <c r="R895" s="1352" t="inlineStr">
        <is>
          <t>NA</t>
        </is>
      </c>
      <c r="S895" s="1333" t="inlineStr">
        <is>
          <t>NA</t>
        </is>
      </c>
      <c r="T895" s="1337" t="inlineStr">
        <is>
          <t>NUM</t>
        </is>
      </c>
      <c r="U895" s="1331" t="inlineStr">
        <is>
          <t>19 dont signe et 2 décimales</t>
        </is>
      </c>
      <c r="V895" s="1353" t="inlineStr">
        <is>
          <t>19 including sign and 2 decimals</t>
        </is>
      </c>
      <c r="W895" s="1337" t="n">
        <v>19</v>
      </c>
      <c r="X895" s="1337" t="inlineStr">
        <is>
          <t>NA</t>
        </is>
      </c>
      <c r="Y895" s="1339" t="n">
        <v>45</v>
      </c>
      <c r="Z895" s="1334" t="inlineStr">
        <is>
          <t>NA</t>
        </is>
      </c>
      <c r="AA895" s="1334" t="inlineStr">
        <is>
          <t>NA</t>
        </is>
      </c>
      <c r="AB895" s="1331" t="inlineStr">
        <is>
          <t>FEL</t>
        </is>
      </c>
      <c r="AC895" s="1334" t="inlineStr">
        <is>
          <t>ND</t>
        </is>
      </c>
      <c r="AD895" s="1334" t="inlineStr">
        <is>
          <t>N</t>
        </is>
      </c>
      <c r="AE895" s="1334" t="inlineStr">
        <is>
          <t xml:space="preserve">EQU101
EQU201
TRE2 à 4XX hors 203,205,206,207
TRE5XX
SIG
</t>
        </is>
      </c>
      <c r="AF895" s="1334" t="inlineStr">
        <is>
          <t>NA</t>
        </is>
      </c>
      <c r="AG895" s="1340" t="inlineStr">
        <is>
          <t>NA</t>
        </is>
      </c>
      <c r="AI895" s="1342" t="inlineStr">
        <is>
          <t>La donnée est obligatoire, si Indicateur opération effet de levier [P1 28.1] = '1,2,3'</t>
        </is>
      </c>
      <c r="AJ895" s="1343" t="inlineStr">
        <is>
          <t>The data is mandatory, if Leveraged transaction Indicator [P1 28.1] = '1,2,3'</t>
        </is>
      </c>
      <c r="AK895" s="1344" t="n">
        <v>6</v>
      </c>
      <c r="AL895" s="1345" t="inlineStr">
        <is>
          <t>TPSxxxx</t>
        </is>
      </c>
      <c r="AM895" s="1321" t="n"/>
      <c r="AN895" s="1343" t="n"/>
      <c r="AO895" s="1344" t="n"/>
      <c r="AP895" s="1319" t="n"/>
      <c r="AQ895" s="1321" t="n"/>
      <c r="AR895" s="1343" t="n"/>
      <c r="AS895" s="1320" t="n"/>
      <c r="AT895" s="1324" t="n"/>
      <c r="AU895" s="1321" t="n"/>
      <c r="AV895" s="1343" t="n"/>
      <c r="AW895" s="1320" t="n"/>
      <c r="AX895" s="1324" t="n"/>
      <c r="AY895" s="1321" t="n"/>
      <c r="AZ895" s="1349" t="n"/>
      <c r="BA895" s="1344" t="n"/>
      <c r="BB895" s="1324" t="n"/>
      <c r="BC895" s="1321" t="n"/>
      <c r="BD895" s="1350" t="n"/>
      <c r="BE895" s="1344" t="n"/>
      <c r="BF895" s="1324" t="n"/>
      <c r="BH8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95">
        <f>_xlfn.LET(r,ROW(),oc,INDEX($A:$A,r),cv,TRIM(INDEX($Y:$Y,r)&amp;""),IF(oc&lt;&gt;"P1","",IF(cv="45","V45 - novo, nao alimentado pelo spool atual","V44 - alimentado pelo spool atual")))</f>
        <v/>
      </c>
    </row>
    <row r="896" ht="54" customFormat="1" customHeight="1" s="1351">
      <c r="A896" s="1328" t="inlineStr">
        <is>
          <t>P1</t>
        </is>
      </c>
      <c r="B896" s="1290" t="n">
        <v>661</v>
      </c>
      <c r="C896" s="1329" t="inlineStr">
        <is>
          <t>11 - Caractéristiques Opérations à effet de levier</t>
        </is>
      </c>
      <c r="D896" s="1330" t="inlineStr">
        <is>
          <t>11 - Leveraged Operations characteristics</t>
        </is>
      </c>
      <c r="E896" s="1331" t="inlineStr">
        <is>
          <t>P1 633.1</t>
        </is>
      </c>
      <c r="F896" s="1332" t="inlineStr">
        <is>
          <t>Devise du montant du Mark-to-market hors part à syndiquer</t>
        </is>
      </c>
      <c r="G896" s="1333" t="inlineStr">
        <is>
          <t>Currency of amount of exposures excluding shares to be syndicated - Fair value amount</t>
        </is>
      </c>
      <c r="H896" s="1493">
        <f>"RPAD( "&amp;SUBSTITUTE(SUBSTITUTE(E896," ","_"),".","_")&amp;","&amp;W896&amp;",' '); -- "&amp;E896</f>
        <v/>
      </c>
      <c r="I896" s="1332" t="inlineStr">
        <is>
          <t>Devise du montant juste valeur des expositions hors part à syndiquer (prises fermes)</t>
        </is>
      </c>
      <c r="J896" s="1333" t="inlineStr">
        <is>
          <t>Currency of fair value amount of exposures excluding part to be syndicated (firm commitments)</t>
        </is>
      </c>
      <c r="K896" s="1334" t="inlineStr">
        <is>
          <t>ND</t>
        </is>
      </c>
      <c r="L896" s="1330" t="inlineStr">
        <is>
          <t>ND</t>
        </is>
      </c>
      <c r="M896" s="1426" t="inlineStr">
        <is>
          <t>TBD</t>
        </is>
      </c>
      <c r="N896" s="1291" t="inlineStr">
        <is>
          <t>Obligatoire sous conditions</t>
        </is>
      </c>
      <c r="O896" s="1292" t="inlineStr">
        <is>
          <t>Mandatory under conditions</t>
        </is>
      </c>
      <c r="P896" s="1334" t="inlineStr">
        <is>
          <t>LC.0005</t>
        </is>
      </c>
      <c r="Q896" s="1334" t="inlineStr">
        <is>
          <t>TA NM253</t>
        </is>
      </c>
      <c r="R896" s="1352" t="inlineStr">
        <is>
          <t>NA</t>
        </is>
      </c>
      <c r="S896" s="1333" t="inlineStr">
        <is>
          <t>NA</t>
        </is>
      </c>
      <c r="T896" s="1337" t="inlineStr">
        <is>
          <t>ALPHA</t>
        </is>
      </c>
      <c r="U896" s="1331" t="inlineStr">
        <is>
          <t>NA</t>
        </is>
      </c>
      <c r="V896" s="1353" t="inlineStr">
        <is>
          <t>NA</t>
        </is>
      </c>
      <c r="W896" s="1337" t="n">
        <v>3</v>
      </c>
      <c r="X896" s="1337" t="inlineStr">
        <is>
          <t>NA</t>
        </is>
      </c>
      <c r="Y896" s="1339" t="n">
        <v>45</v>
      </c>
      <c r="Z896" s="1334" t="inlineStr">
        <is>
          <t>NA</t>
        </is>
      </c>
      <c r="AA896" s="1334" t="inlineStr">
        <is>
          <t>NA</t>
        </is>
      </c>
      <c r="AB896" s="1331" t="inlineStr">
        <is>
          <t>FEL</t>
        </is>
      </c>
      <c r="AC896" s="1334" t="inlineStr">
        <is>
          <t>ND</t>
        </is>
      </c>
      <c r="AD896" s="1334" t="inlineStr">
        <is>
          <t>N</t>
        </is>
      </c>
      <c r="AE896" s="1334" t="inlineStr">
        <is>
          <t xml:space="preserve">EQU101
EQU201
TRE2 à 4XX hors 203,205,206,207
TRE5XX
SIG
</t>
        </is>
      </c>
      <c r="AF896" s="1334" t="inlineStr">
        <is>
          <t>NA</t>
        </is>
      </c>
      <c r="AG896" s="1340" t="inlineStr">
        <is>
          <t>NA</t>
        </is>
      </c>
      <c r="AI896" s="1342" t="inlineStr">
        <is>
          <t>La donnée est obligatoire si Montant du Mark-to-market hors part à syndiquer [P1 633] est renseignée</t>
        </is>
      </c>
      <c r="AJ896" s="1343" t="inlineStr">
        <is>
          <t>The data is mandatory if Amount of exposures excluding shares to be syndicated - Fair value amount [P1 633] data is filled</t>
        </is>
      </c>
      <c r="AK896" s="1344" t="n">
        <v>7</v>
      </c>
      <c r="AL896" s="1345" t="inlineStr">
        <is>
          <t>TPG0002</t>
        </is>
      </c>
      <c r="AM896" s="1321" t="inlineStr">
        <is>
          <t>Si elle est renseignée, la valeur doit être connue du Langage Commun associé</t>
        </is>
      </c>
      <c r="AN896" s="1343" t="inlineStr">
        <is>
          <t>If specified, the value must be known to the associated Common Language</t>
        </is>
      </c>
      <c r="AO896" s="1344" t="n">
        <v>7</v>
      </c>
      <c r="AP896" s="1319" t="inlineStr">
        <is>
          <t>TIG0001</t>
        </is>
      </c>
      <c r="AQ896" s="1321" t="n"/>
      <c r="AR896" s="1343" t="n"/>
      <c r="AS896" s="1320" t="n"/>
      <c r="AT896" s="1324" t="n"/>
      <c r="AU896" s="1321" t="n"/>
      <c r="AV896" s="1343" t="n"/>
      <c r="AW896" s="1320" t="n"/>
      <c r="AX896" s="1324" t="n"/>
      <c r="AY896" s="1321" t="n"/>
      <c r="AZ896" s="1349" t="n"/>
      <c r="BA896" s="1344" t="n"/>
      <c r="BB896" s="1324" t="n"/>
      <c r="BC896" s="1321" t="n"/>
      <c r="BD896" s="1350" t="n"/>
      <c r="BE896" s="1344" t="n"/>
      <c r="BF896" s="1324" t="n"/>
      <c r="BH8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96">
        <f>_xlfn.LET(r,ROW(),oc,INDEX($A:$A,r),cv,TRIM(INDEX($Y:$Y,r)&amp;""),IF(oc&lt;&gt;"P1","",IF(cv="45","V45 - novo, nao alimentado pelo spool atual","V44 - alimentado pelo spool atual")))</f>
        <v/>
      </c>
    </row>
    <row r="897" ht="54" customFormat="1" customHeight="1" s="139" thickBot="1">
      <c r="A897" s="1196" t="inlineStr">
        <is>
          <t>P1</t>
        </is>
      </c>
      <c r="B897" s="1197" t="n">
        <v>662</v>
      </c>
      <c r="C897" s="1185" t="inlineStr">
        <is>
          <t>NA</t>
        </is>
      </c>
      <c r="D897" s="1185" t="inlineStr">
        <is>
          <t>NA</t>
        </is>
      </c>
      <c r="E897" s="1197" t="inlineStr">
        <is>
          <t>P1 99.99</t>
        </is>
      </c>
      <c r="F897" s="1198" t="inlineStr">
        <is>
          <t>Filler</t>
        </is>
      </c>
      <c r="G897" s="1198" t="inlineStr">
        <is>
          <t>Filler</t>
        </is>
      </c>
      <c r="H897" s="1493">
        <f>"RPAD( "&amp;SUBSTITUTE(SUBSTITUTE(E897," ","_"),".","_")&amp;","&amp;W897&amp;",' '); -- "&amp;E897</f>
        <v/>
      </c>
      <c r="I897" s="1186" t="inlineStr">
        <is>
          <t>Zone libre</t>
        </is>
      </c>
      <c r="J897" s="1198" t="inlineStr">
        <is>
          <t>Free zone</t>
        </is>
      </c>
      <c r="K897" s="1199" t="inlineStr">
        <is>
          <t>NA</t>
        </is>
      </c>
      <c r="L897" s="1199" t="inlineStr">
        <is>
          <t>NA</t>
        </is>
      </c>
      <c r="M897" s="1422" t="inlineStr">
        <is>
          <t xml:space="preserve"> ZoneLibre99</t>
        </is>
      </c>
      <c r="N897" s="1201" t="inlineStr">
        <is>
          <t>NA</t>
        </is>
      </c>
      <c r="O897" s="1201" t="inlineStr">
        <is>
          <t>NA</t>
        </is>
      </c>
      <c r="P897" s="1201" t="inlineStr">
        <is>
          <t>NA</t>
        </is>
      </c>
      <c r="Q897" s="1201" t="inlineStr">
        <is>
          <t>NA</t>
        </is>
      </c>
      <c r="R897" s="1186" t="inlineStr">
        <is>
          <t>Laisser à vide</t>
        </is>
      </c>
      <c r="S897" s="1186" t="inlineStr">
        <is>
          <t>Leave empty</t>
        </is>
      </c>
      <c r="T897" s="1197" t="inlineStr">
        <is>
          <t>ALPHA</t>
        </is>
      </c>
      <c r="U897" s="1188" t="inlineStr">
        <is>
          <t>NA</t>
        </is>
      </c>
      <c r="V897" s="1188" t="inlineStr">
        <is>
          <t>NA</t>
        </is>
      </c>
      <c r="W897" s="1216">
        <f>8000-(SUM(W236:W896)+COUNT(W236:W896))</f>
        <v/>
      </c>
      <c r="X897" s="1201" t="inlineStr">
        <is>
          <t>NA</t>
        </is>
      </c>
      <c r="Y897" s="1188" t="n">
        <v>43</v>
      </c>
      <c r="Z897" s="1188" t="inlineStr">
        <is>
          <t>NA</t>
        </is>
      </c>
      <c r="AA897" s="1190" t="inlineStr">
        <is>
          <t>45.00</t>
        </is>
      </c>
      <c r="AB897" s="1201" t="inlineStr">
        <is>
          <t>NA</t>
        </is>
      </c>
      <c r="AC897" s="1185" t="inlineStr">
        <is>
          <t>NA</t>
        </is>
      </c>
      <c r="AD897" s="1201" t="inlineStr">
        <is>
          <t>N</t>
        </is>
      </c>
      <c r="AE897" s="1201" t="inlineStr">
        <is>
          <t>NA</t>
        </is>
      </c>
      <c r="AF897" s="1201" t="inlineStr">
        <is>
          <t>NA</t>
        </is>
      </c>
      <c r="AG897" s="1203" t="inlineStr">
        <is>
          <t>NA</t>
        </is>
      </c>
      <c r="AH897" s="1360" t="n"/>
      <c r="AI897" s="1204" t="n"/>
      <c r="AJ897" s="1205" t="n"/>
      <c r="AK897" s="1201" t="n"/>
      <c r="AL897" s="1203" t="n"/>
      <c r="AM897" s="1205" t="n"/>
      <c r="AN897" s="1205" t="n"/>
      <c r="AO897" s="1201" t="n"/>
      <c r="AP897" s="1203" t="n"/>
      <c r="AQ897" s="1205" t="n"/>
      <c r="AR897" s="1205" t="n"/>
      <c r="AS897" s="1201" t="n"/>
      <c r="AT897" s="1203" t="n"/>
      <c r="AU897" s="1205" t="n"/>
      <c r="AV897" s="1205" t="n"/>
      <c r="AW897" s="1201" t="n"/>
      <c r="AX897" s="1203" t="n"/>
      <c r="AY897" s="1205" t="n"/>
      <c r="AZ897" s="1205" t="n"/>
      <c r="BA897" s="1201" t="n"/>
      <c r="BB897" s="1203" t="n"/>
      <c r="BC897" s="1204" t="n"/>
      <c r="BD897" s="1205" t="n"/>
      <c r="BE897" s="1201" t="n"/>
      <c r="BF897" s="1203" t="n"/>
      <c r="BG897" s="1360" t="n"/>
      <c r="BH8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97">
        <f>_xlfn.LET(r,ROW(),oc,INDEX($A:$A,r),cv,TRIM(INDEX($Y:$Y,r)&amp;""),IF(oc&lt;&gt;"P1","",IF(cv="45","V45 - novo, nao alimentado pelo spool atual","V44 - alimentado pelo spool atual")))</f>
        <v/>
      </c>
    </row>
    <row r="898" ht="54" customFormat="1" customHeight="1" s="90">
      <c r="A898" s="286" t="inlineStr">
        <is>
          <t>P2</t>
        </is>
      </c>
      <c r="B898" s="287" t="n">
        <v>1</v>
      </c>
      <c r="C898" s="292" t="inlineStr">
        <is>
          <t>02 - Caractéristiques d'identification fonctionnelles</t>
        </is>
      </c>
      <c r="D898" s="293" t="inlineStr">
        <is>
          <t>02 - Functional identification characteristics</t>
        </is>
      </c>
      <c r="E898" s="287" t="inlineStr">
        <is>
          <t>0.1 (P2)</t>
        </is>
      </c>
      <c r="F898" s="288" t="inlineStr">
        <is>
          <t xml:space="preserve">Date d'arrêté </t>
        </is>
      </c>
      <c r="G898" s="289" t="inlineStr">
        <is>
          <t>Closing date</t>
        </is>
      </c>
      <c r="H898" s="289" t="n"/>
      <c r="I898" s="290" t="inlineStr">
        <is>
          <t>Correspond à la date d'arrêté des données transmises (dernier jour calendaire du mois)</t>
        </is>
      </c>
      <c r="J898" s="291" t="inlineStr">
        <is>
          <t>Represents the cut-off date of the data transmitted (final calendar day of the month)</t>
        </is>
      </c>
      <c r="K898" s="292" t="inlineStr">
        <is>
          <t>ND</t>
        </is>
      </c>
      <c r="L898" s="293" t="inlineStr">
        <is>
          <t>ND</t>
        </is>
      </c>
      <c r="M898" s="1419" t="inlineStr">
        <is>
          <t>SttmDt</t>
        </is>
      </c>
      <c r="N898" s="294" t="inlineStr">
        <is>
          <t>Obligatoire</t>
        </is>
      </c>
      <c r="O898" s="293" t="inlineStr">
        <is>
          <t>Mandatory</t>
        </is>
      </c>
      <c r="P898" s="292" t="inlineStr">
        <is>
          <t>NA</t>
        </is>
      </c>
      <c r="Q898" s="292" t="inlineStr">
        <is>
          <t>NA</t>
        </is>
      </c>
      <c r="R898" s="290" t="inlineStr">
        <is>
          <t>Il doit y avoir unicité de la date d'arrêté au sein du flux</t>
        </is>
      </c>
      <c r="S898" s="291" t="inlineStr">
        <is>
          <t>The cut-off date must be the same across the flow</t>
        </is>
      </c>
      <c r="T898" s="195" t="inlineStr">
        <is>
          <t>DATE</t>
        </is>
      </c>
      <c r="U898" s="296" t="inlineStr">
        <is>
          <t>AAAAMMJJ</t>
        </is>
      </c>
      <c r="V898" s="297" t="inlineStr">
        <is>
          <t>YYYYMMDD</t>
        </is>
      </c>
      <c r="W898" s="298" t="n">
        <v>8</v>
      </c>
      <c r="X898" s="1041" t="inlineStr">
        <is>
          <t>NA</t>
        </is>
      </c>
      <c r="Y898" s="296" t="inlineStr">
        <is>
          <t>40</t>
        </is>
      </c>
      <c r="Z898" s="296" t="inlineStr">
        <is>
          <t>NA</t>
        </is>
      </c>
      <c r="AA898" s="296" t="inlineStr">
        <is>
          <t>NA</t>
        </is>
      </c>
      <c r="AB898" s="292" t="inlineStr">
        <is>
          <t>NZBA, RISQUE PHYSIQUE</t>
        </is>
      </c>
      <c r="AC898" s="294" t="inlineStr">
        <is>
          <t>ND</t>
        </is>
      </c>
      <c r="AD898" s="298" t="inlineStr">
        <is>
          <t>N</t>
        </is>
      </c>
      <c r="AE898" s="298" t="inlineStr">
        <is>
          <t>NA</t>
        </is>
      </c>
      <c r="AF898" s="298" t="inlineStr">
        <is>
          <t>NA</t>
        </is>
      </c>
      <c r="AG898" s="300" t="inlineStr">
        <is>
          <t>NA</t>
        </is>
      </c>
      <c r="AH898" s="89" t="n"/>
      <c r="AI898" s="301" t="inlineStr">
        <is>
          <t>La donnée est obligatoire</t>
        </is>
      </c>
      <c r="AJ898" s="302" t="inlineStr">
        <is>
          <t>The data is mandatory</t>
        </is>
      </c>
      <c r="AK898" s="303" t="n"/>
      <c r="AL898" s="304" t="inlineStr">
        <is>
          <t>EN0011</t>
        </is>
      </c>
      <c r="AM898" s="305" t="n"/>
      <c r="AN898" s="302" t="n"/>
      <c r="AO898" s="303" t="n"/>
      <c r="AP898" s="304" t="n"/>
      <c r="AQ898"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898"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898" s="303" t="n"/>
      <c r="AT898" s="304" t="inlineStr">
        <is>
          <t>EN0017
EN0019</t>
        </is>
      </c>
      <c r="AU898"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898" s="302"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898" s="303" t="n"/>
      <c r="AX898" s="304" t="inlineStr">
        <is>
          <t>EN001B</t>
        </is>
      </c>
      <c r="AY898" s="305" t="n"/>
      <c r="AZ898" s="302" t="n"/>
      <c r="BA898" s="303" t="n"/>
      <c r="BB898" s="304" t="n"/>
      <c r="BC898" s="301" t="n"/>
      <c r="BD898" s="302" t="n"/>
      <c r="BE898" s="303" t="n"/>
      <c r="BF898" s="304" t="n"/>
      <c r="BG898" s="89" t="n"/>
      <c r="BH8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98">
        <f>_xlfn.LET(r,ROW(),oc,INDEX($A:$A,r),cv,TRIM(INDEX($Y:$Y,r)&amp;""),IF(oc&lt;&gt;"P1","",IF(cv="45","V45 - novo, nao alimentado pelo spool atual","V44 - alimentado pelo spool atual")))</f>
        <v/>
      </c>
    </row>
    <row r="899" ht="54" customFormat="1" customHeight="1" s="90">
      <c r="A899" s="306" t="inlineStr">
        <is>
          <t>P2</t>
        </is>
      </c>
      <c r="B899" s="307" t="n">
        <v>2</v>
      </c>
      <c r="C899" s="269" t="inlineStr">
        <is>
          <t>02 - Caractéristiques d'identification fonctionnelles</t>
        </is>
      </c>
      <c r="D899" s="310" t="inlineStr">
        <is>
          <t>02 - Functional identification characteristics</t>
        </is>
      </c>
      <c r="E899" s="307" t="inlineStr">
        <is>
          <t>0.2 (P2)</t>
        </is>
      </c>
      <c r="F899" s="308" t="inlineStr">
        <is>
          <t>Entité Porteuse de Risques</t>
        </is>
      </c>
      <c r="G899" s="309" t="inlineStr">
        <is>
          <t>Risk taker entity</t>
        </is>
      </c>
      <c r="H899" s="309" t="n"/>
      <c r="I899" s="241" t="inlineStr">
        <is>
          <t>Correspond au code consolidation comptable de l'Entité porteuse de risque dans les comptes de Crédit Agricole S.A.</t>
        </is>
      </c>
      <c r="J899" s="233" t="inlineStr">
        <is>
          <t>Represents the accounting consolidation code of the Entity bearing risks in the financial statements of Crédit Agricole S.A.</t>
        </is>
      </c>
      <c r="K899" s="269" t="inlineStr">
        <is>
          <t>ND</t>
        </is>
      </c>
      <c r="L899" s="310" t="inlineStr">
        <is>
          <t>ND</t>
        </is>
      </c>
      <c r="M899" s="1420" t="inlineStr">
        <is>
          <t>EntPortRisq</t>
        </is>
      </c>
      <c r="N899" s="231" t="inlineStr">
        <is>
          <t>Obligatoire</t>
        </is>
      </c>
      <c r="O899" s="310" t="inlineStr">
        <is>
          <t>Mandatory</t>
        </is>
      </c>
      <c r="P899" s="269" t="inlineStr">
        <is>
          <t>LC.0003</t>
        </is>
      </c>
      <c r="Q899" s="269" t="inlineStr">
        <is>
          <t>TA FI59</t>
        </is>
      </c>
      <c r="R899" s="241" t="inlineStr">
        <is>
          <t>NA</t>
        </is>
      </c>
      <c r="S899" s="233" t="inlineStr">
        <is>
          <t>NA</t>
        </is>
      </c>
      <c r="T899" s="313" t="inlineStr">
        <is>
          <t>ALPHA</t>
        </is>
      </c>
      <c r="U899" s="237" t="inlineStr">
        <is>
          <t>NA</t>
        </is>
      </c>
      <c r="V899" s="238" t="inlineStr">
        <is>
          <t>NA</t>
        </is>
      </c>
      <c r="W899" s="257" t="n">
        <v>5</v>
      </c>
      <c r="X899" s="945" t="inlineStr">
        <is>
          <t>NA</t>
        </is>
      </c>
      <c r="Y899" s="237" t="inlineStr">
        <is>
          <t>40</t>
        </is>
      </c>
      <c r="Z899" s="237" t="inlineStr">
        <is>
          <t>NA</t>
        </is>
      </c>
      <c r="AA899" s="270" t="inlineStr">
        <is>
          <t>NA</t>
        </is>
      </c>
      <c r="AB899" s="994" t="inlineStr">
        <is>
          <t>CALCULS PRUDENTIELS, NPE, NZBA, PALMA</t>
        </is>
      </c>
      <c r="AC899" s="231" t="inlineStr">
        <is>
          <t>ND</t>
        </is>
      </c>
      <c r="AD899" s="257" t="inlineStr">
        <is>
          <t>N</t>
        </is>
      </c>
      <c r="AE899" s="257" t="inlineStr">
        <is>
          <t>NA</t>
        </is>
      </c>
      <c r="AF899" s="257" t="inlineStr">
        <is>
          <t>NA</t>
        </is>
      </c>
      <c r="AG899" s="258" t="inlineStr">
        <is>
          <t>NA</t>
        </is>
      </c>
      <c r="AH899" s="89" t="n"/>
      <c r="AI899" s="316" t="inlineStr">
        <is>
          <t>La donnée est obligatoire</t>
        </is>
      </c>
      <c r="AJ899" s="317" t="inlineStr">
        <is>
          <t>The data is mandatory</t>
        </is>
      </c>
      <c r="AK899" s="257" t="n"/>
      <c r="AL899" s="258" t="inlineStr">
        <is>
          <t>EN0021</t>
        </is>
      </c>
      <c r="AM899"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899"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899" s="313" t="n"/>
      <c r="AP899" s="319" t="inlineStr">
        <is>
          <t>EN0023</t>
        </is>
      </c>
      <c r="AQ899" s="318" t="n"/>
      <c r="AR899" s="317" t="n"/>
      <c r="AS899" s="257" t="n"/>
      <c r="AT899" s="258" t="n"/>
      <c r="AU899" s="318" t="n"/>
      <c r="AV899" s="317" t="n"/>
      <c r="AW899" s="257" t="n"/>
      <c r="AX899" s="258" t="n"/>
      <c r="AY899" s="159" t="inlineStr">
        <is>
          <t>Unicité au sein de l'entité porteuse de risque</t>
        </is>
      </c>
      <c r="AZ899" s="160" t="inlineStr">
        <is>
          <t>Uniqueness within the entity bearing the risk</t>
        </is>
      </c>
      <c r="BA899" s="257" t="n">
        <v>7</v>
      </c>
      <c r="BB899" s="320" t="inlineStr">
        <is>
          <t>TU0001</t>
        </is>
      </c>
      <c r="BC899" s="316" t="n"/>
      <c r="BD899" s="317" t="n"/>
      <c r="BE899" s="257" t="n"/>
      <c r="BF899" s="258" t="n"/>
      <c r="BG899" s="89" t="n"/>
      <c r="BH8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899">
        <f>_xlfn.LET(r,ROW(),oc,INDEX($A:$A,r),cv,TRIM(INDEX($Y:$Y,r)&amp;""),IF(oc&lt;&gt;"P1","",IF(cv="45","V45 - novo, nao alimentado pelo spool atual","V44 - alimentado pelo spool atual")))</f>
        <v/>
      </c>
    </row>
    <row r="900" ht="54" customFormat="1" customHeight="1" s="90">
      <c r="A900" s="306" t="inlineStr">
        <is>
          <t>P2</t>
        </is>
      </c>
      <c r="B900" s="307" t="n">
        <v>3</v>
      </c>
      <c r="C900" s="269" t="inlineStr">
        <is>
          <t>02 - Caractéristiques d'identification fonctionnelles</t>
        </is>
      </c>
      <c r="D900" s="310" t="inlineStr">
        <is>
          <t>02 - Functional identification characteristics</t>
        </is>
      </c>
      <c r="E900" s="307" t="inlineStr">
        <is>
          <t>0.3 (P2)</t>
        </is>
      </c>
      <c r="F900" s="308" t="inlineStr">
        <is>
          <t>Application source</t>
        </is>
      </c>
      <c r="G900" s="309" t="inlineStr">
        <is>
          <t>Source application</t>
        </is>
      </c>
      <c r="H900" s="309" t="n"/>
      <c r="I900" s="241" t="inlineStr">
        <is>
          <t>Correspond au code du Système d'Information utilisé en local pour générer le flux
Dans le flux Grande Clientèle, il faut préfixer par la lettre ‘C' le code application source</t>
        </is>
      </c>
      <c r="J900" s="233" t="inlineStr">
        <is>
          <t xml:space="preserve">Represents the code of the Information System used locally to generate the flow
In Corporate flow, the source application code must be prefix with the letter 'C' </t>
        </is>
      </c>
      <c r="K900" s="269" t="inlineStr">
        <is>
          <t>ND</t>
        </is>
      </c>
      <c r="L900" s="310" t="inlineStr">
        <is>
          <t>ND</t>
        </is>
      </c>
      <c r="M900" s="1420" t="inlineStr">
        <is>
          <t>AppliSource</t>
        </is>
      </c>
      <c r="N900" s="231" t="inlineStr">
        <is>
          <t>Obligatoire</t>
        </is>
      </c>
      <c r="O900" s="310" t="inlineStr">
        <is>
          <t>Mandatory</t>
        </is>
      </c>
      <c r="P900" s="994" t="inlineStr">
        <is>
          <t>NA</t>
        </is>
      </c>
      <c r="Q900" s="206" t="inlineStr">
        <is>
          <t>TA KVAPPBK</t>
        </is>
      </c>
      <c r="R900"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900"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900" s="313" t="inlineStr">
        <is>
          <t>ALPHA</t>
        </is>
      </c>
      <c r="U900" s="237" t="inlineStr">
        <is>
          <t>NA</t>
        </is>
      </c>
      <c r="V900" s="238" t="inlineStr">
        <is>
          <t>NA</t>
        </is>
      </c>
      <c r="W900" s="257" t="n">
        <v>12</v>
      </c>
      <c r="X900" s="945" t="inlineStr">
        <is>
          <t>NA</t>
        </is>
      </c>
      <c r="Y900" s="237" t="inlineStr">
        <is>
          <t>40</t>
        </is>
      </c>
      <c r="Z900" s="237" t="inlineStr">
        <is>
          <t>NA</t>
        </is>
      </c>
      <c r="AA900" s="237" t="inlineStr">
        <is>
          <t>NA</t>
        </is>
      </c>
      <c r="AB900" s="269" t="inlineStr">
        <is>
          <t>USAGE ZP</t>
        </is>
      </c>
      <c r="AC900" s="231" t="inlineStr">
        <is>
          <t>ND</t>
        </is>
      </c>
      <c r="AD900" s="257" t="inlineStr">
        <is>
          <t>N</t>
        </is>
      </c>
      <c r="AE900" s="257" t="inlineStr">
        <is>
          <t>NA</t>
        </is>
      </c>
      <c r="AF900" s="257" t="inlineStr">
        <is>
          <t>NA</t>
        </is>
      </c>
      <c r="AG900" s="258" t="inlineStr">
        <is>
          <t>NA</t>
        </is>
      </c>
      <c r="AH900" s="89" t="n"/>
      <c r="AI900" s="316" t="inlineStr">
        <is>
          <t>La donnée est obligatoire</t>
        </is>
      </c>
      <c r="AJ900" s="321" t="inlineStr">
        <is>
          <t>The data is mandatory</t>
        </is>
      </c>
      <c r="AK900" s="313" t="n"/>
      <c r="AL900" s="319" t="inlineStr">
        <is>
          <t>EN0031</t>
        </is>
      </c>
      <c r="AM900" s="318" t="inlineStr">
        <is>
          <t>Si elle est renseignée, la valeur doit être connue du Langage Commun associé</t>
        </is>
      </c>
      <c r="AN900" s="317" t="inlineStr">
        <is>
          <t>If specified, the value must be known to the associated Common Language</t>
        </is>
      </c>
      <c r="AO900" s="313" t="n"/>
      <c r="AP900" s="258" t="inlineStr">
        <is>
          <t>EN0035</t>
        </is>
      </c>
      <c r="AQ900" s="318" t="n"/>
      <c r="AR900" s="317" t="n"/>
      <c r="AS900" s="257" t="n"/>
      <c r="AT900" s="258" t="n"/>
      <c r="AU900" s="318" t="n"/>
      <c r="AV900" s="317" t="n"/>
      <c r="AW900" s="257" t="n"/>
      <c r="AX900" s="258" t="n"/>
      <c r="AY900" s="318" t="n"/>
      <c r="AZ900" s="317" t="n"/>
      <c r="BA900" s="257" t="n"/>
      <c r="BB900" s="258" t="n"/>
      <c r="BC900" s="316" t="n"/>
      <c r="BD900" s="317" t="n"/>
      <c r="BE900" s="257" t="n"/>
      <c r="BF900" s="258" t="n"/>
      <c r="BG900" s="89" t="n"/>
      <c r="BH9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00">
        <f>_xlfn.LET(r,ROW(),oc,INDEX($A:$A,r),cv,TRIM(INDEX($Y:$Y,r)&amp;""),IF(oc&lt;&gt;"P1","",IF(cv="45","V45 - novo, nao alimentado pelo spool atual","V44 - alimentado pelo spool atual")))</f>
        <v/>
      </c>
    </row>
    <row r="901" ht="54" customFormat="1" customHeight="1" s="90">
      <c r="A901" s="306" t="inlineStr">
        <is>
          <t>P2</t>
        </is>
      </c>
      <c r="B901" s="307" t="n">
        <v>4</v>
      </c>
      <c r="C901" s="269" t="inlineStr">
        <is>
          <t>01 - Caractéristiques d'identification techniques</t>
        </is>
      </c>
      <c r="D901" s="310" t="inlineStr">
        <is>
          <t>01 - Technical identification characteristics</t>
        </is>
      </c>
      <c r="E901" s="307" t="inlineStr">
        <is>
          <t>0.4 (P2)</t>
        </is>
      </c>
      <c r="F901" s="308" t="inlineStr">
        <is>
          <t>Fréquence de transmission</t>
        </is>
      </c>
      <c r="G901" s="309" t="inlineStr">
        <is>
          <t>Transmission frequency</t>
        </is>
      </c>
      <c r="H901" s="309" t="n"/>
      <c r="I901" s="234" t="inlineStr">
        <is>
          <t>Permet d'identifier le flux dans les traitements</t>
        </is>
      </c>
      <c r="J901" s="235" t="inlineStr">
        <is>
          <t>Makes it possible to identify the flow in the treatments</t>
        </is>
      </c>
      <c r="K901" s="269" t="inlineStr">
        <is>
          <t>ND</t>
        </is>
      </c>
      <c r="L901" s="310" t="inlineStr">
        <is>
          <t>ND</t>
        </is>
      </c>
      <c r="M901" s="1420" t="inlineStr">
        <is>
          <t>FreqTrans</t>
        </is>
      </c>
      <c r="N901" s="231" t="inlineStr">
        <is>
          <t>Obligatoire</t>
        </is>
      </c>
      <c r="O901" s="310" t="inlineStr">
        <is>
          <t>Mandatory</t>
        </is>
      </c>
      <c r="P901" s="269" t="inlineStr">
        <is>
          <t>NA</t>
        </is>
      </c>
      <c r="Q901" s="269" t="inlineStr">
        <is>
          <t>NA</t>
        </is>
      </c>
      <c r="R901" s="234" t="inlineStr">
        <is>
          <t>La seule valeur admise est 'M' pour mensuel</t>
        </is>
      </c>
      <c r="S901" s="235" t="inlineStr">
        <is>
          <t>The only permitted value is 'M' for month</t>
        </is>
      </c>
      <c r="T901" s="313" t="inlineStr">
        <is>
          <t>ALPHA</t>
        </is>
      </c>
      <c r="U901" s="237" t="inlineStr">
        <is>
          <t>NA</t>
        </is>
      </c>
      <c r="V901" s="238" t="inlineStr">
        <is>
          <t>NA</t>
        </is>
      </c>
      <c r="W901" s="257" t="n">
        <v>1</v>
      </c>
      <c r="X901" s="945" t="inlineStr">
        <is>
          <t>NA</t>
        </is>
      </c>
      <c r="Y901" s="237" t="inlineStr">
        <is>
          <t>40</t>
        </is>
      </c>
      <c r="Z901" s="237" t="inlineStr">
        <is>
          <t>NA</t>
        </is>
      </c>
      <c r="AA901" s="237" t="inlineStr">
        <is>
          <t>NA</t>
        </is>
      </c>
      <c r="AB901" s="269" t="inlineStr">
        <is>
          <t>USAGE ZP</t>
        </is>
      </c>
      <c r="AC901" s="231" t="inlineStr">
        <is>
          <t>ND</t>
        </is>
      </c>
      <c r="AD901" s="257" t="inlineStr">
        <is>
          <t>N</t>
        </is>
      </c>
      <c r="AE901" s="257" t="inlineStr">
        <is>
          <t>NA</t>
        </is>
      </c>
      <c r="AF901" s="257" t="inlineStr">
        <is>
          <t>NA</t>
        </is>
      </c>
      <c r="AG901" s="258" t="inlineStr">
        <is>
          <t>NA</t>
        </is>
      </c>
      <c r="AH901" s="89" t="n"/>
      <c r="AI901" s="316" t="inlineStr">
        <is>
          <t>La donnée est obligatoire</t>
        </is>
      </c>
      <c r="AJ901" s="317" t="inlineStr">
        <is>
          <t>The data is mandatory</t>
        </is>
      </c>
      <c r="AK901" s="257" t="n"/>
      <c r="AL901" s="258" t="inlineStr">
        <is>
          <t>EN0041</t>
        </is>
      </c>
      <c r="AM901" s="318" t="n"/>
      <c r="AN901" s="317" t="n"/>
      <c r="AO901" s="257" t="n"/>
      <c r="AP901" s="258" t="n"/>
      <c r="AQ901" s="318" t="inlineStr">
        <is>
          <t>Si renseignée, la donnée doit être égale à 'M' ou 'C'.</t>
        </is>
      </c>
      <c r="AR901" s="317" t="inlineStr">
        <is>
          <t>If filled in, the data must be equal to 'M' or 'C'.</t>
        </is>
      </c>
      <c r="AS901" s="257" t="n"/>
      <c r="AT901" s="258" t="inlineStr">
        <is>
          <t>EN0043</t>
        </is>
      </c>
      <c r="AU901" s="318" t="n"/>
      <c r="AV901" s="317" t="n"/>
      <c r="AW901" s="257" t="n"/>
      <c r="AX901" s="258" t="n"/>
      <c r="AY901" s="318" t="n"/>
      <c r="AZ901" s="317" t="n"/>
      <c r="BA901" s="257" t="n"/>
      <c r="BB901" s="258" t="n"/>
      <c r="BC901" s="316" t="n"/>
      <c r="BD901" s="317" t="n"/>
      <c r="BE901" s="257" t="n"/>
      <c r="BF901" s="258" t="n"/>
      <c r="BG901" s="89" t="n"/>
      <c r="BH9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01">
        <f>_xlfn.LET(r,ROW(),oc,INDEX($A:$A,r),cv,TRIM(INDEX($Y:$Y,r)&amp;""),IF(oc&lt;&gt;"P1","",IF(cv="45","V45 - novo, nao alimentado pelo spool atual","V44 - alimentado pelo spool atual")))</f>
        <v/>
      </c>
    </row>
    <row r="902" ht="54" customFormat="1" customHeight="1" s="90">
      <c r="A902" s="306" t="inlineStr">
        <is>
          <t>P2</t>
        </is>
      </c>
      <c r="B902" s="307" t="n">
        <v>5</v>
      </c>
      <c r="C902" s="269" t="inlineStr">
        <is>
          <t>01 - Caractéristiques d'identification techniques</t>
        </is>
      </c>
      <c r="D902" s="310" t="inlineStr">
        <is>
          <t>01 - Technical identification characteristics</t>
        </is>
      </c>
      <c r="E902" s="307" t="inlineStr">
        <is>
          <t>0.5 (P2)</t>
        </is>
      </c>
      <c r="F902" s="308" t="inlineStr">
        <is>
          <t>Date et Heure de traitement</t>
        </is>
      </c>
      <c r="G902" s="309" t="inlineStr">
        <is>
          <t>Date and time of processing</t>
        </is>
      </c>
      <c r="H902" s="309" t="n"/>
      <c r="I902" s="234" t="inlineStr">
        <is>
          <t>Correspond à la date et heure du début du traitement ayant produit le flux</t>
        </is>
      </c>
      <c r="J902" s="235" t="inlineStr">
        <is>
          <t>Represents the date and time at which treatment began</t>
        </is>
      </c>
      <c r="K902" s="269" t="inlineStr">
        <is>
          <t>ND</t>
        </is>
      </c>
      <c r="L902" s="310" t="inlineStr">
        <is>
          <t>ND</t>
        </is>
      </c>
      <c r="M902" s="1420" t="inlineStr">
        <is>
          <t>DtHeureTrait</t>
        </is>
      </c>
      <c r="N902" s="231" t="inlineStr">
        <is>
          <t>Obligatoire</t>
        </is>
      </c>
      <c r="O902" s="310" t="inlineStr">
        <is>
          <t>Mandatory</t>
        </is>
      </c>
      <c r="P902" s="269" t="inlineStr">
        <is>
          <t>NA</t>
        </is>
      </c>
      <c r="Q902" s="269" t="inlineStr">
        <is>
          <t>NA</t>
        </is>
      </c>
      <c r="R902" s="234" t="inlineStr">
        <is>
          <t>Unicité obligatoire au sein d'un Lot déterminé</t>
        </is>
      </c>
      <c r="S902" s="235" t="inlineStr">
        <is>
          <t>Has to be unique within a specific Batch</t>
        </is>
      </c>
      <c r="T902" s="313" t="inlineStr">
        <is>
          <t>ALPHA</t>
        </is>
      </c>
      <c r="U902" s="237" t="inlineStr">
        <is>
          <t>NA</t>
        </is>
      </c>
      <c r="V902" s="238" t="inlineStr">
        <is>
          <t>NA</t>
        </is>
      </c>
      <c r="W902" s="257" t="n">
        <v>12</v>
      </c>
      <c r="X902" s="945" t="inlineStr">
        <is>
          <t>NA</t>
        </is>
      </c>
      <c r="Y902" s="237" t="inlineStr">
        <is>
          <t>40</t>
        </is>
      </c>
      <c r="Z902" s="237" t="inlineStr">
        <is>
          <t>NA</t>
        </is>
      </c>
      <c r="AA902" s="237" t="inlineStr">
        <is>
          <t>NA</t>
        </is>
      </c>
      <c r="AB902" s="269" t="inlineStr">
        <is>
          <t>USAGE ZP</t>
        </is>
      </c>
      <c r="AC902" s="231" t="inlineStr">
        <is>
          <t>ND</t>
        </is>
      </c>
      <c r="AD902" s="257" t="inlineStr">
        <is>
          <t>N</t>
        </is>
      </c>
      <c r="AE902" s="257" t="inlineStr">
        <is>
          <t>NA</t>
        </is>
      </c>
      <c r="AF902" s="257" t="inlineStr">
        <is>
          <t>NA</t>
        </is>
      </c>
      <c r="AG902" s="258" t="inlineStr">
        <is>
          <t>NA</t>
        </is>
      </c>
      <c r="AH902" s="89" t="n"/>
      <c r="AI902" s="316" t="inlineStr">
        <is>
          <t>La donnée est obligatoire</t>
        </is>
      </c>
      <c r="AJ902" s="317" t="inlineStr">
        <is>
          <t>The data is mandatory</t>
        </is>
      </c>
      <c r="AK902" s="257" t="n"/>
      <c r="AL902" s="258" t="inlineStr">
        <is>
          <t>EN0051</t>
        </is>
      </c>
      <c r="AM902" s="318" t="n"/>
      <c r="AN902" s="317" t="n"/>
      <c r="AO902" s="257" t="n"/>
      <c r="AP902" s="258" t="n"/>
      <c r="AQ902" s="318" t="n"/>
      <c r="AR902" s="317" t="n"/>
      <c r="AS902" s="257" t="n"/>
      <c r="AT902" s="258" t="n"/>
      <c r="AU902"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902"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902" s="257" t="n"/>
      <c r="AX902" s="258" t="inlineStr">
        <is>
          <t>EN0056</t>
        </is>
      </c>
      <c r="AY902" s="318" t="n"/>
      <c r="AZ902" s="317" t="n"/>
      <c r="BA902" s="257" t="n"/>
      <c r="BB902" s="258" t="n"/>
      <c r="BC902" s="316" t="n"/>
      <c r="BD902" s="317" t="n"/>
      <c r="BE902" s="257" t="n"/>
      <c r="BF902" s="258" t="n"/>
      <c r="BG902" s="89" t="n"/>
      <c r="BH9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02">
        <f>_xlfn.LET(r,ROW(),oc,INDEX($A:$A,r),cv,TRIM(INDEX($Y:$Y,r)&amp;""),IF(oc&lt;&gt;"P1","",IF(cv="45","V45 - novo, nao alimentado pelo spool atual","V44 - alimentado pelo spool atual")))</f>
        <v/>
      </c>
    </row>
    <row r="903" ht="54" customFormat="1" customHeight="1" s="90">
      <c r="A903" s="306" t="inlineStr">
        <is>
          <t>P2</t>
        </is>
      </c>
      <c r="B903" s="307" t="n">
        <v>6</v>
      </c>
      <c r="C903" s="269" t="inlineStr">
        <is>
          <t>01 - Caractéristiques d'identification techniques</t>
        </is>
      </c>
      <c r="D903" s="310" t="inlineStr">
        <is>
          <t>01 - Technical identification characteristics</t>
        </is>
      </c>
      <c r="E903" s="307" t="inlineStr">
        <is>
          <t>0.6 (P2)</t>
        </is>
      </c>
      <c r="F903" s="308" t="inlineStr">
        <is>
          <t>Type d'enregistrement</t>
        </is>
      </c>
      <c r="G903" s="309" t="inlineStr">
        <is>
          <t>Record type</t>
        </is>
      </c>
      <c r="H903" s="309" t="n"/>
      <c r="I903" s="242" t="inlineStr">
        <is>
          <t>Caractérise le type d'enregistrement remonté par l'entité</t>
        </is>
      </c>
      <c r="J903" s="235" t="inlineStr">
        <is>
          <t>Represents the record type reported by the entity</t>
        </is>
      </c>
      <c r="K903" s="269" t="inlineStr">
        <is>
          <t>ND</t>
        </is>
      </c>
      <c r="L903" s="310" t="inlineStr">
        <is>
          <t>ND</t>
        </is>
      </c>
      <c r="M903" s="1420" t="inlineStr">
        <is>
          <t>TypEnreg</t>
        </is>
      </c>
      <c r="N903" s="231" t="inlineStr">
        <is>
          <t>Obligatoire</t>
        </is>
      </c>
      <c r="O903" s="310" t="inlineStr">
        <is>
          <t>Mandatory</t>
        </is>
      </c>
      <c r="P903" s="269" t="inlineStr">
        <is>
          <t>NA</t>
        </is>
      </c>
      <c r="Q903" s="269" t="inlineStr">
        <is>
          <t>NA</t>
        </is>
      </c>
      <c r="R903" s="241" t="inlineStr">
        <is>
          <t>Valeur admise : 'P2' (Domaine Engagement)</t>
        </is>
      </c>
      <c r="S903" s="233" t="inlineStr">
        <is>
          <t>Permitted value: 'P2' (Commitment Section)</t>
        </is>
      </c>
      <c r="T903" s="313" t="inlineStr">
        <is>
          <t>ALPHA</t>
        </is>
      </c>
      <c r="U903" s="237" t="inlineStr">
        <is>
          <t>NA</t>
        </is>
      </c>
      <c r="V903" s="238" t="inlineStr">
        <is>
          <t>NA</t>
        </is>
      </c>
      <c r="W903" s="257" t="n">
        <v>2</v>
      </c>
      <c r="X903" s="945" t="inlineStr">
        <is>
          <t>NA</t>
        </is>
      </c>
      <c r="Y903" s="237" t="inlineStr">
        <is>
          <t>40</t>
        </is>
      </c>
      <c r="Z903" s="237" t="inlineStr">
        <is>
          <t>NA</t>
        </is>
      </c>
      <c r="AA903" s="237" t="inlineStr">
        <is>
          <t>NA</t>
        </is>
      </c>
      <c r="AB903" s="269" t="inlineStr">
        <is>
          <t>USAGE ZP</t>
        </is>
      </c>
      <c r="AC903" s="231" t="inlineStr">
        <is>
          <t>ND</t>
        </is>
      </c>
      <c r="AD903" s="257" t="inlineStr">
        <is>
          <t>N</t>
        </is>
      </c>
      <c r="AE903" s="257" t="inlineStr">
        <is>
          <t>NA</t>
        </is>
      </c>
      <c r="AF903" s="257" t="inlineStr">
        <is>
          <t>NA</t>
        </is>
      </c>
      <c r="AG903" s="258" t="inlineStr">
        <is>
          <t>NA</t>
        </is>
      </c>
      <c r="AH903" s="89" t="n"/>
      <c r="AI903" s="316" t="inlineStr">
        <is>
          <t>La donnée est obligatoire</t>
        </is>
      </c>
      <c r="AJ903" s="317" t="inlineStr">
        <is>
          <t>The data is mandatory</t>
        </is>
      </c>
      <c r="AK903" s="257" t="n"/>
      <c r="AL903" s="258" t="inlineStr">
        <is>
          <t>EN0061</t>
        </is>
      </c>
      <c r="AM903" s="318" t="n"/>
      <c r="AN903" s="317" t="n"/>
      <c r="AO903" s="257" t="n"/>
      <c r="AP903" s="258" t="n"/>
      <c r="AQ903" s="322" t="inlineStr">
        <is>
          <t>Si renseignée, la donnée doit être égale à 'P2'</t>
        </is>
      </c>
      <c r="AR903" s="317" t="inlineStr">
        <is>
          <t>If filled in, the data must be equal to 'P2'</t>
        </is>
      </c>
      <c r="AS903" s="257" t="n"/>
      <c r="AT903" s="258" t="inlineStr">
        <is>
          <t>EN0061</t>
        </is>
      </c>
      <c r="AU903" s="318" t="n"/>
      <c r="AV903" s="317" t="n"/>
      <c r="AW903" s="257" t="n"/>
      <c r="AX903" s="258" t="n"/>
      <c r="AY903" s="318" t="n"/>
      <c r="AZ903" s="317" t="n"/>
      <c r="BA903" s="257" t="n"/>
      <c r="BB903" s="258" t="n"/>
      <c r="BC903" s="316" t="n"/>
      <c r="BD903" s="317" t="n"/>
      <c r="BE903" s="257" t="n"/>
      <c r="BF903" s="258" t="n"/>
      <c r="BG903" s="89" t="n"/>
      <c r="BH9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03">
        <f>_xlfn.LET(r,ROW(),oc,INDEX($A:$A,r),cv,TRIM(INDEX($Y:$Y,r)&amp;""),IF(oc&lt;&gt;"P1","",IF(cv="45","V45 - novo, nao alimentado pelo spool atual","V44 - alimentado pelo spool atual")))</f>
        <v/>
      </c>
    </row>
    <row r="904" ht="54" customFormat="1" customHeight="1" s="90">
      <c r="A904" s="306" t="inlineStr">
        <is>
          <t>P2</t>
        </is>
      </c>
      <c r="B904" s="307" t="n">
        <v>7</v>
      </c>
      <c r="C904" s="269" t="inlineStr">
        <is>
          <t>02 - Caractéristiques d'identification fonctionnelles</t>
        </is>
      </c>
      <c r="D904" s="310" t="inlineStr">
        <is>
          <t>02 - Functional identification characteristics</t>
        </is>
      </c>
      <c r="E904" s="307" t="inlineStr">
        <is>
          <t>0.7 (P2)</t>
        </is>
      </c>
      <c r="F904" s="308" t="inlineStr">
        <is>
          <t>Nature de flux (Zone réservée DRG)</t>
        </is>
      </c>
      <c r="G904" s="309" t="inlineStr">
        <is>
          <t>Nature of flow (Zone reserved for Group Risk Management Division)</t>
        </is>
      </c>
      <c r="H904" s="309" t="n"/>
      <c r="I904" s="241" t="inlineStr">
        <is>
          <t>Nature de flux (Zone réservée DRG)</t>
        </is>
      </c>
      <c r="J904" s="233" t="inlineStr">
        <is>
          <t>Nature of flow (Zone reserved for Group Risk Management Division)</t>
        </is>
      </c>
      <c r="K904" s="269" t="inlineStr">
        <is>
          <t>ND</t>
        </is>
      </c>
      <c r="L904" s="310" t="inlineStr">
        <is>
          <t>ND</t>
        </is>
      </c>
      <c r="M904" s="1420" t="inlineStr">
        <is>
          <t>NatFlux</t>
        </is>
      </c>
      <c r="N904" s="231" t="inlineStr">
        <is>
          <t>Facultatif</t>
        </is>
      </c>
      <c r="O904" s="310" t="inlineStr">
        <is>
          <t>Optional</t>
        </is>
      </c>
      <c r="P904" s="269" t="inlineStr">
        <is>
          <t>NA</t>
        </is>
      </c>
      <c r="Q904" s="269" t="inlineStr">
        <is>
          <t>NA</t>
        </is>
      </c>
      <c r="R904" s="311" t="inlineStr">
        <is>
          <t>Zone réservée DRG</t>
        </is>
      </c>
      <c r="S904" s="312" t="inlineStr">
        <is>
          <t>Zone reserved for the Group Risk Management Division</t>
        </is>
      </c>
      <c r="T904" s="313" t="inlineStr">
        <is>
          <t>ALPHA</t>
        </is>
      </c>
      <c r="U904" s="237" t="inlineStr">
        <is>
          <t>NA</t>
        </is>
      </c>
      <c r="V904" s="238" t="inlineStr">
        <is>
          <t>NA</t>
        </is>
      </c>
      <c r="W904" s="257" t="n">
        <v>1</v>
      </c>
      <c r="X904" s="945" t="inlineStr">
        <is>
          <t>NA</t>
        </is>
      </c>
      <c r="Y904" s="237" t="inlineStr">
        <is>
          <t>40</t>
        </is>
      </c>
      <c r="Z904" s="237" t="inlineStr">
        <is>
          <t>NA</t>
        </is>
      </c>
      <c r="AA904" s="237" t="inlineStr">
        <is>
          <t>NA</t>
        </is>
      </c>
      <c r="AB904" s="636" t="inlineStr">
        <is>
          <t>USAGE ZP</t>
        </is>
      </c>
      <c r="AC904" s="231" t="inlineStr">
        <is>
          <t>ND</t>
        </is>
      </c>
      <c r="AD904" s="257" t="inlineStr">
        <is>
          <t>N</t>
        </is>
      </c>
      <c r="AE904" s="257" t="inlineStr">
        <is>
          <t>NA</t>
        </is>
      </c>
      <c r="AF904" s="257" t="inlineStr">
        <is>
          <t>NA</t>
        </is>
      </c>
      <c r="AG904" s="258" t="inlineStr">
        <is>
          <t>NA</t>
        </is>
      </c>
      <c r="AH904" s="89" t="n"/>
      <c r="AI904" s="316" t="n"/>
      <c r="AJ904" s="317" t="n"/>
      <c r="AK904" s="257" t="n"/>
      <c r="AL904" s="258" t="n"/>
      <c r="AM904" s="318" t="n"/>
      <c r="AN904" s="317" t="n"/>
      <c r="AO904" s="257" t="n"/>
      <c r="AP904" s="258" t="n"/>
      <c r="AQ904" s="318" t="inlineStr">
        <is>
          <t>Si renseignée et type d'enregistrement (EN [0.6]) est différent de 'Z9', la donnée doit être égale à 'R'.</t>
        </is>
      </c>
      <c r="AR904" s="317" t="inlineStr">
        <is>
          <t>If entered and record type (EN [0.6]) is different from 'Z9', the data must be equal to 'R'.</t>
        </is>
      </c>
      <c r="AS904" s="257" t="n"/>
      <c r="AT904" s="258" t="inlineStr">
        <is>
          <t>EN0071</t>
        </is>
      </c>
      <c r="AU904"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904"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904" s="257" t="n"/>
      <c r="AX904" s="258" t="inlineStr">
        <is>
          <t>EN0071</t>
        </is>
      </c>
      <c r="AY904" s="318" t="n"/>
      <c r="AZ904" s="317" t="n"/>
      <c r="BA904" s="257" t="n"/>
      <c r="BB904" s="258" t="n"/>
      <c r="BC904" s="316" t="n"/>
      <c r="BD904" s="317" t="n"/>
      <c r="BE904" s="257" t="n"/>
      <c r="BF904" s="258" t="n"/>
      <c r="BG904" s="89" t="n"/>
      <c r="BH9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04">
        <f>_xlfn.LET(r,ROW(),oc,INDEX($A:$A,r),cv,TRIM(INDEX($Y:$Y,r)&amp;""),IF(oc&lt;&gt;"P1","",IF(cv="45","V45 - novo, nao alimentado pelo spool atual","V44 - alimentado pelo spool atual")))</f>
        <v/>
      </c>
    </row>
    <row r="905" ht="54" customFormat="1" customHeight="1" s="90">
      <c r="A905" s="306" t="inlineStr">
        <is>
          <t>P2</t>
        </is>
      </c>
      <c r="B905" s="307" t="n">
        <v>8</v>
      </c>
      <c r="C905" s="269" t="inlineStr">
        <is>
          <t>02 - Caractéristiques d'identification fonctionnelles</t>
        </is>
      </c>
      <c r="D905" s="310" t="inlineStr">
        <is>
          <t>02 - Functional identification characteristics</t>
        </is>
      </c>
      <c r="E905" s="307" t="inlineStr">
        <is>
          <t>0.8 (P2)</t>
        </is>
      </c>
      <c r="F905" s="308" t="inlineStr">
        <is>
          <t>Centre de Responsabilité Comptable (Zone réservée CAsa social)</t>
        </is>
      </c>
      <c r="G905" s="309" t="inlineStr">
        <is>
          <t>Accounting responsibility center (Zone reserved for Crédit Agricole S.A. Holding)</t>
        </is>
      </c>
      <c r="H905" s="309" t="n"/>
      <c r="I905" s="241" t="inlineStr">
        <is>
          <t>Pour Crédit Agricole SA entité sociale, indique le numéro de CRC (Centre de Responsabilité Comptable) concerné</t>
        </is>
      </c>
      <c r="J905" s="233" t="inlineStr">
        <is>
          <t>For CASAes entity, indicate the relevant CRC (Center of accounting responsability) number</t>
        </is>
      </c>
      <c r="K905" s="269" t="inlineStr">
        <is>
          <t>ND</t>
        </is>
      </c>
      <c r="L905" s="310" t="inlineStr">
        <is>
          <t>ND</t>
        </is>
      </c>
      <c r="M905" s="1420" t="inlineStr">
        <is>
          <t>ZoneResCasa</t>
        </is>
      </c>
      <c r="N905" s="231" t="inlineStr">
        <is>
          <t>Obligatoire sous conditions</t>
        </is>
      </c>
      <c r="O905" s="310" t="inlineStr">
        <is>
          <t>Mandatory under conditions</t>
        </is>
      </c>
      <c r="P905" s="269" t="inlineStr">
        <is>
          <t>LC.0072</t>
        </is>
      </c>
      <c r="Q905" s="269" t="inlineStr">
        <is>
          <t>TA KVCRC</t>
        </is>
      </c>
      <c r="R905" s="241" t="inlineStr">
        <is>
          <t>Zone exploitée uniquement par les entités déclarant les risques portés par Crédit Agricole S.A.
Décomposition comptable du Siège en Activités (comptabilités auxiliaires). Permet de gérer les opérations pour compte propre Casa</t>
        </is>
      </c>
      <c r="S905" s="233" t="inlineStr">
        <is>
          <t>Zone only used for entities reporting risks borne by Crédit Agricole S.A.
Accounting breakdown of HQ into Activities (sub-ledgers). Makes it possible to manage Crédit Agricole S.A. proprietary trading</t>
        </is>
      </c>
      <c r="T905" s="313" t="inlineStr">
        <is>
          <t>ALPHA</t>
        </is>
      </c>
      <c r="U905" s="237" t="inlineStr">
        <is>
          <t>NA</t>
        </is>
      </c>
      <c r="V905" s="238" t="inlineStr">
        <is>
          <t>NA</t>
        </is>
      </c>
      <c r="W905" s="257" t="n">
        <v>2</v>
      </c>
      <c r="X905" s="945" t="inlineStr">
        <is>
          <t>NA</t>
        </is>
      </c>
      <c r="Y905" s="237" t="inlineStr">
        <is>
          <t>40</t>
        </is>
      </c>
      <c r="Z905" s="237" t="inlineStr">
        <is>
          <t>NA</t>
        </is>
      </c>
      <c r="AA905" s="270" t="inlineStr">
        <is>
          <t>45.00</t>
        </is>
      </c>
      <c r="AB905" s="932" t="inlineStr">
        <is>
          <t>LIQUIDITE, PALMA</t>
        </is>
      </c>
      <c r="AC905" s="231" t="inlineStr">
        <is>
          <t>ND</t>
        </is>
      </c>
      <c r="AD905" s="257" t="inlineStr">
        <is>
          <t>N</t>
        </is>
      </c>
      <c r="AE905" s="257" t="inlineStr">
        <is>
          <t>NA</t>
        </is>
      </c>
      <c r="AF905" s="257" t="inlineStr">
        <is>
          <t>NA</t>
        </is>
      </c>
      <c r="AG905" s="258" t="inlineStr">
        <is>
          <t>NA</t>
        </is>
      </c>
      <c r="AH905" s="89" t="n"/>
      <c r="AI905" s="316" t="inlineStr">
        <is>
          <t>La donnée est obligatoire si l'entité porteuse de risques [0.2 (P2)] est égale à '00018'</t>
        </is>
      </c>
      <c r="AJ905" s="317" t="inlineStr">
        <is>
          <t>The data is mandatory if Risk taker entity [0.2 (P2)] is equal to '00018'</t>
        </is>
      </c>
      <c r="AK905" s="257" t="n">
        <v>6</v>
      </c>
      <c r="AL905" s="411" t="inlineStr">
        <is>
          <t>TPS1700</t>
        </is>
      </c>
      <c r="AM905" s="318" t="inlineStr">
        <is>
          <t>Si elle est renseignée, la valeur doit être connue du Langage Commun associé</t>
        </is>
      </c>
      <c r="AN905" s="317" t="inlineStr">
        <is>
          <t>If specified, the value must be known to the associated Common Language</t>
        </is>
      </c>
      <c r="AO905" s="257" t="n">
        <v>7</v>
      </c>
      <c r="AP905" s="469" t="inlineStr">
        <is>
          <t>TIG0001</t>
        </is>
      </c>
      <c r="AQ905" s="318" t="n"/>
      <c r="AR905" s="317" t="n"/>
      <c r="AS905" s="257" t="n"/>
      <c r="AT905" s="258" t="n"/>
      <c r="AU905" s="318" t="n"/>
      <c r="AV905" s="317" t="n"/>
      <c r="AW905" s="257" t="n"/>
      <c r="AX905" s="258" t="n"/>
      <c r="AY905" s="318" t="n"/>
      <c r="AZ905" s="317" t="n"/>
      <c r="BA905" s="257" t="n"/>
      <c r="BB905" s="258" t="n"/>
      <c r="BC905" s="316" t="n"/>
      <c r="BD905" s="317" t="n"/>
      <c r="BE905" s="257" t="n"/>
      <c r="BF905" s="258" t="n"/>
      <c r="BG905" s="89" t="n"/>
      <c r="BH9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05">
        <f>_xlfn.LET(r,ROW(),oc,INDEX($A:$A,r),cv,TRIM(INDEX($Y:$Y,r)&amp;""),IF(oc&lt;&gt;"P1","",IF(cv="45","V45 - novo, nao alimentado pelo spool atual","V44 - alimentado pelo spool atual")))</f>
        <v/>
      </c>
    </row>
    <row r="906" ht="54" customFormat="1" customHeight="1" s="90">
      <c r="A906" s="306" t="inlineStr">
        <is>
          <t>P2</t>
        </is>
      </c>
      <c r="B906" s="307" t="n">
        <v>9</v>
      </c>
      <c r="C906" s="269" t="inlineStr">
        <is>
          <t>02 - Caractéristiques d'identification fonctionnelles</t>
        </is>
      </c>
      <c r="D906" s="310" t="inlineStr">
        <is>
          <t>02 - Functional identification characteristics</t>
        </is>
      </c>
      <c r="E906" s="307" t="inlineStr">
        <is>
          <t>0.9 (P2)</t>
        </is>
      </c>
      <c r="F906" s="783" t="inlineStr">
        <is>
          <t>Unité d'exploitation (Zone réservée CACIB)</t>
        </is>
      </c>
      <c r="G906" s="309" t="inlineStr">
        <is>
          <t>Operating unit in the risk taker (Zone reserved for CACIB)</t>
        </is>
      </c>
      <c r="H906" s="309" t="n"/>
      <c r="I906" s="241" t="inlineStr">
        <is>
          <t>Permet d'indiquer l'unité d'exploitation</t>
        </is>
      </c>
      <c r="J906" s="233" t="inlineStr">
        <is>
          <t>Allows to indicate operating unit in the risk taker entity</t>
        </is>
      </c>
      <c r="K906" s="269" t="inlineStr">
        <is>
          <t>ND</t>
        </is>
      </c>
      <c r="L906" s="310" t="inlineStr">
        <is>
          <t>ND</t>
        </is>
      </c>
      <c r="M906" s="1420" t="inlineStr">
        <is>
          <t>UniteExploit</t>
        </is>
      </c>
      <c r="N906" s="231" t="inlineStr">
        <is>
          <t>Obligatoire sous conditions</t>
        </is>
      </c>
      <c r="O906" s="310" t="inlineStr">
        <is>
          <t>Mandatory under conditions</t>
        </is>
      </c>
      <c r="P906" s="994" t="inlineStr">
        <is>
          <t>NA</t>
        </is>
      </c>
      <c r="Q906" s="269" t="inlineStr">
        <is>
          <t>NA</t>
        </is>
      </c>
      <c r="R906" s="241" t="inlineStr">
        <is>
          <t xml:space="preserve"> Réservé CACIB - laisser à vide si non concerné</t>
        </is>
      </c>
      <c r="S906" s="233" t="inlineStr">
        <is>
          <t>Zone reserved for CACIB. Leave empty if not concerned</t>
        </is>
      </c>
      <c r="T906" s="313" t="inlineStr">
        <is>
          <t>ALPHA</t>
        </is>
      </c>
      <c r="U906" s="237" t="inlineStr">
        <is>
          <t>NA</t>
        </is>
      </c>
      <c r="V906" s="238" t="inlineStr">
        <is>
          <t>NA</t>
        </is>
      </c>
      <c r="W906" s="257" t="n">
        <v>4</v>
      </c>
      <c r="X906" s="945" t="inlineStr">
        <is>
          <t>NA</t>
        </is>
      </c>
      <c r="Y906" s="237" t="inlineStr">
        <is>
          <t>40</t>
        </is>
      </c>
      <c r="Z906" s="237" t="inlineStr">
        <is>
          <t>NA</t>
        </is>
      </c>
      <c r="AA906" s="270" t="inlineStr">
        <is>
          <t>NA</t>
        </is>
      </c>
      <c r="AB906" s="1286" t="inlineStr">
        <is>
          <t>CALCULS PRUDENTIELS</t>
        </is>
      </c>
      <c r="AC906" s="231" t="inlineStr">
        <is>
          <t>ND</t>
        </is>
      </c>
      <c r="AD906" s="257" t="inlineStr">
        <is>
          <t>N</t>
        </is>
      </c>
      <c r="AE906" s="257" t="inlineStr">
        <is>
          <t>NA</t>
        </is>
      </c>
      <c r="AF906" s="257" t="inlineStr">
        <is>
          <t>NA</t>
        </is>
      </c>
      <c r="AG906" s="258" t="inlineStr">
        <is>
          <t>NA</t>
        </is>
      </c>
      <c r="AH906" s="89" t="n"/>
      <c r="AI906" s="316" t="inlineStr">
        <is>
          <t>La donnée est obligatoire si le Type d'enregistrement [0.6 (P2)] est différent de 'C1' et de 'Z9', et que, dans la table START "TA 0990 KVAPPBK", KVBAPPID commence par 'CACI' pour le KVAPPBK valant la concaténation "Entité porteuse de risque" [0.2 (P2)] et "Application source" [0.3 (P2)]</t>
        </is>
      </c>
      <c r="AJ906" s="317" t="inlineStr">
        <is>
          <t>The data is mandatory if the record type [0.6 (P2)] is different from 'C1' and 'Z9', and in the START table "TA 0990 KVAPPBK", KVBAPPID starts with 'CACI' for the KVAPPBK with the concatenation 'Risk taker entity' [0.2 (P2)]and 'Source application' [0.3 (P2)]</t>
        </is>
      </c>
      <c r="AK906" s="257" t="n"/>
      <c r="AL906" s="258" t="inlineStr">
        <is>
          <t>EN0091</t>
        </is>
      </c>
      <c r="AM906" s="324" t="inlineStr">
        <is>
          <t>Si renseignée, et si le type d'enregistrement [0.6 (P2] est différent de 'C1' et de 'Z9' :
1/ Si dans la table START "TA 0990 KVAPPBK", KVBAPPID commence par 'CACI' pour le KVAPPBK valant la concaténation "Entité porteuse de risque" [0.2 (P2)] et "Application source" [0.3 (P2)], alors, dans la table START "TA TMTAKOBU", la concaténation 'CA-CIB' + un blanc + [0.9 (P2)] + "_" + [0.2 (P2)] doit être présente dans le champ TMNOMOBU.
2/ Sinon, dans la table START "TA TMTAKOBU", la concaténation des 9 premiers caractères du BAPPID + '_' + 0.9 (P2)] doit être présente dans le champ TMNOMOBU.</t>
        </is>
      </c>
      <c r="AN906" s="317" t="inlineStr">
        <is>
          <t>If filled in, and the type of record [0.6 (P2] is different from 'C1' and 'Z9':
1/ If in the START table "TA 0990 KVAPPBK", KVBAPPID starts with "CACI" for the KVAPPBK with the concatenation "risk carrying Entity" [0.2 (P2)] and "Source application" [0.3 (P2)], then in the START table "TA TMTAKOBU", the concatenation 'CA-CIB' + a blank + [0.9 (P2)] + "_" + [0.2 (P2)] must be present in the TMNOMOBU field.
2/ Otherwise, in the START table "TA TMTAKOBU", the concatenation of the first 9 characters of the BAPPID + '_' + [0.9 (P2)] must be present in the TMNOMOBU field.</t>
        </is>
      </c>
      <c r="AO906" s="257" t="n"/>
      <c r="AP906" s="258" t="inlineStr">
        <is>
          <t>EN0092</t>
        </is>
      </c>
      <c r="AQ906" s="318" t="n"/>
      <c r="AR906" s="317" t="n"/>
      <c r="AS906" s="257" t="n"/>
      <c r="AT906" s="258" t="n"/>
      <c r="AU906" s="318" t="n"/>
      <c r="AV906" s="317" t="n"/>
      <c r="AW906" s="257" t="n"/>
      <c r="AX906" s="258" t="n"/>
      <c r="AY906" s="318" t="n"/>
      <c r="AZ906" s="317" t="n"/>
      <c r="BA906" s="257" t="n"/>
      <c r="BB906" s="258" t="n"/>
      <c r="BC906" s="316" t="n"/>
      <c r="BD906" s="317" t="n"/>
      <c r="BE906" s="257" t="n"/>
      <c r="BF906" s="258" t="n"/>
      <c r="BG906" s="89" t="n"/>
      <c r="BH9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06">
        <f>_xlfn.LET(r,ROW(),oc,INDEX($A:$A,r),cv,TRIM(INDEX($Y:$Y,r)&amp;""),IF(oc&lt;&gt;"P1","",IF(cv="45","V45 - novo, nao alimentado pelo spool atual","V44 - alimentado pelo spool atual")))</f>
        <v/>
      </c>
    </row>
    <row r="907" ht="54" customFormat="1" customHeight="1" s="55">
      <c r="A907" s="325" t="inlineStr">
        <is>
          <t>P2</t>
        </is>
      </c>
      <c r="B907" s="326" t="n">
        <v>10</v>
      </c>
      <c r="C907" s="284" t="inlineStr">
        <is>
          <t>NA</t>
        </is>
      </c>
      <c r="D907" s="284" t="inlineStr">
        <is>
          <t>NA</t>
        </is>
      </c>
      <c r="E907" s="326" t="inlineStr">
        <is>
          <t>0.99 (P2)</t>
        </is>
      </c>
      <c r="F907" s="327" t="inlineStr">
        <is>
          <t>Filler</t>
        </is>
      </c>
      <c r="G907" s="327" t="inlineStr">
        <is>
          <t>Filler</t>
        </is>
      </c>
      <c r="H907" s="327" t="n"/>
      <c r="I907" s="247" t="inlineStr">
        <is>
          <t>Zone libre</t>
        </is>
      </c>
      <c r="J907" s="245" t="inlineStr">
        <is>
          <t>Free zone</t>
        </is>
      </c>
      <c r="K907" s="284" t="inlineStr">
        <is>
          <t>NA</t>
        </is>
      </c>
      <c r="L907" s="284" t="inlineStr">
        <is>
          <t>NA</t>
        </is>
      </c>
      <c r="M907" s="1421" t="inlineStr">
        <is>
          <t>ZoneLibre0</t>
        </is>
      </c>
      <c r="N907" s="284" t="inlineStr">
        <is>
          <t>NA</t>
        </is>
      </c>
      <c r="O907" s="284" t="inlineStr">
        <is>
          <t>NA</t>
        </is>
      </c>
      <c r="P907" s="284" t="inlineStr">
        <is>
          <t>NA</t>
        </is>
      </c>
      <c r="Q907" s="284" t="inlineStr">
        <is>
          <t>NA</t>
        </is>
      </c>
      <c r="R907" s="247" t="inlineStr">
        <is>
          <t>Laisser à vide</t>
        </is>
      </c>
      <c r="S907" s="247" t="inlineStr">
        <is>
          <t>Leave empty</t>
        </is>
      </c>
      <c r="T907" s="326" t="inlineStr">
        <is>
          <t>ALPHA</t>
        </is>
      </c>
      <c r="U907" s="248" t="inlineStr">
        <is>
          <t>NA</t>
        </is>
      </c>
      <c r="V907" s="248" t="inlineStr">
        <is>
          <t>NA</t>
        </is>
      </c>
      <c r="W907" s="284" t="n">
        <v>3</v>
      </c>
      <c r="X907" s="244" t="inlineStr">
        <is>
          <t>NA</t>
        </is>
      </c>
      <c r="Y907" s="248" t="inlineStr">
        <is>
          <t>NA</t>
        </is>
      </c>
      <c r="Z907" s="248" t="inlineStr">
        <is>
          <t>NA</t>
        </is>
      </c>
      <c r="AA907" s="248" t="inlineStr">
        <is>
          <t>NA</t>
        </is>
      </c>
      <c r="AB907" s="284" t="inlineStr">
        <is>
          <t>NA</t>
        </is>
      </c>
      <c r="AC907" s="244" t="inlineStr">
        <is>
          <t>NA</t>
        </is>
      </c>
      <c r="AD907" s="284" t="inlineStr">
        <is>
          <t>N</t>
        </is>
      </c>
      <c r="AE907" s="284" t="inlineStr">
        <is>
          <t>NA</t>
        </is>
      </c>
      <c r="AF907" s="284" t="inlineStr">
        <is>
          <t>NA</t>
        </is>
      </c>
      <c r="AG907" s="285" t="inlineStr">
        <is>
          <t>NA</t>
        </is>
      </c>
      <c r="AH907" s="89" t="n"/>
      <c r="AI907" s="330" t="n"/>
      <c r="AJ907" s="331" t="n"/>
      <c r="AK907" s="284" t="n"/>
      <c r="AL907" s="285" t="n"/>
      <c r="AM907" s="331" t="n"/>
      <c r="AN907" s="331" t="n"/>
      <c r="AO907" s="284" t="n"/>
      <c r="AP907" s="285" t="n"/>
      <c r="AQ907" s="331" t="n"/>
      <c r="AR907" s="331" t="n"/>
      <c r="AS907" s="284" t="n"/>
      <c r="AT907" s="285" t="n"/>
      <c r="AU907" s="331" t="n"/>
      <c r="AV907" s="331" t="n"/>
      <c r="AW907" s="284" t="n"/>
      <c r="AX907" s="285" t="n"/>
      <c r="AY907" s="331" t="n"/>
      <c r="AZ907" s="331" t="n"/>
      <c r="BA907" s="284" t="n"/>
      <c r="BB907" s="285" t="n"/>
      <c r="BC907" s="330" t="n"/>
      <c r="BD907" s="331" t="n"/>
      <c r="BE907" s="284" t="n"/>
      <c r="BF907" s="285" t="n"/>
      <c r="BG907" s="89" t="n"/>
      <c r="BH9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07">
        <f>_xlfn.LET(r,ROW(),oc,INDEX($A:$A,r),cv,TRIM(INDEX($Y:$Y,r)&amp;""),IF(oc&lt;&gt;"P1","",IF(cv="45","V45 - novo, nao alimentado pelo spool atual","V44 - alimentado pelo spool atual")))</f>
        <v/>
      </c>
    </row>
    <row r="908" ht="54" customFormat="1" customHeight="1" s="90">
      <c r="A908" s="306" t="inlineStr">
        <is>
          <t>P2</t>
        </is>
      </c>
      <c r="B908" s="307" t="n">
        <v>11</v>
      </c>
      <c r="C908" s="269" t="inlineStr">
        <is>
          <t>16 - Identification Tiers</t>
        </is>
      </c>
      <c r="D908" s="236" t="inlineStr">
        <is>
          <t>16 - Third party identification</t>
        </is>
      </c>
      <c r="E908" s="307" t="inlineStr">
        <is>
          <t>1.1 (P2)</t>
        </is>
      </c>
      <c r="F908" s="308" t="inlineStr">
        <is>
          <t>Identifiant local du tiers en risque</t>
        </is>
      </c>
      <c r="G908" s="309" t="inlineStr">
        <is>
          <t>Local identifier for the counterparty</t>
        </is>
      </c>
      <c r="H908" s="309" t="n"/>
      <c r="I908" s="308" t="inlineStr">
        <is>
          <t>Identifiant du tiers dans le système utilisé pour générer le flux</t>
        </is>
      </c>
      <c r="J908" s="309" t="inlineStr">
        <is>
          <t>ID of external counterparty in the system used to generate the flow</t>
        </is>
      </c>
      <c r="K908" s="370" t="inlineStr">
        <is>
          <t>ND</t>
        </is>
      </c>
      <c r="L908" s="371" t="inlineStr">
        <is>
          <t>ND</t>
        </is>
      </c>
      <c r="M908" s="1420" t="inlineStr">
        <is>
          <t>IdLocalTiersRisq</t>
        </is>
      </c>
      <c r="N908" s="231" t="inlineStr">
        <is>
          <t>Obligatoire</t>
        </is>
      </c>
      <c r="O908" s="310" t="inlineStr">
        <is>
          <t>Mandatory</t>
        </is>
      </c>
      <c r="P908" s="269" t="inlineStr">
        <is>
          <t>NA</t>
        </is>
      </c>
      <c r="Q908" s="269" t="inlineStr">
        <is>
          <t>NA</t>
        </is>
      </c>
      <c r="R908" s="241" t="inlineStr">
        <is>
          <t>Vérification présence d'un enregistrement de type C1 avec même identifiant dans le lot (Sauf entité émettrice d'un flux FTCA)</t>
        </is>
      </c>
      <c r="S908" s="233" t="inlineStr">
        <is>
          <t>Verification of the existence in the batch of a C1 type record with the same ID (Except for entity issuing an FTCA flow)</t>
        </is>
      </c>
      <c r="T908" s="313" t="inlineStr">
        <is>
          <t>ALPHA</t>
        </is>
      </c>
      <c r="U908" s="237" t="inlineStr">
        <is>
          <t>NA</t>
        </is>
      </c>
      <c r="V908" s="238" t="inlineStr">
        <is>
          <t>NA</t>
        </is>
      </c>
      <c r="W908" s="257" t="n">
        <v>20</v>
      </c>
      <c r="X908" s="945" t="inlineStr">
        <is>
          <t>NA</t>
        </is>
      </c>
      <c r="Y908" s="237" t="inlineStr">
        <is>
          <t>40</t>
        </is>
      </c>
      <c r="Z908" s="237" t="inlineStr">
        <is>
          <t>NA</t>
        </is>
      </c>
      <c r="AA908" s="270" t="inlineStr">
        <is>
          <t>NA</t>
        </is>
      </c>
      <c r="AB908" s="994" t="inlineStr">
        <is>
          <t>DEI, OMP</t>
        </is>
      </c>
      <c r="AC908" s="231" t="inlineStr">
        <is>
          <t>ND</t>
        </is>
      </c>
      <c r="AD908" s="257" t="inlineStr">
        <is>
          <t>N</t>
        </is>
      </c>
      <c r="AE908" s="257" t="inlineStr">
        <is>
          <t>NA</t>
        </is>
      </c>
      <c r="AF908" s="257" t="inlineStr">
        <is>
          <t>NA</t>
        </is>
      </c>
      <c r="AG908" s="258" t="inlineStr">
        <is>
          <t>NA</t>
        </is>
      </c>
      <c r="AH908" s="89" t="n"/>
      <c r="AI908" s="316" t="inlineStr">
        <is>
          <t>La donnée est obligatoire</t>
        </is>
      </c>
      <c r="AJ908" s="317" t="inlineStr">
        <is>
          <t>The data is mandatory</t>
        </is>
      </c>
      <c r="AK908" s="257" t="n">
        <v>7</v>
      </c>
      <c r="AL908" s="335" t="inlineStr">
        <is>
          <t>TPG0001</t>
        </is>
      </c>
      <c r="AM908" s="318" t="n"/>
      <c r="AN908" s="317" t="n"/>
      <c r="AO908" s="257" t="n"/>
      <c r="AP908" s="258" t="n"/>
      <c r="AQ908" s="318" t="n"/>
      <c r="AR908" s="317" t="n"/>
      <c r="AS908" s="257" t="n"/>
      <c r="AT908" s="258" t="n"/>
      <c r="AU908" s="318" t="n"/>
      <c r="AV908" s="317" t="n"/>
      <c r="AW908" s="257" t="n"/>
      <c r="AX908" s="258" t="n"/>
      <c r="AY908" s="337" t="inlineStr">
        <is>
          <t>Le tiers doit exister (présence du tiers dans TIGRE)
---
L'Identifiant local du tiers en risque doit etre identique à l'Identifiant local du tiers en risque du F2 lié</t>
        </is>
      </c>
      <c r="AZ908" s="317" t="inlineStr">
        <is>
          <t>The third-party must exist (presence of the third-party in TIGRE)
---
The local ID of the third party in risk must be identical to the local ID of the third party in risk of the linked F2</t>
        </is>
      </c>
      <c r="BA908" s="414" t="inlineStr">
        <is>
          <t>7
6</t>
        </is>
      </c>
      <c r="BB908" s="341" t="inlineStr">
        <is>
          <t>TIG0002
TC0096</t>
        </is>
      </c>
      <c r="BC908" s="316" t="n"/>
      <c r="BD908" s="317" t="n"/>
      <c r="BE908" s="257" t="n"/>
      <c r="BF908" s="258" t="n"/>
      <c r="BG908" s="89" t="n"/>
      <c r="BH9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08">
        <f>_xlfn.LET(r,ROW(),oc,INDEX($A:$A,r),cv,TRIM(INDEX($Y:$Y,r)&amp;""),IF(oc&lt;&gt;"P1","",IF(cv="45","V45 - novo, nao alimentado pelo spool atual","V44 - alimentado pelo spool atual")))</f>
        <v/>
      </c>
    </row>
    <row r="909" ht="54" customFormat="1" customHeight="1" s="90">
      <c r="A909" s="306" t="inlineStr">
        <is>
          <t>P2</t>
        </is>
      </c>
      <c r="B909" s="307" t="n">
        <v>12</v>
      </c>
      <c r="C909" s="269" t="inlineStr">
        <is>
          <t>16 - Identification Tiers</t>
        </is>
      </c>
      <c r="D909" s="236" t="inlineStr">
        <is>
          <t>16 - Third party identification</t>
        </is>
      </c>
      <c r="E909" s="307" t="inlineStr">
        <is>
          <t>1.2 (P2)</t>
        </is>
      </c>
      <c r="F909" s="308" t="inlineStr">
        <is>
          <t>Identifiant central du tiers en risque</t>
        </is>
      </c>
      <c r="G909" s="309" t="inlineStr">
        <is>
          <t>Central identifier for the counterparty</t>
        </is>
      </c>
      <c r="H909" s="309" t="n"/>
      <c r="I909" s="241" t="inlineStr">
        <is>
          <t>Identifiant du tiers dans le système central DRG</t>
        </is>
      </c>
      <c r="J909" s="309" t="inlineStr">
        <is>
          <t>ID of the external counterparty in the Group Risk Management Division IT System</t>
        </is>
      </c>
      <c r="K909" s="370" t="inlineStr">
        <is>
          <t>ND</t>
        </is>
      </c>
      <c r="L909" s="371" t="inlineStr">
        <is>
          <t>ND</t>
        </is>
      </c>
      <c r="M909" s="1420" t="inlineStr">
        <is>
          <t>cdCentralTiers</t>
        </is>
      </c>
      <c r="N909" s="231" t="inlineStr">
        <is>
          <t>Facultatif</t>
        </is>
      </c>
      <c r="O909" s="310" t="inlineStr">
        <is>
          <t>Optional</t>
        </is>
      </c>
      <c r="P909" s="269" t="inlineStr">
        <is>
          <t>NA</t>
        </is>
      </c>
      <c r="Q909" s="269" t="inlineStr">
        <is>
          <t>NA</t>
        </is>
      </c>
      <c r="R909" s="241" t="inlineStr">
        <is>
          <t>Identifiant fourni par DRG dans le fichier mensuel Référentiel ‘Tiers groupes' transmis aux entités émettrices du flux.
Obligatoire pour une entité émettrice d'un flux FTCA</t>
        </is>
      </c>
      <c r="S909" s="233" t="inlineStr">
        <is>
          <t>ID provided by the Group Risk Management Division in the monthly “External Counterparties Groups” file (DTG) sent to entities issuing flows.
Mandatory for entities issuing an FTCA flow</t>
        </is>
      </c>
      <c r="T909" s="313" t="inlineStr">
        <is>
          <t>ALPHA</t>
        </is>
      </c>
      <c r="U909" s="237" t="inlineStr">
        <is>
          <t>NA</t>
        </is>
      </c>
      <c r="V909" s="238" t="inlineStr">
        <is>
          <t>NA</t>
        </is>
      </c>
      <c r="W909" s="257" t="n">
        <v>10</v>
      </c>
      <c r="X909" s="945" t="inlineStr">
        <is>
          <t>NA</t>
        </is>
      </c>
      <c r="Y909" s="237" t="inlineStr">
        <is>
          <t>40</t>
        </is>
      </c>
      <c r="Z909" s="237" t="inlineStr">
        <is>
          <t>NA</t>
        </is>
      </c>
      <c r="AA909" s="270" t="inlineStr">
        <is>
          <t>45.00</t>
        </is>
      </c>
      <c r="AB909" s="994" t="inlineStr">
        <is>
          <t>ASTRE, NPE, RISQUE PHYSIQUE</t>
        </is>
      </c>
      <c r="AC909" s="231" t="inlineStr">
        <is>
          <t>ND</t>
        </is>
      </c>
      <c r="AD909" s="257" t="inlineStr">
        <is>
          <t>N</t>
        </is>
      </c>
      <c r="AE909" s="257" t="inlineStr">
        <is>
          <t>NA</t>
        </is>
      </c>
      <c r="AF909" s="257" t="inlineStr">
        <is>
          <t>NA</t>
        </is>
      </c>
      <c r="AG909" s="258" t="inlineStr">
        <is>
          <t>NA</t>
        </is>
      </c>
      <c r="AH909" s="89" t="n"/>
      <c r="AI909" s="316" t="n"/>
      <c r="AJ909" s="317" t="n"/>
      <c r="AK909" s="257" t="n"/>
      <c r="AL909" s="258" t="n"/>
      <c r="AM909" s="318" t="n"/>
      <c r="AN909" s="317" t="n"/>
      <c r="AO909" s="257" t="n"/>
      <c r="AP909" s="258" t="n"/>
      <c r="AQ909" s="318" t="n"/>
      <c r="AR909" s="317" t="n"/>
      <c r="AS909" s="257" t="n"/>
      <c r="AT909" s="258" t="n"/>
      <c r="AU909" s="318" t="n"/>
      <c r="AV909" s="317" t="n"/>
      <c r="AW909" s="257" t="n"/>
      <c r="AX909" s="258" t="n"/>
      <c r="AY909" s="1240" t="inlineStr">
        <is>
          <t>S'il est renseigné, l'identifiant doit correspondre à un enregistrement dans l'objet associé, indépendamment de l'entité
---
La donnée doit être présente dans TIGRE
---
Le couple identifiant local / central (1.1 (P2) et 1.2 (P2)) doit exister dans TIGRE</t>
        </is>
      </c>
      <c r="AZ909" s="931" t="inlineStr">
        <is>
          <t>If it is filled in, the identifier must correspond to a record in the associated object, regardless of the entity
---
Data must be present in TIGRE
---
The local/central identifier pair (1.1 (P2) and 1.2 (P2)) must exist in TIGRE</t>
        </is>
      </c>
      <c r="BA909" s="1181" t="inlineStr">
        <is>
          <t>7
6
6</t>
        </is>
      </c>
      <c r="BB909" s="1182" t="inlineStr">
        <is>
          <t>TI0003
TIG0002
TIG0004</t>
        </is>
      </c>
      <c r="BC909" s="316" t="n"/>
      <c r="BD909" s="317" t="n"/>
      <c r="BE909" s="257" t="n"/>
      <c r="BF909" s="258" t="n"/>
      <c r="BG909" s="89" t="n"/>
      <c r="BH9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09">
        <f>_xlfn.LET(r,ROW(),oc,INDEX($A:$A,r),cv,TRIM(INDEX($Y:$Y,r)&amp;""),IF(oc&lt;&gt;"P1","",IF(cv="45","V45 - novo, nao alimentado pelo spool atual","V44 - alimentado pelo spool atual")))</f>
        <v/>
      </c>
    </row>
    <row r="910" ht="54" customFormat="1" customHeight="1" s="55">
      <c r="A910" s="325" t="inlineStr">
        <is>
          <t>P2</t>
        </is>
      </c>
      <c r="B910" s="326" t="n">
        <v>13</v>
      </c>
      <c r="C910" s="284" t="inlineStr">
        <is>
          <t>NA</t>
        </is>
      </c>
      <c r="D910" s="244" t="inlineStr">
        <is>
          <t>NA</t>
        </is>
      </c>
      <c r="E910" s="326" t="inlineStr">
        <is>
          <t>1.4 (P2)</t>
        </is>
      </c>
      <c r="F910" s="327" t="inlineStr">
        <is>
          <t xml:space="preserve">Référence de l'Autorisation Mise En Place </t>
        </is>
      </c>
      <c r="G910" s="327" t="inlineStr">
        <is>
          <t xml:space="preserve">Facility reference </t>
        </is>
      </c>
      <c r="H910" s="327" t="n"/>
      <c r="I910" s="245" t="inlineStr">
        <is>
          <t>Correspond à la référence unique de l'autorisation mise en place dans le système émetteur</t>
        </is>
      </c>
      <c r="J910" s="327" t="inlineStr">
        <is>
          <t xml:space="preserve">Reference code of Arranged facility </t>
        </is>
      </c>
      <c r="K910" s="388" t="inlineStr">
        <is>
          <t>NA</t>
        </is>
      </c>
      <c r="L910" s="388" t="inlineStr">
        <is>
          <t>NA</t>
        </is>
      </c>
      <c r="M910" s="1421" t="inlineStr">
        <is>
          <t>IdAuto</t>
        </is>
      </c>
      <c r="N910" s="244" t="inlineStr">
        <is>
          <t>NA</t>
        </is>
      </c>
      <c r="O910" s="284" t="inlineStr">
        <is>
          <t>NA</t>
        </is>
      </c>
      <c r="P910" s="284" t="inlineStr">
        <is>
          <t>NA</t>
        </is>
      </c>
      <c r="Q910" s="284" t="inlineStr">
        <is>
          <t>NA</t>
        </is>
      </c>
      <c r="R910" s="247" t="inlineStr">
        <is>
          <t>Laisser à vide</t>
        </is>
      </c>
      <c r="S910" s="247" t="inlineStr">
        <is>
          <t>Leave empty</t>
        </is>
      </c>
      <c r="T910" s="326" t="inlineStr">
        <is>
          <t>ALPHA</t>
        </is>
      </c>
      <c r="U910" s="248" t="inlineStr">
        <is>
          <t>NA</t>
        </is>
      </c>
      <c r="V910" s="248" t="inlineStr">
        <is>
          <t>NA</t>
        </is>
      </c>
      <c r="W910" s="284" t="n">
        <v>30</v>
      </c>
      <c r="X910" s="244" t="inlineStr">
        <is>
          <t>NA</t>
        </is>
      </c>
      <c r="Y910" s="248" t="inlineStr">
        <is>
          <t>NA</t>
        </is>
      </c>
      <c r="Z910" s="248" t="n">
        <v>43</v>
      </c>
      <c r="AA910" s="248" t="inlineStr">
        <is>
          <t>NA</t>
        </is>
      </c>
      <c r="AB910" s="284" t="inlineStr">
        <is>
          <t>NA</t>
        </is>
      </c>
      <c r="AC910" s="244" t="inlineStr">
        <is>
          <t>NA</t>
        </is>
      </c>
      <c r="AD910" s="284" t="inlineStr">
        <is>
          <t>N</t>
        </is>
      </c>
      <c r="AE910" s="284" t="inlineStr">
        <is>
          <t>NA</t>
        </is>
      </c>
      <c r="AF910" s="284" t="inlineStr">
        <is>
          <t>NA</t>
        </is>
      </c>
      <c r="AG910" s="285" t="inlineStr">
        <is>
          <t>NA</t>
        </is>
      </c>
      <c r="AH910" s="89" t="n"/>
      <c r="AI910" s="330" t="n"/>
      <c r="AJ910" s="331" t="n"/>
      <c r="AK910" s="284" t="n"/>
      <c r="AL910" s="285" t="n"/>
      <c r="AM910" s="331" t="n"/>
      <c r="AN910" s="331" t="n"/>
      <c r="AO910" s="284" t="n"/>
      <c r="AP910" s="285" t="n"/>
      <c r="AQ910" s="331" t="n"/>
      <c r="AR910" s="331" t="n"/>
      <c r="AS910" s="284" t="n"/>
      <c r="AT910" s="285" t="n"/>
      <c r="AU910" s="331" t="n"/>
      <c r="AV910" s="331" t="n"/>
      <c r="AW910" s="284" t="n"/>
      <c r="AX910" s="285" t="n"/>
      <c r="AY910" s="331" t="n"/>
      <c r="AZ910" s="331" t="n"/>
      <c r="BA910" s="284" t="n"/>
      <c r="BB910" s="285" t="n"/>
      <c r="BC910" s="330" t="n"/>
      <c r="BD910" s="331" t="n"/>
      <c r="BE910" s="284" t="n"/>
      <c r="BF910" s="285" t="n"/>
      <c r="BG910" s="89" t="n"/>
      <c r="BH9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10">
        <f>_xlfn.LET(r,ROW(),oc,INDEX($A:$A,r),cv,TRIM(INDEX($Y:$Y,r)&amp;""),IF(oc&lt;&gt;"P1","",IF(cv="45","V45 - novo, nao alimentado pelo spool atual","V44 - alimentado pelo spool atual")))</f>
        <v/>
      </c>
    </row>
    <row r="911" ht="54" customFormat="1" customHeight="1" s="90">
      <c r="A911" s="306" t="inlineStr">
        <is>
          <t>P2</t>
        </is>
      </c>
      <c r="B911" s="307" t="n">
        <v>14</v>
      </c>
      <c r="C911" s="269" t="inlineStr">
        <is>
          <t>02 - Caractéristiques d'identification fonctionnelles</t>
        </is>
      </c>
      <c r="D911" s="236" t="inlineStr">
        <is>
          <t>02 - Functional identification characteristics</t>
        </is>
      </c>
      <c r="E911" s="307" t="inlineStr">
        <is>
          <t>1.6 (P2)</t>
        </is>
      </c>
      <c r="F911" s="308" t="inlineStr">
        <is>
          <t>Référence de la ligne de détail de l'Autorisation Mise En Place</t>
        </is>
      </c>
      <c r="G911" s="309" t="inlineStr">
        <is>
          <t>Facility detail line reference</t>
        </is>
      </c>
      <c r="H911" s="309" t="n"/>
      <c r="I911" s="241" t="inlineStr">
        <is>
          <t>Référence de la ligne de détail de l'Autorisation Mise En Place</t>
        </is>
      </c>
      <c r="J911" s="309" t="inlineStr">
        <is>
          <t>Reference code of the line of the Arranged facility</t>
        </is>
      </c>
      <c r="K911" s="370" t="inlineStr">
        <is>
          <t>ND</t>
        </is>
      </c>
      <c r="L911" s="371" t="inlineStr">
        <is>
          <t>ND</t>
        </is>
      </c>
      <c r="M911" s="1420" t="inlineStr">
        <is>
          <t>IdLigneAuto</t>
        </is>
      </c>
      <c r="N911" s="231" t="inlineStr">
        <is>
          <t>Facultatif</t>
        </is>
      </c>
      <c r="O911" s="310" t="inlineStr">
        <is>
          <t>Optional</t>
        </is>
      </c>
      <c r="P911" s="269" t="inlineStr">
        <is>
          <t>NA</t>
        </is>
      </c>
      <c r="Q911" s="269" t="inlineStr">
        <is>
          <t>NA</t>
        </is>
      </c>
      <c r="R911" s="241" t="inlineStr">
        <is>
          <t>Obligatoire si l'engagement est lié à une autorisation et donc à une ligne de détail</t>
        </is>
      </c>
      <c r="S911" s="233" t="inlineStr">
        <is>
          <t>Mandatory where commitment is linked to an facility and hence to a line</t>
        </is>
      </c>
      <c r="T911" s="313" t="inlineStr">
        <is>
          <t>ALPHA</t>
        </is>
      </c>
      <c r="U911" s="237" t="inlineStr">
        <is>
          <t>NA</t>
        </is>
      </c>
      <c r="V911" s="238" t="inlineStr">
        <is>
          <t>NA</t>
        </is>
      </c>
      <c r="W911" s="257" t="n">
        <v>30</v>
      </c>
      <c r="X911" s="945" t="inlineStr">
        <is>
          <t>NA</t>
        </is>
      </c>
      <c r="Y911" s="237" t="inlineStr">
        <is>
          <t>40</t>
        </is>
      </c>
      <c r="Z911" s="237" t="inlineStr">
        <is>
          <t>NA</t>
        </is>
      </c>
      <c r="AA911" s="270" t="inlineStr">
        <is>
          <t>NA</t>
        </is>
      </c>
      <c r="AB911" s="994" t="inlineStr">
        <is>
          <t>ASTRE, CALCULS PRUDENTIELS, NPE</t>
        </is>
      </c>
      <c r="AC911" s="231" t="inlineStr">
        <is>
          <t>ND</t>
        </is>
      </c>
      <c r="AD911" s="257" t="inlineStr">
        <is>
          <t>N</t>
        </is>
      </c>
      <c r="AE911" s="257" t="inlineStr">
        <is>
          <t>NA</t>
        </is>
      </c>
      <c r="AF911" s="257" t="inlineStr">
        <is>
          <t>NA</t>
        </is>
      </c>
      <c r="AG911" s="258" t="inlineStr">
        <is>
          <t>NA</t>
        </is>
      </c>
      <c r="AH911" s="89" t="n"/>
      <c r="AI911" s="316" t="n"/>
      <c r="AJ911" s="317" t="n"/>
      <c r="AK911" s="257" t="n"/>
      <c r="AL911" s="258" t="n"/>
      <c r="AM911" s="232" t="n"/>
      <c r="AN911" s="235" t="n"/>
      <c r="AO911" s="257" t="n"/>
      <c r="AP911" s="258" t="n"/>
      <c r="AQ911" s="318" t="n"/>
      <c r="AR911" s="317" t="n"/>
      <c r="AS911" s="257" t="n"/>
      <c r="AT911" s="258" t="n"/>
      <c r="AU911" s="318" t="n"/>
      <c r="AV911" s="317" t="n"/>
      <c r="AW911" s="257" t="n"/>
      <c r="AX911" s="258" t="n"/>
      <c r="AY911" s="784" t="inlineStr">
        <is>
          <t>Si renseignée, la ligne d'autorisation associé au P2 doit exister dans le flux F2</t>
        </is>
      </c>
      <c r="AZ911" s="317" t="inlineStr">
        <is>
          <t>If filled in, the authorization line associated with P2 must exist in the flow F2</t>
        </is>
      </c>
      <c r="BA911" s="257" t="n">
        <v>7</v>
      </c>
      <c r="BB911" s="584" t="inlineStr">
        <is>
          <t>TI0123</t>
        </is>
      </c>
      <c r="BC911" s="316" t="n"/>
      <c r="BD911" s="317" t="n"/>
      <c r="BE911" s="257" t="n"/>
      <c r="BF911" s="258" t="n"/>
      <c r="BG911" s="89" t="n"/>
      <c r="BH9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11">
        <f>_xlfn.LET(r,ROW(),oc,INDEX($A:$A,r),cv,TRIM(INDEX($Y:$Y,r)&amp;""),IF(oc&lt;&gt;"P1","",IF(cv="45","V45 - novo, nao alimentado pelo spool atual","V44 - alimentado pelo spool atual")))</f>
        <v/>
      </c>
    </row>
    <row r="912" ht="54" customFormat="1" customHeight="1" s="55">
      <c r="A912" s="325" t="inlineStr">
        <is>
          <t>P2</t>
        </is>
      </c>
      <c r="B912" s="326" t="n">
        <v>15</v>
      </c>
      <c r="C912" s="284" t="inlineStr">
        <is>
          <t>NA</t>
        </is>
      </c>
      <c r="D912" s="244" t="inlineStr">
        <is>
          <t>NA</t>
        </is>
      </c>
      <c r="E912" s="326" t="inlineStr">
        <is>
          <t>1.8 (P2)</t>
        </is>
      </c>
      <c r="F912" s="327" t="inlineStr">
        <is>
          <t>Identifiant de la sûreté reçue</t>
        </is>
      </c>
      <c r="G912" s="327" t="inlineStr">
        <is>
          <t>Mitigant identifier</t>
        </is>
      </c>
      <c r="H912" s="327" t="n"/>
      <c r="I912" s="245" t="inlineStr">
        <is>
          <t>Identifiant de la sûreté reçue</t>
        </is>
      </c>
      <c r="J912" s="327" t="inlineStr">
        <is>
          <t>ID of mitigant received</t>
        </is>
      </c>
      <c r="K912" s="284" t="inlineStr">
        <is>
          <t>NA</t>
        </is>
      </c>
      <c r="L912" s="284" t="inlineStr">
        <is>
          <t>NA</t>
        </is>
      </c>
      <c r="M912" s="1421" t="inlineStr">
        <is>
          <t>IdSurRecue</t>
        </is>
      </c>
      <c r="N912" s="284" t="inlineStr">
        <is>
          <t>NA</t>
        </is>
      </c>
      <c r="O912" s="284" t="inlineStr">
        <is>
          <t>NA</t>
        </is>
      </c>
      <c r="P912" s="284" t="inlineStr">
        <is>
          <t>NA</t>
        </is>
      </c>
      <c r="Q912" s="284" t="inlineStr">
        <is>
          <t>NA</t>
        </is>
      </c>
      <c r="R912" s="245" t="inlineStr">
        <is>
          <t>NA</t>
        </is>
      </c>
      <c r="S912" s="245" t="inlineStr">
        <is>
          <t>NA</t>
        </is>
      </c>
      <c r="T912" s="326" t="inlineStr">
        <is>
          <t>ALPHA</t>
        </is>
      </c>
      <c r="U912" s="248" t="inlineStr">
        <is>
          <t>NA</t>
        </is>
      </c>
      <c r="V912" s="248" t="inlineStr">
        <is>
          <t>NA</t>
        </is>
      </c>
      <c r="W912" s="284" t="n">
        <v>40</v>
      </c>
      <c r="X912" s="244" t="inlineStr">
        <is>
          <t>NA</t>
        </is>
      </c>
      <c r="Y912" s="248" t="inlineStr">
        <is>
          <t>NA</t>
        </is>
      </c>
      <c r="Z912" s="248" t="n">
        <v>43</v>
      </c>
      <c r="AA912" s="248" t="inlineStr">
        <is>
          <t>NA</t>
        </is>
      </c>
      <c r="AB912" s="328" t="inlineStr">
        <is>
          <t>NA</t>
        </is>
      </c>
      <c r="AC912" s="244" t="inlineStr">
        <is>
          <t>NA</t>
        </is>
      </c>
      <c r="AD912" s="284" t="inlineStr">
        <is>
          <t>N</t>
        </is>
      </c>
      <c r="AE912" s="284" t="inlineStr">
        <is>
          <t>NA</t>
        </is>
      </c>
      <c r="AF912" s="284" t="inlineStr">
        <is>
          <t>NA</t>
        </is>
      </c>
      <c r="AG912" s="285" t="inlineStr">
        <is>
          <t>NA</t>
        </is>
      </c>
      <c r="AH912" s="89" t="n"/>
      <c r="AI912" s="330" t="n"/>
      <c r="AJ912" s="331" t="n"/>
      <c r="AK912" s="284" t="n"/>
      <c r="AL912" s="285" t="n"/>
      <c r="AM912" s="331" t="n"/>
      <c r="AN912" s="331" t="n"/>
      <c r="AO912" s="284" t="n"/>
      <c r="AP912" s="285" t="n"/>
      <c r="AQ912" s="331" t="n"/>
      <c r="AR912" s="331" t="n"/>
      <c r="AS912" s="284" t="n"/>
      <c r="AT912" s="285" t="n"/>
      <c r="AU912" s="331" t="n"/>
      <c r="AV912" s="331" t="n"/>
      <c r="AW912" s="284" t="n"/>
      <c r="AX912" s="285" t="n"/>
      <c r="AY912" s="331" t="n"/>
      <c r="AZ912" s="331" t="n"/>
      <c r="BA912" s="284" t="n"/>
      <c r="BB912" s="285" t="n"/>
      <c r="BC912" s="330" t="n"/>
      <c r="BD912" s="331" t="n"/>
      <c r="BE912" s="284" t="n"/>
      <c r="BF912" s="285" t="n"/>
      <c r="BG912" s="89" t="n"/>
      <c r="BH9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12">
        <f>_xlfn.LET(r,ROW(),oc,INDEX($A:$A,r),cv,TRIM(INDEX($Y:$Y,r)&amp;""),IF(oc&lt;&gt;"P1","",IF(cv="45","V45 - novo, nao alimentado pelo spool atual","V44 - alimentado pelo spool atual")))</f>
        <v/>
      </c>
    </row>
    <row r="913" ht="54" customFormat="1" customHeight="1" s="90">
      <c r="A913" s="306" t="inlineStr">
        <is>
          <t>P2</t>
        </is>
      </c>
      <c r="B913" s="307" t="n">
        <v>16</v>
      </c>
      <c r="C913" s="269" t="inlineStr">
        <is>
          <t>02a - Caractéristiques d'identification fonctionnelles (clé)</t>
        </is>
      </c>
      <c r="D913" s="236" t="inlineStr">
        <is>
          <t>02a - Functional identification characteristics (key)</t>
        </is>
      </c>
      <c r="E913" s="307" t="inlineStr">
        <is>
          <t>1.11 (P2)</t>
        </is>
      </c>
      <c r="F913" s="308" t="inlineStr">
        <is>
          <t>Identifiant de l'engagement</t>
        </is>
      </c>
      <c r="G913" s="309" t="inlineStr">
        <is>
          <t>Commitment identifier</t>
        </is>
      </c>
      <c r="H913" s="309" t="n"/>
      <c r="I913" s="241" t="inlineStr">
        <is>
          <t>Identifiant unique de l'engagement dans le système local utilisé pour générer le flux</t>
        </is>
      </c>
      <c r="J913" s="233" t="inlineStr">
        <is>
          <t>Unique ID of the commitment in the local system used to generate the flow</t>
        </is>
      </c>
      <c r="K913" s="370" t="inlineStr">
        <is>
          <t>ND</t>
        </is>
      </c>
      <c r="L913" s="371" t="inlineStr">
        <is>
          <t>ND</t>
        </is>
      </c>
      <c r="M913" s="1420" t="inlineStr">
        <is>
          <t>IdEng</t>
        </is>
      </c>
      <c r="N913" s="231" t="inlineStr">
        <is>
          <t>Obligatoire</t>
        </is>
      </c>
      <c r="O913" s="310" t="inlineStr">
        <is>
          <t>Mandatory</t>
        </is>
      </c>
      <c r="P913" s="269" t="inlineStr">
        <is>
          <t>NA</t>
        </is>
      </c>
      <c r="Q913" s="269" t="inlineStr">
        <is>
          <t>NA</t>
        </is>
      </c>
      <c r="R913" s="416" t="inlineStr">
        <is>
          <t>Pour un lot déterminé, l'identifiant de l'engagement doit être unique au sein du lot et et ne doit pas avoir de référence de ligne d'autorisation, d'encours, de garantie ou de provision ayant la même valeur dans le lot
L'identifiant doit être invariant dans le temps</t>
        </is>
      </c>
      <c r="S913" s="233" t="inlineStr">
        <is>
          <t xml:space="preserve">For a given batch, the commitment ID must be unique within the batch and no facility line, outstanding amount, mitigant or provision within the batch may have the same reference code
The identifier must be time invariant </t>
        </is>
      </c>
      <c r="T913" s="313" t="inlineStr">
        <is>
          <t>ALPHA</t>
        </is>
      </c>
      <c r="U913" s="237" t="inlineStr">
        <is>
          <t>NA</t>
        </is>
      </c>
      <c r="V913" s="238" t="inlineStr">
        <is>
          <t>NA</t>
        </is>
      </c>
      <c r="W913" s="257" t="n">
        <v>40</v>
      </c>
      <c r="X913" s="945" t="inlineStr">
        <is>
          <t>NA</t>
        </is>
      </c>
      <c r="Y913" s="237" t="inlineStr">
        <is>
          <t>40</t>
        </is>
      </c>
      <c r="Z913" s="237" t="inlineStr">
        <is>
          <t>NA</t>
        </is>
      </c>
      <c r="AA913" s="978" t="inlineStr">
        <is>
          <t>45.00</t>
        </is>
      </c>
      <c r="AB913" s="979" t="inlineStr">
        <is>
          <t>ASTRE, CALCULS PRUDENTIELS, ESG PILIER 3, LIQUIDITE, NPE, NZBA, PALMA, RISQUE PHYSIQUE</t>
        </is>
      </c>
      <c r="AC913" s="231" t="inlineStr">
        <is>
          <t>ND</t>
        </is>
      </c>
      <c r="AD913" s="257" t="inlineStr">
        <is>
          <t>N</t>
        </is>
      </c>
      <c r="AE913" s="257" t="inlineStr">
        <is>
          <t>NA</t>
        </is>
      </c>
      <c r="AF913" s="257" t="inlineStr">
        <is>
          <t>NA</t>
        </is>
      </c>
      <c r="AG913" s="258" t="inlineStr">
        <is>
          <t>NA</t>
        </is>
      </c>
      <c r="AH913" s="89" t="n"/>
      <c r="AI913" s="316" t="inlineStr">
        <is>
          <t>La donnée est obligatoire</t>
        </is>
      </c>
      <c r="AJ913" s="317" t="inlineStr">
        <is>
          <t>The data is mandatory</t>
        </is>
      </c>
      <c r="AK913" s="257" t="n">
        <v>7</v>
      </c>
      <c r="AL913" s="258" t="inlineStr">
        <is>
          <t>TP0001</t>
        </is>
      </c>
      <c r="AM913" s="318" t="n"/>
      <c r="AN913" s="317" t="n"/>
      <c r="AO913" s="257" t="n"/>
      <c r="AP913" s="258" t="n"/>
      <c r="AQ913" s="318" t="n"/>
      <c r="AR913" s="317" t="n"/>
      <c r="AS913" s="257" t="n"/>
      <c r="AT913" s="258" t="n"/>
      <c r="AU913" s="318" t="n"/>
      <c r="AV913" s="317" t="n"/>
      <c r="AW913" s="257" t="n"/>
      <c r="AX913" s="258" t="n"/>
      <c r="AY913" s="332" t="inlineStr">
        <is>
          <t>L'identifiant renseigné doit être unique au sein de l'entité porteuse de risque
---
Il ne doit pas y avoir de doublon (quelque soit l'entité et quelque soit le flux)
---
Dans le cadre du flux Interlot, une PNU doit être rattachée à une ligne d'autorisation
---
Unicité absolue de la donnée au sein du lot</t>
        </is>
      </c>
      <c r="AZ913" s="317" t="inlineStr">
        <is>
          <t>The identifier provided must be unique within the entity carrying the risk
---
There should be no duplicates (whatever the entity and flow are)
---
Under the Interlot flow, an unused portion must be attached to an authorization line
---
The data must be unique within the batch</t>
        </is>
      </c>
      <c r="BA913" s="257" t="n">
        <v>7</v>
      </c>
      <c r="BB913" s="320" t="inlineStr">
        <is>
          <t>TU0001
TU0003
TC0269
TU0007</t>
        </is>
      </c>
      <c r="BC913" s="278" t="inlineStr">
        <is>
          <t>Pour la Grande Clientèle (P1/P2), si la combinaison de donnée n'est pas trouvée dans la matrice des règles de gestion C01, le contrôle doit se lever
---
Pour la Grande Clientèle (P1/P2), si la combinaison de donnée n'est pas trouvée dans la matrice des règles de gestion C14, le contrôle doit se lever</t>
        </is>
      </c>
      <c r="BD913" s="160" t="inlineStr">
        <is>
          <t>For P1/P2, if the data combinaison is not found in the C01 business rules matrix, the control must trigger
---
For P1/P2, if the data combinaison is not found in the C14 business rules matrix, the control must trigger</t>
        </is>
      </c>
      <c r="BE913" s="257" t="n">
        <v>6</v>
      </c>
      <c r="BF913" s="258" t="inlineStr">
        <is>
          <t>TC0C01
TC0C14</t>
        </is>
      </c>
      <c r="BG913" s="89" t="n"/>
      <c r="BH9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13">
        <f>_xlfn.LET(r,ROW(),oc,INDEX($A:$A,r),cv,TRIM(INDEX($Y:$Y,r)&amp;""),IF(oc&lt;&gt;"P1","",IF(cv="45","V45 - novo, nao alimentado pelo spool atual","V44 - alimentado pelo spool atual")))</f>
        <v/>
      </c>
    </row>
    <row r="914" ht="54" customFormat="1" customHeight="1" s="54">
      <c r="A914" s="243" t="inlineStr">
        <is>
          <t>P2</t>
        </is>
      </c>
      <c r="B914" s="244" t="n">
        <v>17</v>
      </c>
      <c r="C914" s="284" t="inlineStr">
        <is>
          <t>16 - Identification Tiers</t>
        </is>
      </c>
      <c r="D914" s="244" t="inlineStr">
        <is>
          <t>16 - Third party identification</t>
        </is>
      </c>
      <c r="E914" s="246" t="inlineStr">
        <is>
          <t>1.16 (P2)</t>
        </is>
      </c>
      <c r="F914" s="247" t="inlineStr">
        <is>
          <t>Référence de la provision sur tiers</t>
        </is>
      </c>
      <c r="G914" s="247" t="inlineStr">
        <is>
          <t>Reference for the counterparty provision</t>
        </is>
      </c>
      <c r="H914" s="247" t="n"/>
      <c r="I914" s="247" t="inlineStr">
        <is>
          <t>Référence de la provision sur tiers</t>
        </is>
      </c>
      <c r="J914" s="247" t="inlineStr">
        <is>
          <t>Reference code of the provision for external counterparties</t>
        </is>
      </c>
      <c r="K914" s="244" t="inlineStr">
        <is>
          <t>NA</t>
        </is>
      </c>
      <c r="L914" s="244" t="inlineStr">
        <is>
          <t>NA</t>
        </is>
      </c>
      <c r="M914" s="1408" t="inlineStr">
        <is>
          <t>IdProvTiers</t>
        </is>
      </c>
      <c r="N914" s="244" t="inlineStr">
        <is>
          <t>NA</t>
        </is>
      </c>
      <c r="O914" s="284" t="inlineStr">
        <is>
          <t>NA</t>
        </is>
      </c>
      <c r="P914" s="246" t="inlineStr">
        <is>
          <t>NA</t>
        </is>
      </c>
      <c r="Q914" s="246" t="inlineStr">
        <is>
          <t>NA</t>
        </is>
      </c>
      <c r="R914" s="247" t="inlineStr">
        <is>
          <t>NA</t>
        </is>
      </c>
      <c r="S914" s="247" t="inlineStr">
        <is>
          <t>NA</t>
        </is>
      </c>
      <c r="T914" s="246" t="inlineStr">
        <is>
          <t>ALPHA</t>
        </is>
      </c>
      <c r="U914" s="248" t="inlineStr">
        <is>
          <t>NA</t>
        </is>
      </c>
      <c r="V914" s="248" t="inlineStr">
        <is>
          <t>NA</t>
        </is>
      </c>
      <c r="W914" s="244" t="n">
        <v>40</v>
      </c>
      <c r="X914" s="244" t="inlineStr">
        <is>
          <t>NA</t>
        </is>
      </c>
      <c r="Y914" s="249" t="inlineStr">
        <is>
          <t>NA</t>
        </is>
      </c>
      <c r="Z914" s="249" t="inlineStr">
        <is>
          <t>NA</t>
        </is>
      </c>
      <c r="AA914" s="249" t="inlineStr">
        <is>
          <t>NA</t>
        </is>
      </c>
      <c r="AB914" s="244" t="inlineStr">
        <is>
          <t>NA</t>
        </is>
      </c>
      <c r="AC914" s="244" t="inlineStr">
        <is>
          <t>NA</t>
        </is>
      </c>
      <c r="AD914" s="244" t="inlineStr">
        <is>
          <t>N</t>
        </is>
      </c>
      <c r="AE914" s="244" t="inlineStr">
        <is>
          <t>NA</t>
        </is>
      </c>
      <c r="AF914" s="244" t="inlineStr">
        <is>
          <t>NA</t>
        </is>
      </c>
      <c r="AG914" s="250" t="inlineStr">
        <is>
          <t>NA</t>
        </is>
      </c>
      <c r="AH914" s="89" t="n"/>
      <c r="AI914" s="251" t="n"/>
      <c r="AJ914" s="252" t="n"/>
      <c r="AK914" s="246" t="n"/>
      <c r="AL914" s="253" t="n"/>
      <c r="AM914" s="252" t="n"/>
      <c r="AN914" s="252" t="n"/>
      <c r="AO914" s="246" t="n"/>
      <c r="AP914" s="253" t="n"/>
      <c r="AQ914" s="252" t="n"/>
      <c r="AR914" s="252" t="n"/>
      <c r="AS914" s="246" t="n"/>
      <c r="AT914" s="253" t="n"/>
      <c r="AU914" s="254" t="n"/>
      <c r="AV914" s="254" t="n"/>
      <c r="AW914" s="246" t="n"/>
      <c r="AX914" s="253" t="n"/>
      <c r="AY914" s="252" t="n"/>
      <c r="AZ914" s="252" t="n"/>
      <c r="BA914" s="246" t="n"/>
      <c r="BB914" s="253" t="n"/>
      <c r="BC914" s="251" t="n"/>
      <c r="BD914" s="252" t="n"/>
      <c r="BE914" s="246" t="n"/>
      <c r="BF914" s="253" t="n"/>
      <c r="BG914" s="89" t="n"/>
      <c r="BH9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14">
        <f>_xlfn.LET(r,ROW(),oc,INDEX($A:$A,r),cv,TRIM(INDEX($Y:$Y,r)&amp;""),IF(oc&lt;&gt;"P1","",IF(cv="45","V45 - novo, nao alimentado pelo spool atual","V44 - alimentado pelo spool atual")))</f>
        <v/>
      </c>
    </row>
    <row r="915" ht="54" customFormat="1" customHeight="1" s="56">
      <c r="A915" s="325" t="inlineStr">
        <is>
          <t>P2</t>
        </is>
      </c>
      <c r="B915" s="326" t="n">
        <v>18</v>
      </c>
      <c r="C915" s="284" t="inlineStr">
        <is>
          <t>NA</t>
        </is>
      </c>
      <c r="D915" s="244" t="inlineStr">
        <is>
          <t>NA</t>
        </is>
      </c>
      <c r="E915" s="333" t="inlineStr">
        <is>
          <t>1.99 (P2)</t>
        </is>
      </c>
      <c r="F915" s="329" t="inlineStr">
        <is>
          <t>Filler</t>
        </is>
      </c>
      <c r="G915" s="329" t="inlineStr">
        <is>
          <t>Filler</t>
        </is>
      </c>
      <c r="H915" s="329" t="n"/>
      <c r="I915" s="247" t="inlineStr">
        <is>
          <t>Zone libre</t>
        </is>
      </c>
      <c r="J915" s="329" t="inlineStr">
        <is>
          <t>Free zone</t>
        </is>
      </c>
      <c r="K915" s="328" t="inlineStr">
        <is>
          <t>NA</t>
        </is>
      </c>
      <c r="L915" s="328" t="inlineStr">
        <is>
          <t>NA</t>
        </is>
      </c>
      <c r="M915" s="1421" t="inlineStr">
        <is>
          <t>NA</t>
        </is>
      </c>
      <c r="N915" s="284" t="inlineStr">
        <is>
          <t>NA</t>
        </is>
      </c>
      <c r="O915" s="284" t="inlineStr">
        <is>
          <t>NA</t>
        </is>
      </c>
      <c r="P915" s="284" t="inlineStr">
        <is>
          <t>NA</t>
        </is>
      </c>
      <c r="Q915" s="284" t="inlineStr">
        <is>
          <t>NA</t>
        </is>
      </c>
      <c r="R915" s="247" t="inlineStr">
        <is>
          <t>Laisser à vide</t>
        </is>
      </c>
      <c r="S915" s="247" t="inlineStr">
        <is>
          <t>Leave empty</t>
        </is>
      </c>
      <c r="T915" s="333" t="inlineStr">
        <is>
          <t>ALPHA</t>
        </is>
      </c>
      <c r="U915" s="256" t="inlineStr">
        <is>
          <t>NA</t>
        </is>
      </c>
      <c r="V915" s="256" t="inlineStr">
        <is>
          <t>NA</t>
        </is>
      </c>
      <c r="W915" s="328" t="n">
        <v>11</v>
      </c>
      <c r="X915" s="244" t="inlineStr">
        <is>
          <t>NA</t>
        </is>
      </c>
      <c r="Y915" s="248" t="inlineStr">
        <is>
          <t>NA</t>
        </is>
      </c>
      <c r="Z915" s="256" t="inlineStr">
        <is>
          <t>NA</t>
        </is>
      </c>
      <c r="AA915" s="256" t="inlineStr">
        <is>
          <t>NA</t>
        </is>
      </c>
      <c r="AB915" s="284" t="inlineStr">
        <is>
          <t>NA</t>
        </is>
      </c>
      <c r="AC915" s="244" t="inlineStr">
        <is>
          <t>NA</t>
        </is>
      </c>
      <c r="AD915" s="284" t="inlineStr">
        <is>
          <t>N</t>
        </is>
      </c>
      <c r="AE915" s="284" t="inlineStr">
        <is>
          <t>NA</t>
        </is>
      </c>
      <c r="AF915" s="284" t="inlineStr">
        <is>
          <t>NA</t>
        </is>
      </c>
      <c r="AG915" s="285" t="inlineStr">
        <is>
          <t>NA</t>
        </is>
      </c>
      <c r="AH915" s="89" t="n"/>
      <c r="AI915" s="330" t="n"/>
      <c r="AJ915" s="331" t="n"/>
      <c r="AK915" s="284" t="n"/>
      <c r="AL915" s="285" t="n"/>
      <c r="AM915" s="331" t="n"/>
      <c r="AN915" s="331" t="n"/>
      <c r="AO915" s="284" t="n"/>
      <c r="AP915" s="285" t="n"/>
      <c r="AQ915" s="331" t="n"/>
      <c r="AR915" s="331" t="n"/>
      <c r="AS915" s="284" t="n"/>
      <c r="AT915" s="285" t="n"/>
      <c r="AU915" s="331" t="n"/>
      <c r="AV915" s="331" t="n"/>
      <c r="AW915" s="284" t="n"/>
      <c r="AX915" s="285" t="n"/>
      <c r="AY915" s="331" t="n"/>
      <c r="AZ915" s="331" t="n"/>
      <c r="BA915" s="284" t="n"/>
      <c r="BB915" s="285" t="n"/>
      <c r="BC915" s="330" t="n"/>
      <c r="BD915" s="331" t="n"/>
      <c r="BE915" s="284" t="n"/>
      <c r="BF915" s="285" t="n"/>
      <c r="BG915" s="89" t="n"/>
      <c r="BH9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15">
        <f>_xlfn.LET(r,ROW(),oc,INDEX($A:$A,r),cv,TRIM(INDEX($Y:$Y,r)&amp;""),IF(oc&lt;&gt;"P1","",IF(cv="45","V45 - novo, nao alimentado pelo spool atual","V44 - alimentado pelo spool atual")))</f>
        <v/>
      </c>
    </row>
    <row r="916" ht="54" customFormat="1" customHeight="1" s="56">
      <c r="A916" s="325" t="inlineStr">
        <is>
          <t>P2</t>
        </is>
      </c>
      <c r="B916" s="326" t="n">
        <v>19</v>
      </c>
      <c r="C916" s="284" t="inlineStr">
        <is>
          <t>NA</t>
        </is>
      </c>
      <c r="D916" s="244" t="inlineStr">
        <is>
          <t>NA</t>
        </is>
      </c>
      <c r="E916" s="333" t="inlineStr">
        <is>
          <t>1.98 (P2)</t>
        </is>
      </c>
      <c r="F916" s="329" t="inlineStr">
        <is>
          <t>Filler</t>
        </is>
      </c>
      <c r="G916" s="329" t="inlineStr">
        <is>
          <t>Filler</t>
        </is>
      </c>
      <c r="H916" s="329" t="n"/>
      <c r="I916" s="247" t="inlineStr">
        <is>
          <t>Zone libre</t>
        </is>
      </c>
      <c r="J916" s="329" t="inlineStr">
        <is>
          <t>Free zone</t>
        </is>
      </c>
      <c r="K916" s="328" t="inlineStr">
        <is>
          <t>NA</t>
        </is>
      </c>
      <c r="L916" s="328" t="inlineStr">
        <is>
          <t>NA</t>
        </is>
      </c>
      <c r="M916" s="1421" t="inlineStr">
        <is>
          <t>NA</t>
        </is>
      </c>
      <c r="N916" s="284" t="inlineStr">
        <is>
          <t>NA</t>
        </is>
      </c>
      <c r="O916" s="284" t="inlineStr">
        <is>
          <t>NA</t>
        </is>
      </c>
      <c r="P916" s="284" t="inlineStr">
        <is>
          <t>NA</t>
        </is>
      </c>
      <c r="Q916" s="284" t="inlineStr">
        <is>
          <t>NA</t>
        </is>
      </c>
      <c r="R916" s="247" t="inlineStr">
        <is>
          <t>Laisser à vide</t>
        </is>
      </c>
      <c r="S916" s="247" t="inlineStr">
        <is>
          <t>Leave empty</t>
        </is>
      </c>
      <c r="T916" s="333" t="inlineStr">
        <is>
          <t>ALPHA</t>
        </is>
      </c>
      <c r="U916" s="256" t="inlineStr">
        <is>
          <t>NA</t>
        </is>
      </c>
      <c r="V916" s="256" t="inlineStr">
        <is>
          <t>NA</t>
        </is>
      </c>
      <c r="W916" s="328" t="n">
        <v>7</v>
      </c>
      <c r="X916" s="244" t="inlineStr">
        <is>
          <t>NA</t>
        </is>
      </c>
      <c r="Y916" s="248" t="inlineStr">
        <is>
          <t>NA</t>
        </is>
      </c>
      <c r="Z916" s="256" t="inlineStr">
        <is>
          <t>NA</t>
        </is>
      </c>
      <c r="AA916" s="256" t="inlineStr">
        <is>
          <t>NA</t>
        </is>
      </c>
      <c r="AB916" s="244" t="inlineStr">
        <is>
          <t>NA</t>
        </is>
      </c>
      <c r="AC916" s="244" t="inlineStr">
        <is>
          <t>NA</t>
        </is>
      </c>
      <c r="AD916" s="284" t="inlineStr">
        <is>
          <t>N</t>
        </is>
      </c>
      <c r="AE916" s="284" t="inlineStr">
        <is>
          <t>NA</t>
        </is>
      </c>
      <c r="AF916" s="284" t="inlineStr">
        <is>
          <t>NA</t>
        </is>
      </c>
      <c r="AG916" s="285" t="inlineStr">
        <is>
          <t>NA</t>
        </is>
      </c>
      <c r="AH916" s="89" t="n"/>
      <c r="AI916" s="330" t="n"/>
      <c r="AJ916" s="331" t="n"/>
      <c r="AK916" s="284" t="n"/>
      <c r="AL916" s="285" t="n"/>
      <c r="AM916" s="331" t="n"/>
      <c r="AN916" s="331" t="n"/>
      <c r="AO916" s="284" t="n"/>
      <c r="AP916" s="285" t="n"/>
      <c r="AQ916" s="331" t="n"/>
      <c r="AR916" s="331" t="n"/>
      <c r="AS916" s="284" t="n"/>
      <c r="AT916" s="285" t="n"/>
      <c r="AU916" s="331" t="n"/>
      <c r="AV916" s="331" t="n"/>
      <c r="AW916" s="284" t="n"/>
      <c r="AX916" s="285" t="n"/>
      <c r="AY916" s="331" t="n"/>
      <c r="AZ916" s="331" t="n"/>
      <c r="BA916" s="284" t="n"/>
      <c r="BB916" s="285" t="n"/>
      <c r="BC916" s="330" t="n"/>
      <c r="BD916" s="331" t="n"/>
      <c r="BE916" s="284" t="n"/>
      <c r="BF916" s="285" t="n"/>
      <c r="BG916" s="89" t="n"/>
      <c r="BH9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16">
        <f>_xlfn.LET(r,ROW(),oc,INDEX($A:$A,r),cv,TRIM(INDEX($Y:$Y,r)&amp;""),IF(oc&lt;&gt;"P1","",IF(cv="45","V45 - novo, nao alimentado pelo spool atual","V44 - alimentado pelo spool atual")))</f>
        <v/>
      </c>
    </row>
    <row r="917" ht="54" customFormat="1" customHeight="1" s="56">
      <c r="A917" s="325" t="inlineStr">
        <is>
          <t>P2</t>
        </is>
      </c>
      <c r="B917" s="326" t="n">
        <v>20</v>
      </c>
      <c r="C917" s="284" t="inlineStr">
        <is>
          <t>NA</t>
        </is>
      </c>
      <c r="D917" s="244" t="inlineStr">
        <is>
          <t>NA</t>
        </is>
      </c>
      <c r="E917" s="333" t="inlineStr">
        <is>
          <t>1.97 (P2)</t>
        </is>
      </c>
      <c r="F917" s="329" t="inlineStr">
        <is>
          <t>Filler</t>
        </is>
      </c>
      <c r="G917" s="329" t="inlineStr">
        <is>
          <t>Filler</t>
        </is>
      </c>
      <c r="H917" s="329" t="n"/>
      <c r="I917" s="247" t="inlineStr">
        <is>
          <t>Zone libre</t>
        </is>
      </c>
      <c r="J917" s="329" t="inlineStr">
        <is>
          <t>Free zone</t>
        </is>
      </c>
      <c r="K917" s="328" t="inlineStr">
        <is>
          <t>NA</t>
        </is>
      </c>
      <c r="L917" s="328" t="inlineStr">
        <is>
          <t>NA</t>
        </is>
      </c>
      <c r="M917" s="1421" t="inlineStr">
        <is>
          <t>NA</t>
        </is>
      </c>
      <c r="N917" s="284" t="inlineStr">
        <is>
          <t>NA</t>
        </is>
      </c>
      <c r="O917" s="284" t="inlineStr">
        <is>
          <t>NA</t>
        </is>
      </c>
      <c r="P917" s="284" t="inlineStr">
        <is>
          <t>NA</t>
        </is>
      </c>
      <c r="Q917" s="284" t="inlineStr">
        <is>
          <t>NA</t>
        </is>
      </c>
      <c r="R917" s="247" t="inlineStr">
        <is>
          <t>Laisser à vide</t>
        </is>
      </c>
      <c r="S917" s="247" t="inlineStr">
        <is>
          <t>Leave empty</t>
        </is>
      </c>
      <c r="T917" s="333" t="inlineStr">
        <is>
          <t>ALPHA</t>
        </is>
      </c>
      <c r="U917" s="256" t="inlineStr">
        <is>
          <t>NA</t>
        </is>
      </c>
      <c r="V917" s="256" t="inlineStr">
        <is>
          <t>NA</t>
        </is>
      </c>
      <c r="W917" s="328" t="n">
        <v>2</v>
      </c>
      <c r="X917" s="244" t="inlineStr">
        <is>
          <t>NA</t>
        </is>
      </c>
      <c r="Y917" s="248" t="inlineStr">
        <is>
          <t>NA</t>
        </is>
      </c>
      <c r="Z917" s="256" t="inlineStr">
        <is>
          <t>NA</t>
        </is>
      </c>
      <c r="AA917" s="256" t="inlineStr">
        <is>
          <t>NA</t>
        </is>
      </c>
      <c r="AB917" s="244" t="inlineStr">
        <is>
          <t>NA</t>
        </is>
      </c>
      <c r="AC917" s="244" t="inlineStr">
        <is>
          <t>NA</t>
        </is>
      </c>
      <c r="AD917" s="284" t="inlineStr">
        <is>
          <t>N</t>
        </is>
      </c>
      <c r="AE917" s="284" t="inlineStr">
        <is>
          <t>NA</t>
        </is>
      </c>
      <c r="AF917" s="284" t="inlineStr">
        <is>
          <t>NA</t>
        </is>
      </c>
      <c r="AG917" s="285" t="inlineStr">
        <is>
          <t>NA</t>
        </is>
      </c>
      <c r="AH917" s="89" t="n"/>
      <c r="AI917" s="330" t="n"/>
      <c r="AJ917" s="331" t="n"/>
      <c r="AK917" s="284" t="n"/>
      <c r="AL917" s="285" t="n"/>
      <c r="AM917" s="331" t="n"/>
      <c r="AN917" s="331" t="n"/>
      <c r="AO917" s="284" t="n"/>
      <c r="AP917" s="285" t="n"/>
      <c r="AQ917" s="331" t="n"/>
      <c r="AR917" s="331" t="n"/>
      <c r="AS917" s="284" t="n"/>
      <c r="AT917" s="285" t="n"/>
      <c r="AU917" s="331" t="n"/>
      <c r="AV917" s="331" t="n"/>
      <c r="AW917" s="284" t="n"/>
      <c r="AX917" s="285" t="n"/>
      <c r="AY917" s="331" t="n"/>
      <c r="AZ917" s="331" t="n"/>
      <c r="BA917" s="284" t="n"/>
      <c r="BB917" s="285" t="n"/>
      <c r="BC917" s="330" t="n"/>
      <c r="BD917" s="331" t="n"/>
      <c r="BE917" s="284" t="n"/>
      <c r="BF917" s="285" t="n"/>
      <c r="BG917" s="89" t="n"/>
      <c r="BH9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17">
        <f>_xlfn.LET(r,ROW(),oc,INDEX($A:$A,r),cv,TRIM(INDEX($Y:$Y,r)&amp;""),IF(oc&lt;&gt;"P1","",IF(cv="45","V45 - novo, nao alimentado pelo spool atual","V44 - alimentado pelo spool atual")))</f>
        <v/>
      </c>
    </row>
    <row r="918" ht="54" customFormat="1" customHeight="1" s="90">
      <c r="A918" s="306" t="inlineStr">
        <is>
          <t>P2</t>
        </is>
      </c>
      <c r="B918" s="307" t="n">
        <v>21</v>
      </c>
      <c r="C918" s="269" t="inlineStr">
        <is>
          <t>31 - Paramètres bâlois</t>
        </is>
      </c>
      <c r="D918" s="236" t="inlineStr">
        <is>
          <t>31 - Basel settings</t>
        </is>
      </c>
      <c r="E918" s="307" t="inlineStr">
        <is>
          <t>P2 1.1</t>
        </is>
      </c>
      <c r="F918" s="417" t="inlineStr">
        <is>
          <t>Méthodologie Bâloise</t>
        </is>
      </c>
      <c r="G918" s="309" t="inlineStr">
        <is>
          <t>Basel methodology</t>
        </is>
      </c>
      <c r="H918" s="309" t="n"/>
      <c r="I918" s="241" t="inlineStr">
        <is>
          <t xml:space="preserve">Correspond à la méthode de calcul des risques pondérés dans Bâle </t>
        </is>
      </c>
      <c r="J918" s="309" t="inlineStr">
        <is>
          <t>Represents the risk-weighted asset calculation method in Basel</t>
        </is>
      </c>
      <c r="K918" s="370" t="inlineStr">
        <is>
          <t>ND</t>
        </is>
      </c>
      <c r="L918" s="371" t="inlineStr">
        <is>
          <t>ND</t>
        </is>
      </c>
      <c r="M918" s="1420" t="inlineStr">
        <is>
          <t>cdMetBal</t>
        </is>
      </c>
      <c r="N918" s="231" t="inlineStr">
        <is>
          <t>Obligatoire</t>
        </is>
      </c>
      <c r="O918" s="310" t="inlineStr">
        <is>
          <t>Mandatory</t>
        </is>
      </c>
      <c r="P918" s="269" t="inlineStr">
        <is>
          <t>LC.0068</t>
        </is>
      </c>
      <c r="Q918" s="269" t="inlineStr">
        <is>
          <t xml:space="preserve">TA KVBAL22 </t>
        </is>
      </c>
      <c r="R918" s="241" t="inlineStr">
        <is>
          <t>NA</t>
        </is>
      </c>
      <c r="S918" s="233" t="inlineStr">
        <is>
          <t>NA</t>
        </is>
      </c>
      <c r="T918" s="313" t="inlineStr">
        <is>
          <t>ALPHA</t>
        </is>
      </c>
      <c r="U918" s="237" t="inlineStr">
        <is>
          <t>NA</t>
        </is>
      </c>
      <c r="V918" s="238" t="inlineStr">
        <is>
          <t>NA</t>
        </is>
      </c>
      <c r="W918" s="257" t="n">
        <v>7</v>
      </c>
      <c r="X918" s="945" t="inlineStr">
        <is>
          <t>NA</t>
        </is>
      </c>
      <c r="Y918" s="237" t="n">
        <v>40</v>
      </c>
      <c r="Z918" s="237" t="inlineStr">
        <is>
          <t>NA</t>
        </is>
      </c>
      <c r="AA918" s="270" t="inlineStr">
        <is>
          <t>NA</t>
        </is>
      </c>
      <c r="AB918" s="994" t="inlineStr">
        <is>
          <t>ASTRE, CALCULS PRUDENTIELS, ESG PILIER 3, NPE, OMP</t>
        </is>
      </c>
      <c r="AC918" s="231" t="inlineStr">
        <is>
          <t>ND</t>
        </is>
      </c>
      <c r="AD918" s="257" t="inlineStr">
        <is>
          <t>N</t>
        </is>
      </c>
      <c r="AE918" s="257" t="inlineStr">
        <is>
          <t>NA</t>
        </is>
      </c>
      <c r="AF918" s="257" t="inlineStr">
        <is>
          <t>NA</t>
        </is>
      </c>
      <c r="AG918" s="258" t="inlineStr">
        <is>
          <t>NA</t>
        </is>
      </c>
      <c r="AH918" s="89" t="n"/>
      <c r="AI918" s="316" t="inlineStr">
        <is>
          <t>La donnée est obligatoire</t>
        </is>
      </c>
      <c r="AJ918" s="317" t="inlineStr">
        <is>
          <t>The data is mandatory</t>
        </is>
      </c>
      <c r="AK918" s="257" t="n">
        <v>7</v>
      </c>
      <c r="AL918" s="335" t="inlineStr">
        <is>
          <t>TPG0001</t>
        </is>
      </c>
      <c r="AM918" s="318" t="inlineStr">
        <is>
          <t>Si elle est renseignée, la valeur doit être connue du Langage Commun associé</t>
        </is>
      </c>
      <c r="AN918" s="317" t="inlineStr">
        <is>
          <t>If specified, the value must be known to the associated Common Language</t>
        </is>
      </c>
      <c r="AO918" s="257" t="n">
        <v>7</v>
      </c>
      <c r="AP918" s="212" t="inlineStr">
        <is>
          <t>TIG0001</t>
        </is>
      </c>
      <c r="AQ918" s="785" t="inlineStr">
        <is>
          <t>Si renseignée, ET si le type de risque [P2 2.0] = 'TRE2xx' à 'TRE4xx', 'ISS200', 'ISS300', 'SIG*' hors (TRE201,TRE203,TRE205, TRE206, TRE207) et le 'Portefeuille Bâle Opération' [P2 2.18] = '070' alors la donnée [P2 1.1] = 'STD'</t>
        </is>
      </c>
      <c r="AR918" s="317" t="inlineStr">
        <is>
          <t>If filled and if Risk Type [P2 2.0] = 'TRE2xx' to 'TRE4xx', 'ISS200', 'ISS300', 'SIG*' out (TRE201, TRE203, TRE205, TRE206, TRE207) and the 'Basel Operation Portfolio' [P2 2.18] = '070' then the data [P2 1.1] = 'STD'</t>
        </is>
      </c>
      <c r="AS918" s="257" t="n">
        <v>7</v>
      </c>
      <c r="AT918" s="258" t="inlineStr">
        <is>
          <t>TVS0733</t>
        </is>
      </c>
      <c r="AU918" s="318" t="n"/>
      <c r="AV918" s="317" t="n"/>
      <c r="AW918" s="257" t="n"/>
      <c r="AX918" s="258" t="n"/>
      <c r="AY918" s="318" t="n"/>
      <c r="AZ918" s="317" t="n"/>
      <c r="BA918" s="257" t="n"/>
      <c r="BB918" s="258" t="n"/>
      <c r="BC918" s="316" t="n"/>
      <c r="BD918" s="317" t="n"/>
      <c r="BE918" s="257" t="n"/>
      <c r="BF918" s="258" t="n"/>
      <c r="BG918" s="89" t="n"/>
      <c r="BH9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18">
        <f>_xlfn.LET(r,ROW(),oc,INDEX($A:$A,r),cv,TRIM(INDEX($Y:$Y,r)&amp;""),IF(oc&lt;&gt;"P1","",IF(cv="45","V45 - novo, nao alimentado pelo spool atual","V44 - alimentado pelo spool atual")))</f>
        <v/>
      </c>
    </row>
    <row r="919" ht="54" customFormat="1" customHeight="1" s="90">
      <c r="A919" s="306" t="inlineStr">
        <is>
          <t>P2</t>
        </is>
      </c>
      <c r="B919" s="307" t="n">
        <v>22</v>
      </c>
      <c r="C919" s="269" t="inlineStr">
        <is>
          <t>31 - Paramètres bâlois</t>
        </is>
      </c>
      <c r="D919" s="236" t="inlineStr">
        <is>
          <t>31 - Basel settings</t>
        </is>
      </c>
      <c r="E919" s="307" t="inlineStr">
        <is>
          <t>P2 1.2</t>
        </is>
      </c>
      <c r="F919" s="308" t="inlineStr">
        <is>
          <t>Traitement moteur bâlois</t>
        </is>
      </c>
      <c r="G919" s="309" t="inlineStr">
        <is>
          <t>Basel engine treatment</t>
        </is>
      </c>
      <c r="H919" s="309" t="n"/>
      <c r="I919" s="241" t="inlineStr">
        <is>
          <t xml:space="preserve">Correspond au traitement moteur de calcul des RWA Bâlois </t>
        </is>
      </c>
      <c r="J919" s="309" t="inlineStr">
        <is>
          <t>Represents treatment by the Basel RWA calculation engine</t>
        </is>
      </c>
      <c r="K919" s="370" t="inlineStr">
        <is>
          <t>ND</t>
        </is>
      </c>
      <c r="L919" s="371" t="inlineStr">
        <is>
          <t>ND</t>
        </is>
      </c>
      <c r="M919" s="1420" t="inlineStr">
        <is>
          <t>cdTraitMot</t>
        </is>
      </c>
      <c r="N919" s="231" t="inlineStr">
        <is>
          <t>Obligatoire</t>
        </is>
      </c>
      <c r="O919" s="310" t="inlineStr">
        <is>
          <t>Mandatory</t>
        </is>
      </c>
      <c r="P919" s="269" t="inlineStr">
        <is>
          <t>LC.0154</t>
        </is>
      </c>
      <c r="Q919" s="269" t="inlineStr">
        <is>
          <t>TA KVTBALE</t>
        </is>
      </c>
      <c r="R919" s="241" t="inlineStr">
        <is>
          <t>Cette donnée permet d'indiquer le traitement Bâlois associé à la méthodologie</t>
        </is>
      </c>
      <c r="S919" s="233" t="inlineStr">
        <is>
          <t>This data makes it possible to indicate the Basel treatment associated with the methodology</t>
        </is>
      </c>
      <c r="T919" s="313" t="inlineStr">
        <is>
          <t>ALPHA</t>
        </is>
      </c>
      <c r="U919" s="237" t="inlineStr">
        <is>
          <t>NA</t>
        </is>
      </c>
      <c r="V919" s="238" t="inlineStr">
        <is>
          <t>NA</t>
        </is>
      </c>
      <c r="W919" s="257" t="n">
        <v>2</v>
      </c>
      <c r="X919" s="945" t="inlineStr">
        <is>
          <t>NA</t>
        </is>
      </c>
      <c r="Y919" s="237" t="n">
        <v>40</v>
      </c>
      <c r="Z919" s="237" t="inlineStr">
        <is>
          <t>NA</t>
        </is>
      </c>
      <c r="AA919" s="270" t="inlineStr">
        <is>
          <t>NA</t>
        </is>
      </c>
      <c r="AB919" s="1289" t="inlineStr">
        <is>
          <t>CALCULS PRUDENTIELS, ESG PILIER 3</t>
        </is>
      </c>
      <c r="AC919" s="231" t="inlineStr">
        <is>
          <t>ND</t>
        </is>
      </c>
      <c r="AD919" s="257" t="inlineStr">
        <is>
          <t>N</t>
        </is>
      </c>
      <c r="AE919" s="257" t="inlineStr">
        <is>
          <t>NA</t>
        </is>
      </c>
      <c r="AF919" s="257" t="inlineStr">
        <is>
          <t>NA</t>
        </is>
      </c>
      <c r="AG919" s="258" t="inlineStr">
        <is>
          <t>NA</t>
        </is>
      </c>
      <c r="AH919" s="89" t="n"/>
      <c r="AI919" s="316" t="inlineStr">
        <is>
          <t>La donnée est obligatoire</t>
        </is>
      </c>
      <c r="AJ919" s="317" t="inlineStr">
        <is>
          <t>The data is mandatory</t>
        </is>
      </c>
      <c r="AK919" s="257" t="n">
        <v>7</v>
      </c>
      <c r="AL919" s="335" t="inlineStr">
        <is>
          <t>TPG0001</t>
        </is>
      </c>
      <c r="AM919" s="318" t="inlineStr">
        <is>
          <t>Si elle est renseignée, la valeur doit être connue du Langage Commun associé</t>
        </is>
      </c>
      <c r="AN919" s="317" t="inlineStr">
        <is>
          <t>If specified, the value must be known to the associated Common Language</t>
        </is>
      </c>
      <c r="AO919" s="257" t="n">
        <v>7</v>
      </c>
      <c r="AP919" s="212" t="inlineStr">
        <is>
          <t>TIG0001</t>
        </is>
      </c>
      <c r="AQ919" s="318" t="n"/>
      <c r="AR919" s="317" t="n"/>
      <c r="AS919" s="257" t="n"/>
      <c r="AT919" s="258" t="n"/>
      <c r="AU919" s="786" t="inlineStr">
        <is>
          <t>La valeur renseignée doit être cohérente avec la 'Méthodologie Bâloise' [P2 1.1] (LC.0154 - TA 0990 KVCOTMMC)</t>
        </is>
      </c>
      <c r="AV919" s="317" t="inlineStr">
        <is>
          <t>Value filled must be consistent with the 'Basel Methodology' [P2 1.1] (LC.0154 - TA 0990 KVCOTMMC)</t>
        </is>
      </c>
      <c r="AW919" s="257" t="n">
        <v>7</v>
      </c>
      <c r="AX919" s="420" t="inlineStr">
        <is>
          <t>TCS0742</t>
        </is>
      </c>
      <c r="AY919" s="318" t="n"/>
      <c r="AZ919" s="317" t="n"/>
      <c r="BA919" s="257" t="n"/>
      <c r="BB919" s="258" t="n"/>
      <c r="BC919" s="316" t="n"/>
      <c r="BD919" s="317" t="n"/>
      <c r="BE919" s="257" t="n"/>
      <c r="BF919" s="258" t="n"/>
      <c r="BG919" s="89" t="n"/>
      <c r="BH9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19">
        <f>_xlfn.LET(r,ROW(),oc,INDEX($A:$A,r),cv,TRIM(INDEX($Y:$Y,r)&amp;""),IF(oc&lt;&gt;"P1","",IF(cv="45","V45 - novo, nao alimentado pelo spool atual","V44 - alimentado pelo spool atual")))</f>
        <v/>
      </c>
    </row>
    <row r="920" ht="54" customFormat="1" customHeight="1" s="90">
      <c r="A920" s="306" t="inlineStr">
        <is>
          <t>P2</t>
        </is>
      </c>
      <c r="B920" s="307" t="n">
        <v>23</v>
      </c>
      <c r="C920" s="269" t="inlineStr">
        <is>
          <t>03 - Caractéristiques Générales</t>
        </is>
      </c>
      <c r="D920" s="236" t="inlineStr">
        <is>
          <t>03 - General characteristics</t>
        </is>
      </c>
      <c r="E920" s="307" t="inlineStr">
        <is>
          <t>P2 4.34</t>
        </is>
      </c>
      <c r="F920" s="308" t="inlineStr">
        <is>
          <t>Traitement GRR</t>
        </is>
      </c>
      <c r="G920" s="309" t="inlineStr">
        <is>
          <t>Large Exposure Treatment</t>
        </is>
      </c>
      <c r="H920" s="309" t="n"/>
      <c r="I920" s="241" t="inlineStr">
        <is>
          <t xml:space="preserve">Permet de filtrer certains engagements du moteur GRR (pour faciliter les correctifs) </t>
        </is>
      </c>
      <c r="J920" s="309" t="inlineStr">
        <is>
          <t xml:space="preserve">Makes it possible to filter certain commitments of the Large Exposures engine (to facilitate corrections) </t>
        </is>
      </c>
      <c r="K920" s="370" t="inlineStr">
        <is>
          <t>ND</t>
        </is>
      </c>
      <c r="L920" s="371" t="inlineStr">
        <is>
          <t>ND</t>
        </is>
      </c>
      <c r="M920" s="1420" t="inlineStr">
        <is>
          <t>cdTraitGRR</t>
        </is>
      </c>
      <c r="N920" s="231" t="inlineStr">
        <is>
          <t>Obligatoire</t>
        </is>
      </c>
      <c r="O920" s="310" t="inlineStr">
        <is>
          <t>Mandatory</t>
        </is>
      </c>
      <c r="P920" s="269" t="inlineStr">
        <is>
          <t>NA</t>
        </is>
      </c>
      <c r="Q920" s="269" t="inlineStr">
        <is>
          <t>NA</t>
        </is>
      </c>
      <c r="R920" s="241" t="inlineStr">
        <is>
          <t>Ce champ doit être utilisé pour gérer des cas d'exception et doit faire l'objet d'un accord de la DRG</t>
        </is>
      </c>
      <c r="S920" s="233" t="inlineStr">
        <is>
          <t>This field must be used to manage exceptions and must be approved by the Group Risk Management Division</t>
        </is>
      </c>
      <c r="T920" s="787" t="inlineStr">
        <is>
          <t>ALPHA</t>
        </is>
      </c>
      <c r="U920" s="237" t="inlineStr">
        <is>
          <t>NA</t>
        </is>
      </c>
      <c r="V920" s="238" t="inlineStr">
        <is>
          <t>NA</t>
        </is>
      </c>
      <c r="W920" s="257" t="n">
        <v>1</v>
      </c>
      <c r="X920" s="945" t="inlineStr">
        <is>
          <t>NA</t>
        </is>
      </c>
      <c r="Y920" s="237" t="n">
        <v>40</v>
      </c>
      <c r="Z920" s="237" t="inlineStr">
        <is>
          <t>NA</t>
        </is>
      </c>
      <c r="AA920" s="237" t="inlineStr">
        <is>
          <t>NA</t>
        </is>
      </c>
      <c r="AB920" s="269" t="inlineStr">
        <is>
          <t>GRR</t>
        </is>
      </c>
      <c r="AC920" s="231" t="inlineStr">
        <is>
          <t>ND</t>
        </is>
      </c>
      <c r="AD920" s="257" t="inlineStr">
        <is>
          <t>N</t>
        </is>
      </c>
      <c r="AE920" s="257" t="inlineStr">
        <is>
          <t>NA</t>
        </is>
      </c>
      <c r="AF920" s="257" t="inlineStr">
        <is>
          <t>NA</t>
        </is>
      </c>
      <c r="AG920" s="258" t="inlineStr">
        <is>
          <t>NA</t>
        </is>
      </c>
      <c r="AH920" s="89" t="n"/>
      <c r="AI920" s="316" t="inlineStr">
        <is>
          <t>La donnée est obligatoire</t>
        </is>
      </c>
      <c r="AJ920" s="317" t="inlineStr">
        <is>
          <t>The data is mandatory</t>
        </is>
      </c>
      <c r="AK920" s="257" t="n">
        <v>7</v>
      </c>
      <c r="AL920" s="335" t="inlineStr">
        <is>
          <t>TPG0001</t>
        </is>
      </c>
      <c r="AM920" s="421" t="n"/>
      <c r="AN920" s="422" t="n"/>
      <c r="AO920" s="348" t="n"/>
      <c r="AP920" s="423" t="n"/>
      <c r="AQ920" s="788" t="inlineStr">
        <is>
          <t>Si renseignée, la donnée doit être égale à 'Y'</t>
        </is>
      </c>
      <c r="AR920" s="317" t="inlineStr">
        <is>
          <t>If filled, data must be equal to 'Y'</t>
        </is>
      </c>
      <c r="AS920" s="257" t="n">
        <v>6</v>
      </c>
      <c r="AT920" s="424" t="inlineStr">
        <is>
          <t>TVS0734</t>
        </is>
      </c>
      <c r="AU920" s="318" t="n"/>
      <c r="AV920" s="317" t="n"/>
      <c r="AW920" s="257" t="n"/>
      <c r="AX920" s="258" t="n"/>
      <c r="AY920" s="318" t="n"/>
      <c r="AZ920" s="317" t="n"/>
      <c r="BA920" s="257" t="n"/>
      <c r="BB920" s="258" t="n"/>
      <c r="BC920" s="316" t="n"/>
      <c r="BD920" s="317" t="n"/>
      <c r="BE920" s="257" t="n"/>
      <c r="BF920" s="258" t="n"/>
      <c r="BG920" s="89" t="n"/>
      <c r="BH9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20">
        <f>_xlfn.LET(r,ROW(),oc,INDEX($A:$A,r),cv,TRIM(INDEX($Y:$Y,r)&amp;""),IF(oc&lt;&gt;"P1","",IF(cv="45","V45 - novo, nao alimentado pelo spool atual","V44 - alimentado pelo spool atual")))</f>
        <v/>
      </c>
    </row>
    <row r="921" ht="54" customFormat="1" customHeight="1" s="90">
      <c r="A921" s="306" t="inlineStr">
        <is>
          <t>P2</t>
        </is>
      </c>
      <c r="B921" s="307" t="n">
        <v>24</v>
      </c>
      <c r="C921" s="269" t="inlineStr">
        <is>
          <t>03 - Caractéristiques Générales</t>
        </is>
      </c>
      <c r="D921" s="236" t="inlineStr">
        <is>
          <t>03 - General characteristics</t>
        </is>
      </c>
      <c r="E921" s="307" t="inlineStr">
        <is>
          <t>P2 2.0</t>
        </is>
      </c>
      <c r="F921" s="308" t="inlineStr">
        <is>
          <t>Type de risque</t>
        </is>
      </c>
      <c r="G921" s="309" t="inlineStr">
        <is>
          <t>Risk type</t>
        </is>
      </c>
      <c r="H921" s="309" t="n"/>
      <c r="I921" s="241" t="inlineStr">
        <is>
          <t>Classification de l'opération selon la nomenclature risque</t>
        </is>
      </c>
      <c r="J921" s="309" t="inlineStr">
        <is>
          <t>Classification of transaction on the basis of the risk nomenclature</t>
        </is>
      </c>
      <c r="K921" s="370" t="inlineStr">
        <is>
          <t>ND</t>
        </is>
      </c>
      <c r="L921" s="371" t="inlineStr">
        <is>
          <t>ND</t>
        </is>
      </c>
      <c r="M921" s="1420" t="inlineStr">
        <is>
          <t>cdTypRis</t>
        </is>
      </c>
      <c r="N921" s="231" t="inlineStr">
        <is>
          <t>Obligatoire</t>
        </is>
      </c>
      <c r="O921" s="310" t="inlineStr">
        <is>
          <t>Mandatory</t>
        </is>
      </c>
      <c r="P921" s="269" t="inlineStr">
        <is>
          <t>LC.0030</t>
        </is>
      </c>
      <c r="Q921" s="269" t="inlineStr">
        <is>
          <t>TA KVTYPRIS</t>
        </is>
      </c>
      <c r="R921" s="241" t="inlineStr">
        <is>
          <t>Si l'engagement est lié à une autorisation, le type de risque est égal au type de risque de la ligne de détail associée (F2)</t>
        </is>
      </c>
      <c r="S921" s="233" t="inlineStr">
        <is>
          <t>Where the commitment is linked to an facility, the risk type is the same as the risk type of the associated line (F2)</t>
        </is>
      </c>
      <c r="T921" s="313" t="inlineStr">
        <is>
          <t>ALPHA</t>
        </is>
      </c>
      <c r="U921" s="237" t="inlineStr">
        <is>
          <t>NA</t>
        </is>
      </c>
      <c r="V921" s="238" t="inlineStr">
        <is>
          <t>NA</t>
        </is>
      </c>
      <c r="W921" s="257" t="n">
        <v>6</v>
      </c>
      <c r="X921" s="945" t="inlineStr">
        <is>
          <t>NA</t>
        </is>
      </c>
      <c r="Y921" s="237" t="n">
        <v>40</v>
      </c>
      <c r="Z921" s="237" t="inlineStr">
        <is>
          <t>NA</t>
        </is>
      </c>
      <c r="AA921" s="270" t="inlineStr">
        <is>
          <t>NA</t>
        </is>
      </c>
      <c r="AB921" s="994" t="inlineStr">
        <is>
          <t>ANACREDIT, ASTRE, CALCULS PRUDENTIELS, CONGLOMERATS, DEI, ESG PILIER 3, GRR, NPE, OMP</t>
        </is>
      </c>
      <c r="AC921" s="231" t="inlineStr">
        <is>
          <t>ND</t>
        </is>
      </c>
      <c r="AD921" s="257" t="inlineStr">
        <is>
          <t>N</t>
        </is>
      </c>
      <c r="AE921" s="257" t="inlineStr">
        <is>
          <t>NA</t>
        </is>
      </c>
      <c r="AF921" s="257" t="inlineStr">
        <is>
          <t>NA</t>
        </is>
      </c>
      <c r="AG921" s="258" t="inlineStr">
        <is>
          <t>NA</t>
        </is>
      </c>
      <c r="AH921" s="89" t="n"/>
      <c r="AI921" s="316" t="inlineStr">
        <is>
          <t>La donnée est obligatoire</t>
        </is>
      </c>
      <c r="AJ921" s="317" t="inlineStr">
        <is>
          <t>The data is mandatory</t>
        </is>
      </c>
      <c r="AK921" s="257" t="n">
        <v>7</v>
      </c>
      <c r="AL921" s="335" t="inlineStr">
        <is>
          <t>TPG0001</t>
        </is>
      </c>
      <c r="AM921" s="318" t="inlineStr">
        <is>
          <t>Si elle est renseignée, la valeur doit être connue du Langage Commun associé</t>
        </is>
      </c>
      <c r="AN921" s="317" t="inlineStr">
        <is>
          <t>If specified, the value must be known to the associated Common Language</t>
        </is>
      </c>
      <c r="AO921" s="257" t="n">
        <v>7</v>
      </c>
      <c r="AP921" s="212" t="inlineStr">
        <is>
          <t>TIG0001</t>
        </is>
      </c>
      <c r="AQ921" s="356" t="inlineStr">
        <is>
          <t>Si renseignée, la valeur doit être différente de 'DVP100'</t>
        </is>
      </c>
      <c r="AR921" s="317" t="inlineStr">
        <is>
          <t>If filled, the value must be different from 'DVP100'</t>
        </is>
      </c>
      <c r="AS921" s="257" t="n">
        <v>7</v>
      </c>
      <c r="AT921" s="366" t="inlineStr">
        <is>
          <t>TVS0707</t>
        </is>
      </c>
      <c r="AU921" s="390" t="inlineStr">
        <is>
          <t>La valeur renseignée doit être cohérente avec l'objet métier (LC.0030 - TA 0990 Z8COTROM)</t>
        </is>
      </c>
      <c r="AV921" s="391" t="inlineStr">
        <is>
          <t>The value filled must be consistent with the business object (LC.0030 - TA 0990 Z8COTROM)</t>
        </is>
      </c>
      <c r="AW921" s="392" t="n">
        <v>7</v>
      </c>
      <c r="AX921" s="393" t="inlineStr">
        <is>
          <t>TCG0005</t>
        </is>
      </c>
      <c r="AY921" s="322" t="inlineStr">
        <is>
          <t>La donnée doit être égale au Type de risque [F2 2.1] de la ligne de détail de l'autorisation F2 liée</t>
        </is>
      </c>
      <c r="AZ921" s="317" t="inlineStr">
        <is>
          <t>The data must be equal to Risk Type [F2 2.1] of the F2 authorization line to which the PNU is link</t>
        </is>
      </c>
      <c r="BA921" s="257" t="n">
        <v>6</v>
      </c>
      <c r="BB921" s="258" t="inlineStr">
        <is>
          <t>TC0600</t>
        </is>
      </c>
      <c r="BC921" s="278" t="inlineStr">
        <is>
          <t>Si la combinaison de donnée n'est pas trouvée dans la matrice des règles de gestion C31, le contrôle doit se lever</t>
        </is>
      </c>
      <c r="BD921" s="160" t="inlineStr">
        <is>
          <t>If the data combinaison is not found in the C31 business rules matrix, the control must trigger</t>
        </is>
      </c>
      <c r="BE921" s="344" t="n">
        <v>6</v>
      </c>
      <c r="BF921" s="393" t="inlineStr">
        <is>
          <t>TC0C31</t>
        </is>
      </c>
      <c r="BG921" s="89" t="n"/>
      <c r="BH9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21">
        <f>_xlfn.LET(r,ROW(),oc,INDEX($A:$A,r),cv,TRIM(INDEX($Y:$Y,r)&amp;""),IF(oc&lt;&gt;"P1","",IF(cv="45","V45 - novo, nao alimentado pelo spool atual","V44 - alimentado pelo spool atual")))</f>
        <v/>
      </c>
    </row>
    <row r="922" ht="54" customFormat="1" customHeight="1" s="90">
      <c r="A922" s="306" t="inlineStr">
        <is>
          <t>P2</t>
        </is>
      </c>
      <c r="B922" s="307" t="n">
        <v>25</v>
      </c>
      <c r="C922" s="269" t="inlineStr">
        <is>
          <t>03 - Caractéristiques Générales</t>
        </is>
      </c>
      <c r="D922" s="236" t="inlineStr">
        <is>
          <t>03 - General characteristics</t>
        </is>
      </c>
      <c r="E922" s="307" t="inlineStr">
        <is>
          <t>P2 2.4</t>
        </is>
      </c>
      <c r="F922" s="789" t="inlineStr">
        <is>
          <t>Portefeuille de booking Intention de Gestion</t>
        </is>
      </c>
      <c r="G922" s="309" t="inlineStr">
        <is>
          <t>Booking portfolio Management intent</t>
        </is>
      </c>
      <c r="H922" s="309" t="n"/>
      <c r="I922" s="241" t="inlineStr">
        <is>
          <t>Désigne si l'opération appartient au banking book (portefeuille bancaire) ou au trading book (portefeuille de négociation)</t>
        </is>
      </c>
      <c r="J922" s="309" t="inlineStr">
        <is>
          <t>Indicates whether the deal belongs to banking book or trading book</t>
        </is>
      </c>
      <c r="K922" s="370" t="inlineStr">
        <is>
          <t>ND</t>
        </is>
      </c>
      <c r="L922" s="371" t="inlineStr">
        <is>
          <t>ND</t>
        </is>
      </c>
      <c r="M922" s="1420" t="inlineStr">
        <is>
          <t>cdIntGest</t>
        </is>
      </c>
      <c r="N922" s="231" t="inlineStr">
        <is>
          <t>Obligatoire</t>
        </is>
      </c>
      <c r="O922" s="310" t="inlineStr">
        <is>
          <t>Mandatory</t>
        </is>
      </c>
      <c r="P922" s="269" t="inlineStr">
        <is>
          <t>LC.0029</t>
        </is>
      </c>
      <c r="Q922" s="269" t="inlineStr">
        <is>
          <t>TA KVINTENT</t>
        </is>
      </c>
      <c r="R922" s="241" t="inlineStr">
        <is>
          <t>NA</t>
        </is>
      </c>
      <c r="S922" s="233" t="inlineStr">
        <is>
          <t>NA</t>
        </is>
      </c>
      <c r="T922" s="313" t="inlineStr">
        <is>
          <t>ALPHA</t>
        </is>
      </c>
      <c r="U922" s="237" t="inlineStr">
        <is>
          <t>NA</t>
        </is>
      </c>
      <c r="V922" s="238" t="inlineStr">
        <is>
          <t>NA</t>
        </is>
      </c>
      <c r="W922" s="257" t="n">
        <v>1</v>
      </c>
      <c r="X922" s="945" t="inlineStr">
        <is>
          <t>NA</t>
        </is>
      </c>
      <c r="Y922" s="237" t="n">
        <v>40</v>
      </c>
      <c r="Z922" s="237" t="inlineStr">
        <is>
          <t>NA</t>
        </is>
      </c>
      <c r="AA922" s="978" t="inlineStr">
        <is>
          <t>45.00</t>
        </is>
      </c>
      <c r="AB922" s="932" t="inlineStr">
        <is>
          <t>ANACREDIT, ASTRE, CALCULS PRUDENTIELS, CONGLOMERATS, DEI, ESG PILIER 3, GRR, LIQUIDITE, NPE, PALMA</t>
        </is>
      </c>
      <c r="AC922" s="231" t="inlineStr">
        <is>
          <t>ND</t>
        </is>
      </c>
      <c r="AD922" s="257" t="inlineStr">
        <is>
          <t>N</t>
        </is>
      </c>
      <c r="AE922" s="257" t="inlineStr">
        <is>
          <t>NA</t>
        </is>
      </c>
      <c r="AF922" s="257" t="inlineStr">
        <is>
          <t>NA</t>
        </is>
      </c>
      <c r="AG922" s="258" t="inlineStr">
        <is>
          <t>NA</t>
        </is>
      </c>
      <c r="AH922" s="89" t="n"/>
      <c r="AI922" s="316" t="inlineStr">
        <is>
          <t>La donnée est obligatoire</t>
        </is>
      </c>
      <c r="AJ922" s="317" t="inlineStr">
        <is>
          <t>The data is mandatory</t>
        </is>
      </c>
      <c r="AK922" s="257" t="n">
        <v>7</v>
      </c>
      <c r="AL922" s="335" t="inlineStr">
        <is>
          <t>TPG0001</t>
        </is>
      </c>
      <c r="AM922" s="318" t="inlineStr">
        <is>
          <t>Si elle est renseignée, la valeur doit être connue du Langage Commun associé</t>
        </is>
      </c>
      <c r="AN922" s="317" t="inlineStr">
        <is>
          <t>If specified, the value must be known to the associated Common Language</t>
        </is>
      </c>
      <c r="AO922" s="257" t="n">
        <v>7</v>
      </c>
      <c r="AP922" s="212" t="inlineStr">
        <is>
          <t>TIG0001</t>
        </is>
      </c>
      <c r="AQ922" s="790" t="n"/>
      <c r="AR922" s="377" t="n"/>
      <c r="AS922" s="257" t="n"/>
      <c r="AT922" s="791" t="n"/>
      <c r="AU922" s="318" t="n"/>
      <c r="AV922" s="317" t="n"/>
      <c r="AW922" s="257" t="n"/>
      <c r="AX922" s="258" t="n"/>
      <c r="AY922" s="318" t="n"/>
      <c r="AZ922" s="317" t="n"/>
      <c r="BA922" s="257" t="n"/>
      <c r="BB922" s="258" t="n"/>
      <c r="BC922" s="316" t="n"/>
      <c r="BD922" s="317" t="n"/>
      <c r="BE922" s="257" t="n"/>
      <c r="BF922" s="258" t="n"/>
      <c r="BG922" s="89" t="n"/>
      <c r="BH9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22">
        <f>_xlfn.LET(r,ROW(),oc,INDEX($A:$A,r),cv,TRIM(INDEX($Y:$Y,r)&amp;""),IF(oc&lt;&gt;"P1","",IF(cv="45","V45 - novo, nao alimentado pelo spool atual","V44 - alimentado pelo spool atual")))</f>
        <v/>
      </c>
    </row>
    <row r="923" ht="54" customFormat="1" customHeight="1" s="90">
      <c r="A923" s="306" t="inlineStr">
        <is>
          <t>P2</t>
        </is>
      </c>
      <c r="B923" s="307" t="n">
        <v>26</v>
      </c>
      <c r="C923" s="269" t="inlineStr">
        <is>
          <t>03 - Caractéristiques Générales</t>
        </is>
      </c>
      <c r="D923" s="236" t="inlineStr">
        <is>
          <t>03 - General characteristics</t>
        </is>
      </c>
      <c r="E923" s="307" t="inlineStr">
        <is>
          <t>P2 2.6</t>
        </is>
      </c>
      <c r="F923" s="308" t="inlineStr">
        <is>
          <t>Ligne Métier</t>
        </is>
      </c>
      <c r="G923" s="309" t="inlineStr">
        <is>
          <t>Business line</t>
        </is>
      </c>
      <c r="H923" s="309" t="n"/>
      <c r="I923" s="241" t="inlineStr">
        <is>
          <t>Classification de l'opération selon la ligne Métier</t>
        </is>
      </c>
      <c r="J923" s="309" t="inlineStr">
        <is>
          <t>Classification of the transaction by business line</t>
        </is>
      </c>
      <c r="K923" s="370" t="inlineStr">
        <is>
          <t>ND</t>
        </is>
      </c>
      <c r="L923" s="371" t="inlineStr">
        <is>
          <t>ND</t>
        </is>
      </c>
      <c r="M923" s="1420" t="inlineStr">
        <is>
          <t>cdLm</t>
        </is>
      </c>
      <c r="N923" s="1007" t="inlineStr">
        <is>
          <t>Obligatoire (SC)</t>
        </is>
      </c>
      <c r="O923" s="999" t="inlineStr">
        <is>
          <t>Mandatory (SC)</t>
        </is>
      </c>
      <c r="P923" s="269" t="inlineStr">
        <is>
          <t>LC.0033</t>
        </is>
      </c>
      <c r="Q923" s="269" t="inlineStr">
        <is>
          <t>TA KVMETIER</t>
        </is>
      </c>
      <c r="R923" s="1258" t="inlineStr">
        <is>
          <t>Nomenclature définie par CACIB. Permet de distinguer les encours par ligne métier dans les outils de consolidation risques et notamment la distinction des lignes métier Leasing et Affacturage</t>
        </is>
      </c>
      <c r="S923" s="1259" t="inlineStr">
        <is>
          <t>Nomenclature defined by CACIB. Allows to distinguish the outstandings by business line in the risk consolidation tools and in particular the distinction of business lines Leasing and Factoring</t>
        </is>
      </c>
      <c r="T923" s="313" t="inlineStr">
        <is>
          <t>ALPHA</t>
        </is>
      </c>
      <c r="U923" s="237" t="inlineStr">
        <is>
          <t>NA</t>
        </is>
      </c>
      <c r="V923" s="238" t="inlineStr">
        <is>
          <t>NA</t>
        </is>
      </c>
      <c r="W923" s="257" t="n">
        <v>5</v>
      </c>
      <c r="X923" s="945" t="inlineStr">
        <is>
          <t>NA</t>
        </is>
      </c>
      <c r="Y923" s="237" t="n">
        <v>40</v>
      </c>
      <c r="Z923" s="237" t="inlineStr">
        <is>
          <t>NA</t>
        </is>
      </c>
      <c r="AA923" s="270" t="inlineStr">
        <is>
          <t>45.00</t>
        </is>
      </c>
      <c r="AB923" s="932" t="inlineStr">
        <is>
          <t>ANACREDIT, CALCULS PRUDENTIELS, DEI, LIQUIDITE</t>
        </is>
      </c>
      <c r="AC923" s="231" t="inlineStr">
        <is>
          <t>ND</t>
        </is>
      </c>
      <c r="AD923" s="257" t="inlineStr">
        <is>
          <t>N</t>
        </is>
      </c>
      <c r="AE923" s="257" t="inlineStr">
        <is>
          <t>NA</t>
        </is>
      </c>
      <c r="AF923" s="257" t="inlineStr">
        <is>
          <t>NA</t>
        </is>
      </c>
      <c r="AG923" s="258" t="inlineStr">
        <is>
          <t>NA</t>
        </is>
      </c>
      <c r="AH923" s="89" t="n"/>
      <c r="AI923" s="316" t="n"/>
      <c r="AJ923" s="317" t="n"/>
      <c r="AK923" s="257" t="n"/>
      <c r="AL923" s="258" t="n"/>
      <c r="AM923" s="318" t="inlineStr">
        <is>
          <t>Si elle est renseignée, la valeur doit être connue du Langage Commun associé</t>
        </is>
      </c>
      <c r="AN923" s="317" t="inlineStr">
        <is>
          <t>If specified, the value must be known to the associated Common Language</t>
        </is>
      </c>
      <c r="AO923" s="257" t="n">
        <v>7</v>
      </c>
      <c r="AP923" s="212" t="inlineStr">
        <is>
          <t>TIG0001</t>
        </is>
      </c>
      <c r="AQ923" s="318" t="n"/>
      <c r="AR923" s="317" t="n"/>
      <c r="AS923" s="257" t="n"/>
      <c r="AT923" s="258" t="n"/>
      <c r="AU923" s="318" t="n"/>
      <c r="AV923" s="317" t="n"/>
      <c r="AW923" s="257" t="n"/>
      <c r="AX923" s="258" t="n"/>
      <c r="AY923" s="318" t="n"/>
      <c r="AZ923" s="317" t="n"/>
      <c r="BA923" s="257" t="n"/>
      <c r="BB923" s="258" t="n"/>
      <c r="BC923" s="316" t="n"/>
      <c r="BD923" s="317" t="n"/>
      <c r="BE923" s="257" t="n"/>
      <c r="BF923" s="258" t="n"/>
      <c r="BG923" s="89" t="n"/>
      <c r="BH9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23">
        <f>_xlfn.LET(r,ROW(),oc,INDEX($A:$A,r),cv,TRIM(INDEX($Y:$Y,r)&amp;""),IF(oc&lt;&gt;"P1","",IF(cv="45","V45 - novo, nao alimentado pelo spool atual","V44 - alimentado pelo spool atual")))</f>
        <v/>
      </c>
    </row>
    <row r="924" ht="54" customFormat="1" customHeight="1" s="90">
      <c r="A924" s="306" t="inlineStr">
        <is>
          <t>P2</t>
        </is>
      </c>
      <c r="B924" s="307" t="n">
        <v>27</v>
      </c>
      <c r="C924" s="269" t="inlineStr">
        <is>
          <t>31 - Paramètres bâlois</t>
        </is>
      </c>
      <c r="D924" s="236" t="inlineStr">
        <is>
          <t>31 - Basel settings</t>
        </is>
      </c>
      <c r="E924" s="307" t="inlineStr">
        <is>
          <t>P2 2.18</t>
        </is>
      </c>
      <c r="F924" s="417" t="inlineStr">
        <is>
          <t>Portefeuille Bâle Opération</t>
        </is>
      </c>
      <c r="G924" s="309" t="inlineStr">
        <is>
          <t>Basel Transaction Portfolio</t>
        </is>
      </c>
      <c r="H924" s="309" t="n"/>
      <c r="I924" s="241" t="inlineStr">
        <is>
          <t>Permet d'identifier le portefeuille de Bâle opération associé</t>
        </is>
      </c>
      <c r="J924" s="309" t="inlineStr">
        <is>
          <t>Identifies the associated transaction Basel portfolio</t>
        </is>
      </c>
      <c r="K924" s="370" t="inlineStr">
        <is>
          <t>ND</t>
        </is>
      </c>
      <c r="L924" s="371" t="inlineStr">
        <is>
          <t>ND</t>
        </is>
      </c>
      <c r="M924" s="1420" t="inlineStr">
        <is>
          <t>cdPortBale</t>
        </is>
      </c>
      <c r="N924" s="231" t="inlineStr">
        <is>
          <t>Obligatoire</t>
        </is>
      </c>
      <c r="O924" s="310" t="inlineStr">
        <is>
          <t>Mandatory</t>
        </is>
      </c>
      <c r="P924" s="269" t="inlineStr">
        <is>
          <t>LC.0028</t>
        </is>
      </c>
      <c r="Q924" s="269" t="inlineStr">
        <is>
          <t>TA KVPTFO</t>
        </is>
      </c>
      <c r="R924" s="241" t="inlineStr">
        <is>
          <t>Les expositions en portefeuille Bâle opération '070' (titrisation) sont à déclarer en méthode 'STD'</t>
        </is>
      </c>
      <c r="S924" s="233" t="inlineStr">
        <is>
          <t>The exposures reported in the basel transaction portfolio '070' (securitization) must be reported in Basel methodology 'STD'</t>
        </is>
      </c>
      <c r="T924" s="313" t="inlineStr">
        <is>
          <t>ALPHA</t>
        </is>
      </c>
      <c r="U924" s="237" t="inlineStr">
        <is>
          <t>NA</t>
        </is>
      </c>
      <c r="V924" s="238" t="inlineStr">
        <is>
          <t>NA</t>
        </is>
      </c>
      <c r="W924" s="257" t="n">
        <v>3</v>
      </c>
      <c r="X924" s="945" t="inlineStr">
        <is>
          <t>NA</t>
        </is>
      </c>
      <c r="Y924" s="237" t="n">
        <v>40</v>
      </c>
      <c r="Z924" s="237" t="inlineStr">
        <is>
          <t>NA</t>
        </is>
      </c>
      <c r="AA924" s="237" t="inlineStr">
        <is>
          <t>45.00</t>
        </is>
      </c>
      <c r="AB924" s="994" t="inlineStr">
        <is>
          <t>ANACREDIT, ASTRE, CALCULS PRUDENTIELS, DEI, ESG PILIER 3, NPE, OMP</t>
        </is>
      </c>
      <c r="AC924" s="231" t="inlineStr">
        <is>
          <t>ND</t>
        </is>
      </c>
      <c r="AD924" s="257" t="inlineStr">
        <is>
          <t>N</t>
        </is>
      </c>
      <c r="AE924" s="257" t="inlineStr">
        <is>
          <t>NA</t>
        </is>
      </c>
      <c r="AF924" s="257" t="inlineStr">
        <is>
          <t>NA</t>
        </is>
      </c>
      <c r="AG924" s="258" t="inlineStr">
        <is>
          <t>NA</t>
        </is>
      </c>
      <c r="AH924" s="89" t="n"/>
      <c r="AI924" s="316" t="inlineStr">
        <is>
          <t>La donnée est obligatoire</t>
        </is>
      </c>
      <c r="AJ924" s="317" t="inlineStr">
        <is>
          <t>The data is mandatory</t>
        </is>
      </c>
      <c r="AK924" s="257" t="n">
        <v>7</v>
      </c>
      <c r="AL924" s="335" t="inlineStr">
        <is>
          <t>TPG0001</t>
        </is>
      </c>
      <c r="AM924" s="318" t="inlineStr">
        <is>
          <t>Si elle est renseignée, la valeur doit être connue du Langage Commun associé</t>
        </is>
      </c>
      <c r="AN924" s="317" t="inlineStr">
        <is>
          <t>If specified, the value must be known to the associated Common Language</t>
        </is>
      </c>
      <c r="AO924" s="257" t="n">
        <v>7</v>
      </c>
      <c r="AP924" s="212" t="inlineStr">
        <is>
          <t>TIG0001</t>
        </is>
      </c>
      <c r="AQ924" s="790" t="inlineStr">
        <is>
          <t>Si renseignée, la donnée doit être égale à ‘070', ‘090' ou ‘900' ou commencer par ‘06'</t>
        </is>
      </c>
      <c r="AR924" s="377" t="inlineStr">
        <is>
          <t>If filled, data must be equal to ‘070', ‘090' or ‘900' or start with ‘06'</t>
        </is>
      </c>
      <c r="AS924" s="960" t="n">
        <v>7</v>
      </c>
      <c r="AT924" s="420" t="inlineStr">
        <is>
          <t>TVS0736</t>
        </is>
      </c>
      <c r="AU924" s="318" t="n"/>
      <c r="AV924" s="317" t="n"/>
      <c r="AW924" s="257" t="n"/>
      <c r="AX924" s="258" t="n"/>
      <c r="AY924" s="318" t="n"/>
      <c r="AZ924" s="317" t="n"/>
      <c r="BA924" s="257" t="n"/>
      <c r="BB924" s="258" t="n"/>
      <c r="BC924" s="278" t="inlineStr">
        <is>
          <t>Pour la Grande Clientèle (P1/P2), si la combinaison de donnée n'est pas trouvée dans la matrice des règles de gestion C03, le contrôle doit se lever
---
Pour la Grande Clientèle (P1), si la combinaison de donnée n'est pas trouvée dans la matrice des règles de gestion C17, le contrôle doit se lever</t>
        </is>
      </c>
      <c r="BD924" s="160" t="inlineStr">
        <is>
          <t>For P1/P2, if the data combinaison is not found in the C03 business rules matrix, the control must trigger
---
For P1, if the data combinaison is not found in the C17 business rules matrix, the control must trigger</t>
        </is>
      </c>
      <c r="BE924" s="257" t="n">
        <v>6</v>
      </c>
      <c r="BF924" s="258" t="inlineStr">
        <is>
          <t>TC0C03
TC0C17</t>
        </is>
      </c>
      <c r="BG924" s="89" t="n"/>
      <c r="BH9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24">
        <f>_xlfn.LET(r,ROW(),oc,INDEX($A:$A,r),cv,TRIM(INDEX($Y:$Y,r)&amp;""),IF(oc&lt;&gt;"P1","",IF(cv="45","V45 - novo, nao alimentado pelo spool atual","V44 - alimentado pelo spool atual")))</f>
        <v/>
      </c>
    </row>
    <row r="925" ht="54" customFormat="1" customHeight="1" s="90">
      <c r="A925" s="306" t="inlineStr">
        <is>
          <t>P2</t>
        </is>
      </c>
      <c r="B925" s="307" t="n">
        <v>28</v>
      </c>
      <c r="C925" s="269" t="inlineStr">
        <is>
          <t>03 - Caractéristiques Générales</t>
        </is>
      </c>
      <c r="D925" s="236" t="inlineStr">
        <is>
          <t>03 - General characteristics</t>
        </is>
      </c>
      <c r="E925" s="307" t="inlineStr">
        <is>
          <t>P2 2.29</t>
        </is>
      </c>
      <c r="F925" s="792" t="inlineStr">
        <is>
          <t>NATure d'Opération de l'engagement</t>
        </is>
      </c>
      <c r="G925" s="309" t="inlineStr">
        <is>
          <t>Commitment Transaction Nature</t>
        </is>
      </c>
      <c r="H925" s="309" t="n"/>
      <c r="I925" s="241" t="inlineStr">
        <is>
          <t>Correspond à la classification de l'encours selon la nomenclature Groupe CA "NATO" commune aux Risques et à la Comptabilité</t>
        </is>
      </c>
      <c r="J925" s="309" t="inlineStr">
        <is>
          <t>Represents the classification of outstanding amounts on the basis of the CA Group shared Risk and Accounting "NATO" (transaction nature) nomenclature</t>
        </is>
      </c>
      <c r="K925" s="370" t="inlineStr">
        <is>
          <t>ND</t>
        </is>
      </c>
      <c r="L925" s="371" t="inlineStr">
        <is>
          <t>ND</t>
        </is>
      </c>
      <c r="M925" s="1420" t="inlineStr">
        <is>
          <t>cdNatOp</t>
        </is>
      </c>
      <c r="N925" s="231" t="inlineStr">
        <is>
          <t>Obligatoire</t>
        </is>
      </c>
      <c r="O925" s="310" t="inlineStr">
        <is>
          <t>Mandatory</t>
        </is>
      </c>
      <c r="P925" s="269" t="inlineStr">
        <is>
          <t>LC.0064</t>
        </is>
      </c>
      <c r="Q925" s="269" t="inlineStr">
        <is>
          <t>TA H8NATOPE</t>
        </is>
      </c>
      <c r="R925" s="1249" t="inlineStr">
        <is>
          <t>Il s'agit ici de la NATure d'Opération telle que déterminée et employée par l'entité dans son rapprochement comptabilité risques</t>
        </is>
      </c>
      <c r="S925" s="233" t="inlineStr">
        <is>
          <t>This is the transaction nature as determined and used by the entity for its accounting risk systems reconciliation</t>
        </is>
      </c>
      <c r="T925" s="313" t="inlineStr">
        <is>
          <t>ALPHA</t>
        </is>
      </c>
      <c r="U925" s="237" t="inlineStr">
        <is>
          <t>NA</t>
        </is>
      </c>
      <c r="V925" s="238" t="inlineStr">
        <is>
          <t>NA</t>
        </is>
      </c>
      <c r="W925" s="257" t="n">
        <v>12</v>
      </c>
      <c r="X925" s="945" t="inlineStr">
        <is>
          <t>NA</t>
        </is>
      </c>
      <c r="Y925" s="237" t="n">
        <v>40</v>
      </c>
      <c r="Z925" s="237" t="inlineStr">
        <is>
          <t>NA</t>
        </is>
      </c>
      <c r="AA925" s="978" t="inlineStr">
        <is>
          <t>NA</t>
        </is>
      </c>
      <c r="AB925" s="994" t="inlineStr">
        <is>
          <t>ASTRE, CALCULS PRUDENTIELS, ESG PILIER 3, NPE</t>
        </is>
      </c>
      <c r="AC925" s="231" t="inlineStr">
        <is>
          <t>ND</t>
        </is>
      </c>
      <c r="AD925" s="257" t="inlineStr">
        <is>
          <t>N</t>
        </is>
      </c>
      <c r="AE925" s="257" t="inlineStr">
        <is>
          <t>NA</t>
        </is>
      </c>
      <c r="AF925" s="257" t="inlineStr">
        <is>
          <t>NA</t>
        </is>
      </c>
      <c r="AG925" s="258" t="inlineStr">
        <is>
          <t>NA</t>
        </is>
      </c>
      <c r="AH925" s="89" t="n"/>
      <c r="AI925" s="316" t="inlineStr">
        <is>
          <t>La donnée est obligatoire</t>
        </is>
      </c>
      <c r="AJ925" s="317" t="inlineStr">
        <is>
          <t>The data is mandatory</t>
        </is>
      </c>
      <c r="AK925" s="257" t="n">
        <v>7</v>
      </c>
      <c r="AL925" s="335" t="inlineStr">
        <is>
          <t>TPG0001</t>
        </is>
      </c>
      <c r="AM925" s="318" t="inlineStr">
        <is>
          <t>Si elle est renseignée, la valeur doit être connue du Langage Commun associé</t>
        </is>
      </c>
      <c r="AN925" s="317" t="inlineStr">
        <is>
          <t>If specified, the value must be known to the associated Common Language</t>
        </is>
      </c>
      <c r="AO925" s="257" t="n">
        <v>7</v>
      </c>
      <c r="AP925" s="212" t="inlineStr">
        <is>
          <t>TIG0001</t>
        </is>
      </c>
      <c r="AQ925" s="452" t="inlineStr">
        <is>
          <t>Si renseignée, la donnée doit être égale à ‘NAT07' ou ‘NAT06'</t>
        </is>
      </c>
      <c r="AR925" s="377" t="inlineStr">
        <is>
          <t>If filled, the data must be ‘NAT07' or ‘NAT06'</t>
        </is>
      </c>
      <c r="AS925" s="257" t="n">
        <v>7</v>
      </c>
      <c r="AT925" s="366" t="inlineStr">
        <is>
          <t>TVS0737</t>
        </is>
      </c>
      <c r="AU925" s="398" t="n"/>
      <c r="AV925" s="317" t="n"/>
      <c r="AW925" s="257" t="n"/>
      <c r="AX925" s="793" t="n"/>
      <c r="AY925" s="318" t="n"/>
      <c r="AZ925" s="317" t="n"/>
      <c r="BA925" s="257" t="n"/>
      <c r="BB925" s="258" t="n"/>
      <c r="BC925" s="278" t="inlineStr">
        <is>
          <t>Si la combinaison de donnée n'est pas trouvée dans la matrice des règles de gestion C11, le contrôle doit se lever
---
Si la combinaison de donnée n'est pas trouvée dans la matrice des règles de gestion C26, le contrôle doit se lever
---
Si la combinaison de donnée n'est pas trouvée dans la matrice des règles de gestion C28, le contrôle doit se lever</t>
        </is>
      </c>
      <c r="BD925" s="160" t="inlineStr">
        <is>
          <t>If the data combinaison is not found in the C11 business rules matrix, the control must trigger
---
If the data combinaison is not found in the C26 business rules matrix, the control must trigger
---
If the data combinaison is not found in the C28 business rules matrix, the control must trigger</t>
        </is>
      </c>
      <c r="BE925" s="257" t="n">
        <v>6</v>
      </c>
      <c r="BF925" s="393" t="inlineStr">
        <is>
          <t>TC0C11
TC0C26
TC0C28</t>
        </is>
      </c>
      <c r="BG925" s="89" t="n"/>
      <c r="BH9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25">
        <f>_xlfn.LET(r,ROW(),oc,INDEX($A:$A,r),cv,TRIM(INDEX($Y:$Y,r)&amp;""),IF(oc&lt;&gt;"P1","",IF(cv="45","V45 - novo, nao alimentado pelo spool atual","V44 - alimentado pelo spool atual")))</f>
        <v/>
      </c>
    </row>
    <row r="926" ht="54" customFormat="1" customHeight="1" s="90">
      <c r="A926" s="306" t="inlineStr">
        <is>
          <t>P2</t>
        </is>
      </c>
      <c r="B926" s="307" t="n">
        <v>29</v>
      </c>
      <c r="C926" s="269" t="inlineStr">
        <is>
          <t>03 - Caractéristiques Générales</t>
        </is>
      </c>
      <c r="D926" s="310" t="inlineStr">
        <is>
          <t>03 - General characteristics</t>
        </is>
      </c>
      <c r="E926" s="307" t="inlineStr">
        <is>
          <t>P2 3.2</t>
        </is>
      </c>
      <c r="F926" s="308" t="inlineStr">
        <is>
          <t>Date de début de l'engagement</t>
        </is>
      </c>
      <c r="G926" s="309" t="inlineStr">
        <is>
          <t>Start date of commitment</t>
        </is>
      </c>
      <c r="H926" s="309" t="n"/>
      <c r="I926" s="241" t="inlineStr">
        <is>
          <t xml:space="preserve">Date de contractualisation </t>
        </is>
      </c>
      <c r="J926" s="309" t="inlineStr">
        <is>
          <t xml:space="preserve">Contract's inception date </t>
        </is>
      </c>
      <c r="K926" s="370" t="inlineStr">
        <is>
          <t>ND</t>
        </is>
      </c>
      <c r="L926" s="371" t="inlineStr">
        <is>
          <t>ND</t>
        </is>
      </c>
      <c r="M926" s="1420" t="inlineStr">
        <is>
          <t>dtDebEng</t>
        </is>
      </c>
      <c r="N926" s="231" t="inlineStr">
        <is>
          <t>Obligatoire</t>
        </is>
      </c>
      <c r="O926" s="310" t="inlineStr">
        <is>
          <t>Mandatory</t>
        </is>
      </c>
      <c r="P926" s="269" t="inlineStr">
        <is>
          <t>NA</t>
        </is>
      </c>
      <c r="Q926" s="269" t="inlineStr">
        <is>
          <t>NA</t>
        </is>
      </c>
      <c r="R926" s="241" t="inlineStr">
        <is>
          <t>Date de mise en place de l'engagement</t>
        </is>
      </c>
      <c r="S926" s="233" t="inlineStr">
        <is>
          <t>Date transaction was arranged</t>
        </is>
      </c>
      <c r="T926" s="206" t="inlineStr">
        <is>
          <t>DATE</t>
        </is>
      </c>
      <c r="U926" s="237" t="inlineStr">
        <is>
          <t>AAAAMMJJ</t>
        </is>
      </c>
      <c r="V926" s="238" t="inlineStr">
        <is>
          <t>YYYYMMDD</t>
        </is>
      </c>
      <c r="W926" s="257" t="n">
        <v>8</v>
      </c>
      <c r="X926" s="945" t="inlineStr">
        <is>
          <t>NA</t>
        </is>
      </c>
      <c r="Y926" s="237" t="n">
        <v>40</v>
      </c>
      <c r="Z926" s="237" t="inlineStr">
        <is>
          <t>NA</t>
        </is>
      </c>
      <c r="AA926" s="978" t="inlineStr">
        <is>
          <t>45.00</t>
        </is>
      </c>
      <c r="AB926" s="932" t="inlineStr">
        <is>
          <t>ANACREDIT, ASTRE, CALCULS PRUDENTIELS, CONGLOMERATS, DEI, ESG PILIER 3, LIQUIDITE, NPE, OMP, PALMA</t>
        </is>
      </c>
      <c r="AC926" s="231" t="inlineStr">
        <is>
          <t>ND</t>
        </is>
      </c>
      <c r="AD926" s="257" t="inlineStr">
        <is>
          <t>N</t>
        </is>
      </c>
      <c r="AE926" s="257" t="inlineStr">
        <is>
          <t>NA</t>
        </is>
      </c>
      <c r="AF926" s="257" t="inlineStr">
        <is>
          <t>NA</t>
        </is>
      </c>
      <c r="AG926" s="258" t="inlineStr">
        <is>
          <t>NA</t>
        </is>
      </c>
      <c r="AH926" s="89" t="n"/>
      <c r="AI926" s="316" t="inlineStr">
        <is>
          <t>La donnée est obligatoire</t>
        </is>
      </c>
      <c r="AJ926" s="317" t="inlineStr">
        <is>
          <t>The data is mandatory</t>
        </is>
      </c>
      <c r="AK926" s="257" t="n">
        <v>7</v>
      </c>
      <c r="AL926" s="335" t="inlineStr">
        <is>
          <t>TPG0001</t>
        </is>
      </c>
      <c r="AM926" s="318" t="n"/>
      <c r="AN926" s="317" t="n"/>
      <c r="AO926" s="257" t="n"/>
      <c r="AP926" s="258" t="n"/>
      <c r="AQ926" s="318" t="inlineStr">
        <is>
          <t>Si renseignée, la donnée doit être supérieure ou égale à '19000101'</t>
        </is>
      </c>
      <c r="AR926" s="317" t="inlineStr">
        <is>
          <t>If filled, data must be greater or equal to '19000101'</t>
        </is>
      </c>
      <c r="AS926" s="257" t="n">
        <v>7</v>
      </c>
      <c r="AT926" s="258" t="inlineStr">
        <is>
          <t>TVG0005</t>
        </is>
      </c>
      <c r="AU926" s="318" t="inlineStr">
        <is>
          <t>La donnée doit être inférieure ou égale à la date d'arrêté
---
La Date de début de l'engagement [P2 3.2] doit être &lt; Date de fin de l'engagement [P2 3.4]</t>
        </is>
      </c>
      <c r="AV926" s="317" t="inlineStr">
        <is>
          <t>Data must be lower or equal than closing date
---
The Start date of commitment [P2 3.2] must be &lt; End date of commitment [P2 3.4]</t>
        </is>
      </c>
      <c r="AW926" s="257" t="n">
        <v>7</v>
      </c>
      <c r="AX926" s="794" t="inlineStr">
        <is>
          <t>TCG0004
TCS0744</t>
        </is>
      </c>
      <c r="AY926" s="318" t="n"/>
      <c r="AZ926" s="317" t="n"/>
      <c r="BA926" s="257" t="n"/>
      <c r="BB926" s="258" t="n"/>
      <c r="BC926" s="316" t="n"/>
      <c r="BD926" s="317" t="n"/>
      <c r="BE926" s="257" t="n"/>
      <c r="BF926" s="258" t="n"/>
      <c r="BG926" s="89" t="n"/>
      <c r="BH9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26">
        <f>_xlfn.LET(r,ROW(),oc,INDEX($A:$A,r),cv,TRIM(INDEX($Y:$Y,r)&amp;""),IF(oc&lt;&gt;"P1","",IF(cv="45","V45 - novo, nao alimentado pelo spool atual","V44 - alimentado pelo spool atual")))</f>
        <v/>
      </c>
    </row>
    <row r="927" ht="54" customFormat="1" customHeight="1" s="90">
      <c r="A927" s="306" t="inlineStr">
        <is>
          <t>P2</t>
        </is>
      </c>
      <c r="B927" s="307" t="n">
        <v>30</v>
      </c>
      <c r="C927" s="269" t="inlineStr">
        <is>
          <t>03 - Caractéristiques Générales</t>
        </is>
      </c>
      <c r="D927" s="310" t="inlineStr">
        <is>
          <t>03 - General characteristics</t>
        </is>
      </c>
      <c r="E927" s="307" t="inlineStr">
        <is>
          <t>P2 3.4</t>
        </is>
      </c>
      <c r="F927" s="357" t="inlineStr">
        <is>
          <t>Date de fin de l'engagement</t>
        </is>
      </c>
      <c r="G927" s="309" t="inlineStr">
        <is>
          <t>End date of commitment</t>
        </is>
      </c>
      <c r="H927" s="309" t="n"/>
      <c r="I927" s="241" t="inlineStr">
        <is>
          <t>Date contractuelle d'échéance</t>
        </is>
      </c>
      <c r="J927" s="309" t="inlineStr">
        <is>
          <t>Contractual due date</t>
        </is>
      </c>
      <c r="K927" s="370" t="inlineStr">
        <is>
          <t>ND</t>
        </is>
      </c>
      <c r="L927" s="371" t="inlineStr">
        <is>
          <t>ND</t>
        </is>
      </c>
      <c r="M927" s="1420" t="inlineStr">
        <is>
          <t>dtFinEng</t>
        </is>
      </c>
      <c r="N927" s="231" t="inlineStr">
        <is>
          <t>Obligatoire</t>
        </is>
      </c>
      <c r="O927" s="310" t="inlineStr">
        <is>
          <t>Mandatory</t>
        </is>
      </c>
      <c r="P927" s="269" t="inlineStr">
        <is>
          <t>NA</t>
        </is>
      </c>
      <c r="Q927" s="269" t="inlineStr">
        <is>
          <t>NA</t>
        </is>
      </c>
      <c r="R927" s="241" t="inlineStr">
        <is>
          <t>Date d'échéance de l'engagement</t>
        </is>
      </c>
      <c r="S927" s="233" t="inlineStr">
        <is>
          <t>Due date of transaction</t>
        </is>
      </c>
      <c r="T927" s="206" t="inlineStr">
        <is>
          <t>DATE</t>
        </is>
      </c>
      <c r="U927" s="237" t="inlineStr">
        <is>
          <t>AAAAMMJJ</t>
        </is>
      </c>
      <c r="V927" s="238" t="inlineStr">
        <is>
          <t>YYYYMMDD</t>
        </is>
      </c>
      <c r="W927" s="257" t="n">
        <v>8</v>
      </c>
      <c r="X927" s="945" t="inlineStr">
        <is>
          <t>NA</t>
        </is>
      </c>
      <c r="Y927" s="237" t="n">
        <v>40</v>
      </c>
      <c r="Z927" s="237" t="inlineStr">
        <is>
          <t>NA</t>
        </is>
      </c>
      <c r="AA927" s="270" t="inlineStr">
        <is>
          <t>45.00</t>
        </is>
      </c>
      <c r="AB927" s="932" t="inlineStr">
        <is>
          <t>ANACREDIT, ASTRE, CALCULS PRUDENTIELS, CONGLOMERATS, DEI, ESG PILIER 3, GRR, LIQUIDITE, NPE, OMP, PALMA, SRB VALUATION</t>
        </is>
      </c>
      <c r="AC927" s="231" t="inlineStr">
        <is>
          <t>ND</t>
        </is>
      </c>
      <c r="AD927" s="257" t="inlineStr">
        <is>
          <t>N</t>
        </is>
      </c>
      <c r="AE927" s="257" t="inlineStr">
        <is>
          <t>NA</t>
        </is>
      </c>
      <c r="AF927" s="257" t="inlineStr">
        <is>
          <t>NA</t>
        </is>
      </c>
      <c r="AG927" s="258" t="inlineStr">
        <is>
          <t>NA</t>
        </is>
      </c>
      <c r="AH927" s="89" t="n"/>
      <c r="AI927" s="316" t="inlineStr">
        <is>
          <t>La donnée est obligatoire</t>
        </is>
      </c>
      <c r="AJ927" s="317" t="inlineStr">
        <is>
          <t>The data is mandatory</t>
        </is>
      </c>
      <c r="AK927" s="257" t="n">
        <v>7</v>
      </c>
      <c r="AL927" s="335" t="inlineStr">
        <is>
          <t>TPG0001</t>
        </is>
      </c>
      <c r="AM927" s="318" t="n"/>
      <c r="AN927" s="317" t="n"/>
      <c r="AO927" s="257" t="n"/>
      <c r="AP927" s="258" t="n"/>
      <c r="AQ927" s="362" t="inlineStr">
        <is>
          <t>Si la donnée est renseignée et si l'année de la date est égale à '9999', alors la donnée doit être égale à '99990630'</t>
        </is>
      </c>
      <c r="AR927" s="317" t="inlineStr">
        <is>
          <t>If filled, and if the year of the date = '9999', then the data must be equal to '99990630'</t>
        </is>
      </c>
      <c r="AS927" s="257" t="n">
        <v>7</v>
      </c>
      <c r="AT927" s="359" t="inlineStr">
        <is>
          <t>TVG0008</t>
        </is>
      </c>
      <c r="AU927" s="318" t="inlineStr">
        <is>
          <t>La donnée doit être supérieure ou égale à la date d'arrêté</t>
        </is>
      </c>
      <c r="AV927" s="317" t="inlineStr">
        <is>
          <t>Data must be greater or equal than closing date</t>
        </is>
      </c>
      <c r="AW927" s="257" t="n">
        <v>7</v>
      </c>
      <c r="AX927" s="345" t="inlineStr">
        <is>
          <t>TCG0002</t>
        </is>
      </c>
      <c r="AY927" s="318" t="n"/>
      <c r="AZ927" s="317" t="n"/>
      <c r="BA927" s="257" t="n"/>
      <c r="BB927" s="258" t="n"/>
      <c r="BC927" s="316" t="n"/>
      <c r="BD927" s="317" t="n"/>
      <c r="BE927" s="257" t="n"/>
      <c r="BF927" s="258" t="n"/>
      <c r="BG927" s="89" t="n"/>
      <c r="BH9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27">
        <f>_xlfn.LET(r,ROW(),oc,INDEX($A:$A,r),cv,TRIM(INDEX($Y:$Y,r)&amp;""),IF(oc&lt;&gt;"P1","",IF(cv="45","V45 - novo, nao alimentado pelo spool atual","V44 - alimentado pelo spool atual")))</f>
        <v/>
      </c>
    </row>
    <row r="928" ht="54" customFormat="1" customHeight="1" s="90">
      <c r="A928" s="306" t="inlineStr">
        <is>
          <t>P2</t>
        </is>
      </c>
      <c r="B928" s="307" t="n">
        <v>31</v>
      </c>
      <c r="C928" s="269" t="inlineStr">
        <is>
          <t>31 - Paramètres bâlois</t>
        </is>
      </c>
      <c r="D928" s="310" t="inlineStr">
        <is>
          <t>31 - Basel settings</t>
        </is>
      </c>
      <c r="E928" s="307" t="inlineStr">
        <is>
          <t>P2 16.6</t>
        </is>
      </c>
      <c r="F928" s="308" t="inlineStr">
        <is>
          <t>Pondération Bâloise de l'engagement (%)</t>
        </is>
      </c>
      <c r="G928" s="309" t="inlineStr">
        <is>
          <t>Basel weighting of commitment (%)</t>
        </is>
      </c>
      <c r="H928" s="309" t="n"/>
      <c r="I928" s="431" t="inlineStr">
        <is>
          <t>Pondération Bâloise</t>
        </is>
      </c>
      <c r="J928" s="233" t="inlineStr">
        <is>
          <t>Basel weighting</t>
        </is>
      </c>
      <c r="K928" s="269" t="inlineStr">
        <is>
          <t>ND</t>
        </is>
      </c>
      <c r="L928" s="310" t="inlineStr">
        <is>
          <t>ND</t>
        </is>
      </c>
      <c r="M928" s="1420" t="inlineStr">
        <is>
          <t>txPondeBal</t>
        </is>
      </c>
      <c r="N928" s="231" t="inlineStr">
        <is>
          <t>Obligatoire sous conditions</t>
        </is>
      </c>
      <c r="O928" s="310" t="inlineStr">
        <is>
          <t>Mandatory under conditions</t>
        </is>
      </c>
      <c r="P928" s="269" t="inlineStr">
        <is>
          <t>NA</t>
        </is>
      </c>
      <c r="Q928" s="269" t="inlineStr">
        <is>
          <t>NA</t>
        </is>
      </c>
      <c r="R928" s="431" t="inlineStr">
        <is>
          <t>Ce champ sera utilisé : 
- pour les calculs IRB et STD des emplois pondérés des expositions de titrisation
- pour les calculs IRBA Corporate lorsque l'exposition est en défaut et que le champ ELBE n'est pas disponible</t>
        </is>
      </c>
      <c r="S928" s="233" t="inlineStr">
        <is>
          <t>This field will be used:
- for IRB and STD calculations of weighted uses of securitization exposures
- for IRBA Corporate calculations when the exposure is in default and the ELBE field is not available</t>
        </is>
      </c>
      <c r="T928" s="313" t="inlineStr">
        <is>
          <t>NUM</t>
        </is>
      </c>
      <c r="U928" s="237" t="inlineStr">
        <is>
          <t>10 dont signe et 5 décimales</t>
        </is>
      </c>
      <c r="V928" s="238" t="inlineStr">
        <is>
          <t>10 including sign and 5 decimals</t>
        </is>
      </c>
      <c r="W928" s="257" t="n">
        <v>10</v>
      </c>
      <c r="X928" s="945" t="inlineStr">
        <is>
          <t>NA</t>
        </is>
      </c>
      <c r="Y928" s="237" t="n">
        <v>40</v>
      </c>
      <c r="Z928" s="237" t="inlineStr">
        <is>
          <t>NA</t>
        </is>
      </c>
      <c r="AA928" s="270" t="inlineStr">
        <is>
          <t>NA</t>
        </is>
      </c>
      <c r="AB928" s="1286" t="inlineStr">
        <is>
          <t>CALCULS PRUDENTIELS</t>
        </is>
      </c>
      <c r="AC928" s="231" t="inlineStr">
        <is>
          <t>ND</t>
        </is>
      </c>
      <c r="AD928" s="257" t="inlineStr">
        <is>
          <t>N</t>
        </is>
      </c>
      <c r="AE928" s="257" t="inlineStr">
        <is>
          <t>NA</t>
        </is>
      </c>
      <c r="AF928" s="257" t="inlineStr">
        <is>
          <t>NA</t>
        </is>
      </c>
      <c r="AG928" s="258" t="inlineStr">
        <is>
          <t>NA</t>
        </is>
      </c>
      <c r="AH928" s="89" t="n"/>
      <c r="AI928" s="453" t="inlineStr">
        <is>
          <t xml:space="preserve">La donnée est obligatoire si le Portefeuille Bâle Opération [P2 2.18] = ‘070' </t>
        </is>
      </c>
      <c r="AJ928" s="317" t="inlineStr">
        <is>
          <t xml:space="preserve">The data is mandatory if Basel Transaction Portfolio [P2 2.18] = ‘070' </t>
        </is>
      </c>
      <c r="AK928" s="257" t="n">
        <v>6</v>
      </c>
      <c r="AL928" s="335" t="inlineStr">
        <is>
          <t>TPS1701</t>
        </is>
      </c>
      <c r="AM928" s="318" t="n"/>
      <c r="AN928" s="317" t="n"/>
      <c r="AO928" s="257" t="n"/>
      <c r="AP928" s="258" t="n"/>
      <c r="AQ928" s="318" t="inlineStr">
        <is>
          <t>Si renseignée, la donnée doit être positive (supérieure ou égale à 0)</t>
        </is>
      </c>
      <c r="AR928" s="317" t="inlineStr">
        <is>
          <t xml:space="preserve">If filled, data must be positive (greater or equal to 0) </t>
        </is>
      </c>
      <c r="AS928" s="257" t="n">
        <v>7</v>
      </c>
      <c r="AT928" s="345" t="inlineStr">
        <is>
          <t>TVG0001</t>
        </is>
      </c>
      <c r="AU928" s="318" t="n"/>
      <c r="AV928" s="317" t="n"/>
      <c r="AW928" s="257" t="n"/>
      <c r="AX928" s="258" t="n"/>
      <c r="AY928" s="318" t="n"/>
      <c r="AZ928" s="317" t="n"/>
      <c r="BA928" s="257" t="n"/>
      <c r="BB928" s="258" t="n"/>
      <c r="BC928" s="316" t="n"/>
      <c r="BD928" s="317" t="n"/>
      <c r="BE928" s="257" t="n"/>
      <c r="BF928" s="258" t="n"/>
      <c r="BG928" s="89" t="n"/>
      <c r="BH9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28">
        <f>_xlfn.LET(r,ROW(),oc,INDEX($A:$A,r),cv,TRIM(INDEX($Y:$Y,r)&amp;""),IF(oc&lt;&gt;"P1","",IF(cv="45","V45 - novo, nao alimentado pelo spool atual","V44 - alimentado pelo spool atual")))</f>
        <v/>
      </c>
    </row>
    <row r="929" ht="54" customFormat="1" customHeight="1" s="90">
      <c r="A929" s="306" t="inlineStr">
        <is>
          <t>P2</t>
        </is>
      </c>
      <c r="B929" s="307" t="n">
        <v>32</v>
      </c>
      <c r="C929" s="269" t="inlineStr">
        <is>
          <t>31 - Paramètres bâlois</t>
        </is>
      </c>
      <c r="D929" s="310" t="inlineStr">
        <is>
          <t>31 - Basel settings</t>
        </is>
      </c>
      <c r="E929" s="307" t="inlineStr">
        <is>
          <t>P2 18.1</t>
        </is>
      </c>
      <c r="F929" s="308" t="inlineStr">
        <is>
          <t>Loss Given Default (LGD)</t>
        </is>
      </c>
      <c r="G929" s="309" t="inlineStr">
        <is>
          <t>Loss Given Default (LGD)</t>
        </is>
      </c>
      <c r="H929" s="309" t="n"/>
      <c r="I929" s="241" t="inlineStr">
        <is>
          <t>LGD calculé par l'entité</t>
        </is>
      </c>
      <c r="J929" s="309" t="inlineStr">
        <is>
          <t>LGD calculated by the entity</t>
        </is>
      </c>
      <c r="K929" s="370" t="inlineStr">
        <is>
          <t>ND</t>
        </is>
      </c>
      <c r="L929" s="371" t="inlineStr">
        <is>
          <t>ND</t>
        </is>
      </c>
      <c r="M929" s="1420" t="inlineStr">
        <is>
          <t>txLGD</t>
        </is>
      </c>
      <c r="N929" s="231" t="inlineStr">
        <is>
          <t>Obligatoire sous conditions</t>
        </is>
      </c>
      <c r="O929" s="310" t="inlineStr">
        <is>
          <t>Mandatory under conditions</t>
        </is>
      </c>
      <c r="P929" s="269" t="inlineStr">
        <is>
          <t>NA</t>
        </is>
      </c>
      <c r="Q929" s="269" t="inlineStr">
        <is>
          <t>NA</t>
        </is>
      </c>
      <c r="R929" s="241" t="inlineStr">
        <is>
          <t>Exprimée en %.
A renseigner uniquement pour les financements spécialisés en IRB A</t>
        </is>
      </c>
      <c r="S929" s="233" t="inlineStr">
        <is>
          <t>Expressed as %
Only to be filled in for specialised financing under A IRB</t>
        </is>
      </c>
      <c r="T929" s="313" t="inlineStr">
        <is>
          <t>NUM</t>
        </is>
      </c>
      <c r="U929" s="237" t="inlineStr">
        <is>
          <t>10 dont signe et 5 décimales</t>
        </is>
      </c>
      <c r="V929" s="238" t="inlineStr">
        <is>
          <t>10 including sign and 5 decimals</t>
        </is>
      </c>
      <c r="W929" s="257" t="n">
        <v>10</v>
      </c>
      <c r="X929" s="945" t="inlineStr">
        <is>
          <t>NA</t>
        </is>
      </c>
      <c r="Y929" s="237" t="n">
        <v>40</v>
      </c>
      <c r="Z929" s="237" t="inlineStr">
        <is>
          <t>NA</t>
        </is>
      </c>
      <c r="AA929" s="270" t="inlineStr">
        <is>
          <t>NA</t>
        </is>
      </c>
      <c r="AB929" s="1286" t="inlineStr">
        <is>
          <t>CALCULS PRUDENTIELS</t>
        </is>
      </c>
      <c r="AC929" s="231" t="inlineStr">
        <is>
          <t>ND</t>
        </is>
      </c>
      <c r="AD929" s="257" t="inlineStr">
        <is>
          <t>N</t>
        </is>
      </c>
      <c r="AE929" s="257" t="inlineStr">
        <is>
          <t>NA</t>
        </is>
      </c>
      <c r="AF929" s="257" t="inlineStr">
        <is>
          <t>NA</t>
        </is>
      </c>
      <c r="AG929" s="258" t="inlineStr">
        <is>
          <t>NA</t>
        </is>
      </c>
      <c r="AH929" s="89" t="n"/>
      <c r="AI929" s="323" t="inlineStr">
        <is>
          <t>La donnée est obligatoire, si le type de risque [P2 2.0] = ‘TRE2xx' à 'TRE5xx' hors (TRE203, TRE205, TRE206, TRE207), 'SIGxxx' ET si la Méthodologie Bâloise [P2 1.1] = ‘IRB A' ET si le Portefeuille Bâlois - Opération [P2 2.18] = '06x'</t>
        </is>
      </c>
      <c r="AJ929" s="317" t="inlineStr">
        <is>
          <t>The data is mandatory, if Risk type [P2 2.0] = ‘TRE2xx' to 'TRE5xx' except (TRE203, TRE205, TRE206, TRE207), 'SIGxxx' AND if the Basel methodology [P2 1.1] = ‘IRB A' AND if the Basel Transaction Portfolio [P2 2.18] = '06x'</t>
        </is>
      </c>
      <c r="AK929" s="257" t="n">
        <v>6</v>
      </c>
      <c r="AL929" s="366" t="inlineStr">
        <is>
          <t>TPS1702</t>
        </is>
      </c>
      <c r="AM929" s="318" t="n"/>
      <c r="AN929" s="317" t="n"/>
      <c r="AO929" s="257" t="n"/>
      <c r="AP929" s="258" t="n"/>
      <c r="AQ929" s="436" t="inlineStr">
        <is>
          <t>Si renseignée, la donnée doit être comprise entre '0' et '150'</t>
        </is>
      </c>
      <c r="AR929" s="317" t="inlineStr">
        <is>
          <t>If filled, data must be between '0' and '150'</t>
        </is>
      </c>
      <c r="AS929" s="257" t="n">
        <v>7</v>
      </c>
      <c r="AT929" s="366" t="inlineStr">
        <is>
          <t>TVG0007</t>
        </is>
      </c>
      <c r="AU929" s="318" t="n"/>
      <c r="AV929" s="317" t="n"/>
      <c r="AW929" s="257" t="n"/>
      <c r="AX929" s="258" t="n"/>
      <c r="AY929" s="318" t="n"/>
      <c r="AZ929" s="317" t="n"/>
      <c r="BA929" s="257" t="n"/>
      <c r="BB929" s="258" t="n"/>
      <c r="BC929" s="316" t="n"/>
      <c r="BD929" s="317" t="n"/>
      <c r="BE929" s="257" t="n"/>
      <c r="BF929" s="258" t="n"/>
      <c r="BG929" s="89" t="n"/>
      <c r="BH9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29">
        <f>_xlfn.LET(r,ROW(),oc,INDEX($A:$A,r),cv,TRIM(INDEX($Y:$Y,r)&amp;""),IF(oc&lt;&gt;"P1","",IF(cv="45","V45 - novo, nao alimentado pelo spool atual","V44 - alimentado pelo spool atual")))</f>
        <v/>
      </c>
    </row>
    <row r="930" ht="54" customFormat="1" customHeight="1" s="90">
      <c r="A930" s="306" t="inlineStr">
        <is>
          <t>P2</t>
        </is>
      </c>
      <c r="B930" s="307" t="n">
        <v>33</v>
      </c>
      <c r="C930" s="269" t="inlineStr">
        <is>
          <t>31 - Paramètres bâlois</t>
        </is>
      </c>
      <c r="D930" s="310" t="inlineStr">
        <is>
          <t>31 - Basel settings</t>
        </is>
      </c>
      <c r="E930" s="307" t="inlineStr">
        <is>
          <t>P2 18.10</t>
        </is>
      </c>
      <c r="F930" s="308" t="inlineStr">
        <is>
          <t>Crédit Conversion Factor (CCF)</t>
        </is>
      </c>
      <c r="G930" s="309" t="inlineStr">
        <is>
          <t>Credit Conversion Factor (CCF)</t>
        </is>
      </c>
      <c r="H930" s="309" t="n"/>
      <c r="I930" s="241" t="inlineStr">
        <is>
          <t>Crédit Conversion Factor (CCF)
Exprimé en %</t>
        </is>
      </c>
      <c r="J930" s="309" t="inlineStr">
        <is>
          <t>Integer portion of the CCF
Expressed as %</t>
        </is>
      </c>
      <c r="K930" s="370" t="inlineStr">
        <is>
          <t>ND</t>
        </is>
      </c>
      <c r="L930" s="371" t="inlineStr">
        <is>
          <t>ND</t>
        </is>
      </c>
      <c r="M930" s="1420" t="inlineStr">
        <is>
          <t>txCCF</t>
        </is>
      </c>
      <c r="N930" s="438" t="inlineStr">
        <is>
          <t>Obligatoire (SC)</t>
        </is>
      </c>
      <c r="O930" s="310" t="inlineStr">
        <is>
          <t>Mandatory (SC)</t>
        </is>
      </c>
      <c r="P930" s="269" t="inlineStr">
        <is>
          <t>NA</t>
        </is>
      </c>
      <c r="Q930" s="269" t="inlineStr">
        <is>
          <t>NA</t>
        </is>
      </c>
      <c r="R930" s="241" t="inlineStr">
        <is>
          <t>A renseigner uniquement en IRB A</t>
        </is>
      </c>
      <c r="S930" s="233" t="inlineStr">
        <is>
          <t>To be filled in only in IRB A</t>
        </is>
      </c>
      <c r="T930" s="313" t="inlineStr">
        <is>
          <t>NUM</t>
        </is>
      </c>
      <c r="U930" s="237" t="inlineStr">
        <is>
          <t>10 dont signe et 5 décimales</t>
        </is>
      </c>
      <c r="V930" s="238" t="inlineStr">
        <is>
          <t>10 including sign and 5 decimals</t>
        </is>
      </c>
      <c r="W930" s="257" t="n">
        <v>10</v>
      </c>
      <c r="X930" s="945" t="inlineStr">
        <is>
          <t>NA</t>
        </is>
      </c>
      <c r="Y930" s="237" t="n">
        <v>40</v>
      </c>
      <c r="Z930" s="237" t="inlineStr">
        <is>
          <t>NA</t>
        </is>
      </c>
      <c r="AA930" s="270" t="inlineStr">
        <is>
          <t>NA</t>
        </is>
      </c>
      <c r="AB930" s="1286" t="inlineStr">
        <is>
          <t>CALCULS PRUDENTIELS</t>
        </is>
      </c>
      <c r="AC930" s="231" t="inlineStr">
        <is>
          <t>ND</t>
        </is>
      </c>
      <c r="AD930" s="257" t="inlineStr">
        <is>
          <t>N</t>
        </is>
      </c>
      <c r="AE930" s="257" t="inlineStr">
        <is>
          <t>NA</t>
        </is>
      </c>
      <c r="AF930" s="257" t="inlineStr">
        <is>
          <t>NA</t>
        </is>
      </c>
      <c r="AG930" s="258" t="inlineStr">
        <is>
          <t>NA</t>
        </is>
      </c>
      <c r="AH930" s="89" t="n"/>
      <c r="AI930" s="439" t="n"/>
      <c r="AJ930" s="317" t="n"/>
      <c r="AK930" s="257" t="n"/>
      <c r="AL930" s="473" t="n"/>
      <c r="AM930" s="318" t="n"/>
      <c r="AN930" s="317" t="n"/>
      <c r="AO930" s="257" t="n"/>
      <c r="AP930" s="258" t="n"/>
      <c r="AQ930" s="441" t="inlineStr">
        <is>
          <t>Si renseignée, la donnée doit être positive (supérieure ou égale à 0)</t>
        </is>
      </c>
      <c r="AR930" s="377" t="inlineStr">
        <is>
          <t xml:space="preserve">If filled, data must be positive (greater or equal to 0) </t>
        </is>
      </c>
      <c r="AS930" s="442" t="n">
        <v>7</v>
      </c>
      <c r="AT930" s="443" t="inlineStr">
        <is>
          <t>TVG0001</t>
        </is>
      </c>
      <c r="AU930" s="318" t="n"/>
      <c r="AV930" s="317" t="n"/>
      <c r="AW930" s="257" t="n"/>
      <c r="AX930" s="258" t="n"/>
      <c r="AY930" s="318" t="n"/>
      <c r="AZ930" s="317" t="n"/>
      <c r="BA930" s="257" t="n"/>
      <c r="BB930" s="258" t="n"/>
      <c r="BC930" s="316" t="n"/>
      <c r="BD930" s="317" t="n"/>
      <c r="BE930" s="257" t="n"/>
      <c r="BF930" s="258" t="n"/>
      <c r="BG930" s="89" t="n"/>
      <c r="BH9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30">
        <f>_xlfn.LET(r,ROW(),oc,INDEX($A:$A,r),cv,TRIM(INDEX($Y:$Y,r)&amp;""),IF(oc&lt;&gt;"P1","",IF(cv="45","V45 - novo, nao alimentado pelo spool atual","V44 - alimentado pelo spool atual")))</f>
        <v/>
      </c>
    </row>
    <row r="931" ht="54" customFormat="1" customHeight="1" s="90">
      <c r="A931" s="306" t="inlineStr">
        <is>
          <t>P2</t>
        </is>
      </c>
      <c r="B931" s="307" t="n">
        <v>34</v>
      </c>
      <c r="C931" s="269" t="inlineStr">
        <is>
          <t>31 - Paramètres bâlois</t>
        </is>
      </c>
      <c r="D931" s="310" t="inlineStr">
        <is>
          <t>31 - Basel settings</t>
        </is>
      </c>
      <c r="E931" s="307" t="inlineStr">
        <is>
          <t>P2 18.5</t>
        </is>
      </c>
      <c r="F931" s="278" t="inlineStr">
        <is>
          <t>Montant de l'Exposition en cas de Défaut (EAD)</t>
        </is>
      </c>
      <c r="G931" s="160" t="inlineStr">
        <is>
          <t>Exposure At Default (EAD) amount</t>
        </is>
      </c>
      <c r="H931" s="160" t="n"/>
      <c r="I931" s="278" t="inlineStr">
        <is>
          <t>Montant de l'Exposition en cas de Défaut (EAD)</t>
        </is>
      </c>
      <c r="J931" s="160" t="inlineStr">
        <is>
          <t>Exposure At Default (EAD) amount</t>
        </is>
      </c>
      <c r="K931" s="370" t="inlineStr">
        <is>
          <t>ND</t>
        </is>
      </c>
      <c r="L931" s="371" t="inlineStr">
        <is>
          <t>ND</t>
        </is>
      </c>
      <c r="M931" s="1420" t="inlineStr">
        <is>
          <t>mtEAD</t>
        </is>
      </c>
      <c r="N931" s="231" t="inlineStr">
        <is>
          <t>Obligatoire sous conditions</t>
        </is>
      </c>
      <c r="O931" s="284" t="inlineStr">
        <is>
          <t>Mandatory under conditions</t>
        </is>
      </c>
      <c r="P931" s="269" t="inlineStr">
        <is>
          <t>NA</t>
        </is>
      </c>
      <c r="Q931" s="269" t="inlineStr">
        <is>
          <t>NA</t>
        </is>
      </c>
      <c r="R931" s="241" t="inlineStr">
        <is>
          <t>Obligatoire pour la titrisation</t>
        </is>
      </c>
      <c r="S931" s="233" t="inlineStr">
        <is>
          <t>Mandatory for securitisation</t>
        </is>
      </c>
      <c r="T931" s="313" t="inlineStr">
        <is>
          <t>NUM</t>
        </is>
      </c>
      <c r="U931" s="237" t="inlineStr">
        <is>
          <t>19 dont signe et 2 décimales</t>
        </is>
      </c>
      <c r="V931" s="238" t="inlineStr">
        <is>
          <t>19 including sign and 2 decimals</t>
        </is>
      </c>
      <c r="W931" s="257" t="n">
        <v>19</v>
      </c>
      <c r="X931" s="945" t="inlineStr">
        <is>
          <t>NA</t>
        </is>
      </c>
      <c r="Y931" s="237" t="n">
        <v>40</v>
      </c>
      <c r="Z931" s="237" t="inlineStr">
        <is>
          <t>NA</t>
        </is>
      </c>
      <c r="AA931" s="270" t="inlineStr">
        <is>
          <t>NA</t>
        </is>
      </c>
      <c r="AB931" s="994" t="inlineStr">
        <is>
          <t>ASTRE, CALCULS PRUDENTIELS</t>
        </is>
      </c>
      <c r="AC931" s="231" t="inlineStr">
        <is>
          <t>ND</t>
        </is>
      </c>
      <c r="AD931" s="257" t="inlineStr">
        <is>
          <t>N</t>
        </is>
      </c>
      <c r="AE931" s="257" t="inlineStr">
        <is>
          <t>NA</t>
        </is>
      </c>
      <c r="AF931" s="257" t="inlineStr">
        <is>
          <t>NA</t>
        </is>
      </c>
      <c r="AG931" s="258" t="inlineStr">
        <is>
          <t>NA</t>
        </is>
      </c>
      <c r="AH931" s="89" t="n"/>
      <c r="AI931" s="444" t="inlineStr">
        <is>
          <t>La donnée est obligatoire, si le type de risque [P2 2.0] = 'TRE2xx' à 'TRE4xx' hors (TRE203, TRE205, TRE206, TRE207), 'SIGxxx' et si le Portefeuille Bâle Opération [P2 2.18] = ‘070'</t>
        </is>
      </c>
      <c r="AJ931" s="317" t="inlineStr">
        <is>
          <t>The data is mandatory, if Risk type [P2 2.0] = 'TRE2xx' to 'TRE4xx' except (TRE203, TRE205, TRE206, TRE207), 'SIGxxx' and the Basel Transaction Portfolio [P2 2.18] = ‘070'</t>
        </is>
      </c>
      <c r="AK931" s="257" t="n">
        <v>6</v>
      </c>
      <c r="AL931" s="366" t="inlineStr">
        <is>
          <t>TPS1703</t>
        </is>
      </c>
      <c r="AM931" s="318" t="n"/>
      <c r="AN931" s="317" t="n"/>
      <c r="AO931" s="257" t="n"/>
      <c r="AP931" s="258" t="n"/>
      <c r="AQ931" s="322" t="inlineStr">
        <is>
          <t>Si renseignée, la donnée doit être positive (supérieure ou égale à 0)</t>
        </is>
      </c>
      <c r="AR931" s="317" t="inlineStr">
        <is>
          <t xml:space="preserve">If filled, data must be positive (greater or equal to 0) </t>
        </is>
      </c>
      <c r="AS931" s="257" t="n">
        <v>7</v>
      </c>
      <c r="AT931" s="345" t="inlineStr">
        <is>
          <t>TVG0001</t>
        </is>
      </c>
      <c r="AU931" s="318" t="n"/>
      <c r="AV931" s="317" t="n"/>
      <c r="AW931" s="257" t="n"/>
      <c r="AX931" s="258" t="n"/>
      <c r="AY931" s="318" t="n"/>
      <c r="AZ931" s="317" t="n"/>
      <c r="BA931" s="257" t="n"/>
      <c r="BB931" s="258" t="n"/>
      <c r="BC931" s="316" t="n"/>
      <c r="BD931" s="317" t="n"/>
      <c r="BE931" s="257" t="n"/>
      <c r="BF931" s="258" t="n"/>
      <c r="BG931" s="89" t="n"/>
      <c r="BH9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31">
        <f>_xlfn.LET(r,ROW(),oc,INDEX($A:$A,r),cv,TRIM(INDEX($Y:$Y,r)&amp;""),IF(oc&lt;&gt;"P1","",IF(cv="45","V45 - novo, nao alimentado pelo spool atual","V44 - alimentado pelo spool atual")))</f>
        <v/>
      </c>
    </row>
    <row r="932" ht="54" customFormat="1" customHeight="1" s="90">
      <c r="A932" s="306" t="inlineStr">
        <is>
          <t>P2</t>
        </is>
      </c>
      <c r="B932" s="307" t="n">
        <v>35</v>
      </c>
      <c r="C932" s="269" t="inlineStr">
        <is>
          <t>31 - Paramètres bâlois</t>
        </is>
      </c>
      <c r="D932" s="310" t="inlineStr">
        <is>
          <t>31 - Basel settings</t>
        </is>
      </c>
      <c r="E932" s="307" t="inlineStr">
        <is>
          <t>P2 18.6</t>
        </is>
      </c>
      <c r="F932" s="278" t="inlineStr">
        <is>
          <t>Devise du montant de l'Exposition en cas de Défaut (EAD)</t>
        </is>
      </c>
      <c r="G932" s="160" t="inlineStr">
        <is>
          <t>Exposure At Default (EAD) amount's currency</t>
        </is>
      </c>
      <c r="H932" s="160" t="n"/>
      <c r="I932" s="278" t="inlineStr">
        <is>
          <t>Devise du montant de l'Exposition en cas de Défaut (EAD)</t>
        </is>
      </c>
      <c r="J932" s="160" t="inlineStr">
        <is>
          <t>Exposure At Default (EAD) amount's currency</t>
        </is>
      </c>
      <c r="K932" s="370" t="inlineStr">
        <is>
          <t>ND</t>
        </is>
      </c>
      <c r="L932" s="371" t="inlineStr">
        <is>
          <t>ND</t>
        </is>
      </c>
      <c r="M932" s="1420" t="inlineStr">
        <is>
          <t>cdDevMtEAD</t>
        </is>
      </c>
      <c r="N932" s="231" t="inlineStr">
        <is>
          <t>Obligatoire sous conditions</t>
        </is>
      </c>
      <c r="O932" s="284" t="inlineStr">
        <is>
          <t>Mandatory under conditions</t>
        </is>
      </c>
      <c r="P932" s="269" t="inlineStr">
        <is>
          <t>LC.0005</t>
        </is>
      </c>
      <c r="Q932" s="269" t="inlineStr">
        <is>
          <t>TA NM253</t>
        </is>
      </c>
      <c r="R932" s="241" t="inlineStr">
        <is>
          <t>NA</t>
        </is>
      </c>
      <c r="S932" s="233" t="inlineStr">
        <is>
          <t>NA</t>
        </is>
      </c>
      <c r="T932" s="313" t="inlineStr">
        <is>
          <t>ALPHA</t>
        </is>
      </c>
      <c r="U932" s="237" t="inlineStr">
        <is>
          <t>NA</t>
        </is>
      </c>
      <c r="V932" s="238" t="inlineStr">
        <is>
          <t>NA</t>
        </is>
      </c>
      <c r="W932" s="257" t="n">
        <v>3</v>
      </c>
      <c r="X932" s="945" t="inlineStr">
        <is>
          <t>NA</t>
        </is>
      </c>
      <c r="Y932" s="237" t="n">
        <v>40</v>
      </c>
      <c r="Z932" s="237" t="inlineStr">
        <is>
          <t>NA</t>
        </is>
      </c>
      <c r="AA932" s="270" t="inlineStr">
        <is>
          <t>NA</t>
        </is>
      </c>
      <c r="AB932" s="1286" t="inlineStr">
        <is>
          <t>CALCULS PRUDENTIELS</t>
        </is>
      </c>
      <c r="AC932" s="231" t="inlineStr">
        <is>
          <t>ND</t>
        </is>
      </c>
      <c r="AD932" s="257" t="inlineStr">
        <is>
          <t>N</t>
        </is>
      </c>
      <c r="AE932" s="257" t="inlineStr">
        <is>
          <t>NA</t>
        </is>
      </c>
      <c r="AF932" s="257" t="inlineStr">
        <is>
          <t>NA</t>
        </is>
      </c>
      <c r="AG932" s="258" t="inlineStr">
        <is>
          <t>NA</t>
        </is>
      </c>
      <c r="AH932" s="89" t="n"/>
      <c r="AI932" s="435" t="inlineStr">
        <is>
          <t>La donnée est obligatoire si le Montant de l'Exposition en cas de Défaut (EAD) [P2 18.5] est renseigné</t>
        </is>
      </c>
      <c r="AJ932" s="317" t="inlineStr">
        <is>
          <t>The data is mandatory if Exposure At Default (EAD) amount [P2 18.5] is filled</t>
        </is>
      </c>
      <c r="AK932" s="257" t="n">
        <v>7</v>
      </c>
      <c r="AL932" s="335" t="inlineStr">
        <is>
          <t>TPG0002</t>
        </is>
      </c>
      <c r="AM932" s="318" t="inlineStr">
        <is>
          <t>Si elle est renseignée, la valeur doit être connue du Langage Commun associé</t>
        </is>
      </c>
      <c r="AN932" s="317" t="inlineStr">
        <is>
          <t>If specified, the value must be known to the associated Common Language</t>
        </is>
      </c>
      <c r="AO932" s="257" t="n">
        <v>7</v>
      </c>
      <c r="AP932" s="212" t="inlineStr">
        <is>
          <t>TIG0001</t>
        </is>
      </c>
      <c r="AQ932" s="318" t="n"/>
      <c r="AR932" s="317" t="n"/>
      <c r="AS932" s="257" t="n"/>
      <c r="AT932" s="258" t="n"/>
      <c r="AU932" s="318" t="n"/>
      <c r="AV932" s="317" t="n"/>
      <c r="AW932" s="257" t="n"/>
      <c r="AX932" s="258" t="n"/>
      <c r="AY932" s="318" t="n"/>
      <c r="AZ932" s="317" t="n"/>
      <c r="BA932" s="257" t="n"/>
      <c r="BB932" s="258" t="n"/>
      <c r="BC932" s="316" t="n"/>
      <c r="BD932" s="317" t="n"/>
      <c r="BE932" s="257" t="n"/>
      <c r="BF932" s="258" t="n"/>
      <c r="BG932" s="89" t="n"/>
      <c r="BH9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32">
        <f>_xlfn.LET(r,ROW(),oc,INDEX($A:$A,r),cv,TRIM(INDEX($Y:$Y,r)&amp;""),IF(oc&lt;&gt;"P1","",IF(cv="45","V45 - novo, nao alimentado pelo spool atual","V44 - alimentado pelo spool atual")))</f>
        <v/>
      </c>
    </row>
    <row r="933" ht="54" customFormat="1" customHeight="1" s="90">
      <c r="A933" s="306" t="inlineStr">
        <is>
          <t>P2</t>
        </is>
      </c>
      <c r="B933" s="307" t="n">
        <v>36</v>
      </c>
      <c r="C933" s="269" t="inlineStr">
        <is>
          <t>03 - Caractéristiques Générales</t>
        </is>
      </c>
      <c r="D933" s="310" t="inlineStr">
        <is>
          <t>03 - General characteristics</t>
        </is>
      </c>
      <c r="E933" s="307" t="inlineStr">
        <is>
          <t>P2 18.18</t>
        </is>
      </c>
      <c r="F933" s="308" t="inlineStr">
        <is>
          <t>Devise d'origine du contrat</t>
        </is>
      </c>
      <c r="G933" s="309" t="inlineStr">
        <is>
          <t>Original currency of contract</t>
        </is>
      </c>
      <c r="H933" s="309" t="n"/>
      <c r="I933" s="241" t="inlineStr">
        <is>
          <t>Devise de montant du contrat à l'origine</t>
        </is>
      </c>
      <c r="J933" s="309" t="inlineStr">
        <is>
          <t>Currency of the Initial amount of contract</t>
        </is>
      </c>
      <c r="K933" s="370" t="inlineStr">
        <is>
          <t>ND</t>
        </is>
      </c>
      <c r="L933" s="371" t="inlineStr">
        <is>
          <t>ND</t>
        </is>
      </c>
      <c r="M933" s="1420" t="inlineStr">
        <is>
          <t>cdDevOrig</t>
        </is>
      </c>
      <c r="N933" s="231" t="inlineStr">
        <is>
          <t>Obligatoire</t>
        </is>
      </c>
      <c r="O933" s="310" t="inlineStr">
        <is>
          <t>Mandatory</t>
        </is>
      </c>
      <c r="P933" s="269" t="inlineStr">
        <is>
          <t>LC.0005</t>
        </is>
      </c>
      <c r="Q933" s="269" t="inlineStr">
        <is>
          <t>TA NM253</t>
        </is>
      </c>
      <c r="R933" s="241" t="inlineStr">
        <is>
          <t>Cette devise est indispensable. Utilisée pour les traitements Bâlois dans certaines conditions et pour la déclaration des Engagements Internationaux du Groupe</t>
        </is>
      </c>
      <c r="S933" s="233" t="inlineStr">
        <is>
          <t>This currency is critical. Used for Basel II treatments in certain circumstances and for reporting of Group International Commitments</t>
        </is>
      </c>
      <c r="T933" s="313" t="inlineStr">
        <is>
          <t>ALPHA</t>
        </is>
      </c>
      <c r="U933" s="237" t="inlineStr">
        <is>
          <t>NA</t>
        </is>
      </c>
      <c r="V933" s="238" t="inlineStr">
        <is>
          <t>NA</t>
        </is>
      </c>
      <c r="W933" s="257" t="n">
        <v>3</v>
      </c>
      <c r="X933" s="945" t="inlineStr">
        <is>
          <t>NA</t>
        </is>
      </c>
      <c r="Y933" s="237" t="n">
        <v>40</v>
      </c>
      <c r="Z933" s="237" t="inlineStr">
        <is>
          <t>NA</t>
        </is>
      </c>
      <c r="AA933" s="270" t="inlineStr">
        <is>
          <t>45.00</t>
        </is>
      </c>
      <c r="AB933" s="932" t="inlineStr">
        <is>
          <t>ANACREDIT, ASTRE, CALCULS PRUDENTIELS, DEI, GRR, LIQUIDITE, OMP, PALMA</t>
        </is>
      </c>
      <c r="AC933" s="231" t="inlineStr">
        <is>
          <t>ND</t>
        </is>
      </c>
      <c r="AD933" s="257" t="inlineStr">
        <is>
          <t>N</t>
        </is>
      </c>
      <c r="AE933" s="257" t="inlineStr">
        <is>
          <t>NA</t>
        </is>
      </c>
      <c r="AF933" s="257" t="inlineStr">
        <is>
          <t>NA</t>
        </is>
      </c>
      <c r="AG933" s="258" t="inlineStr">
        <is>
          <t>NA</t>
        </is>
      </c>
      <c r="AH933" s="89" t="n"/>
      <c r="AI933" s="316" t="inlineStr">
        <is>
          <t>La donnée est obligatoire</t>
        </is>
      </c>
      <c r="AJ933" s="317" t="inlineStr">
        <is>
          <t>The data is mandatory</t>
        </is>
      </c>
      <c r="AK933" s="257" t="n">
        <v>7</v>
      </c>
      <c r="AL933" s="335" t="inlineStr">
        <is>
          <t>TPG0001</t>
        </is>
      </c>
      <c r="AM933" s="318" t="inlineStr">
        <is>
          <t>Si elle est renseignée, la valeur doit être connue du Langage Commun associé</t>
        </is>
      </c>
      <c r="AN933" s="317" t="inlineStr">
        <is>
          <t>If specified, the value must be known to the associated Common Language</t>
        </is>
      </c>
      <c r="AO933" s="257" t="n">
        <v>7</v>
      </c>
      <c r="AP933" s="212" t="inlineStr">
        <is>
          <t>TIG0001</t>
        </is>
      </c>
      <c r="AQ933" s="318" t="n"/>
      <c r="AR933" s="317" t="n"/>
      <c r="AS933" s="257" t="n"/>
      <c r="AT933" s="258" t="n"/>
      <c r="AU933" s="318" t="n"/>
      <c r="AV933" s="317" t="n"/>
      <c r="AW933" s="257" t="n"/>
      <c r="AX933" s="258" t="n"/>
      <c r="AY933" s="318" t="n"/>
      <c r="AZ933" s="317" t="n"/>
      <c r="BA933" s="257" t="n"/>
      <c r="BB933" s="258" t="n"/>
      <c r="BC933" s="316" t="n"/>
      <c r="BD933" s="317" t="n"/>
      <c r="BE933" s="257" t="n"/>
      <c r="BF933" s="258" t="n"/>
      <c r="BG933" s="89" t="n"/>
      <c r="BH9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33">
        <f>_xlfn.LET(r,ROW(),oc,INDEX($A:$A,r),cv,TRIM(INDEX($Y:$Y,r)&amp;""),IF(oc&lt;&gt;"P1","",IF(cv="45","V45 - novo, nao alimentado pelo spool atual","V44 - alimentado pelo spool atual")))</f>
        <v/>
      </c>
    </row>
    <row r="934" ht="54" customFormat="1" customHeight="1" s="90">
      <c r="A934" s="306" t="inlineStr">
        <is>
          <t>P2</t>
        </is>
      </c>
      <c r="B934" s="307" t="n">
        <v>37</v>
      </c>
      <c r="C934" s="269" t="inlineStr">
        <is>
          <t>03 - Caractéristiques Générales</t>
        </is>
      </c>
      <c r="D934" s="310" t="inlineStr">
        <is>
          <t>03 - General characteristics</t>
        </is>
      </c>
      <c r="E934" s="307" t="inlineStr">
        <is>
          <t>P2 3.98</t>
        </is>
      </c>
      <c r="F934" s="308" t="inlineStr">
        <is>
          <t>Zone réservée locale</t>
        </is>
      </c>
      <c r="G934" s="309" t="inlineStr">
        <is>
          <t>Local reserved zone</t>
        </is>
      </c>
      <c r="H934" s="309" t="n"/>
      <c r="I934" s="241" t="inlineStr">
        <is>
          <t>Zone réservée locale</t>
        </is>
      </c>
      <c r="J934" s="309" t="inlineStr">
        <is>
          <t>Local reserved zone</t>
        </is>
      </c>
      <c r="K934" s="370" t="inlineStr">
        <is>
          <t>ND</t>
        </is>
      </c>
      <c r="L934" s="371" t="inlineStr">
        <is>
          <t>ND</t>
        </is>
      </c>
      <c r="M934" s="1420" t="inlineStr">
        <is>
          <t>ZoneResLoc</t>
        </is>
      </c>
      <c r="N934" s="231" t="inlineStr">
        <is>
          <t>Facultatif</t>
        </is>
      </c>
      <c r="O934" s="310" t="inlineStr">
        <is>
          <t>Optional</t>
        </is>
      </c>
      <c r="P934" s="269" t="inlineStr">
        <is>
          <t>NA</t>
        </is>
      </c>
      <c r="Q934" s="269" t="inlineStr">
        <is>
          <t>NA</t>
        </is>
      </c>
      <c r="R934" s="241" t="inlineStr">
        <is>
          <t>La constitution de ce champ et la maintenance de son contenu seront assurées par l'entité en collaboration avec le suivi métier</t>
        </is>
      </c>
      <c r="S934" s="233" t="inlineStr">
        <is>
          <t>The creation of this field and the maintenance of its content will be managed by the entity in cooperation with the specialised business monitoring unit</t>
        </is>
      </c>
      <c r="T934" s="313" t="inlineStr">
        <is>
          <t>ALPHA</t>
        </is>
      </c>
      <c r="U934" s="237" t="inlineStr">
        <is>
          <t>NA</t>
        </is>
      </c>
      <c r="V934" s="238" t="inlineStr">
        <is>
          <t>NA</t>
        </is>
      </c>
      <c r="W934" s="257" t="n">
        <v>50</v>
      </c>
      <c r="X934" s="945" t="inlineStr">
        <is>
          <t>NA</t>
        </is>
      </c>
      <c r="Y934" s="237" t="inlineStr">
        <is>
          <t>40</t>
        </is>
      </c>
      <c r="Z934" s="237" t="inlineStr">
        <is>
          <t>NA</t>
        </is>
      </c>
      <c r="AA934" s="237" t="inlineStr">
        <is>
          <t>NA</t>
        </is>
      </c>
      <c r="AB934" s="636" t="inlineStr">
        <is>
          <t>USAGE ZP</t>
        </is>
      </c>
      <c r="AC934" s="231" t="inlineStr">
        <is>
          <t>ND</t>
        </is>
      </c>
      <c r="AD934" s="257" t="inlineStr">
        <is>
          <t>N</t>
        </is>
      </c>
      <c r="AE934" s="257" t="inlineStr">
        <is>
          <t>NA</t>
        </is>
      </c>
      <c r="AF934" s="257" t="inlineStr">
        <is>
          <t>NA</t>
        </is>
      </c>
      <c r="AG934" s="258" t="inlineStr">
        <is>
          <t>NA</t>
        </is>
      </c>
      <c r="AH934" s="89" t="n"/>
      <c r="AI934" s="316" t="n"/>
      <c r="AJ934" s="317" t="n"/>
      <c r="AK934" s="257" t="n"/>
      <c r="AL934" s="258" t="n"/>
      <c r="AM934" s="318" t="n"/>
      <c r="AN934" s="317" t="n"/>
      <c r="AO934" s="257" t="n"/>
      <c r="AP934" s="258" t="n"/>
      <c r="AQ934" s="318" t="n"/>
      <c r="AR934" s="317" t="n"/>
      <c r="AS934" s="257" t="n"/>
      <c r="AT934" s="258" t="n"/>
      <c r="AU934" s="318" t="n"/>
      <c r="AV934" s="317" t="n"/>
      <c r="AW934" s="257" t="n"/>
      <c r="AX934" s="258" t="n"/>
      <c r="AY934" s="318" t="n"/>
      <c r="AZ934" s="317" t="n"/>
      <c r="BA934" s="257" t="n"/>
      <c r="BB934" s="258" t="n"/>
      <c r="BC934" s="316" t="n"/>
      <c r="BD934" s="317" t="n"/>
      <c r="BE934" s="257" t="n"/>
      <c r="BF934" s="258" t="n"/>
      <c r="BG934" s="89" t="n"/>
      <c r="BH9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34">
        <f>_xlfn.LET(r,ROW(),oc,INDEX($A:$A,r),cv,TRIM(INDEX($Y:$Y,r)&amp;""),IF(oc&lt;&gt;"P1","",IF(cv="45","V45 - novo, nao alimentado pelo spool atual","V44 - alimentado pelo spool atual")))</f>
        <v/>
      </c>
    </row>
    <row r="935" ht="54" customFormat="1" customHeight="1" s="90">
      <c r="A935" s="306" t="inlineStr">
        <is>
          <t>P2</t>
        </is>
      </c>
      <c r="B935" s="307" t="n">
        <v>38</v>
      </c>
      <c r="C935" s="269" t="inlineStr">
        <is>
          <t xml:space="preserve">08 - Caractéristiques d'arriérés et de restructuration </t>
        </is>
      </c>
      <c r="D935" s="310" t="inlineStr">
        <is>
          <t>08 - Characteristics of overdues and restructuring</t>
        </is>
      </c>
      <c r="E935" s="307" t="inlineStr">
        <is>
          <t>P2 21.1</t>
        </is>
      </c>
      <c r="F935" s="308" t="inlineStr">
        <is>
          <t>Indicateur Type de Restructuration</t>
        </is>
      </c>
      <c r="G935" s="309" t="inlineStr">
        <is>
          <t>Restructuring Type Indicator</t>
        </is>
      </c>
      <c r="H935" s="309" t="n"/>
      <c r="I935" s="241" t="inlineStr">
        <is>
          <t>Indicateur permettant d'identifier les encours ayant fait l'objet d'une restructuration, et préciser le type de celle-ci</t>
        </is>
      </c>
      <c r="J935" s="309" t="inlineStr">
        <is>
          <t>Indicator making it possible to identify outstanding amounts having been restructured, and specify type thereof</t>
        </is>
      </c>
      <c r="K935" s="370" t="inlineStr">
        <is>
          <t>ND</t>
        </is>
      </c>
      <c r="L935" s="371" t="inlineStr">
        <is>
          <t>ND</t>
        </is>
      </c>
      <c r="M935" s="1420" t="inlineStr">
        <is>
          <t>cdTypRest</t>
        </is>
      </c>
      <c r="N935" s="449" t="inlineStr">
        <is>
          <t>Facultatif</t>
        </is>
      </c>
      <c r="O935" s="310" t="inlineStr">
        <is>
          <t>Optional</t>
        </is>
      </c>
      <c r="P935" s="269" t="inlineStr">
        <is>
          <t>LC.0112</t>
        </is>
      </c>
      <c r="Q935" s="269" t="inlineStr">
        <is>
          <t>TA KVTRESTR</t>
        </is>
      </c>
      <c r="R935" s="241" t="inlineStr">
        <is>
          <t>Obligatoire en cas de restructuration
L'origine de la restructuration devra être précisée par le Front Office dans l'accord de crédit</t>
        </is>
      </c>
      <c r="S935" s="233" t="inlineStr">
        <is>
          <t>Mandatory in the event of restructuring
The source of the restructuring should be specified by the Front Office in the credit agreement</t>
        </is>
      </c>
      <c r="T935" s="313" t="inlineStr">
        <is>
          <t>ALPHA</t>
        </is>
      </c>
      <c r="U935" s="237" t="inlineStr">
        <is>
          <t>NA</t>
        </is>
      </c>
      <c r="V935" s="238" t="inlineStr">
        <is>
          <t>NA</t>
        </is>
      </c>
      <c r="W935" s="257" t="n">
        <v>2</v>
      </c>
      <c r="X935" s="945" t="inlineStr">
        <is>
          <t>NA</t>
        </is>
      </c>
      <c r="Y935" s="237" t="n">
        <v>40</v>
      </c>
      <c r="Z935" s="237" t="inlineStr">
        <is>
          <t>NA</t>
        </is>
      </c>
      <c r="AA935" s="237" t="inlineStr">
        <is>
          <t>NA</t>
        </is>
      </c>
      <c r="AB935" s="269" t="inlineStr">
        <is>
          <t>ANACREDIT, ASTRE, NPE, OMP</t>
        </is>
      </c>
      <c r="AC935" s="231" t="inlineStr">
        <is>
          <t>ND</t>
        </is>
      </c>
      <c r="AD935" s="257" t="inlineStr">
        <is>
          <t>N</t>
        </is>
      </c>
      <c r="AE935" s="257" t="inlineStr">
        <is>
          <t>NA</t>
        </is>
      </c>
      <c r="AF935" s="257" t="inlineStr">
        <is>
          <t>NA</t>
        </is>
      </c>
      <c r="AG935" s="258" t="inlineStr">
        <is>
          <t>NA</t>
        </is>
      </c>
      <c r="AH935" s="89" t="n"/>
      <c r="AI935" s="316" t="n"/>
      <c r="AJ935" s="317" t="n"/>
      <c r="AK935" s="257" t="n"/>
      <c r="AL935" s="258" t="n"/>
      <c r="AM935" s="318" t="inlineStr">
        <is>
          <t>Si elle est renseignée, la valeur doit être connue du Langage Commun associé</t>
        </is>
      </c>
      <c r="AN935" s="317" t="inlineStr">
        <is>
          <t>If specified, the value must be known to the associated Common Language</t>
        </is>
      </c>
      <c r="AO935" s="257" t="n">
        <v>7</v>
      </c>
      <c r="AP935" s="212" t="inlineStr">
        <is>
          <t>TIG0001</t>
        </is>
      </c>
      <c r="AQ935" s="318" t="n"/>
      <c r="AR935" s="317" t="n"/>
      <c r="AS935" s="257" t="n"/>
      <c r="AT935" s="258" t="n"/>
      <c r="AU935" s="318" t="n"/>
      <c r="AV935" s="317" t="n"/>
      <c r="AW935" s="257" t="n"/>
      <c r="AX935" s="258" t="n"/>
      <c r="AY935" s="318" t="n"/>
      <c r="AZ935" s="317" t="n"/>
      <c r="BA935" s="257" t="n"/>
      <c r="BB935" s="258" t="n"/>
      <c r="BC935" s="316" t="n"/>
      <c r="BD935" s="317" t="n"/>
      <c r="BE935" s="257" t="n"/>
      <c r="BF935" s="258" t="n"/>
      <c r="BG935" s="89" t="n"/>
      <c r="BH9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35">
        <f>_xlfn.LET(r,ROW(),oc,INDEX($A:$A,r),cv,TRIM(INDEX($Y:$Y,r)&amp;""),IF(oc&lt;&gt;"P1","",IF(cv="45","V45 - novo, nao alimentado pelo spool atual","V44 - alimentado pelo spool atual")))</f>
        <v/>
      </c>
    </row>
    <row r="936" ht="54" customFormat="1" customHeight="1" s="90">
      <c r="A936" s="306" t="inlineStr">
        <is>
          <t>P2</t>
        </is>
      </c>
      <c r="B936" s="307" t="n">
        <v>39</v>
      </c>
      <c r="C936" s="269" t="inlineStr">
        <is>
          <t xml:space="preserve">08 - Caractéristiques d'arriérés et de restructuration </t>
        </is>
      </c>
      <c r="D936" s="310" t="inlineStr">
        <is>
          <t>08 - Characteristics of overdues and restructuring</t>
        </is>
      </c>
      <c r="E936" s="307" t="inlineStr">
        <is>
          <t>P2 21.2</t>
        </is>
      </c>
      <c r="F936" s="308" t="inlineStr">
        <is>
          <t>Date de Restructuration</t>
        </is>
      </c>
      <c r="G936" s="309" t="inlineStr">
        <is>
          <t>Date of Restructuring</t>
        </is>
      </c>
      <c r="H936" s="309" t="n"/>
      <c r="I936" s="241" t="inlineStr">
        <is>
          <t>Correspond à la date à laquelle la restructuration a été validée par l'organe décisionnel compétent</t>
        </is>
      </c>
      <c r="J936" s="309" t="inlineStr">
        <is>
          <t>Represents the date on which the restructuring was approved by the competent decision-making body</t>
        </is>
      </c>
      <c r="K936" s="370" t="inlineStr">
        <is>
          <t>ND</t>
        </is>
      </c>
      <c r="L936" s="371" t="inlineStr">
        <is>
          <t>ND</t>
        </is>
      </c>
      <c r="M936" s="1420" t="inlineStr">
        <is>
          <t>dtRest</t>
        </is>
      </c>
      <c r="N936" s="231" t="inlineStr">
        <is>
          <t>Obligatoire sous conditions</t>
        </is>
      </c>
      <c r="O936" s="310" t="inlineStr">
        <is>
          <t>Mandatory under conditions</t>
        </is>
      </c>
      <c r="P936" s="269" t="inlineStr">
        <is>
          <t>NA</t>
        </is>
      </c>
      <c r="Q936" s="269" t="inlineStr">
        <is>
          <t>NA</t>
        </is>
      </c>
      <c r="R936" s="241" t="inlineStr">
        <is>
          <t>NA</t>
        </is>
      </c>
      <c r="S936" s="233" t="inlineStr">
        <is>
          <t>NA</t>
        </is>
      </c>
      <c r="T936" s="206" t="inlineStr">
        <is>
          <t>DATE</t>
        </is>
      </c>
      <c r="U936" s="237" t="inlineStr">
        <is>
          <t>AAAAMMJJ</t>
        </is>
      </c>
      <c r="V936" s="238" t="inlineStr">
        <is>
          <t>YYYYMMDD</t>
        </is>
      </c>
      <c r="W936" s="257" t="n">
        <v>8</v>
      </c>
      <c r="X936" s="945" t="inlineStr">
        <is>
          <t>NA</t>
        </is>
      </c>
      <c r="Y936" s="237" t="n">
        <v>40</v>
      </c>
      <c r="Z936" s="237" t="inlineStr">
        <is>
          <t>NA</t>
        </is>
      </c>
      <c r="AA936" s="270" t="inlineStr">
        <is>
          <t>45.00</t>
        </is>
      </c>
      <c r="AB936" s="269" t="inlineStr">
        <is>
          <t>ANACREDIT, ASTRE, NPE, OMP</t>
        </is>
      </c>
      <c r="AC936" s="231" t="inlineStr">
        <is>
          <t>ND</t>
        </is>
      </c>
      <c r="AD936" s="257" t="inlineStr">
        <is>
          <t>N</t>
        </is>
      </c>
      <c r="AE936" s="257" t="inlineStr">
        <is>
          <t>NA</t>
        </is>
      </c>
      <c r="AF936" s="257" t="inlineStr">
        <is>
          <t>NA</t>
        </is>
      </c>
      <c r="AG936" s="258" t="inlineStr">
        <is>
          <t>NA</t>
        </is>
      </c>
      <c r="AH936" s="89" t="n"/>
      <c r="AI936" s="316" t="inlineStr">
        <is>
          <t>La donnée est obligatoire si la donnée Indicateur type de restructuration [P2 21.1] est renseignée</t>
        </is>
      </c>
      <c r="AJ936" s="317" t="inlineStr">
        <is>
          <t>The data is mandatory if the data Restructuring Standard Indicator [P2 21.1] is filled</t>
        </is>
      </c>
      <c r="AK936" s="257" t="n">
        <v>6</v>
      </c>
      <c r="AL936" s="345" t="inlineStr">
        <is>
          <t>TPS1704</t>
        </is>
      </c>
      <c r="AM936" s="318" t="n"/>
      <c r="AN936" s="317" t="n"/>
      <c r="AO936" s="257" t="n"/>
      <c r="AP936" s="258" t="n"/>
      <c r="AQ936" s="1053" t="inlineStr">
        <is>
          <t>Si renseignée, la donnée doit être supérieure ou égale à '19000101'</t>
        </is>
      </c>
      <c r="AR936" s="931" t="inlineStr">
        <is>
          <t>If filled, data must be greater or equal to '19000101'</t>
        </is>
      </c>
      <c r="AS936" s="1054" t="n">
        <v>7</v>
      </c>
      <c r="AT936" s="1052" t="inlineStr">
        <is>
          <t>TVG0005</t>
        </is>
      </c>
      <c r="AU936" s="318" t="inlineStr">
        <is>
          <t>La donnée doit être inférieure à la date d'arrêté</t>
        </is>
      </c>
      <c r="AV936" s="317" t="inlineStr">
        <is>
          <t>Data must be lower than closing date</t>
        </is>
      </c>
      <c r="AW936" s="257" t="n">
        <v>6</v>
      </c>
      <c r="AX936" s="258" t="inlineStr">
        <is>
          <t>TCG0006</t>
        </is>
      </c>
      <c r="AY936" s="318" t="n"/>
      <c r="AZ936" s="317" t="n"/>
      <c r="BA936" s="257" t="n"/>
      <c r="BB936" s="258" t="n"/>
      <c r="BC936" s="316" t="n"/>
      <c r="BD936" s="317" t="n"/>
      <c r="BE936" s="257" t="n"/>
      <c r="BF936" s="258" t="n"/>
      <c r="BG936" s="89" t="n"/>
      <c r="BH9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36">
        <f>_xlfn.LET(r,ROW(),oc,INDEX($A:$A,r),cv,TRIM(INDEX($Y:$Y,r)&amp;""),IF(oc&lt;&gt;"P1","",IF(cv="45","V45 - novo, nao alimentado pelo spool atual","V44 - alimentado pelo spool atual")))</f>
        <v/>
      </c>
    </row>
    <row r="937" ht="54" customFormat="1" customHeight="1" s="90">
      <c r="A937" s="306" t="inlineStr">
        <is>
          <t>P2</t>
        </is>
      </c>
      <c r="B937" s="307" t="n">
        <v>40</v>
      </c>
      <c r="C937" s="269" t="inlineStr">
        <is>
          <t xml:space="preserve">08 - Caractéristiques d'arriérés et de restructuration </t>
        </is>
      </c>
      <c r="D937" s="310" t="inlineStr">
        <is>
          <t>08 - Characteristics of overdues and restructuring</t>
        </is>
      </c>
      <c r="E937" s="307" t="inlineStr">
        <is>
          <t>P2 4.1</t>
        </is>
      </c>
      <c r="F937" s="967" t="inlineStr">
        <is>
          <t>Indicateur Impayé prudentiel</t>
        </is>
      </c>
      <c r="G937" s="964" t="inlineStr">
        <is>
          <t>Prudential past due indicator</t>
        </is>
      </c>
      <c r="H937" s="964" t="n"/>
      <c r="I937" s="241" t="inlineStr">
        <is>
          <t>Indicateur permettant de préciser que l'opération est prudentiellement en arriéré de paiement de + de 90 jours</t>
        </is>
      </c>
      <c r="J937" s="309" t="inlineStr">
        <is>
          <t>Indicator making it possible to specify that the transaction is prudentially in payment arrears for over 90 days</t>
        </is>
      </c>
      <c r="K937" s="370" t="inlineStr">
        <is>
          <t>ND</t>
        </is>
      </c>
      <c r="L937" s="371" t="inlineStr">
        <is>
          <t>ND</t>
        </is>
      </c>
      <c r="M937" s="1420" t="inlineStr">
        <is>
          <t>cdIndImpPrud</t>
        </is>
      </c>
      <c r="N937" s="1406" t="inlineStr">
        <is>
          <t>Obligatoire</t>
        </is>
      </c>
      <c r="O937" s="1006" t="inlineStr">
        <is>
          <t>Mandatory</t>
        </is>
      </c>
      <c r="P937" s="269" t="inlineStr">
        <is>
          <t>LC.0185</t>
        </is>
      </c>
      <c r="Q937" s="269" t="inlineStr">
        <is>
          <t>TA KVIIP</t>
        </is>
      </c>
      <c r="R937" s="241" t="inlineStr">
        <is>
          <t>Il s'agit ici de la notion d'impayé prudentiel; Ainsi cet indicateur permet de préciser si l'opération est comptabilisée en douteux ou non et ainsi diférencier les impayés à - de 90 jours de ceux de + de 90 jours
A noter : jusqu'à nouvel ordre, la notion d'impayé prudentiel est adossé à la notion comptable du douteux déprécié</t>
        </is>
      </c>
      <c r="S937" s="233" t="inlineStr">
        <is>
          <t>This is the concept of prudential arrears. This indicator makes it possible to specify whether the transaction is recognised as doubtful or not and to thereby differentiate arrears of under 90 days from those of over 90 days
Please note: until instructed otherwise, the prudential arrears concept is attributed the same meaning as the doubtful impaired concept</t>
        </is>
      </c>
      <c r="T937" s="313" t="inlineStr">
        <is>
          <t>ALPHA</t>
        </is>
      </c>
      <c r="U937" s="237" t="inlineStr">
        <is>
          <t>NA</t>
        </is>
      </c>
      <c r="V937" s="238" t="inlineStr">
        <is>
          <t>NA</t>
        </is>
      </c>
      <c r="W937" s="257" t="n">
        <v>1</v>
      </c>
      <c r="X937" s="945" t="inlineStr">
        <is>
          <t>NA</t>
        </is>
      </c>
      <c r="Y937" s="237" t="n">
        <v>40</v>
      </c>
      <c r="Z937" s="237" t="inlineStr">
        <is>
          <t>NA</t>
        </is>
      </c>
      <c r="AA937" s="270" t="inlineStr">
        <is>
          <t>45.00</t>
        </is>
      </c>
      <c r="AB937" s="994" t="inlineStr">
        <is>
          <t>ANACREDIT, ASTRE, DEI, OMP</t>
        </is>
      </c>
      <c r="AC937" s="231" t="inlineStr">
        <is>
          <t>ND</t>
        </is>
      </c>
      <c r="AD937" s="257" t="inlineStr">
        <is>
          <t>N</t>
        </is>
      </c>
      <c r="AE937" s="1265" t="inlineStr">
        <is>
          <t>NA</t>
        </is>
      </c>
      <c r="AF937" s="257" t="inlineStr">
        <is>
          <t>NA</t>
        </is>
      </c>
      <c r="AG937" s="258" t="inlineStr">
        <is>
          <t>NA</t>
        </is>
      </c>
      <c r="AH937" s="89" t="n"/>
      <c r="AI937" s="963" t="inlineStr">
        <is>
          <t>La donnée est obligatoire</t>
        </is>
      </c>
      <c r="AJ937" s="964" t="inlineStr">
        <is>
          <t>The data is mandatory</t>
        </is>
      </c>
      <c r="AK937" s="965" t="n">
        <v>6</v>
      </c>
      <c r="AL937" s="1225" t="inlineStr">
        <is>
          <t>TPG0001</t>
        </is>
      </c>
      <c r="AM937" s="318" t="inlineStr">
        <is>
          <t>Si elle est renseignée, la valeur doit être connue du Langage Commun associé</t>
        </is>
      </c>
      <c r="AN937" s="317" t="inlineStr">
        <is>
          <t>If specified, the value must be known to the associated Common Language</t>
        </is>
      </c>
      <c r="AO937" s="257" t="n">
        <v>7</v>
      </c>
      <c r="AP937" s="212" t="inlineStr">
        <is>
          <t>TIG0001</t>
        </is>
      </c>
      <c r="AQ937" s="318" t="n"/>
      <c r="AR937" s="317" t="n"/>
      <c r="AS937" s="257" t="n"/>
      <c r="AT937" s="258" t="n"/>
      <c r="AU937" s="318" t="n"/>
      <c r="AV937" s="317" t="n"/>
      <c r="AW937" s="257" t="n"/>
      <c r="AX937" s="258" t="n"/>
      <c r="AY937" s="318" t="n"/>
      <c r="AZ937" s="317" t="n"/>
      <c r="BA937" s="257" t="n"/>
      <c r="BB937" s="258" t="n"/>
      <c r="BC937" s="316" t="n"/>
      <c r="BD937" s="317" t="n"/>
      <c r="BE937" s="257" t="n"/>
      <c r="BF937" s="258" t="n"/>
      <c r="BG937" s="89" t="n"/>
      <c r="BH9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37">
        <f>_xlfn.LET(r,ROW(),oc,INDEX($A:$A,r),cv,TRIM(INDEX($Y:$Y,r)&amp;""),IF(oc&lt;&gt;"P1","",IF(cv="45","V45 - novo, nao alimentado pelo spool atual","V44 - alimentado pelo spool atual")))</f>
        <v/>
      </c>
    </row>
    <row r="938" ht="54" customFormat="1" customHeight="1" s="90">
      <c r="A938" s="306" t="inlineStr">
        <is>
          <t>P2</t>
        </is>
      </c>
      <c r="B938" s="307" t="n">
        <v>41</v>
      </c>
      <c r="C938" s="269" t="inlineStr">
        <is>
          <t xml:space="preserve">08 - Caractéristiques d'arriérés et de restructuration </t>
        </is>
      </c>
      <c r="D938" s="310" t="inlineStr">
        <is>
          <t>08 - Characteristics of overdues and restructuring</t>
        </is>
      </c>
      <c r="E938" s="307" t="inlineStr">
        <is>
          <t>P2 5.2</t>
        </is>
      </c>
      <c r="F938" s="1172" t="inlineStr">
        <is>
          <t>Indicateur Engagement en défaut</t>
        </is>
      </c>
      <c r="G938" s="968" t="inlineStr">
        <is>
          <t>Defaulted commitments indicator</t>
        </is>
      </c>
      <c r="H938" s="968" t="n"/>
      <c r="I938" s="1173" t="inlineStr">
        <is>
          <t>Indicateur permettant de préciser si les opérations sont comptabilisées en engagement en défaut</t>
        </is>
      </c>
      <c r="J938" s="968" t="inlineStr">
        <is>
          <t>ndicator to specify whether transactions are recognised as defaulted commitments</t>
        </is>
      </c>
      <c r="K938" s="370" t="inlineStr">
        <is>
          <t>ND</t>
        </is>
      </c>
      <c r="L938" s="371" t="inlineStr">
        <is>
          <t>ND</t>
        </is>
      </c>
      <c r="M938" s="1420" t="inlineStr">
        <is>
          <t>cdIndEngDout</t>
        </is>
      </c>
      <c r="N938" s="1406" t="inlineStr">
        <is>
          <t>Obligatoire</t>
        </is>
      </c>
      <c r="O938" s="1006" t="inlineStr">
        <is>
          <t>Mandatory</t>
        </is>
      </c>
      <c r="P938" s="269" t="inlineStr">
        <is>
          <t>LC.0175</t>
        </is>
      </c>
      <c r="Q938" s="269" t="inlineStr">
        <is>
          <t>TA KVIED</t>
        </is>
      </c>
      <c r="R938" s="241" t="inlineStr">
        <is>
          <t>NA</t>
        </is>
      </c>
      <c r="S938" s="233" t="inlineStr">
        <is>
          <t>NA</t>
        </is>
      </c>
      <c r="T938" s="313" t="inlineStr">
        <is>
          <t>ALPHA</t>
        </is>
      </c>
      <c r="U938" s="237" t="inlineStr">
        <is>
          <t>NA</t>
        </is>
      </c>
      <c r="V938" s="238" t="inlineStr">
        <is>
          <t>NA</t>
        </is>
      </c>
      <c r="W938" s="257" t="n">
        <v>1</v>
      </c>
      <c r="X938" s="945" t="inlineStr">
        <is>
          <t>NA</t>
        </is>
      </c>
      <c r="Y938" s="237" t="n">
        <v>40</v>
      </c>
      <c r="Z938" s="237" t="inlineStr">
        <is>
          <t>NA</t>
        </is>
      </c>
      <c r="AA938" s="978" t="inlineStr">
        <is>
          <t>45.00</t>
        </is>
      </c>
      <c r="AB938" s="994" t="inlineStr">
        <is>
          <t>ANACREDIT, ASTRE, CALCULS PRUDENTIELS, DEI, ESG PILIER 3, NPE, OMP, PALMA</t>
        </is>
      </c>
      <c r="AC938" s="231" t="inlineStr">
        <is>
          <t>ND</t>
        </is>
      </c>
      <c r="AD938" s="257" t="inlineStr">
        <is>
          <t>N</t>
        </is>
      </c>
      <c r="AE938" s="257" t="inlineStr">
        <is>
          <t>NA</t>
        </is>
      </c>
      <c r="AF938" s="257" t="inlineStr">
        <is>
          <t>NA</t>
        </is>
      </c>
      <c r="AG938" s="258" t="inlineStr">
        <is>
          <t>NA</t>
        </is>
      </c>
      <c r="AH938" s="89" t="n"/>
      <c r="AI938" s="1222" t="inlineStr">
        <is>
          <t>La donnée est obligatoire</t>
        </is>
      </c>
      <c r="AJ938" s="931" t="inlineStr">
        <is>
          <t>The data is mandatory</t>
        </is>
      </c>
      <c r="AK938" s="1050" t="n">
        <v>7</v>
      </c>
      <c r="AL938" s="1046" t="inlineStr">
        <is>
          <t>TPG0001</t>
        </is>
      </c>
      <c r="AM938" s="452" t="inlineStr">
        <is>
          <t>Si elle est renseignée, la valeur doit être connue du Langage Commun associé</t>
        </is>
      </c>
      <c r="AN938" s="377" t="inlineStr">
        <is>
          <t>If specified, the value must be known to the associated Common Language</t>
        </is>
      </c>
      <c r="AO938" s="257" t="n">
        <v>7</v>
      </c>
      <c r="AP938" s="212" t="inlineStr">
        <is>
          <t>TIG0001</t>
        </is>
      </c>
      <c r="AQ938" s="318" t="inlineStr">
        <is>
          <t>Si renseigné ET si Bucket IFRS9 [P2 22.72] = 'B3', alors Indicateur engagement douteux [P2 5.2] = 'Y'</t>
        </is>
      </c>
      <c r="AR938" s="317" t="inlineStr">
        <is>
          <t xml:space="preserve">If filled AND if Bucket IFRS9 [P2 22.72] = 'B3', then Doubtful Commitment Indicator [P2 5.2] = 'Y' </t>
        </is>
      </c>
      <c r="AS938" s="257" t="n">
        <v>7</v>
      </c>
      <c r="AT938" s="345" t="inlineStr">
        <is>
          <t>TVS0739</t>
        </is>
      </c>
      <c r="AU938" s="421" t="n"/>
      <c r="AV938" s="422" t="n"/>
      <c r="AW938" s="348" t="n"/>
      <c r="AX938" s="258" t="n"/>
      <c r="AY938" s="318" t="n"/>
      <c r="AZ938" s="317" t="n"/>
      <c r="BA938" s="257" t="n"/>
      <c r="BB938" s="258" t="n"/>
      <c r="BC938" s="278" t="inlineStr">
        <is>
          <t>Pour la Grande Clientèle (P1/P2), si la combinaison de donnée n'est pas trouvée dans la matrice des règles de gestion C01, le contrôle doit se lever</t>
        </is>
      </c>
      <c r="BD938" s="160" t="inlineStr">
        <is>
          <t>For P1/P2, if the data combinaison is not found in the C01 business rules matrix, the control must trigger</t>
        </is>
      </c>
      <c r="BE938" s="257" t="n">
        <v>6</v>
      </c>
      <c r="BF938" s="258" t="inlineStr">
        <is>
          <t>TC0C01</t>
        </is>
      </c>
      <c r="BG938" s="89" t="n"/>
      <c r="BH9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38">
        <f>_xlfn.LET(r,ROW(),oc,INDEX($A:$A,r),cv,TRIM(INDEX($Y:$Y,r)&amp;""),IF(oc&lt;&gt;"P1","",IF(cv="45","V45 - novo, nao alimentado pelo spool atual","V44 - alimentado pelo spool atual")))</f>
        <v/>
      </c>
    </row>
    <row r="939" ht="54" customFormat="1" customHeight="1" s="90">
      <c r="A939" s="306" t="inlineStr">
        <is>
          <t>P2</t>
        </is>
      </c>
      <c r="B939" s="307" t="n">
        <v>42</v>
      </c>
      <c r="C939" s="269" t="inlineStr">
        <is>
          <t xml:space="preserve">08 - Caractéristiques d'arriérés et de restructuration </t>
        </is>
      </c>
      <c r="D939" s="310" t="inlineStr">
        <is>
          <t>08 - Characteristics of overdues and restructuring</t>
        </is>
      </c>
      <c r="E939" s="307" t="inlineStr">
        <is>
          <t>P2 5.3</t>
        </is>
      </c>
      <c r="F939" s="1268" t="inlineStr">
        <is>
          <t>Date de passage en engagement en défaut</t>
        </is>
      </c>
      <c r="G939" s="968" t="inlineStr">
        <is>
          <t>Entry date of commitment into default</t>
        </is>
      </c>
      <c r="H939" s="968" t="n"/>
      <c r="I939" s="1008" t="inlineStr">
        <is>
          <t>Date de passage en engagement en défaut (ex douteux)</t>
        </is>
      </c>
      <c r="J939" s="968" t="inlineStr">
        <is>
          <t>Entry date of commitment into default (ex doubtful)</t>
        </is>
      </c>
      <c r="K939" s="370" t="inlineStr">
        <is>
          <t>ND</t>
        </is>
      </c>
      <c r="L939" s="371" t="inlineStr">
        <is>
          <t>ND</t>
        </is>
      </c>
      <c r="M939" s="1420" t="inlineStr">
        <is>
          <t>dtEntEngDout</t>
        </is>
      </c>
      <c r="N939" s="257" t="inlineStr">
        <is>
          <t>Obligatoire sous conditions</t>
        </is>
      </c>
      <c r="O939" s="310" t="inlineStr">
        <is>
          <t>Mandatory under conditions</t>
        </is>
      </c>
      <c r="P939" s="269" t="inlineStr">
        <is>
          <t>NA</t>
        </is>
      </c>
      <c r="Q939" s="269" t="inlineStr">
        <is>
          <t>NA</t>
        </is>
      </c>
      <c r="R939" s="241" t="inlineStr">
        <is>
          <t>NA</t>
        </is>
      </c>
      <c r="S939" s="233" t="inlineStr">
        <is>
          <t>NA</t>
        </is>
      </c>
      <c r="T939" s="206" t="inlineStr">
        <is>
          <t>DATE</t>
        </is>
      </c>
      <c r="U939" s="237" t="inlineStr">
        <is>
          <t>AAAAMMJJ</t>
        </is>
      </c>
      <c r="V939" s="238" t="inlineStr">
        <is>
          <t>YYYYMMDD</t>
        </is>
      </c>
      <c r="W939" s="257" t="n">
        <v>8</v>
      </c>
      <c r="X939" s="945" t="inlineStr">
        <is>
          <t>NA</t>
        </is>
      </c>
      <c r="Y939" s="237" t="n">
        <v>40</v>
      </c>
      <c r="Z939" s="237" t="inlineStr">
        <is>
          <t>NA</t>
        </is>
      </c>
      <c r="AA939" s="270" t="inlineStr">
        <is>
          <t>45.00</t>
        </is>
      </c>
      <c r="AB939" s="994" t="inlineStr">
        <is>
          <t>ANACREDIT, ASTRE, CALCULS PRUDENTIELS, DEI, NPE, OMP</t>
        </is>
      </c>
      <c r="AC939" s="231" t="inlineStr">
        <is>
          <t>ND</t>
        </is>
      </c>
      <c r="AD939" s="257" t="inlineStr">
        <is>
          <t>N</t>
        </is>
      </c>
      <c r="AE939" s="257" t="inlineStr">
        <is>
          <t>NA</t>
        </is>
      </c>
      <c r="AF939" s="257" t="inlineStr">
        <is>
          <t>NA</t>
        </is>
      </c>
      <c r="AG939" s="258" t="inlineStr">
        <is>
          <t>NA</t>
        </is>
      </c>
      <c r="AH939" s="89" t="n"/>
      <c r="AI939" s="316" t="inlineStr">
        <is>
          <t>La donnée est obligatoire si la donnée indicateur engagement douteux [P2 5.2] est = 'Y'</t>
        </is>
      </c>
      <c r="AJ939" s="317" t="inlineStr">
        <is>
          <t>The data is mandatory if the indicator data funds in use doubtful [P2 5.2] is = 'Y'</t>
        </is>
      </c>
      <c r="AK939" s="257" t="n">
        <v>6</v>
      </c>
      <c r="AL939" s="345" t="inlineStr">
        <is>
          <t>TPS1707</t>
        </is>
      </c>
      <c r="AM939" s="318" t="n"/>
      <c r="AN939" s="317" t="n"/>
      <c r="AO939" s="257" t="n"/>
      <c r="AP939" s="258" t="n"/>
      <c r="AQ939" s="356" t="inlineStr">
        <is>
          <t>Si renseignée, la donnée doit être supérieure ou égale à '19000101'</t>
        </is>
      </c>
      <c r="AR939" s="317" t="inlineStr">
        <is>
          <t>If filled, data must be greater or equal to '19000101'</t>
        </is>
      </c>
      <c r="AS939" s="574" t="n">
        <v>7</v>
      </c>
      <c r="AT939" s="258" t="inlineStr">
        <is>
          <t>TVG0005</t>
        </is>
      </c>
      <c r="AU939" s="318" t="inlineStr">
        <is>
          <t>La donnée doit être inférieure ou égale à la date d'arrêté</t>
        </is>
      </c>
      <c r="AV939" s="317" t="inlineStr">
        <is>
          <t>Data must be lower or equal than closing date</t>
        </is>
      </c>
      <c r="AW939" s="257" t="n">
        <v>6</v>
      </c>
      <c r="AX939" s="345" t="inlineStr">
        <is>
          <t>TCG0004</t>
        </is>
      </c>
      <c r="AY939" s="318" t="n"/>
      <c r="AZ939" s="317" t="n"/>
      <c r="BA939" s="257" t="n"/>
      <c r="BB939" s="258" t="n"/>
      <c r="BC939" s="316" t="n"/>
      <c r="BD939" s="317" t="n"/>
      <c r="BE939" s="257" t="n"/>
      <c r="BF939" s="258" t="n"/>
      <c r="BG939" s="89" t="n"/>
      <c r="BH9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39">
        <f>_xlfn.LET(r,ROW(),oc,INDEX($A:$A,r),cv,TRIM(INDEX($Y:$Y,r)&amp;""),IF(oc&lt;&gt;"P1","",IF(cv="45","V45 - novo, nao alimentado pelo spool atual","V44 - alimentado pelo spool atual")))</f>
        <v/>
      </c>
    </row>
    <row r="940" ht="54" customFormat="1" customHeight="1" s="90">
      <c r="A940" s="306" t="inlineStr">
        <is>
          <t>P2</t>
        </is>
      </c>
      <c r="B940" s="307" t="n">
        <v>43</v>
      </c>
      <c r="C940" s="269" t="inlineStr">
        <is>
          <t>03 - Caractéristiques Générales</t>
        </is>
      </c>
      <c r="D940" s="310" t="inlineStr">
        <is>
          <t>03 - General characteristics</t>
        </is>
      </c>
      <c r="E940" s="307" t="inlineStr">
        <is>
          <t>P2 4.16</t>
        </is>
      </c>
      <c r="F940" s="737" t="inlineStr">
        <is>
          <t>Montant de la Part Non Utilisée (PNU)</t>
        </is>
      </c>
      <c r="G940" s="309" t="inlineStr">
        <is>
          <t>Amount of the Undrawn Portion</t>
        </is>
      </c>
      <c r="H940" s="309" t="n"/>
      <c r="I940" s="241" t="inlineStr">
        <is>
          <t>Montant de la Part Non Utilisée (PNU)</t>
        </is>
      </c>
      <c r="J940" s="309" t="inlineStr">
        <is>
          <t>Amount of the Undrawn Portion</t>
        </is>
      </c>
      <c r="K940" s="370" t="inlineStr">
        <is>
          <t>ND</t>
        </is>
      </c>
      <c r="L940" s="371" t="inlineStr">
        <is>
          <t>ND</t>
        </is>
      </c>
      <c r="M940" s="1420" t="inlineStr">
        <is>
          <t>mtPNU</t>
        </is>
      </c>
      <c r="N940" s="231" t="inlineStr">
        <is>
          <t>Obligatoire</t>
        </is>
      </c>
      <c r="O940" s="310" t="inlineStr">
        <is>
          <t>Mandatory</t>
        </is>
      </c>
      <c r="P940" s="269" t="inlineStr">
        <is>
          <t>NA</t>
        </is>
      </c>
      <c r="Q940" s="269" t="inlineStr">
        <is>
          <t>NA</t>
        </is>
      </c>
      <c r="R940" s="241" t="inlineStr">
        <is>
          <t>NA</t>
        </is>
      </c>
      <c r="S940" s="233" t="inlineStr">
        <is>
          <t>NA</t>
        </is>
      </c>
      <c r="T940" s="313" t="inlineStr">
        <is>
          <t>NUM</t>
        </is>
      </c>
      <c r="U940" s="237" t="inlineStr">
        <is>
          <t>19 dont signe et 2 décimales</t>
        </is>
      </c>
      <c r="V940" s="238" t="inlineStr">
        <is>
          <t>19 including sign and 2 decimals</t>
        </is>
      </c>
      <c r="W940" s="257" t="n">
        <v>19</v>
      </c>
      <c r="X940" s="945" t="inlineStr">
        <is>
          <t>NA</t>
        </is>
      </c>
      <c r="Y940" s="237" t="n">
        <v>40</v>
      </c>
      <c r="Z940" s="237" t="inlineStr">
        <is>
          <t>NA</t>
        </is>
      </c>
      <c r="AA940" s="270" t="inlineStr">
        <is>
          <t>NA</t>
        </is>
      </c>
      <c r="AB940" s="994" t="inlineStr">
        <is>
          <t>ANACREDIT, CALCULS PRUDENTIELS, CONGLOMERATS, DEI, ESG PILIER 3, GRR, LOAN TAPE, OMP, PALMA</t>
        </is>
      </c>
      <c r="AC940" s="231" t="inlineStr">
        <is>
          <t>ND</t>
        </is>
      </c>
      <c r="AD940" s="257" t="inlineStr">
        <is>
          <t>N</t>
        </is>
      </c>
      <c r="AE940" s="795" t="inlineStr">
        <is>
          <t>NA</t>
        </is>
      </c>
      <c r="AF940" s="257" t="inlineStr">
        <is>
          <t>NA</t>
        </is>
      </c>
      <c r="AG940" s="258" t="inlineStr">
        <is>
          <t>NA</t>
        </is>
      </c>
      <c r="AH940" s="89" t="n"/>
      <c r="AI940" s="316" t="inlineStr">
        <is>
          <t>La donnée est obligatoire</t>
        </is>
      </c>
      <c r="AJ940" s="317" t="inlineStr">
        <is>
          <t>The data is mandatory</t>
        </is>
      </c>
      <c r="AK940" s="257" t="n">
        <v>7</v>
      </c>
      <c r="AL940" s="335" t="inlineStr">
        <is>
          <t>TPG0001</t>
        </is>
      </c>
      <c r="AM940" s="318" t="n"/>
      <c r="AN940" s="317" t="n"/>
      <c r="AO940" s="257" t="n"/>
      <c r="AP940" s="258" t="n"/>
      <c r="AQ940" s="322" t="inlineStr">
        <is>
          <t>Si renseignée, la donnée doit être positive (supérieure ou égale à 0)</t>
        </is>
      </c>
      <c r="AR940" s="317" t="inlineStr">
        <is>
          <t xml:space="preserve">If filled, data must be positive (greater or equal to 0) </t>
        </is>
      </c>
      <c r="AS940" s="257" t="n">
        <v>7</v>
      </c>
      <c r="AT940" s="345" t="inlineStr">
        <is>
          <t>TVG0001</t>
        </is>
      </c>
      <c r="AU940" s="318" t="n"/>
      <c r="AV940" s="317" t="n"/>
      <c r="AW940" s="257" t="n"/>
      <c r="AX940" s="258" t="n"/>
      <c r="AY940" s="318" t="n"/>
      <c r="AZ940" s="317" t="n"/>
      <c r="BA940" s="257" t="n"/>
      <c r="BB940" s="258" t="n"/>
      <c r="BC940" s="278" t="n"/>
      <c r="BD940" s="160" t="n"/>
      <c r="BE940" s="257" t="n"/>
      <c r="BF940" s="393" t="n"/>
      <c r="BG940" s="89" t="n"/>
      <c r="BH9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40">
        <f>_xlfn.LET(r,ROW(),oc,INDEX($A:$A,r),cv,TRIM(INDEX($Y:$Y,r)&amp;""),IF(oc&lt;&gt;"P1","",IF(cv="45","V45 - novo, nao alimentado pelo spool atual","V44 - alimentado pelo spool atual")))</f>
        <v/>
      </c>
    </row>
    <row r="941" ht="54" customFormat="1" customHeight="1" s="90">
      <c r="A941" s="306" t="inlineStr">
        <is>
          <t>P2</t>
        </is>
      </c>
      <c r="B941" s="307" t="n">
        <v>44</v>
      </c>
      <c r="C941" s="269" t="inlineStr">
        <is>
          <t>03 - Caractéristiques Générales</t>
        </is>
      </c>
      <c r="D941" s="310" t="inlineStr">
        <is>
          <t>03 - General characteristics</t>
        </is>
      </c>
      <c r="E941" s="307" t="inlineStr">
        <is>
          <t>P2 4.17</t>
        </is>
      </c>
      <c r="F941" s="308" t="inlineStr">
        <is>
          <t>Devise du montant de la Part Non Utilisée (PNU)</t>
        </is>
      </c>
      <c r="G941" s="309" t="inlineStr">
        <is>
          <t>Currency of amount of the Undrawn Portion</t>
        </is>
      </c>
      <c r="H941" s="309" t="n"/>
      <c r="I941" s="241" t="inlineStr">
        <is>
          <t>Devise du montant de la Part Non Utilisée (PNU)</t>
        </is>
      </c>
      <c r="J941" s="309" t="inlineStr">
        <is>
          <t>Currency of amount of the Undrawn Portion</t>
        </is>
      </c>
      <c r="K941" s="370" t="inlineStr">
        <is>
          <t>ND</t>
        </is>
      </c>
      <c r="L941" s="371" t="inlineStr">
        <is>
          <t>ND</t>
        </is>
      </c>
      <c r="M941" s="1420" t="inlineStr">
        <is>
          <t>cdDevMtPNU</t>
        </is>
      </c>
      <c r="N941" s="231" t="inlineStr">
        <is>
          <t>Obligatoire sous conditions</t>
        </is>
      </c>
      <c r="O941" s="310" t="inlineStr">
        <is>
          <t>Mandatory under conditions</t>
        </is>
      </c>
      <c r="P941" s="269" t="inlineStr">
        <is>
          <t>LC.0005</t>
        </is>
      </c>
      <c r="Q941" s="269" t="inlineStr">
        <is>
          <t>TA NM253</t>
        </is>
      </c>
      <c r="R941" s="241" t="inlineStr">
        <is>
          <t>NA</t>
        </is>
      </c>
      <c r="S941" s="233" t="inlineStr">
        <is>
          <t>NA</t>
        </is>
      </c>
      <c r="T941" s="313" t="inlineStr">
        <is>
          <t>ALPHA</t>
        </is>
      </c>
      <c r="U941" s="237" t="inlineStr">
        <is>
          <t>NA</t>
        </is>
      </c>
      <c r="V941" s="238" t="inlineStr">
        <is>
          <t>NA</t>
        </is>
      </c>
      <c r="W941" s="257" t="n">
        <v>3</v>
      </c>
      <c r="X941" s="945" t="inlineStr">
        <is>
          <t>NA</t>
        </is>
      </c>
      <c r="Y941" s="237" t="n">
        <v>40</v>
      </c>
      <c r="Z941" s="237" t="inlineStr">
        <is>
          <t>NA</t>
        </is>
      </c>
      <c r="AA941" s="270" t="inlineStr">
        <is>
          <t>NA</t>
        </is>
      </c>
      <c r="AB941" s="994" t="inlineStr">
        <is>
          <t>ANACREDIT, CALCULS PRUDENTIELS, CONGLOMERATS, DEI, ESG PILIER 3, GRR, OMP</t>
        </is>
      </c>
      <c r="AC941" s="231" t="inlineStr">
        <is>
          <t>ND</t>
        </is>
      </c>
      <c r="AD941" s="257" t="inlineStr">
        <is>
          <t>N</t>
        </is>
      </c>
      <c r="AE941" s="257" t="inlineStr">
        <is>
          <t>NA</t>
        </is>
      </c>
      <c r="AF941" s="257" t="inlineStr">
        <is>
          <t>NA</t>
        </is>
      </c>
      <c r="AG941" s="258" t="inlineStr">
        <is>
          <t>NA</t>
        </is>
      </c>
      <c r="AH941" s="89" t="n"/>
      <c r="AI941" s="435" t="inlineStr">
        <is>
          <t>La donnée est obligatoire si le Montant de la Part Non Utilisée [P2 4.16] est renseigné</t>
        </is>
      </c>
      <c r="AJ941" s="317" t="inlineStr">
        <is>
          <t>The data is mandatory if Amount of Undrawn Portion [P2 4.16] is filled</t>
        </is>
      </c>
      <c r="AK941" s="257" t="n">
        <v>7</v>
      </c>
      <c r="AL941" s="335" t="inlineStr">
        <is>
          <t>TPG0002</t>
        </is>
      </c>
      <c r="AM941" s="318" t="inlineStr">
        <is>
          <t>Si elle est renseignée, la valeur doit être connue du Langage Commun associé</t>
        </is>
      </c>
      <c r="AN941" s="317" t="inlineStr">
        <is>
          <t>If specified, the value must be known to the associated Common Language</t>
        </is>
      </c>
      <c r="AO941" s="257" t="n">
        <v>7</v>
      </c>
      <c r="AP941" s="212" t="inlineStr">
        <is>
          <t>TIG0001</t>
        </is>
      </c>
      <c r="AQ941" s="318" t="n"/>
      <c r="AR941" s="317" t="n"/>
      <c r="AS941" s="257" t="n"/>
      <c r="AT941" s="258" t="n"/>
      <c r="AU941" s="318" t="n"/>
      <c r="AV941" s="317" t="n"/>
      <c r="AW941" s="257" t="n"/>
      <c r="AX941" s="258" t="n"/>
      <c r="AY941" s="318" t="n"/>
      <c r="AZ941" s="317" t="n"/>
      <c r="BA941" s="257" t="n"/>
      <c r="BB941" s="258" t="n"/>
      <c r="BC941" s="316" t="n"/>
      <c r="BD941" s="317" t="n"/>
      <c r="BE941" s="257" t="n"/>
      <c r="BF941" s="258" t="n"/>
      <c r="BG941" s="89" t="n"/>
      <c r="BH9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41">
        <f>_xlfn.LET(r,ROW(),oc,INDEX($A:$A,r),cv,TRIM(INDEX($Y:$Y,r)&amp;""),IF(oc&lt;&gt;"P1","",IF(cv="45","V45 - novo, nao alimentado pelo spool atual","V44 - alimentado pelo spool atual")))</f>
        <v/>
      </c>
    </row>
    <row r="942" ht="54" customFormat="1" customHeight="1" s="55">
      <c r="A942" s="325" t="inlineStr">
        <is>
          <t>P2</t>
        </is>
      </c>
      <c r="B942" s="326" t="n">
        <v>45</v>
      </c>
      <c r="C942" s="284" t="inlineStr">
        <is>
          <t xml:space="preserve">19 - Données comptables </t>
        </is>
      </c>
      <c r="D942" s="284" t="inlineStr">
        <is>
          <t>19 - Accounting data</t>
        </is>
      </c>
      <c r="E942" s="326" t="inlineStr">
        <is>
          <t>P2 4.18</t>
        </is>
      </c>
      <c r="F942" s="327" t="inlineStr">
        <is>
          <t>Zone libre (Ex PCCO du montant déclaré)</t>
        </is>
      </c>
      <c r="G942" s="327" t="inlineStr">
        <is>
          <t>Free zone (Ex PCCO of declared amount)</t>
        </is>
      </c>
      <c r="H942" s="327" t="n"/>
      <c r="I942" s="329" t="inlineStr">
        <is>
          <t>Zone libre</t>
        </is>
      </c>
      <c r="J942" s="329" t="inlineStr">
        <is>
          <t>Free zone</t>
        </is>
      </c>
      <c r="K942" s="328" t="inlineStr">
        <is>
          <t>NA</t>
        </is>
      </c>
      <c r="L942" s="328" t="inlineStr">
        <is>
          <t>NA</t>
        </is>
      </c>
      <c r="M942" s="1421" t="inlineStr">
        <is>
          <t>Zonelibre418</t>
        </is>
      </c>
      <c r="N942" s="284" t="inlineStr">
        <is>
          <t>NA</t>
        </is>
      </c>
      <c r="O942" s="284" t="inlineStr">
        <is>
          <t>NA</t>
        </is>
      </c>
      <c r="P942" s="284" t="inlineStr">
        <is>
          <t>LC.0111</t>
        </is>
      </c>
      <c r="Q942" s="284" t="inlineStr">
        <is>
          <t>TA H8PCCO</t>
        </is>
      </c>
      <c r="R942" s="412" t="inlineStr">
        <is>
          <t>Laisser à vide</t>
        </is>
      </c>
      <c r="S942" s="245" t="inlineStr">
        <is>
          <t>Leave empty</t>
        </is>
      </c>
      <c r="T942" s="333" t="inlineStr">
        <is>
          <t>ALPHA</t>
        </is>
      </c>
      <c r="U942" s="256" t="inlineStr">
        <is>
          <t>NA</t>
        </is>
      </c>
      <c r="V942" s="256" t="inlineStr">
        <is>
          <t>NA</t>
        </is>
      </c>
      <c r="W942" s="328" t="n">
        <v>12</v>
      </c>
      <c r="X942" s="244" t="inlineStr">
        <is>
          <t>NA</t>
        </is>
      </c>
      <c r="Y942" s="248" t="inlineStr">
        <is>
          <t>NA</t>
        </is>
      </c>
      <c r="Z942" s="256" t="inlineStr">
        <is>
          <t>NA</t>
        </is>
      </c>
      <c r="AA942" s="248" t="inlineStr">
        <is>
          <t>NA</t>
        </is>
      </c>
      <c r="AB942" s="284" t="inlineStr">
        <is>
          <t>NA</t>
        </is>
      </c>
      <c r="AC942" s="244" t="inlineStr">
        <is>
          <t>NA</t>
        </is>
      </c>
      <c r="AD942" s="284" t="inlineStr">
        <is>
          <t>N</t>
        </is>
      </c>
      <c r="AE942" s="284" t="inlineStr">
        <is>
          <t>NA</t>
        </is>
      </c>
      <c r="AF942" s="284" t="inlineStr">
        <is>
          <t>NA</t>
        </is>
      </c>
      <c r="AG942" s="285" t="inlineStr">
        <is>
          <t>NA</t>
        </is>
      </c>
      <c r="AH942" s="89" t="n"/>
      <c r="AI942" s="330" t="n"/>
      <c r="AJ942" s="331" t="n"/>
      <c r="AK942" s="284" t="n"/>
      <c r="AL942" s="285" t="n"/>
      <c r="AM942" s="331" t="n"/>
      <c r="AN942" s="331" t="n"/>
      <c r="AO942" s="284" t="n"/>
      <c r="AP942" s="285" t="n"/>
      <c r="AQ942" s="331" t="n"/>
      <c r="AR942" s="331" t="n"/>
      <c r="AS942" s="284" t="n"/>
      <c r="AT942" s="285" t="n"/>
      <c r="AU942" s="331" t="n"/>
      <c r="AV942" s="331" t="n"/>
      <c r="AW942" s="284" t="n"/>
      <c r="AX942" s="285" t="n"/>
      <c r="AY942" s="331" t="n"/>
      <c r="AZ942" s="331" t="n"/>
      <c r="BA942" s="284" t="n"/>
      <c r="BB942" s="285" t="n"/>
      <c r="BC942" s="330" t="n"/>
      <c r="BD942" s="331" t="n"/>
      <c r="BE942" s="284" t="n"/>
      <c r="BF942" s="285" t="n"/>
      <c r="BG942" s="89" t="n"/>
      <c r="BH9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42">
        <f>_xlfn.LET(r,ROW(),oc,INDEX($A:$A,r),cv,TRIM(INDEX($Y:$Y,r)&amp;""),IF(oc&lt;&gt;"P1","",IF(cv="45","V45 - novo, nao alimentado pelo spool atual","V44 - alimentado pelo spool atual")))</f>
        <v/>
      </c>
    </row>
    <row r="943" ht="54" customFormat="1" customHeight="1" s="90">
      <c r="A943" s="306" t="inlineStr">
        <is>
          <t>P2</t>
        </is>
      </c>
      <c r="B943" s="307" t="n">
        <v>46</v>
      </c>
      <c r="C943" s="269" t="inlineStr">
        <is>
          <t>03 - Caractéristiques Générales</t>
        </is>
      </c>
      <c r="D943" s="310" t="inlineStr">
        <is>
          <t>03 - General characteristics</t>
        </is>
      </c>
      <c r="E943" s="307" t="inlineStr">
        <is>
          <t>P2 4.23</t>
        </is>
      </c>
      <c r="F943" s="308" t="inlineStr">
        <is>
          <t>Circuit de distribution</t>
        </is>
      </c>
      <c r="G943" s="309" t="inlineStr">
        <is>
          <t>Distribution channel</t>
        </is>
      </c>
      <c r="H943" s="309" t="n"/>
      <c r="I943" s="241" t="inlineStr">
        <is>
          <t>Circuit de distribution</t>
        </is>
      </c>
      <c r="J943" s="309" t="inlineStr">
        <is>
          <t>Distribution channel</t>
        </is>
      </c>
      <c r="K943" s="370" t="inlineStr">
        <is>
          <t>ND</t>
        </is>
      </c>
      <c r="L943" s="371" t="inlineStr">
        <is>
          <t>ND</t>
        </is>
      </c>
      <c r="M943" s="1420" t="inlineStr">
        <is>
          <t>cdCirDis</t>
        </is>
      </c>
      <c r="N943" s="449" t="inlineStr">
        <is>
          <t>Facultatif</t>
        </is>
      </c>
      <c r="O943" s="310" t="inlineStr">
        <is>
          <t>Optional</t>
        </is>
      </c>
      <c r="P943" s="269" t="inlineStr">
        <is>
          <t>LC.0143</t>
        </is>
      </c>
      <c r="Q943" s="269" t="inlineStr">
        <is>
          <t>TA KVCIRCUI</t>
        </is>
      </c>
      <c r="R943" s="241" t="inlineStr">
        <is>
          <t>NA</t>
        </is>
      </c>
      <c r="S943" s="233" t="inlineStr">
        <is>
          <t>NA</t>
        </is>
      </c>
      <c r="T943" s="313" t="inlineStr">
        <is>
          <t>ALPHA</t>
        </is>
      </c>
      <c r="U943" s="237" t="inlineStr">
        <is>
          <t>NA</t>
        </is>
      </c>
      <c r="V943" s="238" t="inlineStr">
        <is>
          <t>NA</t>
        </is>
      </c>
      <c r="W943" s="257" t="n">
        <v>2</v>
      </c>
      <c r="X943" s="945" t="inlineStr">
        <is>
          <t>NA</t>
        </is>
      </c>
      <c r="Y943" s="237" t="n">
        <v>40</v>
      </c>
      <c r="Z943" s="237" t="inlineStr">
        <is>
          <t>NA</t>
        </is>
      </c>
      <c r="AA943" s="978" t="inlineStr">
        <is>
          <t>NA</t>
        </is>
      </c>
      <c r="AB943" s="994" t="inlineStr">
        <is>
          <t>ANACREDIT, DEI, GRR</t>
        </is>
      </c>
      <c r="AC943" s="231" t="inlineStr">
        <is>
          <t>ND</t>
        </is>
      </c>
      <c r="AD943" s="257" t="inlineStr">
        <is>
          <t>N</t>
        </is>
      </c>
      <c r="AE943" s="257" t="inlineStr">
        <is>
          <t>NA</t>
        </is>
      </c>
      <c r="AF943" s="257" t="inlineStr">
        <is>
          <t>NA</t>
        </is>
      </c>
      <c r="AG943" s="258" t="inlineStr">
        <is>
          <t>NA</t>
        </is>
      </c>
      <c r="AH943" s="89" t="n"/>
      <c r="AI943" s="316" t="n"/>
      <c r="AJ943" s="317" t="n"/>
      <c r="AK943" s="257" t="n"/>
      <c r="AL943" s="258" t="n"/>
      <c r="AM943" s="318" t="inlineStr">
        <is>
          <t>Si elle est renseignée, la valeur doit être connue du Langage Commun associé</t>
        </is>
      </c>
      <c r="AN943" s="317" t="inlineStr">
        <is>
          <t>If specified, the value must be known to the associated Common Language</t>
        </is>
      </c>
      <c r="AO943" s="257" t="n">
        <v>7</v>
      </c>
      <c r="AP943" s="212" t="inlineStr">
        <is>
          <t>TIG0001</t>
        </is>
      </c>
      <c r="AQ943" s="318" t="n"/>
      <c r="AR943" s="317" t="n"/>
      <c r="AS943" s="257" t="n"/>
      <c r="AT943" s="258" t="n"/>
      <c r="AU943" s="318" t="n"/>
      <c r="AV943" s="317" t="n"/>
      <c r="AW943" s="257" t="n"/>
      <c r="AX943" s="258" t="n"/>
      <c r="AY943" s="318" t="n"/>
      <c r="AZ943" s="317" t="n"/>
      <c r="BA943" s="257" t="n"/>
      <c r="BB943" s="258" t="n"/>
      <c r="BC943" s="316" t="n"/>
      <c r="BD943" s="317" t="n"/>
      <c r="BE943" s="257" t="n"/>
      <c r="BF943" s="258" t="n"/>
      <c r="BG943" s="89" t="n"/>
      <c r="BH9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43">
        <f>_xlfn.LET(r,ROW(),oc,INDEX($A:$A,r),cv,TRIM(INDEX($Y:$Y,r)&amp;""),IF(oc&lt;&gt;"P1","",IF(cv="45","V45 - novo, nao alimentado pelo spool atual","V44 - alimentado pelo spool atual")))</f>
        <v/>
      </c>
    </row>
    <row r="944" ht="54" customFormat="1" customHeight="1" s="90">
      <c r="A944" s="306" t="inlineStr">
        <is>
          <t>P2</t>
        </is>
      </c>
      <c r="B944" s="307" t="n">
        <v>47</v>
      </c>
      <c r="C944" s="269" t="inlineStr">
        <is>
          <t>10 - Caractéristiques Engagements par Signature</t>
        </is>
      </c>
      <c r="D944" s="310" t="inlineStr">
        <is>
          <t>10 - Funds in use by signature characteristics</t>
        </is>
      </c>
      <c r="E944" s="307" t="inlineStr">
        <is>
          <t>P2 5.6</t>
        </is>
      </c>
      <c r="F944" s="308" t="inlineStr">
        <is>
          <t>Indicateur 'Prêt Revolving Roll-over'</t>
        </is>
      </c>
      <c r="G944" s="363" t="inlineStr">
        <is>
          <t>Revolving Loan Roll-over' indicator</t>
        </is>
      </c>
      <c r="H944" s="363" t="n"/>
      <c r="I944" s="241" t="inlineStr">
        <is>
          <t>Indicateur permettant de préciser si le prêt est de caractère 'Revolving' ou 'Roll-over'</t>
        </is>
      </c>
      <c r="J944" s="309" t="inlineStr">
        <is>
          <t>Indicator making it possible to specify whether the loan is 'Revolving' or 'Roll-over' in nature</t>
        </is>
      </c>
      <c r="K944" s="370" t="inlineStr">
        <is>
          <t>ND</t>
        </is>
      </c>
      <c r="L944" s="371" t="inlineStr">
        <is>
          <t>ND</t>
        </is>
      </c>
      <c r="M944" s="1420" t="inlineStr">
        <is>
          <t>cdIndRvRoll</t>
        </is>
      </c>
      <c r="N944" s="231" t="inlineStr">
        <is>
          <t>Facultatif</t>
        </is>
      </c>
      <c r="O944" s="310" t="inlineStr">
        <is>
          <t>Optional</t>
        </is>
      </c>
      <c r="P944" s="269" t="inlineStr">
        <is>
          <t>LC.0160</t>
        </is>
      </c>
      <c r="Q944" s="269" t="inlineStr">
        <is>
          <t>TA KVIREVOL</t>
        </is>
      </c>
      <c r="R944" s="241" t="inlineStr">
        <is>
          <t>NA</t>
        </is>
      </c>
      <c r="S944" s="233" t="inlineStr">
        <is>
          <t>NA</t>
        </is>
      </c>
      <c r="T944" s="313" t="inlineStr">
        <is>
          <t>ALPHA</t>
        </is>
      </c>
      <c r="U944" s="237" t="inlineStr">
        <is>
          <t>NA</t>
        </is>
      </c>
      <c r="V944" s="238" t="inlineStr">
        <is>
          <t>NA</t>
        </is>
      </c>
      <c r="W944" s="257" t="n">
        <v>1</v>
      </c>
      <c r="X944" s="945" t="inlineStr">
        <is>
          <t>NA</t>
        </is>
      </c>
      <c r="Y944" s="237" t="n">
        <v>40</v>
      </c>
      <c r="Z944" s="237" t="inlineStr">
        <is>
          <t>NA</t>
        </is>
      </c>
      <c r="AA944" s="237" t="inlineStr">
        <is>
          <t>NA</t>
        </is>
      </c>
      <c r="AB944" s="269" t="inlineStr">
        <is>
          <t>ANACREDIT, ASTRE</t>
        </is>
      </c>
      <c r="AC944" s="231" t="inlineStr">
        <is>
          <t>ND</t>
        </is>
      </c>
      <c r="AD944" s="257" t="inlineStr">
        <is>
          <t>N</t>
        </is>
      </c>
      <c r="AE944" s="257" t="inlineStr">
        <is>
          <t>NA</t>
        </is>
      </c>
      <c r="AF944" s="257" t="inlineStr">
        <is>
          <t>NA</t>
        </is>
      </c>
      <c r="AG944" s="258" t="inlineStr">
        <is>
          <t>NA</t>
        </is>
      </c>
      <c r="AH944" s="89" t="n"/>
      <c r="AI944" s="316" t="n"/>
      <c r="AJ944" s="317" t="n"/>
      <c r="AK944" s="257" t="n"/>
      <c r="AL944" s="258" t="n"/>
      <c r="AM944" s="318" t="inlineStr">
        <is>
          <t>Si elle est renseignée, la valeur doit être connue du Langage Commun associé</t>
        </is>
      </c>
      <c r="AN944" s="317" t="inlineStr">
        <is>
          <t>If specified, the value must be known to the associated Common Language</t>
        </is>
      </c>
      <c r="AO944" s="257" t="n">
        <v>7</v>
      </c>
      <c r="AP944" s="212" t="inlineStr">
        <is>
          <t>TIG0001</t>
        </is>
      </c>
      <c r="AQ944" s="318" t="n"/>
      <c r="AR944" s="317" t="n"/>
      <c r="AS944" s="257" t="n"/>
      <c r="AT944" s="258" t="n"/>
      <c r="AU944" s="318" t="n"/>
      <c r="AV944" s="317" t="n"/>
      <c r="AW944" s="257" t="n"/>
      <c r="AX944" s="258" t="n"/>
      <c r="AY944" s="318" t="n"/>
      <c r="AZ944" s="317" t="n"/>
      <c r="BA944" s="257" t="n"/>
      <c r="BB944" s="258" t="n"/>
      <c r="BC944" s="316" t="n"/>
      <c r="BD944" s="317" t="n"/>
      <c r="BE944" s="257" t="n"/>
      <c r="BF944" s="258" t="n"/>
      <c r="BG944" s="89" t="n"/>
      <c r="BH9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44">
        <f>_xlfn.LET(r,ROW(),oc,INDEX($A:$A,r),cv,TRIM(INDEX($Y:$Y,r)&amp;""),IF(oc&lt;&gt;"P1","",IF(cv="45","V45 - novo, nao alimentado pelo spool atual","V44 - alimentado pelo spool atual")))</f>
        <v/>
      </c>
    </row>
    <row r="945" ht="54" customFormat="1" customHeight="1" s="90">
      <c r="A945" s="306" t="inlineStr">
        <is>
          <t>P2</t>
        </is>
      </c>
      <c r="B945" s="307" t="n">
        <v>48</v>
      </c>
      <c r="C945" s="269" t="inlineStr">
        <is>
          <t>10 - Caractéristiques Engagements par Signature</t>
        </is>
      </c>
      <c r="D945" s="310" t="inlineStr">
        <is>
          <t>10 - Funds in use by signature characteristics</t>
        </is>
      </c>
      <c r="E945" s="307" t="inlineStr">
        <is>
          <t>P2 5.7</t>
        </is>
      </c>
      <c r="F945" s="308" t="inlineStr">
        <is>
          <t>Identifiant local du bénéficiaire final de l'EPS</t>
        </is>
      </c>
      <c r="G945" s="309" t="inlineStr">
        <is>
          <t>Local ID of the ultimate beneficiary of the signed undertaking</t>
        </is>
      </c>
      <c r="H945" s="309" t="n"/>
      <c r="I945" s="241" t="inlineStr">
        <is>
          <t>Identifiant du bénéficiaire final de l'EPS dans le système local utilisé pour générer le flux</t>
        </is>
      </c>
      <c r="J945" s="233" t="inlineStr">
        <is>
          <t>ID of ultimate beneficiary in the local system used to generate the flow</t>
        </is>
      </c>
      <c r="K945" s="370" t="inlineStr">
        <is>
          <t>ND</t>
        </is>
      </c>
      <c r="L945" s="371" t="inlineStr">
        <is>
          <t>ND</t>
        </is>
      </c>
      <c r="M945" s="1420" t="inlineStr">
        <is>
          <t>cdLocalBenefEPS</t>
        </is>
      </c>
      <c r="N945" s="231" t="inlineStr">
        <is>
          <t>Facultatif</t>
        </is>
      </c>
      <c r="O945" s="310" t="inlineStr">
        <is>
          <t>Optional</t>
        </is>
      </c>
      <c r="P945" s="269" t="inlineStr">
        <is>
          <t>NA</t>
        </is>
      </c>
      <c r="Q945" s="269" t="inlineStr">
        <is>
          <t>NA</t>
        </is>
      </c>
      <c r="R945" s="241" t="inlineStr">
        <is>
          <t>A renseigner en cas de bénéficiaire unique, il permet d'identifier le caractère intra ou extra Groupe CA de l'engagement.
En cas de bénéficiaires multiples, ne pas renseigner</t>
        </is>
      </c>
      <c r="S945" s="233" t="inlineStr">
        <is>
          <t>To be filled in where there is a single beneficiary. It makes it possible to identify whether the commitment is internal or external to the CA Group.
Not to be filled in where there are multiple beneficiaries</t>
        </is>
      </c>
      <c r="T945" s="313" t="inlineStr">
        <is>
          <t>ALPHA</t>
        </is>
      </c>
      <c r="U945" s="237" t="inlineStr">
        <is>
          <t>NA</t>
        </is>
      </c>
      <c r="V945" s="238" t="inlineStr">
        <is>
          <t>NA</t>
        </is>
      </c>
      <c r="W945" s="257" t="n">
        <v>20</v>
      </c>
      <c r="X945" s="945" t="inlineStr">
        <is>
          <t>NA</t>
        </is>
      </c>
      <c r="Y945" s="237" t="n">
        <v>40</v>
      </c>
      <c r="Z945" s="237" t="inlineStr">
        <is>
          <t>NA</t>
        </is>
      </c>
      <c r="AA945" s="270" t="inlineStr">
        <is>
          <t>NA</t>
        </is>
      </c>
      <c r="AB945" s="994" t="inlineStr">
        <is>
          <t>CALCULS PRUDENTIELS, DEI</t>
        </is>
      </c>
      <c r="AC945" s="231" t="inlineStr">
        <is>
          <t>ND</t>
        </is>
      </c>
      <c r="AD945" s="257" t="inlineStr">
        <is>
          <t>N</t>
        </is>
      </c>
      <c r="AE945" s="257" t="inlineStr">
        <is>
          <t>NA</t>
        </is>
      </c>
      <c r="AF945" s="257" t="inlineStr">
        <is>
          <t>NA</t>
        </is>
      </c>
      <c r="AG945" s="258" t="inlineStr">
        <is>
          <t>NA</t>
        </is>
      </c>
      <c r="AH945" s="89" t="n"/>
      <c r="AI945" s="316" t="n"/>
      <c r="AJ945" s="317" t="n"/>
      <c r="AK945" s="257" t="n"/>
      <c r="AL945" s="258" t="n"/>
      <c r="AM945" s="318" t="n"/>
      <c r="AN945" s="317" t="n"/>
      <c r="AO945" s="257" t="n"/>
      <c r="AP945" s="258" t="n"/>
      <c r="AQ945" s="318" t="n"/>
      <c r="AR945" s="317" t="n"/>
      <c r="AS945" s="257" t="n"/>
      <c r="AT945" s="258" t="n"/>
      <c r="AU945" s="318" t="n"/>
      <c r="AV945" s="317" t="n"/>
      <c r="AW945" s="257" t="n"/>
      <c r="AX945" s="258" t="n"/>
      <c r="AY945" s="337" t="inlineStr">
        <is>
          <t>Le tiers doit exister (présence du tiers dans TIGRE)
---
L'Identifiant local du tiers en risque doit etre identique à l'Identifiant local du tiers en risque du F2 lié</t>
        </is>
      </c>
      <c r="AZ945" s="317" t="inlineStr">
        <is>
          <t>The third-party must exist (presence of the third-party in TIGRE)
---
The local ID of the third party in risk must be identical to the local ID of the third party in risk of the linked F2</t>
        </is>
      </c>
      <c r="BA945" s="257" t="n">
        <v>6</v>
      </c>
      <c r="BB945" s="338" t="inlineStr">
        <is>
          <t>TIG0002
TC0096</t>
        </is>
      </c>
      <c r="BC945" s="316" t="n"/>
      <c r="BD945" s="317" t="n"/>
      <c r="BE945" s="257" t="n"/>
      <c r="BF945" s="258" t="n"/>
      <c r="BG945" s="89" t="n"/>
      <c r="BH9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45">
        <f>_xlfn.LET(r,ROW(),oc,INDEX($A:$A,r),cv,TRIM(INDEX($Y:$Y,r)&amp;""),IF(oc&lt;&gt;"P1","",IF(cv="45","V45 - novo, nao alimentado pelo spool atual","V44 - alimentado pelo spool atual")))</f>
        <v/>
      </c>
    </row>
    <row r="946" ht="54" customFormat="1" customHeight="1" s="90">
      <c r="A946" s="306" t="inlineStr">
        <is>
          <t>P2</t>
        </is>
      </c>
      <c r="B946" s="307" t="n">
        <v>49</v>
      </c>
      <c r="C946" s="269" t="inlineStr">
        <is>
          <t>10 - Caractéristiques Engagements par Signature</t>
        </is>
      </c>
      <c r="D946" s="310" t="inlineStr">
        <is>
          <t>10 - Funds in use by signature characteristics</t>
        </is>
      </c>
      <c r="E946" s="307" t="inlineStr">
        <is>
          <t>P2 5.8</t>
        </is>
      </c>
      <c r="F946" s="308" t="inlineStr">
        <is>
          <t>Identifiant central du bénéficiaire final de l'EPS</t>
        </is>
      </c>
      <c r="G946" s="309" t="inlineStr">
        <is>
          <t>Central ID of the ultimate beneficiary of the signed undertaking</t>
        </is>
      </c>
      <c r="H946" s="309" t="n"/>
      <c r="I946" s="241" t="inlineStr">
        <is>
          <t>Identifiant du bénéficiaire final de l'EPS dans le système central DRG</t>
        </is>
      </c>
      <c r="J946" s="309" t="inlineStr">
        <is>
          <t>ID of the ultimate beneficiary of the signed undertaking in the Group Risk Management Division IT system</t>
        </is>
      </c>
      <c r="K946" s="370" t="inlineStr">
        <is>
          <t>ND</t>
        </is>
      </c>
      <c r="L946" s="371" t="inlineStr">
        <is>
          <t>ND</t>
        </is>
      </c>
      <c r="M946" s="1420" t="inlineStr">
        <is>
          <t>cdCentralBenefEPS</t>
        </is>
      </c>
      <c r="N946" s="231" t="inlineStr">
        <is>
          <t>Facultatif</t>
        </is>
      </c>
      <c r="O946" s="310" t="inlineStr">
        <is>
          <t>Optional</t>
        </is>
      </c>
      <c r="P946" s="269" t="inlineStr">
        <is>
          <t>NA</t>
        </is>
      </c>
      <c r="Q946" s="269" t="inlineStr">
        <is>
          <t>NA</t>
        </is>
      </c>
      <c r="R946" s="241" t="inlineStr">
        <is>
          <t>Identifiant fourni par DRG dans le fichier mensuel Référentiel ‘Tiers groupes' transmis aux entités émettrices du flux</t>
        </is>
      </c>
      <c r="S946" s="233" t="inlineStr">
        <is>
          <t>ID provided by the Group Risk Management Division in the monthly “External Counterparties Groups” file (DTG) sent to entities issuing flows</t>
        </is>
      </c>
      <c r="T946" s="313" t="inlineStr">
        <is>
          <t>ALPHA</t>
        </is>
      </c>
      <c r="U946" s="237" t="inlineStr">
        <is>
          <t>NA</t>
        </is>
      </c>
      <c r="V946" s="238" t="inlineStr">
        <is>
          <t>NA</t>
        </is>
      </c>
      <c r="W946" s="257" t="n">
        <v>10</v>
      </c>
      <c r="X946" s="945" t="inlineStr">
        <is>
          <t>NA</t>
        </is>
      </c>
      <c r="Y946" s="237" t="n">
        <v>40</v>
      </c>
      <c r="Z946" s="237" t="inlineStr">
        <is>
          <t>NA</t>
        </is>
      </c>
      <c r="AA946" s="978" t="inlineStr">
        <is>
          <t>45.00</t>
        </is>
      </c>
      <c r="AB946" s="994" t="inlineStr">
        <is>
          <t>ASTRE, CALCULS PRUDENTIELS, CONGLOMERATS, DEI, ESG PILIER 3</t>
        </is>
      </c>
      <c r="AC946" s="231" t="inlineStr">
        <is>
          <t>ND</t>
        </is>
      </c>
      <c r="AD946" s="257" t="inlineStr">
        <is>
          <t>N</t>
        </is>
      </c>
      <c r="AE946" s="257" t="inlineStr">
        <is>
          <t>NA</t>
        </is>
      </c>
      <c r="AF946" s="257" t="inlineStr">
        <is>
          <t>NA</t>
        </is>
      </c>
      <c r="AG946" s="258" t="inlineStr">
        <is>
          <t>NA</t>
        </is>
      </c>
      <c r="AH946" s="89" t="n"/>
      <c r="AI946" s="316" t="n"/>
      <c r="AJ946" s="317" t="n"/>
      <c r="AK946" s="257" t="n"/>
      <c r="AL946" s="258" t="n"/>
      <c r="AM946" s="318" t="n"/>
      <c r="AN946" s="317" t="n"/>
      <c r="AO946" s="257" t="n"/>
      <c r="AP946" s="258" t="n"/>
      <c r="AQ946" s="318" t="n"/>
      <c r="AR946" s="317" t="n"/>
      <c r="AS946" s="257" t="n"/>
      <c r="AT946" s="258" t="n"/>
      <c r="AU946" s="318" t="n"/>
      <c r="AV946" s="317" t="n"/>
      <c r="AW946" s="257" t="n"/>
      <c r="AX946" s="258" t="n"/>
      <c r="AY946" s="1240" t="inlineStr">
        <is>
          <t>S'il est renseigné, l'identifiant doit correspondre à un enregistrement dans l'objet associé, indépendamment de l'entité
---
Le tiers doit exister (présence du tiers dans TIGRE)
---
Le couple identifiant local / central (P2 5.7 et P2 5.8) doit exister dans TIGRE</t>
        </is>
      </c>
      <c r="AZ946" s="931" t="inlineStr">
        <is>
          <t>If it is filled in, the identifier must correspond to a record in the associated object, regardless of the entity
---
The third-party must exist (presence of the third-party in TIGRE)
---
The local/central identifier pair (P2 5.7 and P2 5.8) must exist in TIGRE</t>
        </is>
      </c>
      <c r="BA946" s="1181" t="inlineStr">
        <is>
          <t>7
6
6</t>
        </is>
      </c>
      <c r="BB946" s="1182" t="inlineStr">
        <is>
          <t>TI0003
TIG0002
TIG0004</t>
        </is>
      </c>
      <c r="BC946" s="316" t="n"/>
      <c r="BD946" s="317" t="n"/>
      <c r="BE946" s="257" t="n"/>
      <c r="BF946" s="258" t="n"/>
      <c r="BG946" s="89" t="n"/>
      <c r="BH9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46">
        <f>_xlfn.LET(r,ROW(),oc,INDEX($A:$A,r),cv,TRIM(INDEX($Y:$Y,r)&amp;""),IF(oc&lt;&gt;"P1","",IF(cv="45","V45 - novo, nao alimentado pelo spool atual","V44 - alimentado pelo spool atual")))</f>
        <v/>
      </c>
    </row>
    <row r="947" ht="54" customFormat="1" customHeight="1" s="90">
      <c r="A947" s="306" t="inlineStr">
        <is>
          <t>P2</t>
        </is>
      </c>
      <c r="B947" s="307" t="n">
        <v>50</v>
      </c>
      <c r="C947" s="269" t="inlineStr">
        <is>
          <t>10 - Caractéristiques Engagements par Signature</t>
        </is>
      </c>
      <c r="D947" s="310" t="inlineStr">
        <is>
          <t>10 - Funds in use by signature characteristics</t>
        </is>
      </c>
      <c r="E947" s="307" t="inlineStr">
        <is>
          <t>P2 3.33</t>
        </is>
      </c>
      <c r="F947" s="308" t="inlineStr">
        <is>
          <t>Nature d'OPCVM Garanti</t>
        </is>
      </c>
      <c r="G947" s="309" t="inlineStr">
        <is>
          <t>Nature of the guaranteed mutual fund</t>
        </is>
      </c>
      <c r="H947" s="309" t="n"/>
      <c r="I947" s="241" t="inlineStr">
        <is>
          <t>Permet de déterminer le CCF des protections données aux OPCVM en central</t>
        </is>
      </c>
      <c r="J947" s="309" t="inlineStr">
        <is>
          <t>Makes it possible to determine the CCF of protection given to the UCITS centrally</t>
        </is>
      </c>
      <c r="K947" s="370" t="inlineStr">
        <is>
          <t>ND</t>
        </is>
      </c>
      <c r="L947" s="371" t="inlineStr">
        <is>
          <t>ND</t>
        </is>
      </c>
      <c r="M947" s="1420" t="inlineStr">
        <is>
          <t>cdNatOPCVM</t>
        </is>
      </c>
      <c r="N947" s="449" t="inlineStr">
        <is>
          <t>Facultatif</t>
        </is>
      </c>
      <c r="O947" s="310" t="inlineStr">
        <is>
          <t>Optional</t>
        </is>
      </c>
      <c r="P947" s="269" t="inlineStr">
        <is>
          <t>LC.0145</t>
        </is>
      </c>
      <c r="Q947" s="269" t="inlineStr">
        <is>
          <t>TA KVNOPCVM</t>
        </is>
      </c>
      <c r="R947" s="241" t="inlineStr">
        <is>
          <t>Si type de risque "SIGxxx, il permet de traiter en IRB A, les garanties aux OPCVM données par AMUNDI Finance</t>
        </is>
      </c>
      <c r="S947" s="233" t="inlineStr">
        <is>
          <t>If risk type “SIGxxx”, it makes it possible to treat UCITS guarantees given by AMUNDI Finance under A IRB</t>
        </is>
      </c>
      <c r="T947" s="313" t="inlineStr">
        <is>
          <t>ALPHA</t>
        </is>
      </c>
      <c r="U947" s="237" t="inlineStr">
        <is>
          <t>NA</t>
        </is>
      </c>
      <c r="V947" s="238" t="inlineStr">
        <is>
          <t>NA</t>
        </is>
      </c>
      <c r="W947" s="257" t="n">
        <v>2</v>
      </c>
      <c r="X947" s="945" t="inlineStr">
        <is>
          <t>NA</t>
        </is>
      </c>
      <c r="Y947" s="237" t="n">
        <v>40</v>
      </c>
      <c r="Z947" s="237" t="inlineStr">
        <is>
          <t>NA</t>
        </is>
      </c>
      <c r="AA947" s="270" t="inlineStr">
        <is>
          <t>NA</t>
        </is>
      </c>
      <c r="AB947" s="1287" t="inlineStr">
        <is>
          <t>USAGE ZP</t>
        </is>
      </c>
      <c r="AC947" s="231" t="inlineStr">
        <is>
          <t>ND</t>
        </is>
      </c>
      <c r="AD947" s="257" t="inlineStr">
        <is>
          <t>N</t>
        </is>
      </c>
      <c r="AE947" s="257" t="inlineStr">
        <is>
          <t>NA</t>
        </is>
      </c>
      <c r="AF947" s="257" t="inlineStr">
        <is>
          <t>NA</t>
        </is>
      </c>
      <c r="AG947" s="258" t="inlineStr">
        <is>
          <t>NA</t>
        </is>
      </c>
      <c r="AH947" s="89" t="n"/>
      <c r="AI947" s="316" t="n"/>
      <c r="AJ947" s="317" t="n"/>
      <c r="AK947" s="257" t="n"/>
      <c r="AL947" s="258" t="n"/>
      <c r="AM947" s="318" t="inlineStr">
        <is>
          <t>Si elle est renseignée, la valeur doit être connue du Langage Commun associé</t>
        </is>
      </c>
      <c r="AN947" s="317" t="inlineStr">
        <is>
          <t>If specified, the value must be known to the associated Common Language</t>
        </is>
      </c>
      <c r="AO947" s="257" t="n">
        <v>7</v>
      </c>
      <c r="AP947" s="212" t="inlineStr">
        <is>
          <t>TIG0001</t>
        </is>
      </c>
      <c r="AQ947" s="318" t="n"/>
      <c r="AR947" s="317" t="n"/>
      <c r="AS947" s="257" t="n"/>
      <c r="AT947" s="258" t="n"/>
      <c r="AU947" s="318" t="n"/>
      <c r="AV947" s="317" t="n"/>
      <c r="AW947" s="257" t="n"/>
      <c r="AX947" s="258" t="n"/>
      <c r="AY947" s="318" t="n"/>
      <c r="AZ947" s="317" t="n"/>
      <c r="BA947" s="257" t="n"/>
      <c r="BB947" s="258" t="n"/>
      <c r="BC947" s="316" t="n"/>
      <c r="BD947" s="317" t="n"/>
      <c r="BE947" s="257" t="n"/>
      <c r="BF947" s="258" t="n"/>
      <c r="BG947" s="89" t="n"/>
      <c r="BH9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47">
        <f>_xlfn.LET(r,ROW(),oc,INDEX($A:$A,r),cv,TRIM(INDEX($Y:$Y,r)&amp;""),IF(oc&lt;&gt;"P1","",IF(cv="45","V45 - novo, nao alimentado pelo spool atual","V44 - alimentado pelo spool atual")))</f>
        <v/>
      </c>
    </row>
    <row r="948" ht="54" customFormat="1" customHeight="1" s="90">
      <c r="A948" s="306" t="inlineStr">
        <is>
          <t>P2</t>
        </is>
      </c>
      <c r="B948" s="307" t="n">
        <v>51</v>
      </c>
      <c r="C948" s="269" t="inlineStr">
        <is>
          <t>10 - Caractéristiques Engagements par Signature</t>
        </is>
      </c>
      <c r="D948" s="310" t="inlineStr">
        <is>
          <t>10 - Funds in use by signature characteristics</t>
        </is>
      </c>
      <c r="E948" s="307" t="inlineStr">
        <is>
          <t>P2 5.10</t>
        </is>
      </c>
      <c r="F948" s="308" t="inlineStr">
        <is>
          <t>Indicateur Accord de Fusion</t>
        </is>
      </c>
      <c r="G948" s="309" t="inlineStr">
        <is>
          <t>Merger agreement indicator</t>
        </is>
      </c>
      <c r="H948" s="309" t="n"/>
      <c r="I948" s="241" t="inlineStr">
        <is>
          <t>Indicateur permettant de préciser si le prêt entre dans le cadre d'une lettre de fusion.
Indique que l'engagement a fait l'objet d'une compensation de comptes suite à l'accord de fusion</t>
        </is>
      </c>
      <c r="J948" s="233" t="inlineStr">
        <is>
          <t>Indicator making it possible to specify whether the loan outstanding amount comes under a merger letter.
Indicates that the commitment has been the subject of account netting following the merger agreement</t>
        </is>
      </c>
      <c r="K948" s="269" t="inlineStr">
        <is>
          <t>ND</t>
        </is>
      </c>
      <c r="L948" s="310" t="inlineStr">
        <is>
          <t>ND</t>
        </is>
      </c>
      <c r="M948" s="1420" t="inlineStr">
        <is>
          <t>indAccordFusion</t>
        </is>
      </c>
      <c r="N948" s="231" t="inlineStr">
        <is>
          <t>Facultatif</t>
        </is>
      </c>
      <c r="O948" s="310" t="inlineStr">
        <is>
          <t>Optional</t>
        </is>
      </c>
      <c r="P948" s="269" t="inlineStr">
        <is>
          <t>LC.0288</t>
        </is>
      </c>
      <c r="Q948" s="269" t="inlineStr">
        <is>
          <t>TA KVIAF</t>
        </is>
      </c>
      <c r="R948" s="241" t="inlineStr">
        <is>
          <t>NA</t>
        </is>
      </c>
      <c r="S948" s="233" t="inlineStr">
        <is>
          <t>NA</t>
        </is>
      </c>
      <c r="T948" s="313" t="inlineStr">
        <is>
          <t>ALPHA</t>
        </is>
      </c>
      <c r="U948" s="237" t="inlineStr">
        <is>
          <t>NA</t>
        </is>
      </c>
      <c r="V948" s="238" t="inlineStr">
        <is>
          <t>NA</t>
        </is>
      </c>
      <c r="W948" s="257" t="n">
        <v>1</v>
      </c>
      <c r="X948" s="945" t="inlineStr">
        <is>
          <t>NA</t>
        </is>
      </c>
      <c r="Y948" s="237" t="n">
        <v>40</v>
      </c>
      <c r="Z948" s="237" t="inlineStr">
        <is>
          <t>NA</t>
        </is>
      </c>
      <c r="AA948" s="283" t="inlineStr">
        <is>
          <t>NA</t>
        </is>
      </c>
      <c r="AB948" s="269" t="inlineStr">
        <is>
          <t>USAGE ZP</t>
        </is>
      </c>
      <c r="AC948" s="231" t="inlineStr">
        <is>
          <t>ND</t>
        </is>
      </c>
      <c r="AD948" s="257" t="inlineStr">
        <is>
          <t>N</t>
        </is>
      </c>
      <c r="AE948" s="257" t="inlineStr">
        <is>
          <t>NA</t>
        </is>
      </c>
      <c r="AF948" s="257" t="inlineStr">
        <is>
          <t>NA</t>
        </is>
      </c>
      <c r="AG948" s="258" t="inlineStr">
        <is>
          <t>NA</t>
        </is>
      </c>
      <c r="AH948" s="89" t="n"/>
      <c r="AI948" s="316" t="n"/>
      <c r="AJ948" s="317" t="n"/>
      <c r="AK948" s="257" t="n"/>
      <c r="AL948" s="258" t="n"/>
      <c r="AM948" s="796" t="inlineStr">
        <is>
          <t>Si elle est renseignée, la valeur doit être connue du Langage Commun associé</t>
        </is>
      </c>
      <c r="AN948" s="797" t="inlineStr">
        <is>
          <t>If specified, the value must be known to the associated Common Language</t>
        </is>
      </c>
      <c r="AO948" s="474" t="n">
        <v>7</v>
      </c>
      <c r="AP948" s="212" t="inlineStr">
        <is>
          <t>TIG0001</t>
        </is>
      </c>
      <c r="AQ948" s="421" t="n"/>
      <c r="AR948" s="422" t="n"/>
      <c r="AS948" s="348" t="n"/>
      <c r="AT948" s="423" t="n"/>
      <c r="AU948" s="318" t="n"/>
      <c r="AV948" s="317" t="n"/>
      <c r="AW948" s="257" t="n"/>
      <c r="AX948" s="258" t="n"/>
      <c r="AY948" s="318" t="n"/>
      <c r="AZ948" s="317" t="n"/>
      <c r="BA948" s="257" t="n"/>
      <c r="BB948" s="258" t="n"/>
      <c r="BC948" s="316" t="n"/>
      <c r="BD948" s="317" t="n"/>
      <c r="BE948" s="257" t="n"/>
      <c r="BF948" s="258" t="n"/>
      <c r="BG948" s="89" t="n"/>
      <c r="BH9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48">
        <f>_xlfn.LET(r,ROW(),oc,INDEX($A:$A,r),cv,TRIM(INDEX($Y:$Y,r)&amp;""),IF(oc&lt;&gt;"P1","",IF(cv="45","V45 - novo, nao alimentado pelo spool atual","V44 - alimentado pelo spool atual")))</f>
        <v/>
      </c>
    </row>
    <row r="949" ht="54" customFormat="1" customHeight="1" s="90">
      <c r="A949" s="306" t="inlineStr">
        <is>
          <t>P2</t>
        </is>
      </c>
      <c r="B949" s="307" t="n">
        <v>52</v>
      </c>
      <c r="C949" s="269" t="inlineStr">
        <is>
          <t>02 - Caractéristiques d'identification fonctionnelles</t>
        </is>
      </c>
      <c r="D949" s="310" t="inlineStr">
        <is>
          <t>02 - Functional identification characteristics</t>
        </is>
      </c>
      <c r="E949" s="307" t="inlineStr">
        <is>
          <t>P2 5.11</t>
        </is>
      </c>
      <c r="F949" s="308" t="inlineStr">
        <is>
          <t>Référence de la lettre de Fusion</t>
        </is>
      </c>
      <c r="G949" s="309" t="inlineStr">
        <is>
          <t>Merger letter reference code</t>
        </is>
      </c>
      <c r="H949" s="309" t="n"/>
      <c r="I949" s="241" t="inlineStr">
        <is>
          <t>Référence locale de la lettre de Fusion</t>
        </is>
      </c>
      <c r="J949" s="309" t="inlineStr">
        <is>
          <t>Local reference code of merger letter</t>
        </is>
      </c>
      <c r="K949" s="370" t="inlineStr">
        <is>
          <t>ND</t>
        </is>
      </c>
      <c r="L949" s="371" t="inlineStr">
        <is>
          <t>ND</t>
        </is>
      </c>
      <c r="M949" s="1420" t="inlineStr">
        <is>
          <t>idLettreFusion</t>
        </is>
      </c>
      <c r="N949" s="231" t="inlineStr">
        <is>
          <t>Facultatif</t>
        </is>
      </c>
      <c r="O949" s="310" t="inlineStr">
        <is>
          <t>Optional</t>
        </is>
      </c>
      <c r="P949" s="269" t="inlineStr">
        <is>
          <t>NA</t>
        </is>
      </c>
      <c r="Q949" s="269" t="inlineStr">
        <is>
          <t>NA</t>
        </is>
      </c>
      <c r="R949" s="241" t="inlineStr">
        <is>
          <t>NA</t>
        </is>
      </c>
      <c r="S949" s="233" t="inlineStr">
        <is>
          <t>NA</t>
        </is>
      </c>
      <c r="T949" s="313" t="inlineStr">
        <is>
          <t>ALPHA</t>
        </is>
      </c>
      <c r="U949" s="237" t="inlineStr">
        <is>
          <t>NA</t>
        </is>
      </c>
      <c r="V949" s="238" t="inlineStr">
        <is>
          <t>NA</t>
        </is>
      </c>
      <c r="W949" s="257" t="n">
        <v>25</v>
      </c>
      <c r="X949" s="945" t="inlineStr">
        <is>
          <t>NA</t>
        </is>
      </c>
      <c r="Y949" s="237" t="n">
        <v>40</v>
      </c>
      <c r="Z949" s="237" t="inlineStr">
        <is>
          <t>NA</t>
        </is>
      </c>
      <c r="AA949" s="237" t="inlineStr">
        <is>
          <t>NA</t>
        </is>
      </c>
      <c r="AB949" s="269" t="inlineStr">
        <is>
          <t>USAGE ZP</t>
        </is>
      </c>
      <c r="AC949" s="231" t="inlineStr">
        <is>
          <t>ND</t>
        </is>
      </c>
      <c r="AD949" s="257" t="inlineStr">
        <is>
          <t>N</t>
        </is>
      </c>
      <c r="AE949" s="257" t="inlineStr">
        <is>
          <t>NA</t>
        </is>
      </c>
      <c r="AF949" s="257" t="inlineStr">
        <is>
          <t>NA</t>
        </is>
      </c>
      <c r="AG949" s="258" t="inlineStr">
        <is>
          <t>NA</t>
        </is>
      </c>
      <c r="AH949" s="89" t="n"/>
      <c r="AI949" s="316" t="n"/>
      <c r="AJ949" s="317" t="n"/>
      <c r="AK949" s="257" t="n"/>
      <c r="AL949" s="345" t="n"/>
      <c r="AM949" s="318" t="n"/>
      <c r="AN949" s="317" t="n"/>
      <c r="AO949" s="257" t="n"/>
      <c r="AP949" s="258" t="n"/>
      <c r="AQ949" s="318" t="n"/>
      <c r="AR949" s="317" t="n"/>
      <c r="AS949" s="257" t="n"/>
      <c r="AT949" s="258" t="n"/>
      <c r="AU949" s="318" t="n"/>
      <c r="AV949" s="317" t="n"/>
      <c r="AW949" s="257" t="n"/>
      <c r="AX949" s="258" t="n"/>
      <c r="AY949" s="318" t="n"/>
      <c r="AZ949" s="317" t="n"/>
      <c r="BA949" s="257" t="n"/>
      <c r="BB949" s="258" t="n"/>
      <c r="BC949" s="316" t="n"/>
      <c r="BD949" s="317" t="n"/>
      <c r="BE949" s="257" t="n"/>
      <c r="BF949" s="258" t="n"/>
      <c r="BG949" s="89" t="n"/>
      <c r="BH9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49">
        <f>_xlfn.LET(r,ROW(),oc,INDEX($A:$A,r),cv,TRIM(INDEX($Y:$Y,r)&amp;""),IF(oc&lt;&gt;"P1","",IF(cv="45","V45 - novo, nao alimentado pelo spool atual","V44 - alimentado pelo spool atual")))</f>
        <v/>
      </c>
    </row>
    <row r="950" ht="54" customFormat="1" customHeight="1" s="90">
      <c r="A950" s="306" t="inlineStr">
        <is>
          <t>P2</t>
        </is>
      </c>
      <c r="B950" s="307" t="n">
        <v>53</v>
      </c>
      <c r="C950" s="269" t="inlineStr">
        <is>
          <t>18 - Caractéristiques Titrisation</t>
        </is>
      </c>
      <c r="D950" s="310" t="inlineStr">
        <is>
          <t>18 - Securitization characteristics</t>
        </is>
      </c>
      <c r="E950" s="307" t="inlineStr">
        <is>
          <t>P2 16.3</t>
        </is>
      </c>
      <c r="F950" s="308" t="inlineStr">
        <is>
          <t>Séniorité de la tranche dans le véhicule</t>
        </is>
      </c>
      <c r="G950" s="309" t="inlineStr">
        <is>
          <t>Seniority of tranche in vehicle</t>
        </is>
      </c>
      <c r="H950" s="309" t="n"/>
      <c r="I950" s="241" t="inlineStr">
        <is>
          <t>Séniorité de la tranche sous-jacente à l'opération</t>
        </is>
      </c>
      <c r="J950" s="309" t="inlineStr">
        <is>
          <t>Seniority of the tranche underlying the transaction</t>
        </is>
      </c>
      <c r="K950" s="370" t="inlineStr">
        <is>
          <t>ND</t>
        </is>
      </c>
      <c r="L950" s="371" t="inlineStr">
        <is>
          <t>ND</t>
        </is>
      </c>
      <c r="M950" s="1420" t="inlineStr">
        <is>
          <t>SenTranVeh</t>
        </is>
      </c>
      <c r="N950" s="269" t="inlineStr">
        <is>
          <t>Obligatoire sous conditions</t>
        </is>
      </c>
      <c r="O950" s="310" t="inlineStr">
        <is>
          <t>Mandatory under conditions</t>
        </is>
      </c>
      <c r="P950" s="269" t="inlineStr">
        <is>
          <t>LC.0026</t>
        </is>
      </c>
      <c r="Q950" s="269" t="inlineStr">
        <is>
          <t>TA KVSENIOR</t>
        </is>
      </c>
      <c r="R950" s="241" t="inlineStr">
        <is>
          <t>NA</t>
        </is>
      </c>
      <c r="S950" s="233" t="inlineStr">
        <is>
          <t>NA</t>
        </is>
      </c>
      <c r="T950" s="313" t="inlineStr">
        <is>
          <t>ALPHA</t>
        </is>
      </c>
      <c r="U950" s="237" t="inlineStr">
        <is>
          <t>NA</t>
        </is>
      </c>
      <c r="V950" s="238" t="inlineStr">
        <is>
          <t>NA</t>
        </is>
      </c>
      <c r="W950" s="257" t="n">
        <v>3</v>
      </c>
      <c r="X950" s="945" t="inlineStr">
        <is>
          <t>NA</t>
        </is>
      </c>
      <c r="Y950" s="237" t="n">
        <v>40</v>
      </c>
      <c r="Z950" s="237" t="inlineStr">
        <is>
          <t>NA</t>
        </is>
      </c>
      <c r="AA950" s="270" t="inlineStr">
        <is>
          <t>NA</t>
        </is>
      </c>
      <c r="AB950" s="994" t="inlineStr">
        <is>
          <t>AER, ANACREDIT, CALCULS PRUDENTIELS, DEI</t>
        </is>
      </c>
      <c r="AC950" s="231" t="inlineStr">
        <is>
          <t>ND</t>
        </is>
      </c>
      <c r="AD950" s="257" t="inlineStr">
        <is>
          <t>N</t>
        </is>
      </c>
      <c r="AE950" s="257" t="inlineStr">
        <is>
          <t>NA</t>
        </is>
      </c>
      <c r="AF950" s="257" t="inlineStr">
        <is>
          <t>NA</t>
        </is>
      </c>
      <c r="AG950" s="258" t="inlineStr">
        <is>
          <t>NA</t>
        </is>
      </c>
      <c r="AH950" s="89" t="n"/>
      <c r="AI950" s="353" t="inlineStr">
        <is>
          <t xml:space="preserve">La donnée est obligatoire si le Portefeuille Bâle Opération [P2 2.18] = ‘070' </t>
        </is>
      </c>
      <c r="AJ950" s="317" t="inlineStr">
        <is>
          <t xml:space="preserve">The data is mandatory if Basel Transaction Portfolio [P2 2.18] = ‘070' </t>
        </is>
      </c>
      <c r="AK950" s="269" t="n">
        <v>6</v>
      </c>
      <c r="AL950" s="335" t="inlineStr">
        <is>
          <t>TPS1701</t>
        </is>
      </c>
      <c r="AM950" s="452" t="inlineStr">
        <is>
          <t>Si elle est renseignée, la valeur doit être connue du Langage Commun associé</t>
        </is>
      </c>
      <c r="AN950" s="377" t="inlineStr">
        <is>
          <t>If specified, the value must be known to the associated Common Language</t>
        </is>
      </c>
      <c r="AO950" s="257" t="n">
        <v>7</v>
      </c>
      <c r="AP950" s="212" t="inlineStr">
        <is>
          <t>TIG0001</t>
        </is>
      </c>
      <c r="AQ950" s="318" t="n"/>
      <c r="AR950" s="317" t="n"/>
      <c r="AS950" s="257" t="n"/>
      <c r="AT950" s="258" t="n"/>
      <c r="AU950" s="318" t="n"/>
      <c r="AV950" s="317" t="n"/>
      <c r="AW950" s="257" t="n"/>
      <c r="AX950" s="258" t="n"/>
      <c r="AY950" s="318" t="n"/>
      <c r="AZ950" s="317" t="n"/>
      <c r="BA950" s="257" t="n"/>
      <c r="BB950" s="258" t="n"/>
      <c r="BC950" s="316" t="n"/>
      <c r="BD950" s="317" t="n"/>
      <c r="BE950" s="257" t="n"/>
      <c r="BF950" s="258" t="n"/>
      <c r="BG950" s="89" t="n"/>
      <c r="BH9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50">
        <f>_xlfn.LET(r,ROW(),oc,INDEX($A:$A,r),cv,TRIM(INDEX($Y:$Y,r)&amp;""),IF(oc&lt;&gt;"P1","",IF(cv="45","V45 - novo, nao alimentado pelo spool atual","V44 - alimentado pelo spool atual")))</f>
        <v/>
      </c>
    </row>
    <row r="951" ht="54" customFormat="1" customHeight="1" s="55">
      <c r="A951" s="325" t="inlineStr">
        <is>
          <t>P2</t>
        </is>
      </c>
      <c r="B951" s="326" t="n">
        <v>54</v>
      </c>
      <c r="C951" s="284" t="inlineStr">
        <is>
          <t>18 - Caractéristiques Titrisation</t>
        </is>
      </c>
      <c r="D951" s="284" t="inlineStr">
        <is>
          <t>18 - Securitization characteristics</t>
        </is>
      </c>
      <c r="E951" s="326" t="inlineStr">
        <is>
          <t>P2 11.33</t>
        </is>
      </c>
      <c r="F951" s="327" t="inlineStr">
        <is>
          <t>Rating de la tranche</t>
        </is>
      </c>
      <c r="G951" s="327" t="inlineStr">
        <is>
          <t>Tranche rating</t>
        </is>
      </c>
      <c r="H951" s="327" t="n"/>
      <c r="I951" s="245" t="inlineStr">
        <is>
          <t>Rating de la tranche dans l'échelle de la source du rating</t>
        </is>
      </c>
      <c r="J951" s="327" t="inlineStr">
        <is>
          <t>Rating of the tranche in the rating source</t>
        </is>
      </c>
      <c r="K951" s="284" t="inlineStr">
        <is>
          <t>NA</t>
        </is>
      </c>
      <c r="L951" s="284" t="inlineStr">
        <is>
          <t>NA</t>
        </is>
      </c>
      <c r="M951" s="1421" t="inlineStr">
        <is>
          <t>cdRatTra</t>
        </is>
      </c>
      <c r="N951" s="284" t="inlineStr">
        <is>
          <t>NA</t>
        </is>
      </c>
      <c r="O951" s="284" t="inlineStr">
        <is>
          <t>NA</t>
        </is>
      </c>
      <c r="P951" s="284" t="inlineStr">
        <is>
          <t>LC.0355</t>
        </is>
      </c>
      <c r="Q951" s="284" t="inlineStr">
        <is>
          <t>RB HHRATING</t>
        </is>
      </c>
      <c r="R951" s="245" t="inlineStr">
        <is>
          <t>NA</t>
        </is>
      </c>
      <c r="S951" s="245" t="inlineStr">
        <is>
          <t>NA</t>
        </is>
      </c>
      <c r="T951" s="326" t="inlineStr">
        <is>
          <t>ALPHA</t>
        </is>
      </c>
      <c r="U951" s="248" t="inlineStr">
        <is>
          <t>NA</t>
        </is>
      </c>
      <c r="V951" s="248" t="inlineStr">
        <is>
          <t>NA</t>
        </is>
      </c>
      <c r="W951" s="284" t="n">
        <v>5</v>
      </c>
      <c r="X951" s="244" t="inlineStr">
        <is>
          <t>NA</t>
        </is>
      </c>
      <c r="Y951" s="248" t="n">
        <v>40</v>
      </c>
      <c r="Z951" s="248" t="n">
        <v>43</v>
      </c>
      <c r="AA951" s="248" t="inlineStr">
        <is>
          <t>NA</t>
        </is>
      </c>
      <c r="AB951" s="284" t="inlineStr">
        <is>
          <t>ANACREDIT, COREP - RS STD, COREP TITRISATION</t>
        </is>
      </c>
      <c r="AC951" s="244" t="inlineStr">
        <is>
          <t>NA</t>
        </is>
      </c>
      <c r="AD951" s="284" t="inlineStr">
        <is>
          <t>N</t>
        </is>
      </c>
      <c r="AE951" s="284" t="inlineStr">
        <is>
          <t>NA</t>
        </is>
      </c>
      <c r="AF951" s="284" t="inlineStr">
        <is>
          <t>NA</t>
        </is>
      </c>
      <c r="AG951" s="285" t="inlineStr">
        <is>
          <t>NA</t>
        </is>
      </c>
      <c r="AH951" s="89" t="n"/>
      <c r="AI951" s="506" t="n"/>
      <c r="AJ951" s="507" t="n"/>
      <c r="AK951" s="508" t="n"/>
      <c r="AL951" s="509" t="n"/>
      <c r="AM951" s="510" t="n"/>
      <c r="AN951" s="510" t="n"/>
      <c r="AO951" s="508" t="n"/>
      <c r="AP951" s="509" t="n"/>
      <c r="AQ951" s="331" t="n"/>
      <c r="AR951" s="331" t="n"/>
      <c r="AS951" s="284" t="n"/>
      <c r="AT951" s="285" t="n"/>
      <c r="AU951" s="331" t="n"/>
      <c r="AV951" s="331" t="n"/>
      <c r="AW951" s="284" t="n"/>
      <c r="AX951" s="285" t="n"/>
      <c r="AY951" s="331" t="n"/>
      <c r="AZ951" s="331" t="n"/>
      <c r="BA951" s="284" t="n"/>
      <c r="BB951" s="285" t="n"/>
      <c r="BC951" s="330" t="n"/>
      <c r="BD951" s="331" t="n"/>
      <c r="BE951" s="284" t="n"/>
      <c r="BF951" s="285" t="n"/>
      <c r="BG951" s="89" t="n"/>
      <c r="BH9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51">
        <f>_xlfn.LET(r,ROW(),oc,INDEX($A:$A,r),cv,TRIM(INDEX($Y:$Y,r)&amp;""),IF(oc&lt;&gt;"P1","",IF(cv="45","V45 - novo, nao alimentado pelo spool atual","V44 - alimentado pelo spool atual")))</f>
        <v/>
      </c>
    </row>
    <row r="952" ht="54" customFormat="1" customHeight="1" s="55">
      <c r="A952" s="325" t="inlineStr">
        <is>
          <t>P2</t>
        </is>
      </c>
      <c r="B952" s="326" t="n">
        <v>55</v>
      </c>
      <c r="C952" s="284" t="inlineStr">
        <is>
          <t>NA</t>
        </is>
      </c>
      <c r="D952" s="284" t="inlineStr">
        <is>
          <t>NA</t>
        </is>
      </c>
      <c r="E952" s="326" t="inlineStr">
        <is>
          <t>P2 11.12</t>
        </is>
      </c>
      <c r="F952" s="327" t="inlineStr">
        <is>
          <t>Source du rating de la tranche</t>
        </is>
      </c>
      <c r="G952" s="327" t="inlineStr">
        <is>
          <t>Source of tranche rating</t>
        </is>
      </c>
      <c r="H952" s="327" t="n"/>
      <c r="I952" s="245" t="inlineStr">
        <is>
          <t>Source du rating de la tranche</t>
        </is>
      </c>
      <c r="J952" s="327" t="inlineStr">
        <is>
          <t>Source of tranche rating</t>
        </is>
      </c>
      <c r="K952" s="388" t="inlineStr">
        <is>
          <t>NA</t>
        </is>
      </c>
      <c r="L952" s="388" t="inlineStr">
        <is>
          <t>NA</t>
        </is>
      </c>
      <c r="M952" s="1421" t="inlineStr">
        <is>
          <t>cdSrcRatTra</t>
        </is>
      </c>
      <c r="N952" s="244" t="inlineStr">
        <is>
          <t>NA</t>
        </is>
      </c>
      <c r="O952" s="284" t="inlineStr">
        <is>
          <t>NA</t>
        </is>
      </c>
      <c r="P952" s="284" t="inlineStr">
        <is>
          <t>NA</t>
        </is>
      </c>
      <c r="Q952" s="284" t="inlineStr">
        <is>
          <t>NA</t>
        </is>
      </c>
      <c r="R952" s="245" t="inlineStr">
        <is>
          <t>Concerne les encours déclarés en portefeuille Bâle Opération (P2 2.18) = '070' (Titrisation)
Les valeurs possibles sont : 
sources externes : 
01 : FITCH, 
02 : MOODYS
03 : S&amp;P, 
source interne dite : 
04 : IAA</t>
        </is>
      </c>
      <c r="S952" s="245" t="inlineStr">
        <is>
          <t>Concerns outstandings reported in the basel transaction portfolio (P2 2.18) = '070' (securitization)
The possible values are: 
External sources: 
01: FITCH, 
02: MOODY'S
03: S&amp;P, 
So-called internal source: 
04: IAA</t>
        </is>
      </c>
      <c r="T952" s="326" t="inlineStr">
        <is>
          <t>ALPHA</t>
        </is>
      </c>
      <c r="U952" s="248" t="inlineStr">
        <is>
          <t>NA</t>
        </is>
      </c>
      <c r="V952" s="248" t="inlineStr">
        <is>
          <t>NA</t>
        </is>
      </c>
      <c r="W952" s="284" t="n">
        <v>2</v>
      </c>
      <c r="X952" s="244" t="inlineStr">
        <is>
          <t>NA</t>
        </is>
      </c>
      <c r="Y952" s="248" t="n">
        <v>40</v>
      </c>
      <c r="Z952" s="248" t="n">
        <v>43</v>
      </c>
      <c r="AA952" s="248" t="inlineStr">
        <is>
          <t>NA</t>
        </is>
      </c>
      <c r="AB952" s="284" t="inlineStr">
        <is>
          <t>ANACREDIT, COREP - RS STD, COREP TITRISATION</t>
        </is>
      </c>
      <c r="AC952" s="244" t="inlineStr">
        <is>
          <t>NA</t>
        </is>
      </c>
      <c r="AD952" s="284" t="inlineStr">
        <is>
          <t>N</t>
        </is>
      </c>
      <c r="AE952" s="284" t="inlineStr">
        <is>
          <t>NA</t>
        </is>
      </c>
      <c r="AF952" s="284" t="inlineStr">
        <is>
          <t>NA</t>
        </is>
      </c>
      <c r="AG952" s="285" t="inlineStr">
        <is>
          <t>NA</t>
        </is>
      </c>
      <c r="AH952" s="89" t="n"/>
      <c r="AI952" s="506" t="n"/>
      <c r="AJ952" s="331" t="n"/>
      <c r="AK952" s="508" t="n"/>
      <c r="AL952" s="285" t="n"/>
      <c r="AM952" s="331" t="n"/>
      <c r="AN952" s="331" t="n"/>
      <c r="AO952" s="284" t="n"/>
      <c r="AP952" s="285" t="n"/>
      <c r="AQ952" s="507" t="n"/>
      <c r="AR952" s="507" t="n"/>
      <c r="AS952" s="508" t="n"/>
      <c r="AT952" s="423" t="n"/>
      <c r="AU952" s="331" t="n"/>
      <c r="AV952" s="331" t="n"/>
      <c r="AW952" s="284" t="n"/>
      <c r="AX952" s="285" t="n"/>
      <c r="AY952" s="331" t="n"/>
      <c r="AZ952" s="331" t="n"/>
      <c r="BA952" s="284" t="n"/>
      <c r="BB952" s="285" t="n"/>
      <c r="BC952" s="330" t="n"/>
      <c r="BD952" s="331" t="n"/>
      <c r="BE952" s="284" t="n"/>
      <c r="BF952" s="285" t="n"/>
      <c r="BG952" s="89" t="n"/>
      <c r="BH9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52">
        <f>_xlfn.LET(r,ROW(),oc,INDEX($A:$A,r),cv,TRIM(INDEX($Y:$Y,r)&amp;""),IF(oc&lt;&gt;"P1","",IF(cv="45","V45 - novo, nao alimentado pelo spool atual","V44 - alimentado pelo spool atual")))</f>
        <v/>
      </c>
    </row>
    <row r="953" ht="54" customFormat="1" customHeight="1" s="90">
      <c r="A953" s="306" t="inlineStr">
        <is>
          <t>P2</t>
        </is>
      </c>
      <c r="B953" s="307" t="n">
        <v>56</v>
      </c>
      <c r="C953" s="269" t="inlineStr">
        <is>
          <t>18 - Caractéristiques Titrisation</t>
        </is>
      </c>
      <c r="D953" s="310" t="inlineStr">
        <is>
          <t>18 - Securitization characteristics</t>
        </is>
      </c>
      <c r="E953" s="307" t="inlineStr">
        <is>
          <t>P2 16.9</t>
        </is>
      </c>
      <c r="F953" s="308" t="inlineStr">
        <is>
          <t>Indicateur 'Granularité des parts'</t>
        </is>
      </c>
      <c r="G953" s="363" t="inlineStr">
        <is>
          <t>Granularity of units' Indicator</t>
        </is>
      </c>
      <c r="H953" s="363" t="n"/>
      <c r="I953" s="241" t="inlineStr">
        <is>
          <t>Indicateur permettant d'apprécier la granularité des actifs sous- jacents titrisés</t>
        </is>
      </c>
      <c r="J953" s="309" t="inlineStr">
        <is>
          <t>Indicator making it possible to assess the granularity of the securitised underlying assets</t>
        </is>
      </c>
      <c r="K953" s="370" t="inlineStr">
        <is>
          <t>ND</t>
        </is>
      </c>
      <c r="L953" s="371" t="inlineStr">
        <is>
          <t>ND</t>
        </is>
      </c>
      <c r="M953" s="1420" t="inlineStr">
        <is>
          <t>cdGranularitePart</t>
        </is>
      </c>
      <c r="N953" s="231" t="inlineStr">
        <is>
          <t>Facultatif</t>
        </is>
      </c>
      <c r="O953" s="310" t="inlineStr">
        <is>
          <t>Optional</t>
        </is>
      </c>
      <c r="P953" s="269" t="inlineStr">
        <is>
          <t>NA</t>
        </is>
      </c>
      <c r="Q953" s="269" t="inlineStr">
        <is>
          <t>NA</t>
        </is>
      </c>
      <c r="R953" s="241" t="inlineStr">
        <is>
          <t>Concerne les encours déclarés en portefeuille Bâle Opération (P2 2.18) = '070' (Titrisation)
Il s'agit de la granularité au sens Bâlois</t>
        </is>
      </c>
      <c r="S953" s="233" t="inlineStr">
        <is>
          <t>Only for outstandings reported in the basel transaction portfolio (P2 2.18) = '070' (securitization)
This is the granularity for Basel II purposes</t>
        </is>
      </c>
      <c r="T953" s="313" t="inlineStr">
        <is>
          <t>ALPHA</t>
        </is>
      </c>
      <c r="U953" s="237" t="inlineStr">
        <is>
          <t>NA</t>
        </is>
      </c>
      <c r="V953" s="238" t="inlineStr">
        <is>
          <t>NA</t>
        </is>
      </c>
      <c r="W953" s="257" t="n">
        <v>1</v>
      </c>
      <c r="X953" s="945" t="inlineStr">
        <is>
          <t>NA</t>
        </is>
      </c>
      <c r="Y953" s="237" t="n">
        <v>40</v>
      </c>
      <c r="Z953" s="237" t="inlineStr">
        <is>
          <t>NA</t>
        </is>
      </c>
      <c r="AA953" s="237" t="inlineStr">
        <is>
          <t>NA</t>
        </is>
      </c>
      <c r="AB953" s="269" t="inlineStr">
        <is>
          <t>ANACREDIT</t>
        </is>
      </c>
      <c r="AC953" s="231" t="inlineStr">
        <is>
          <t>ND</t>
        </is>
      </c>
      <c r="AD953" s="257" t="inlineStr">
        <is>
          <t>N</t>
        </is>
      </c>
      <c r="AE953" s="257" t="inlineStr">
        <is>
          <t>NA</t>
        </is>
      </c>
      <c r="AF953" s="257" t="inlineStr">
        <is>
          <t>NA</t>
        </is>
      </c>
      <c r="AG953" s="258" t="inlineStr">
        <is>
          <t>NA</t>
        </is>
      </c>
      <c r="AH953" s="89" t="n"/>
      <c r="AI953" s="629" t="n"/>
      <c r="AJ953" s="317" t="n"/>
      <c r="AK953" s="630" t="n"/>
      <c r="AL953" s="258" t="n"/>
      <c r="AM953" s="318" t="n"/>
      <c r="AN953" s="317" t="n"/>
      <c r="AO953" s="257" t="n"/>
      <c r="AP953" s="258" t="n"/>
      <c r="AQ953" s="1395" t="n"/>
      <c r="AR953" s="422" t="n"/>
      <c r="AS953" s="630" t="n"/>
      <c r="AT953" s="364" t="n"/>
      <c r="AU953" s="318" t="n"/>
      <c r="AV953" s="317" t="n"/>
      <c r="AW953" s="257" t="n"/>
      <c r="AX953" s="258" t="n"/>
      <c r="AY953" s="318" t="n"/>
      <c r="AZ953" s="317" t="n"/>
      <c r="BA953" s="257" t="n"/>
      <c r="BB953" s="258" t="n"/>
      <c r="BC953" s="316" t="n"/>
      <c r="BD953" s="317" t="n"/>
      <c r="BE953" s="257" t="n"/>
      <c r="BF953" s="258" t="n"/>
      <c r="BG953" s="89" t="n"/>
      <c r="BH9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53">
        <f>_xlfn.LET(r,ROW(),oc,INDEX($A:$A,r),cv,TRIM(INDEX($Y:$Y,r)&amp;""),IF(oc&lt;&gt;"P1","",IF(cv="45","V45 - novo, nao alimentado pelo spool atual","V44 - alimentado pelo spool atual")))</f>
        <v/>
      </c>
    </row>
    <row r="954" ht="54" customFormat="1" customHeight="1" s="90">
      <c r="A954" s="306" t="inlineStr">
        <is>
          <t>P2</t>
        </is>
      </c>
      <c r="B954" s="307" t="n">
        <v>57</v>
      </c>
      <c r="C954" s="269" t="inlineStr">
        <is>
          <t>18 - Caractéristiques Titrisation</t>
        </is>
      </c>
      <c r="D954" s="310" t="inlineStr">
        <is>
          <t>18 - Securitization characteristics</t>
        </is>
      </c>
      <c r="E954" s="307" t="inlineStr">
        <is>
          <t>P2 16.12</t>
        </is>
      </c>
      <c r="F954" s="308" t="inlineStr">
        <is>
          <t>Code position de la banque dans le programme</t>
        </is>
      </c>
      <c r="G954" s="309" t="inlineStr">
        <is>
          <t>Position code of bank in program</t>
        </is>
      </c>
      <c r="H954" s="309" t="n"/>
      <c r="I954" s="241" t="inlineStr">
        <is>
          <t>Correspond à la position ou statut de la banque dans le programme de titrisation</t>
        </is>
      </c>
      <c r="J954" s="309" t="inlineStr">
        <is>
          <t>Represents the position or status of the bank in the securitisation program</t>
        </is>
      </c>
      <c r="K954" s="370" t="inlineStr">
        <is>
          <t>ND</t>
        </is>
      </c>
      <c r="L954" s="371" t="inlineStr">
        <is>
          <t>ND</t>
        </is>
      </c>
      <c r="M954" s="1420" t="inlineStr">
        <is>
          <t>cdPosBankProg</t>
        </is>
      </c>
      <c r="N954" s="269" t="inlineStr">
        <is>
          <t>Obligatoire sous conditions</t>
        </is>
      </c>
      <c r="O954" s="310" t="inlineStr">
        <is>
          <t>Mandatory under conditions</t>
        </is>
      </c>
      <c r="P954" s="269" t="inlineStr">
        <is>
          <t>LC.0113</t>
        </is>
      </c>
      <c r="Q954" s="269" t="inlineStr">
        <is>
          <t>TA KVPTITRI</t>
        </is>
      </c>
      <c r="R954" s="241" t="inlineStr">
        <is>
          <t>NA</t>
        </is>
      </c>
      <c r="S954" s="233" t="inlineStr">
        <is>
          <t>NA</t>
        </is>
      </c>
      <c r="T954" s="313" t="inlineStr">
        <is>
          <t>ALPHA</t>
        </is>
      </c>
      <c r="U954" s="237" t="inlineStr">
        <is>
          <t>NA</t>
        </is>
      </c>
      <c r="V954" s="238" t="inlineStr">
        <is>
          <t>NA</t>
        </is>
      </c>
      <c r="W954" s="257" t="n">
        <v>1</v>
      </c>
      <c r="X954" s="945" t="inlineStr">
        <is>
          <t>NA</t>
        </is>
      </c>
      <c r="Y954" s="237" t="n">
        <v>40</v>
      </c>
      <c r="Z954" s="237" t="inlineStr">
        <is>
          <t>NA</t>
        </is>
      </c>
      <c r="AA954" s="270" t="inlineStr">
        <is>
          <t>NA</t>
        </is>
      </c>
      <c r="AB954" s="994" t="inlineStr">
        <is>
          <t>ANACREDIT, CALCULS PRUDENTIELS</t>
        </is>
      </c>
      <c r="AC954" s="231" t="inlineStr">
        <is>
          <t>ND</t>
        </is>
      </c>
      <c r="AD954" s="257" t="inlineStr">
        <is>
          <t>N</t>
        </is>
      </c>
      <c r="AE954" s="257" t="inlineStr">
        <is>
          <t>NA</t>
        </is>
      </c>
      <c r="AF954" s="257" t="inlineStr">
        <is>
          <t>NA</t>
        </is>
      </c>
      <c r="AG954" s="258" t="inlineStr">
        <is>
          <t>NA</t>
        </is>
      </c>
      <c r="AH954" s="89" t="n"/>
      <c r="AI954" s="353" t="inlineStr">
        <is>
          <t xml:space="preserve">La donnée est obligatoire si le Portefeuille Bâle Opération [P2 2.18] = ‘070' </t>
        </is>
      </c>
      <c r="AJ954" s="317" t="inlineStr">
        <is>
          <t xml:space="preserve">The data is mandatory if Basel Transaction Portfolio [P2 2.18] = ‘070' </t>
        </is>
      </c>
      <c r="AK954" s="269" t="n">
        <v>6</v>
      </c>
      <c r="AL954" s="335" t="inlineStr">
        <is>
          <t>TPS1701</t>
        </is>
      </c>
      <c r="AM954" s="452" t="inlineStr">
        <is>
          <t>Si elle est renseignée, la valeur doit être connue du Langage Commun associé</t>
        </is>
      </c>
      <c r="AN954" s="377" t="inlineStr">
        <is>
          <t>If specified, the value must be known to the associated Common Language</t>
        </is>
      </c>
      <c r="AO954" s="257" t="n">
        <v>7</v>
      </c>
      <c r="AP954" s="212" t="inlineStr">
        <is>
          <t>TIG0001</t>
        </is>
      </c>
      <c r="AQ954" s="318" t="n"/>
      <c r="AR954" s="317" t="n"/>
      <c r="AS954" s="257" t="n"/>
      <c r="AT954" s="258" t="n"/>
      <c r="AU954" s="318" t="n"/>
      <c r="AV954" s="317" t="n"/>
      <c r="AW954" s="257" t="n"/>
      <c r="AX954" s="258" t="n"/>
      <c r="AY954" s="318" t="n"/>
      <c r="AZ954" s="317" t="n"/>
      <c r="BA954" s="257" t="n"/>
      <c r="BB954" s="258" t="n"/>
      <c r="BC954" s="316" t="n"/>
      <c r="BD954" s="317" t="n"/>
      <c r="BE954" s="257" t="n"/>
      <c r="BF954" s="258" t="n"/>
      <c r="BG954" s="89" t="n"/>
      <c r="BH9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54">
        <f>_xlfn.LET(r,ROW(),oc,INDEX($A:$A,r),cv,TRIM(INDEX($Y:$Y,r)&amp;""),IF(oc&lt;&gt;"P1","",IF(cv="45","V45 - novo, nao alimentado pelo spool atual","V44 - alimentado pelo spool atual")))</f>
        <v/>
      </c>
    </row>
    <row r="955" ht="54" customFormat="1" customHeight="1" s="90">
      <c r="A955" s="306" t="inlineStr">
        <is>
          <t>P2</t>
        </is>
      </c>
      <c r="B955" s="307" t="n">
        <v>58</v>
      </c>
      <c r="C955" s="269" t="inlineStr">
        <is>
          <t>18 - Caractéristiques Titrisation</t>
        </is>
      </c>
      <c r="D955" s="310" t="inlineStr">
        <is>
          <t>18 - Securitization characteristics</t>
        </is>
      </c>
      <c r="E955" s="307" t="inlineStr">
        <is>
          <t>P2 16.13</t>
        </is>
      </c>
      <c r="F955" s="308" t="inlineStr">
        <is>
          <t>Indicateur Clause de remboursement anticipé</t>
        </is>
      </c>
      <c r="G955" s="363" t="inlineStr">
        <is>
          <t>Early redemption clause' Indicator</t>
        </is>
      </c>
      <c r="H955" s="363" t="n"/>
      <c r="I955" s="241" t="inlineStr">
        <is>
          <t>Dans le cadre d'un programme de Titrisation, cette clause indique si l'émetteur du programme a l'option de racheter les parts émises auprès des investisseurs, avant le remboursement des expositions titrisées sous-jacentes</t>
        </is>
      </c>
      <c r="J955" s="309" t="inlineStr">
        <is>
          <t>In the context of a Securitization program, this clause indicates whether the program issuer has the option to repurchase the issued shares from investors, prior to the repayment of the underlying securitised exposures</t>
        </is>
      </c>
      <c r="K955" s="370" t="inlineStr">
        <is>
          <t>ND</t>
        </is>
      </c>
      <c r="L955" s="371" t="inlineStr">
        <is>
          <t>ND</t>
        </is>
      </c>
      <c r="M955" s="1420" t="inlineStr">
        <is>
          <t>indClauseRembAnti</t>
        </is>
      </c>
      <c r="N955" s="231" t="inlineStr">
        <is>
          <t>Obligatoire sous conditions</t>
        </is>
      </c>
      <c r="O955" s="310" t="inlineStr">
        <is>
          <t>Mandatory under conditions</t>
        </is>
      </c>
      <c r="P955" s="269" t="inlineStr">
        <is>
          <t>LC.0478</t>
        </is>
      </c>
      <c r="Q955" s="269" t="inlineStr">
        <is>
          <t>TA Z8ICLRAN</t>
        </is>
      </c>
      <c r="R955" s="241" t="inlineStr">
        <is>
          <t>Concerne les encours déclarés en portefeuille Bâle Opération (P2 2.18) = '070' (Titrisation)</t>
        </is>
      </c>
      <c r="S955" s="233" t="inlineStr">
        <is>
          <t>Only for outstandings reported in the basel transaction portfolio (P2 2.18) = '070' (securitization)</t>
        </is>
      </c>
      <c r="T955" s="313" t="inlineStr">
        <is>
          <t>ALPHA</t>
        </is>
      </c>
      <c r="U955" s="237" t="inlineStr">
        <is>
          <t>NA</t>
        </is>
      </c>
      <c r="V955" s="238" t="inlineStr">
        <is>
          <t>NA</t>
        </is>
      </c>
      <c r="W955" s="257" t="n">
        <v>1</v>
      </c>
      <c r="X955" s="945" t="inlineStr">
        <is>
          <t>NA</t>
        </is>
      </c>
      <c r="Y955" s="237" t="n">
        <v>40</v>
      </c>
      <c r="Z955" s="237" t="inlineStr">
        <is>
          <t>NA</t>
        </is>
      </c>
      <c r="AA955" s="270" t="inlineStr">
        <is>
          <t>NA</t>
        </is>
      </c>
      <c r="AB955" s="994" t="inlineStr">
        <is>
          <t>CALCULS PRUDENTIELS, DEI</t>
        </is>
      </c>
      <c r="AC955" s="231" t="inlineStr">
        <is>
          <t>ND</t>
        </is>
      </c>
      <c r="AD955" s="257" t="inlineStr">
        <is>
          <t>N</t>
        </is>
      </c>
      <c r="AE955" s="257" t="inlineStr">
        <is>
          <t>NA</t>
        </is>
      </c>
      <c r="AF955" s="257" t="inlineStr">
        <is>
          <t>NA</t>
        </is>
      </c>
      <c r="AG955" s="258" t="inlineStr">
        <is>
          <t>NA</t>
        </is>
      </c>
      <c r="AH955" s="89" t="n"/>
      <c r="AI955" s="461" t="inlineStr">
        <is>
          <t xml:space="preserve">La donnée est obligatoire si le Portefeuille Bâle Opération [P2 2.18] = ‘070' </t>
        </is>
      </c>
      <c r="AJ955" s="317" t="inlineStr">
        <is>
          <t xml:space="preserve">The data is mandatory if Basel Transaction Portfolio [P2 2.18] = ‘070' </t>
        </is>
      </c>
      <c r="AK955" s="257" t="n">
        <v>6</v>
      </c>
      <c r="AL955" s="335" t="inlineStr">
        <is>
          <t>TPS1701</t>
        </is>
      </c>
      <c r="AM955" s="318" t="inlineStr">
        <is>
          <t>Si elle est renseignée, la valeur doit être connue du Langage Commun associé</t>
        </is>
      </c>
      <c r="AN955" s="317" t="inlineStr">
        <is>
          <t>If specified, the value must be known to the associated Common Language</t>
        </is>
      </c>
      <c r="AO955" s="257" t="n">
        <v>7</v>
      </c>
      <c r="AP955" s="212" t="inlineStr">
        <is>
          <t>TIG0001</t>
        </is>
      </c>
      <c r="AQ955" s="421" t="n"/>
      <c r="AR955" s="422" t="n"/>
      <c r="AS955" s="348" t="n"/>
      <c r="AT955" s="423" t="n"/>
      <c r="AU955" s="318" t="n"/>
      <c r="AV955" s="317" t="n"/>
      <c r="AW955" s="257" t="n"/>
      <c r="AX955" s="258" t="n"/>
      <c r="AY955" s="318" t="n"/>
      <c r="AZ955" s="317" t="n"/>
      <c r="BA955" s="257" t="n"/>
      <c r="BB955" s="258" t="n"/>
      <c r="BC955" s="316" t="n"/>
      <c r="BD955" s="317" t="n"/>
      <c r="BE955" s="257" t="n"/>
      <c r="BF955" s="258" t="n"/>
      <c r="BG955" s="89" t="n"/>
      <c r="BH9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55">
        <f>_xlfn.LET(r,ROW(),oc,INDEX($A:$A,r),cv,TRIM(INDEX($Y:$Y,r)&amp;""),IF(oc&lt;&gt;"P1","",IF(cv="45","V45 - novo, nao alimentado pelo spool atual","V44 - alimentado pelo spool atual")))</f>
        <v/>
      </c>
    </row>
    <row r="956" ht="54" customFormat="1" customHeight="1" s="55">
      <c r="A956" s="325" t="inlineStr">
        <is>
          <t>P2</t>
        </is>
      </c>
      <c r="B956" s="326" t="n">
        <v>59</v>
      </c>
      <c r="C956" s="284" t="inlineStr">
        <is>
          <t>18 - Caractéristiques Titrisation</t>
        </is>
      </c>
      <c r="D956" s="284" t="inlineStr">
        <is>
          <t>18 - Securitization characteristics</t>
        </is>
      </c>
      <c r="E956" s="326" t="inlineStr">
        <is>
          <t>P2 16.15</t>
        </is>
      </c>
      <c r="F956" s="327" t="inlineStr">
        <is>
          <t>Méthode de pondération titrisation</t>
        </is>
      </c>
      <c r="G956" s="327" t="inlineStr">
        <is>
          <t>Securitisation weighting method</t>
        </is>
      </c>
      <c r="H956" s="327" t="n"/>
      <c r="I956" s="245" t="inlineStr">
        <is>
          <t>Ce champ permet d'identifier la méthode de pondération utilisée</t>
        </is>
      </c>
      <c r="J956" s="327" t="inlineStr">
        <is>
          <t>This field makes it possible to identify the weighting method used</t>
        </is>
      </c>
      <c r="K956" s="388" t="inlineStr">
        <is>
          <t>NA</t>
        </is>
      </c>
      <c r="L956" s="388" t="inlineStr">
        <is>
          <t>NA</t>
        </is>
      </c>
      <c r="M956" s="1421" t="inlineStr">
        <is>
          <t>cdMethPondTitri</t>
        </is>
      </c>
      <c r="N956" s="284" t="inlineStr">
        <is>
          <t>NA</t>
        </is>
      </c>
      <c r="O956" s="284" t="inlineStr">
        <is>
          <t>NA</t>
        </is>
      </c>
      <c r="P956" s="284" t="inlineStr">
        <is>
          <t>LC.0144</t>
        </is>
      </c>
      <c r="Q956" s="284" t="inlineStr">
        <is>
          <t>TA KVMTITRI</t>
        </is>
      </c>
      <c r="R956" s="245" t="inlineStr">
        <is>
          <t>NA</t>
        </is>
      </c>
      <c r="S956" s="245" t="inlineStr">
        <is>
          <t>NA</t>
        </is>
      </c>
      <c r="T956" s="326" t="inlineStr">
        <is>
          <t>ALPHA</t>
        </is>
      </c>
      <c r="U956" s="248" t="inlineStr">
        <is>
          <t>NA</t>
        </is>
      </c>
      <c r="V956" s="248" t="inlineStr">
        <is>
          <t>NA</t>
        </is>
      </c>
      <c r="W956" s="284" t="n">
        <v>7</v>
      </c>
      <c r="X956" s="244" t="inlineStr">
        <is>
          <t>NA</t>
        </is>
      </c>
      <c r="Y956" s="248" t="n">
        <v>40</v>
      </c>
      <c r="Z956" s="248" t="n">
        <v>43</v>
      </c>
      <c r="AA956" s="248" t="inlineStr">
        <is>
          <t>NA</t>
        </is>
      </c>
      <c r="AB956" s="284" t="inlineStr">
        <is>
          <t>ANACREDIT, COREP - RS STD, COREP TITRISATION</t>
        </is>
      </c>
      <c r="AC956" s="244" t="inlineStr">
        <is>
          <t>NA</t>
        </is>
      </c>
      <c r="AD956" s="284" t="inlineStr">
        <is>
          <t>N</t>
        </is>
      </c>
      <c r="AE956" s="284" t="inlineStr">
        <is>
          <t>NA</t>
        </is>
      </c>
      <c r="AF956" s="284" t="inlineStr">
        <is>
          <t>NA</t>
        </is>
      </c>
      <c r="AG956" s="285" t="inlineStr">
        <is>
          <t>NA</t>
        </is>
      </c>
      <c r="AH956" s="89" t="n"/>
      <c r="AI956" s="506" t="n"/>
      <c r="AJ956" s="507" t="n"/>
      <c r="AK956" s="508" t="n"/>
      <c r="AL956" s="509" t="n"/>
      <c r="AM956" s="510" t="n"/>
      <c r="AN956" s="510" t="n"/>
      <c r="AO956" s="508" t="n"/>
      <c r="AP956" s="509" t="n"/>
      <c r="AQ956" s="331" t="n"/>
      <c r="AR956" s="331" t="n"/>
      <c r="AS956" s="284" t="n"/>
      <c r="AT956" s="285" t="n"/>
      <c r="AU956" s="331" t="n"/>
      <c r="AV956" s="331" t="n"/>
      <c r="AW956" s="284" t="n"/>
      <c r="AX956" s="285" t="n"/>
      <c r="AY956" s="331" t="n"/>
      <c r="AZ956" s="331" t="n"/>
      <c r="BA956" s="284" t="n"/>
      <c r="BB956" s="285" t="n"/>
      <c r="BC956" s="330" t="n"/>
      <c r="BD956" s="331" t="n"/>
      <c r="BE956" s="284" t="n"/>
      <c r="BF956" s="285" t="n"/>
      <c r="BG956" s="89" t="n"/>
      <c r="BH9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56">
        <f>_xlfn.LET(r,ROW(),oc,INDEX($A:$A,r),cv,TRIM(INDEX($Y:$Y,r)&amp;""),IF(oc&lt;&gt;"P1","",IF(cv="45","V45 - novo, nao alimentado pelo spool atual","V44 - alimentado pelo spool atual")))</f>
        <v/>
      </c>
    </row>
    <row r="957" ht="54" customFormat="1" customHeight="1" s="90">
      <c r="A957" s="306" t="inlineStr">
        <is>
          <t>P2</t>
        </is>
      </c>
      <c r="B957" s="307" t="n">
        <v>60</v>
      </c>
      <c r="C957" s="269" t="inlineStr">
        <is>
          <t>18 - Caractéristiques Titrisation</t>
        </is>
      </c>
      <c r="D957" s="310" t="inlineStr">
        <is>
          <t>18 - Securitization characteristics</t>
        </is>
      </c>
      <c r="E957" s="307" t="inlineStr">
        <is>
          <t>P2 16.16</t>
        </is>
      </c>
      <c r="F957" s="308" t="inlineStr">
        <is>
          <t>Nature de la titrisation</t>
        </is>
      </c>
      <c r="G957" s="309" t="inlineStr">
        <is>
          <t>Nature of securitisation</t>
        </is>
      </c>
      <c r="H957" s="309" t="n"/>
      <c r="I957" s="241" t="inlineStr">
        <is>
          <t>Ce champ permet d'identifier la nature de la titrisation</t>
        </is>
      </c>
      <c r="J957" s="309" t="inlineStr">
        <is>
          <t>This field makes it possible to identify the nature of the securitisation</t>
        </is>
      </c>
      <c r="K957" s="370" t="inlineStr">
        <is>
          <t>ND</t>
        </is>
      </c>
      <c r="L957" s="371" t="inlineStr">
        <is>
          <t>ND</t>
        </is>
      </c>
      <c r="M957" s="1420" t="inlineStr">
        <is>
          <t>cdNatTitri</t>
        </is>
      </c>
      <c r="N957" s="269" t="inlineStr">
        <is>
          <t>Obligatoire sous conditions</t>
        </is>
      </c>
      <c r="O957" s="310" t="inlineStr">
        <is>
          <t>Mandatory under conditions</t>
        </is>
      </c>
      <c r="P957" s="269" t="inlineStr">
        <is>
          <t>LC.0162</t>
        </is>
      </c>
      <c r="Q957" s="269" t="inlineStr">
        <is>
          <t>TA KVNTITRI</t>
        </is>
      </c>
      <c r="R957" s="241" t="inlineStr">
        <is>
          <t>NA</t>
        </is>
      </c>
      <c r="S957" s="233" t="inlineStr">
        <is>
          <t>NA</t>
        </is>
      </c>
      <c r="T957" s="313" t="inlineStr">
        <is>
          <t>ALPHA</t>
        </is>
      </c>
      <c r="U957" s="237" t="inlineStr">
        <is>
          <t>NA</t>
        </is>
      </c>
      <c r="V957" s="238" t="inlineStr">
        <is>
          <t>NA</t>
        </is>
      </c>
      <c r="W957" s="257" t="n">
        <v>1</v>
      </c>
      <c r="X957" s="945" t="inlineStr">
        <is>
          <t>NA</t>
        </is>
      </c>
      <c r="Y957" s="237" t="n">
        <v>40</v>
      </c>
      <c r="Z957" s="237" t="inlineStr">
        <is>
          <t>NA</t>
        </is>
      </c>
      <c r="AA957" s="270" t="inlineStr">
        <is>
          <t>NA</t>
        </is>
      </c>
      <c r="AB957" s="994" t="inlineStr">
        <is>
          <t>ANACREDIT</t>
        </is>
      </c>
      <c r="AC957" s="231" t="inlineStr">
        <is>
          <t>ND</t>
        </is>
      </c>
      <c r="AD957" s="257" t="inlineStr">
        <is>
          <t>N</t>
        </is>
      </c>
      <c r="AE957" s="257" t="inlineStr">
        <is>
          <t>NA</t>
        </is>
      </c>
      <c r="AF957" s="257" t="inlineStr">
        <is>
          <t>NA</t>
        </is>
      </c>
      <c r="AG957" s="258" t="inlineStr">
        <is>
          <t>NA</t>
        </is>
      </c>
      <c r="AH957" s="89" t="n"/>
      <c r="AI957" s="353" t="inlineStr">
        <is>
          <t>La donnée est obligatoire, si le type de risque [P2 2.0] = 'TRE2xx' à 'TRE4xx', 'ISS200', 'ISS300', 'SIGxxx' hors (TRE203, TRE205, TRE206, TRE207) ET si le Portefeuille Bâlois - Opération [P2 2.18] = '070' OU si l'indicateur créance titrisée [P2 4.29] = 'Y'</t>
        </is>
      </c>
      <c r="AJ957" s="317" t="inlineStr">
        <is>
          <t xml:space="preserve">The data is mandatory, if risk type [P2 2.0] = 'TRE2xx' to 'TRE4xx', 'ISS200', 'ISS300', 'SIGxxx' except (TRE203, TRE205, TRE206, TRE207) AND whether the Basel Portfolio - Transaction [P2 2.18] = '070' OR whether the securitised debt indicator [P2 4.29] = 'Y'
</t>
        </is>
      </c>
      <c r="AK957" s="269" t="n">
        <v>6</v>
      </c>
      <c r="AL957" s="366" t="inlineStr">
        <is>
          <t>TPS1708</t>
        </is>
      </c>
      <c r="AM957" s="452" t="inlineStr">
        <is>
          <t>Si elle est renseignée, la valeur doit être connue du Langage Commun associé</t>
        </is>
      </c>
      <c r="AN957" s="377" t="inlineStr">
        <is>
          <t>If specified, the value must be known to the associated Common Language</t>
        </is>
      </c>
      <c r="AO957" s="257" t="n">
        <v>7</v>
      </c>
      <c r="AP957" s="212" t="inlineStr">
        <is>
          <t>TIG0001</t>
        </is>
      </c>
      <c r="AQ957" s="318" t="n"/>
      <c r="AR957" s="317" t="n"/>
      <c r="AS957" s="257" t="n"/>
      <c r="AT957" s="258" t="n"/>
      <c r="AU957" s="318" t="n"/>
      <c r="AV957" s="317" t="n"/>
      <c r="AW957" s="257" t="n"/>
      <c r="AX957" s="258" t="n"/>
      <c r="AY957" s="318" t="n"/>
      <c r="AZ957" s="317" t="n"/>
      <c r="BA957" s="257" t="n"/>
      <c r="BB957" s="258" t="n"/>
      <c r="BC957" s="316" t="n"/>
      <c r="BD957" s="317" t="n"/>
      <c r="BE957" s="257" t="n"/>
      <c r="BF957" s="258" t="n"/>
      <c r="BG957" s="89" t="n"/>
      <c r="BH9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57">
        <f>_xlfn.LET(r,ROW(),oc,INDEX($A:$A,r),cv,TRIM(INDEX($Y:$Y,r)&amp;""),IF(oc&lt;&gt;"P1","",IF(cv="45","V45 - novo, nao alimentado pelo spool atual","V44 - alimentado pelo spool atual")))</f>
        <v/>
      </c>
    </row>
    <row r="958" ht="54" customFormat="1" customHeight="1" s="90">
      <c r="A958" s="306" t="inlineStr">
        <is>
          <t>P2</t>
        </is>
      </c>
      <c r="B958" s="307" t="n">
        <v>61</v>
      </c>
      <c r="C958" s="269" t="inlineStr">
        <is>
          <t>18 - Caractéristiques Titrisation</t>
        </is>
      </c>
      <c r="D958" s="310" t="inlineStr">
        <is>
          <t>18 - Securitization characteristics</t>
        </is>
      </c>
      <c r="E958" s="307" t="inlineStr">
        <is>
          <t>P2 16.17</t>
        </is>
      </c>
      <c r="F958" s="308" t="inlineStr">
        <is>
          <t>Re-titrisation</t>
        </is>
      </c>
      <c r="G958" s="309" t="inlineStr">
        <is>
          <t>Re-securitisation</t>
        </is>
      </c>
      <c r="H958" s="309" t="n"/>
      <c r="I958" s="241" t="inlineStr">
        <is>
          <t>Ce champ permet d'indiquer si la titrisation fait l'objet d'une re-titrisation</t>
        </is>
      </c>
      <c r="J958" s="309" t="inlineStr">
        <is>
          <t>This field makes it possible to specify whether the securitisation has been re-securitised</t>
        </is>
      </c>
      <c r="K958" s="370" t="inlineStr">
        <is>
          <t>ND</t>
        </is>
      </c>
      <c r="L958" s="371" t="inlineStr">
        <is>
          <t>ND</t>
        </is>
      </c>
      <c r="M958" s="1420" t="inlineStr">
        <is>
          <t>indReTitri</t>
        </is>
      </c>
      <c r="N958" s="269" t="inlineStr">
        <is>
          <t>Obligatoire sous conditions</t>
        </is>
      </c>
      <c r="O958" s="310" t="inlineStr">
        <is>
          <t>Mandatory under conditions</t>
        </is>
      </c>
      <c r="P958" s="269" t="inlineStr">
        <is>
          <t>LC.0173</t>
        </is>
      </c>
      <c r="Q958" s="269" t="inlineStr">
        <is>
          <t>TA KVIRTITR</t>
        </is>
      </c>
      <c r="R958" s="241" t="inlineStr">
        <is>
          <t>NA</t>
        </is>
      </c>
      <c r="S958" s="233" t="inlineStr">
        <is>
          <t>NA</t>
        </is>
      </c>
      <c r="T958" s="313" t="inlineStr">
        <is>
          <t>ALPHA</t>
        </is>
      </c>
      <c r="U958" s="237" t="inlineStr">
        <is>
          <t>NA</t>
        </is>
      </c>
      <c r="V958" s="238" t="inlineStr">
        <is>
          <t>NA</t>
        </is>
      </c>
      <c r="W958" s="257" t="n">
        <v>1</v>
      </c>
      <c r="X958" s="945" t="inlineStr">
        <is>
          <t>NA</t>
        </is>
      </c>
      <c r="Y958" s="237" t="n">
        <v>40</v>
      </c>
      <c r="Z958" s="237" t="inlineStr">
        <is>
          <t>NA</t>
        </is>
      </c>
      <c r="AA958" s="270" t="inlineStr">
        <is>
          <t>NA</t>
        </is>
      </c>
      <c r="AB958" s="994" t="inlineStr">
        <is>
          <t>ANACREDIT, CALCULS PRUDENTIELS</t>
        </is>
      </c>
      <c r="AC958" s="231" t="inlineStr">
        <is>
          <t>ND</t>
        </is>
      </c>
      <c r="AD958" s="257" t="inlineStr">
        <is>
          <t>N</t>
        </is>
      </c>
      <c r="AE958" s="257" t="inlineStr">
        <is>
          <t>NA</t>
        </is>
      </c>
      <c r="AF958" s="257" t="inlineStr">
        <is>
          <t>NA</t>
        </is>
      </c>
      <c r="AG958" s="258" t="inlineStr">
        <is>
          <t>NA</t>
        </is>
      </c>
      <c r="AH958" s="89" t="n"/>
      <c r="AI958" s="353" t="inlineStr">
        <is>
          <t xml:space="preserve">La donnée est obligatoire si le Portefeuille Bâle Opération [P2 2.18] = ‘070' </t>
        </is>
      </c>
      <c r="AJ958" s="317" t="inlineStr">
        <is>
          <t xml:space="preserve">The data is mandatory if Basel Transaction Portfolio [P2 2.18] = ‘070' </t>
        </is>
      </c>
      <c r="AK958" s="269" t="n">
        <v>6</v>
      </c>
      <c r="AL958" s="335" t="inlineStr">
        <is>
          <t>TPS1701</t>
        </is>
      </c>
      <c r="AM958" s="318" t="inlineStr">
        <is>
          <t>Si elle est renseignée, la valeur doit être connue du Langage Commun associé</t>
        </is>
      </c>
      <c r="AN958" s="317" t="inlineStr">
        <is>
          <t>If specified, the value must be known to the associated Common Language</t>
        </is>
      </c>
      <c r="AO958" s="257" t="n">
        <v>7</v>
      </c>
      <c r="AP958" s="212" t="inlineStr">
        <is>
          <t>TIG0001</t>
        </is>
      </c>
      <c r="AQ958" s="318" t="n"/>
      <c r="AR958" s="317" t="n"/>
      <c r="AS958" s="257" t="n"/>
      <c r="AT958" s="258" t="n"/>
      <c r="AU958" s="318" t="n"/>
      <c r="AV958" s="317" t="n"/>
      <c r="AW958" s="257" t="n"/>
      <c r="AX958" s="258" t="n"/>
      <c r="AY958" s="318" t="n"/>
      <c r="AZ958" s="317" t="n"/>
      <c r="BA958" s="257" t="n"/>
      <c r="BB958" s="258" t="n"/>
      <c r="BC958" s="278" t="n"/>
      <c r="BD958" s="160" t="n"/>
      <c r="BE958" s="257" t="n"/>
      <c r="BF958" s="258" t="n"/>
      <c r="BG958" s="89" t="n"/>
      <c r="BH9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58">
        <f>_xlfn.LET(r,ROW(),oc,INDEX($A:$A,r),cv,TRIM(INDEX($Y:$Y,r)&amp;""),IF(oc&lt;&gt;"P1","",IF(cv="45","V45 - novo, nao alimentado pelo spool atual","V44 - alimentado pelo spool atual")))</f>
        <v/>
      </c>
    </row>
    <row r="959" ht="54" customFormat="1" customHeight="1" s="90">
      <c r="A959" s="306" t="inlineStr">
        <is>
          <t>P2</t>
        </is>
      </c>
      <c r="B959" s="307" t="n">
        <v>62</v>
      </c>
      <c r="C959" s="269" t="inlineStr">
        <is>
          <t>18 - Caractéristiques Titrisation</t>
        </is>
      </c>
      <c r="D959" s="310" t="inlineStr">
        <is>
          <t>18 - Securitization characteristics</t>
        </is>
      </c>
      <c r="E959" s="307" t="inlineStr">
        <is>
          <t>P2 16.18</t>
        </is>
      </c>
      <c r="F959" s="308" t="inlineStr">
        <is>
          <t>Type de titrisation</t>
        </is>
      </c>
      <c r="G959" s="309" t="inlineStr">
        <is>
          <t>Type of securitisation</t>
        </is>
      </c>
      <c r="H959" s="309" t="n"/>
      <c r="I959" s="241" t="inlineStr">
        <is>
          <t>Type de titrisation</t>
        </is>
      </c>
      <c r="J959" s="309" t="inlineStr">
        <is>
          <t>Type of securitisation</t>
        </is>
      </c>
      <c r="K959" s="370" t="inlineStr">
        <is>
          <t>ND</t>
        </is>
      </c>
      <c r="L959" s="371" t="inlineStr">
        <is>
          <t>ND</t>
        </is>
      </c>
      <c r="M959" s="1420" t="inlineStr">
        <is>
          <t>cdTypTitr</t>
        </is>
      </c>
      <c r="N959" s="269" t="inlineStr">
        <is>
          <t>Facultatif</t>
        </is>
      </c>
      <c r="O959" s="310" t="inlineStr">
        <is>
          <t>Optional</t>
        </is>
      </c>
      <c r="P959" s="269" t="inlineStr">
        <is>
          <t>LC.0165</t>
        </is>
      </c>
      <c r="Q959" s="269" t="inlineStr">
        <is>
          <t>TA KVTTITRI</t>
        </is>
      </c>
      <c r="R959" s="241" t="inlineStr">
        <is>
          <t>NA</t>
        </is>
      </c>
      <c r="S959" s="233" t="inlineStr">
        <is>
          <t>NA</t>
        </is>
      </c>
      <c r="T959" s="313" t="inlineStr">
        <is>
          <t>ALPHA</t>
        </is>
      </c>
      <c r="U959" s="237" t="inlineStr">
        <is>
          <t>NA</t>
        </is>
      </c>
      <c r="V959" s="238" t="inlineStr">
        <is>
          <t>NA</t>
        </is>
      </c>
      <c r="W959" s="257" t="n">
        <v>1</v>
      </c>
      <c r="X959" s="945" t="inlineStr">
        <is>
          <t>NA</t>
        </is>
      </c>
      <c r="Y959" s="237" t="n">
        <v>40</v>
      </c>
      <c r="Z959" s="237" t="inlineStr">
        <is>
          <t>NA</t>
        </is>
      </c>
      <c r="AA959" s="270" t="inlineStr">
        <is>
          <t>NA</t>
        </is>
      </c>
      <c r="AB959" s="994" t="inlineStr">
        <is>
          <t>ANACREDIT</t>
        </is>
      </c>
      <c r="AC959" s="231" t="inlineStr">
        <is>
          <t>ND</t>
        </is>
      </c>
      <c r="AD959" s="257" t="inlineStr">
        <is>
          <t>N</t>
        </is>
      </c>
      <c r="AE959" s="257" t="inlineStr">
        <is>
          <t>NA</t>
        </is>
      </c>
      <c r="AF959" s="257" t="inlineStr">
        <is>
          <t>NA</t>
        </is>
      </c>
      <c r="AG959" s="258" t="inlineStr">
        <is>
          <t>NA</t>
        </is>
      </c>
      <c r="AH959" s="89" t="n"/>
      <c r="AI959" s="629" t="n"/>
      <c r="AJ959" s="317" t="n"/>
      <c r="AK959" s="630" t="n"/>
      <c r="AL959" s="258" t="n"/>
      <c r="AM959" s="452" t="inlineStr">
        <is>
          <t>Si elle est renseignée, la valeur doit être connue du Langage Commun associé</t>
        </is>
      </c>
      <c r="AN959" s="377" t="inlineStr">
        <is>
          <t>If specified, the value must be known to the associated Common Language</t>
        </is>
      </c>
      <c r="AO959" s="257" t="n">
        <v>7</v>
      </c>
      <c r="AP959" s="212" t="inlineStr">
        <is>
          <t>TIG0001</t>
        </is>
      </c>
      <c r="AQ959" s="318" t="n"/>
      <c r="AR959" s="317" t="n"/>
      <c r="AS959" s="257" t="n"/>
      <c r="AT959" s="258" t="n"/>
      <c r="AU959" s="318" t="n"/>
      <c r="AV959" s="317" t="n"/>
      <c r="AW959" s="257" t="n"/>
      <c r="AX959" s="258" t="n"/>
      <c r="AY959" s="318" t="n"/>
      <c r="AZ959" s="317" t="n"/>
      <c r="BA959" s="257" t="n"/>
      <c r="BB959" s="258" t="n"/>
      <c r="BC959" s="316" t="n"/>
      <c r="BD959" s="317" t="n"/>
      <c r="BE959" s="257" t="n"/>
      <c r="BF959" s="258" t="n"/>
      <c r="BG959" s="89" t="n"/>
      <c r="BH9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59">
        <f>_xlfn.LET(r,ROW(),oc,INDEX($A:$A,r),cv,TRIM(INDEX($Y:$Y,r)&amp;""),IF(oc&lt;&gt;"P1","",IF(cv="45","V45 - novo, nao alimentado pelo spool atual","V44 - alimentado pelo spool atual")))</f>
        <v/>
      </c>
    </row>
    <row r="960" ht="54" customFormat="1" customHeight="1" s="55">
      <c r="A960" s="325" t="inlineStr">
        <is>
          <t>P2</t>
        </is>
      </c>
      <c r="B960" s="326" t="n">
        <v>63</v>
      </c>
      <c r="C960" s="284" t="inlineStr">
        <is>
          <t>18 - Caractéristiques Titrisation</t>
        </is>
      </c>
      <c r="D960" s="284" t="inlineStr">
        <is>
          <t>18 - Securitization characteristics</t>
        </is>
      </c>
      <c r="E960" s="326" t="inlineStr">
        <is>
          <t>P2 16.19</t>
        </is>
      </c>
      <c r="F960" s="327" t="inlineStr">
        <is>
          <t>Pondération à l'origine</t>
        </is>
      </c>
      <c r="G960" s="327" t="inlineStr">
        <is>
          <t xml:space="preserve">Initial weighting </t>
        </is>
      </c>
      <c r="H960" s="327" t="n"/>
      <c r="I960" s="245" t="inlineStr">
        <is>
          <t>Pondération à l'origine
Exprimé en %</t>
        </is>
      </c>
      <c r="J960" s="327" t="inlineStr">
        <is>
          <t>Initial weighting
Expressed as %</t>
        </is>
      </c>
      <c r="K960" s="284" t="inlineStr">
        <is>
          <t>NA</t>
        </is>
      </c>
      <c r="L960" s="284" t="inlineStr">
        <is>
          <t>NA</t>
        </is>
      </c>
      <c r="M960" s="1421" t="inlineStr">
        <is>
          <t>txPondeOrig</t>
        </is>
      </c>
      <c r="N960" s="284" t="inlineStr">
        <is>
          <t>NA</t>
        </is>
      </c>
      <c r="O960" s="284" t="inlineStr">
        <is>
          <t>NA</t>
        </is>
      </c>
      <c r="P960" s="284" t="inlineStr">
        <is>
          <t>NA</t>
        </is>
      </c>
      <c r="Q960" s="284" t="inlineStr">
        <is>
          <t>NA</t>
        </is>
      </c>
      <c r="R960" s="245" t="inlineStr">
        <is>
          <t>NA</t>
        </is>
      </c>
      <c r="S960" s="245" t="inlineStr">
        <is>
          <t>NA</t>
        </is>
      </c>
      <c r="T960" s="326" t="inlineStr">
        <is>
          <t>NUM</t>
        </is>
      </c>
      <c r="U960" s="248" t="inlineStr">
        <is>
          <t>10 dont signe et 5 décimales</t>
        </is>
      </c>
      <c r="V960" s="248" t="inlineStr">
        <is>
          <t>10 including sign and 5 decimals</t>
        </is>
      </c>
      <c r="W960" s="284" t="n">
        <v>10</v>
      </c>
      <c r="X960" s="244" t="inlineStr">
        <is>
          <t>NA</t>
        </is>
      </c>
      <c r="Y960" s="248" t="n">
        <v>40</v>
      </c>
      <c r="Z960" s="248" t="n">
        <v>43</v>
      </c>
      <c r="AA960" s="248" t="inlineStr">
        <is>
          <t>NA</t>
        </is>
      </c>
      <c r="AB960" s="284" t="inlineStr">
        <is>
          <t>ANACREDIT, COREP - RS STD</t>
        </is>
      </c>
      <c r="AC960" s="244" t="inlineStr">
        <is>
          <t>NA</t>
        </is>
      </c>
      <c r="AD960" s="284" t="inlineStr">
        <is>
          <t>N</t>
        </is>
      </c>
      <c r="AE960" s="284" t="inlineStr">
        <is>
          <t>NA</t>
        </is>
      </c>
      <c r="AF960" s="284" t="inlineStr">
        <is>
          <t>NA</t>
        </is>
      </c>
      <c r="AG960" s="285" t="inlineStr">
        <is>
          <t>NA</t>
        </is>
      </c>
      <c r="AH960" s="89" t="n"/>
      <c r="AI960" s="506" t="n"/>
      <c r="AJ960" s="507" t="n"/>
      <c r="AK960" s="508" t="n"/>
      <c r="AL960" s="509" t="n"/>
      <c r="AM960" s="331" t="n"/>
      <c r="AN960" s="331" t="n"/>
      <c r="AO960" s="284" t="n"/>
      <c r="AP960" s="285" t="n"/>
      <c r="AQ960" s="507" t="n"/>
      <c r="AR960" s="507" t="n"/>
      <c r="AS960" s="508" t="n"/>
      <c r="AT960" s="423" t="n"/>
      <c r="AU960" s="331" t="n"/>
      <c r="AV960" s="331" t="n"/>
      <c r="AW960" s="284" t="n"/>
      <c r="AX960" s="285" t="n"/>
      <c r="AY960" s="331" t="n"/>
      <c r="AZ960" s="331" t="n"/>
      <c r="BA960" s="284" t="n"/>
      <c r="BB960" s="285" t="n"/>
      <c r="BC960" s="330" t="n"/>
      <c r="BD960" s="331" t="n"/>
      <c r="BE960" s="284" t="n"/>
      <c r="BF960" s="285" t="n"/>
      <c r="BG960" s="89" t="n"/>
      <c r="BH9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60">
        <f>_xlfn.LET(r,ROW(),oc,INDEX($A:$A,r),cv,TRIM(INDEX($Y:$Y,r)&amp;""),IF(oc&lt;&gt;"P1","",IF(cv="45","V45 - novo, nao alimentado pelo spool atual","V44 - alimentado pelo spool atual")))</f>
        <v/>
      </c>
    </row>
    <row r="961" ht="54" customFormat="1" customHeight="1" s="90">
      <c r="A961" s="306" t="inlineStr">
        <is>
          <t>P2</t>
        </is>
      </c>
      <c r="B961" s="307" t="n">
        <v>64</v>
      </c>
      <c r="C961" s="269" t="inlineStr">
        <is>
          <t>18 - Caractéristiques Titrisation</t>
        </is>
      </c>
      <c r="D961" s="310" t="inlineStr">
        <is>
          <t>18 - Securitization characteristics</t>
        </is>
      </c>
      <c r="E961" s="307" t="inlineStr">
        <is>
          <t>P2 16.20</t>
        </is>
      </c>
      <c r="F961" s="308" t="inlineStr">
        <is>
          <t xml:space="preserve">Indicateur titrisation STS </t>
        </is>
      </c>
      <c r="G961" s="309" t="inlineStr">
        <is>
          <t>STS securitization indicator</t>
        </is>
      </c>
      <c r="H961" s="309" t="n"/>
      <c r="I961" s="241" t="inlineStr">
        <is>
          <t>Indique le caractère simple, transparente et standardisée (STS) d'une opération de titrisation</t>
        </is>
      </c>
      <c r="J961" s="309" t="inlineStr">
        <is>
          <t>Specifies the simple, transparent and standardized (STS) character of a securitization transaction</t>
        </is>
      </c>
      <c r="K961" s="370" t="inlineStr">
        <is>
          <t>ND</t>
        </is>
      </c>
      <c r="L961" s="371" t="inlineStr">
        <is>
          <t>ND</t>
        </is>
      </c>
      <c r="M961" s="1420" t="inlineStr">
        <is>
          <t>IndTitrSTS</t>
        </is>
      </c>
      <c r="N961" s="269" t="inlineStr">
        <is>
          <t>Obligatoire sous conditions</t>
        </is>
      </c>
      <c r="O961" s="310" t="inlineStr">
        <is>
          <t>Mandatory under conditions</t>
        </is>
      </c>
      <c r="P961" s="269" t="inlineStr">
        <is>
          <t>LC.0360</t>
        </is>
      </c>
      <c r="Q961" s="269" t="inlineStr">
        <is>
          <t>RB HHTITSTS</t>
        </is>
      </c>
      <c r="R961" s="241" t="inlineStr">
        <is>
          <t>NA</t>
        </is>
      </c>
      <c r="S961" s="233" t="inlineStr">
        <is>
          <t>NA</t>
        </is>
      </c>
      <c r="T961" s="313" t="inlineStr">
        <is>
          <t>ALPHA</t>
        </is>
      </c>
      <c r="U961" s="237" t="inlineStr">
        <is>
          <t>NA</t>
        </is>
      </c>
      <c r="V961" s="238" t="inlineStr">
        <is>
          <t>NA</t>
        </is>
      </c>
      <c r="W961" s="257" t="n">
        <v>1</v>
      </c>
      <c r="X961" s="945" t="inlineStr">
        <is>
          <t>NA</t>
        </is>
      </c>
      <c r="Y961" s="237" t="n">
        <v>43</v>
      </c>
      <c r="Z961" s="237" t="inlineStr">
        <is>
          <t>NA</t>
        </is>
      </c>
      <c r="AA961" s="270" t="inlineStr">
        <is>
          <t>NA</t>
        </is>
      </c>
      <c r="AB961" s="1286" t="inlineStr">
        <is>
          <t>CALCULS PRUDENTIELS</t>
        </is>
      </c>
      <c r="AC961" s="231" t="inlineStr">
        <is>
          <t>ND</t>
        </is>
      </c>
      <c r="AD961" s="257" t="inlineStr">
        <is>
          <t>N</t>
        </is>
      </c>
      <c r="AE961" s="257" t="inlineStr">
        <is>
          <t>NA</t>
        </is>
      </c>
      <c r="AF961" s="257" t="inlineStr">
        <is>
          <t>NA</t>
        </is>
      </c>
      <c r="AG961" s="258" t="inlineStr">
        <is>
          <t>NA</t>
        </is>
      </c>
      <c r="AH961" s="89" t="n"/>
      <c r="AI961" s="353" t="inlineStr">
        <is>
          <t xml:space="preserve">La donnée est obligatoire si le Portefeuille Bâle Opération [P2 2.18] = ‘070' </t>
        </is>
      </c>
      <c r="AJ961" s="317" t="inlineStr">
        <is>
          <t xml:space="preserve">The data is mandatory if Basel Transaction Portfolio [P2 2.18] = ‘070' </t>
        </is>
      </c>
      <c r="AK961" s="257" t="n">
        <v>6</v>
      </c>
      <c r="AL961" s="335" t="inlineStr">
        <is>
          <t>TPS1701</t>
        </is>
      </c>
      <c r="AM961" s="452" t="inlineStr">
        <is>
          <t>Si elle est renseignée, la valeur doit être connue du Langage Commun associé</t>
        </is>
      </c>
      <c r="AN961" s="377" t="inlineStr">
        <is>
          <t>If specified, the value must be known to the associated Common Language</t>
        </is>
      </c>
      <c r="AO961" s="257" t="n">
        <v>7</v>
      </c>
      <c r="AP961" s="212" t="inlineStr">
        <is>
          <t>TIG0001</t>
        </is>
      </c>
      <c r="AQ961" s="318" t="n"/>
      <c r="AR961" s="317" t="n"/>
      <c r="AS961" s="257" t="n"/>
      <c r="AT961" s="258" t="n"/>
      <c r="AU961" s="318" t="n"/>
      <c r="AV961" s="317" t="n"/>
      <c r="AW961" s="257" t="n"/>
      <c r="AX961" s="258" t="n"/>
      <c r="AY961" s="318" t="n"/>
      <c r="AZ961" s="317" t="n"/>
      <c r="BA961" s="257" t="n"/>
      <c r="BB961" s="258" t="n"/>
      <c r="BC961" s="316" t="n"/>
      <c r="BD961" s="317" t="n"/>
      <c r="BE961" s="257" t="n"/>
      <c r="BF961" s="258" t="n"/>
      <c r="BG961" s="89" t="n"/>
      <c r="BH9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61">
        <f>_xlfn.LET(r,ROW(),oc,INDEX($A:$A,r),cv,TRIM(INDEX($Y:$Y,r)&amp;""),IF(oc&lt;&gt;"P1","",IF(cv="45","V45 - novo, nao alimentado pelo spool atual","V44 - alimentado pelo spool atual")))</f>
        <v/>
      </c>
    </row>
    <row r="962" ht="54" customFormat="1" customHeight="1" s="90">
      <c r="A962" s="306" t="inlineStr">
        <is>
          <t>P2</t>
        </is>
      </c>
      <c r="B962" s="307" t="n">
        <v>65</v>
      </c>
      <c r="C962" s="269" t="inlineStr">
        <is>
          <t>18 - Caractéristiques Titrisation</t>
        </is>
      </c>
      <c r="D962" s="310" t="inlineStr">
        <is>
          <t>18 - Securitization characteristics</t>
        </is>
      </c>
      <c r="E962" s="307" t="inlineStr">
        <is>
          <t>P2 16.21</t>
        </is>
      </c>
      <c r="F962" s="308" t="inlineStr">
        <is>
          <t>Eligibilité au traitement différentiel</t>
        </is>
      </c>
      <c r="G962" s="309" t="inlineStr">
        <is>
          <t>Eligibility for differential treatment</t>
        </is>
      </c>
      <c r="H962" s="309" t="n"/>
      <c r="I962" s="241" t="inlineStr">
        <is>
          <t>Indicateur d'éligibilité au traitement différentiel en terme d'exigence de Fonds Propres</t>
        </is>
      </c>
      <c r="J962" s="309" t="inlineStr">
        <is>
          <t>Indicator of eligibility for differential treatment in terms of capital requirements</t>
        </is>
      </c>
      <c r="K962" s="370" t="inlineStr">
        <is>
          <t>ND</t>
        </is>
      </c>
      <c r="L962" s="371" t="inlineStr">
        <is>
          <t>ND</t>
        </is>
      </c>
      <c r="M962" s="1420" t="inlineStr">
        <is>
          <t>IndEliTrtDiff</t>
        </is>
      </c>
      <c r="N962" s="269" t="inlineStr">
        <is>
          <t>Obligatoire sous conditions</t>
        </is>
      </c>
      <c r="O962" s="310" t="inlineStr">
        <is>
          <t>Mandatory under conditions</t>
        </is>
      </c>
      <c r="P962" s="269" t="inlineStr">
        <is>
          <t>LC.0361</t>
        </is>
      </c>
      <c r="Q962" s="269" t="inlineStr">
        <is>
          <t>RB HHTITTD</t>
        </is>
      </c>
      <c r="R962" s="241" t="inlineStr">
        <is>
          <t>NA</t>
        </is>
      </c>
      <c r="S962" s="233" t="inlineStr">
        <is>
          <t>NA</t>
        </is>
      </c>
      <c r="T962" s="313" t="inlineStr">
        <is>
          <t>ALPHA</t>
        </is>
      </c>
      <c r="U962" s="237" t="inlineStr">
        <is>
          <t>NA</t>
        </is>
      </c>
      <c r="V962" s="238" t="inlineStr">
        <is>
          <t>NA</t>
        </is>
      </c>
      <c r="W962" s="257" t="n">
        <v>1</v>
      </c>
      <c r="X962" s="945" t="inlineStr">
        <is>
          <t>NA</t>
        </is>
      </c>
      <c r="Y962" s="237" t="n">
        <v>43</v>
      </c>
      <c r="Z962" s="237" t="inlineStr">
        <is>
          <t>NA</t>
        </is>
      </c>
      <c r="AA962" s="270" t="inlineStr">
        <is>
          <t>NA</t>
        </is>
      </c>
      <c r="AB962" s="1286" t="inlineStr">
        <is>
          <t>CALCULS PRUDENTIELS</t>
        </is>
      </c>
      <c r="AC962" s="231" t="inlineStr">
        <is>
          <t>ND</t>
        </is>
      </c>
      <c r="AD962" s="257" t="inlineStr">
        <is>
          <t>N</t>
        </is>
      </c>
      <c r="AE962" s="257" t="inlineStr">
        <is>
          <t>NA</t>
        </is>
      </c>
      <c r="AF962" s="257" t="inlineStr">
        <is>
          <t>NA</t>
        </is>
      </c>
      <c r="AG962" s="258" t="inlineStr">
        <is>
          <t>NA</t>
        </is>
      </c>
      <c r="AH962" s="89" t="n"/>
      <c r="AI962" s="353" t="inlineStr">
        <is>
          <t xml:space="preserve">La donnée est obligatoire si le Portefeuille Bâle Opération [P2 2.18] = ‘070' </t>
        </is>
      </c>
      <c r="AJ962" s="317" t="inlineStr">
        <is>
          <t xml:space="preserve">The data is mandatory if Basel Transaction Portfolio [P2 2.18] = ‘070' </t>
        </is>
      </c>
      <c r="AK962" s="257" t="n">
        <v>6</v>
      </c>
      <c r="AL962" s="335" t="inlineStr">
        <is>
          <t>TPS1701</t>
        </is>
      </c>
      <c r="AM962" s="318" t="inlineStr">
        <is>
          <t>Si elle est renseignée, la valeur doit être connue du Langage Commun associé</t>
        </is>
      </c>
      <c r="AN962" s="317" t="inlineStr">
        <is>
          <t>If specified, the value must be known to the associated Common Language</t>
        </is>
      </c>
      <c r="AO962" s="257" t="n">
        <v>7</v>
      </c>
      <c r="AP962" s="212" t="inlineStr">
        <is>
          <t>TIG0001</t>
        </is>
      </c>
      <c r="AQ962" s="318" t="n"/>
      <c r="AR962" s="317" t="n"/>
      <c r="AS962" s="257" t="n"/>
      <c r="AT962" s="258" t="n"/>
      <c r="AU962" s="318" t="n"/>
      <c r="AV962" s="317" t="n"/>
      <c r="AW962" s="257" t="n"/>
      <c r="AX962" s="258" t="n"/>
      <c r="AY962" s="318" t="n"/>
      <c r="AZ962" s="317" t="n"/>
      <c r="BA962" s="257" t="n"/>
      <c r="BB962" s="258" t="n"/>
      <c r="BC962" s="316" t="n"/>
      <c r="BD962" s="317" t="n"/>
      <c r="BE962" s="257" t="n"/>
      <c r="BF962" s="258" t="n"/>
      <c r="BG962" s="89" t="n"/>
      <c r="BH9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62">
        <f>_xlfn.LET(r,ROW(),oc,INDEX($A:$A,r),cv,TRIM(INDEX($Y:$Y,r)&amp;""),IF(oc&lt;&gt;"P1","",IF(cv="45","V45 - novo, nao alimentado pelo spool atual","V44 - alimentado pelo spool atual")))</f>
        <v/>
      </c>
    </row>
    <row r="963" ht="54" customFormat="1" customHeight="1" s="90">
      <c r="A963" s="306" t="inlineStr">
        <is>
          <t>P2</t>
        </is>
      </c>
      <c r="B963" s="307" t="n">
        <v>66</v>
      </c>
      <c r="C963" s="269" t="inlineStr">
        <is>
          <t>18 - Caractéristiques Titrisation</t>
        </is>
      </c>
      <c r="D963" s="310" t="inlineStr">
        <is>
          <t>18 - Securitization characteristics</t>
        </is>
      </c>
      <c r="E963" s="307" t="inlineStr">
        <is>
          <t>P2 16.22</t>
        </is>
      </c>
      <c r="F963" s="308" t="inlineStr">
        <is>
          <t xml:space="preserve">Position sénior en titrisation des PME </t>
        </is>
      </c>
      <c r="G963" s="309" t="inlineStr">
        <is>
          <t>Senior position in SME securitization</t>
        </is>
      </c>
      <c r="H963" s="309" t="n"/>
      <c r="I963" s="241" t="inlineStr">
        <is>
          <t>Position de rang supérieur dans les titrisations de prêts aux PME</t>
        </is>
      </c>
      <c r="J963" s="309" t="inlineStr">
        <is>
          <t>Indicates a senior position in securitizations of loans to SMEs</t>
        </is>
      </c>
      <c r="K963" s="370" t="inlineStr">
        <is>
          <t>ND</t>
        </is>
      </c>
      <c r="L963" s="371" t="inlineStr">
        <is>
          <t>ND</t>
        </is>
      </c>
      <c r="M963" s="1420" t="inlineStr">
        <is>
          <t>IndPosTitr</t>
        </is>
      </c>
      <c r="N963" s="269" t="inlineStr">
        <is>
          <t>Obligatoire sous conditions</t>
        </is>
      </c>
      <c r="O963" s="310" t="inlineStr">
        <is>
          <t>Mandatory under conditions</t>
        </is>
      </c>
      <c r="P963" s="269" t="inlineStr">
        <is>
          <t>LC.0362</t>
        </is>
      </c>
      <c r="Q963" s="269" t="inlineStr">
        <is>
          <t>RB HHTITPME</t>
        </is>
      </c>
      <c r="R963" s="241" t="inlineStr">
        <is>
          <t>NA</t>
        </is>
      </c>
      <c r="S963" s="233" t="inlineStr">
        <is>
          <t>NA</t>
        </is>
      </c>
      <c r="T963" s="313" t="inlineStr">
        <is>
          <t>ALPHA</t>
        </is>
      </c>
      <c r="U963" s="237" t="inlineStr">
        <is>
          <t>NA</t>
        </is>
      </c>
      <c r="V963" s="238" t="inlineStr">
        <is>
          <t>NA</t>
        </is>
      </c>
      <c r="W963" s="257" t="n">
        <v>1</v>
      </c>
      <c r="X963" s="945" t="inlineStr">
        <is>
          <t>NA</t>
        </is>
      </c>
      <c r="Y963" s="237" t="n">
        <v>43</v>
      </c>
      <c r="Z963" s="237" t="inlineStr">
        <is>
          <t>NA</t>
        </is>
      </c>
      <c r="AA963" s="270" t="inlineStr">
        <is>
          <t>NA</t>
        </is>
      </c>
      <c r="AB963" s="1286" t="inlineStr">
        <is>
          <t>CALCULS PRUDENTIELS</t>
        </is>
      </c>
      <c r="AC963" s="231" t="inlineStr">
        <is>
          <t>ND</t>
        </is>
      </c>
      <c r="AD963" s="257" t="inlineStr">
        <is>
          <t>N</t>
        </is>
      </c>
      <c r="AE963" s="257" t="inlineStr">
        <is>
          <t>NA</t>
        </is>
      </c>
      <c r="AF963" s="257" t="inlineStr">
        <is>
          <t>NA</t>
        </is>
      </c>
      <c r="AG963" s="258" t="inlineStr">
        <is>
          <t>NA</t>
        </is>
      </c>
      <c r="AH963" s="89" t="n"/>
      <c r="AI963" s="353" t="inlineStr">
        <is>
          <t xml:space="preserve">La donnée est obligatoire si le Portefeuille Bâle Opération [P2 2.18] = ‘070' </t>
        </is>
      </c>
      <c r="AJ963" s="317" t="inlineStr">
        <is>
          <t xml:space="preserve">The data is mandatory if Basel Transaction Portfolio [P2 2.18] = ‘070' </t>
        </is>
      </c>
      <c r="AK963" s="257" t="n">
        <v>6</v>
      </c>
      <c r="AL963" s="335" t="inlineStr">
        <is>
          <t>TPS1701</t>
        </is>
      </c>
      <c r="AM963" s="318" t="inlineStr">
        <is>
          <t>Si elle est renseignée, la valeur doit être connue du Langage Commun associé</t>
        </is>
      </c>
      <c r="AN963" s="317" t="inlineStr">
        <is>
          <t>If specified, the value must be known to the associated Common Language</t>
        </is>
      </c>
      <c r="AO963" s="257" t="n">
        <v>7</v>
      </c>
      <c r="AP963" s="212" t="inlineStr">
        <is>
          <t>TIG0001</t>
        </is>
      </c>
      <c r="AQ963" s="318" t="n"/>
      <c r="AR963" s="317" t="n"/>
      <c r="AS963" s="257" t="n"/>
      <c r="AT963" s="258" t="n"/>
      <c r="AU963" s="318" t="n"/>
      <c r="AV963" s="317" t="n"/>
      <c r="AW963" s="257" t="n"/>
      <c r="AX963" s="258" t="n"/>
      <c r="AY963" s="318" t="n"/>
      <c r="AZ963" s="317" t="n"/>
      <c r="BA963" s="257" t="n"/>
      <c r="BB963" s="258" t="n"/>
      <c r="BC963" s="316" t="n"/>
      <c r="BD963" s="317" t="n"/>
      <c r="BE963" s="257" t="n"/>
      <c r="BF963" s="258" t="n"/>
      <c r="BG963" s="89" t="n"/>
      <c r="BH9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63">
        <f>_xlfn.LET(r,ROW(),oc,INDEX($A:$A,r),cv,TRIM(INDEX($Y:$Y,r)&amp;""),IF(oc&lt;&gt;"P1","",IF(cv="45","V45 - novo, nao alimentado pelo spool atual","V44 - alimentado pelo spool atual")))</f>
        <v/>
      </c>
    </row>
    <row r="964" ht="54" customFormat="1" customHeight="1" s="90">
      <c r="A964" s="306" t="inlineStr">
        <is>
          <t>P2</t>
        </is>
      </c>
      <c r="B964" s="307" t="n">
        <v>67</v>
      </c>
      <c r="C964" s="269" t="inlineStr">
        <is>
          <t>18 - Caractéristiques Titrisation</t>
        </is>
      </c>
      <c r="D964" s="310" t="inlineStr">
        <is>
          <t>18 - Securitization characteristics</t>
        </is>
      </c>
      <c r="E964" s="307" t="inlineStr">
        <is>
          <t>P2 16.23</t>
        </is>
      </c>
      <c r="F964" s="798" t="inlineStr">
        <is>
          <t>Motif titrisation ERBA</t>
        </is>
      </c>
      <c r="G964" s="309" t="inlineStr">
        <is>
          <t>Reason for ERBA securitization</t>
        </is>
      </c>
      <c r="H964" s="309" t="n"/>
      <c r="I964" s="241" t="inlineStr">
        <is>
          <t>Permet de justifier l'utilisation de la méthode de titrisation ERBA</t>
        </is>
      </c>
      <c r="J964" s="309" t="inlineStr">
        <is>
          <t>Allows to justify the use of the ERBA securitization method</t>
        </is>
      </c>
      <c r="K964" s="370" t="inlineStr">
        <is>
          <t>ND</t>
        </is>
      </c>
      <c r="L964" s="371" t="inlineStr">
        <is>
          <t>ND</t>
        </is>
      </c>
      <c r="M964" s="1420" t="inlineStr">
        <is>
          <t>cdTitrERBA</t>
        </is>
      </c>
      <c r="N964" s="269" t="inlineStr">
        <is>
          <t>Obligatoire sous conditions</t>
        </is>
      </c>
      <c r="O964" s="310" t="inlineStr">
        <is>
          <t>Mandatory under conditions</t>
        </is>
      </c>
      <c r="P964" s="269" t="inlineStr">
        <is>
          <t>LC.0363</t>
        </is>
      </c>
      <c r="Q964" s="269" t="inlineStr">
        <is>
          <t>TA Z8MTERBA</t>
        </is>
      </c>
      <c r="R964" s="241" t="inlineStr">
        <is>
          <t>NA</t>
        </is>
      </c>
      <c r="S964" s="233" t="inlineStr">
        <is>
          <t>NA</t>
        </is>
      </c>
      <c r="T964" s="313" t="inlineStr">
        <is>
          <t>ALPHA</t>
        </is>
      </c>
      <c r="U964" s="237" t="inlineStr">
        <is>
          <t>NA</t>
        </is>
      </c>
      <c r="V964" s="238" t="inlineStr">
        <is>
          <t>NA</t>
        </is>
      </c>
      <c r="W964" s="257" t="n">
        <v>2</v>
      </c>
      <c r="X964" s="945" t="inlineStr">
        <is>
          <t>NA</t>
        </is>
      </c>
      <c r="Y964" s="237" t="n">
        <v>43</v>
      </c>
      <c r="Z964" s="237" t="inlineStr">
        <is>
          <t>NA</t>
        </is>
      </c>
      <c r="AA964" s="270" t="inlineStr">
        <is>
          <t>NA</t>
        </is>
      </c>
      <c r="AB964" s="1286" t="inlineStr">
        <is>
          <t>CALCULS PRUDENTIELS</t>
        </is>
      </c>
      <c r="AC964" s="231" t="inlineStr">
        <is>
          <t>ND</t>
        </is>
      </c>
      <c r="AD964" s="257" t="inlineStr">
        <is>
          <t>N</t>
        </is>
      </c>
      <c r="AE964" s="257" t="inlineStr">
        <is>
          <t>NA</t>
        </is>
      </c>
      <c r="AF964" s="257" t="inlineStr">
        <is>
          <t>NA</t>
        </is>
      </c>
      <c r="AG964" s="258" t="inlineStr">
        <is>
          <t>NA</t>
        </is>
      </c>
      <c r="AH964" s="89" t="n"/>
      <c r="AI964" s="353" t="inlineStr">
        <is>
          <t>La donnée est obligatoire, si le Portefeuille Bâlois - Opération [P2 2.18] = '070' et si la méthode de titrisation [P2 16.24] = 'ERBA'</t>
        </is>
      </c>
      <c r="AJ964" s="317" t="inlineStr">
        <is>
          <t>The data is mandatory if the Basel Portfolio - Transaction [P2 2.18] = '070' and if the securitization method [P2 16.24] = 'ERBA'</t>
        </is>
      </c>
      <c r="AK964" s="257" t="n">
        <v>6</v>
      </c>
      <c r="AL964" s="335" t="inlineStr">
        <is>
          <t>TPS1709</t>
        </is>
      </c>
      <c r="AM964" s="318" t="inlineStr">
        <is>
          <t>Si elle est renseignée, la valeur doit être connue du Langage Commun associé</t>
        </is>
      </c>
      <c r="AN964" s="317" t="inlineStr">
        <is>
          <t>If specified, the value must be known to the associated Common Language</t>
        </is>
      </c>
      <c r="AO964" s="257" t="n">
        <v>7</v>
      </c>
      <c r="AP964" s="212" t="inlineStr">
        <is>
          <t>TIG0001</t>
        </is>
      </c>
      <c r="AQ964" s="318" t="n"/>
      <c r="AR964" s="317" t="n"/>
      <c r="AS964" s="257" t="n"/>
      <c r="AT964" s="258" t="n"/>
      <c r="AU964" s="318" t="n"/>
      <c r="AV964" s="317" t="n"/>
      <c r="AW964" s="257" t="n"/>
      <c r="AX964" s="258" t="n"/>
      <c r="AY964" s="318" t="n"/>
      <c r="AZ964" s="317" t="n"/>
      <c r="BA964" s="257" t="n"/>
      <c r="BB964" s="258" t="n"/>
      <c r="BC964" s="316" t="n"/>
      <c r="BD964" s="317" t="n"/>
      <c r="BE964" s="257" t="n"/>
      <c r="BF964" s="258" t="n"/>
      <c r="BG964" s="89" t="n"/>
      <c r="BH9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64">
        <f>_xlfn.LET(r,ROW(),oc,INDEX($A:$A,r),cv,TRIM(INDEX($Y:$Y,r)&amp;""),IF(oc&lt;&gt;"P1","",IF(cv="45","V45 - novo, nao alimentado pelo spool atual","V44 - alimentado pelo spool atual")))</f>
        <v/>
      </c>
    </row>
    <row r="965" ht="54" customFormat="1" customHeight="1" s="55">
      <c r="A965" s="325" t="inlineStr">
        <is>
          <t>P2</t>
        </is>
      </c>
      <c r="B965" s="326" t="n">
        <v>68</v>
      </c>
      <c r="C965" s="284" t="inlineStr">
        <is>
          <t>NA</t>
        </is>
      </c>
      <c r="D965" s="284" t="inlineStr">
        <is>
          <t>NA</t>
        </is>
      </c>
      <c r="E965" s="326" t="inlineStr">
        <is>
          <t>P2 16.99</t>
        </is>
      </c>
      <c r="F965" s="327" t="inlineStr">
        <is>
          <t>Filler</t>
        </is>
      </c>
      <c r="G965" s="327" t="inlineStr">
        <is>
          <t>Filler</t>
        </is>
      </c>
      <c r="H965" s="327" t="n"/>
      <c r="I965" s="247" t="inlineStr">
        <is>
          <t>Zone libre</t>
        </is>
      </c>
      <c r="J965" s="327" t="inlineStr">
        <is>
          <t>Free zone</t>
        </is>
      </c>
      <c r="K965" s="388" t="inlineStr">
        <is>
          <t>NA</t>
        </is>
      </c>
      <c r="L965" s="388" t="inlineStr">
        <is>
          <t>NA</t>
        </is>
      </c>
      <c r="M965" s="1421" t="inlineStr">
        <is>
          <t>Zonelibre1699</t>
        </is>
      </c>
      <c r="N965" s="284" t="inlineStr">
        <is>
          <t>NA</t>
        </is>
      </c>
      <c r="O965" s="284" t="inlineStr">
        <is>
          <t>NA</t>
        </is>
      </c>
      <c r="P965" s="284" t="inlineStr">
        <is>
          <t>NA</t>
        </is>
      </c>
      <c r="Q965" s="284" t="inlineStr">
        <is>
          <t>NA</t>
        </is>
      </c>
      <c r="R965" s="247" t="inlineStr">
        <is>
          <t>Laisser à vide</t>
        </is>
      </c>
      <c r="S965" s="247" t="inlineStr">
        <is>
          <t>Leave empty</t>
        </is>
      </c>
      <c r="T965" s="326" t="inlineStr">
        <is>
          <t>ALPHA</t>
        </is>
      </c>
      <c r="U965" s="248" t="inlineStr">
        <is>
          <t>NA</t>
        </is>
      </c>
      <c r="V965" s="248" t="inlineStr">
        <is>
          <t>NA</t>
        </is>
      </c>
      <c r="W965" s="284" t="n">
        <v>3</v>
      </c>
      <c r="X965" s="244" t="inlineStr">
        <is>
          <t>NA</t>
        </is>
      </c>
      <c r="Y965" s="248" t="inlineStr">
        <is>
          <t>NA</t>
        </is>
      </c>
      <c r="Z965" s="248" t="inlineStr">
        <is>
          <t>NA</t>
        </is>
      </c>
      <c r="AA965" s="248" t="inlineStr">
        <is>
          <t>NA</t>
        </is>
      </c>
      <c r="AB965" s="284" t="inlineStr">
        <is>
          <t>NA</t>
        </is>
      </c>
      <c r="AC965" s="244" t="inlineStr">
        <is>
          <t>NA</t>
        </is>
      </c>
      <c r="AD965" s="284" t="inlineStr">
        <is>
          <t>N</t>
        </is>
      </c>
      <c r="AE965" s="284" t="inlineStr">
        <is>
          <t>NA</t>
        </is>
      </c>
      <c r="AF965" s="284" t="inlineStr">
        <is>
          <t>NA</t>
        </is>
      </c>
      <c r="AG965" s="285" t="inlineStr">
        <is>
          <t>NA</t>
        </is>
      </c>
      <c r="AH965" s="89" t="n"/>
      <c r="AI965" s="330" t="n"/>
      <c r="AJ965" s="331" t="n"/>
      <c r="AK965" s="284" t="n"/>
      <c r="AL965" s="285" t="n"/>
      <c r="AM965" s="331" t="n"/>
      <c r="AN965" s="331" t="n"/>
      <c r="AO965" s="284" t="n"/>
      <c r="AP965" s="285" t="n"/>
      <c r="AQ965" s="331" t="n"/>
      <c r="AR965" s="331" t="n"/>
      <c r="AS965" s="284" t="n"/>
      <c r="AT965" s="285" t="n"/>
      <c r="AU965" s="331" t="n"/>
      <c r="AV965" s="331" t="n"/>
      <c r="AW965" s="284" t="n"/>
      <c r="AX965" s="285" t="n"/>
      <c r="AY965" s="331" t="n"/>
      <c r="AZ965" s="331" t="n"/>
      <c r="BA965" s="284" t="n"/>
      <c r="BB965" s="285" t="n"/>
      <c r="BC965" s="330" t="n"/>
      <c r="BD965" s="331" t="n"/>
      <c r="BE965" s="284" t="n"/>
      <c r="BF965" s="285" t="n"/>
      <c r="BG965" s="89" t="n"/>
      <c r="BH9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65">
        <f>_xlfn.LET(r,ROW(),oc,INDEX($A:$A,r),cv,TRIM(INDEX($Y:$Y,r)&amp;""),IF(oc&lt;&gt;"P1","",IF(cv="45","V45 - novo, nao alimentado pelo spool atual","V44 - alimentado pelo spool atual")))</f>
        <v/>
      </c>
    </row>
    <row r="966" ht="54" customFormat="1" customHeight="1" s="90">
      <c r="A966" s="306" t="inlineStr">
        <is>
          <t>P2</t>
        </is>
      </c>
      <c r="B966" s="307" t="n">
        <v>69</v>
      </c>
      <c r="C966" s="269" t="inlineStr">
        <is>
          <t>14 - Caractéristiques Sous-jacent</t>
        </is>
      </c>
      <c r="D966" s="310" t="inlineStr">
        <is>
          <t>14 - Underlying characteristics</t>
        </is>
      </c>
      <c r="E966" s="307" t="inlineStr">
        <is>
          <t>P2 4.31</t>
        </is>
      </c>
      <c r="F966" s="417" t="inlineStr">
        <is>
          <t>Indicateur Produit à sous-jacent</t>
        </is>
      </c>
      <c r="G966" s="309" t="inlineStr">
        <is>
          <t>Product with underlying indicator</t>
        </is>
      </c>
      <c r="H966" s="309" t="n"/>
      <c r="I966" s="308" t="inlineStr">
        <is>
          <t>Dans le cadre de la déclaration des Grands Risques uniquement, lorsqu'une exposition de type financement, titres ou garantie émise porte sur plusieurs sous-jacents alors elle doit être décomposée par transparence afin de répartir cette exposition sur les différents bénéficiaires à la déclaration Grands Risques</t>
        </is>
      </c>
      <c r="J966" s="309" t="inlineStr">
        <is>
          <t>For the reporting of large Risks only, where an exposure of the type finance, securities or guarantee issued relates to more than one underlying, then it must be broken down by transparency in order to spread that exposure across the different beneficiaries to the reporting of large Risks</t>
        </is>
      </c>
      <c r="K966" s="269" t="inlineStr">
        <is>
          <t>ND</t>
        </is>
      </c>
      <c r="L966" s="310" t="inlineStr">
        <is>
          <t>ND</t>
        </is>
      </c>
      <c r="M966" s="1420" t="inlineStr">
        <is>
          <t>indPdtSsJacent</t>
        </is>
      </c>
      <c r="N966" s="231" t="inlineStr">
        <is>
          <t>Obligatoire</t>
        </is>
      </c>
      <c r="O966" s="310" t="inlineStr">
        <is>
          <t>Mandatory</t>
        </is>
      </c>
      <c r="P966" s="269" t="inlineStr">
        <is>
          <t>LC.0479</t>
        </is>
      </c>
      <c r="Q966" s="269" t="inlineStr">
        <is>
          <t>TA Z8IPROSJ</t>
        </is>
      </c>
      <c r="R966" s="241" t="inlineStr">
        <is>
          <t xml:space="preserve">Concerne les expositions de titrisation </t>
        </is>
      </c>
      <c r="S966" s="233" t="inlineStr">
        <is>
          <t xml:space="preserve">Relates to securitisation exposures </t>
        </is>
      </c>
      <c r="T966" s="313" t="inlineStr">
        <is>
          <t>ALPHA</t>
        </is>
      </c>
      <c r="U966" s="237" t="inlineStr">
        <is>
          <t>NA</t>
        </is>
      </c>
      <c r="V966" s="238" t="inlineStr">
        <is>
          <t>NA</t>
        </is>
      </c>
      <c r="W966" s="257" t="n">
        <v>1</v>
      </c>
      <c r="X966" s="945" t="inlineStr">
        <is>
          <t>NA</t>
        </is>
      </c>
      <c r="Y966" s="237" t="n">
        <v>40</v>
      </c>
      <c r="Z966" s="237" t="inlineStr">
        <is>
          <t>NA</t>
        </is>
      </c>
      <c r="AA966" s="237" t="inlineStr">
        <is>
          <t>NA</t>
        </is>
      </c>
      <c r="AB966" s="269" t="inlineStr">
        <is>
          <t>GRR</t>
        </is>
      </c>
      <c r="AC966" s="231" t="inlineStr">
        <is>
          <t>ND</t>
        </is>
      </c>
      <c r="AD966" s="257" t="inlineStr">
        <is>
          <t>N</t>
        </is>
      </c>
      <c r="AE966" s="257" t="inlineStr">
        <is>
          <t>NA</t>
        </is>
      </c>
      <c r="AF966" s="257" t="inlineStr">
        <is>
          <t>NA</t>
        </is>
      </c>
      <c r="AG966" s="258" t="inlineStr">
        <is>
          <t>NA</t>
        </is>
      </c>
      <c r="AH966" s="89" t="n"/>
      <c r="AI966" s="316" t="inlineStr">
        <is>
          <t>La donnée est obligatoire</t>
        </is>
      </c>
      <c r="AJ966" s="317" t="inlineStr">
        <is>
          <t>The data is mandatory</t>
        </is>
      </c>
      <c r="AK966" s="257" t="n">
        <v>7</v>
      </c>
      <c r="AL966" s="335" t="inlineStr">
        <is>
          <t>TPG0001</t>
        </is>
      </c>
      <c r="AM966" s="318" t="inlineStr">
        <is>
          <t>Si elle est renseignée, la valeur doit être connue du Langage Commun associé</t>
        </is>
      </c>
      <c r="AN966" s="317" t="inlineStr">
        <is>
          <t>If specified, the value must be known to the associated Common Language</t>
        </is>
      </c>
      <c r="AO966" s="257" t="n">
        <v>7</v>
      </c>
      <c r="AP966" s="212" t="inlineStr">
        <is>
          <t>TIG0001</t>
        </is>
      </c>
      <c r="AQ966" s="346" t="n"/>
      <c r="AR966" s="347" t="n"/>
      <c r="AS966" s="348" t="n"/>
      <c r="AT966" s="423" t="n"/>
      <c r="AU966" s="318" t="n"/>
      <c r="AV966" s="317" t="n"/>
      <c r="AW966" s="257" t="n"/>
      <c r="AX966" s="258" t="n"/>
      <c r="AY966" s="318" t="n"/>
      <c r="AZ966" s="317" t="n"/>
      <c r="BA966" s="257" t="n"/>
      <c r="BB966" s="258" t="n"/>
      <c r="BC966" s="316" t="n"/>
      <c r="BD966" s="317" t="n"/>
      <c r="BE966" s="257" t="n"/>
      <c r="BF966" s="258" t="n"/>
      <c r="BG966" s="89" t="n"/>
      <c r="BH9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66">
        <f>_xlfn.LET(r,ROW(),oc,INDEX($A:$A,r),cv,TRIM(INDEX($Y:$Y,r)&amp;""),IF(oc&lt;&gt;"P1","",IF(cv="45","V45 - novo, nao alimentado pelo spool atual","V44 - alimentado pelo spool atual")))</f>
        <v/>
      </c>
    </row>
    <row r="967" ht="54" customFormat="1" customHeight="1" s="55">
      <c r="A967" s="325" t="inlineStr">
        <is>
          <t>P2</t>
        </is>
      </c>
      <c r="B967" s="326" t="n">
        <v>70</v>
      </c>
      <c r="C967" s="284" t="inlineStr">
        <is>
          <t>NA</t>
        </is>
      </c>
      <c r="D967" s="284" t="inlineStr">
        <is>
          <t>NA</t>
        </is>
      </c>
      <c r="E967" s="326" t="inlineStr">
        <is>
          <t>P2 4.32</t>
        </is>
      </c>
      <c r="F967" s="327" t="inlineStr">
        <is>
          <t>Indicateur de granularité</t>
        </is>
      </c>
      <c r="G967" s="327" t="inlineStr">
        <is>
          <t>Granularity indicator</t>
        </is>
      </c>
      <c r="H967" s="327" t="n"/>
      <c r="I967" s="245" t="inlineStr">
        <is>
          <t>Indicateur de granularité</t>
        </is>
      </c>
      <c r="J967" s="245" t="inlineStr">
        <is>
          <t>Granularity indicator</t>
        </is>
      </c>
      <c r="K967" s="284" t="inlineStr">
        <is>
          <t>NA</t>
        </is>
      </c>
      <c r="L967" s="284" t="inlineStr">
        <is>
          <t>NA</t>
        </is>
      </c>
      <c r="M967" s="1421" t="inlineStr">
        <is>
          <t>indGranularite</t>
        </is>
      </c>
      <c r="N967" s="284" t="inlineStr">
        <is>
          <t>NA</t>
        </is>
      </c>
      <c r="O967" s="284" t="inlineStr">
        <is>
          <t>NA</t>
        </is>
      </c>
      <c r="P967" s="284" t="inlineStr">
        <is>
          <t>LC.0157</t>
        </is>
      </c>
      <c r="Q967" s="284" t="inlineStr">
        <is>
          <t>TA KVIGRANU</t>
        </is>
      </c>
      <c r="R967" s="247" t="inlineStr">
        <is>
          <t>Laisser à vide</t>
        </is>
      </c>
      <c r="S967" s="247" t="inlineStr">
        <is>
          <t>Leave empty</t>
        </is>
      </c>
      <c r="T967" s="326" t="inlineStr">
        <is>
          <t>ALPHA</t>
        </is>
      </c>
      <c r="U967" s="248" t="inlineStr">
        <is>
          <t>NA</t>
        </is>
      </c>
      <c r="V967" s="248" t="inlineStr">
        <is>
          <t>NA</t>
        </is>
      </c>
      <c r="W967" s="284" t="n">
        <v>1</v>
      </c>
      <c r="X967" s="244" t="inlineStr">
        <is>
          <t>NA</t>
        </is>
      </c>
      <c r="Y967" s="248" t="n">
        <v>40</v>
      </c>
      <c r="Z967" s="248" t="n">
        <v>42</v>
      </c>
      <c r="AA967" s="248" t="inlineStr">
        <is>
          <t>NA</t>
        </is>
      </c>
      <c r="AB967" s="284" t="inlineStr">
        <is>
          <t>NA</t>
        </is>
      </c>
      <c r="AC967" s="244" t="inlineStr">
        <is>
          <t>NA</t>
        </is>
      </c>
      <c r="AD967" s="284" t="inlineStr">
        <is>
          <t>N</t>
        </is>
      </c>
      <c r="AE967" s="284" t="inlineStr">
        <is>
          <t>NA</t>
        </is>
      </c>
      <c r="AF967" s="284" t="inlineStr">
        <is>
          <t>NA</t>
        </is>
      </c>
      <c r="AG967" s="285" t="inlineStr">
        <is>
          <t>NA</t>
        </is>
      </c>
      <c r="AH967" s="89" t="n"/>
      <c r="AI967" s="330" t="n"/>
      <c r="AJ967" s="331" t="n"/>
      <c r="AK967" s="284" t="n"/>
      <c r="AL967" s="285" t="n"/>
      <c r="AM967" s="331" t="n"/>
      <c r="AN967" s="331" t="n"/>
      <c r="AO967" s="284" t="n"/>
      <c r="AP967" s="285" t="n"/>
      <c r="AQ967" s="331" t="n"/>
      <c r="AR967" s="331" t="n"/>
      <c r="AS967" s="284" t="n"/>
      <c r="AT967" s="285" t="n"/>
      <c r="AU967" s="331" t="n"/>
      <c r="AV967" s="331" t="n"/>
      <c r="AW967" s="284" t="n"/>
      <c r="AX967" s="285" t="n"/>
      <c r="AY967" s="331" t="n"/>
      <c r="AZ967" s="331" t="n"/>
      <c r="BA967" s="284" t="n"/>
      <c r="BB967" s="285" t="n"/>
      <c r="BC967" s="330" t="n"/>
      <c r="BD967" s="331" t="n"/>
      <c r="BE967" s="284" t="n"/>
      <c r="BF967" s="285" t="n"/>
      <c r="BG967" s="89" t="n"/>
      <c r="BH9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67">
        <f>_xlfn.LET(r,ROW(),oc,INDEX($A:$A,r),cv,TRIM(INDEX($Y:$Y,r)&amp;""),IF(oc&lt;&gt;"P1","",IF(cv="45","V45 - novo, nao alimentado pelo spool atual","V44 - alimentado pelo spool atual")))</f>
        <v/>
      </c>
    </row>
    <row r="968" ht="54" customFormat="1" customHeight="1" s="90">
      <c r="A968" s="306" t="inlineStr">
        <is>
          <t>P2</t>
        </is>
      </c>
      <c r="B968" s="307" t="n">
        <v>71</v>
      </c>
      <c r="C968" s="269" t="inlineStr">
        <is>
          <t>03 - Caractéristiques Générales</t>
        </is>
      </c>
      <c r="D968" s="310" t="inlineStr">
        <is>
          <t>03 - General characteristics</t>
        </is>
      </c>
      <c r="E968" s="307" t="inlineStr">
        <is>
          <t>P2 11.13</t>
        </is>
      </c>
      <c r="F968" s="308" t="inlineStr">
        <is>
          <t>Point d'attachement</t>
        </is>
      </c>
      <c r="G968" s="309" t="inlineStr">
        <is>
          <t>Attachment point</t>
        </is>
      </c>
      <c r="H968" s="309" t="n"/>
      <c r="I968" s="308" t="inlineStr">
        <is>
          <t>Point d'attachement
Exprimée en pourcentage</t>
        </is>
      </c>
      <c r="J968" s="309" t="inlineStr">
        <is>
          <t>Attachment point
Expressed in percentage</t>
        </is>
      </c>
      <c r="K968" s="269" t="inlineStr">
        <is>
          <t>ND</t>
        </is>
      </c>
      <c r="L968" s="310" t="inlineStr">
        <is>
          <t>ND</t>
        </is>
      </c>
      <c r="M968" s="1420" t="inlineStr">
        <is>
          <t>valPointAttach</t>
        </is>
      </c>
      <c r="N968" s="231" t="inlineStr">
        <is>
          <t>Obligatoire sous conditions</t>
        </is>
      </c>
      <c r="O968" s="310" t="inlineStr">
        <is>
          <t>Mandatory under conditions</t>
        </is>
      </c>
      <c r="P968" s="269" t="inlineStr">
        <is>
          <t>NA</t>
        </is>
      </c>
      <c r="Q968" s="269" t="inlineStr">
        <is>
          <t>NA</t>
        </is>
      </c>
      <c r="R968" s="386" t="inlineStr">
        <is>
          <t xml:space="preserve">Il s'agit du point d'attachement de la tranche du portefeuille sous-jacent sur laquelle porte le dérivé
Il identifie de manière quantitative le niveau de séniorité sur lequel porte le dérivé de crédit (i.e. : la tranche de titrisation). 
Il s'exprime en % du Nominal du portefeuille sous-jacent au dérivé (Nominal du véhicule de titrisation).
Exprimée en %
</t>
        </is>
      </c>
      <c r="S968" s="233" t="inlineStr">
        <is>
          <t>This is the attachment point of the underlying portfolio tranche covered by the derivative
It quantifies the level of seniority enjoyed by the credit derivative (i.e.: the securitisation tranche). 
It is expressed as % of the nominal amount of the underlying portfolio to the derivative (nominal amount of the securitisation vehicle)
Expressed as %</t>
        </is>
      </c>
      <c r="T968" s="313" t="inlineStr">
        <is>
          <t>NUM</t>
        </is>
      </c>
      <c r="U968" s="237" t="inlineStr">
        <is>
          <t>10 dont signe et 5 décimales</t>
        </is>
      </c>
      <c r="V968" s="238" t="inlineStr">
        <is>
          <t>10 including sign and 5 decimals</t>
        </is>
      </c>
      <c r="W968" s="257" t="n">
        <v>10</v>
      </c>
      <c r="X968" s="945" t="inlineStr">
        <is>
          <t>NA</t>
        </is>
      </c>
      <c r="Y968" s="237" t="n">
        <v>40</v>
      </c>
      <c r="Z968" s="237" t="inlineStr">
        <is>
          <t>NA</t>
        </is>
      </c>
      <c r="AA968" s="270" t="inlineStr">
        <is>
          <t>NA</t>
        </is>
      </c>
      <c r="AB968" s="994" t="inlineStr">
        <is>
          <t>CALCULS PRUDENTIELS, GRR</t>
        </is>
      </c>
      <c r="AC968" s="231" t="inlineStr">
        <is>
          <t>ND</t>
        </is>
      </c>
      <c r="AD968" s="257" t="inlineStr">
        <is>
          <t>N</t>
        </is>
      </c>
      <c r="AE968" s="257" t="inlineStr">
        <is>
          <t>NA</t>
        </is>
      </c>
      <c r="AF968" s="257" t="inlineStr">
        <is>
          <t>NA</t>
        </is>
      </c>
      <c r="AG968" s="258" t="inlineStr">
        <is>
          <t>NA</t>
        </is>
      </c>
      <c r="AH968" s="89" t="n"/>
      <c r="AI968" s="453" t="inlineStr">
        <is>
          <t xml:space="preserve">La donnée est obligatoire si le Portefeuille Bâle Opération [P2 2.18] = ‘070' </t>
        </is>
      </c>
      <c r="AJ968" s="317" t="inlineStr">
        <is>
          <t xml:space="preserve">The data is mandatory if Basel Transaction Portfolio [P2 2.18] = ‘070' </t>
        </is>
      </c>
      <c r="AK968" s="257" t="n">
        <v>6</v>
      </c>
      <c r="AL968" s="335" t="inlineStr">
        <is>
          <t>TPS1701</t>
        </is>
      </c>
      <c r="AM968" s="318" t="n"/>
      <c r="AN968" s="317" t="n"/>
      <c r="AO968" s="257" t="n"/>
      <c r="AP968" s="258" t="n"/>
      <c r="AQ968" s="318" t="inlineStr">
        <is>
          <t>Si renseignée, la donnée doit être positive (supérieure ou égale à 0)</t>
        </is>
      </c>
      <c r="AR968" s="317" t="inlineStr">
        <is>
          <t xml:space="preserve">If filled, data must be positive (greater or equal to 0) </t>
        </is>
      </c>
      <c r="AS968" s="257" t="n">
        <v>7</v>
      </c>
      <c r="AT968" s="258" t="inlineStr">
        <is>
          <t>TVG0001</t>
        </is>
      </c>
      <c r="AU968" s="318" t="n"/>
      <c r="AV968" s="317" t="n"/>
      <c r="AW968" s="257" t="n"/>
      <c r="AX968" s="258" t="n"/>
      <c r="AY968" s="318" t="n"/>
      <c r="AZ968" s="317" t="n"/>
      <c r="BA968" s="257" t="n"/>
      <c r="BB968" s="258" t="n"/>
      <c r="BC968" s="316" t="n"/>
      <c r="BD968" s="317" t="n"/>
      <c r="BE968" s="257" t="n"/>
      <c r="BF968" s="258" t="n"/>
      <c r="BG968" s="89" t="n"/>
      <c r="BH9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68">
        <f>_xlfn.LET(r,ROW(),oc,INDEX($A:$A,r),cv,TRIM(INDEX($Y:$Y,r)&amp;""),IF(oc&lt;&gt;"P1","",IF(cv="45","V45 - novo, nao alimentado pelo spool atual","V44 - alimentado pelo spool atual")))</f>
        <v/>
      </c>
    </row>
    <row r="969" ht="54" customFormat="1" customHeight="1" s="90">
      <c r="A969" s="306" t="inlineStr">
        <is>
          <t>P2</t>
        </is>
      </c>
      <c r="B969" s="307" t="n">
        <v>72</v>
      </c>
      <c r="C969" s="269" t="inlineStr">
        <is>
          <t>03 - Caractéristiques Générales</t>
        </is>
      </c>
      <c r="D969" s="310" t="inlineStr">
        <is>
          <t>03 - General characteristics</t>
        </is>
      </c>
      <c r="E969" s="307" t="inlineStr">
        <is>
          <t>P2 11.14</t>
        </is>
      </c>
      <c r="F969" s="308" t="inlineStr">
        <is>
          <t>Point de détachement</t>
        </is>
      </c>
      <c r="G969" s="309" t="inlineStr">
        <is>
          <t>Detachment point</t>
        </is>
      </c>
      <c r="H969" s="309" t="n"/>
      <c r="I969" s="308" t="inlineStr">
        <is>
          <t>Point de détachement
Exprimé en pourcentage</t>
        </is>
      </c>
      <c r="J969" s="309" t="inlineStr">
        <is>
          <t>Detachment point
Expressed in percentage</t>
        </is>
      </c>
      <c r="K969" s="269" t="inlineStr">
        <is>
          <t>ND</t>
        </is>
      </c>
      <c r="L969" s="310" t="inlineStr">
        <is>
          <t>ND</t>
        </is>
      </c>
      <c r="M969" s="1420" t="inlineStr">
        <is>
          <t>valPointDetache</t>
        </is>
      </c>
      <c r="N969" s="231" t="inlineStr">
        <is>
          <t>Obligatoire sous conditions</t>
        </is>
      </c>
      <c r="O969" s="310" t="inlineStr">
        <is>
          <t>Mandatory under conditions</t>
        </is>
      </c>
      <c r="P969" s="269" t="inlineStr">
        <is>
          <t>NA</t>
        </is>
      </c>
      <c r="Q969" s="269" t="inlineStr">
        <is>
          <t>NA</t>
        </is>
      </c>
      <c r="R969" s="241" t="inlineStr">
        <is>
          <t>Exprimée en %</t>
        </is>
      </c>
      <c r="S969" s="233" t="inlineStr">
        <is>
          <t>Expressed as %</t>
        </is>
      </c>
      <c r="T969" s="313" t="inlineStr">
        <is>
          <t>NUM</t>
        </is>
      </c>
      <c r="U969" s="237" t="inlineStr">
        <is>
          <t>10 dont signe et 5 décimales</t>
        </is>
      </c>
      <c r="V969" s="238" t="inlineStr">
        <is>
          <t>10 including sign and 5 decimals</t>
        </is>
      </c>
      <c r="W969" s="257" t="n">
        <v>10</v>
      </c>
      <c r="X969" s="945" t="inlineStr">
        <is>
          <t>NA</t>
        </is>
      </c>
      <c r="Y969" s="237" t="n">
        <v>40</v>
      </c>
      <c r="Z969" s="237" t="inlineStr">
        <is>
          <t>NA</t>
        </is>
      </c>
      <c r="AA969" s="270" t="inlineStr">
        <is>
          <t>NA</t>
        </is>
      </c>
      <c r="AB969" s="994" t="inlineStr">
        <is>
          <t>CALCULS PRUDENTIELS, GRR</t>
        </is>
      </c>
      <c r="AC969" s="231" t="inlineStr">
        <is>
          <t>ND</t>
        </is>
      </c>
      <c r="AD969" s="257" t="inlineStr">
        <is>
          <t>N</t>
        </is>
      </c>
      <c r="AE969" s="257" t="inlineStr">
        <is>
          <t>NA</t>
        </is>
      </c>
      <c r="AF969" s="257" t="inlineStr">
        <is>
          <t>NA</t>
        </is>
      </c>
      <c r="AG969" s="258" t="inlineStr">
        <is>
          <t>NA</t>
        </is>
      </c>
      <c r="AH969" s="89" t="n"/>
      <c r="AI969" s="453" t="inlineStr">
        <is>
          <t xml:space="preserve">La donnée est obligatoire si le Portefeuille Bâle Opération [P2 2.18] = ‘070' </t>
        </is>
      </c>
      <c r="AJ969" s="317" t="inlineStr">
        <is>
          <t xml:space="preserve">The data is mandatory if Basel Transaction Portfolio [P2 2.18] = ‘070' </t>
        </is>
      </c>
      <c r="AK969" s="257" t="n">
        <v>6</v>
      </c>
      <c r="AL969" s="335" t="inlineStr">
        <is>
          <t>TPS1701</t>
        </is>
      </c>
      <c r="AM969" s="318" t="n"/>
      <c r="AN969" s="317" t="n"/>
      <c r="AO969" s="257" t="n"/>
      <c r="AP969" s="258" t="n"/>
      <c r="AQ969" s="318" t="inlineStr">
        <is>
          <t>Si renseignée, la donnée doit être positive (supérieure ou égale à 0)</t>
        </is>
      </c>
      <c r="AR969" s="317" t="inlineStr">
        <is>
          <t xml:space="preserve">If filled, data must be positive (greater or equal to 0) </t>
        </is>
      </c>
      <c r="AS969" s="257" t="n">
        <v>7</v>
      </c>
      <c r="AT969" s="258" t="inlineStr">
        <is>
          <t>TVG0001</t>
        </is>
      </c>
      <c r="AU969" s="318" t="n"/>
      <c r="AV969" s="317" t="n"/>
      <c r="AW969" s="257" t="n"/>
      <c r="AX969" s="258" t="n"/>
      <c r="AY969" s="318" t="n"/>
      <c r="AZ969" s="317" t="n"/>
      <c r="BA969" s="257" t="n"/>
      <c r="BB969" s="258" t="n"/>
      <c r="BC969" s="316" t="n"/>
      <c r="BD969" s="317" t="n"/>
      <c r="BE969" s="257" t="n"/>
      <c r="BF969" s="258" t="n"/>
      <c r="BG969" s="89" t="n"/>
      <c r="BH9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69">
        <f>_xlfn.LET(r,ROW(),oc,INDEX($A:$A,r),cv,TRIM(INDEX($Y:$Y,r)&amp;""),IF(oc&lt;&gt;"P1","",IF(cv="45","V45 - novo, nao alimentado pelo spool atual","V44 - alimentado pelo spool atual")))</f>
        <v/>
      </c>
    </row>
    <row r="970" ht="54" customFormat="1" customHeight="1" s="55">
      <c r="A970" s="325" t="inlineStr">
        <is>
          <t>P2</t>
        </is>
      </c>
      <c r="B970" s="326" t="n">
        <v>73</v>
      </c>
      <c r="C970" s="284" t="inlineStr">
        <is>
          <t>03 - Caractéristiques Générales</t>
        </is>
      </c>
      <c r="D970" s="284" t="inlineStr">
        <is>
          <t>03 - General characteristics</t>
        </is>
      </c>
      <c r="E970" s="326" t="inlineStr">
        <is>
          <t>P2 4.24</t>
        </is>
      </c>
      <c r="F970" s="327" t="inlineStr">
        <is>
          <t>Date de signature du contrat</t>
        </is>
      </c>
      <c r="G970" s="327" t="inlineStr">
        <is>
          <t>Date of signature of contract</t>
        </is>
      </c>
      <c r="H970" s="327" t="n"/>
      <c r="I970" s="245" t="inlineStr">
        <is>
          <t>Date de signature du contrat</t>
        </is>
      </c>
      <c r="J970" s="245" t="inlineStr">
        <is>
          <t>Date of signature of contract</t>
        </is>
      </c>
      <c r="K970" s="284" t="inlineStr">
        <is>
          <t>NA</t>
        </is>
      </c>
      <c r="L970" s="284" t="inlineStr">
        <is>
          <t>NA</t>
        </is>
      </c>
      <c r="M970" s="1421" t="inlineStr">
        <is>
          <t>dtSigCtrt</t>
        </is>
      </c>
      <c r="N970" s="284" t="inlineStr">
        <is>
          <t>NA</t>
        </is>
      </c>
      <c r="O970" s="284" t="inlineStr">
        <is>
          <t>NA</t>
        </is>
      </c>
      <c r="P970" s="284" t="inlineStr">
        <is>
          <t>NA</t>
        </is>
      </c>
      <c r="Q970" s="284" t="inlineStr">
        <is>
          <t>NA</t>
        </is>
      </c>
      <c r="R970" s="245" t="inlineStr">
        <is>
          <t>NA</t>
        </is>
      </c>
      <c r="S970" s="245" t="inlineStr">
        <is>
          <t>NA</t>
        </is>
      </c>
      <c r="T970" s="246" t="inlineStr">
        <is>
          <t>DATE</t>
        </is>
      </c>
      <c r="U970" s="248" t="inlineStr">
        <is>
          <t>AAAAMMJJ</t>
        </is>
      </c>
      <c r="V970" s="248" t="inlineStr">
        <is>
          <t>YYYYMMDD</t>
        </is>
      </c>
      <c r="W970" s="284" t="n">
        <v>8</v>
      </c>
      <c r="X970" s="244" t="inlineStr">
        <is>
          <t>NA</t>
        </is>
      </c>
      <c r="Y970" s="248" t="n">
        <v>40</v>
      </c>
      <c r="Z970" s="248" t="n">
        <v>42</v>
      </c>
      <c r="AA970" s="248" t="inlineStr">
        <is>
          <t>NA</t>
        </is>
      </c>
      <c r="AB970" s="284" t="inlineStr">
        <is>
          <t>GRR</t>
        </is>
      </c>
      <c r="AC970" s="244" t="inlineStr">
        <is>
          <t>NA</t>
        </is>
      </c>
      <c r="AD970" s="284" t="inlineStr">
        <is>
          <t>N</t>
        </is>
      </c>
      <c r="AE970" s="284" t="inlineStr">
        <is>
          <t>NA</t>
        </is>
      </c>
      <c r="AF970" s="284" t="inlineStr">
        <is>
          <t>NA</t>
        </is>
      </c>
      <c r="AG970" s="285" t="inlineStr">
        <is>
          <t>NA</t>
        </is>
      </c>
      <c r="AH970" s="89" t="n"/>
      <c r="AI970" s="330" t="n"/>
      <c r="AJ970" s="331" t="n"/>
      <c r="AK970" s="284" t="n"/>
      <c r="AL970" s="285" t="n"/>
      <c r="AM970" s="331" t="n"/>
      <c r="AN970" s="331" t="n"/>
      <c r="AO970" s="284" t="n"/>
      <c r="AP970" s="285" t="n"/>
      <c r="AQ970" s="331" t="n"/>
      <c r="AR970" s="331" t="n"/>
      <c r="AS970" s="284" t="n"/>
      <c r="AT970" s="285" t="n"/>
      <c r="AU970" s="331" t="n"/>
      <c r="AV970" s="331" t="n"/>
      <c r="AW970" s="284" t="n"/>
      <c r="AX970" s="285" t="n"/>
      <c r="AY970" s="331" t="n"/>
      <c r="AZ970" s="331" t="n"/>
      <c r="BA970" s="284" t="n"/>
      <c r="BB970" s="285" t="n"/>
      <c r="BC970" s="330" t="n"/>
      <c r="BD970" s="331" t="n"/>
      <c r="BE970" s="284" t="n"/>
      <c r="BF970" s="285" t="n"/>
      <c r="BG970" s="89" t="n"/>
      <c r="BH9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70">
        <f>_xlfn.LET(r,ROW(),oc,INDEX($A:$A,r),cv,TRIM(INDEX($Y:$Y,r)&amp;""),IF(oc&lt;&gt;"P1","",IF(cv="45","V45 - novo, nao alimentado pelo spool atual","V44 - alimentado pelo spool atual")))</f>
        <v/>
      </c>
    </row>
    <row r="971" ht="54" customFormat="1" customHeight="1" s="90">
      <c r="A971" s="306" t="inlineStr">
        <is>
          <t>P2</t>
        </is>
      </c>
      <c r="B971" s="307" t="n">
        <v>74</v>
      </c>
      <c r="C971" s="269" t="inlineStr">
        <is>
          <t>03 - Caractéristiques Générales</t>
        </is>
      </c>
      <c r="D971" s="310" t="inlineStr">
        <is>
          <t>03 - General characteristics</t>
        </is>
      </c>
      <c r="E971" s="307" t="inlineStr">
        <is>
          <t>P2 4.36</t>
        </is>
      </c>
      <c r="F971" s="308" t="inlineStr">
        <is>
          <t>Indicateur de transparence de la structure</t>
        </is>
      </c>
      <c r="G971" s="309" t="inlineStr">
        <is>
          <t>Underlying transparency indicator</t>
        </is>
      </c>
      <c r="H971" s="309" t="n"/>
      <c r="I971" s="241" t="inlineStr">
        <is>
          <t>Indicateur de transparence de la structure</t>
        </is>
      </c>
      <c r="J971" s="233" t="inlineStr">
        <is>
          <t>Underlying transparency indicator</t>
        </is>
      </c>
      <c r="K971" s="269" t="inlineStr">
        <is>
          <t>ND</t>
        </is>
      </c>
      <c r="L971" s="310" t="inlineStr">
        <is>
          <t>ND</t>
        </is>
      </c>
      <c r="M971" s="1420" t="inlineStr">
        <is>
          <t>indTranspStruct</t>
        </is>
      </c>
      <c r="N971" s="231" t="inlineStr">
        <is>
          <t>Obligatoire sous conditions</t>
        </is>
      </c>
      <c r="O971" s="310" t="inlineStr">
        <is>
          <t>Mandatory under conditions</t>
        </is>
      </c>
      <c r="P971" s="269" t="inlineStr">
        <is>
          <t>LC.0183</t>
        </is>
      </c>
      <c r="Q971" s="269" t="inlineStr">
        <is>
          <t>TA KVITS</t>
        </is>
      </c>
      <c r="R971" s="241" t="inlineStr">
        <is>
          <t>Obligatoire si structure à sous-jacent</t>
        </is>
      </c>
      <c r="S971" s="233" t="inlineStr">
        <is>
          <t>Mandatory if underlying structure</t>
        </is>
      </c>
      <c r="T971" s="313" t="inlineStr">
        <is>
          <t>ALPHA</t>
        </is>
      </c>
      <c r="U971" s="237" t="inlineStr">
        <is>
          <t>NA</t>
        </is>
      </c>
      <c r="V971" s="238" t="inlineStr">
        <is>
          <t>NA</t>
        </is>
      </c>
      <c r="W971" s="257" t="n">
        <v>1</v>
      </c>
      <c r="X971" s="945" t="inlineStr">
        <is>
          <t>NA</t>
        </is>
      </c>
      <c r="Y971" s="237" t="n">
        <v>40</v>
      </c>
      <c r="Z971" s="237" t="inlineStr">
        <is>
          <t>NA</t>
        </is>
      </c>
      <c r="AA971" s="237" t="inlineStr">
        <is>
          <t>NA</t>
        </is>
      </c>
      <c r="AB971" s="269" t="inlineStr">
        <is>
          <t>GRR</t>
        </is>
      </c>
      <c r="AC971" s="231" t="inlineStr">
        <is>
          <t>ND</t>
        </is>
      </c>
      <c r="AD971" s="257" t="inlineStr">
        <is>
          <t>N</t>
        </is>
      </c>
      <c r="AE971" s="257" t="inlineStr">
        <is>
          <t>NA</t>
        </is>
      </c>
      <c r="AF971" s="257" t="inlineStr">
        <is>
          <t>NA</t>
        </is>
      </c>
      <c r="AG971" s="258" t="inlineStr">
        <is>
          <t>NA</t>
        </is>
      </c>
      <c r="AH971" s="89" t="n"/>
      <c r="AI971" s="453" t="inlineStr">
        <is>
          <t>La donnée est obligatoire si Indicateur Produit à sous-jacent [P2 4.31] = ‘Y'</t>
        </is>
      </c>
      <c r="AJ971" s="317" t="inlineStr">
        <is>
          <t>The data is mandatory if Product with underlying indicator [P2 4.31] = ‘Y'</t>
        </is>
      </c>
      <c r="AK971" s="257" t="n">
        <v>6</v>
      </c>
      <c r="AL971" s="345" t="inlineStr">
        <is>
          <t>TPS1710</t>
        </is>
      </c>
      <c r="AM971" s="318" t="inlineStr">
        <is>
          <t>Si elle est renseignée, la valeur doit être connue du Langage Commun associé</t>
        </is>
      </c>
      <c r="AN971" s="317" t="inlineStr">
        <is>
          <t>If specified, the value must be known to the associated Common Language</t>
        </is>
      </c>
      <c r="AO971" s="257" t="n">
        <v>7</v>
      </c>
      <c r="AP971" s="212" t="inlineStr">
        <is>
          <t>TIG0001</t>
        </is>
      </c>
      <c r="AQ971" s="318" t="n"/>
      <c r="AR971" s="317" t="n"/>
      <c r="AS971" s="257" t="n"/>
      <c r="AT971" s="258" t="n"/>
      <c r="AU971" s="318" t="n"/>
      <c r="AV971" s="317" t="n"/>
      <c r="AW971" s="257" t="n"/>
      <c r="AX971" s="258" t="n"/>
      <c r="AY971" s="318" t="n"/>
      <c r="AZ971" s="317" t="n"/>
      <c r="BA971" s="257" t="n"/>
      <c r="BB971" s="258" t="n"/>
      <c r="BC971" s="316" t="n"/>
      <c r="BD971" s="317" t="n"/>
      <c r="BE971" s="257" t="n"/>
      <c r="BF971" s="258" t="n"/>
      <c r="BG971" s="89" t="n"/>
      <c r="BH9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71">
        <f>_xlfn.LET(r,ROW(),oc,INDEX($A:$A,r),cv,TRIM(INDEX($Y:$Y,r)&amp;""),IF(oc&lt;&gt;"P1","",IF(cv="45","V45 - novo, nao alimentado pelo spool atual","V44 - alimentado pelo spool atual")))</f>
        <v/>
      </c>
    </row>
    <row r="972" ht="54" customFormat="1" customHeight="1" s="90">
      <c r="A972" s="306" t="inlineStr">
        <is>
          <t>P2</t>
        </is>
      </c>
      <c r="B972" s="307" t="n">
        <v>75</v>
      </c>
      <c r="C972" s="269" t="inlineStr">
        <is>
          <t>03 - Caractéristiques Générales</t>
        </is>
      </c>
      <c r="D972" s="310" t="inlineStr">
        <is>
          <t>03 - General characteristics</t>
        </is>
      </c>
      <c r="E972" s="372" t="inlineStr">
        <is>
          <t>P2 4.49</t>
        </is>
      </c>
      <c r="F972" s="308" t="inlineStr">
        <is>
          <t>Indicateur d'engagement de valeur minimale sur OPC</t>
        </is>
      </c>
      <c r="G972" s="309" t="inlineStr">
        <is>
          <t>Minimum value commitment on CIU indicator</t>
        </is>
      </c>
      <c r="H972" s="309" t="n"/>
      <c r="I972" s="242" t="inlineStr">
        <is>
          <t>Réglementation CRR2 et OPC garantis en capital
Cet indicateur permet de dire si la garantie donnée est un engagement de valeur minimale pour un investissement dans des parts d'OPC selon les critères de l'art. 132 quater §3</t>
        </is>
      </c>
      <c r="J972" s="363" t="inlineStr">
        <is>
          <t>CRR2 and CIU regulations guaranteed in capital
This indicator allows to say whether the guarantee given is a minimum value commitment for an investment in CIU units according to the criteria of art. 132 quater §3</t>
        </is>
      </c>
      <c r="K972" s="516" t="inlineStr">
        <is>
          <t>ND</t>
        </is>
      </c>
      <c r="L972" s="517" t="inlineStr">
        <is>
          <t>ND</t>
        </is>
      </c>
      <c r="M972" s="1420" t="inlineStr">
        <is>
          <t>IndEngValMinOPC</t>
        </is>
      </c>
      <c r="N972" s="269" t="inlineStr">
        <is>
          <t>Obligatoire sous conditions</t>
        </is>
      </c>
      <c r="O972" s="310" t="inlineStr">
        <is>
          <t>Mandatory under conditions</t>
        </is>
      </c>
      <c r="P972" s="269" t="inlineStr">
        <is>
          <t>LC.0339</t>
        </is>
      </c>
      <c r="Q972" s="269" t="inlineStr">
        <is>
          <t>TA Z8IEVOPC</t>
        </is>
      </c>
      <c r="R972" s="241" t="inlineStr">
        <is>
          <t>NA</t>
        </is>
      </c>
      <c r="S972" s="233" t="inlineStr">
        <is>
          <t>NA</t>
        </is>
      </c>
      <c r="T972" s="313" t="inlineStr">
        <is>
          <t>ALPHA</t>
        </is>
      </c>
      <c r="U972" s="237" t="inlineStr">
        <is>
          <t>NA</t>
        </is>
      </c>
      <c r="V972" s="238" t="inlineStr">
        <is>
          <t>NA</t>
        </is>
      </c>
      <c r="W972" s="257" t="n">
        <v>1</v>
      </c>
      <c r="X972" s="945" t="inlineStr">
        <is>
          <t>NA</t>
        </is>
      </c>
      <c r="Y972" s="237" t="n">
        <v>43</v>
      </c>
      <c r="Z972" s="237" t="inlineStr">
        <is>
          <t>NA</t>
        </is>
      </c>
      <c r="AA972" s="270" t="inlineStr">
        <is>
          <t>NA</t>
        </is>
      </c>
      <c r="AB972" s="994" t="inlineStr">
        <is>
          <t>CALCULS PRUDENTIELS, GRR</t>
        </is>
      </c>
      <c r="AC972" s="231" t="inlineStr">
        <is>
          <t>ND</t>
        </is>
      </c>
      <c r="AD972" s="257" t="inlineStr">
        <is>
          <t>N</t>
        </is>
      </c>
      <c r="AE972" s="257" t="inlineStr">
        <is>
          <t>NA</t>
        </is>
      </c>
      <c r="AF972" s="257" t="inlineStr">
        <is>
          <t>NA</t>
        </is>
      </c>
      <c r="AG972" s="258" t="inlineStr">
        <is>
          <t>NA</t>
        </is>
      </c>
      <c r="AH972" s="89" t="n"/>
      <c r="AI972" s="353" t="inlineStr">
        <is>
          <t>La donnée est obligatoire si le type de risque [P2 2.0] = 'SIG203', 'SIG206', 'SIG207'</t>
        </is>
      </c>
      <c r="AJ972" s="317" t="inlineStr">
        <is>
          <t>The data is mandatory if risk type [P2 2.0] = 'SIG203', 'SIG206', 'SIG207'</t>
        </is>
      </c>
      <c r="AK972" s="257" t="n">
        <v>6</v>
      </c>
      <c r="AL972" s="335" t="inlineStr">
        <is>
          <t>TPS1711</t>
        </is>
      </c>
      <c r="AM972" s="452" t="inlineStr">
        <is>
          <t>Si elle est renseignée, la valeur doit être connue du Langage Commun associé</t>
        </is>
      </c>
      <c r="AN972" s="377" t="inlineStr">
        <is>
          <t>If specified, the value must be known to the associated Common Language</t>
        </is>
      </c>
      <c r="AO972" s="257" t="n">
        <v>7</v>
      </c>
      <c r="AP972" s="212" t="inlineStr">
        <is>
          <t>TIG0001</t>
        </is>
      </c>
      <c r="AQ972" s="318" t="n"/>
      <c r="AR972" s="317" t="n"/>
      <c r="AS972" s="257" t="n"/>
      <c r="AT972" s="258" t="n"/>
      <c r="AU972" s="318" t="n"/>
      <c r="AV972" s="317" t="n"/>
      <c r="AW972" s="257" t="n"/>
      <c r="AX972" s="258" t="n"/>
      <c r="AY972" s="318" t="n"/>
      <c r="AZ972" s="317" t="n"/>
      <c r="BA972" s="257" t="n"/>
      <c r="BB972" s="258" t="n"/>
      <c r="BC972" s="316" t="n"/>
      <c r="BD972" s="317" t="n"/>
      <c r="BE972" s="257" t="n"/>
      <c r="BF972" s="258" t="n"/>
      <c r="BG972" s="89" t="n"/>
      <c r="BH9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72">
        <f>_xlfn.LET(r,ROW(),oc,INDEX($A:$A,r),cv,TRIM(INDEX($Y:$Y,r)&amp;""),IF(oc&lt;&gt;"P1","",IF(cv="45","V45 - novo, nao alimentado pelo spool atual","V44 - alimentado pelo spool atual")))</f>
        <v/>
      </c>
    </row>
    <row r="973" ht="54" customFormat="1" customHeight="1" s="55">
      <c r="A973" s="325" t="inlineStr">
        <is>
          <t>P2</t>
        </is>
      </c>
      <c r="B973" s="326" t="n">
        <v>76</v>
      </c>
      <c r="C973" s="284" t="inlineStr">
        <is>
          <t>NA</t>
        </is>
      </c>
      <c r="D973" s="284" t="inlineStr">
        <is>
          <t>NA</t>
        </is>
      </c>
      <c r="E973" s="326" t="inlineStr">
        <is>
          <t>P2 4.99</t>
        </is>
      </c>
      <c r="F973" s="327" t="inlineStr">
        <is>
          <t>Filler</t>
        </is>
      </c>
      <c r="G973" s="327" t="inlineStr">
        <is>
          <t>Filler</t>
        </is>
      </c>
      <c r="H973" s="327" t="n"/>
      <c r="I973" s="247" t="inlineStr">
        <is>
          <t>Zone libre</t>
        </is>
      </c>
      <c r="J973" s="245" t="inlineStr">
        <is>
          <t>Free zone</t>
        </is>
      </c>
      <c r="K973" s="284" t="inlineStr">
        <is>
          <t>NA</t>
        </is>
      </c>
      <c r="L973" s="284" t="inlineStr">
        <is>
          <t>NA</t>
        </is>
      </c>
      <c r="M973" s="1421" t="inlineStr">
        <is>
          <t>Zonelibre499</t>
        </is>
      </c>
      <c r="N973" s="284" t="inlineStr">
        <is>
          <t>NA</t>
        </is>
      </c>
      <c r="O973" s="284" t="inlineStr">
        <is>
          <t>NA</t>
        </is>
      </c>
      <c r="P973" s="284" t="inlineStr">
        <is>
          <t>NA</t>
        </is>
      </c>
      <c r="Q973" s="284" t="inlineStr">
        <is>
          <t>NA</t>
        </is>
      </c>
      <c r="R973" s="247" t="inlineStr">
        <is>
          <t>Laisser à vide</t>
        </is>
      </c>
      <c r="S973" s="247" t="inlineStr">
        <is>
          <t>Leave empty</t>
        </is>
      </c>
      <c r="T973" s="326" t="inlineStr">
        <is>
          <t>ALPHA</t>
        </is>
      </c>
      <c r="U973" s="248" t="inlineStr">
        <is>
          <t>NA</t>
        </is>
      </c>
      <c r="V973" s="248" t="inlineStr">
        <is>
          <t>NA</t>
        </is>
      </c>
      <c r="W973" s="284" t="n">
        <v>29</v>
      </c>
      <c r="X973" s="244" t="inlineStr">
        <is>
          <t>NA</t>
        </is>
      </c>
      <c r="Y973" s="248" t="inlineStr">
        <is>
          <t>NA</t>
        </is>
      </c>
      <c r="Z973" s="248" t="inlineStr">
        <is>
          <t>NA</t>
        </is>
      </c>
      <c r="AA973" s="248" t="inlineStr">
        <is>
          <t>NA</t>
        </is>
      </c>
      <c r="AB973" s="284" t="inlineStr">
        <is>
          <t>NA</t>
        </is>
      </c>
      <c r="AC973" s="244" t="inlineStr">
        <is>
          <t>NA</t>
        </is>
      </c>
      <c r="AD973" s="284" t="inlineStr">
        <is>
          <t>N</t>
        </is>
      </c>
      <c r="AE973" s="284" t="inlineStr">
        <is>
          <t>NA</t>
        </is>
      </c>
      <c r="AF973" s="284" t="inlineStr">
        <is>
          <t>NA</t>
        </is>
      </c>
      <c r="AG973" s="285" t="inlineStr">
        <is>
          <t>NA</t>
        </is>
      </c>
      <c r="AH973" s="89" t="n"/>
      <c r="AI973" s="330" t="n"/>
      <c r="AJ973" s="331" t="n"/>
      <c r="AK973" s="284" t="n"/>
      <c r="AL973" s="285" t="n"/>
      <c r="AM973" s="331" t="n"/>
      <c r="AN973" s="331" t="n"/>
      <c r="AO973" s="284" t="n"/>
      <c r="AP973" s="285" t="n"/>
      <c r="AQ973" s="331" t="n"/>
      <c r="AR973" s="331" t="n"/>
      <c r="AS973" s="284" t="n"/>
      <c r="AT973" s="285" t="n"/>
      <c r="AU973" s="331" t="n"/>
      <c r="AV973" s="331" t="n"/>
      <c r="AW973" s="284" t="n"/>
      <c r="AX973" s="285" t="n"/>
      <c r="AY973" s="331" t="n"/>
      <c r="AZ973" s="331" t="n"/>
      <c r="BA973" s="284" t="n"/>
      <c r="BB973" s="285" t="n"/>
      <c r="BC973" s="330" t="n"/>
      <c r="BD973" s="331" t="n"/>
      <c r="BE973" s="284" t="n"/>
      <c r="BF973" s="285" t="n"/>
      <c r="BG973" s="89" t="n"/>
      <c r="BH9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73">
        <f>_xlfn.LET(r,ROW(),oc,INDEX($A:$A,r),cv,TRIM(INDEX($Y:$Y,r)&amp;""),IF(oc&lt;&gt;"P1","",IF(cv="45","V45 - novo, nao alimentado pelo spool atual","V44 - alimentado pelo spool atual")))</f>
        <v/>
      </c>
    </row>
    <row r="974" ht="54" customFormat="1" customHeight="1" s="90">
      <c r="A974" s="306" t="inlineStr">
        <is>
          <t>P2</t>
        </is>
      </c>
      <c r="B974" s="307" t="n">
        <v>77</v>
      </c>
      <c r="C974" s="269" t="inlineStr">
        <is>
          <t>03 - Caractéristiques Générales</t>
        </is>
      </c>
      <c r="D974" s="310" t="inlineStr">
        <is>
          <t>03 - General characteristics</t>
        </is>
      </c>
      <c r="E974" s="307" t="inlineStr">
        <is>
          <t>P2 3.20</t>
        </is>
      </c>
      <c r="F974" s="308" t="inlineStr">
        <is>
          <t>Maturité résiduelle</t>
        </is>
      </c>
      <c r="G974" s="309" t="inlineStr">
        <is>
          <t>Remaining maturity</t>
        </is>
      </c>
      <c r="H974" s="309" t="n"/>
      <c r="I974" s="308" t="inlineStr">
        <is>
          <t>Maturité résiduelle</t>
        </is>
      </c>
      <c r="J974" s="309" t="inlineStr">
        <is>
          <t>Remaining maturity</t>
        </is>
      </c>
      <c r="K974" s="370" t="inlineStr">
        <is>
          <t>ND</t>
        </is>
      </c>
      <c r="L974" s="371" t="inlineStr">
        <is>
          <t>ND</t>
        </is>
      </c>
      <c r="M974" s="1420" t="inlineStr">
        <is>
          <t>cdMatRes</t>
        </is>
      </c>
      <c r="N974" s="257" t="inlineStr">
        <is>
          <t>Facultatif</t>
        </is>
      </c>
      <c r="O974" s="310" t="inlineStr">
        <is>
          <t>Optional</t>
        </is>
      </c>
      <c r="P974" s="269" t="inlineStr">
        <is>
          <t>NA</t>
        </is>
      </c>
      <c r="Q974" s="269" t="inlineStr">
        <is>
          <t>NA</t>
        </is>
      </c>
      <c r="R974" s="241" t="inlineStr">
        <is>
          <t>Donnée exprimée en années. Calcul à faire par l'entité en divisant le nombre de jours restants entre la date de fin de l'engagement et la date d'arrêté et en divisant par 365,25</t>
        </is>
      </c>
      <c r="S974" s="233" t="inlineStr">
        <is>
          <t>Data expressed in years. Calculation to be made by the entity by dividing the number of days remaining between the funds in use completion date and the cut-off date and dividing by 365.25</t>
        </is>
      </c>
      <c r="T974" s="313" t="inlineStr">
        <is>
          <t>NUM</t>
        </is>
      </c>
      <c r="U974" s="237" t="inlineStr">
        <is>
          <t>6 dont 4 décimales</t>
        </is>
      </c>
      <c r="V974" s="238" t="inlineStr">
        <is>
          <t>6 including 4 decimals</t>
        </is>
      </c>
      <c r="W974" s="257" t="n">
        <v>6</v>
      </c>
      <c r="X974" s="945" t="inlineStr">
        <is>
          <t>NA</t>
        </is>
      </c>
      <c r="Y974" s="237" t="n">
        <v>40</v>
      </c>
      <c r="Z974" s="237" t="inlineStr">
        <is>
          <t>NA</t>
        </is>
      </c>
      <c r="AA974" s="978" t="inlineStr">
        <is>
          <t>NA</t>
        </is>
      </c>
      <c r="AB974" s="994" t="inlineStr">
        <is>
          <t>ASTRE, CALCULS PRUDENTIELS, DEI, ESG PILIER 3, GRR</t>
        </is>
      </c>
      <c r="AC974" s="231" t="inlineStr">
        <is>
          <t>ND</t>
        </is>
      </c>
      <c r="AD974" s="257" t="inlineStr">
        <is>
          <t>N</t>
        </is>
      </c>
      <c r="AE974" s="257" t="inlineStr">
        <is>
          <t>NA</t>
        </is>
      </c>
      <c r="AF974" s="257" t="inlineStr">
        <is>
          <t>NA</t>
        </is>
      </c>
      <c r="AG974" s="258" t="inlineStr">
        <is>
          <t>NA</t>
        </is>
      </c>
      <c r="AH974" s="89" t="n"/>
      <c r="AI974" s="316" t="n"/>
      <c r="AJ974" s="317" t="n"/>
      <c r="AK974" s="257" t="n"/>
      <c r="AL974" s="258" t="n"/>
      <c r="AM974" s="318" t="n"/>
      <c r="AN974" s="317" t="n"/>
      <c r="AO974" s="257" t="n"/>
      <c r="AP974" s="258" t="n"/>
      <c r="AQ974" s="318" t="n"/>
      <c r="AR974" s="317" t="n"/>
      <c r="AS974" s="257" t="n"/>
      <c r="AT974" s="258" t="n"/>
      <c r="AU974" s="318" t="n"/>
      <c r="AV974" s="317" t="n"/>
      <c r="AW974" s="257" t="n"/>
      <c r="AX974" s="258" t="n"/>
      <c r="AY974" s="318" t="n"/>
      <c r="AZ974" s="317" t="n"/>
      <c r="BA974" s="257" t="n"/>
      <c r="BB974" s="258" t="n"/>
      <c r="BC974" s="316" t="n"/>
      <c r="BD974" s="317" t="n"/>
      <c r="BE974" s="257" t="n"/>
      <c r="BF974" s="258" t="n"/>
      <c r="BG974" s="89" t="n"/>
      <c r="BH9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74">
        <f>_xlfn.LET(r,ROW(),oc,INDEX($A:$A,r),cv,TRIM(INDEX($Y:$Y,r)&amp;""),IF(oc&lt;&gt;"P1","",IF(cv="45","V45 - novo, nao alimentado pelo spool atual","V44 - alimentado pelo spool atual")))</f>
        <v/>
      </c>
    </row>
    <row r="975" ht="54" customFormat="1" customHeight="1" s="90">
      <c r="A975" s="306" t="inlineStr">
        <is>
          <t>P2</t>
        </is>
      </c>
      <c r="B975" s="307" t="n">
        <v>78</v>
      </c>
      <c r="C975" s="269" t="inlineStr">
        <is>
          <t>03 - Caractéristiques Générales</t>
        </is>
      </c>
      <c r="D975" s="310" t="inlineStr">
        <is>
          <t>03 - General characteristics</t>
        </is>
      </c>
      <c r="E975" s="307" t="inlineStr">
        <is>
          <t>P2 4.8</t>
        </is>
      </c>
      <c r="F975" s="799" t="inlineStr">
        <is>
          <t>Indicateur bilan hors bilan</t>
        </is>
      </c>
      <c r="G975" s="309" t="inlineStr">
        <is>
          <t>On Off balance-sheet flag</t>
        </is>
      </c>
      <c r="H975" s="309" t="n"/>
      <c r="I975" s="800" t="inlineStr">
        <is>
          <t>Indicateur bilan (B) hors bilan (H)</t>
        </is>
      </c>
      <c r="J975" s="309" t="inlineStr">
        <is>
          <t>On Off balance-sheet flag</t>
        </is>
      </c>
      <c r="K975" s="370" t="inlineStr">
        <is>
          <t>ND</t>
        </is>
      </c>
      <c r="L975" s="371" t="inlineStr">
        <is>
          <t>ND</t>
        </is>
      </c>
      <c r="M975" s="1420" t="inlineStr">
        <is>
          <t>indBHB</t>
        </is>
      </c>
      <c r="N975" s="231" t="inlineStr">
        <is>
          <t>Obligatoire</t>
        </is>
      </c>
      <c r="O975" s="310" t="inlineStr">
        <is>
          <t>Mandatory</t>
        </is>
      </c>
      <c r="P975" s="269" t="inlineStr">
        <is>
          <t>LC.0117</t>
        </is>
      </c>
      <c r="Q975" s="269" t="inlineStr">
        <is>
          <t>TA KVIBHB</t>
        </is>
      </c>
      <c r="R975" s="241" t="inlineStr">
        <is>
          <t>NA</t>
        </is>
      </c>
      <c r="S975" s="233" t="inlineStr">
        <is>
          <t>NA</t>
        </is>
      </c>
      <c r="T975" s="313" t="inlineStr">
        <is>
          <t>ALPHA</t>
        </is>
      </c>
      <c r="U975" s="237" t="inlineStr">
        <is>
          <t>NA</t>
        </is>
      </c>
      <c r="V975" s="238" t="inlineStr">
        <is>
          <t>NA</t>
        </is>
      </c>
      <c r="W975" s="257" t="n">
        <v>1</v>
      </c>
      <c r="X975" s="945" t="inlineStr">
        <is>
          <t>NA</t>
        </is>
      </c>
      <c r="Y975" s="237" t="n">
        <v>40</v>
      </c>
      <c r="Z975" s="237" t="inlineStr">
        <is>
          <t>NA</t>
        </is>
      </c>
      <c r="AA975" s="270" t="inlineStr">
        <is>
          <t>NA</t>
        </is>
      </c>
      <c r="AB975" s="994" t="inlineStr">
        <is>
          <t>ANACREDIT, ASTRE, CALCULS PRUDENTIELS, DEI, GRR</t>
        </is>
      </c>
      <c r="AC975" s="231" t="inlineStr">
        <is>
          <t>ND</t>
        </is>
      </c>
      <c r="AD975" s="257" t="inlineStr">
        <is>
          <t>N</t>
        </is>
      </c>
      <c r="AE975" s="257" t="inlineStr">
        <is>
          <t>NA</t>
        </is>
      </c>
      <c r="AF975" s="257" t="inlineStr">
        <is>
          <t>NA</t>
        </is>
      </c>
      <c r="AG975" s="258" t="inlineStr">
        <is>
          <t>NA</t>
        </is>
      </c>
      <c r="AH975" s="89" t="n"/>
      <c r="AI975" s="316" t="inlineStr">
        <is>
          <t>La donnée est obligatoire</t>
        </is>
      </c>
      <c r="AJ975" s="317" t="inlineStr">
        <is>
          <t>The data is mandatory</t>
        </is>
      </c>
      <c r="AK975" s="257" t="n">
        <v>7</v>
      </c>
      <c r="AL975" s="335" t="inlineStr">
        <is>
          <t>TPG0001</t>
        </is>
      </c>
      <c r="AM975" s="318" t="inlineStr">
        <is>
          <t>Si elle est renseignée, la valeur doit être connue du Langage Commun associé</t>
        </is>
      </c>
      <c r="AN975" s="317" t="inlineStr">
        <is>
          <t>If specified, the value must be known to the associated Common Language</t>
        </is>
      </c>
      <c r="AO975" s="257" t="n">
        <v>7</v>
      </c>
      <c r="AP975" s="212" t="inlineStr">
        <is>
          <t>TIG0001</t>
        </is>
      </c>
      <c r="AQ975" s="801" t="inlineStr">
        <is>
          <t>Si renseignée, la donnée doit être égale à 'H'</t>
        </is>
      </c>
      <c r="AR975" s="317" t="inlineStr">
        <is>
          <t>If filled, the data must be equal to 'H'</t>
        </is>
      </c>
      <c r="AS975" s="257" t="n">
        <v>6</v>
      </c>
      <c r="AT975" s="258" t="inlineStr">
        <is>
          <t>TVS0740</t>
        </is>
      </c>
      <c r="AU975" s="318" t="n"/>
      <c r="AV975" s="317" t="n"/>
      <c r="AW975" s="257" t="n"/>
      <c r="AX975" s="258" t="n"/>
      <c r="AY975" s="318" t="n"/>
      <c r="AZ975" s="317" t="n"/>
      <c r="BA975" s="257" t="n"/>
      <c r="BB975" s="258" t="n"/>
      <c r="BC975" s="316" t="n"/>
      <c r="BD975" s="317" t="n"/>
      <c r="BE975" s="257" t="n"/>
      <c r="BF975" s="258" t="n"/>
      <c r="BG975" s="89" t="n"/>
      <c r="BH9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75">
        <f>_xlfn.LET(r,ROW(),oc,INDEX($A:$A,r),cv,TRIM(INDEX($Y:$Y,r)&amp;""),IF(oc&lt;&gt;"P1","",IF(cv="45","V45 - novo, nao alimentado pelo spool atual","V44 - alimentado pelo spool atual")))</f>
        <v/>
      </c>
    </row>
    <row r="976" ht="54" customFormat="1" customHeight="1" s="90">
      <c r="A976" s="306" t="inlineStr">
        <is>
          <t>P2</t>
        </is>
      </c>
      <c r="B976" s="307" t="n">
        <v>79</v>
      </c>
      <c r="C976" s="269" t="inlineStr">
        <is>
          <t>03 - Caractéristiques Générales</t>
        </is>
      </c>
      <c r="D976" s="310" t="inlineStr">
        <is>
          <t>03 - General characteristics</t>
        </is>
      </c>
      <c r="E976" s="307" t="inlineStr">
        <is>
          <t>P2 12.16</t>
        </is>
      </c>
      <c r="F976" s="308" t="inlineStr">
        <is>
          <t>Code séniorité</t>
        </is>
      </c>
      <c r="G976" s="309" t="inlineStr">
        <is>
          <t>Seniority code</t>
        </is>
      </c>
      <c r="H976" s="309" t="n"/>
      <c r="I976" s="1245" t="inlineStr">
        <is>
          <t>Le code séniorité de la dette indique le niveau de recours de la Banque sur le créancier</t>
        </is>
      </c>
      <c r="J976" s="467" t="inlineStr">
        <is>
          <t>The debt seniority code indicates the Bank's level of recourse to the creditor</t>
        </is>
      </c>
      <c r="K976" s="370" t="inlineStr">
        <is>
          <t>ND</t>
        </is>
      </c>
      <c r="L976" s="371" t="inlineStr">
        <is>
          <t>ND</t>
        </is>
      </c>
      <c r="M976" s="1420" t="inlineStr">
        <is>
          <t>NivSeniorite</t>
        </is>
      </c>
      <c r="N976" s="231" t="inlineStr">
        <is>
          <t>Facultatif</t>
        </is>
      </c>
      <c r="O976" s="310" t="inlineStr">
        <is>
          <t>Optional</t>
        </is>
      </c>
      <c r="P976" s="269" t="inlineStr">
        <is>
          <t>LC.0026</t>
        </is>
      </c>
      <c r="Q976" s="269" t="inlineStr">
        <is>
          <t>TA KVSENIOR</t>
        </is>
      </c>
      <c r="R976" s="241" t="inlineStr">
        <is>
          <t>NA</t>
        </is>
      </c>
      <c r="S976" s="233" t="inlineStr">
        <is>
          <t>NA</t>
        </is>
      </c>
      <c r="T976" s="313" t="inlineStr">
        <is>
          <t>ALPHA</t>
        </is>
      </c>
      <c r="U976" s="237" t="inlineStr">
        <is>
          <t>NA</t>
        </is>
      </c>
      <c r="V976" s="238" t="inlineStr">
        <is>
          <t>NA</t>
        </is>
      </c>
      <c r="W976" s="257" t="n">
        <v>3</v>
      </c>
      <c r="X976" s="945" t="inlineStr">
        <is>
          <t>NA</t>
        </is>
      </c>
      <c r="Y976" s="237" t="n">
        <v>40</v>
      </c>
      <c r="Z976" s="237" t="inlineStr">
        <is>
          <t>NA</t>
        </is>
      </c>
      <c r="AA976" s="270" t="inlineStr">
        <is>
          <t>NA</t>
        </is>
      </c>
      <c r="AB976" s="994" t="inlineStr">
        <is>
          <t>ANACREDIT, CALCULS PRUDENTIELS, DEI</t>
        </is>
      </c>
      <c r="AC976" s="231" t="inlineStr">
        <is>
          <t>ND</t>
        </is>
      </c>
      <c r="AD976" s="257" t="inlineStr">
        <is>
          <t>N</t>
        </is>
      </c>
      <c r="AE976" s="257" t="inlineStr">
        <is>
          <t>NA</t>
        </is>
      </c>
      <c r="AF976" s="257" t="inlineStr">
        <is>
          <t>NA</t>
        </is>
      </c>
      <c r="AG976" s="258" t="inlineStr">
        <is>
          <t>NA</t>
        </is>
      </c>
      <c r="AH976" s="89" t="n"/>
      <c r="AI976" s="316" t="n"/>
      <c r="AJ976" s="317" t="n"/>
      <c r="AK976" s="257" t="n"/>
      <c r="AL976" s="258" t="n"/>
      <c r="AM976" s="318" t="inlineStr">
        <is>
          <t>Si elle est renseignée, la valeur doit être connue du Langage Commun associé</t>
        </is>
      </c>
      <c r="AN976" s="317" t="inlineStr">
        <is>
          <t>If specified, the value must be known to the associated Common Language</t>
        </is>
      </c>
      <c r="AO976" s="257" t="n">
        <v>7</v>
      </c>
      <c r="AP976" s="212" t="inlineStr">
        <is>
          <t>TIG0001</t>
        </is>
      </c>
      <c r="AQ976" s="318" t="n"/>
      <c r="AR976" s="317" t="n"/>
      <c r="AS976" s="257" t="n"/>
      <c r="AT976" s="258" t="n"/>
      <c r="AU976" s="318" t="n"/>
      <c r="AV976" s="317" t="n"/>
      <c r="AW976" s="257" t="n"/>
      <c r="AX976" s="258" t="n"/>
      <c r="AY976" s="318" t="n"/>
      <c r="AZ976" s="317" t="n"/>
      <c r="BA976" s="257" t="n"/>
      <c r="BB976" s="258" t="n"/>
      <c r="BC976" s="316" t="n"/>
      <c r="BD976" s="317" t="n"/>
      <c r="BE976" s="257" t="n"/>
      <c r="BF976" s="258" t="n"/>
      <c r="BG976" s="89" t="n"/>
      <c r="BH9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76">
        <f>_xlfn.LET(r,ROW(),oc,INDEX($A:$A,r),cv,TRIM(INDEX($Y:$Y,r)&amp;""),IF(oc&lt;&gt;"P1","",IF(cv="45","V45 - novo, nao alimentado pelo spool atual","V44 - alimentado pelo spool atual")))</f>
        <v/>
      </c>
    </row>
    <row r="977" ht="54" customFormat="1" customHeight="1" s="90">
      <c r="A977" s="306" t="inlineStr">
        <is>
          <t>P2</t>
        </is>
      </c>
      <c r="B977" s="307" t="n">
        <v>80</v>
      </c>
      <c r="C977" s="269" t="inlineStr">
        <is>
          <t>25 - Notation du tiers</t>
        </is>
      </c>
      <c r="D977" s="310" t="inlineStr">
        <is>
          <t>25 - Third party rating</t>
        </is>
      </c>
      <c r="E977" s="307" t="inlineStr">
        <is>
          <t>P2 4.43</t>
        </is>
      </c>
      <c r="F977" s="308" t="inlineStr">
        <is>
          <t>Segment de notation du groupe de risque</t>
        </is>
      </c>
      <c r="G977" s="309" t="inlineStr">
        <is>
          <t>Rating segment of the risk group</t>
        </is>
      </c>
      <c r="H977" s="309" t="n"/>
      <c r="I977" s="241" t="inlineStr">
        <is>
          <t>Segment de notation du groupe de risque - donnée réservée aux Caisses régionales</t>
        </is>
      </c>
      <c r="J977" s="309" t="inlineStr">
        <is>
          <t>Risk group's rating segment – data reserved for Regional Banks</t>
        </is>
      </c>
      <c r="K977" s="370" t="inlineStr">
        <is>
          <t>ND</t>
        </is>
      </c>
      <c r="L977" s="371" t="inlineStr">
        <is>
          <t>ND</t>
        </is>
      </c>
      <c r="M977" s="1420" t="inlineStr">
        <is>
          <t>SegNotGrpRisq</t>
        </is>
      </c>
      <c r="N977" s="231" t="inlineStr">
        <is>
          <t>Facultatif</t>
        </is>
      </c>
      <c r="O977" s="310" t="inlineStr">
        <is>
          <t>Optional</t>
        </is>
      </c>
      <c r="P977" s="269" t="inlineStr">
        <is>
          <t>LC.0093</t>
        </is>
      </c>
      <c r="Q977" s="269" t="inlineStr">
        <is>
          <t>RB NM694</t>
        </is>
      </c>
      <c r="R977" s="241" t="inlineStr">
        <is>
          <t>NA</t>
        </is>
      </c>
      <c r="S977" s="233" t="inlineStr">
        <is>
          <t>NA</t>
        </is>
      </c>
      <c r="T977" s="313" t="inlineStr">
        <is>
          <t>ALPHA</t>
        </is>
      </c>
      <c r="U977" s="237" t="inlineStr">
        <is>
          <t>NA</t>
        </is>
      </c>
      <c r="V977" s="238" t="inlineStr">
        <is>
          <t>NA</t>
        </is>
      </c>
      <c r="W977" s="257" t="n">
        <v>2</v>
      </c>
      <c r="X977" s="945" t="inlineStr">
        <is>
          <t>NA</t>
        </is>
      </c>
      <c r="Y977" s="237" t="n">
        <v>41</v>
      </c>
      <c r="Z977" s="237" t="inlineStr">
        <is>
          <t>NA</t>
        </is>
      </c>
      <c r="AA977" s="237" t="inlineStr">
        <is>
          <t>NA</t>
        </is>
      </c>
      <c r="AB977" s="269" t="inlineStr">
        <is>
          <t>OMP</t>
        </is>
      </c>
      <c r="AC977" s="231" t="inlineStr">
        <is>
          <t>ND</t>
        </is>
      </c>
      <c r="AD977" s="257" t="inlineStr">
        <is>
          <t>N</t>
        </is>
      </c>
      <c r="AE977" s="257" t="inlineStr">
        <is>
          <t>NA</t>
        </is>
      </c>
      <c r="AF977" s="257" t="inlineStr">
        <is>
          <t>NA</t>
        </is>
      </c>
      <c r="AG977" s="258" t="inlineStr">
        <is>
          <t>NA</t>
        </is>
      </c>
      <c r="AH977" s="89" t="n"/>
      <c r="AI977" s="316" t="n"/>
      <c r="AJ977" s="317" t="n"/>
      <c r="AK977" s="257" t="n"/>
      <c r="AL977" s="258" t="n"/>
      <c r="AM977" s="318" t="inlineStr">
        <is>
          <t>Si elle est renseignée, la valeur doit être connue du Langage Commun associé</t>
        </is>
      </c>
      <c r="AN977" s="317" t="inlineStr">
        <is>
          <t>If specified, the value must be known to the associated Common Language</t>
        </is>
      </c>
      <c r="AO977" s="257" t="n">
        <v>7</v>
      </c>
      <c r="AP977" s="212" t="inlineStr">
        <is>
          <t>TIG0001</t>
        </is>
      </c>
      <c r="AQ977" s="318" t="n"/>
      <c r="AR977" s="317" t="n"/>
      <c r="AS977" s="257" t="n"/>
      <c r="AT977" s="258" t="n"/>
      <c r="AU977" s="318" t="n"/>
      <c r="AV977" s="317" t="n"/>
      <c r="AW977" s="257" t="n"/>
      <c r="AX977" s="258" t="n"/>
      <c r="AY977" s="318" t="n"/>
      <c r="AZ977" s="317" t="n"/>
      <c r="BA977" s="257" t="n"/>
      <c r="BB977" s="258" t="n"/>
      <c r="BC977" s="316" t="n"/>
      <c r="BD977" s="317" t="n"/>
      <c r="BE977" s="257" t="n"/>
      <c r="BF977" s="258" t="n"/>
      <c r="BG977" s="89" t="n"/>
      <c r="BH9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77">
        <f>_xlfn.LET(r,ROW(),oc,INDEX($A:$A,r),cv,TRIM(INDEX($Y:$Y,r)&amp;""),IF(oc&lt;&gt;"P1","",IF(cv="45","V45 - novo, nao alimentado pelo spool atual","V44 - alimentado pelo spool atual")))</f>
        <v/>
      </c>
    </row>
    <row r="978" ht="54" customFormat="1" customHeight="1" s="90">
      <c r="A978" s="306" t="inlineStr">
        <is>
          <t>P2</t>
        </is>
      </c>
      <c r="B978" s="307" t="n">
        <v>81</v>
      </c>
      <c r="C978" s="269" t="inlineStr">
        <is>
          <t>03 - Caractéristiques Générales</t>
        </is>
      </c>
      <c r="D978" s="310" t="inlineStr">
        <is>
          <t>03 - General characteristics</t>
        </is>
      </c>
      <c r="E978" s="307" t="inlineStr">
        <is>
          <t>P2 4.44</t>
        </is>
      </c>
      <c r="F978" s="308" t="inlineStr">
        <is>
          <t>Ligne produit</t>
        </is>
      </c>
      <c r="G978" s="309" t="inlineStr">
        <is>
          <t>Product line</t>
        </is>
      </c>
      <c r="H978" s="309" t="n"/>
      <c r="I978" s="802" t="inlineStr">
        <is>
          <t>Classification de l'opération selon la ligne Produit</t>
        </is>
      </c>
      <c r="J978" s="309" t="inlineStr">
        <is>
          <t>Classification of the transaction by product line</t>
        </is>
      </c>
      <c r="K978" s="370" t="inlineStr">
        <is>
          <t>ND</t>
        </is>
      </c>
      <c r="L978" s="371" t="inlineStr">
        <is>
          <t>ND</t>
        </is>
      </c>
      <c r="M978" s="1420" t="inlineStr">
        <is>
          <t>cdPrdtLigne</t>
        </is>
      </c>
      <c r="N978" s="958" t="inlineStr">
        <is>
          <t>Obligatoire (SC)</t>
        </is>
      </c>
      <c r="O978" s="1006" t="inlineStr">
        <is>
          <t>Mandatory (SC)</t>
        </is>
      </c>
      <c r="P978" s="269" t="inlineStr">
        <is>
          <t>NA</t>
        </is>
      </c>
      <c r="Q978" s="269" t="inlineStr">
        <is>
          <t>NA</t>
        </is>
      </c>
      <c r="R978" s="1008" t="inlineStr">
        <is>
          <t>Donnée réservée à CACIB - A laisser à vide si pas concerné</t>
        </is>
      </c>
      <c r="S978" s="1009" t="inlineStr">
        <is>
          <t>Data reserved for CACIB - To be left empty if not concerned</t>
        </is>
      </c>
      <c r="T978" s="313" t="inlineStr">
        <is>
          <t>ALPHA</t>
        </is>
      </c>
      <c r="U978" s="237" t="inlineStr">
        <is>
          <t>NA</t>
        </is>
      </c>
      <c r="V978" s="238" t="inlineStr">
        <is>
          <t>NA</t>
        </is>
      </c>
      <c r="W978" s="257" t="n">
        <v>5</v>
      </c>
      <c r="X978" s="945" t="inlineStr">
        <is>
          <t>NA</t>
        </is>
      </c>
      <c r="Y978" s="237" t="n">
        <v>41</v>
      </c>
      <c r="Z978" s="237" t="inlineStr">
        <is>
          <t>NA</t>
        </is>
      </c>
      <c r="AA978" s="270" t="inlineStr">
        <is>
          <t>45.00</t>
        </is>
      </c>
      <c r="AB978" s="994" t="inlineStr">
        <is>
          <t>ANACREDIT, CALCULS PRUDENTIELS</t>
        </is>
      </c>
      <c r="AC978" s="231" t="inlineStr">
        <is>
          <t>ND</t>
        </is>
      </c>
      <c r="AD978" s="257" t="inlineStr">
        <is>
          <t>N</t>
        </is>
      </c>
      <c r="AE978" s="257" t="inlineStr">
        <is>
          <t>NA</t>
        </is>
      </c>
      <c r="AF978" s="257" t="inlineStr">
        <is>
          <t>NA</t>
        </is>
      </c>
      <c r="AG978" s="258" t="inlineStr">
        <is>
          <t>NA</t>
        </is>
      </c>
      <c r="AH978" s="89" t="n"/>
      <c r="AI978" s="316" t="n"/>
      <c r="AJ978" s="317" t="n"/>
      <c r="AK978" s="257" t="n"/>
      <c r="AL978" s="258" t="n"/>
      <c r="AM978" s="318" t="n"/>
      <c r="AN978" s="317" t="n"/>
      <c r="AO978" s="257" t="n"/>
      <c r="AP978" s="258" t="n"/>
      <c r="AQ978" s="318" t="n"/>
      <c r="AR978" s="317" t="n"/>
      <c r="AS978" s="257" t="n"/>
      <c r="AT978" s="258" t="n"/>
      <c r="AU978" s="318" t="n"/>
      <c r="AV978" s="317" t="n"/>
      <c r="AW978" s="257" t="n"/>
      <c r="AX978" s="258" t="n"/>
      <c r="AY978" s="318" t="n"/>
      <c r="AZ978" s="317" t="n"/>
      <c r="BA978" s="257" t="n"/>
      <c r="BB978" s="258" t="n"/>
      <c r="BC978" s="316" t="n"/>
      <c r="BD978" s="317" t="n"/>
      <c r="BE978" s="257" t="n"/>
      <c r="BF978" s="258" t="n"/>
      <c r="BG978" s="89" t="n"/>
      <c r="BH9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78">
        <f>_xlfn.LET(r,ROW(),oc,INDEX($A:$A,r),cv,TRIM(INDEX($Y:$Y,r)&amp;""),IF(oc&lt;&gt;"P1","",IF(cv="45","V45 - novo, nao alimentado pelo spool atual","V44 - alimentado pelo spool atual")))</f>
        <v/>
      </c>
    </row>
    <row r="979" ht="54" customFormat="1" customHeight="1" s="55">
      <c r="A979" s="325" t="inlineStr">
        <is>
          <t>P2</t>
        </is>
      </c>
      <c r="B979" s="326" t="n">
        <v>82</v>
      </c>
      <c r="C979" s="284" t="inlineStr">
        <is>
          <t>NA</t>
        </is>
      </c>
      <c r="D979" s="284" t="inlineStr">
        <is>
          <t>NA</t>
        </is>
      </c>
      <c r="E979" s="326" t="inlineStr">
        <is>
          <t>P2 3.99</t>
        </is>
      </c>
      <c r="F979" s="327" t="inlineStr">
        <is>
          <t>Filler</t>
        </is>
      </c>
      <c r="G979" s="327" t="inlineStr">
        <is>
          <t>Filler</t>
        </is>
      </c>
      <c r="H979" s="327" t="n"/>
      <c r="I979" s="247" t="inlineStr">
        <is>
          <t>Zone libre</t>
        </is>
      </c>
      <c r="J979" s="327" t="inlineStr">
        <is>
          <t>Free zone</t>
        </is>
      </c>
      <c r="K979" s="388" t="inlineStr">
        <is>
          <t>NA</t>
        </is>
      </c>
      <c r="L979" s="388" t="inlineStr">
        <is>
          <t>NA</t>
        </is>
      </c>
      <c r="M979" s="1421" t="inlineStr">
        <is>
          <t>NA</t>
        </is>
      </c>
      <c r="N979" s="284" t="inlineStr">
        <is>
          <t>NA</t>
        </is>
      </c>
      <c r="O979" s="284" t="inlineStr">
        <is>
          <t>NA</t>
        </is>
      </c>
      <c r="P979" s="284" t="inlineStr">
        <is>
          <t>NA</t>
        </is>
      </c>
      <c r="Q979" s="284" t="inlineStr">
        <is>
          <t>NA</t>
        </is>
      </c>
      <c r="R979" s="247" t="inlineStr">
        <is>
          <t>Laisser à vide</t>
        </is>
      </c>
      <c r="S979" s="247" t="inlineStr">
        <is>
          <t>Leave empty</t>
        </is>
      </c>
      <c r="T979" s="326" t="inlineStr">
        <is>
          <t>ALPHA</t>
        </is>
      </c>
      <c r="U979" s="248" t="inlineStr">
        <is>
          <t>NA</t>
        </is>
      </c>
      <c r="V979" s="248" t="inlineStr">
        <is>
          <t>NA</t>
        </is>
      </c>
      <c r="W979" s="284" t="n">
        <v>3</v>
      </c>
      <c r="X979" s="244" t="inlineStr">
        <is>
          <t>NA</t>
        </is>
      </c>
      <c r="Y979" s="248" t="inlineStr">
        <is>
          <t>NA</t>
        </is>
      </c>
      <c r="Z979" s="248" t="inlineStr">
        <is>
          <t>NA</t>
        </is>
      </c>
      <c r="AA979" s="248" t="inlineStr">
        <is>
          <t>NA</t>
        </is>
      </c>
      <c r="AB979" s="284" t="inlineStr">
        <is>
          <t>NA</t>
        </is>
      </c>
      <c r="AC979" s="244" t="inlineStr">
        <is>
          <t>NA</t>
        </is>
      </c>
      <c r="AD979" s="284" t="inlineStr">
        <is>
          <t>N</t>
        </is>
      </c>
      <c r="AE979" s="284" t="inlineStr">
        <is>
          <t>NA</t>
        </is>
      </c>
      <c r="AF979" s="284" t="inlineStr">
        <is>
          <t>NA</t>
        </is>
      </c>
      <c r="AG979" s="285" t="inlineStr">
        <is>
          <t>NA</t>
        </is>
      </c>
      <c r="AH979" s="89" t="n"/>
      <c r="AI979" s="330" t="n"/>
      <c r="AJ979" s="331" t="n"/>
      <c r="AK979" s="284" t="n"/>
      <c r="AL979" s="285" t="n"/>
      <c r="AM979" s="331" t="n"/>
      <c r="AN979" s="331" t="n"/>
      <c r="AO979" s="284" t="n"/>
      <c r="AP979" s="285" t="n"/>
      <c r="AQ979" s="331" t="n"/>
      <c r="AR979" s="331" t="n"/>
      <c r="AS979" s="284" t="n"/>
      <c r="AT979" s="285" t="n"/>
      <c r="AU979" s="331" t="n"/>
      <c r="AV979" s="331" t="n"/>
      <c r="AW979" s="284" t="n"/>
      <c r="AX979" s="285" t="n"/>
      <c r="AY979" s="331" t="n"/>
      <c r="AZ979" s="331" t="n"/>
      <c r="BA979" s="284" t="n"/>
      <c r="BB979" s="285" t="n"/>
      <c r="BC979" s="330" t="n"/>
      <c r="BD979" s="331" t="n"/>
      <c r="BE979" s="284" t="n"/>
      <c r="BF979" s="285" t="n"/>
      <c r="BG979" s="89" t="n"/>
      <c r="BH9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79">
        <f>_xlfn.LET(r,ROW(),oc,INDEX($A:$A,r),cv,TRIM(INDEX($Y:$Y,r)&amp;""),IF(oc&lt;&gt;"P1","",IF(cv="45","V45 - novo, nao alimentado pelo spool atual","V44 - alimentado pelo spool atual")))</f>
        <v/>
      </c>
    </row>
    <row r="980" ht="54" customFormat="1" customHeight="1" s="90">
      <c r="A980" s="306" t="inlineStr">
        <is>
          <t>P2</t>
        </is>
      </c>
      <c r="B980" s="307" t="n">
        <v>83</v>
      </c>
      <c r="C980" s="269" t="inlineStr">
        <is>
          <t>03 - Caractéristiques Générales</t>
        </is>
      </c>
      <c r="D980" s="310" t="inlineStr">
        <is>
          <t>03 - General characteristics</t>
        </is>
      </c>
      <c r="E980" s="307" t="inlineStr">
        <is>
          <t>P2 3.46</t>
        </is>
      </c>
      <c r="F980" s="417" t="inlineStr">
        <is>
          <t>Usage du bien immobilier apporté en garantie</t>
        </is>
      </c>
      <c r="G980" s="309" t="inlineStr">
        <is>
          <t>Use of real-estate brought into guarantee</t>
        </is>
      </c>
      <c r="H980" s="309" t="n"/>
      <c r="I980" s="476" t="inlineStr">
        <is>
          <t xml:space="preserve">Permet de préciser l'usage à retenir pour l'exposition garantie par un bien immobilier (usage résidentiel ou commercial).
Il s'agit d'un attribut au niveau de l'exposition </t>
        </is>
      </c>
      <c r="J980" s="309" t="inlineStr">
        <is>
          <t>Specifies the use to be made of exposure secured by immovable property (residential or commercial use).
This is an attribute at the level of the exposure</t>
        </is>
      </c>
      <c r="K980" s="370" t="inlineStr">
        <is>
          <t>ND</t>
        </is>
      </c>
      <c r="L980" s="371" t="inlineStr">
        <is>
          <t>ND</t>
        </is>
      </c>
      <c r="M980" s="1420" t="inlineStr">
        <is>
          <t>cdUsBien</t>
        </is>
      </c>
      <c r="N980" s="599" t="inlineStr">
        <is>
          <t>Obligatoire (SC)</t>
        </is>
      </c>
      <c r="O980" s="310" t="inlineStr">
        <is>
          <t>Mandatory (SC)</t>
        </is>
      </c>
      <c r="P980" s="269" t="inlineStr">
        <is>
          <t>LC.0166</t>
        </is>
      </c>
      <c r="Q980" s="269" t="inlineStr">
        <is>
          <t>TA KVUSGBI</t>
        </is>
      </c>
      <c r="R980" s="1249" t="inlineStr">
        <is>
          <t>Cette donnée est obligatoire et permet de déterminer la méthode de calcul de la pondération RWA pour les prêts garantis par un bien immobilier. Donnée uniquement pour l'usage COREP</t>
        </is>
      </c>
      <c r="S980" s="233" t="inlineStr">
        <is>
          <t>This data is mandatory and used to determine the method for calculating the RWA weighting for loans secured by real estate. Data only for COREP use</t>
        </is>
      </c>
      <c r="T980" s="313" t="inlineStr">
        <is>
          <t>ALPHA</t>
        </is>
      </c>
      <c r="U980" s="237" t="inlineStr">
        <is>
          <t>NA</t>
        </is>
      </c>
      <c r="V980" s="238" t="inlineStr">
        <is>
          <t>NA</t>
        </is>
      </c>
      <c r="W980" s="257" t="n">
        <v>1</v>
      </c>
      <c r="X980" s="945" t="inlineStr">
        <is>
          <t>NA</t>
        </is>
      </c>
      <c r="Y980" s="237" t="n">
        <v>40</v>
      </c>
      <c r="Z980" s="237" t="inlineStr">
        <is>
          <t>NA</t>
        </is>
      </c>
      <c r="AA980" s="270" t="inlineStr">
        <is>
          <t>NA</t>
        </is>
      </c>
      <c r="AB980" s="1286" t="inlineStr">
        <is>
          <t>CALCULS PRUDENTIELS</t>
        </is>
      </c>
      <c r="AC980" s="231" t="inlineStr">
        <is>
          <t>ND</t>
        </is>
      </c>
      <c r="AD980" s="257" t="inlineStr">
        <is>
          <t>N</t>
        </is>
      </c>
      <c r="AE980" s="257" t="inlineStr">
        <is>
          <t>NA</t>
        </is>
      </c>
      <c r="AF980" s="257" t="inlineStr">
        <is>
          <t>NA</t>
        </is>
      </c>
      <c r="AG980" s="258" t="inlineStr">
        <is>
          <t>NA</t>
        </is>
      </c>
      <c r="AH980" s="89" t="n"/>
      <c r="AI980" s="316" t="n"/>
      <c r="AJ980" s="317" t="n"/>
      <c r="AK980" s="257" t="n"/>
      <c r="AL980" s="258" t="n"/>
      <c r="AM980" s="318" t="inlineStr">
        <is>
          <t>Si elle est renseignée, la valeur doit être connue du Langage Commun associé</t>
        </is>
      </c>
      <c r="AN980" s="317" t="inlineStr">
        <is>
          <t>If specified, the value must be known to the associated Common Language</t>
        </is>
      </c>
      <c r="AO980" s="257" t="n">
        <v>7</v>
      </c>
      <c r="AP980" s="212" t="inlineStr">
        <is>
          <t>TIG0001</t>
        </is>
      </c>
      <c r="AQ980" s="318" t="n"/>
      <c r="AR980" s="317" t="n"/>
      <c r="AS980" s="257" t="n"/>
      <c r="AT980" s="258" t="n"/>
      <c r="AU980" s="318" t="n"/>
      <c r="AV980" s="317" t="n"/>
      <c r="AW980" s="257" t="n"/>
      <c r="AX980" s="258" t="n"/>
      <c r="AY980" s="318" t="n"/>
      <c r="AZ980" s="317" t="n"/>
      <c r="BA980" s="257" t="n"/>
      <c r="BB980" s="258" t="n"/>
      <c r="BC980" s="316" t="n"/>
      <c r="BD980" s="317" t="n"/>
      <c r="BE980" s="257" t="n"/>
      <c r="BF980" s="258" t="n"/>
      <c r="BG980" s="89" t="n"/>
      <c r="BH9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80">
        <f>_xlfn.LET(r,ROW(),oc,INDEX($A:$A,r),cv,TRIM(INDEX($Y:$Y,r)&amp;""),IF(oc&lt;&gt;"P1","",IF(cv="45","V45 - novo, nao alimentado pelo spool atual","V44 - alimentado pelo spool atual")))</f>
        <v/>
      </c>
    </row>
    <row r="981" ht="54" customFormat="1" customHeight="1" s="55">
      <c r="A981" s="325" t="inlineStr">
        <is>
          <t>P2</t>
        </is>
      </c>
      <c r="B981" s="326" t="n">
        <v>84</v>
      </c>
      <c r="C981" s="284" t="inlineStr">
        <is>
          <t>03 - Caractéristiques Générales</t>
        </is>
      </c>
      <c r="D981" s="284" t="inlineStr">
        <is>
          <t>03 - General characteristics</t>
        </is>
      </c>
      <c r="E981" s="326" t="inlineStr">
        <is>
          <t>P2 3.47</t>
        </is>
      </c>
      <c r="F981" s="327" t="inlineStr">
        <is>
          <t>Respect des conditions réglementaires</t>
        </is>
      </c>
      <c r="G981" s="327" t="inlineStr">
        <is>
          <t>Compliance with regulatory conditions</t>
        </is>
      </c>
      <c r="H981" s="327" t="n"/>
      <c r="I981" s="245" t="inlineStr">
        <is>
          <t>Respect des conditions réglementaires</t>
        </is>
      </c>
      <c r="J981" s="327" t="inlineStr">
        <is>
          <t>Compliance with regulatory conditions</t>
        </is>
      </c>
      <c r="K981" s="388" t="inlineStr">
        <is>
          <t>NA</t>
        </is>
      </c>
      <c r="L981" s="388" t="inlineStr">
        <is>
          <t>NA</t>
        </is>
      </c>
      <c r="M981" s="1421" t="inlineStr">
        <is>
          <t>indRespectCdtRegle</t>
        </is>
      </c>
      <c r="N981" s="244" t="inlineStr">
        <is>
          <t>NA</t>
        </is>
      </c>
      <c r="O981" s="284" t="inlineStr">
        <is>
          <t>NA</t>
        </is>
      </c>
      <c r="P981" s="284" t="inlineStr">
        <is>
          <t>LC.0171</t>
        </is>
      </c>
      <c r="Q981" s="284" t="inlineStr">
        <is>
          <t>TA KVRCR</t>
        </is>
      </c>
      <c r="R981" s="245" t="inlineStr">
        <is>
          <t>Obligatoire si prêt immobilier sinon renseigner à vide</t>
        </is>
      </c>
      <c r="S981" s="245" t="inlineStr">
        <is>
          <t>Mandatory if real estate loan otherwise to be filled in empty</t>
        </is>
      </c>
      <c r="T981" s="326" t="inlineStr">
        <is>
          <t>ALPHA</t>
        </is>
      </c>
      <c r="U981" s="248" t="inlineStr">
        <is>
          <t>NA</t>
        </is>
      </c>
      <c r="V981" s="248" t="inlineStr">
        <is>
          <t>NA</t>
        </is>
      </c>
      <c r="W981" s="284" t="n">
        <v>1</v>
      </c>
      <c r="X981" s="244" t="inlineStr">
        <is>
          <t>NA</t>
        </is>
      </c>
      <c r="Y981" s="248" t="n">
        <v>40</v>
      </c>
      <c r="Z981" s="248" t="inlineStr">
        <is>
          <t>45</t>
        </is>
      </c>
      <c r="AA981" s="279" t="inlineStr">
        <is>
          <t>45.00</t>
        </is>
      </c>
      <c r="AB981" s="996" t="inlineStr">
        <is>
          <t>CALCULS PRUDENTIELS</t>
        </is>
      </c>
      <c r="AC981" s="244" t="inlineStr">
        <is>
          <t>NA</t>
        </is>
      </c>
      <c r="AD981" s="284" t="inlineStr">
        <is>
          <t>N</t>
        </is>
      </c>
      <c r="AE981" s="284" t="inlineStr">
        <is>
          <t>NA</t>
        </is>
      </c>
      <c r="AF981" s="284" t="inlineStr">
        <is>
          <t>NA</t>
        </is>
      </c>
      <c r="AG981" s="285" t="inlineStr">
        <is>
          <t>NA</t>
        </is>
      </c>
      <c r="AH981" s="1362" t="n"/>
      <c r="AI981" s="951" t="n"/>
      <c r="AJ981" s="952" t="n"/>
      <c r="AK981" s="953" t="n"/>
      <c r="AL981" s="954" t="n"/>
      <c r="AM981" s="952" t="n"/>
      <c r="AN981" s="952" t="n"/>
      <c r="AO981" s="953" t="n"/>
      <c r="AP981" s="955" t="n"/>
      <c r="AQ981" s="331" t="n"/>
      <c r="AR981" s="331" t="n"/>
      <c r="AS981" s="284" t="n"/>
      <c r="AT981" s="285" t="n"/>
      <c r="AU981" s="331" t="n"/>
      <c r="AV981" s="331" t="n"/>
      <c r="AW981" s="284" t="n"/>
      <c r="AX981" s="285" t="n"/>
      <c r="AY981" s="331" t="n"/>
      <c r="AZ981" s="331" t="n"/>
      <c r="BA981" s="284" t="n"/>
      <c r="BB981" s="285" t="n"/>
      <c r="BC981" s="330" t="n"/>
      <c r="BD981" s="331" t="n"/>
      <c r="BE981" s="284" t="n"/>
      <c r="BF981" s="285" t="n"/>
      <c r="BG981" s="89" t="n"/>
      <c r="BH9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81">
        <f>_xlfn.LET(r,ROW(),oc,INDEX($A:$A,r),cv,TRIM(INDEX($Y:$Y,r)&amp;""),IF(oc&lt;&gt;"P1","",IF(cv="45","V45 - novo, nao alimentado pelo spool atual","V44 - alimentado pelo spool atual")))</f>
        <v/>
      </c>
    </row>
    <row r="982" ht="54" customFormat="1" customHeight="1" s="90">
      <c r="A982" s="306" t="inlineStr">
        <is>
          <t>P2</t>
        </is>
      </c>
      <c r="B982" s="307" t="n">
        <v>85</v>
      </c>
      <c r="C982" s="269" t="inlineStr">
        <is>
          <t>04 - Caractéristiques Affacturage</t>
        </is>
      </c>
      <c r="D982" s="310" t="inlineStr">
        <is>
          <t>04 - Factoring characteristics</t>
        </is>
      </c>
      <c r="E982" s="307" t="inlineStr">
        <is>
          <t>P2 4.25</t>
        </is>
      </c>
      <c r="F982" s="484" t="inlineStr">
        <is>
          <t>Montant du Add-on affacturage</t>
        </is>
      </c>
      <c r="G982" s="309" t="inlineStr">
        <is>
          <t>Amount of the Add-on factoring</t>
        </is>
      </c>
      <c r="H982" s="309" t="n"/>
      <c r="I982" s="308" t="inlineStr">
        <is>
          <t>Montant du Add-on affacturage</t>
        </is>
      </c>
      <c r="J982" s="309" t="inlineStr">
        <is>
          <t>Amount of the Add-on factoring</t>
        </is>
      </c>
      <c r="K982" s="370" t="inlineStr">
        <is>
          <t>ND</t>
        </is>
      </c>
      <c r="L982" s="371" t="inlineStr">
        <is>
          <t>ND</t>
        </is>
      </c>
      <c r="M982" s="1420" t="inlineStr">
        <is>
          <t>mtAddAff</t>
        </is>
      </c>
      <c r="N982" s="231" t="inlineStr">
        <is>
          <t>Obligatoire sous conditions</t>
        </is>
      </c>
      <c r="O982" s="310" t="inlineStr">
        <is>
          <t>Mandatory under conditions</t>
        </is>
      </c>
      <c r="P982" s="269" t="inlineStr">
        <is>
          <t>NA</t>
        </is>
      </c>
      <c r="Q982" s="269" t="inlineStr">
        <is>
          <t>NA</t>
        </is>
      </c>
      <c r="R982" s="241" t="inlineStr">
        <is>
          <t>Spécifique aux opérations d'affacturage
Correspond au montant du Add-on affacturage</t>
        </is>
      </c>
      <c r="S982" s="233" t="inlineStr">
        <is>
          <t xml:space="preserve">Specific to factoring
Correspond to the factoring Add-on amount
</t>
        </is>
      </c>
      <c r="T982" s="313" t="inlineStr">
        <is>
          <t>NUM</t>
        </is>
      </c>
      <c r="U982" s="237" t="inlineStr">
        <is>
          <t>19 dont signe et 2 décimales</t>
        </is>
      </c>
      <c r="V982" s="238" t="inlineStr">
        <is>
          <t>19 including sign and 2 decimals</t>
        </is>
      </c>
      <c r="W982" s="397" t="n">
        <v>19</v>
      </c>
      <c r="X982" s="945" t="inlineStr">
        <is>
          <t>NA</t>
        </is>
      </c>
      <c r="Y982" s="237" t="n">
        <v>40</v>
      </c>
      <c r="Z982" s="237" t="inlineStr">
        <is>
          <t>NA</t>
        </is>
      </c>
      <c r="AA982" s="270" t="inlineStr">
        <is>
          <t>NA</t>
        </is>
      </c>
      <c r="AB982" s="994" t="inlineStr">
        <is>
          <t>ANACREDIT, CALCULS PRUDENTIELS</t>
        </is>
      </c>
      <c r="AC982" s="231" t="inlineStr">
        <is>
          <t>ND</t>
        </is>
      </c>
      <c r="AD982" s="257" t="inlineStr">
        <is>
          <t>N</t>
        </is>
      </c>
      <c r="AE982" s="257" t="inlineStr">
        <is>
          <t>NA</t>
        </is>
      </c>
      <c r="AF982" s="257" t="inlineStr">
        <is>
          <t>NA</t>
        </is>
      </c>
      <c r="AG982" s="258" t="inlineStr">
        <is>
          <t>NA</t>
        </is>
      </c>
      <c r="AH982" s="89" t="n"/>
      <c r="AI982" s="453" t="inlineStr">
        <is>
          <t>La donnée est obligatoire si le Portefeuille Bâle Opération [P2 2.18] = ‘090'</t>
        </is>
      </c>
      <c r="AJ982" s="317" t="inlineStr">
        <is>
          <t>The data is mandatory if Basel Transaction Portfolio [P2 2.18] = ‘090'</t>
        </is>
      </c>
      <c r="AK982" s="257" t="n">
        <v>5</v>
      </c>
      <c r="AL982" s="565" t="inlineStr">
        <is>
          <t>TPS1713</t>
        </is>
      </c>
      <c r="AM982" s="318" t="n"/>
      <c r="AN982" s="317" t="n"/>
      <c r="AO982" s="257" t="n"/>
      <c r="AP982" s="258" t="n"/>
      <c r="AQ982" s="318" t="inlineStr">
        <is>
          <t>Si renseignée, la donnée doit être positive (supérieure ou égale à 0)</t>
        </is>
      </c>
      <c r="AR982" s="317" t="inlineStr">
        <is>
          <t xml:space="preserve">If filled, data must be positive (greater or equal to 0) </t>
        </is>
      </c>
      <c r="AS982" s="257" t="n">
        <v>7</v>
      </c>
      <c r="AT982" s="345" t="inlineStr">
        <is>
          <t>TVG0001</t>
        </is>
      </c>
      <c r="AU982" s="318" t="n"/>
      <c r="AV982" s="317" t="n"/>
      <c r="AW982" s="257" t="n"/>
      <c r="AX982" s="258" t="n"/>
      <c r="AY982" s="318" t="n"/>
      <c r="AZ982" s="317" t="n"/>
      <c r="BA982" s="257" t="n"/>
      <c r="BB982" s="258" t="n"/>
      <c r="BC982" s="316" t="n"/>
      <c r="BD982" s="317" t="n"/>
      <c r="BE982" s="257" t="n"/>
      <c r="BF982" s="258" t="n"/>
      <c r="BG982" s="89" t="n"/>
      <c r="BH9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82">
        <f>_xlfn.LET(r,ROW(),oc,INDEX($A:$A,r),cv,TRIM(INDEX($Y:$Y,r)&amp;""),IF(oc&lt;&gt;"P1","",IF(cv="45","V45 - novo, nao alimentado pelo spool atual","V44 - alimentado pelo spool atual")))</f>
        <v/>
      </c>
    </row>
    <row r="983" ht="54" customFormat="1" customHeight="1" s="90">
      <c r="A983" s="306" t="inlineStr">
        <is>
          <t>P2</t>
        </is>
      </c>
      <c r="B983" s="307" t="n">
        <v>86</v>
      </c>
      <c r="C983" s="269" t="inlineStr">
        <is>
          <t>04 - Caractéristiques Affacturage</t>
        </is>
      </c>
      <c r="D983" s="310" t="inlineStr">
        <is>
          <t>04 - Factoring characteristics</t>
        </is>
      </c>
      <c r="E983" s="307" t="inlineStr">
        <is>
          <t>P2 4.26</t>
        </is>
      </c>
      <c r="F983" s="308" t="inlineStr">
        <is>
          <t>Devise du montant du Add-on affacturage</t>
        </is>
      </c>
      <c r="G983" s="309" t="inlineStr">
        <is>
          <t>Currency of the Add-on factoring</t>
        </is>
      </c>
      <c r="H983" s="309" t="n"/>
      <c r="I983" s="241" t="inlineStr">
        <is>
          <t xml:space="preserve">Devise du montant du Add-on affacturage </t>
        </is>
      </c>
      <c r="J983" s="309" t="inlineStr">
        <is>
          <t xml:space="preserve">Currency of the amount of the Add-on factoring </t>
        </is>
      </c>
      <c r="K983" s="370" t="inlineStr">
        <is>
          <t>ND</t>
        </is>
      </c>
      <c r="L983" s="371" t="inlineStr">
        <is>
          <t>ND</t>
        </is>
      </c>
      <c r="M983" s="1420" t="inlineStr">
        <is>
          <t>cdDevMtAddAff</t>
        </is>
      </c>
      <c r="N983" s="231" t="inlineStr">
        <is>
          <t>Obligatoire sous conditions</t>
        </is>
      </c>
      <c r="O983" s="310" t="inlineStr">
        <is>
          <t>Mandatory under conditions</t>
        </is>
      </c>
      <c r="P983" s="269" t="inlineStr">
        <is>
          <t>LC.0005</t>
        </is>
      </c>
      <c r="Q983" s="269" t="inlineStr">
        <is>
          <t>TA NM253</t>
        </is>
      </c>
      <c r="R983" s="241" t="inlineStr">
        <is>
          <t>NA</t>
        </is>
      </c>
      <c r="S983" s="233" t="inlineStr">
        <is>
          <t>NA</t>
        </is>
      </c>
      <c r="T983" s="313" t="inlineStr">
        <is>
          <t>ALPHA</t>
        </is>
      </c>
      <c r="U983" s="237" t="inlineStr">
        <is>
          <t>NA</t>
        </is>
      </c>
      <c r="V983" s="238" t="inlineStr">
        <is>
          <t>NA</t>
        </is>
      </c>
      <c r="W983" s="397" t="n">
        <v>3</v>
      </c>
      <c r="X983" s="945" t="inlineStr">
        <is>
          <t>NA</t>
        </is>
      </c>
      <c r="Y983" s="237" t="n">
        <v>40</v>
      </c>
      <c r="Z983" s="237" t="inlineStr">
        <is>
          <t>NA</t>
        </is>
      </c>
      <c r="AA983" s="237" t="inlineStr">
        <is>
          <t>NA</t>
        </is>
      </c>
      <c r="AB983" s="269" t="inlineStr">
        <is>
          <t>ANACREDIT</t>
        </is>
      </c>
      <c r="AC983" s="231" t="inlineStr">
        <is>
          <t>ND</t>
        </is>
      </c>
      <c r="AD983" s="257" t="inlineStr">
        <is>
          <t>N</t>
        </is>
      </c>
      <c r="AE983" s="257" t="inlineStr">
        <is>
          <t>NA</t>
        </is>
      </c>
      <c r="AF983" s="257" t="inlineStr">
        <is>
          <t>NA</t>
        </is>
      </c>
      <c r="AG983" s="258" t="inlineStr">
        <is>
          <t>NA</t>
        </is>
      </c>
      <c r="AH983" s="89" t="n"/>
      <c r="AI983" s="435" t="inlineStr">
        <is>
          <t>La donnée est obligatoire si le Montant du Add-on affacturage [P2 4.25] est renseigné</t>
        </is>
      </c>
      <c r="AJ983" s="317" t="inlineStr">
        <is>
          <t>The data is mandatory if Amount of the Add-on factoring [P2 4.25] is filled</t>
        </is>
      </c>
      <c r="AK983" s="257" t="n">
        <v>7</v>
      </c>
      <c r="AL983" s="335" t="inlineStr">
        <is>
          <t>TPG0002</t>
        </is>
      </c>
      <c r="AM983" s="318" t="inlineStr">
        <is>
          <t>Si elle est renseignée, la valeur doit être connue du Langage Commun associé</t>
        </is>
      </c>
      <c r="AN983" s="317" t="inlineStr">
        <is>
          <t>If specified, the value must be known to the associated Common Language</t>
        </is>
      </c>
      <c r="AO983" s="257" t="n">
        <v>7</v>
      </c>
      <c r="AP983" s="212" t="inlineStr">
        <is>
          <t>TIG0001</t>
        </is>
      </c>
      <c r="AQ983" s="318" t="n"/>
      <c r="AR983" s="317" t="n"/>
      <c r="AS983" s="257" t="n"/>
      <c r="AT983" s="258" t="n"/>
      <c r="AU983" s="318" t="n"/>
      <c r="AV983" s="317" t="n"/>
      <c r="AW983" s="257" t="n"/>
      <c r="AX983" s="258" t="n"/>
      <c r="AY983" s="318" t="n"/>
      <c r="AZ983" s="317" t="n"/>
      <c r="BA983" s="257" t="n"/>
      <c r="BB983" s="258" t="n"/>
      <c r="BC983" s="316" t="n"/>
      <c r="BD983" s="317" t="n"/>
      <c r="BE983" s="257" t="n"/>
      <c r="BF983" s="258" t="n"/>
      <c r="BG983" s="89" t="n"/>
      <c r="BH9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83">
        <f>_xlfn.LET(r,ROW(),oc,INDEX($A:$A,r),cv,TRIM(INDEX($Y:$Y,r)&amp;""),IF(oc&lt;&gt;"P1","",IF(cv="45","V45 - novo, nao alimentado pelo spool atual","V44 - alimentado pelo spool atual")))</f>
        <v/>
      </c>
    </row>
    <row r="984" ht="54" customFormat="1" customHeight="1" s="90">
      <c r="A984" s="306" t="inlineStr">
        <is>
          <t>P2</t>
        </is>
      </c>
      <c r="B984" s="307" t="n">
        <v>87</v>
      </c>
      <c r="C984" s="269" t="inlineStr">
        <is>
          <t>04 - Caractéristiques Affacturage</t>
        </is>
      </c>
      <c r="D984" s="310" t="inlineStr">
        <is>
          <t>04 - Factoring characteristics</t>
        </is>
      </c>
      <c r="E984" s="307" t="inlineStr">
        <is>
          <t>P2 4.27</t>
        </is>
      </c>
      <c r="F984" s="484" t="inlineStr">
        <is>
          <t>Montant de la part de financement garanti par des créances acheteurs</t>
        </is>
      </c>
      <c r="G984" s="309" t="inlineStr">
        <is>
          <t>Amount of backed financing by buyer debts</t>
        </is>
      </c>
      <c r="H984" s="309" t="n"/>
      <c r="I984" s="308" t="inlineStr">
        <is>
          <t>Montant de la part de financement garanti par des créances acheteurs</t>
        </is>
      </c>
      <c r="J984" s="309" t="inlineStr">
        <is>
          <t>Amount of backed financing by buyer debts</t>
        </is>
      </c>
      <c r="K984" s="370" t="inlineStr">
        <is>
          <t>ND</t>
        </is>
      </c>
      <c r="L984" s="371" t="inlineStr">
        <is>
          <t>ND</t>
        </is>
      </c>
      <c r="M984" s="1420" t="inlineStr">
        <is>
          <t>mtFinGar</t>
        </is>
      </c>
      <c r="N984" s="231" t="inlineStr">
        <is>
          <t>Obligatoire sous conditions</t>
        </is>
      </c>
      <c r="O984" s="310" t="inlineStr">
        <is>
          <t>Mandatory under conditions</t>
        </is>
      </c>
      <c r="P984" s="269" t="inlineStr">
        <is>
          <t>NA</t>
        </is>
      </c>
      <c r="Q984" s="269" t="inlineStr">
        <is>
          <t>NA</t>
        </is>
      </c>
      <c r="R984" s="241" t="inlineStr">
        <is>
          <t>Spécifique aux opérations d'affacturage
Correspond au montant du montant de la part de financement garanti par des créances acheteurs</t>
        </is>
      </c>
      <c r="S984" s="233" t="inlineStr">
        <is>
          <t xml:space="preserve">Specific to factoring
Corresponds to the amount of the amount of the financing backed by buyers debts
</t>
        </is>
      </c>
      <c r="T984" s="313" t="inlineStr">
        <is>
          <t>NUM</t>
        </is>
      </c>
      <c r="U984" s="237" t="inlineStr">
        <is>
          <t>19 dont signe et 2 décimales</t>
        </is>
      </c>
      <c r="V984" s="238" t="inlineStr">
        <is>
          <t>19 including sign and 2 decimals</t>
        </is>
      </c>
      <c r="W984" s="397" t="n">
        <v>19</v>
      </c>
      <c r="X984" s="945" t="inlineStr">
        <is>
          <t>NA</t>
        </is>
      </c>
      <c r="Y984" s="237" t="n">
        <v>40</v>
      </c>
      <c r="Z984" s="237" t="inlineStr">
        <is>
          <t>NA</t>
        </is>
      </c>
      <c r="AA984" s="237" t="inlineStr">
        <is>
          <t>NA</t>
        </is>
      </c>
      <c r="AB984" s="269" t="inlineStr">
        <is>
          <t>ANACREDIT</t>
        </is>
      </c>
      <c r="AC984" s="231" t="inlineStr">
        <is>
          <t>ND</t>
        </is>
      </c>
      <c r="AD984" s="257" t="inlineStr">
        <is>
          <t>N</t>
        </is>
      </c>
      <c r="AE984" s="257" t="inlineStr">
        <is>
          <t>NA</t>
        </is>
      </c>
      <c r="AF984" s="257" t="inlineStr">
        <is>
          <t>NA</t>
        </is>
      </c>
      <c r="AG984" s="258" t="inlineStr">
        <is>
          <t>NA</t>
        </is>
      </c>
      <c r="AH984" s="89" t="n"/>
      <c r="AI984" s="453" t="inlineStr">
        <is>
          <t>La donnée est obligatoire si le type de risque [P2 2.0] ='TRExx' (hors 'TRE203, TRE205, TRE206, TRE207'), 'SIGxx' ET si le Portefeuille Bâle Opération [P2 2.18] = ‘090'</t>
        </is>
      </c>
      <c r="AJ984" s="317" t="inlineStr">
        <is>
          <t>The data is mandatory if the Risk type [P2 2.0] = 'TRExx' (except 'TRE203, TRE205, TRE206, TRE207'), 'SIGxx' AND if Basel Transaction Portfolio [P2 2.18] = ‘090'</t>
        </is>
      </c>
      <c r="AK984" s="257" t="n">
        <v>5</v>
      </c>
      <c r="AL984" s="335" t="inlineStr">
        <is>
          <t>TPS1714</t>
        </is>
      </c>
      <c r="AM984" s="318" t="n"/>
      <c r="AN984" s="317" t="n"/>
      <c r="AO984" s="257" t="n"/>
      <c r="AP984" s="258" t="n"/>
      <c r="AQ984" s="318" t="inlineStr">
        <is>
          <t>Si renseignée, la donnée doit être positive (supérieure ou égale à 0)</t>
        </is>
      </c>
      <c r="AR984" s="317" t="inlineStr">
        <is>
          <t xml:space="preserve">If filled, data must be positive (greater or equal to 0) </t>
        </is>
      </c>
      <c r="AS984" s="257" t="n">
        <v>7</v>
      </c>
      <c r="AT984" s="345" t="inlineStr">
        <is>
          <t>TVG0001</t>
        </is>
      </c>
      <c r="AU984" s="318" t="n"/>
      <c r="AV984" s="317" t="n"/>
      <c r="AW984" s="257" t="n"/>
      <c r="AX984" s="258" t="n"/>
      <c r="AY984" s="318" t="n"/>
      <c r="AZ984" s="317" t="n"/>
      <c r="BA984" s="257" t="n"/>
      <c r="BB984" s="258" t="n"/>
      <c r="BC984" s="316" t="n"/>
      <c r="BD984" s="317" t="n"/>
      <c r="BE984" s="257" t="n"/>
      <c r="BF984" s="258" t="n"/>
      <c r="BG984" s="89" t="n"/>
      <c r="BH9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84">
        <f>_xlfn.LET(r,ROW(),oc,INDEX($A:$A,r),cv,TRIM(INDEX($Y:$Y,r)&amp;""),IF(oc&lt;&gt;"P1","",IF(cv="45","V45 - novo, nao alimentado pelo spool atual","V44 - alimentado pelo spool atual")))</f>
        <v/>
      </c>
    </row>
    <row r="985" ht="54" customFormat="1" customHeight="1" s="90">
      <c r="A985" s="306" t="inlineStr">
        <is>
          <t>P2</t>
        </is>
      </c>
      <c r="B985" s="307" t="n">
        <v>88</v>
      </c>
      <c r="C985" s="269" t="inlineStr">
        <is>
          <t>04 - Caractéristiques Affacturage</t>
        </is>
      </c>
      <c r="D985" s="310" t="inlineStr">
        <is>
          <t>04 - Factoring characteristics</t>
        </is>
      </c>
      <c r="E985" s="307" t="inlineStr">
        <is>
          <t>P2 4.28</t>
        </is>
      </c>
      <c r="F985" s="308" t="inlineStr">
        <is>
          <t>Devise de la part de financement garanti par des créances acheteurs</t>
        </is>
      </c>
      <c r="G985" s="309" t="inlineStr">
        <is>
          <t>Currency of amount of backed financing by buyer debts</t>
        </is>
      </c>
      <c r="H985" s="309" t="n"/>
      <c r="I985" s="241" t="inlineStr">
        <is>
          <t xml:space="preserve">Devise de la part de financement garanti par des créances acheteurs </t>
        </is>
      </c>
      <c r="J985" s="309" t="inlineStr">
        <is>
          <t xml:space="preserve">Currency of amount of financing backed by buyer debts </t>
        </is>
      </c>
      <c r="K985" s="370" t="inlineStr">
        <is>
          <t>ND</t>
        </is>
      </c>
      <c r="L985" s="371" t="inlineStr">
        <is>
          <t>ND</t>
        </is>
      </c>
      <c r="M985" s="1420" t="inlineStr">
        <is>
          <t>cdDevMtFinGar</t>
        </is>
      </c>
      <c r="N985" s="231" t="inlineStr">
        <is>
          <t>Obligatoire sous conditions</t>
        </is>
      </c>
      <c r="O985" s="310" t="inlineStr">
        <is>
          <t>Mandatory under conditions</t>
        </is>
      </c>
      <c r="P985" s="269" t="inlineStr">
        <is>
          <t>LC.0005</t>
        </is>
      </c>
      <c r="Q985" s="269" t="inlineStr">
        <is>
          <t>TA NM253</t>
        </is>
      </c>
      <c r="R985" s="241" t="inlineStr">
        <is>
          <t>NA</t>
        </is>
      </c>
      <c r="S985" s="233" t="inlineStr">
        <is>
          <t>NA</t>
        </is>
      </c>
      <c r="T985" s="313" t="inlineStr">
        <is>
          <t>ALPHA</t>
        </is>
      </c>
      <c r="U985" s="237" t="inlineStr">
        <is>
          <t>NA</t>
        </is>
      </c>
      <c r="V985" s="238" t="inlineStr">
        <is>
          <t>NA</t>
        </is>
      </c>
      <c r="W985" s="397" t="n">
        <v>3</v>
      </c>
      <c r="X985" s="945" t="inlineStr">
        <is>
          <t>NA</t>
        </is>
      </c>
      <c r="Y985" s="237" t="n">
        <v>40</v>
      </c>
      <c r="Z985" s="237" t="inlineStr">
        <is>
          <t>NA</t>
        </is>
      </c>
      <c r="AA985" s="237" t="inlineStr">
        <is>
          <t>NA</t>
        </is>
      </c>
      <c r="AB985" s="269" t="inlineStr">
        <is>
          <t>ANACREDIT</t>
        </is>
      </c>
      <c r="AC985" s="231" t="inlineStr">
        <is>
          <t>ND</t>
        </is>
      </c>
      <c r="AD985" s="257" t="inlineStr">
        <is>
          <t>N</t>
        </is>
      </c>
      <c r="AE985" s="257" t="inlineStr">
        <is>
          <t>NA</t>
        </is>
      </c>
      <c r="AF985" s="257" t="inlineStr">
        <is>
          <t>NA</t>
        </is>
      </c>
      <c r="AG985" s="258" t="inlineStr">
        <is>
          <t>NA</t>
        </is>
      </c>
      <c r="AH985" s="89" t="n"/>
      <c r="AI985" s="435" t="inlineStr">
        <is>
          <t>La donnée est obligatoire si le Montant de la part de financement garanti par des créances acheteurs [P2 4.27] est renseigné</t>
        </is>
      </c>
      <c r="AJ985" s="317" t="inlineStr">
        <is>
          <t>The data is mandatory if Amount of backed financing by buyer debts [P2 4.27] is filled</t>
        </is>
      </c>
      <c r="AK985" s="257" t="n">
        <v>7</v>
      </c>
      <c r="AL985" s="335" t="inlineStr">
        <is>
          <t>TPG0002</t>
        </is>
      </c>
      <c r="AM985" s="318" t="inlineStr">
        <is>
          <t>Si elle est renseignée, la valeur doit être connue du Langage Commun associé</t>
        </is>
      </c>
      <c r="AN985" s="317" t="inlineStr">
        <is>
          <t>If specified, the value must be known to the associated Common Language</t>
        </is>
      </c>
      <c r="AO985" s="257" t="n">
        <v>7</v>
      </c>
      <c r="AP985" s="212" t="inlineStr">
        <is>
          <t>TIG0001</t>
        </is>
      </c>
      <c r="AQ985" s="318" t="n"/>
      <c r="AR985" s="317" t="n"/>
      <c r="AS985" s="257" t="n"/>
      <c r="AT985" s="258" t="n"/>
      <c r="AU985" s="318" t="n"/>
      <c r="AV985" s="317" t="n"/>
      <c r="AW985" s="257" t="n"/>
      <c r="AX985" s="258" t="n"/>
      <c r="AY985" s="318" t="n"/>
      <c r="AZ985" s="317" t="n"/>
      <c r="BA985" s="257" t="n"/>
      <c r="BB985" s="258" t="n"/>
      <c r="BC985" s="316" t="n"/>
      <c r="BD985" s="317" t="n"/>
      <c r="BE985" s="257" t="n"/>
      <c r="BF985" s="258" t="n"/>
      <c r="BG985" s="89" t="n"/>
      <c r="BH9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85">
        <f>_xlfn.LET(r,ROW(),oc,INDEX($A:$A,r),cv,TRIM(INDEX($Y:$Y,r)&amp;""),IF(oc&lt;&gt;"P1","",IF(cv="45","V45 - novo, nao alimentado pelo spool atual","V44 - alimentado pelo spool atual")))</f>
        <v/>
      </c>
    </row>
    <row r="986" ht="54" customFormat="1" customHeight="1" s="90">
      <c r="A986" s="306" t="inlineStr">
        <is>
          <t>P2</t>
        </is>
      </c>
      <c r="B986" s="307" t="n">
        <v>89</v>
      </c>
      <c r="C986" s="269" t="inlineStr">
        <is>
          <t>04 - Caractéristiques Affacturage</t>
        </is>
      </c>
      <c r="D986" s="310" t="inlineStr">
        <is>
          <t>04 - Factoring characteristics</t>
        </is>
      </c>
      <c r="E986" s="307" t="inlineStr">
        <is>
          <t>P2 3.32</t>
        </is>
      </c>
      <c r="F986" s="308" t="inlineStr">
        <is>
          <t>Rôle du Tiers dans l'opération d'affacturage</t>
        </is>
      </c>
      <c r="G986" s="309" t="inlineStr">
        <is>
          <t>Role of External Counterparty in the factoring transaction</t>
        </is>
      </c>
      <c r="H986" s="309" t="n"/>
      <c r="I986" s="241" t="inlineStr">
        <is>
          <t>Doit permettre d'identifier le rôle du tiers en risque « Client ou Acheteur » sur l'engagement</t>
        </is>
      </c>
      <c r="J986" s="309" t="inlineStr">
        <is>
          <t xml:space="preserve">Makes it possible to identify the role of the “Client or Buyer” external counterparty at-risk </t>
        </is>
      </c>
      <c r="K986" s="370" t="inlineStr">
        <is>
          <t>ND</t>
        </is>
      </c>
      <c r="L986" s="371" t="inlineStr">
        <is>
          <t>ND</t>
        </is>
      </c>
      <c r="M986" s="1420" t="inlineStr">
        <is>
          <t>cdRolTiers</t>
        </is>
      </c>
      <c r="N986" s="231" t="inlineStr">
        <is>
          <t>Obligatoire sous conditions</t>
        </is>
      </c>
      <c r="O986" s="310" t="inlineStr">
        <is>
          <t>Mandatory under conditions</t>
        </is>
      </c>
      <c r="P986" s="269" t="inlineStr">
        <is>
          <t>LC.0163</t>
        </is>
      </c>
      <c r="Q986" s="269" t="inlineStr">
        <is>
          <t>TA KVROLAFF</t>
        </is>
      </c>
      <c r="R986" s="241" t="inlineStr">
        <is>
          <t>A renseigner uniquement par les entités exerçant une activité d'affacturage NA sinon</t>
        </is>
      </c>
      <c r="S986" s="233" t="inlineStr">
        <is>
          <t xml:space="preserve">Mandatory if entities have a factoring activity, NA otherwise.
NA otherwise
</t>
        </is>
      </c>
      <c r="T986" s="313" t="inlineStr">
        <is>
          <t>ALPHA</t>
        </is>
      </c>
      <c r="U986" s="237" t="inlineStr">
        <is>
          <t>NA</t>
        </is>
      </c>
      <c r="V986" s="238" t="inlineStr">
        <is>
          <t>NA</t>
        </is>
      </c>
      <c r="W986" s="257" t="n">
        <v>2</v>
      </c>
      <c r="X986" s="945" t="inlineStr">
        <is>
          <t>NA</t>
        </is>
      </c>
      <c r="Y986" s="237" t="n">
        <v>40</v>
      </c>
      <c r="Z986" s="237" t="inlineStr">
        <is>
          <t>NA</t>
        </is>
      </c>
      <c r="AA986" s="237" t="inlineStr">
        <is>
          <t>NA</t>
        </is>
      </c>
      <c r="AB986" s="269" t="inlineStr">
        <is>
          <t>ANACREDIT</t>
        </is>
      </c>
      <c r="AC986" s="231" t="inlineStr">
        <is>
          <t>ND</t>
        </is>
      </c>
      <c r="AD986" s="257" t="inlineStr">
        <is>
          <t>N</t>
        </is>
      </c>
      <c r="AE986" s="257" t="inlineStr">
        <is>
          <t>NA</t>
        </is>
      </c>
      <c r="AF986" s="257" t="inlineStr">
        <is>
          <t>NA</t>
        </is>
      </c>
      <c r="AG986" s="258" t="inlineStr">
        <is>
          <t>NA</t>
        </is>
      </c>
      <c r="AH986" s="89" t="n"/>
      <c r="AI986" s="316" t="inlineStr">
        <is>
          <t>La donnée est obligatoire si le type de risque [P2 2.0] ='TRExx' (hors 'TRE203, TRE205, TRE206, TRE207'), 'SIGxx' ET si le Portefeuille Bâle Opération [P2 2.18] = ‘090'</t>
        </is>
      </c>
      <c r="AJ986" s="317" t="inlineStr">
        <is>
          <t>The data is mandatory if the Risk type [P2 2.0] = 'TRExx' (except 'TRE203, TRE205, TRE206, TRE207'), 'SIGxx' AND if Basel Transaction Portfolio [P2 2.18] = ‘090'</t>
        </is>
      </c>
      <c r="AK986" s="257" t="n">
        <v>6</v>
      </c>
      <c r="AL986" s="335" t="inlineStr">
        <is>
          <t>TPS1714</t>
        </is>
      </c>
      <c r="AM986" s="318" t="inlineStr">
        <is>
          <t>Si elle est renseignée, la valeur doit être connue du Langage Commun associé</t>
        </is>
      </c>
      <c r="AN986" s="317" t="inlineStr">
        <is>
          <t>If specified, the value must be known to the associated Common Language</t>
        </is>
      </c>
      <c r="AO986" s="257" t="n">
        <v>7</v>
      </c>
      <c r="AP986" s="212" t="inlineStr">
        <is>
          <t>TIG0001</t>
        </is>
      </c>
      <c r="AQ986" s="318" t="n"/>
      <c r="AR986" s="317" t="n"/>
      <c r="AS986" s="257" t="n"/>
      <c r="AT986" s="258" t="n"/>
      <c r="AU986" s="318" t="n"/>
      <c r="AV986" s="317" t="n"/>
      <c r="AW986" s="257" t="n"/>
      <c r="AX986" s="258" t="n"/>
      <c r="AY986" s="318" t="n"/>
      <c r="AZ986" s="317" t="n"/>
      <c r="BA986" s="257" t="n"/>
      <c r="BB986" s="258" t="n"/>
      <c r="BC986" s="316" t="n"/>
      <c r="BD986" s="317" t="n"/>
      <c r="BE986" s="257" t="n"/>
      <c r="BF986" s="258" t="n"/>
      <c r="BG986" s="89" t="n"/>
      <c r="BH9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86">
        <f>_xlfn.LET(r,ROW(),oc,INDEX($A:$A,r),cv,TRIM(INDEX($Y:$Y,r)&amp;""),IF(oc&lt;&gt;"P1","",IF(cv="45","V45 - novo, nao alimentado pelo spool atual","V44 - alimentado pelo spool atual")))</f>
        <v/>
      </c>
    </row>
    <row r="987" ht="54" customFormat="1" customHeight="1" s="94">
      <c r="A987" s="306" t="inlineStr">
        <is>
          <t>P2</t>
        </is>
      </c>
      <c r="B987" s="307" t="n">
        <v>90</v>
      </c>
      <c r="C987" s="269" t="inlineStr">
        <is>
          <t>04 - Caractéristiques Affacturage</t>
        </is>
      </c>
      <c r="D987" s="310" t="inlineStr">
        <is>
          <t>04 - Factoring characteristics</t>
        </is>
      </c>
      <c r="E987" s="372" t="inlineStr">
        <is>
          <t>P2 4.30</t>
        </is>
      </c>
      <c r="F987" s="527" t="inlineStr">
        <is>
          <t>Expected Loss Best Estimate (en %)</t>
        </is>
      </c>
      <c r="G987" s="309" t="inlineStr">
        <is>
          <t>Expected Loss Best Estimate (in %)</t>
        </is>
      </c>
      <c r="H987" s="309" t="n"/>
      <c r="I987" s="311" t="inlineStr">
        <is>
          <t>Exprimé en %</t>
        </is>
      </c>
      <c r="J987" s="309" t="inlineStr">
        <is>
          <t>Expressed as %</t>
        </is>
      </c>
      <c r="K987" s="370" t="inlineStr">
        <is>
          <t>ND</t>
        </is>
      </c>
      <c r="L987" s="371" t="inlineStr">
        <is>
          <t>ND</t>
        </is>
      </c>
      <c r="M987" s="1420" t="inlineStr">
        <is>
          <t>txExpectedLossBestEstim</t>
        </is>
      </c>
      <c r="N987" s="449" t="inlineStr">
        <is>
          <t>Facultatif</t>
        </is>
      </c>
      <c r="O987" s="310" t="inlineStr">
        <is>
          <t>Optional</t>
        </is>
      </c>
      <c r="P987" s="269" t="inlineStr">
        <is>
          <t>NA</t>
        </is>
      </c>
      <c r="Q987" s="269" t="inlineStr">
        <is>
          <t>NA</t>
        </is>
      </c>
      <c r="R987" s="241" t="inlineStr">
        <is>
          <t>Exprimée en %.
A renseigner uniquement pour l'affacturage en IRB A</t>
        </is>
      </c>
      <c r="S987" s="233" t="inlineStr">
        <is>
          <t>Expressed as %
Data reserved for factoring in IRB</t>
        </is>
      </c>
      <c r="T987" s="529" t="inlineStr">
        <is>
          <t>NUM</t>
        </is>
      </c>
      <c r="U987" s="259" t="inlineStr">
        <is>
          <t>10 dont signe et 5 décimales</t>
        </is>
      </c>
      <c r="V987" s="260" t="inlineStr">
        <is>
          <t>10 including sign and 5 decimals</t>
        </is>
      </c>
      <c r="W987" s="315" t="n">
        <v>10</v>
      </c>
      <c r="X987" s="945" t="inlineStr">
        <is>
          <t>NA</t>
        </is>
      </c>
      <c r="Y987" s="237" t="n">
        <v>42</v>
      </c>
      <c r="Z987" s="259" t="inlineStr">
        <is>
          <t>NA</t>
        </is>
      </c>
      <c r="AA987" s="270" t="inlineStr">
        <is>
          <t>NA</t>
        </is>
      </c>
      <c r="AB987" s="1286" t="inlineStr">
        <is>
          <t>CALCULS PRUDENTIELS</t>
        </is>
      </c>
      <c r="AC987" s="231" t="inlineStr">
        <is>
          <t>ND</t>
        </is>
      </c>
      <c r="AD987" s="257" t="inlineStr">
        <is>
          <t>N</t>
        </is>
      </c>
      <c r="AE987" s="257" t="inlineStr">
        <is>
          <t>NA</t>
        </is>
      </c>
      <c r="AF987" s="257" t="inlineStr">
        <is>
          <t>NA</t>
        </is>
      </c>
      <c r="AG987" s="258" t="inlineStr">
        <is>
          <t>NA</t>
        </is>
      </c>
      <c r="AH987" s="89" t="n"/>
      <c r="AI987" s="316" t="n"/>
      <c r="AJ987" s="317" t="n"/>
      <c r="AK987" s="257" t="n"/>
      <c r="AL987" s="258" t="n"/>
      <c r="AM987" s="318" t="n"/>
      <c r="AN987" s="317" t="n"/>
      <c r="AO987" s="257" t="n"/>
      <c r="AP987" s="258" t="n"/>
      <c r="AQ987" s="318" t="inlineStr">
        <is>
          <t>Si renseignée, la donnée doit être positive (supérieure ou égale à 0)
---
Si renseignée, la donnée doit être comprise entre 0 et 100</t>
        </is>
      </c>
      <c r="AR987" s="317" t="inlineStr">
        <is>
          <t>If filled, data must be positive (greater or equal to 0)
---
If filled, data must be between 0 and 100</t>
        </is>
      </c>
      <c r="AS987" s="257" t="inlineStr">
        <is>
          <t>7
6</t>
        </is>
      </c>
      <c r="AT987" s="366" t="inlineStr">
        <is>
          <t>TVG0001
TVG0004</t>
        </is>
      </c>
      <c r="AU987" s="318" t="n"/>
      <c r="AV987" s="317" t="n"/>
      <c r="AW987" s="257" t="n"/>
      <c r="AX987" s="258" t="n"/>
      <c r="AY987" s="318" t="n"/>
      <c r="AZ987" s="317" t="n"/>
      <c r="BA987" s="257" t="n"/>
      <c r="BB987" s="258" t="n"/>
      <c r="BC987" s="316" t="n"/>
      <c r="BD987" s="317" t="n"/>
      <c r="BE987" s="257" t="n"/>
      <c r="BF987" s="258" t="n"/>
      <c r="BG987" s="89" t="n"/>
      <c r="BH9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87">
        <f>_xlfn.LET(r,ROW(),oc,INDEX($A:$A,r),cv,TRIM(INDEX($Y:$Y,r)&amp;""),IF(oc&lt;&gt;"P1","",IF(cv="45","V45 - novo, nao alimentado pelo spool atual","V44 - alimentado pelo spool atual")))</f>
        <v/>
      </c>
    </row>
    <row r="988" ht="54" customFormat="1" customHeight="1" s="139">
      <c r="A988" s="306" t="inlineStr">
        <is>
          <t>P2</t>
        </is>
      </c>
      <c r="B988" s="307" t="n">
        <v>91</v>
      </c>
      <c r="C988" s="269" t="inlineStr">
        <is>
          <t>31 - Paramètres bâlois</t>
        </is>
      </c>
      <c r="D988" s="310" t="inlineStr">
        <is>
          <t>31 - Basel settings</t>
        </is>
      </c>
      <c r="E988" s="307" t="inlineStr">
        <is>
          <t>P2 6.99</t>
        </is>
      </c>
      <c r="F988" s="375" t="inlineStr">
        <is>
          <t>Code méthode IFRS9 - PD à l'origine</t>
        </is>
      </c>
      <c r="G988" s="309" t="inlineStr">
        <is>
          <t>Method code IFRS9 - PD originally</t>
        </is>
      </c>
      <c r="H988" s="309" t="n"/>
      <c r="I988" s="497" t="inlineStr">
        <is>
          <t>Clé d'appariement avec les courbes de PD du référentiel IFRS 9 à l'origine</t>
        </is>
      </c>
      <c r="J988" s="309" t="inlineStr">
        <is>
          <t>Matching code with IFRS 9 referential PD curves originally</t>
        </is>
      </c>
      <c r="K988" s="370" t="inlineStr">
        <is>
          <t>ND</t>
        </is>
      </c>
      <c r="L988" s="371" t="inlineStr">
        <is>
          <t>ND</t>
        </is>
      </c>
      <c r="M988" s="1424" t="inlineStr">
        <is>
          <t>cdMetPDOri</t>
        </is>
      </c>
      <c r="N988" s="231" t="inlineStr">
        <is>
          <t>Obligatoire (SC)</t>
        </is>
      </c>
      <c r="O988" s="284" t="inlineStr">
        <is>
          <t>Mandatory (SC)</t>
        </is>
      </c>
      <c r="P988" s="269" t="inlineStr">
        <is>
          <t>NA</t>
        </is>
      </c>
      <c r="Q988" s="269" t="inlineStr">
        <is>
          <t>NA</t>
        </is>
      </c>
      <c r="R988" s="234" t="inlineStr">
        <is>
          <t>La donnée est attendue sur maximum 12 caractères</t>
        </is>
      </c>
      <c r="S988" s="235" t="inlineStr">
        <is>
          <t>Data is expected to be up to 12 characters long</t>
        </is>
      </c>
      <c r="T988" s="307" t="inlineStr">
        <is>
          <t>ALPHA</t>
        </is>
      </c>
      <c r="U988" s="237" t="inlineStr">
        <is>
          <t>NA</t>
        </is>
      </c>
      <c r="V988" s="238" t="inlineStr">
        <is>
          <t>NA</t>
        </is>
      </c>
      <c r="W988" s="269" t="n">
        <v>20</v>
      </c>
      <c r="X988" s="231" t="inlineStr">
        <is>
          <t>NA</t>
        </is>
      </c>
      <c r="Y988" s="237" t="inlineStr">
        <is>
          <t>NA</t>
        </is>
      </c>
      <c r="Z988" s="237" t="inlineStr">
        <is>
          <t>NA</t>
        </is>
      </c>
      <c r="AA988" s="237" t="inlineStr">
        <is>
          <t>NA</t>
        </is>
      </c>
      <c r="AB988" s="269" t="inlineStr">
        <is>
          <t>OMP</t>
        </is>
      </c>
      <c r="AC988" s="231" t="inlineStr">
        <is>
          <t>ND</t>
        </is>
      </c>
      <c r="AD988" s="269" t="inlineStr">
        <is>
          <t>N</t>
        </is>
      </c>
      <c r="AE988" s="269" t="inlineStr">
        <is>
          <t>NA</t>
        </is>
      </c>
      <c r="AF988" s="269" t="inlineStr">
        <is>
          <t>NA</t>
        </is>
      </c>
      <c r="AG988" s="364" t="inlineStr">
        <is>
          <t>NA</t>
        </is>
      </c>
      <c r="AH988" s="1360" t="n"/>
      <c r="AI988" s="353" t="n"/>
      <c r="AJ988" s="354" t="n"/>
      <c r="AK988" s="269" t="n"/>
      <c r="AL988" s="364" t="n"/>
      <c r="AM988" s="354" t="n"/>
      <c r="AN988" s="354" t="n"/>
      <c r="AO988" s="269" t="n"/>
      <c r="AP988" s="364" t="n"/>
      <c r="AQ988" s="354" t="n"/>
      <c r="AR988" s="354" t="n"/>
      <c r="AS988" s="269" t="n"/>
      <c r="AT988" s="364" t="n"/>
      <c r="AU988" s="354" t="n"/>
      <c r="AV988" s="354" t="n"/>
      <c r="AW988" s="269" t="n"/>
      <c r="AX988" s="364" t="n"/>
      <c r="AY988" s="354" t="n"/>
      <c r="AZ988" s="354" t="n"/>
      <c r="BA988" s="269" t="n"/>
      <c r="BB988" s="364" t="n"/>
      <c r="BC988" s="353" t="n"/>
      <c r="BD988" s="354" t="n"/>
      <c r="BE988" s="269" t="n"/>
      <c r="BF988" s="364" t="n"/>
      <c r="BG988" s="89" t="n"/>
      <c r="BH9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88">
        <f>_xlfn.LET(r,ROW(),oc,INDEX($A:$A,r),cv,TRIM(INDEX($Y:$Y,r)&amp;""),IF(oc&lt;&gt;"P1","",IF(cv="45","V45 - novo, nao alimentado pelo spool atual","V44 - alimentado pelo spool atual")))</f>
        <v/>
      </c>
    </row>
    <row r="989" ht="54" customFormat="1" customHeight="1" s="90">
      <c r="A989" s="306" t="inlineStr">
        <is>
          <t>P2</t>
        </is>
      </c>
      <c r="B989" s="307" t="n">
        <v>92</v>
      </c>
      <c r="C989" s="269" t="inlineStr">
        <is>
          <t>18 - Caractéristiques Titrisation</t>
        </is>
      </c>
      <c r="D989" s="310" t="inlineStr">
        <is>
          <t>18 - Securitization characteristics</t>
        </is>
      </c>
      <c r="E989" s="307" t="inlineStr">
        <is>
          <t>P2 4.29</t>
        </is>
      </c>
      <c r="F989" s="308" t="inlineStr">
        <is>
          <t>Indicateur créance titrisée</t>
        </is>
      </c>
      <c r="G989" s="309" t="inlineStr">
        <is>
          <t>Securitised debt indicator</t>
        </is>
      </c>
      <c r="H989" s="309" t="n"/>
      <c r="I989" s="241" t="inlineStr">
        <is>
          <t>Indicateur créance titrisée</t>
        </is>
      </c>
      <c r="J989" s="309" t="inlineStr">
        <is>
          <t>Securitised debt indicator</t>
        </is>
      </c>
      <c r="K989" s="370" t="inlineStr">
        <is>
          <t>ND</t>
        </is>
      </c>
      <c r="L989" s="371" t="inlineStr">
        <is>
          <t>ND</t>
        </is>
      </c>
      <c r="M989" s="1420" t="inlineStr">
        <is>
          <t>cdCreTit</t>
        </is>
      </c>
      <c r="N989" s="449" t="inlineStr">
        <is>
          <t>Facultatif</t>
        </is>
      </c>
      <c r="O989" s="310" t="inlineStr">
        <is>
          <t>Optional</t>
        </is>
      </c>
      <c r="P989" s="269" t="inlineStr">
        <is>
          <t>LC.0187</t>
        </is>
      </c>
      <c r="Q989" s="269" t="inlineStr">
        <is>
          <t>TA KVICTITR</t>
        </is>
      </c>
      <c r="R989" s="241" t="inlineStr">
        <is>
          <t>NA</t>
        </is>
      </c>
      <c r="S989" s="233" t="inlineStr">
        <is>
          <t>NA</t>
        </is>
      </c>
      <c r="T989" s="313" t="inlineStr">
        <is>
          <t>ALPHA</t>
        </is>
      </c>
      <c r="U989" s="237" t="inlineStr">
        <is>
          <t>NA</t>
        </is>
      </c>
      <c r="V989" s="238" t="inlineStr">
        <is>
          <t>NA</t>
        </is>
      </c>
      <c r="W989" s="257" t="n">
        <v>1</v>
      </c>
      <c r="X989" s="945" t="inlineStr">
        <is>
          <t>NA</t>
        </is>
      </c>
      <c r="Y989" s="237" t="n">
        <v>40</v>
      </c>
      <c r="Z989" s="237" t="inlineStr">
        <is>
          <t>NA</t>
        </is>
      </c>
      <c r="AA989" s="270" t="inlineStr">
        <is>
          <t>NA</t>
        </is>
      </c>
      <c r="AB989" s="994" t="inlineStr">
        <is>
          <t>ANACREDIT</t>
        </is>
      </c>
      <c r="AC989" s="231" t="inlineStr">
        <is>
          <t>ND</t>
        </is>
      </c>
      <c r="AD989" s="257" t="inlineStr">
        <is>
          <t>N</t>
        </is>
      </c>
      <c r="AE989" s="257" t="inlineStr">
        <is>
          <t>NA</t>
        </is>
      </c>
      <c r="AF989" s="257" t="inlineStr">
        <is>
          <t>NA</t>
        </is>
      </c>
      <c r="AG989" s="258" t="inlineStr">
        <is>
          <t>NA</t>
        </is>
      </c>
      <c r="AH989" s="89" t="n"/>
      <c r="AI989" s="316" t="n"/>
      <c r="AJ989" s="317" t="n"/>
      <c r="AK989" s="257" t="n"/>
      <c r="AL989" s="258" t="n"/>
      <c r="AM989" s="318" t="inlineStr">
        <is>
          <t>Si elle est renseignée, la valeur doit être connue du Langage Commun associé</t>
        </is>
      </c>
      <c r="AN989" s="317" t="inlineStr">
        <is>
          <t>If specified, the value must be known to the associated Common Language</t>
        </is>
      </c>
      <c r="AO989" s="257" t="n">
        <v>7</v>
      </c>
      <c r="AP989" s="212" t="inlineStr">
        <is>
          <t>TIG0001</t>
        </is>
      </c>
      <c r="AQ989" s="533" t="inlineStr">
        <is>
          <t>Si renseigné ET si l'identifiant du Fonds Commun de Titrisation (SPV) [P2 4.40] est renseigné, alors 'Indicateur créance titrisée' [P2 4.29] = 'Y'</t>
        </is>
      </c>
      <c r="AR989" s="317" t="inlineStr">
        <is>
          <t>If filled and if Securitisation fund (SPV) Identifier [P2 4.40] is filled, then 'Securitised debt indicator' [P2 4.29] = 'Y'</t>
        </is>
      </c>
      <c r="AS989" s="534" t="n">
        <v>6</v>
      </c>
      <c r="AT989" s="803" t="inlineStr">
        <is>
          <t>TVS0741</t>
        </is>
      </c>
      <c r="AU989" s="318" t="n"/>
      <c r="AV989" s="317" t="n"/>
      <c r="AW989" s="257" t="n"/>
      <c r="AX989" s="258" t="n"/>
      <c r="AY989" s="318" t="n"/>
      <c r="AZ989" s="317" t="n"/>
      <c r="BA989" s="257" t="n"/>
      <c r="BB989" s="258" t="n"/>
      <c r="BC989" s="316" t="n"/>
      <c r="BD989" s="317" t="n"/>
      <c r="BE989" s="257" t="n"/>
      <c r="BF989" s="258" t="n"/>
      <c r="BG989" s="89" t="n"/>
      <c r="BH9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89">
        <f>_xlfn.LET(r,ROW(),oc,INDEX($A:$A,r),cv,TRIM(INDEX($Y:$Y,r)&amp;""),IF(oc&lt;&gt;"P1","",IF(cv="45","V45 - novo, nao alimentado pelo spool atual","V44 - alimentado pelo spool atual")))</f>
        <v/>
      </c>
    </row>
    <row r="990" ht="54" customFormat="1" customHeight="1" s="90">
      <c r="A990" s="306" t="inlineStr">
        <is>
          <t>P2</t>
        </is>
      </c>
      <c r="B990" s="307" t="n">
        <v>93</v>
      </c>
      <c r="C990" s="269" t="inlineStr">
        <is>
          <t>18 - Caractéristiques Titrisation</t>
        </is>
      </c>
      <c r="D990" s="310" t="inlineStr">
        <is>
          <t>18 - Securitization characteristics</t>
        </is>
      </c>
      <c r="E990" s="307" t="inlineStr">
        <is>
          <t>P2 4.40</t>
        </is>
      </c>
      <c r="F990" s="417" t="inlineStr">
        <is>
          <t>Identifiant du Fonds Commun de Titrisation (SPV)</t>
        </is>
      </c>
      <c r="G990" s="309" t="inlineStr">
        <is>
          <t>Securitisation fund (SPV) Identifier</t>
        </is>
      </c>
      <c r="H990" s="309" t="n"/>
      <c r="I990" s="241" t="inlineStr">
        <is>
          <t>Identifiant du SPV dans le Référentiel Crédit Agricole SA FIN 
Donnée TRUE SALE réservée à LCL et aux Caisses Régionales</t>
        </is>
      </c>
      <c r="J990" s="233" t="inlineStr">
        <is>
          <t>SPV's identifier in Crédit Agricole SA FIN database
TRUE SALE data element reserved for LCL and Regional Banks</t>
        </is>
      </c>
      <c r="K990" s="269" t="inlineStr">
        <is>
          <t>ND</t>
        </is>
      </c>
      <c r="L990" s="310" t="inlineStr">
        <is>
          <t>ND</t>
        </is>
      </c>
      <c r="M990" s="1420" t="inlineStr">
        <is>
          <t>cdFCT</t>
        </is>
      </c>
      <c r="N990" s="449" t="inlineStr">
        <is>
          <t>Facultatif</t>
        </is>
      </c>
      <c r="O990" s="310" t="inlineStr">
        <is>
          <t>Optional</t>
        </is>
      </c>
      <c r="P990" s="269" t="inlineStr">
        <is>
          <t>NA</t>
        </is>
      </c>
      <c r="Q990" s="269" t="inlineStr">
        <is>
          <t>NA</t>
        </is>
      </c>
      <c r="R990" s="241" t="inlineStr">
        <is>
          <t xml:space="preserve">Donnée TRUE SALE réservée à LCL et aux Caisses Régionales </t>
        </is>
      </c>
      <c r="S990" s="233" t="inlineStr">
        <is>
          <t>Data TRUE SALE reserved for LCL and Regional Banks</t>
        </is>
      </c>
      <c r="T990" s="313" t="inlineStr">
        <is>
          <t>ALPHA</t>
        </is>
      </c>
      <c r="U990" s="237" t="inlineStr">
        <is>
          <t>NA</t>
        </is>
      </c>
      <c r="V990" s="238" t="inlineStr">
        <is>
          <t>NA</t>
        </is>
      </c>
      <c r="W990" s="257" t="n">
        <v>3</v>
      </c>
      <c r="X990" s="945" t="inlineStr">
        <is>
          <t>NA</t>
        </is>
      </c>
      <c r="Y990" s="237" t="n">
        <v>40</v>
      </c>
      <c r="Z990" s="237" t="inlineStr">
        <is>
          <t>NA</t>
        </is>
      </c>
      <c r="AA990" s="237" t="inlineStr">
        <is>
          <t>NA</t>
        </is>
      </c>
      <c r="AB990" s="269" t="inlineStr">
        <is>
          <t>ANACREDIT, OMP</t>
        </is>
      </c>
      <c r="AC990" s="231" t="inlineStr">
        <is>
          <t>ND</t>
        </is>
      </c>
      <c r="AD990" s="257" t="inlineStr">
        <is>
          <t>N</t>
        </is>
      </c>
      <c r="AE990" s="257" t="inlineStr">
        <is>
          <t>NA</t>
        </is>
      </c>
      <c r="AF990" s="257" t="inlineStr">
        <is>
          <t>NA</t>
        </is>
      </c>
      <c r="AG990" s="258" t="inlineStr">
        <is>
          <t>NA</t>
        </is>
      </c>
      <c r="AH990" s="89" t="n"/>
      <c r="AI990" s="316" t="n"/>
      <c r="AJ990" s="317" t="n"/>
      <c r="AK990" s="257" t="n"/>
      <c r="AL990" s="258" t="n"/>
      <c r="AM990" s="318" t="n"/>
      <c r="AN990" s="317" t="n"/>
      <c r="AO990" s="257" t="n"/>
      <c r="AP990" s="258" t="n"/>
      <c r="AQ990" s="318" t="n"/>
      <c r="AR990" s="317" t="n"/>
      <c r="AS990" s="257" t="n"/>
      <c r="AT990" s="258" t="n"/>
      <c r="AU990" s="318" t="n"/>
      <c r="AV990" s="317" t="n"/>
      <c r="AW990" s="257" t="n"/>
      <c r="AX990" s="258" t="n"/>
      <c r="AY990" s="318" t="n"/>
      <c r="AZ990" s="317" t="n"/>
      <c r="BA990" s="257" t="n"/>
      <c r="BB990" s="258" t="n"/>
      <c r="BC990" s="316" t="n"/>
      <c r="BD990" s="317" t="n"/>
      <c r="BE990" s="257" t="n"/>
      <c r="BF990" s="258" t="n"/>
      <c r="BG990" s="89" t="n"/>
      <c r="BH9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90">
        <f>_xlfn.LET(r,ROW(),oc,INDEX($A:$A,r),cv,TRIM(INDEX($Y:$Y,r)&amp;""),IF(oc&lt;&gt;"P1","",IF(cv="45","V45 - novo, nao alimentado pelo spool atual","V44 - alimentado pelo spool atual")))</f>
        <v/>
      </c>
    </row>
    <row r="991" ht="54" customFormat="1" customHeight="1" s="90">
      <c r="A991" s="306" t="inlineStr">
        <is>
          <t>P2</t>
        </is>
      </c>
      <c r="B991" s="307" t="n">
        <v>94</v>
      </c>
      <c r="C991" s="269" t="inlineStr">
        <is>
          <t>18 - Caractéristiques Titrisation</t>
        </is>
      </c>
      <c r="D991" s="310" t="inlineStr">
        <is>
          <t>18 - Securitization characteristics</t>
        </is>
      </c>
      <c r="E991" s="307" t="inlineStr">
        <is>
          <t>P2 4.41</t>
        </is>
      </c>
      <c r="F991" s="308" t="inlineStr">
        <is>
          <t>Mode de Titrisation</t>
        </is>
      </c>
      <c r="G991" s="309" t="inlineStr">
        <is>
          <t>Securitisation type</t>
        </is>
      </c>
      <c r="H991" s="309" t="n"/>
      <c r="I991" s="241" t="inlineStr">
        <is>
          <t>Indicateur du mode de titrisation
Donnée TRUE SALE réservée à LCL et aux Caisses Régionales</t>
        </is>
      </c>
      <c r="J991" s="233" t="inlineStr">
        <is>
          <t>Indicator of the type of securitisation
TRUE SALE data element reserved for LCL and Regional Banks</t>
        </is>
      </c>
      <c r="K991" s="269" t="inlineStr">
        <is>
          <t>ND</t>
        </is>
      </c>
      <c r="L991" s="310" t="inlineStr">
        <is>
          <t>ND</t>
        </is>
      </c>
      <c r="M991" s="1420" t="inlineStr">
        <is>
          <t>cdModTit</t>
        </is>
      </c>
      <c r="N991" s="231" t="inlineStr">
        <is>
          <t>Obligatoire sous conditions</t>
        </is>
      </c>
      <c r="O991" s="310" t="inlineStr">
        <is>
          <t>Mandatory under conditions</t>
        </is>
      </c>
      <c r="P991" s="269" t="inlineStr">
        <is>
          <t>LC.0172</t>
        </is>
      </c>
      <c r="Q991" s="269" t="inlineStr">
        <is>
          <t>TA KVMDTITR</t>
        </is>
      </c>
      <c r="R991" s="241" t="inlineStr">
        <is>
          <t>Donnée TRUE SALE réservée à LCL et aux Caisses Régionales</t>
        </is>
      </c>
      <c r="S991" s="233" t="inlineStr">
        <is>
          <t>Data TRUE SALE reserved for LCL and Regional Banks</t>
        </is>
      </c>
      <c r="T991" s="313" t="inlineStr">
        <is>
          <t>ALPHA</t>
        </is>
      </c>
      <c r="U991" s="237" t="inlineStr">
        <is>
          <t>NA</t>
        </is>
      </c>
      <c r="V991" s="238" t="inlineStr">
        <is>
          <t>NA</t>
        </is>
      </c>
      <c r="W991" s="257" t="n">
        <v>1</v>
      </c>
      <c r="X991" s="945" t="inlineStr">
        <is>
          <t>NA</t>
        </is>
      </c>
      <c r="Y991" s="237" t="n">
        <v>40</v>
      </c>
      <c r="Z991" s="237" t="inlineStr">
        <is>
          <t>NA</t>
        </is>
      </c>
      <c r="AA991" s="270" t="inlineStr">
        <is>
          <t>NA</t>
        </is>
      </c>
      <c r="AB991" s="994" t="inlineStr">
        <is>
          <t>OMP</t>
        </is>
      </c>
      <c r="AC991" s="231" t="inlineStr">
        <is>
          <t>ND</t>
        </is>
      </c>
      <c r="AD991" s="257" t="inlineStr">
        <is>
          <t>N</t>
        </is>
      </c>
      <c r="AE991" s="257" t="inlineStr">
        <is>
          <t>NA</t>
        </is>
      </c>
      <c r="AF991" s="257" t="inlineStr">
        <is>
          <t>NA</t>
        </is>
      </c>
      <c r="AG991" s="258" t="inlineStr">
        <is>
          <t>NA</t>
        </is>
      </c>
      <c r="AH991" s="89" t="n"/>
      <c r="AI991" s="453" t="inlineStr">
        <is>
          <t>La donnée est obligatoire si Identifiant du Fonds Commun de Titrisation (SPV) [P2 4.40] est renseigné</t>
        </is>
      </c>
      <c r="AJ991" s="317" t="inlineStr">
        <is>
          <t>The data is mandatory if Securitisation fund (SPV) Identifier [P2 4.40] is filled in</t>
        </is>
      </c>
      <c r="AK991" s="257" t="n">
        <v>7</v>
      </c>
      <c r="AL991" s="366" t="inlineStr">
        <is>
          <t>TPS1715</t>
        </is>
      </c>
      <c r="AM991" s="318" t="inlineStr">
        <is>
          <t>Si elle est renseignée, la valeur doit être connue du Langage Commun associé</t>
        </is>
      </c>
      <c r="AN991" s="317" t="inlineStr">
        <is>
          <t>If specified, the value must be known to the associated Common Language</t>
        </is>
      </c>
      <c r="AO991" s="257" t="n">
        <v>7</v>
      </c>
      <c r="AP991" s="212" t="inlineStr">
        <is>
          <t>TIG0001</t>
        </is>
      </c>
      <c r="AQ991" s="318" t="n"/>
      <c r="AR991" s="317" t="n"/>
      <c r="AS991" s="257" t="n"/>
      <c r="AT991" s="258" t="n"/>
      <c r="AU991" s="318" t="n"/>
      <c r="AV991" s="317" t="n"/>
      <c r="AW991" s="257" t="n"/>
      <c r="AX991" s="258" t="n"/>
      <c r="AY991" s="318" t="n"/>
      <c r="AZ991" s="317" t="n"/>
      <c r="BA991" s="257" t="n"/>
      <c r="BB991" s="258" t="n"/>
      <c r="BC991" s="316" t="n"/>
      <c r="BD991" s="317" t="n"/>
      <c r="BE991" s="257" t="n"/>
      <c r="BF991" s="258" t="n"/>
      <c r="BG991" s="89" t="n"/>
      <c r="BH9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91">
        <f>_xlfn.LET(r,ROW(),oc,INDEX($A:$A,r),cv,TRIM(INDEX($Y:$Y,r)&amp;""),IF(oc&lt;&gt;"P1","",IF(cv="45","V45 - novo, nao alimentado pelo spool atual","V44 - alimentado pelo spool atual")))</f>
        <v/>
      </c>
    </row>
    <row r="992" ht="54" customFormat="1" customHeight="1" s="90">
      <c r="A992" s="306" t="inlineStr">
        <is>
          <t>P2</t>
        </is>
      </c>
      <c r="B992" s="307" t="n">
        <v>95</v>
      </c>
      <c r="C992" s="269" t="inlineStr">
        <is>
          <t>18 - Caractéristiques Titrisation</t>
        </is>
      </c>
      <c r="D992" s="310" t="inlineStr">
        <is>
          <t>18 - Securitization characteristics</t>
        </is>
      </c>
      <c r="E992" s="372" t="inlineStr">
        <is>
          <t>P2 4.48</t>
        </is>
      </c>
      <c r="F992" s="311" t="inlineStr">
        <is>
          <t>Indicateur créance titrisée SRT</t>
        </is>
      </c>
      <c r="G992" s="309" t="inlineStr">
        <is>
          <t>SRT securitized receivables indicator</t>
        </is>
      </c>
      <c r="H992" s="309" t="n"/>
      <c r="I992" s="241" t="inlineStr">
        <is>
          <t>Indicateur créance titrisée avec transfert de risque Significatif (SRT)</t>
        </is>
      </c>
      <c r="J992" s="233" t="inlineStr">
        <is>
          <t>Identifies receivables belonging to an SRT securitization (significant risk transfer)</t>
        </is>
      </c>
      <c r="K992" s="269" t="inlineStr">
        <is>
          <t>ND</t>
        </is>
      </c>
      <c r="L992" s="310" t="inlineStr">
        <is>
          <t>ND</t>
        </is>
      </c>
      <c r="M992" s="1420" t="inlineStr">
        <is>
          <t>cdCreTitSTR</t>
        </is>
      </c>
      <c r="N992" s="257" t="inlineStr">
        <is>
          <t>Obligatoire sous conditions</t>
        </is>
      </c>
      <c r="O992" s="310" t="inlineStr">
        <is>
          <t>Mandatory under conditions</t>
        </is>
      </c>
      <c r="P992" s="269" t="inlineStr">
        <is>
          <t>LC.0328</t>
        </is>
      </c>
      <c r="Q992" s="269" t="inlineStr">
        <is>
          <t>TA Z8ICTSRT</t>
        </is>
      </c>
      <c r="R992" s="241" t="inlineStr">
        <is>
          <t>NA</t>
        </is>
      </c>
      <c r="S992" s="233" t="inlineStr">
        <is>
          <t>NA</t>
        </is>
      </c>
      <c r="T992" s="313" t="inlineStr">
        <is>
          <t>ALPHA</t>
        </is>
      </c>
      <c r="U992" s="237" t="inlineStr">
        <is>
          <t>NA</t>
        </is>
      </c>
      <c r="V992" s="238" t="inlineStr">
        <is>
          <t>NA</t>
        </is>
      </c>
      <c r="W992" s="397" t="n">
        <v>1</v>
      </c>
      <c r="X992" s="945" t="inlineStr">
        <is>
          <t>NA</t>
        </is>
      </c>
      <c r="Y992" s="237" t="n">
        <v>43</v>
      </c>
      <c r="Z992" s="237" t="inlineStr">
        <is>
          <t>NA</t>
        </is>
      </c>
      <c r="AA992" s="270" t="inlineStr">
        <is>
          <t>NA</t>
        </is>
      </c>
      <c r="AB992" s="994" t="inlineStr">
        <is>
          <t>AER, CALCULS PRUDENTIELS</t>
        </is>
      </c>
      <c r="AC992" s="231" t="inlineStr">
        <is>
          <t>ND</t>
        </is>
      </c>
      <c r="AD992" s="257" t="inlineStr">
        <is>
          <t>N</t>
        </is>
      </c>
      <c r="AE992" s="257" t="inlineStr">
        <is>
          <t>NA</t>
        </is>
      </c>
      <c r="AF992" s="257" t="inlineStr">
        <is>
          <t>NA</t>
        </is>
      </c>
      <c r="AG992" s="258" t="inlineStr">
        <is>
          <t>NA</t>
        </is>
      </c>
      <c r="AH992" s="89" t="n"/>
      <c r="AI992" s="353" t="inlineStr">
        <is>
          <t>La donnée est obligatoire si le type de risque [P2 2.0] = 'TRExxx' et si l'indicateur créance titrisée [P2 4.29] = 'Y'</t>
        </is>
      </c>
      <c r="AJ992" s="317" t="inlineStr">
        <is>
          <t>The data is mandatory if Risk type [P2 2.0] = 'TRExxx' and the securitised debt indicator [P2 4.29] = 'Y'</t>
        </is>
      </c>
      <c r="AK992" s="257" t="n">
        <v>6</v>
      </c>
      <c r="AL992" s="366" t="inlineStr">
        <is>
          <t>TPS1716</t>
        </is>
      </c>
      <c r="AM992" s="452" t="inlineStr">
        <is>
          <t>Si elle est renseignée, la valeur doit être connue du Langage Commun associé</t>
        </is>
      </c>
      <c r="AN992" s="377" t="inlineStr">
        <is>
          <t>If specified, the value must be known to the associated Common Language</t>
        </is>
      </c>
      <c r="AO992" s="269" t="n">
        <v>7</v>
      </c>
      <c r="AP992" s="212" t="inlineStr">
        <is>
          <t>TIG0001</t>
        </is>
      </c>
      <c r="AQ992" s="318" t="n"/>
      <c r="AR992" s="317" t="n"/>
      <c r="AS992" s="257" t="n"/>
      <c r="AT992" s="258" t="n"/>
      <c r="AU992" s="318" t="n"/>
      <c r="AV992" s="317" t="n"/>
      <c r="AW992" s="257" t="n"/>
      <c r="AX992" s="258" t="n"/>
      <c r="AY992" s="318" t="n"/>
      <c r="AZ992" s="317" t="n"/>
      <c r="BA992" s="257" t="n"/>
      <c r="BB992" s="258" t="n"/>
      <c r="BC992" s="316" t="n"/>
      <c r="BD992" s="317" t="n"/>
      <c r="BE992" s="257" t="n"/>
      <c r="BF992" s="258" t="n"/>
      <c r="BG992" s="89" t="n"/>
      <c r="BH9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92">
        <f>_xlfn.LET(r,ROW(),oc,INDEX($A:$A,r),cv,TRIM(INDEX($Y:$Y,r)&amp;""),IF(oc&lt;&gt;"P1","",IF(cv="45","V45 - novo, nao alimentado pelo spool atual","V44 - alimentado pelo spool atual")))</f>
        <v/>
      </c>
    </row>
    <row r="993" ht="54" customFormat="1" customHeight="1" s="55">
      <c r="A993" s="325" t="inlineStr">
        <is>
          <t>P2</t>
        </is>
      </c>
      <c r="B993" s="326" t="n">
        <v>96</v>
      </c>
      <c r="C993" s="284" t="inlineStr">
        <is>
          <t>18 - Caractéristiques Titrisation</t>
        </is>
      </c>
      <c r="D993" s="284" t="inlineStr">
        <is>
          <t>18 - Securitization characteristics</t>
        </is>
      </c>
      <c r="E993" s="326" t="inlineStr">
        <is>
          <t>P2 4.98</t>
        </is>
      </c>
      <c r="F993" s="327" t="inlineStr">
        <is>
          <t>Zone réservée TRUE SALE</t>
        </is>
      </c>
      <c r="G993" s="327" t="inlineStr">
        <is>
          <t>Zone reserved for TRUE SALE</t>
        </is>
      </c>
      <c r="H993" s="327" t="n"/>
      <c r="I993" s="245" t="inlineStr">
        <is>
          <t>Zone réservée TRUE SALE</t>
        </is>
      </c>
      <c r="J993" s="245" t="inlineStr">
        <is>
          <t>Zone reserved for TRUE SALE</t>
        </is>
      </c>
      <c r="K993" s="328" t="inlineStr">
        <is>
          <t>NA</t>
        </is>
      </c>
      <c r="L993" s="328" t="inlineStr">
        <is>
          <t>NA</t>
        </is>
      </c>
      <c r="M993" s="1421" t="inlineStr">
        <is>
          <t>ZoneResTruSal</t>
        </is>
      </c>
      <c r="N993" s="284" t="inlineStr">
        <is>
          <t>NA</t>
        </is>
      </c>
      <c r="O993" s="284" t="inlineStr">
        <is>
          <t>NA</t>
        </is>
      </c>
      <c r="P993" s="284" t="inlineStr">
        <is>
          <t>NA</t>
        </is>
      </c>
      <c r="Q993" s="284" t="inlineStr">
        <is>
          <t>NA</t>
        </is>
      </c>
      <c r="R993" s="245" t="inlineStr">
        <is>
          <t>NA</t>
        </is>
      </c>
      <c r="S993" s="245" t="inlineStr">
        <is>
          <t>NA</t>
        </is>
      </c>
      <c r="T993" s="326" t="inlineStr">
        <is>
          <t>ALPHA</t>
        </is>
      </c>
      <c r="U993" s="248" t="inlineStr">
        <is>
          <t>NA</t>
        </is>
      </c>
      <c r="V993" s="248" t="inlineStr">
        <is>
          <t>NA</t>
        </is>
      </c>
      <c r="W993" s="284" t="n">
        <v>45</v>
      </c>
      <c r="X993" s="244" t="inlineStr">
        <is>
          <t>NA</t>
        </is>
      </c>
      <c r="Y993" s="248" t="inlineStr">
        <is>
          <t>NA</t>
        </is>
      </c>
      <c r="Z993" s="248" t="inlineStr">
        <is>
          <t>NA</t>
        </is>
      </c>
      <c r="AA993" s="248" t="inlineStr">
        <is>
          <t>NA</t>
        </is>
      </c>
      <c r="AB993" s="284" t="inlineStr">
        <is>
          <t>NA</t>
        </is>
      </c>
      <c r="AC993" s="244" t="inlineStr">
        <is>
          <t>NA</t>
        </is>
      </c>
      <c r="AD993" s="284" t="inlineStr">
        <is>
          <t>N</t>
        </is>
      </c>
      <c r="AE993" s="284" t="inlineStr">
        <is>
          <t>NA</t>
        </is>
      </c>
      <c r="AF993" s="284" t="inlineStr">
        <is>
          <t>NA</t>
        </is>
      </c>
      <c r="AG993" s="285" t="inlineStr">
        <is>
          <t>NA</t>
        </is>
      </c>
      <c r="AH993" s="89" t="n"/>
      <c r="AI993" s="330" t="n"/>
      <c r="AJ993" s="331" t="n"/>
      <c r="AK993" s="284" t="n"/>
      <c r="AL993" s="285" t="n"/>
      <c r="AM993" s="331" t="n"/>
      <c r="AN993" s="331" t="n"/>
      <c r="AO993" s="284" t="n"/>
      <c r="AP993" s="285" t="n"/>
      <c r="AQ993" s="331" t="n"/>
      <c r="AR993" s="331" t="n"/>
      <c r="AS993" s="284" t="n"/>
      <c r="AT993" s="285" t="n"/>
      <c r="AU993" s="331" t="n"/>
      <c r="AV993" s="331" t="n"/>
      <c r="AW993" s="284" t="n"/>
      <c r="AX993" s="285" t="n"/>
      <c r="AY993" s="331" t="n"/>
      <c r="AZ993" s="331" t="n"/>
      <c r="BA993" s="284" t="n"/>
      <c r="BB993" s="285" t="n"/>
      <c r="BC993" s="330" t="n"/>
      <c r="BD993" s="331" t="n"/>
      <c r="BE993" s="284" t="n"/>
      <c r="BF993" s="285" t="n"/>
      <c r="BG993" s="89" t="n"/>
      <c r="BH9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93">
        <f>_xlfn.LET(r,ROW(),oc,INDEX($A:$A,r),cv,TRIM(INDEX($Y:$Y,r)&amp;""),IF(oc&lt;&gt;"P1","",IF(cv="45","V45 - novo, nao alimentado pelo spool atual","V44 - alimentado pelo spool atual")))</f>
        <v/>
      </c>
    </row>
    <row r="994" ht="54" customFormat="1" customHeight="1" s="55">
      <c r="A994" s="325" t="inlineStr">
        <is>
          <t>P2</t>
        </is>
      </c>
      <c r="B994" s="326" t="n">
        <v>97</v>
      </c>
      <c r="C994" s="284" t="inlineStr">
        <is>
          <t>NA</t>
        </is>
      </c>
      <c r="D994" s="284" t="inlineStr">
        <is>
          <t>NA</t>
        </is>
      </c>
      <c r="E994" s="326" t="inlineStr">
        <is>
          <t>P2 7.99</t>
        </is>
      </c>
      <c r="F994" s="327" t="inlineStr">
        <is>
          <t>Filler</t>
        </is>
      </c>
      <c r="G994" s="327" t="inlineStr">
        <is>
          <t>Filler</t>
        </is>
      </c>
      <c r="H994" s="327" t="n"/>
      <c r="I994" s="247" t="inlineStr">
        <is>
          <t>Zone libre</t>
        </is>
      </c>
      <c r="J994" s="245" t="inlineStr">
        <is>
          <t>Free zone</t>
        </is>
      </c>
      <c r="K994" s="284" t="inlineStr">
        <is>
          <t>NA</t>
        </is>
      </c>
      <c r="L994" s="284" t="inlineStr">
        <is>
          <t>NA</t>
        </is>
      </c>
      <c r="M994" s="1421" t="inlineStr">
        <is>
          <t>Zonelibre799</t>
        </is>
      </c>
      <c r="N994" s="284" t="inlineStr">
        <is>
          <t>NA</t>
        </is>
      </c>
      <c r="O994" s="284" t="inlineStr">
        <is>
          <t>NA</t>
        </is>
      </c>
      <c r="P994" s="284" t="inlineStr">
        <is>
          <t>NA</t>
        </is>
      </c>
      <c r="Q994" s="284" t="inlineStr">
        <is>
          <t>NA</t>
        </is>
      </c>
      <c r="R994" s="247" t="inlineStr">
        <is>
          <t>Laisser à vide</t>
        </is>
      </c>
      <c r="S994" s="247" t="inlineStr">
        <is>
          <t>Leave empty</t>
        </is>
      </c>
      <c r="T994" s="326" t="inlineStr">
        <is>
          <t>ALPHA</t>
        </is>
      </c>
      <c r="U994" s="248" t="inlineStr">
        <is>
          <t>NA</t>
        </is>
      </c>
      <c r="V994" s="248" t="inlineStr">
        <is>
          <t>NA</t>
        </is>
      </c>
      <c r="W994" s="284" t="n">
        <v>10</v>
      </c>
      <c r="X994" s="244" t="inlineStr">
        <is>
          <t>NA</t>
        </is>
      </c>
      <c r="Y994" s="248" t="inlineStr">
        <is>
          <t>NA</t>
        </is>
      </c>
      <c r="Z994" s="248" t="inlineStr">
        <is>
          <t>NA</t>
        </is>
      </c>
      <c r="AA994" s="248" t="inlineStr">
        <is>
          <t>NA</t>
        </is>
      </c>
      <c r="AB994" s="284" t="inlineStr">
        <is>
          <t>NA</t>
        </is>
      </c>
      <c r="AC994" s="244" t="inlineStr">
        <is>
          <t>NA</t>
        </is>
      </c>
      <c r="AD994" s="284" t="inlineStr">
        <is>
          <t>N</t>
        </is>
      </c>
      <c r="AE994" s="284" t="inlineStr">
        <is>
          <t>NA</t>
        </is>
      </c>
      <c r="AF994" s="284" t="inlineStr">
        <is>
          <t>NA</t>
        </is>
      </c>
      <c r="AG994" s="285" t="inlineStr">
        <is>
          <t>NA</t>
        </is>
      </c>
      <c r="AH994" s="89" t="n"/>
      <c r="AI994" s="330" t="n"/>
      <c r="AJ994" s="331" t="n"/>
      <c r="AK994" s="284" t="n"/>
      <c r="AL994" s="285" t="n"/>
      <c r="AM994" s="331" t="n"/>
      <c r="AN994" s="331" t="n"/>
      <c r="AO994" s="284" t="n"/>
      <c r="AP994" s="285" t="n"/>
      <c r="AQ994" s="331" t="n"/>
      <c r="AR994" s="331" t="n"/>
      <c r="AS994" s="284" t="n"/>
      <c r="AT994" s="285" t="n"/>
      <c r="AU994" s="331" t="n"/>
      <c r="AV994" s="331" t="n"/>
      <c r="AW994" s="284" t="n"/>
      <c r="AX994" s="285" t="n"/>
      <c r="AY994" s="331" t="n"/>
      <c r="AZ994" s="331" t="n"/>
      <c r="BA994" s="284" t="n"/>
      <c r="BB994" s="285" t="n"/>
      <c r="BC994" s="330" t="n"/>
      <c r="BD994" s="331" t="n"/>
      <c r="BE994" s="284" t="n"/>
      <c r="BF994" s="285" t="n"/>
      <c r="BG994" s="89" t="n"/>
      <c r="BH9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94">
        <f>_xlfn.LET(r,ROW(),oc,INDEX($A:$A,r),cv,TRIM(INDEX($Y:$Y,r)&amp;""),IF(oc&lt;&gt;"P1","",IF(cv="45","V45 - novo, nao alimentado pelo spool atual","V44 - alimentado pelo spool atual")))</f>
        <v/>
      </c>
    </row>
    <row r="995" ht="54" customFormat="1" customHeight="1" s="90">
      <c r="A995" s="306" t="inlineStr">
        <is>
          <t>P2</t>
        </is>
      </c>
      <c r="B995" s="307" t="n">
        <v>98</v>
      </c>
      <c r="C995" s="269" t="inlineStr">
        <is>
          <t>03 - Caractéristiques Générales</t>
        </is>
      </c>
      <c r="D995" s="310" t="inlineStr">
        <is>
          <t>03 - General characteristics</t>
        </is>
      </c>
      <c r="E995" s="307" t="inlineStr">
        <is>
          <t>P2 3.36</t>
        </is>
      </c>
      <c r="F995" s="308" t="inlineStr">
        <is>
          <t>Indicateur compensation centrale</t>
        </is>
      </c>
      <c r="G995" s="309" t="inlineStr">
        <is>
          <t>Central clearing indicator</t>
        </is>
      </c>
      <c r="H995" s="309" t="n"/>
      <c r="I995" s="241" t="inlineStr">
        <is>
          <t xml:space="preserve">Indique si la compensation centralisée de l'opération est de manière directe (face à une CCP) ou de manière indirecte (face à un courtier compensateur, lui-même membre d'une CCP). </t>
        </is>
      </c>
      <c r="J995" s="309" t="inlineStr">
        <is>
          <t>Indicates whether the transaction's central clearing is directly dealing (with a CCP), or indirectly dealing (with a clearing broker, which is itself member of a CCP).</t>
        </is>
      </c>
      <c r="K995" s="370" t="inlineStr">
        <is>
          <t>ND</t>
        </is>
      </c>
      <c r="L995" s="371" t="inlineStr">
        <is>
          <t>ND</t>
        </is>
      </c>
      <c r="M995" s="1420" t="inlineStr">
        <is>
          <t>indCompensCentral</t>
        </is>
      </c>
      <c r="N995" s="231" t="inlineStr">
        <is>
          <t>Obligatoire sous conditions</t>
        </is>
      </c>
      <c r="O995" s="310" t="inlineStr">
        <is>
          <t>Mandatory under conditions</t>
        </is>
      </c>
      <c r="P995" s="269" t="inlineStr">
        <is>
          <t>LC.0182</t>
        </is>
      </c>
      <c r="Q995" s="269" t="inlineStr">
        <is>
          <t>TA KVICC</t>
        </is>
      </c>
      <c r="R995" s="1017" t="inlineStr">
        <is>
          <t>NA</t>
        </is>
      </c>
      <c r="S995" s="233" t="inlineStr">
        <is>
          <t>NA</t>
        </is>
      </c>
      <c r="T995" s="313" t="inlineStr">
        <is>
          <t>ALPHA</t>
        </is>
      </c>
      <c r="U995" s="237" t="inlineStr">
        <is>
          <t>NA</t>
        </is>
      </c>
      <c r="V995" s="238" t="inlineStr">
        <is>
          <t>NA</t>
        </is>
      </c>
      <c r="W995" s="397" t="n">
        <v>1</v>
      </c>
      <c r="X995" s="945" t="inlineStr">
        <is>
          <t>NA</t>
        </is>
      </c>
      <c r="Y995" s="237" t="n">
        <v>40</v>
      </c>
      <c r="Z995" s="237" t="inlineStr">
        <is>
          <t>NA</t>
        </is>
      </c>
      <c r="AA995" s="270" t="inlineStr">
        <is>
          <t>NA</t>
        </is>
      </c>
      <c r="AB995" s="1286" t="inlineStr">
        <is>
          <t>CALCULS PRUDENTIELS</t>
        </is>
      </c>
      <c r="AC995" s="231" t="inlineStr">
        <is>
          <t>ND</t>
        </is>
      </c>
      <c r="AD995" s="257" t="inlineStr">
        <is>
          <t>N</t>
        </is>
      </c>
      <c r="AE995" s="257" t="inlineStr">
        <is>
          <t>NA</t>
        </is>
      </c>
      <c r="AF995" s="257" t="inlineStr">
        <is>
          <t>NA</t>
        </is>
      </c>
      <c r="AG995" s="258" t="inlineStr">
        <is>
          <t>NA</t>
        </is>
      </c>
      <c r="AH995" s="89" t="n"/>
      <c r="AI995" s="461" t="inlineStr">
        <is>
          <t>La donnée est obligatoire si le type de risque [P2 2.0] = ‘TRE205'</t>
        </is>
      </c>
      <c r="AJ995" s="317" t="inlineStr">
        <is>
          <t>The data is mandatory if Risk type [P2 2.0] = ‘TRE205'</t>
        </is>
      </c>
      <c r="AK995" s="257" t="n">
        <v>6</v>
      </c>
      <c r="AL995" s="345" t="inlineStr">
        <is>
          <t>TPS1717</t>
        </is>
      </c>
      <c r="AM995" s="318" t="inlineStr">
        <is>
          <t>Si elle est renseignée, la valeur doit être connue du Langage Commun associé</t>
        </is>
      </c>
      <c r="AN995" s="317" t="inlineStr">
        <is>
          <t>If specified, the value must be known to the associated Common Language</t>
        </is>
      </c>
      <c r="AO995" s="257" t="n">
        <v>7</v>
      </c>
      <c r="AP995" s="212" t="inlineStr">
        <is>
          <t>TIG0001</t>
        </is>
      </c>
      <c r="AQ995" s="318" t="n"/>
      <c r="AR995" s="317" t="n"/>
      <c r="AS995" s="257" t="n"/>
      <c r="AT995" s="258" t="n"/>
      <c r="AU995" s="318" t="n"/>
      <c r="AV995" s="317" t="n"/>
      <c r="AW995" s="257" t="n"/>
      <c r="AX995" s="258" t="n"/>
      <c r="AY995" s="318" t="n"/>
      <c r="AZ995" s="317" t="n"/>
      <c r="BA995" s="257" t="n"/>
      <c r="BB995" s="258" t="n"/>
      <c r="BC995" s="316" t="n"/>
      <c r="BD995" s="317" t="n"/>
      <c r="BE995" s="257" t="n"/>
      <c r="BF995" s="258" t="n"/>
      <c r="BG995" s="89" t="n"/>
      <c r="BH9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95">
        <f>_xlfn.LET(r,ROW(),oc,INDEX($A:$A,r),cv,TRIM(INDEX($Y:$Y,r)&amp;""),IF(oc&lt;&gt;"P1","",IF(cv="45","V45 - novo, nao alimentado pelo spool atual","V44 - alimentado pelo spool atual")))</f>
        <v/>
      </c>
    </row>
    <row r="996" ht="54" customFormat="1" customHeight="1" s="55">
      <c r="A996" s="325" t="inlineStr">
        <is>
          <t>P2</t>
        </is>
      </c>
      <c r="B996" s="326" t="n">
        <v>99</v>
      </c>
      <c r="C996" s="284" t="inlineStr">
        <is>
          <t>NA</t>
        </is>
      </c>
      <c r="D996" s="284" t="inlineStr">
        <is>
          <t>NA</t>
        </is>
      </c>
      <c r="E996" s="326" t="inlineStr">
        <is>
          <t>P2 8.99</t>
        </is>
      </c>
      <c r="F996" s="327" t="inlineStr">
        <is>
          <t>Filler</t>
        </is>
      </c>
      <c r="G996" s="327" t="inlineStr">
        <is>
          <t>Filler</t>
        </is>
      </c>
      <c r="H996" s="327" t="n"/>
      <c r="I996" s="247" t="inlineStr">
        <is>
          <t>Zone libre</t>
        </is>
      </c>
      <c r="J996" s="327" t="inlineStr">
        <is>
          <t>Free zone</t>
        </is>
      </c>
      <c r="K996" s="388" t="inlineStr">
        <is>
          <t>NA</t>
        </is>
      </c>
      <c r="L996" s="388" t="inlineStr">
        <is>
          <t>NA</t>
        </is>
      </c>
      <c r="M996" s="1421" t="inlineStr">
        <is>
          <t>Zonelibre899</t>
        </is>
      </c>
      <c r="N996" s="284" t="inlineStr">
        <is>
          <t>NA</t>
        </is>
      </c>
      <c r="O996" s="284" t="inlineStr">
        <is>
          <t>NA</t>
        </is>
      </c>
      <c r="P996" s="284" t="inlineStr">
        <is>
          <t>NA</t>
        </is>
      </c>
      <c r="Q996" s="284" t="inlineStr">
        <is>
          <t>NA</t>
        </is>
      </c>
      <c r="R996" s="247" t="inlineStr">
        <is>
          <t>Laisser à vide</t>
        </is>
      </c>
      <c r="S996" s="247" t="inlineStr">
        <is>
          <t>Leave empty</t>
        </is>
      </c>
      <c r="T996" s="326" t="inlineStr">
        <is>
          <t>ALPHA</t>
        </is>
      </c>
      <c r="U996" s="248" t="inlineStr">
        <is>
          <t>NA</t>
        </is>
      </c>
      <c r="V996" s="248" t="inlineStr">
        <is>
          <t>NA</t>
        </is>
      </c>
      <c r="W996" s="284" t="n">
        <v>17</v>
      </c>
      <c r="X996" s="244" t="inlineStr">
        <is>
          <t>NA</t>
        </is>
      </c>
      <c r="Y996" s="248" t="inlineStr">
        <is>
          <t>NA</t>
        </is>
      </c>
      <c r="Z996" s="248" t="inlineStr">
        <is>
          <t>NA</t>
        </is>
      </c>
      <c r="AA996" s="248" t="inlineStr">
        <is>
          <t>NA</t>
        </is>
      </c>
      <c r="AB996" s="284" t="inlineStr">
        <is>
          <t>NA</t>
        </is>
      </c>
      <c r="AC996" s="244" t="inlineStr">
        <is>
          <t>NA</t>
        </is>
      </c>
      <c r="AD996" s="284" t="inlineStr">
        <is>
          <t>N</t>
        </is>
      </c>
      <c r="AE996" s="284" t="inlineStr">
        <is>
          <t>NA</t>
        </is>
      </c>
      <c r="AF996" s="284" t="inlineStr">
        <is>
          <t>NA</t>
        </is>
      </c>
      <c r="AG996" s="285" t="inlineStr">
        <is>
          <t>NA</t>
        </is>
      </c>
      <c r="AH996" s="89" t="n"/>
      <c r="AI996" s="330" t="n"/>
      <c r="AJ996" s="331" t="n"/>
      <c r="AK996" s="284" t="n"/>
      <c r="AL996" s="285" t="n"/>
      <c r="AM996" s="331" t="n"/>
      <c r="AN996" s="331" t="n"/>
      <c r="AO996" s="284" t="n"/>
      <c r="AP996" s="285" t="n"/>
      <c r="AQ996" s="331" t="n"/>
      <c r="AR996" s="331" t="n"/>
      <c r="AS996" s="284" t="n"/>
      <c r="AT996" s="285" t="n"/>
      <c r="AU996" s="331" t="n"/>
      <c r="AV996" s="331" t="n"/>
      <c r="AW996" s="284" t="n"/>
      <c r="AX996" s="285" t="n"/>
      <c r="AY996" s="331" t="n"/>
      <c r="AZ996" s="331" t="n"/>
      <c r="BA996" s="284" t="n"/>
      <c r="BB996" s="285" t="n"/>
      <c r="BC996" s="330" t="n"/>
      <c r="BD996" s="331" t="n"/>
      <c r="BE996" s="284" t="n"/>
      <c r="BF996" s="285" t="n"/>
      <c r="BG996" s="89" t="n"/>
      <c r="BH9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96">
        <f>_xlfn.LET(r,ROW(),oc,INDEX($A:$A,r),cv,TRIM(INDEX($Y:$Y,r)&amp;""),IF(oc&lt;&gt;"P1","",IF(cv="45","V45 - novo, nao alimentado pelo spool atual","V44 - alimentado pelo spool atual")))</f>
        <v/>
      </c>
    </row>
    <row r="997" ht="54" customFormat="1" customHeight="1" s="90">
      <c r="A997" s="306" t="inlineStr">
        <is>
          <t>P2</t>
        </is>
      </c>
      <c r="B997" s="307" t="n">
        <v>100</v>
      </c>
      <c r="C997" s="269" t="inlineStr">
        <is>
          <t xml:space="preserve">19 - Données comptables </t>
        </is>
      </c>
      <c r="D997" s="310" t="inlineStr">
        <is>
          <t>19 - Accounting data</t>
        </is>
      </c>
      <c r="E997" s="307" t="inlineStr">
        <is>
          <t>P2 19.5</t>
        </is>
      </c>
      <c r="F997" s="308" t="inlineStr">
        <is>
          <t>Classification comptable de référence des actifs</t>
        </is>
      </c>
      <c r="G997" s="309" t="inlineStr">
        <is>
          <t>Reference accounting classification of assets</t>
        </is>
      </c>
      <c r="H997" s="309" t="n"/>
      <c r="I997" s="241" t="inlineStr">
        <is>
          <t>Classification comptable de référence des actifs en norme IFRS 9</t>
        </is>
      </c>
      <c r="J997" s="309" t="inlineStr">
        <is>
          <t>Reference accounting classification of assets under IFRS 9</t>
        </is>
      </c>
      <c r="K997" s="370" t="inlineStr">
        <is>
          <t>ND</t>
        </is>
      </c>
      <c r="L997" s="371" t="inlineStr">
        <is>
          <t>ND</t>
        </is>
      </c>
      <c r="M997" s="1420" t="inlineStr">
        <is>
          <t>cdClasIas</t>
        </is>
      </c>
      <c r="N997" s="231" t="inlineStr">
        <is>
          <t>Obligatoire</t>
        </is>
      </c>
      <c r="O997" s="310" t="inlineStr">
        <is>
          <t>Mandatory</t>
        </is>
      </c>
      <c r="P997" s="269" t="inlineStr">
        <is>
          <t>LC.0066</t>
        </is>
      </c>
      <c r="Q997" s="269" t="inlineStr">
        <is>
          <t>TA KVCLCOMP</t>
        </is>
      </c>
      <c r="R997" s="241" t="inlineStr">
        <is>
          <t>NA</t>
        </is>
      </c>
      <c r="S997" s="233" t="inlineStr">
        <is>
          <t>NA</t>
        </is>
      </c>
      <c r="T997" s="313" t="inlineStr">
        <is>
          <t>ALPHA</t>
        </is>
      </c>
      <c r="U997" s="237" t="inlineStr">
        <is>
          <t>NA</t>
        </is>
      </c>
      <c r="V997" s="238" t="inlineStr">
        <is>
          <t>NA</t>
        </is>
      </c>
      <c r="W997" s="397" t="n">
        <v>3</v>
      </c>
      <c r="X997" s="945" t="inlineStr">
        <is>
          <t>NA</t>
        </is>
      </c>
      <c r="Y997" s="237" t="inlineStr">
        <is>
          <t>40</t>
        </is>
      </c>
      <c r="Z997" s="237" t="inlineStr">
        <is>
          <t>NA</t>
        </is>
      </c>
      <c r="AA997" s="270" t="inlineStr">
        <is>
          <t>NA</t>
        </is>
      </c>
      <c r="AB997" s="994" t="inlineStr">
        <is>
          <t>ANACREDIT, ASTRE, CALCULS PRUDENTIELS, CONGLOMERATS, CORFOU, ESG PILIER 3, LOAN TAPE, OMP, PALMA, PVA, RISQUES SYSTEMIQUES, SHS, SRB VALUATION</t>
        </is>
      </c>
      <c r="AC997" s="231" t="inlineStr">
        <is>
          <t>ND</t>
        </is>
      </c>
      <c r="AD997" s="257" t="inlineStr">
        <is>
          <t>N</t>
        </is>
      </c>
      <c r="AE997" s="257" t="inlineStr">
        <is>
          <t>NA</t>
        </is>
      </c>
      <c r="AF997" s="257" t="inlineStr">
        <is>
          <t>NA</t>
        </is>
      </c>
      <c r="AG997" s="258" t="inlineStr">
        <is>
          <t>NA</t>
        </is>
      </c>
      <c r="AH997" s="89" t="n"/>
      <c r="AI997" s="316" t="inlineStr">
        <is>
          <t>La donnée est obligatoire</t>
        </is>
      </c>
      <c r="AJ997" s="317" t="inlineStr">
        <is>
          <t>The data is mandatory</t>
        </is>
      </c>
      <c r="AK997" s="257" t="n">
        <v>7</v>
      </c>
      <c r="AL997" s="335" t="inlineStr">
        <is>
          <t>TPG0001</t>
        </is>
      </c>
      <c r="AM997" s="452" t="inlineStr">
        <is>
          <t>Si elle est renseignée, la valeur doit être connue du Langage Commun associé</t>
        </is>
      </c>
      <c r="AN997" s="377" t="inlineStr">
        <is>
          <t>If specified, the value must be known to the associated Common Language</t>
        </is>
      </c>
      <c r="AO997" s="257" t="n">
        <v>7</v>
      </c>
      <c r="AP997" s="212" t="inlineStr">
        <is>
          <t>TIG0001</t>
        </is>
      </c>
      <c r="AQ997" s="318" t="n"/>
      <c r="AR997" s="317" t="n"/>
      <c r="AS997" s="257" t="n"/>
      <c r="AT997" s="258" t="n"/>
      <c r="AU997" s="804" t="inlineStr">
        <is>
          <t>La valeur renseignée doit être cohérente avec le type de risque [P2 2.0] (LC.0066 - Z8COCCTR)</t>
        </is>
      </c>
      <c r="AV997" s="317" t="inlineStr">
        <is>
          <t>The value filled must be consistent with the risk type [P2 2.0] (LC.0066 - Z8COCCTR)</t>
        </is>
      </c>
      <c r="AW997" s="257" t="n">
        <v>6</v>
      </c>
      <c r="AX997" s="530" t="inlineStr">
        <is>
          <t>TCS0745</t>
        </is>
      </c>
      <c r="AY997" s="318" t="n"/>
      <c r="AZ997" s="317" t="n"/>
      <c r="BA997" s="257" t="n"/>
      <c r="BB997" s="258" t="n"/>
      <c r="BC997" s="316" t="n"/>
      <c r="BD997" s="317" t="n"/>
      <c r="BE997" s="257" t="n"/>
      <c r="BF997" s="258" t="n"/>
      <c r="BG997" s="89" t="n"/>
      <c r="BH9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97">
        <f>_xlfn.LET(r,ROW(),oc,INDEX($A:$A,r),cv,TRIM(INDEX($Y:$Y,r)&amp;""),IF(oc&lt;&gt;"P1","",IF(cv="45","V45 - novo, nao alimentado pelo spool atual","V44 - alimentado pelo spool atual")))</f>
        <v/>
      </c>
    </row>
    <row r="998" ht="54" customFormat="1" customHeight="1" s="90">
      <c r="A998" s="306" t="inlineStr">
        <is>
          <t>P2</t>
        </is>
      </c>
      <c r="B998" s="307" t="n">
        <v>101</v>
      </c>
      <c r="C998" s="269" t="inlineStr">
        <is>
          <t xml:space="preserve">08 - Caractéristiques d'arriérés et de restructuration </t>
        </is>
      </c>
      <c r="D998" s="310" t="inlineStr">
        <is>
          <t>08 - Characteristics of overdues and restructuring</t>
        </is>
      </c>
      <c r="E998" s="307" t="inlineStr">
        <is>
          <t>P2 21.3</t>
        </is>
      </c>
      <c r="F998" s="308" t="inlineStr">
        <is>
          <t>Evénement de crédit</t>
        </is>
      </c>
      <c r="G998" s="309" t="inlineStr">
        <is>
          <t>Credit event</t>
        </is>
      </c>
      <c r="H998" s="309" t="n"/>
      <c r="I998" s="241" t="inlineStr">
        <is>
          <t>Evénement de crédit lié à la forbearance</t>
        </is>
      </c>
      <c r="J998" s="309" t="inlineStr">
        <is>
          <t>Credit event linked to forbearance</t>
        </is>
      </c>
      <c r="K998" s="370" t="inlineStr">
        <is>
          <t>ND</t>
        </is>
      </c>
      <c r="L998" s="371" t="inlineStr">
        <is>
          <t>ND</t>
        </is>
      </c>
      <c r="M998" s="1420" t="inlineStr">
        <is>
          <t>cdEvCred</t>
        </is>
      </c>
      <c r="N998" s="231" t="inlineStr">
        <is>
          <t>Obligatoire sous conditions</t>
        </is>
      </c>
      <c r="O998" s="310" t="inlineStr">
        <is>
          <t>Mandatory under conditions</t>
        </is>
      </c>
      <c r="P998" s="269" t="inlineStr">
        <is>
          <t>LC.0233</t>
        </is>
      </c>
      <c r="Q998" s="269" t="inlineStr">
        <is>
          <t>TA KVEVECRE</t>
        </is>
      </c>
      <c r="R998" s="241" t="inlineStr">
        <is>
          <t>Cette donnée est obligatoire qu'il y ait ou non FORBEARANCE
Evénements possibles (modification du contrat existant (Restructuration), Octroi d'un nouveau crédit)</t>
        </is>
      </c>
      <c r="S998" s="233" t="inlineStr">
        <is>
          <t>This data is mandatory whether or not there is FORBEARANCE
Possible events (modification of existing contract (Restructuring), Grant of new credit)</t>
        </is>
      </c>
      <c r="T998" s="313" t="inlineStr">
        <is>
          <t>ALPHA</t>
        </is>
      </c>
      <c r="U998" s="669" t="inlineStr">
        <is>
          <t>NA</t>
        </is>
      </c>
      <c r="V998" s="670" t="inlineStr">
        <is>
          <t>NA</t>
        </is>
      </c>
      <c r="W998" s="671" t="n">
        <v>1</v>
      </c>
      <c r="X998" s="945" t="inlineStr">
        <is>
          <t>NA</t>
        </is>
      </c>
      <c r="Y998" s="237" t="n">
        <v>41</v>
      </c>
      <c r="Z998" s="237" t="inlineStr">
        <is>
          <t>NA</t>
        </is>
      </c>
      <c r="AA998" s="237" t="inlineStr">
        <is>
          <t>NA</t>
        </is>
      </c>
      <c r="AB998" s="269" t="inlineStr">
        <is>
          <t>ANACREDIT, ASTRE, NPE, OMP</t>
        </is>
      </c>
      <c r="AC998" s="231" t="inlineStr">
        <is>
          <t>ND</t>
        </is>
      </c>
      <c r="AD998" s="257" t="inlineStr">
        <is>
          <t>N</t>
        </is>
      </c>
      <c r="AE998" s="257" t="inlineStr">
        <is>
          <t>NA</t>
        </is>
      </c>
      <c r="AF998" s="257" t="inlineStr">
        <is>
          <t>NA</t>
        </is>
      </c>
      <c r="AG998" s="258" t="inlineStr">
        <is>
          <t>NA</t>
        </is>
      </c>
      <c r="AH998" s="89" t="n"/>
      <c r="AI998" s="435" t="inlineStr">
        <is>
          <t>La donnée est obligatoire si type de risque [P2 2.0] = 'TRE2*, TRE3*, TRE4*, TRE5* (hors TRE203, TRE205, TRE206, TRE207, TRE405, TRE406)'</t>
        </is>
      </c>
      <c r="AJ998" s="317" t="inlineStr">
        <is>
          <t>The data is mandatory if risk type [P2 2.0] = 'TRE2*, TRE3*, TRE4*, TRE5* (except TRE203, TRE205, TRE206, TRE207, TRE405, TRE406)'</t>
        </is>
      </c>
      <c r="AK998" s="257" t="n">
        <v>6</v>
      </c>
      <c r="AL998" s="366" t="inlineStr">
        <is>
          <t>TPS1718</t>
        </is>
      </c>
      <c r="AM998" s="318" t="inlineStr">
        <is>
          <t>Si elle est renseignée, la valeur doit être connue du Langage Commun associé</t>
        </is>
      </c>
      <c r="AN998" s="317" t="inlineStr">
        <is>
          <t>If specified, the value must be known to the associated Common Language</t>
        </is>
      </c>
      <c r="AO998" s="257" t="n">
        <v>7</v>
      </c>
      <c r="AP998" s="212" t="inlineStr">
        <is>
          <t>TIG0001</t>
        </is>
      </c>
      <c r="AQ998" s="318" t="n"/>
      <c r="AR998" s="317" t="n"/>
      <c r="AS998" s="257" t="n"/>
      <c r="AT998" s="258" t="n"/>
      <c r="AU998" s="318" t="n"/>
      <c r="AV998" s="317" t="n"/>
      <c r="AW998" s="257" t="n"/>
      <c r="AX998" s="258" t="n"/>
      <c r="AY998" s="318" t="n"/>
      <c r="AZ998" s="317" t="n"/>
      <c r="BA998" s="257" t="n"/>
      <c r="BB998" s="258" t="n"/>
      <c r="BC998" s="316" t="n"/>
      <c r="BD998" s="317" t="n"/>
      <c r="BE998" s="257" t="n"/>
      <c r="BF998" s="258" t="n"/>
      <c r="BG998" s="89" t="n"/>
      <c r="BH9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98">
        <f>_xlfn.LET(r,ROW(),oc,INDEX($A:$A,r),cv,TRIM(INDEX($Y:$Y,r)&amp;""),IF(oc&lt;&gt;"P1","",IF(cv="45","V45 - novo, nao alimentado pelo spool atual","V44 - alimentado pelo spool atual")))</f>
        <v/>
      </c>
    </row>
    <row r="999" ht="54" customFormat="1" customHeight="1" s="90">
      <c r="A999" s="306" t="inlineStr">
        <is>
          <t>P2</t>
        </is>
      </c>
      <c r="B999" s="307" t="n">
        <v>102</v>
      </c>
      <c r="C999" s="269" t="inlineStr">
        <is>
          <t xml:space="preserve">08 - Caractéristiques d'arriérés et de restructuration </t>
        </is>
      </c>
      <c r="D999" s="310" t="inlineStr">
        <is>
          <t>08 - Characteristics of overdues and restructuring</t>
        </is>
      </c>
      <c r="E999" s="307" t="inlineStr">
        <is>
          <t>P2 21.4</t>
        </is>
      </c>
      <c r="F999" s="308" t="inlineStr">
        <is>
          <t>Nature contextuelle évènement de crédit</t>
        </is>
      </c>
      <c r="G999" s="309" t="inlineStr">
        <is>
          <t>Contextual nature of the credit event</t>
        </is>
      </c>
      <c r="H999" s="309" t="n"/>
      <c r="I999" s="241" t="inlineStr">
        <is>
          <t>Nature contextuelle au moment de l'événement de crédit au sens de la forbearance</t>
        </is>
      </c>
      <c r="J999" s="309" t="inlineStr">
        <is>
          <t>Contextual nature at the time of the credit event with regard to Forbearance</t>
        </is>
      </c>
      <c r="K999" s="370" t="inlineStr">
        <is>
          <t>ND</t>
        </is>
      </c>
      <c r="L999" s="371" t="inlineStr">
        <is>
          <t>ND</t>
        </is>
      </c>
      <c r="M999" s="1420" t="inlineStr">
        <is>
          <t>cdNatCont</t>
        </is>
      </c>
      <c r="N999" s="231" t="inlineStr">
        <is>
          <t>Obligatoire sous conditions</t>
        </is>
      </c>
      <c r="O999" s="310" t="inlineStr">
        <is>
          <t>Mandatory under conditions</t>
        </is>
      </c>
      <c r="P999" s="269" t="inlineStr">
        <is>
          <t>LC.0234</t>
        </is>
      </c>
      <c r="Q999" s="269" t="inlineStr">
        <is>
          <t>TA KVNFORCR</t>
        </is>
      </c>
      <c r="R999" s="241" t="inlineStr">
        <is>
          <t>Cette donnée est obligatoire qu'il y ait ou non FORBEARANCE</t>
        </is>
      </c>
      <c r="S999" s="233" t="inlineStr">
        <is>
          <t>This data is mandatory whether or not there is FORBEARANCE</t>
        </is>
      </c>
      <c r="T999" s="313" t="inlineStr">
        <is>
          <t>ALPHA</t>
        </is>
      </c>
      <c r="U999" s="237" t="inlineStr">
        <is>
          <t>NA</t>
        </is>
      </c>
      <c r="V999" s="238" t="inlineStr">
        <is>
          <t>NA</t>
        </is>
      </c>
      <c r="W999" s="257" t="n">
        <v>1</v>
      </c>
      <c r="X999" s="945" t="inlineStr">
        <is>
          <t>NA</t>
        </is>
      </c>
      <c r="Y999" s="237" t="n">
        <v>41</v>
      </c>
      <c r="Z999" s="237" t="inlineStr">
        <is>
          <t>NA</t>
        </is>
      </c>
      <c r="AA999" s="237" t="inlineStr">
        <is>
          <t>NA</t>
        </is>
      </c>
      <c r="AB999" s="269" t="inlineStr">
        <is>
          <t>ANACREDIT, ASTRE, NPE, OMP</t>
        </is>
      </c>
      <c r="AC999" s="231" t="inlineStr">
        <is>
          <t>ND</t>
        </is>
      </c>
      <c r="AD999" s="257" t="inlineStr">
        <is>
          <t>N</t>
        </is>
      </c>
      <c r="AE999" s="257" t="inlineStr">
        <is>
          <t>NA</t>
        </is>
      </c>
      <c r="AF999" s="257" t="inlineStr">
        <is>
          <t>NA</t>
        </is>
      </c>
      <c r="AG999" s="258" t="inlineStr">
        <is>
          <t>NA</t>
        </is>
      </c>
      <c r="AH999" s="89" t="n"/>
      <c r="AI999" s="435" t="inlineStr">
        <is>
          <t>La donnée est obligatoire si type de risque [P2 2.0] = 'TRE2*, TRE3*, TRE4*, TRE5* (hors TRE203, TRE205, TRE206, TRE207, TRE405, TRE406)'</t>
        </is>
      </c>
      <c r="AJ999" s="317" t="inlineStr">
        <is>
          <t>The data is mandatory if risk type [P2 2.0] = 'TRE2*, TRE3*, TRE4*, TRE5* (except TRE203, TRE205, TRE206, TRE207, TRE405, TRE406)'</t>
        </is>
      </c>
      <c r="AK999" s="257" t="n">
        <v>6</v>
      </c>
      <c r="AL999" s="366" t="inlineStr">
        <is>
          <t>TPS1718</t>
        </is>
      </c>
      <c r="AM999" s="318" t="inlineStr">
        <is>
          <t>Si elle est renseignée, la valeur doit être connue du Langage Commun associé</t>
        </is>
      </c>
      <c r="AN999" s="317" t="inlineStr">
        <is>
          <t>If specified, the value must be known to the associated Common Language</t>
        </is>
      </c>
      <c r="AO999" s="257" t="n">
        <v>7</v>
      </c>
      <c r="AP999" s="212" t="inlineStr">
        <is>
          <t>TIG0001</t>
        </is>
      </c>
      <c r="AQ999" s="318" t="n"/>
      <c r="AR999" s="317" t="n"/>
      <c r="AS999" s="257" t="n"/>
      <c r="AT999" s="258" t="n"/>
      <c r="AU999" s="318" t="n"/>
      <c r="AV999" s="317" t="n"/>
      <c r="AW999" s="257" t="n"/>
      <c r="AX999" s="258" t="n"/>
      <c r="AY999" s="318" t="n"/>
      <c r="AZ999" s="317" t="n"/>
      <c r="BA999" s="257" t="n"/>
      <c r="BB999" s="258" t="n"/>
      <c r="BC999" s="316" t="n"/>
      <c r="BD999" s="317" t="n"/>
      <c r="BE999" s="257" t="n"/>
      <c r="BF999" s="258" t="n"/>
      <c r="BG999" s="89" t="n"/>
      <c r="BH9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999">
        <f>_xlfn.LET(r,ROW(),oc,INDEX($A:$A,r),cv,TRIM(INDEX($Y:$Y,r)&amp;""),IF(oc&lt;&gt;"P1","",IF(cv="45","V45 - novo, nao alimentado pelo spool atual","V44 - alimentado pelo spool atual")))</f>
        <v/>
      </c>
    </row>
    <row r="1000" ht="54" customFormat="1" customHeight="1" s="90">
      <c r="A1000" s="306" t="inlineStr">
        <is>
          <t>P2</t>
        </is>
      </c>
      <c r="B1000" s="307" t="n">
        <v>103</v>
      </c>
      <c r="C1000" s="269" t="inlineStr">
        <is>
          <t xml:space="preserve">08 - Caractéristiques d'arriérés et de restructuration </t>
        </is>
      </c>
      <c r="D1000" s="310" t="inlineStr">
        <is>
          <t>08 - Characteristics of overdues and restructuring</t>
        </is>
      </c>
      <c r="E1000" s="307" t="inlineStr">
        <is>
          <t>P2 21.5</t>
        </is>
      </c>
      <c r="F1000" s="308" t="inlineStr">
        <is>
          <t>Statut du crédit au sens de la Forbearance</t>
        </is>
      </c>
      <c r="G1000" s="309" t="inlineStr">
        <is>
          <t>Credit status for Forbearance</t>
        </is>
      </c>
      <c r="H1000" s="309" t="n"/>
      <c r="I1000" s="1224" t="inlineStr">
        <is>
          <t>Les contrats faisant l’objet d’une mesure de Forbearance sont des financements auxquels ont été appliqués des mesures de restructuration pour risque (client sain) ou en urgence (client en défaut)</t>
        </is>
      </c>
      <c r="J1000" s="968" t="inlineStr">
        <is>
          <t>The contracts subject to a Forbearance measure are financing to which restructuring measures have been applied for risk (healthy customer) or emergency (defaulting customer)</t>
        </is>
      </c>
      <c r="K1000" s="370" t="inlineStr">
        <is>
          <t>ND</t>
        </is>
      </c>
      <c r="L1000" s="371" t="inlineStr">
        <is>
          <t>ND</t>
        </is>
      </c>
      <c r="M1000" s="1420" t="inlineStr">
        <is>
          <t>cdStatCre</t>
        </is>
      </c>
      <c r="N1000" s="231" t="inlineStr">
        <is>
          <t>Obligatoire sous conditions</t>
        </is>
      </c>
      <c r="O1000" s="310" t="inlineStr">
        <is>
          <t>Mandatory under conditions</t>
        </is>
      </c>
      <c r="P1000" s="269" t="inlineStr">
        <is>
          <t>LC.0235</t>
        </is>
      </c>
      <c r="Q1000" s="269" t="inlineStr">
        <is>
          <t>TA KVSTFORB</t>
        </is>
      </c>
      <c r="R1000" s="241" t="inlineStr">
        <is>
          <t>Cette donnée est obligatoire qu'il y ait ou non FORBEARANCE</t>
        </is>
      </c>
      <c r="S1000" s="233" t="inlineStr">
        <is>
          <t>This data is mandatory whether or not there is FORBEARANCE</t>
        </is>
      </c>
      <c r="T1000" s="313" t="inlineStr">
        <is>
          <t>ALPHA</t>
        </is>
      </c>
      <c r="U1000" s="237" t="inlineStr">
        <is>
          <t>NA</t>
        </is>
      </c>
      <c r="V1000" s="238" t="inlineStr">
        <is>
          <t>NA</t>
        </is>
      </c>
      <c r="W1000" s="257" t="n">
        <v>1</v>
      </c>
      <c r="X1000" s="945" t="inlineStr">
        <is>
          <t>NA</t>
        </is>
      </c>
      <c r="Y1000" s="237" t="n">
        <v>41</v>
      </c>
      <c r="Z1000" s="237" t="inlineStr">
        <is>
          <t>NA</t>
        </is>
      </c>
      <c r="AA1000" s="270" t="inlineStr">
        <is>
          <t>45.00</t>
        </is>
      </c>
      <c r="AB1000" s="269" t="inlineStr">
        <is>
          <t>ANACREDIT, ASTRE, NPE, OMP</t>
        </is>
      </c>
      <c r="AC1000" s="231" t="inlineStr">
        <is>
          <t>ND</t>
        </is>
      </c>
      <c r="AD1000" s="257" t="inlineStr">
        <is>
          <t>N</t>
        </is>
      </c>
      <c r="AE1000" s="257" t="inlineStr">
        <is>
          <t>NA</t>
        </is>
      </c>
      <c r="AF1000" s="257" t="inlineStr">
        <is>
          <t>NA</t>
        </is>
      </c>
      <c r="AG1000" s="258" t="inlineStr">
        <is>
          <t>NA</t>
        </is>
      </c>
      <c r="AH1000" s="89" t="n"/>
      <c r="AI1000" s="435" t="inlineStr">
        <is>
          <t>La donnée est obligatoire si type de risque [P2 2.0] = 'TRE2*, TRE3*, TRE4*, TRE5* (hors TRE203, TRE205, TRE206, TRE207, TRE405, TRE406)'</t>
        </is>
      </c>
      <c r="AJ1000" s="317" t="inlineStr">
        <is>
          <t>The data is mandatory if risk type [P2 2.0] = 'TRE2*, TRE3*, TRE4*, TRE5* (except TRE203, TRE205, TRE206, TRE207, TRE405, TRE406)'</t>
        </is>
      </c>
      <c r="AK1000" s="257" t="n">
        <v>6</v>
      </c>
      <c r="AL1000" s="366" t="inlineStr">
        <is>
          <t>TPS1718</t>
        </is>
      </c>
      <c r="AM1000" s="318" t="inlineStr">
        <is>
          <t>Si elle est renseignée, la valeur doit être connue du Langage Commun associé</t>
        </is>
      </c>
      <c r="AN1000" s="317" t="inlineStr">
        <is>
          <t>If specified, the value must be known to the associated Common Language</t>
        </is>
      </c>
      <c r="AO1000" s="257" t="n">
        <v>7</v>
      </c>
      <c r="AP1000" s="212" t="inlineStr">
        <is>
          <t>TIG0001</t>
        </is>
      </c>
      <c r="AQ1000" s="805" t="inlineStr">
        <is>
          <t>Si la donnée 'Montant des passages en pertes cumulées' [P2 21.20] est renseignée ET strictement supérieure à zéro, alors la donnée 'Statut du crédit' [P2 21.5] = '1 ou '2'</t>
        </is>
      </c>
      <c r="AR1000" s="317" t="inlineStr">
        <is>
          <t>If the data Amount of cumulative write-offs [P2 21.20] is filled AND strictly greater than zero, then the data 'Credit status' [P2 21.5] = '1 or '2'</t>
        </is>
      </c>
      <c r="AS1000" s="257" t="n">
        <v>6</v>
      </c>
      <c r="AT1000" s="806" t="inlineStr">
        <is>
          <t>TVS0742</t>
        </is>
      </c>
      <c r="AU1000" s="318" t="n"/>
      <c r="AV1000" s="317" t="n"/>
      <c r="AW1000" s="257" t="n"/>
      <c r="AX1000" s="258" t="n"/>
      <c r="AY1000" s="318" t="n"/>
      <c r="AZ1000" s="317" t="n"/>
      <c r="BA1000" s="257" t="n"/>
      <c r="BB1000" s="258" t="n"/>
      <c r="BC1000" s="278" t="inlineStr">
        <is>
          <t>Pour la Grande Clientèle (P1/P2), si la combinaison de donnée n'est pas trouvée dans la matrice des règles de gestion C27, le contrôle doit se lever</t>
        </is>
      </c>
      <c r="BD1000" s="160" t="inlineStr">
        <is>
          <t>For P1/P2, if the data combinaison is not found in the C27 business rules matrix, the control must trigger</t>
        </is>
      </c>
      <c r="BE1000" s="257" t="n">
        <v>6</v>
      </c>
      <c r="BF1000" s="393" t="inlineStr">
        <is>
          <t>TC0C27</t>
        </is>
      </c>
      <c r="BG1000" s="89" t="n"/>
      <c r="BH10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00">
        <f>_xlfn.LET(r,ROW(),oc,INDEX($A:$A,r),cv,TRIM(INDEX($Y:$Y,r)&amp;""),IF(oc&lt;&gt;"P1","",IF(cv="45","V45 - novo, nao alimentado pelo spool atual","V44 - alimentado pelo spool atual")))</f>
        <v/>
      </c>
    </row>
    <row r="1001" ht="54" customFormat="1" customHeight="1" s="90">
      <c r="A1001" s="306" t="inlineStr">
        <is>
          <t>P2</t>
        </is>
      </c>
      <c r="B1001" s="307" t="n">
        <v>104</v>
      </c>
      <c r="C1001" s="269" t="inlineStr">
        <is>
          <t xml:space="preserve">08 - Caractéristiques d'arriérés et de restructuration </t>
        </is>
      </c>
      <c r="D1001" s="310" t="inlineStr">
        <is>
          <t>08 - Characteristics of overdues and restructuring</t>
        </is>
      </c>
      <c r="E1001" s="307" t="inlineStr">
        <is>
          <t>P2 21.6</t>
        </is>
      </c>
      <c r="F1001" s="567" t="inlineStr">
        <is>
          <t>Indicateur créance performante</t>
        </is>
      </c>
      <c r="G1001" s="309" t="inlineStr">
        <is>
          <t>Performing debt indicator</t>
        </is>
      </c>
      <c r="H1001" s="309" t="n"/>
      <c r="I1001" s="1267" t="inlineStr">
        <is>
          <t>Indique si la créance est classée en Non Performante ou en Performante</t>
        </is>
      </c>
      <c r="J1001" s="309" t="inlineStr">
        <is>
          <t>Indicates whether the debt is classified as Non Performing or Performing</t>
        </is>
      </c>
      <c r="K1001" s="370" t="inlineStr">
        <is>
          <t>ND</t>
        </is>
      </c>
      <c r="L1001" s="371" t="inlineStr">
        <is>
          <t>ND</t>
        </is>
      </c>
      <c r="M1001" s="1420" t="inlineStr">
        <is>
          <t>cdICreNPE</t>
        </is>
      </c>
      <c r="N1001" s="231" t="inlineStr">
        <is>
          <t>Obligatoire sous conditions</t>
        </is>
      </c>
      <c r="O1001" s="310" t="inlineStr">
        <is>
          <t>Mandatory under conditions</t>
        </is>
      </c>
      <c r="P1001" s="269" t="inlineStr">
        <is>
          <t>LC.0215</t>
        </is>
      </c>
      <c r="Q1001" s="269" t="inlineStr">
        <is>
          <t>TA KVCRENPE</t>
        </is>
      </c>
      <c r="R1001" s="241" t="inlineStr">
        <is>
          <t>Cette donnée est obligatoire qu'il y ait ou non FORBEARANCE</t>
        </is>
      </c>
      <c r="S1001" s="233" t="inlineStr">
        <is>
          <t>This data is mandatory whether or not there is FORBEARANCE</t>
        </is>
      </c>
      <c r="T1001" s="313" t="inlineStr">
        <is>
          <t>ALPHA</t>
        </is>
      </c>
      <c r="U1001" s="237" t="inlineStr">
        <is>
          <t>NA</t>
        </is>
      </c>
      <c r="V1001" s="238" t="inlineStr">
        <is>
          <t>NA</t>
        </is>
      </c>
      <c r="W1001" s="257" t="n">
        <v>2</v>
      </c>
      <c r="X1001" s="945" t="inlineStr">
        <is>
          <t>NA</t>
        </is>
      </c>
      <c r="Y1001" s="237" t="n">
        <v>41</v>
      </c>
      <c r="Z1001" s="237" t="inlineStr">
        <is>
          <t>NA</t>
        </is>
      </c>
      <c r="AA1001" s="237" t="inlineStr">
        <is>
          <t>NA</t>
        </is>
      </c>
      <c r="AB1001" s="269" t="inlineStr">
        <is>
          <t>ANACREDIT, ASTRE, ESG PILIER 3, NPE, OMP, SHS</t>
        </is>
      </c>
      <c r="AC1001" s="231" t="inlineStr">
        <is>
          <t>ND</t>
        </is>
      </c>
      <c r="AD1001" s="257" t="inlineStr">
        <is>
          <t>N</t>
        </is>
      </c>
      <c r="AE1001" s="257" t="inlineStr">
        <is>
          <t>NA</t>
        </is>
      </c>
      <c r="AF1001" s="257" t="inlineStr">
        <is>
          <t>NA</t>
        </is>
      </c>
      <c r="AG1001" s="258" t="inlineStr">
        <is>
          <t>NA</t>
        </is>
      </c>
      <c r="AH1001" s="89" t="n"/>
      <c r="AI1001" s="807" t="inlineStr">
        <is>
          <t>La donnée est obligatoire si le type de risque [P2 2.0] est égal à 'EQU101', 'EQU201', 'ISS100', 'ISS200', 'ISS300', 'TRE*', 'SIG*', 'VAR*', 'INT*'</t>
        </is>
      </c>
      <c r="AJ1001" s="317" t="inlineStr">
        <is>
          <t>The data is mandatory if Risk type [P2 2.0] is equal to 'EQU101', 'EQU201', 'ISS100', 'ISS200', 'ISS300', 'TRE*', 'SIG*', 'VAR*', 'INT*'</t>
        </is>
      </c>
      <c r="AK1001" s="257" t="n">
        <v>6</v>
      </c>
      <c r="AL1001" s="345" t="inlineStr">
        <is>
          <t>TPS1719</t>
        </is>
      </c>
      <c r="AM1001" s="452" t="inlineStr">
        <is>
          <t>Si elle est renseignée, la valeur doit être connue du Langage Commun associé</t>
        </is>
      </c>
      <c r="AN1001" s="377" t="inlineStr">
        <is>
          <t>If specified, the value must be known to the associated Common Language</t>
        </is>
      </c>
      <c r="AO1001" s="257" t="n">
        <v>7</v>
      </c>
      <c r="AP1001" s="212" t="inlineStr">
        <is>
          <t>TIG0001</t>
        </is>
      </c>
      <c r="AQ1001" s="322" t="inlineStr">
        <is>
          <t>Si renseigné, ET si le type de risque [P2 2.0] = 'TRE2xx', 'TRE3xx', 'TRE4xx', 'TRE5xx' hors ('TRE203', 'TRE205', 'TRE206', 'TRE207') ET Indicateur Engagement Douteux [P2 5.2] = 'Y', alors Indicateur créance performante [P2 21.6] = 'NP'</t>
        </is>
      </c>
      <c r="AR1001" s="317" t="inlineStr">
        <is>
          <t>If filled AND if risk type [P2 2.0] = 'TRE2xx', 'TRE3xx', 'TRE4xx', 'TRE5xx' except ('TRE203', 'TRE205', 'TRE206', 'TRE207') AND Doubtful Commitment Indicator [P2 5.2] = 'Y', then Performing debt indicator [P2 21.6] = 'NP'</t>
        </is>
      </c>
      <c r="AS1001" s="257" t="n">
        <v>6</v>
      </c>
      <c r="AT1001" s="345" t="inlineStr">
        <is>
          <t>TVS0743</t>
        </is>
      </c>
      <c r="AU1001" s="318" t="n"/>
      <c r="AV1001" s="317" t="n"/>
      <c r="AW1001" s="257" t="n"/>
      <c r="AX1001" s="258" t="n"/>
      <c r="AY1001" s="318" t="n"/>
      <c r="AZ1001" s="317" t="n"/>
      <c r="BA1001" s="257" t="n"/>
      <c r="BB1001" s="258" t="n"/>
      <c r="BC1001" s="316" t="n"/>
      <c r="BD1001" s="317" t="n"/>
      <c r="BE1001" s="257" t="n"/>
      <c r="BF1001" s="258" t="n"/>
      <c r="BG1001" s="89" t="n"/>
      <c r="BH10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01">
        <f>_xlfn.LET(r,ROW(),oc,INDEX($A:$A,r),cv,TRIM(INDEX($Y:$Y,r)&amp;""),IF(oc&lt;&gt;"P1","",IF(cv="45","V45 - novo, nao alimentado pelo spool atual","V44 - alimentado pelo spool atual")))</f>
        <v/>
      </c>
    </row>
    <row r="1002" ht="54" customFormat="1" customHeight="1" s="90">
      <c r="A1002" s="306" t="inlineStr">
        <is>
          <t>P2</t>
        </is>
      </c>
      <c r="B1002" s="307" t="n">
        <v>105</v>
      </c>
      <c r="C1002" s="269" t="inlineStr">
        <is>
          <t xml:space="preserve">08 - Caractéristiques d'arriérés et de restructuration </t>
        </is>
      </c>
      <c r="D1002" s="310" t="inlineStr">
        <is>
          <t>08 - Characteristics of overdues and restructuring</t>
        </is>
      </c>
      <c r="E1002" s="307" t="inlineStr">
        <is>
          <t>P2 21.7</t>
        </is>
      </c>
      <c r="F1002" s="308" t="inlineStr">
        <is>
          <t>Date de première action de forbearance</t>
        </is>
      </c>
      <c r="G1002" s="309" t="inlineStr">
        <is>
          <t>Date at which first act of forbearance occurs</t>
        </is>
      </c>
      <c r="H1002" s="309" t="n"/>
      <c r="I1002" s="241" t="inlineStr">
        <is>
          <t>Date de premier évènement de gestion de type forbearance</t>
        </is>
      </c>
      <c r="J1002" s="309" t="inlineStr">
        <is>
          <t>Date of first forbearance management event</t>
        </is>
      </c>
      <c r="K1002" s="370" t="inlineStr">
        <is>
          <t>ND</t>
        </is>
      </c>
      <c r="L1002" s="371" t="inlineStr">
        <is>
          <t>ND</t>
        </is>
      </c>
      <c r="M1002" s="1420" t="inlineStr">
        <is>
          <t>dtPreForb</t>
        </is>
      </c>
      <c r="N1002" s="231" t="inlineStr">
        <is>
          <t>Obligatoire sous conditions</t>
        </is>
      </c>
      <c r="O1002" s="310" t="inlineStr">
        <is>
          <t>Mandatory under conditions</t>
        </is>
      </c>
      <c r="P1002" s="269" t="inlineStr">
        <is>
          <t>NA</t>
        </is>
      </c>
      <c r="Q1002" s="269" t="inlineStr">
        <is>
          <t>NA</t>
        </is>
      </c>
      <c r="R1002" s="241" t="inlineStr">
        <is>
          <t>Doit être conservée sur toute la durée de vie de la créance lorsqu'elle a été au moins une fois forborne. Besoin IFRS9</t>
        </is>
      </c>
      <c r="S1002" s="233" t="inlineStr">
        <is>
          <t>Must be retained throughout the life term of debt when it was at least one forborne. IFRS 9 needs</t>
        </is>
      </c>
      <c r="T1002" s="206" t="inlineStr">
        <is>
          <t>DATE</t>
        </is>
      </c>
      <c r="U1002" s="237" t="inlineStr">
        <is>
          <t>AAAAMMJJ</t>
        </is>
      </c>
      <c r="V1002" s="238" t="inlineStr">
        <is>
          <t>YYYYMMDD</t>
        </is>
      </c>
      <c r="W1002" s="257" t="n">
        <v>8</v>
      </c>
      <c r="X1002" s="945" t="inlineStr">
        <is>
          <t>NA</t>
        </is>
      </c>
      <c r="Y1002" s="237" t="n">
        <v>41</v>
      </c>
      <c r="Z1002" s="237" t="inlineStr">
        <is>
          <t>NA</t>
        </is>
      </c>
      <c r="AA1002" s="237" t="inlineStr">
        <is>
          <t>NA</t>
        </is>
      </c>
      <c r="AB1002" s="269" t="inlineStr">
        <is>
          <t>ANACREDIT, ASTRE, NPE</t>
        </is>
      </c>
      <c r="AC1002" s="231" t="inlineStr">
        <is>
          <t>ND</t>
        </is>
      </c>
      <c r="AD1002" s="257" t="inlineStr">
        <is>
          <t>N</t>
        </is>
      </c>
      <c r="AE1002" s="257" t="inlineStr">
        <is>
          <t>NA</t>
        </is>
      </c>
      <c r="AF1002" s="257" t="inlineStr">
        <is>
          <t>NA</t>
        </is>
      </c>
      <c r="AG1002" s="258" t="inlineStr">
        <is>
          <t>NA</t>
        </is>
      </c>
      <c r="AH1002" s="89" t="n"/>
      <c r="AI1002" s="435" t="inlineStr">
        <is>
          <t>La donnée est obligatoire, si type de risque [P2 2.0] = 'TRE2*, TRE3*, TRE4*, TRE5* (hors TRE203, TRE205, TRE206, TRE207, TRE405, TRE406)' ET si le statut du crédit [P2 21.5] = '1', '2', '3'</t>
        </is>
      </c>
      <c r="AJ1002" s="317" t="inlineStr">
        <is>
          <t>The data is mandatory, if Risk type [P2 2.0] = 'TRE2*, TRE3*, TRE4*, TRE5* (except TRE203, TRE205, TRE206, TRE207, TRE405, TRE406)' AND if the credit status [P2 21.5] = '1', '2', '3'</t>
        </is>
      </c>
      <c r="AK1002" s="257" t="n">
        <v>6</v>
      </c>
      <c r="AL1002" s="345" t="inlineStr">
        <is>
          <t>TPS1720</t>
        </is>
      </c>
      <c r="AM1002" s="318" t="n"/>
      <c r="AN1002" s="317" t="n"/>
      <c r="AO1002" s="257" t="n"/>
      <c r="AP1002" s="258" t="n"/>
      <c r="AQ1002" s="356" t="inlineStr">
        <is>
          <t>Si renseignée, la donnée doit être supérieure ou égale à '19000101'</t>
        </is>
      </c>
      <c r="AR1002" s="317" t="inlineStr">
        <is>
          <t>If filled, data must be greater or equal to '19000101'</t>
        </is>
      </c>
      <c r="AS1002" s="574" t="n">
        <v>7</v>
      </c>
      <c r="AT1002" s="258" t="inlineStr">
        <is>
          <t>TVG0005</t>
        </is>
      </c>
      <c r="AU1002" s="318" t="n"/>
      <c r="AV1002" s="317" t="n"/>
      <c r="AW1002" s="257" t="n"/>
      <c r="AX1002" s="258" t="n"/>
      <c r="AY1002" s="318" t="n"/>
      <c r="AZ1002" s="317" t="n"/>
      <c r="BA1002" s="257" t="n"/>
      <c r="BB1002" s="258" t="n"/>
      <c r="BC1002" s="316" t="n"/>
      <c r="BD1002" s="317" t="n"/>
      <c r="BE1002" s="257" t="n"/>
      <c r="BF1002" s="258" t="n"/>
      <c r="BG1002" s="89" t="n"/>
      <c r="BH10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02">
        <f>_xlfn.LET(r,ROW(),oc,INDEX($A:$A,r),cv,TRIM(INDEX($Y:$Y,r)&amp;""),IF(oc&lt;&gt;"P1","",IF(cv="45","V45 - novo, nao alimentado pelo spool atual","V44 - alimentado pelo spool atual")))</f>
        <v/>
      </c>
    </row>
    <row r="1003" ht="54" customFormat="1" customHeight="1" s="90">
      <c r="A1003" s="306" t="inlineStr">
        <is>
          <t>P2</t>
        </is>
      </c>
      <c r="B1003" s="307" t="n">
        <v>106</v>
      </c>
      <c r="C1003" s="269" t="inlineStr">
        <is>
          <t xml:space="preserve">08 - Caractéristiques d'arriérés et de restructuration </t>
        </is>
      </c>
      <c r="D1003" s="310" t="inlineStr">
        <is>
          <t>08 - Characteristics of overdues and restructuring</t>
        </is>
      </c>
      <c r="E1003" s="307" t="inlineStr">
        <is>
          <t>P2 21.8</t>
        </is>
      </c>
      <c r="F1003" s="308" t="inlineStr">
        <is>
          <t>Date de dernière restructuration commerciale</t>
        </is>
      </c>
      <c r="G1003" s="309" t="inlineStr">
        <is>
          <t>Date on which last commercial restructuring was undertaken</t>
        </is>
      </c>
      <c r="H1003" s="309" t="n"/>
      <c r="I1003" s="241" t="inlineStr">
        <is>
          <t>Date de dernière restructuration commerciale</t>
        </is>
      </c>
      <c r="J1003" s="309" t="inlineStr">
        <is>
          <t>Date on which last commercial restructuring was undertaken</t>
        </is>
      </c>
      <c r="K1003" s="370" t="inlineStr">
        <is>
          <t>ND</t>
        </is>
      </c>
      <c r="L1003" s="371" t="inlineStr">
        <is>
          <t>ND</t>
        </is>
      </c>
      <c r="M1003" s="1420" t="inlineStr">
        <is>
          <t>dtDerRestCom</t>
        </is>
      </c>
      <c r="N1003" s="231" t="inlineStr">
        <is>
          <t>Obligatoire sous conditions</t>
        </is>
      </c>
      <c r="O1003" s="310" t="inlineStr">
        <is>
          <t>Mandatory under conditions</t>
        </is>
      </c>
      <c r="P1003" s="269" t="inlineStr">
        <is>
          <t>NA</t>
        </is>
      </c>
      <c r="Q1003" s="269" t="inlineStr">
        <is>
          <t>NA</t>
        </is>
      </c>
      <c r="R1003" s="241" t="inlineStr">
        <is>
          <t>Si plusieurs restructurations commerciales, la dernière date doit être fournie. Besoin IFRS9</t>
        </is>
      </c>
      <c r="S1003" s="233" t="inlineStr">
        <is>
          <t>If several commercial restructuring, the last restructuring date to be provided. IFRS 9 needs</t>
        </is>
      </c>
      <c r="T1003" s="206" t="inlineStr">
        <is>
          <t>DATE</t>
        </is>
      </c>
      <c r="U1003" s="237" t="inlineStr">
        <is>
          <t>AAAAMMJJ</t>
        </is>
      </c>
      <c r="V1003" s="238" t="inlineStr">
        <is>
          <t>YYYYMMDD</t>
        </is>
      </c>
      <c r="W1003" s="257" t="n">
        <v>8</v>
      </c>
      <c r="X1003" s="945" t="inlineStr">
        <is>
          <t>NA</t>
        </is>
      </c>
      <c r="Y1003" s="237" t="n">
        <v>41</v>
      </c>
      <c r="Z1003" s="237" t="inlineStr">
        <is>
          <t>NA</t>
        </is>
      </c>
      <c r="AA1003" s="237" t="inlineStr">
        <is>
          <t>NA</t>
        </is>
      </c>
      <c r="AB1003" s="269" t="inlineStr">
        <is>
          <t>ANACREDIT, ASTRE, NPE, OMP</t>
        </is>
      </c>
      <c r="AC1003" s="231" t="inlineStr">
        <is>
          <t>ND</t>
        </is>
      </c>
      <c r="AD1003" s="257" t="inlineStr">
        <is>
          <t>N</t>
        </is>
      </c>
      <c r="AE1003" s="257" t="inlineStr">
        <is>
          <t>NA</t>
        </is>
      </c>
      <c r="AF1003" s="257" t="inlineStr">
        <is>
          <t>NA</t>
        </is>
      </c>
      <c r="AG1003" s="258" t="inlineStr">
        <is>
          <t>NA</t>
        </is>
      </c>
      <c r="AH1003" s="89" t="n"/>
      <c r="AI1003" s="446" t="inlineStr">
        <is>
          <t>La donnée est obligatoire, si type de risque [P2 2.0] = TRE2*,TRE3*,TRE4*,TRE5* (hors TRE203, TRE205, TRE206, TRE207, TRE405, TRE406) ET si le type de restructuration [P2 21.1] = ‘AR' ET si Nature Contextuelle au moment de l'évènement de crédit [P2 21.4] = ‘4'</t>
        </is>
      </c>
      <c r="AJ1003" s="317" t="inlineStr">
        <is>
          <t>The data is mandatory, if Risk type [P2 2.0] = TRE2*,TRE3*,TRE4*,TRE5* (except TRE203, TRE205, TRE206, TRE207, TRE405, TRE406) AND if the restructuring type [P2 21.1] = ‘AR' AND if the contextual nature of the credit event [P2 21.4] = ‘4'</t>
        </is>
      </c>
      <c r="AK1003" s="257" t="n">
        <v>6</v>
      </c>
      <c r="AL1003" s="345" t="inlineStr">
        <is>
          <t>TPS1721</t>
        </is>
      </c>
      <c r="AM1003" s="318" t="n"/>
      <c r="AN1003" s="317" t="n"/>
      <c r="AO1003" s="257" t="n"/>
      <c r="AP1003" s="258" t="n"/>
      <c r="AQ1003" s="318" t="n"/>
      <c r="AR1003" s="317" t="n"/>
      <c r="AS1003" s="257" t="n"/>
      <c r="AT1003" s="258" t="n"/>
      <c r="AU1003" s="318" t="n"/>
      <c r="AV1003" s="317" t="n"/>
      <c r="AW1003" s="257" t="n"/>
      <c r="AX1003" s="258" t="n"/>
      <c r="AY1003" s="318" t="n"/>
      <c r="AZ1003" s="317" t="n"/>
      <c r="BA1003" s="257" t="n"/>
      <c r="BB1003" s="258" t="n"/>
      <c r="BC1003" s="316" t="n"/>
      <c r="BD1003" s="317" t="n"/>
      <c r="BE1003" s="257" t="n"/>
      <c r="BF1003" s="258" t="n"/>
      <c r="BG1003" s="89" t="n"/>
      <c r="BH10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03">
        <f>_xlfn.LET(r,ROW(),oc,INDEX($A:$A,r),cv,TRIM(INDEX($Y:$Y,r)&amp;""),IF(oc&lt;&gt;"P1","",IF(cv="45","V45 - novo, nao alimentado pelo spool atual","V44 - alimentado pelo spool atual")))</f>
        <v/>
      </c>
    </row>
    <row r="1004" ht="54" customFormat="1" customHeight="1" s="90">
      <c r="A1004" s="306" t="inlineStr">
        <is>
          <t>P2</t>
        </is>
      </c>
      <c r="B1004" s="307" t="n">
        <v>107</v>
      </c>
      <c r="C1004" s="269" t="inlineStr">
        <is>
          <t xml:space="preserve">08 - Caractéristiques d'arriérés et de restructuration </t>
        </is>
      </c>
      <c r="D1004" s="310" t="inlineStr">
        <is>
          <t>08 - Characteristics of overdues and restructuring</t>
        </is>
      </c>
      <c r="E1004" s="307" t="inlineStr">
        <is>
          <t>P2 21.9</t>
        </is>
      </c>
      <c r="F1004" s="308" t="inlineStr">
        <is>
          <t>Date de la dernière restructuration pour risque</t>
        </is>
      </c>
      <c r="G1004" s="309" t="inlineStr">
        <is>
          <t>Date of last restructuring for risk</t>
        </is>
      </c>
      <c r="H1004" s="309" t="n"/>
      <c r="I1004" s="241" t="inlineStr">
        <is>
          <t>Date de dernière restructuration de la créance pour cause de risque (créance forborne)</t>
        </is>
      </c>
      <c r="J1004" s="309" t="inlineStr">
        <is>
          <t>Date of last restructuring of the claim due to risk (forborne claim)</t>
        </is>
      </c>
      <c r="K1004" s="370" t="inlineStr">
        <is>
          <t>ND</t>
        </is>
      </c>
      <c r="L1004" s="371" t="inlineStr">
        <is>
          <t>ND</t>
        </is>
      </c>
      <c r="M1004" s="1420" t="inlineStr">
        <is>
          <t>dtDerRestRisq</t>
        </is>
      </c>
      <c r="N1004" s="231" t="inlineStr">
        <is>
          <t>Obligatoire sous conditions</t>
        </is>
      </c>
      <c r="O1004" s="310" t="inlineStr">
        <is>
          <t>Mandatory under conditions</t>
        </is>
      </c>
      <c r="P1004" s="269" t="inlineStr">
        <is>
          <t>NA</t>
        </is>
      </c>
      <c r="Q1004" s="269" t="inlineStr">
        <is>
          <t>NA</t>
        </is>
      </c>
      <c r="R1004" s="241" t="inlineStr">
        <is>
          <t>Date de dernière restructuration de la créance pour cause de risque (créance forborne). Besoin IFRS9</t>
        </is>
      </c>
      <c r="S1004" s="233" t="inlineStr">
        <is>
          <t>The last risk restructuring date to be provided (forborne exposure). IFRS 9 needs</t>
        </is>
      </c>
      <c r="T1004" s="206" t="inlineStr">
        <is>
          <t>DATE</t>
        </is>
      </c>
      <c r="U1004" s="237" t="inlineStr">
        <is>
          <t>AAAAMMJJ</t>
        </is>
      </c>
      <c r="V1004" s="238" t="inlineStr">
        <is>
          <t>YYYYMMDD</t>
        </is>
      </c>
      <c r="W1004" s="257" t="n">
        <v>8</v>
      </c>
      <c r="X1004" s="945" t="inlineStr">
        <is>
          <t>NA</t>
        </is>
      </c>
      <c r="Y1004" s="237" t="n">
        <v>41</v>
      </c>
      <c r="Z1004" s="237" t="inlineStr">
        <is>
          <t>NA</t>
        </is>
      </c>
      <c r="AA1004" s="237" t="inlineStr">
        <is>
          <t>NA</t>
        </is>
      </c>
      <c r="AB1004" s="269" t="inlineStr">
        <is>
          <t>ANACREDIT, ASTRE, NPE, OMP</t>
        </is>
      </c>
      <c r="AC1004" s="231" t="inlineStr">
        <is>
          <t>ND</t>
        </is>
      </c>
      <c r="AD1004" s="257" t="inlineStr">
        <is>
          <t>N</t>
        </is>
      </c>
      <c r="AE1004" s="257" t="inlineStr">
        <is>
          <t>NA</t>
        </is>
      </c>
      <c r="AF1004" s="257" t="inlineStr">
        <is>
          <t>NA</t>
        </is>
      </c>
      <c r="AG1004" s="258" t="inlineStr">
        <is>
          <t>NA</t>
        </is>
      </c>
      <c r="AH1004" s="89" t="n"/>
      <c r="AI1004" s="435" t="inlineStr">
        <is>
          <t>La donnée est obligatoire, si type de risque [P2 2.0] = TRE2*,TRE3*,TRE4*,TRE5* (hors TRE203, TRE205, TRE206, TRE207, TRE405, TRE406) ET si le type de restructuration [P2 21.1] = RF' ou 'RC' ET si la nature contectuelle de l'événement de crédit [P2 21.4] = ‘1', ‘2', ‘3'</t>
        </is>
      </c>
      <c r="AJ1004" s="317" t="inlineStr">
        <is>
          <t>The data is mandatory, if Risk type [P2 2.0] = TRE2*,TRE3*,TRE4*,TRE5* (except TRE203, TRE205, TRE206, TRE207, TRE405, TRE406) AND if the restructuring type [P2 21.1] = RF', 'RC' and if the contextual nature of the credit event [P2 21.4] = ‘1', ‘2', ‘3'</t>
        </is>
      </c>
      <c r="AK1004" s="257" t="n">
        <v>6</v>
      </c>
      <c r="AL1004" s="345" t="inlineStr">
        <is>
          <t>TPS1722</t>
        </is>
      </c>
      <c r="AM1004" s="318" t="n"/>
      <c r="AN1004" s="317" t="n"/>
      <c r="AO1004" s="257" t="n"/>
      <c r="AP1004" s="258" t="n"/>
      <c r="AQ1004" s="318" t="n"/>
      <c r="AR1004" s="317" t="n"/>
      <c r="AS1004" s="257" t="n"/>
      <c r="AT1004" s="258" t="n"/>
      <c r="AU1004" s="318" t="n"/>
      <c r="AV1004" s="317" t="n"/>
      <c r="AW1004" s="257" t="n"/>
      <c r="AX1004" s="258" t="n"/>
      <c r="AY1004" s="318" t="n"/>
      <c r="AZ1004" s="317" t="n"/>
      <c r="BA1004" s="257" t="n"/>
      <c r="BB1004" s="258" t="n"/>
      <c r="BC1004" s="316" t="n"/>
      <c r="BD1004" s="317" t="n"/>
      <c r="BE1004" s="257" t="n"/>
      <c r="BF1004" s="258" t="n"/>
      <c r="BG1004" s="89" t="n"/>
      <c r="BH10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04">
        <f>_xlfn.LET(r,ROW(),oc,INDEX($A:$A,r),cv,TRIM(INDEX($Y:$Y,r)&amp;""),IF(oc&lt;&gt;"P1","",IF(cv="45","V45 - novo, nao alimentado pelo spool atual","V44 - alimentado pelo spool atual")))</f>
        <v/>
      </c>
    </row>
    <row r="1005" ht="54" customFormat="1" customHeight="1" s="90">
      <c r="A1005" s="306" t="inlineStr">
        <is>
          <t>P2</t>
        </is>
      </c>
      <c r="B1005" s="307" t="n">
        <v>108</v>
      </c>
      <c r="C1005" s="269" t="inlineStr">
        <is>
          <t xml:space="preserve">08 - Caractéristiques d'arriérés et de restructuration </t>
        </is>
      </c>
      <c r="D1005" s="310" t="inlineStr">
        <is>
          <t>08 - Characteristics of overdues and restructuring</t>
        </is>
      </c>
      <c r="E1005" s="307" t="inlineStr">
        <is>
          <t>P2 21.10</t>
        </is>
      </c>
      <c r="F1005" s="573" t="inlineStr">
        <is>
          <t>Date d'entrée de la créance en période d'observation</t>
        </is>
      </c>
      <c r="G1005" s="309" t="inlineStr">
        <is>
          <t>Debt's observation period start date</t>
        </is>
      </c>
      <c r="H1005" s="309" t="n"/>
      <c r="I1005" s="585" t="inlineStr">
        <is>
          <t>Date d'entrée de la créance forborne en observation
Correspond au dernier changement de statut</t>
        </is>
      </c>
      <c r="J1005" s="309" t="inlineStr">
        <is>
          <t>Date on which the forborne debt's observation period starts
Corresponds to the last change of status</t>
        </is>
      </c>
      <c r="K1005" s="370" t="inlineStr">
        <is>
          <t>ND</t>
        </is>
      </c>
      <c r="L1005" s="371" t="inlineStr">
        <is>
          <t>ND</t>
        </is>
      </c>
      <c r="M1005" s="1420" t="inlineStr">
        <is>
          <t>dtEntPurg</t>
        </is>
      </c>
      <c r="N1005" s="231" t="inlineStr">
        <is>
          <t>Obligatoire sous conditions</t>
        </is>
      </c>
      <c r="O1005" s="310" t="inlineStr">
        <is>
          <t>Mandatory under conditions</t>
        </is>
      </c>
      <c r="P1005" s="269" t="inlineStr">
        <is>
          <t>NA</t>
        </is>
      </c>
      <c r="Q1005" s="269" t="inlineStr">
        <is>
          <t>NA</t>
        </is>
      </c>
      <c r="R1005" s="241" t="inlineStr">
        <is>
          <t>NA</t>
        </is>
      </c>
      <c r="S1005" s="233" t="inlineStr">
        <is>
          <t>NA</t>
        </is>
      </c>
      <c r="T1005" s="206" t="inlineStr">
        <is>
          <t>DATE</t>
        </is>
      </c>
      <c r="U1005" s="237" t="inlineStr">
        <is>
          <t>AAAAMMJJ</t>
        </is>
      </c>
      <c r="V1005" s="238" t="inlineStr">
        <is>
          <t>YYYYMMDD</t>
        </is>
      </c>
      <c r="W1005" s="257" t="n">
        <v>8</v>
      </c>
      <c r="X1005" s="945" t="inlineStr">
        <is>
          <t>NA</t>
        </is>
      </c>
      <c r="Y1005" s="237" t="n">
        <v>41</v>
      </c>
      <c r="Z1005" s="237" t="inlineStr">
        <is>
          <t>NA</t>
        </is>
      </c>
      <c r="AA1005" s="237" t="inlineStr">
        <is>
          <t>NA</t>
        </is>
      </c>
      <c r="AB1005" s="269" t="inlineStr">
        <is>
          <t>ANACREDIT, ASTRE, NPE</t>
        </is>
      </c>
      <c r="AC1005" s="231" t="inlineStr">
        <is>
          <t>ND</t>
        </is>
      </c>
      <c r="AD1005" s="257" t="inlineStr">
        <is>
          <t>N</t>
        </is>
      </c>
      <c r="AE1005" s="257" t="inlineStr">
        <is>
          <t>NA</t>
        </is>
      </c>
      <c r="AF1005" s="257" t="inlineStr">
        <is>
          <t>NA</t>
        </is>
      </c>
      <c r="AG1005" s="258" t="inlineStr">
        <is>
          <t>NA</t>
        </is>
      </c>
      <c r="AH1005" s="89" t="n"/>
      <c r="AI1005" s="435" t="inlineStr">
        <is>
          <t>La donnée est obligatoire, si type de risque [P2 2.0] = TRE2*,TRE3*,TRE4*,TRE5* (hors TRE203, TRE205, TRE206, TRE207, TRE405, TRE406) ET si le statut du crédit [P2 21.5] = '1'</t>
        </is>
      </c>
      <c r="AJ1005" s="317" t="inlineStr">
        <is>
          <t>The data is mandatory, if Risk type [P2 2.0] = TRE2*,TRE3*,TRE4*,TRE5* (except TRE203, TRE205, TRE206, TRE207, TRE405, TRE406) AND if the credit status [P2 21.5] = '1'</t>
        </is>
      </c>
      <c r="AK1005" s="257" t="n">
        <v>6</v>
      </c>
      <c r="AL1005" s="366" t="inlineStr">
        <is>
          <t>TPS1723</t>
        </is>
      </c>
      <c r="AM1005" s="318" t="n"/>
      <c r="AN1005" s="317" t="n"/>
      <c r="AO1005" s="257" t="n"/>
      <c r="AP1005" s="258" t="n"/>
      <c r="AQ1005" s="356" t="inlineStr">
        <is>
          <t>Si renseignée, la donnée doit être supérieure ou égale à '19000101'</t>
        </is>
      </c>
      <c r="AR1005" s="317" t="inlineStr">
        <is>
          <t>If filled, data must be greater or equal to '19000101'</t>
        </is>
      </c>
      <c r="AS1005" s="574" t="n">
        <v>7</v>
      </c>
      <c r="AT1005" s="258" t="inlineStr">
        <is>
          <t>TVG0005</t>
        </is>
      </c>
      <c r="AU1005" s="318" t="n"/>
      <c r="AV1005" s="317" t="n"/>
      <c r="AW1005" s="257" t="n"/>
      <c r="AX1005" s="258" t="n"/>
      <c r="AY1005" s="318" t="n"/>
      <c r="AZ1005" s="317" t="n"/>
      <c r="BA1005" s="257" t="n"/>
      <c r="BB1005" s="258" t="n"/>
      <c r="BC1005" s="316" t="n"/>
      <c r="BD1005" s="317" t="n"/>
      <c r="BE1005" s="257" t="n"/>
      <c r="BF1005" s="258" t="n"/>
      <c r="BG1005" s="89" t="n"/>
      <c r="BH10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05">
        <f>_xlfn.LET(r,ROW(),oc,INDEX($A:$A,r),cv,TRIM(INDEX($Y:$Y,r)&amp;""),IF(oc&lt;&gt;"P1","",IF(cv="45","V45 - novo, nao alimentado pelo spool atual","V44 - alimentado pelo spool atual")))</f>
        <v/>
      </c>
    </row>
    <row r="1006" ht="54" customFormat="1" customHeight="1" s="90">
      <c r="A1006" s="306" t="inlineStr">
        <is>
          <t>P2</t>
        </is>
      </c>
      <c r="B1006" s="307" t="n">
        <v>109</v>
      </c>
      <c r="C1006" s="269" t="inlineStr">
        <is>
          <t xml:space="preserve">08 - Caractéristiques d'arriérés et de restructuration </t>
        </is>
      </c>
      <c r="D1006" s="310" t="inlineStr">
        <is>
          <t>08 - Characteristics of overdues and restructuring</t>
        </is>
      </c>
      <c r="E1006" s="307" t="inlineStr">
        <is>
          <t>P2 21.11</t>
        </is>
      </c>
      <c r="F1006" s="573" t="inlineStr">
        <is>
          <t>Date de sortie de la créance de la période d'observation</t>
        </is>
      </c>
      <c r="G1006" s="309" t="inlineStr">
        <is>
          <t>Debt's observation period end date</t>
        </is>
      </c>
      <c r="H1006" s="309" t="n"/>
      <c r="I1006" s="475" t="inlineStr">
        <is>
          <t>Date de sortie (réelle ou théorique) de la créance forborne en observation
Correspond au dernier changement de statut</t>
        </is>
      </c>
      <c r="J1006" s="309" t="inlineStr">
        <is>
          <t>End date (actual or scheduled) of the forborne debt's observation period
Corresponds to the last change of status</t>
        </is>
      </c>
      <c r="K1006" s="370" t="inlineStr">
        <is>
          <t>ND</t>
        </is>
      </c>
      <c r="L1006" s="371" t="inlineStr">
        <is>
          <t>ND</t>
        </is>
      </c>
      <c r="M1006" s="1420" t="inlineStr">
        <is>
          <t>dtSorPurg</t>
        </is>
      </c>
      <c r="N1006" s="231" t="inlineStr">
        <is>
          <t>Obligatoire sous conditions</t>
        </is>
      </c>
      <c r="O1006" s="310" t="inlineStr">
        <is>
          <t>Mandatory under conditions</t>
        </is>
      </c>
      <c r="P1006" s="269" t="inlineStr">
        <is>
          <t>NA</t>
        </is>
      </c>
      <c r="Q1006" s="269" t="inlineStr">
        <is>
          <t>NA</t>
        </is>
      </c>
      <c r="R1006" s="241" t="inlineStr">
        <is>
          <t>NA</t>
        </is>
      </c>
      <c r="S1006" s="233" t="inlineStr">
        <is>
          <t>NA</t>
        </is>
      </c>
      <c r="T1006" s="206" t="inlineStr">
        <is>
          <t>DATE</t>
        </is>
      </c>
      <c r="U1006" s="237" t="inlineStr">
        <is>
          <t>AAAAMMJJ</t>
        </is>
      </c>
      <c r="V1006" s="238" t="inlineStr">
        <is>
          <t>YYYYMMDD</t>
        </is>
      </c>
      <c r="W1006" s="257" t="n">
        <v>8</v>
      </c>
      <c r="X1006" s="945" t="inlineStr">
        <is>
          <t>NA</t>
        </is>
      </c>
      <c r="Y1006" s="237" t="n">
        <v>41</v>
      </c>
      <c r="Z1006" s="237" t="inlineStr">
        <is>
          <t>NA</t>
        </is>
      </c>
      <c r="AA1006" s="237" t="inlineStr">
        <is>
          <t>NA</t>
        </is>
      </c>
      <c r="AB1006" s="269" t="inlineStr">
        <is>
          <t>ANACREDIT, ASTRE, NPE</t>
        </is>
      </c>
      <c r="AC1006" s="231" t="inlineStr">
        <is>
          <t>ND</t>
        </is>
      </c>
      <c r="AD1006" s="257" t="inlineStr">
        <is>
          <t>N</t>
        </is>
      </c>
      <c r="AE1006" s="257" t="inlineStr">
        <is>
          <t>NA</t>
        </is>
      </c>
      <c r="AF1006" s="257" t="inlineStr">
        <is>
          <t>NA</t>
        </is>
      </c>
      <c r="AG1006" s="258" t="inlineStr">
        <is>
          <t>NA</t>
        </is>
      </c>
      <c r="AH1006" s="89" t="n"/>
      <c r="AI1006" s="576" t="inlineStr">
        <is>
          <t>La donnée est obligatoire, si type de risque [P2 2.0] = TRE2*,TRE3*,TRE4*,TRE5* (hors TRE203, TRE205, TRE206, TRE207, TRE405, TRE406) ET si le statut du crédit [P2 21.5] = '1'</t>
        </is>
      </c>
      <c r="AJ1006" s="317" t="inlineStr">
        <is>
          <t>The data is mandatory, if Risk type [P2 2.0] = TRE2*,TRE3*,TRE4*,TRE5* (except TRE203, TRE205, TRE206, TRE207, TRE405, TRE406) AND if the credit status [P2 21.5] = '1'</t>
        </is>
      </c>
      <c r="AK1006" s="257" t="n">
        <v>6</v>
      </c>
      <c r="AL1006" s="366" t="inlineStr">
        <is>
          <t>TPS1723</t>
        </is>
      </c>
      <c r="AM1006" s="318" t="n"/>
      <c r="AN1006" s="317" t="n"/>
      <c r="AO1006" s="257" t="n"/>
      <c r="AP1006" s="258" t="n"/>
      <c r="AQ1006" s="318" t="n"/>
      <c r="AR1006" s="317" t="n"/>
      <c r="AS1006" s="257" t="n"/>
      <c r="AT1006" s="258" t="n"/>
      <c r="AU1006" s="808" t="inlineStr">
        <is>
          <t>Si la date d'entrée de la créance en période d'observation [P2 21.10] est renseignée ET si la date de sortie de la créance de la période d'observation [P2 21.11] est renseignée, alors la date de sortie [P2 21.11] doit être supérieure ou égale à la date d'entrée [P2 21.10]</t>
        </is>
      </c>
      <c r="AV1006" s="317" t="inlineStr">
        <is>
          <t>If the Debt's observation period start date [P2 21.10] is filled AND if the Debt's observation period end date [P2 21.11] is filled, then the end date [P2 21.11] must be greater than or equal to the start date [P2 21.10]</t>
        </is>
      </c>
      <c r="AW1006" s="257" t="n">
        <v>7</v>
      </c>
      <c r="AX1006" s="345" t="inlineStr">
        <is>
          <t>TCS0746</t>
        </is>
      </c>
      <c r="AY1006" s="318" t="n"/>
      <c r="AZ1006" s="317" t="n"/>
      <c r="BA1006" s="257" t="n"/>
      <c r="BB1006" s="258" t="n"/>
      <c r="BC1006" s="316" t="n"/>
      <c r="BD1006" s="317" t="n"/>
      <c r="BE1006" s="257" t="n"/>
      <c r="BF1006" s="258" t="n"/>
      <c r="BG1006" s="89" t="n"/>
      <c r="BH10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06">
        <f>_xlfn.LET(r,ROW(),oc,INDEX($A:$A,r),cv,TRIM(INDEX($Y:$Y,r)&amp;""),IF(oc&lt;&gt;"P1","",IF(cv="45","V45 - novo, nao alimentado pelo spool atual","V44 - alimentado pelo spool atual")))</f>
        <v/>
      </c>
    </row>
    <row r="1007" ht="54" customFormat="1" customHeight="1" s="90">
      <c r="A1007" s="306" t="inlineStr">
        <is>
          <t>P2</t>
        </is>
      </c>
      <c r="B1007" s="307" t="n">
        <v>110</v>
      </c>
      <c r="C1007" s="269" t="inlineStr">
        <is>
          <t xml:space="preserve">08 - Caractéristiques d'arriérés et de restructuration </t>
        </is>
      </c>
      <c r="D1007" s="310" t="inlineStr">
        <is>
          <t>08 - Characteristics of overdues and restructuring</t>
        </is>
      </c>
      <c r="E1007" s="307" t="inlineStr">
        <is>
          <t>P2 21.12</t>
        </is>
      </c>
      <c r="F1007" s="308" t="inlineStr">
        <is>
          <t>Date d'entrée de la créance en période probatoire</t>
        </is>
      </c>
      <c r="G1007" s="309" t="inlineStr">
        <is>
          <t>Debt's probation period start date</t>
        </is>
      </c>
      <c r="H1007" s="309" t="n"/>
      <c r="I1007" s="241" t="inlineStr">
        <is>
          <t xml:space="preserve">Date d'entrée de la créance forborne en « probatoire » </t>
        </is>
      </c>
      <c r="J1007" s="309" t="inlineStr">
        <is>
          <t>Date on which the forborne debt enters a probation period</t>
        </is>
      </c>
      <c r="K1007" s="370" t="inlineStr">
        <is>
          <t>ND</t>
        </is>
      </c>
      <c r="L1007" s="371" t="inlineStr">
        <is>
          <t>ND</t>
        </is>
      </c>
      <c r="M1007" s="1420" t="inlineStr">
        <is>
          <t>dtEntProb</t>
        </is>
      </c>
      <c r="N1007" s="231" t="inlineStr">
        <is>
          <t>Obligatoire sous conditions</t>
        </is>
      </c>
      <c r="O1007" s="310" t="inlineStr">
        <is>
          <t>Mandatory under conditions</t>
        </is>
      </c>
      <c r="P1007" s="269" t="inlineStr">
        <is>
          <t>NA</t>
        </is>
      </c>
      <c r="Q1007" s="269" t="inlineStr">
        <is>
          <t>NA</t>
        </is>
      </c>
      <c r="R1007" s="241" t="inlineStr">
        <is>
          <t>NA</t>
        </is>
      </c>
      <c r="S1007" s="233" t="inlineStr">
        <is>
          <t>NA</t>
        </is>
      </c>
      <c r="T1007" s="206" t="inlineStr">
        <is>
          <t>DATE</t>
        </is>
      </c>
      <c r="U1007" s="237" t="inlineStr">
        <is>
          <t>AAAAMMJJ</t>
        </is>
      </c>
      <c r="V1007" s="238" t="inlineStr">
        <is>
          <t>YYYYMMDD</t>
        </is>
      </c>
      <c r="W1007" s="257" t="n">
        <v>8</v>
      </c>
      <c r="X1007" s="945" t="inlineStr">
        <is>
          <t>NA</t>
        </is>
      </c>
      <c r="Y1007" s="237" t="n">
        <v>41</v>
      </c>
      <c r="Z1007" s="237" t="inlineStr">
        <is>
          <t>NA</t>
        </is>
      </c>
      <c r="AA1007" s="237" t="inlineStr">
        <is>
          <t>NA</t>
        </is>
      </c>
      <c r="AB1007" s="269" t="inlineStr">
        <is>
          <t>ANACREDIT, ASTRE, NPE</t>
        </is>
      </c>
      <c r="AC1007" s="231" t="inlineStr">
        <is>
          <t>ND</t>
        </is>
      </c>
      <c r="AD1007" s="257" t="inlineStr">
        <is>
          <t>N</t>
        </is>
      </c>
      <c r="AE1007" s="257" t="inlineStr">
        <is>
          <t>NA</t>
        </is>
      </c>
      <c r="AF1007" s="257" t="inlineStr">
        <is>
          <t>NA</t>
        </is>
      </c>
      <c r="AG1007" s="258" t="inlineStr">
        <is>
          <t>NA</t>
        </is>
      </c>
      <c r="AH1007" s="89" t="n"/>
      <c r="AI1007" s="435" t="inlineStr">
        <is>
          <t>La donnée est obligatoire, si type de risque [P2 2.0] = TRE2*,TRE3*,TRE4*,TRE5* (hors TRE203, TRE205, TRE206, TRE207, TRE405, TRE406) ET si le statut du crédit [P2 21.5] = '2'</t>
        </is>
      </c>
      <c r="AJ1007" s="317" t="inlineStr">
        <is>
          <t>The data is mandatory, if Risk type [P2 2.0] = TRE2*,TRE3*,TRE4*,TRE5* (except TRE203, TRE205, TRE206, TRE207, TRE405, TRE406) AND if the credit status [P2 21.5] = '2'</t>
        </is>
      </c>
      <c r="AK1007" s="257" t="n">
        <v>6</v>
      </c>
      <c r="AL1007" s="366" t="inlineStr">
        <is>
          <t>TPS1724</t>
        </is>
      </c>
      <c r="AM1007" s="318" t="n"/>
      <c r="AN1007" s="317" t="n"/>
      <c r="AO1007" s="257" t="n"/>
      <c r="AP1007" s="258" t="n"/>
      <c r="AQ1007" s="356" t="inlineStr">
        <is>
          <t>Si renseignée, la donnée doit être supérieure ou égale à '19000101'</t>
        </is>
      </c>
      <c r="AR1007" s="317" t="inlineStr">
        <is>
          <t>If filled, data must be greater or equal to '19000101'</t>
        </is>
      </c>
      <c r="AS1007" s="574" t="n">
        <v>7</v>
      </c>
      <c r="AT1007" s="258" t="inlineStr">
        <is>
          <t>TVG0005</t>
        </is>
      </c>
      <c r="AU1007" s="318" t="n"/>
      <c r="AV1007" s="317" t="n"/>
      <c r="AW1007" s="257" t="n"/>
      <c r="AX1007" s="258" t="n"/>
      <c r="AY1007" s="318" t="n"/>
      <c r="AZ1007" s="317" t="n"/>
      <c r="BA1007" s="257" t="n"/>
      <c r="BB1007" s="258" t="n"/>
      <c r="BC1007" s="316" t="n"/>
      <c r="BD1007" s="317" t="n"/>
      <c r="BE1007" s="257" t="n"/>
      <c r="BF1007" s="258" t="n"/>
      <c r="BG1007" s="89" t="n"/>
      <c r="BH10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07">
        <f>_xlfn.LET(r,ROW(),oc,INDEX($A:$A,r),cv,TRIM(INDEX($Y:$Y,r)&amp;""),IF(oc&lt;&gt;"P1","",IF(cv="45","V45 - novo, nao alimentado pelo spool atual","V44 - alimentado pelo spool atual")))</f>
        <v/>
      </c>
    </row>
    <row r="1008" ht="54" customFormat="1" customHeight="1" s="90">
      <c r="A1008" s="306" t="inlineStr">
        <is>
          <t>P2</t>
        </is>
      </c>
      <c r="B1008" s="307" t="n">
        <v>111</v>
      </c>
      <c r="C1008" s="269" t="inlineStr">
        <is>
          <t xml:space="preserve">08 - Caractéristiques d'arriérés et de restructuration </t>
        </is>
      </c>
      <c r="D1008" s="310" t="inlineStr">
        <is>
          <t>08 - Characteristics of overdues and restructuring</t>
        </is>
      </c>
      <c r="E1008" s="307" t="inlineStr">
        <is>
          <t>P2 21.13</t>
        </is>
      </c>
      <c r="F1008" s="809" t="inlineStr">
        <is>
          <t>Date de sortie de la créance de la période probatoire</t>
        </is>
      </c>
      <c r="G1008" s="309" t="inlineStr">
        <is>
          <t>Debt's probation period end date</t>
        </is>
      </c>
      <c r="H1008" s="309" t="n"/>
      <c r="I1008" s="241" t="inlineStr">
        <is>
          <t>Date de sortie (réelle ou théorique) de la créance forborne du « probatoire »
Correspond au dernier changement de statut</t>
        </is>
      </c>
      <c r="J1008" s="309" t="inlineStr">
        <is>
          <t>End date (actual or scheduled) of the forborne debt's probation period
Corresponds to the last change of status</t>
        </is>
      </c>
      <c r="K1008" s="370" t="inlineStr">
        <is>
          <t>ND</t>
        </is>
      </c>
      <c r="L1008" s="371" t="inlineStr">
        <is>
          <t>ND</t>
        </is>
      </c>
      <c r="M1008" s="1420" t="inlineStr">
        <is>
          <t>dtSorProb</t>
        </is>
      </c>
      <c r="N1008" s="231" t="inlineStr">
        <is>
          <t>Obligatoire sous conditions</t>
        </is>
      </c>
      <c r="O1008" s="310" t="inlineStr">
        <is>
          <t>Mandatory under conditions</t>
        </is>
      </c>
      <c r="P1008" s="269" t="inlineStr">
        <is>
          <t>NA</t>
        </is>
      </c>
      <c r="Q1008" s="269" t="inlineStr">
        <is>
          <t>NA</t>
        </is>
      </c>
      <c r="R1008" s="241" t="inlineStr">
        <is>
          <t>NA</t>
        </is>
      </c>
      <c r="S1008" s="233" t="inlineStr">
        <is>
          <t>NA</t>
        </is>
      </c>
      <c r="T1008" s="206" t="inlineStr">
        <is>
          <t>DATE</t>
        </is>
      </c>
      <c r="U1008" s="237" t="inlineStr">
        <is>
          <t>AAAAMMJJ</t>
        </is>
      </c>
      <c r="V1008" s="238" t="inlineStr">
        <is>
          <t>YYYYMMDD</t>
        </is>
      </c>
      <c r="W1008" s="257" t="n">
        <v>8</v>
      </c>
      <c r="X1008" s="945" t="inlineStr">
        <is>
          <t>NA</t>
        </is>
      </c>
      <c r="Y1008" s="237" t="n">
        <v>41</v>
      </c>
      <c r="Z1008" s="237" t="inlineStr">
        <is>
          <t>NA</t>
        </is>
      </c>
      <c r="AA1008" s="237" t="inlineStr">
        <is>
          <t>NA</t>
        </is>
      </c>
      <c r="AB1008" s="269" t="inlineStr">
        <is>
          <t>ASTRE, NPE</t>
        </is>
      </c>
      <c r="AC1008" s="231" t="inlineStr">
        <is>
          <t>ND</t>
        </is>
      </c>
      <c r="AD1008" s="257" t="inlineStr">
        <is>
          <t>N</t>
        </is>
      </c>
      <c r="AE1008" s="257" t="inlineStr">
        <is>
          <t>NA</t>
        </is>
      </c>
      <c r="AF1008" s="257" t="inlineStr">
        <is>
          <t>NA</t>
        </is>
      </c>
      <c r="AG1008" s="258" t="inlineStr">
        <is>
          <t>NA</t>
        </is>
      </c>
      <c r="AH1008" s="89" t="n"/>
      <c r="AI1008" s="435" t="inlineStr">
        <is>
          <t>La donnée est obligatoire, si type de risque [P2 2.0] = TRE2*,TRE3*,TRE4*,TRE5* (hors TRE203, TRE205, TRE206, TRE207, TRE405, TRE406) ET si le statut du crédit [P2 21.5] = '2'</t>
        </is>
      </c>
      <c r="AJ1008" s="317" t="inlineStr">
        <is>
          <t>The data is mandatory, if Risk type [P2 2.0] = TRE2*,TRE3*,TRE4*,TRE5* (except TRE203, TRE205, TRE206, TRE207, TRE405, TRE406) AND if the credit status [P2 21.5] = '2'</t>
        </is>
      </c>
      <c r="AK1008" s="257" t="n">
        <v>6</v>
      </c>
      <c r="AL1008" s="366" t="inlineStr">
        <is>
          <t>TPS1724</t>
        </is>
      </c>
      <c r="AM1008" s="318" t="n"/>
      <c r="AN1008" s="317" t="n"/>
      <c r="AO1008" s="257" t="n"/>
      <c r="AP1008" s="258" t="n"/>
      <c r="AQ1008" s="318" t="n"/>
      <c r="AR1008" s="317" t="n"/>
      <c r="AS1008" s="257" t="n"/>
      <c r="AT1008" s="258" t="n"/>
      <c r="AU1008" s="808" t="inlineStr">
        <is>
          <t>Si la Date d'entrée de la créance en période probatoire [P2 21.12] est renseignée et que la Date de sortie de la créance de la période probatoire [P2 21.13] est renseignée, alors la date de sortie [P2 21.13] doit être supérieure ou égale à la date d'entrée [P2 21.12]</t>
        </is>
      </c>
      <c r="AV1008" s="317" t="inlineStr">
        <is>
          <t>If the Debt's probation period start date [P2 21.12] is filled and the Debt's probation period end date [P2 21.13] is filled, then the end date [P2 21.13]must be greater than or equal to the start date [P2 21.12]</t>
        </is>
      </c>
      <c r="AW1008" s="257" t="n">
        <v>7</v>
      </c>
      <c r="AX1008" s="345" t="inlineStr">
        <is>
          <t>TCS0747</t>
        </is>
      </c>
      <c r="AY1008" s="318" t="n"/>
      <c r="AZ1008" s="317" t="n"/>
      <c r="BA1008" s="257" t="n"/>
      <c r="BB1008" s="258" t="n"/>
      <c r="BC1008" s="316" t="n"/>
      <c r="BD1008" s="317" t="n"/>
      <c r="BE1008" s="257" t="n"/>
      <c r="BF1008" s="258" t="n"/>
      <c r="BG1008" s="89" t="n"/>
      <c r="BH10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08">
        <f>_xlfn.LET(r,ROW(),oc,INDEX($A:$A,r),cv,TRIM(INDEX($Y:$Y,r)&amp;""),IF(oc&lt;&gt;"P1","",IF(cv="45","V45 - novo, nao alimentado pelo spool atual","V44 - alimentado pelo spool atual")))</f>
        <v/>
      </c>
    </row>
    <row r="1009" ht="54" customFormat="1" customHeight="1" s="90">
      <c r="A1009" s="306" t="inlineStr">
        <is>
          <t>P2</t>
        </is>
      </c>
      <c r="B1009" s="307" t="n">
        <v>112</v>
      </c>
      <c r="C1009" s="269" t="inlineStr">
        <is>
          <t xml:space="preserve">08 - Caractéristiques d'arriérés et de restructuration </t>
        </is>
      </c>
      <c r="D1009" s="310" t="inlineStr">
        <is>
          <t>08 - Characteristics of overdues and restructuring</t>
        </is>
      </c>
      <c r="E1009" s="307" t="inlineStr">
        <is>
          <t>P2 21.14</t>
        </is>
      </c>
      <c r="F1009" s="308" t="inlineStr">
        <is>
          <t xml:space="preserve">Date théorique de fin de situation forborne </t>
        </is>
      </c>
      <c r="G1009" s="309" t="inlineStr">
        <is>
          <t xml:space="preserve">Forbearance's scheduled end date </t>
        </is>
      </c>
      <c r="H1009" s="309" t="n"/>
      <c r="I1009" s="241" t="inlineStr">
        <is>
          <t>Date théorique de fin de la situation de forborne de la créance</t>
        </is>
      </c>
      <c r="J1009" s="309" t="inlineStr">
        <is>
          <t>Scheduled date on which the debt's forbearance ends</t>
        </is>
      </c>
      <c r="K1009" s="370" t="inlineStr">
        <is>
          <t>ND</t>
        </is>
      </c>
      <c r="L1009" s="371" t="inlineStr">
        <is>
          <t>ND</t>
        </is>
      </c>
      <c r="M1009" s="1420" t="inlineStr">
        <is>
          <t>dtThFinFor</t>
        </is>
      </c>
      <c r="N1009" s="231" t="inlineStr">
        <is>
          <t>Obligatoire sous conditions</t>
        </is>
      </c>
      <c r="O1009" s="310" t="inlineStr">
        <is>
          <t>Mandatory under conditions</t>
        </is>
      </c>
      <c r="P1009" s="269" t="inlineStr">
        <is>
          <t>NA</t>
        </is>
      </c>
      <c r="Q1009" s="269" t="inlineStr">
        <is>
          <t>NA</t>
        </is>
      </c>
      <c r="R1009" s="241" t="inlineStr">
        <is>
          <t>NA</t>
        </is>
      </c>
      <c r="S1009" s="233" t="inlineStr">
        <is>
          <t>NA</t>
        </is>
      </c>
      <c r="T1009" s="206" t="inlineStr">
        <is>
          <t>DATE</t>
        </is>
      </c>
      <c r="U1009" s="237" t="inlineStr">
        <is>
          <t>AAAAMMJJ</t>
        </is>
      </c>
      <c r="V1009" s="238" t="inlineStr">
        <is>
          <t>YYYYMMDD</t>
        </is>
      </c>
      <c r="W1009" s="257" t="n">
        <v>8</v>
      </c>
      <c r="X1009" s="945" t="inlineStr">
        <is>
          <t>NA</t>
        </is>
      </c>
      <c r="Y1009" s="237" t="n">
        <v>41</v>
      </c>
      <c r="Z1009" s="237" t="inlineStr">
        <is>
          <t>NA</t>
        </is>
      </c>
      <c r="AA1009" s="237" t="inlineStr">
        <is>
          <t>NA</t>
        </is>
      </c>
      <c r="AB1009" s="269" t="inlineStr">
        <is>
          <t>ANACREDIT, ASTRE, NPE</t>
        </is>
      </c>
      <c r="AC1009" s="231" t="inlineStr">
        <is>
          <t>ND</t>
        </is>
      </c>
      <c r="AD1009" s="257" t="inlineStr">
        <is>
          <t>N</t>
        </is>
      </c>
      <c r="AE1009" s="257" t="inlineStr">
        <is>
          <t>NA</t>
        </is>
      </c>
      <c r="AF1009" s="257" t="inlineStr">
        <is>
          <t>NA</t>
        </is>
      </c>
      <c r="AG1009" s="258" t="inlineStr">
        <is>
          <t>NA</t>
        </is>
      </c>
      <c r="AH1009" s="89" t="n"/>
      <c r="AI1009" s="435" t="inlineStr">
        <is>
          <t>La donnée est obligatoire, si type de risque [P2 2.0] = TRE2*,TRE3*,TRE4*,TRE5* (hors TRE203, TRE205, TRE206, TRE207, TRE405, TRE406) ET si le statut du crédit [P2 21.5] = '1' ou '2'</t>
        </is>
      </c>
      <c r="AJ1009" s="317" t="inlineStr">
        <is>
          <t>The data is mandatory, if Risk type [P2 2.0] = TRE2*,TRE3*,TRE4*,TRE5* (except TRE203, TRE205, TRE206, TRE207, TRE405, TRE406) AND if the credit status [P2 21.5] = '1' or '2'</t>
        </is>
      </c>
      <c r="AK1009" s="257" t="n">
        <v>6</v>
      </c>
      <c r="AL1009" s="345" t="inlineStr">
        <is>
          <t>TPS1725</t>
        </is>
      </c>
      <c r="AM1009" s="318" t="n"/>
      <c r="AN1009" s="317" t="n"/>
      <c r="AO1009" s="257" t="n"/>
      <c r="AP1009" s="258" t="n"/>
      <c r="AQ1009" s="318" t="n"/>
      <c r="AR1009" s="317" t="n"/>
      <c r="AS1009" s="257" t="n"/>
      <c r="AT1009" s="258" t="n"/>
      <c r="AU1009" s="318" t="n"/>
      <c r="AV1009" s="317" t="n"/>
      <c r="AW1009" s="257" t="n"/>
      <c r="AX1009" s="258" t="n"/>
      <c r="AY1009" s="318" t="n"/>
      <c r="AZ1009" s="317" t="n"/>
      <c r="BA1009" s="257" t="n"/>
      <c r="BB1009" s="258" t="n"/>
      <c r="BC1009" s="316" t="n"/>
      <c r="BD1009" s="317" t="n"/>
      <c r="BE1009" s="257" t="n"/>
      <c r="BF1009" s="258" t="n"/>
      <c r="BG1009" s="89" t="n"/>
      <c r="BH10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09">
        <f>_xlfn.LET(r,ROW(),oc,INDEX($A:$A,r),cv,TRIM(INDEX($Y:$Y,r)&amp;""),IF(oc&lt;&gt;"P1","",IF(cv="45","V45 - novo, nao alimentado pelo spool atual","V44 - alimentado pelo spool atual")))</f>
        <v/>
      </c>
    </row>
    <row r="1010" ht="54" customFormat="1" customHeight="1" s="90">
      <c r="A1010" s="306" t="inlineStr">
        <is>
          <t>P2</t>
        </is>
      </c>
      <c r="B1010" s="307" t="n">
        <v>113</v>
      </c>
      <c r="C1010" s="269" t="inlineStr">
        <is>
          <t xml:space="preserve">08 - Caractéristiques d'arriérés et de restructuration </t>
        </is>
      </c>
      <c r="D1010" s="310" t="inlineStr">
        <is>
          <t>08 - Characteristics of overdues and restructuring</t>
        </is>
      </c>
      <c r="E1010" s="307" t="inlineStr">
        <is>
          <t>P2 21.15</t>
        </is>
      </c>
      <c r="F1010" s="308" t="inlineStr">
        <is>
          <t xml:space="preserve">Date de sortie effective de situation forborne </t>
        </is>
      </c>
      <c r="G1010" s="309" t="inlineStr">
        <is>
          <t xml:space="preserve">Forbearance's effective end date </t>
        </is>
      </c>
      <c r="H1010" s="309" t="n"/>
      <c r="I1010" s="241" t="inlineStr">
        <is>
          <t>Date de sortie effective de forborne de la créance</t>
        </is>
      </c>
      <c r="J1010" s="309" t="inlineStr">
        <is>
          <t>Date on which forbearance on the debt actually ends</t>
        </is>
      </c>
      <c r="K1010" s="370" t="inlineStr">
        <is>
          <t>ND</t>
        </is>
      </c>
      <c r="L1010" s="371" t="inlineStr">
        <is>
          <t>ND</t>
        </is>
      </c>
      <c r="M1010" s="1420" t="inlineStr">
        <is>
          <t>dtSortieFor</t>
        </is>
      </c>
      <c r="N1010" s="449" t="inlineStr">
        <is>
          <t>Facultatif</t>
        </is>
      </c>
      <c r="O1010" s="310" t="inlineStr">
        <is>
          <t>Optional</t>
        </is>
      </c>
      <c r="P1010" s="269" t="inlineStr">
        <is>
          <t>NA</t>
        </is>
      </c>
      <c r="Q1010" s="269" t="inlineStr">
        <is>
          <t>NA</t>
        </is>
      </c>
      <c r="R1010" s="241" t="inlineStr">
        <is>
          <t>Obligatoire si statut du crédit au sens de la forbearance (P2 21.5) = ‘1' ou ‘2. Si information non disponible, laisser à vide la date de sortie effective de situation forborne</t>
        </is>
      </c>
      <c r="S1010" s="233" t="inlineStr">
        <is>
          <t xml:space="preserve">Mandatory if 'Credit status with regard to forbearance' (P2 21.5) = '1' or '2'. If the information unavailable, indicate the theoretical end date of the forborne status, leave "empty" </t>
        </is>
      </c>
      <c r="T1010" s="206" t="inlineStr">
        <is>
          <t>DATE</t>
        </is>
      </c>
      <c r="U1010" s="237" t="inlineStr">
        <is>
          <t>AAAAMMJJ</t>
        </is>
      </c>
      <c r="V1010" s="238" t="inlineStr">
        <is>
          <t>YYYYMMDD</t>
        </is>
      </c>
      <c r="W1010" s="257" t="n">
        <v>8</v>
      </c>
      <c r="X1010" s="945" t="inlineStr">
        <is>
          <t>NA</t>
        </is>
      </c>
      <c r="Y1010" s="237" t="n">
        <v>41</v>
      </c>
      <c r="Z1010" s="237" t="inlineStr">
        <is>
          <t>NA</t>
        </is>
      </c>
      <c r="AA1010" s="237" t="inlineStr">
        <is>
          <t>NA</t>
        </is>
      </c>
      <c r="AB1010" s="269" t="inlineStr">
        <is>
          <t>ANACREDIT, ASTRE, NPE</t>
        </is>
      </c>
      <c r="AC1010" s="231" t="inlineStr">
        <is>
          <t>ND</t>
        </is>
      </c>
      <c r="AD1010" s="257" t="inlineStr">
        <is>
          <t>N</t>
        </is>
      </c>
      <c r="AE1010" s="257" t="inlineStr">
        <is>
          <t>NA</t>
        </is>
      </c>
      <c r="AF1010" s="257" t="inlineStr">
        <is>
          <t>NA</t>
        </is>
      </c>
      <c r="AG1010" s="258" t="inlineStr">
        <is>
          <t>NA</t>
        </is>
      </c>
      <c r="AH1010" s="89" t="n"/>
      <c r="AI1010" s="316" t="n"/>
      <c r="AJ1010" s="317" t="n"/>
      <c r="AK1010" s="257" t="n"/>
      <c r="AL1010" s="258" t="n"/>
      <c r="AM1010" s="318" t="n"/>
      <c r="AN1010" s="317" t="n"/>
      <c r="AO1010" s="257" t="n"/>
      <c r="AP1010" s="258" t="n"/>
      <c r="AQ1010" s="318" t="n"/>
      <c r="AR1010" s="317" t="n"/>
      <c r="AS1010" s="257" t="n"/>
      <c r="AT1010" s="258" t="n"/>
      <c r="AU1010" s="318" t="n"/>
      <c r="AV1010" s="317" t="n"/>
      <c r="AW1010" s="257" t="n"/>
      <c r="AX1010" s="258" t="n"/>
      <c r="AY1010" s="318" t="n"/>
      <c r="AZ1010" s="317" t="n"/>
      <c r="BA1010" s="257" t="n"/>
      <c r="BB1010" s="258" t="n"/>
      <c r="BC1010" s="316" t="n"/>
      <c r="BD1010" s="317" t="n"/>
      <c r="BE1010" s="257" t="n"/>
      <c r="BF1010" s="258" t="n"/>
      <c r="BG1010" s="89" t="n"/>
      <c r="BH10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10">
        <f>_xlfn.LET(r,ROW(),oc,INDEX($A:$A,r),cv,TRIM(INDEX($Y:$Y,r)&amp;""),IF(oc&lt;&gt;"P1","",IF(cv="45","V45 - novo, nao alimentado pelo spool atual","V44 - alimentado pelo spool atual")))</f>
        <v/>
      </c>
    </row>
    <row r="1011" ht="54" customFormat="1" customHeight="1" s="90">
      <c r="A1011" s="306" t="inlineStr">
        <is>
          <t>P2</t>
        </is>
      </c>
      <c r="B1011" s="307" t="n">
        <v>114</v>
      </c>
      <c r="C1011" s="269" t="inlineStr">
        <is>
          <t xml:space="preserve">08 - Caractéristiques d'arriérés et de restructuration </t>
        </is>
      </c>
      <c r="D1011" s="310" t="inlineStr">
        <is>
          <t>08 - Characteristics of overdues and restructuring</t>
        </is>
      </c>
      <c r="E1011" s="372" t="inlineStr">
        <is>
          <t>P2 21.16</t>
        </is>
      </c>
      <c r="F1011" s="810" t="inlineStr">
        <is>
          <t xml:space="preserve">Date de début de l'état de performance de la créance </t>
        </is>
      </c>
      <c r="G1011" s="309" t="inlineStr">
        <is>
          <t xml:space="preserve">Date of performing debt status </t>
        </is>
      </c>
      <c r="H1011" s="309" t="n"/>
      <c r="I1011" s="241" t="inlineStr">
        <is>
          <t xml:space="preserve">Date de début de l'état de performance de la créance </t>
        </is>
      </c>
      <c r="J1011" s="309" t="inlineStr">
        <is>
          <t xml:space="preserve">Date of performing debt status </t>
        </is>
      </c>
      <c r="K1011" s="370" t="inlineStr">
        <is>
          <t>ND</t>
        </is>
      </c>
      <c r="L1011" s="371" t="inlineStr">
        <is>
          <t>ND</t>
        </is>
      </c>
      <c r="M1011" s="1420" t="inlineStr">
        <is>
          <t>dtDebPerfCre</t>
        </is>
      </c>
      <c r="N1011" s="231" t="inlineStr">
        <is>
          <t>Obligatoire sous conditions</t>
        </is>
      </c>
      <c r="O1011" s="310" t="inlineStr">
        <is>
          <t>Mandatory under conditions</t>
        </is>
      </c>
      <c r="P1011" s="269" t="inlineStr">
        <is>
          <t>NA</t>
        </is>
      </c>
      <c r="Q1011" s="269" t="inlineStr">
        <is>
          <t>NA</t>
        </is>
      </c>
      <c r="R1011" s="241" t="inlineStr">
        <is>
          <t>Si l'indicateur Performant Non-Performant n'a pas changé depuis l'origine, la date de début de l'état de performance correspond à la début de contrat sinon, la date de début de l'état de performance correspond à la date du changement de statut PE NPE</t>
        </is>
      </c>
      <c r="S1011" s="233" t="inlineStr">
        <is>
          <t>If the Performing debt indicator (PE NPE) has not changed since the origin, the start date of the performance status corresponds to the start of the contract otherwise, the start date of the performance status corresponds to the date of change of PE NPE status</t>
        </is>
      </c>
      <c r="T1011" s="206" t="inlineStr">
        <is>
          <t>DATE</t>
        </is>
      </c>
      <c r="U1011" s="237" t="inlineStr">
        <is>
          <t>AAAAMMJJ</t>
        </is>
      </c>
      <c r="V1011" s="238" t="inlineStr">
        <is>
          <t>YYYYMMDD</t>
        </is>
      </c>
      <c r="W1011" s="257" t="n">
        <v>8</v>
      </c>
      <c r="X1011" s="945" t="inlineStr">
        <is>
          <t>NA</t>
        </is>
      </c>
      <c r="Y1011" s="237" t="n">
        <v>42</v>
      </c>
      <c r="Z1011" s="237" t="inlineStr">
        <is>
          <t>NA</t>
        </is>
      </c>
      <c r="AA1011" s="237" t="inlineStr">
        <is>
          <t>NA</t>
        </is>
      </c>
      <c r="AB1011" s="269" t="inlineStr">
        <is>
          <t>ANACREDIT, ASTRE, NPE, SHS</t>
        </is>
      </c>
      <c r="AC1011" s="231" t="inlineStr">
        <is>
          <t>ND</t>
        </is>
      </c>
      <c r="AD1011" s="257" t="inlineStr">
        <is>
          <t>N</t>
        </is>
      </c>
      <c r="AE1011" s="257" t="inlineStr">
        <is>
          <t>NA</t>
        </is>
      </c>
      <c r="AF1011" s="257" t="inlineStr">
        <is>
          <t>NA</t>
        </is>
      </c>
      <c r="AG1011" s="258" t="inlineStr">
        <is>
          <t>NA</t>
        </is>
      </c>
      <c r="AH1011" s="89" t="n"/>
      <c r="AI1011" s="316" t="inlineStr">
        <is>
          <t>La donnée est obligatoire si l'Indicateur créance performante [P2 21.6] est renseigné</t>
        </is>
      </c>
      <c r="AJ1011" s="317" t="inlineStr">
        <is>
          <t>The data is mandatory if the Debt Performance Indicator [P2 21.6] is filled</t>
        </is>
      </c>
      <c r="AK1011" s="269" t="n">
        <v>6</v>
      </c>
      <c r="AL1011" s="345" t="inlineStr">
        <is>
          <t>TPS1726</t>
        </is>
      </c>
      <c r="AM1011" s="318" t="n"/>
      <c r="AN1011" s="317" t="n"/>
      <c r="AO1011" s="257" t="n"/>
      <c r="AP1011" s="258" t="n"/>
      <c r="AQ1011" s="318" t="inlineStr">
        <is>
          <t>Si renseignée, la donnée doit être supérieure ou égale à '19000101'</t>
        </is>
      </c>
      <c r="AR1011" s="317" t="inlineStr">
        <is>
          <t>If filled, data must be greater or equal to '19000101'</t>
        </is>
      </c>
      <c r="AS1011" s="257" t="n">
        <v>7</v>
      </c>
      <c r="AT1011" s="258" t="inlineStr">
        <is>
          <t>TVG0005</t>
        </is>
      </c>
      <c r="AU1011" s="811" t="inlineStr">
        <is>
          <t>Si le type de risque [P2 2.0] = ('EQU101', 'EQU201', 'ISS100', 'ISS200', 'ISS300', 'TRE*', 'SIG*', 'VAR*', 'INT*'), et si la donnée est renseignée, alors elle doit être (supérieure ou égale à Date de signature du contrat initial [P2 22.67]) ET (inférieure ou égale à la date d'arrêté [0.1 (P2)])</t>
        </is>
      </c>
      <c r="AV1011" s="317" t="inlineStr">
        <is>
          <t>If Risk type [P2 2.0] = ('EQU101', 'EQU201', 'ISS100', 'ISS200', 'ISS300', 'TRE*', 'SIG*', 'VAR*', 'INT*'), and if the data is filled, then it must be (greater than or equal to the Date of signature of the initial contract [P2 22.67]) AND (less than or equal to the Closing date [0.1 (P2)])</t>
        </is>
      </c>
      <c r="AW1011" s="580" t="n">
        <v>6</v>
      </c>
      <c r="AX1011" s="812" t="inlineStr">
        <is>
          <t>TCS0748</t>
        </is>
      </c>
      <c r="AY1011" s="318" t="n"/>
      <c r="AZ1011" s="317" t="n"/>
      <c r="BA1011" s="257" t="n"/>
      <c r="BB1011" s="258" t="n"/>
      <c r="BC1011" s="316" t="n"/>
      <c r="BD1011" s="317" t="n"/>
      <c r="BE1011" s="257" t="n"/>
      <c r="BF1011" s="258" t="n"/>
      <c r="BG1011" s="89" t="n"/>
      <c r="BH10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11">
        <f>_xlfn.LET(r,ROW(),oc,INDEX($A:$A,r),cv,TRIM(INDEX($Y:$Y,r)&amp;""),IF(oc&lt;&gt;"P1","",IF(cv="45","V45 - novo, nao alimentado pelo spool atual","V44 - alimentado pelo spool atual")))</f>
        <v/>
      </c>
    </row>
    <row r="1012" ht="54" customFormat="1" customHeight="1" s="55">
      <c r="A1012" s="325" t="inlineStr">
        <is>
          <t>P2</t>
        </is>
      </c>
      <c r="B1012" s="326" t="n">
        <v>115</v>
      </c>
      <c r="C1012" s="284" t="inlineStr">
        <is>
          <t xml:space="preserve">08 - Caractéristiques d'arriérés et de restructuration </t>
        </is>
      </c>
      <c r="D1012" s="284" t="inlineStr">
        <is>
          <t>08 - Characteristics of overdues and restructuring</t>
        </is>
      </c>
      <c r="E1012" s="326" t="inlineStr">
        <is>
          <t>P2 21.17</t>
        </is>
      </c>
      <c r="F1012" s="327" t="inlineStr">
        <is>
          <t xml:space="preserve">Zone libre (ex Motif de l'état de performance de la créance) </t>
        </is>
      </c>
      <c r="G1012" s="327" t="inlineStr">
        <is>
          <t>Free zone (Ex Reason of performing debt indicator)</t>
        </is>
      </c>
      <c r="H1012" s="327" t="n"/>
      <c r="I1012" s="245" t="inlineStr">
        <is>
          <t>Zone libre</t>
        </is>
      </c>
      <c r="J1012" s="245" t="inlineStr">
        <is>
          <t>Free zone</t>
        </is>
      </c>
      <c r="K1012" s="328" t="inlineStr">
        <is>
          <t>NA</t>
        </is>
      </c>
      <c r="L1012" s="328" t="inlineStr">
        <is>
          <t>NA</t>
        </is>
      </c>
      <c r="M1012" s="1421" t="inlineStr">
        <is>
          <t>Zonelibre2117</t>
        </is>
      </c>
      <c r="N1012" s="284" t="inlineStr">
        <is>
          <t>NA</t>
        </is>
      </c>
      <c r="O1012" s="284" t="inlineStr">
        <is>
          <t>NA</t>
        </is>
      </c>
      <c r="P1012" s="284" t="inlineStr">
        <is>
          <t>NA</t>
        </is>
      </c>
      <c r="Q1012" s="284" t="inlineStr">
        <is>
          <t>NA</t>
        </is>
      </c>
      <c r="R1012" s="412" t="inlineStr">
        <is>
          <t>Laisser à vide</t>
        </is>
      </c>
      <c r="S1012" s="245" t="inlineStr">
        <is>
          <t>Leave empty</t>
        </is>
      </c>
      <c r="T1012" s="326" t="inlineStr">
        <is>
          <t>ALPHA</t>
        </is>
      </c>
      <c r="U1012" s="248" t="inlineStr">
        <is>
          <t>NA</t>
        </is>
      </c>
      <c r="V1012" s="248" t="inlineStr">
        <is>
          <t>NA</t>
        </is>
      </c>
      <c r="W1012" s="284" t="n">
        <v>2</v>
      </c>
      <c r="X1012" s="244" t="inlineStr">
        <is>
          <t>NA</t>
        </is>
      </c>
      <c r="Y1012" s="248" t="n">
        <v>42</v>
      </c>
      <c r="Z1012" s="248" t="inlineStr">
        <is>
          <t>NA</t>
        </is>
      </c>
      <c r="AA1012" s="248" t="inlineStr">
        <is>
          <t>NA</t>
        </is>
      </c>
      <c r="AB1012" s="284" t="inlineStr">
        <is>
          <t>NA</t>
        </is>
      </c>
      <c r="AC1012" s="244" t="inlineStr">
        <is>
          <t>NA</t>
        </is>
      </c>
      <c r="AD1012" s="284" t="inlineStr">
        <is>
          <t>N</t>
        </is>
      </c>
      <c r="AE1012" s="284" t="inlineStr">
        <is>
          <t>NA</t>
        </is>
      </c>
      <c r="AF1012" s="284" t="inlineStr">
        <is>
          <t>NA</t>
        </is>
      </c>
      <c r="AG1012" s="285" t="inlineStr">
        <is>
          <t>NA</t>
        </is>
      </c>
      <c r="AH1012" s="89" t="n"/>
      <c r="AI1012" s="330" t="n"/>
      <c r="AJ1012" s="331" t="n"/>
      <c r="AK1012" s="284" t="n"/>
      <c r="AL1012" s="285" t="n"/>
      <c r="AM1012" s="331" t="n"/>
      <c r="AN1012" s="331" t="n"/>
      <c r="AO1012" s="284" t="n"/>
      <c r="AP1012" s="285" t="n"/>
      <c r="AQ1012" s="331" t="n"/>
      <c r="AR1012" s="331" t="n"/>
      <c r="AS1012" s="284" t="n"/>
      <c r="AT1012" s="285" t="n"/>
      <c r="AU1012" s="331" t="n"/>
      <c r="AV1012" s="331" t="n"/>
      <c r="AW1012" s="284" t="n"/>
      <c r="AX1012" s="285" t="n"/>
      <c r="AY1012" s="331" t="n"/>
      <c r="AZ1012" s="331" t="n"/>
      <c r="BA1012" s="284" t="n"/>
      <c r="BB1012" s="285" t="n"/>
      <c r="BC1012" s="330" t="n"/>
      <c r="BD1012" s="331" t="n"/>
      <c r="BE1012" s="284" t="n"/>
      <c r="BF1012" s="285" t="n"/>
      <c r="BG1012" s="89" t="n"/>
      <c r="BH10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12">
        <f>_xlfn.LET(r,ROW(),oc,INDEX($A:$A,r),cv,TRIM(INDEX($Y:$Y,r)&amp;""),IF(oc&lt;&gt;"P1","",IF(cv="45","V45 - novo, nao alimentado pelo spool atual","V44 - alimentado pelo spool atual")))</f>
        <v/>
      </c>
    </row>
    <row r="1013" ht="54" customFormat="1" customHeight="1" s="90">
      <c r="A1013" s="306" t="inlineStr">
        <is>
          <t>P2</t>
        </is>
      </c>
      <c r="B1013" s="307" t="n">
        <v>116</v>
      </c>
      <c r="C1013" s="269" t="inlineStr">
        <is>
          <t xml:space="preserve">08 - Caractéristiques d'arriérés et de restructuration </t>
        </is>
      </c>
      <c r="D1013" s="310" t="inlineStr">
        <is>
          <t>08 - Characteristics of overdues and restructuring</t>
        </is>
      </c>
      <c r="E1013" s="372" t="inlineStr">
        <is>
          <t>P2 21.18</t>
        </is>
      </c>
      <c r="F1013" s="311" t="inlineStr">
        <is>
          <t>Nombre de restructuration pour risque</t>
        </is>
      </c>
      <c r="G1013" s="312" t="inlineStr">
        <is>
          <t>Number of restructurings for risk</t>
        </is>
      </c>
      <c r="H1013" s="312" t="n"/>
      <c r="I1013" s="241" t="inlineStr">
        <is>
          <t>Nombre de restructurations successives pour risque du contrat</t>
        </is>
      </c>
      <c r="J1013" s="309" t="inlineStr">
        <is>
          <t>Number of successive restructurings of the contract for risk reasons</t>
        </is>
      </c>
      <c r="K1013" s="370" t="inlineStr">
        <is>
          <t>ND</t>
        </is>
      </c>
      <c r="L1013" s="371" t="inlineStr">
        <is>
          <t>ND</t>
        </is>
      </c>
      <c r="M1013" s="1420" t="inlineStr">
        <is>
          <t>NbRest</t>
        </is>
      </c>
      <c r="N1013" s="231" t="inlineStr">
        <is>
          <t>Obligatoire sous conditions</t>
        </is>
      </c>
      <c r="O1013" s="310" t="inlineStr">
        <is>
          <t>Mandatory under conditions</t>
        </is>
      </c>
      <c r="P1013" s="269" t="inlineStr">
        <is>
          <t>NA</t>
        </is>
      </c>
      <c r="Q1013" s="269" t="inlineStr">
        <is>
          <t>NA</t>
        </is>
      </c>
      <c r="R1013" s="241" t="inlineStr">
        <is>
          <t>NA</t>
        </is>
      </c>
      <c r="S1013" s="233" t="inlineStr">
        <is>
          <t>NA</t>
        </is>
      </c>
      <c r="T1013" s="269" t="inlineStr">
        <is>
          <t>NUM</t>
        </is>
      </c>
      <c r="U1013" s="237" t="inlineStr">
        <is>
          <t>NA</t>
        </is>
      </c>
      <c r="V1013" s="238" t="inlineStr">
        <is>
          <t>NA</t>
        </is>
      </c>
      <c r="W1013" s="257" t="n">
        <v>2</v>
      </c>
      <c r="X1013" s="945" t="inlineStr">
        <is>
          <t>NA</t>
        </is>
      </c>
      <c r="Y1013" s="237" t="n">
        <v>43</v>
      </c>
      <c r="Z1013" s="237" t="inlineStr">
        <is>
          <t>NA</t>
        </is>
      </c>
      <c r="AA1013" s="239" t="inlineStr">
        <is>
          <t>NA</t>
        </is>
      </c>
      <c r="AB1013" s="269" t="inlineStr">
        <is>
          <t>USAGE ZP</t>
        </is>
      </c>
      <c r="AC1013" s="231" t="inlineStr">
        <is>
          <t>ND</t>
        </is>
      </c>
      <c r="AD1013" s="257" t="inlineStr">
        <is>
          <t>N</t>
        </is>
      </c>
      <c r="AE1013" s="257" t="inlineStr">
        <is>
          <t>NA</t>
        </is>
      </c>
      <c r="AF1013" s="257" t="inlineStr">
        <is>
          <t>NA</t>
        </is>
      </c>
      <c r="AG1013" s="258" t="inlineStr">
        <is>
          <t>NA</t>
        </is>
      </c>
      <c r="AH1013" s="89" t="n"/>
      <c r="AI1013" s="316" t="inlineStr">
        <is>
          <t>La donnée est obligatoire si le type de risque [P2 2.0] = 'TRExxx' ET si le statut de crédit [P2 21.5] = '1' ou '2'</t>
        </is>
      </c>
      <c r="AJ1013" s="317" t="inlineStr">
        <is>
          <t>The data is mandatory if risk type [P2 2.0] = 'TRExxx' AND if credit status [P2 21.5] = '1' or '2'</t>
        </is>
      </c>
      <c r="AK1013" s="257" t="n">
        <v>6</v>
      </c>
      <c r="AL1013" s="366" t="inlineStr">
        <is>
          <t>TPS1727</t>
        </is>
      </c>
      <c r="AM1013" s="318" t="n"/>
      <c r="AN1013" s="317" t="n"/>
      <c r="AO1013" s="257" t="n"/>
      <c r="AP1013" s="258" t="n"/>
      <c r="AQ1013" s="318" t="n"/>
      <c r="AR1013" s="317" t="n"/>
      <c r="AS1013" s="257" t="n"/>
      <c r="AT1013" s="258" t="n"/>
      <c r="AU1013" s="318" t="n"/>
      <c r="AV1013" s="317" t="n"/>
      <c r="AW1013" s="257" t="n"/>
      <c r="AX1013" s="258" t="n"/>
      <c r="AY1013" s="318" t="n"/>
      <c r="AZ1013" s="317" t="n"/>
      <c r="BA1013" s="257" t="n"/>
      <c r="BB1013" s="258" t="n"/>
      <c r="BC1013" s="316" t="n"/>
      <c r="BD1013" s="317" t="n"/>
      <c r="BE1013" s="257" t="n"/>
      <c r="BF1013" s="258" t="n"/>
      <c r="BG1013" s="89" t="n"/>
      <c r="BH10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13">
        <f>_xlfn.LET(r,ROW(),oc,INDEX($A:$A,r),cv,TRIM(INDEX($Y:$Y,r)&amp;""),IF(oc&lt;&gt;"P1","",IF(cv="45","V45 - novo, nao alimentado pelo spool atual","V44 - alimentado pelo spool atual")))</f>
        <v/>
      </c>
    </row>
    <row r="1014" ht="54" customFormat="1" customHeight="1" s="90">
      <c r="A1014" s="306" t="inlineStr">
        <is>
          <t>P2</t>
        </is>
      </c>
      <c r="B1014" s="307" t="n">
        <v>117</v>
      </c>
      <c r="C1014" s="269" t="inlineStr">
        <is>
          <t xml:space="preserve">08 - Caractéristiques d'arriérés et de restructuration </t>
        </is>
      </c>
      <c r="D1014" s="310" t="inlineStr">
        <is>
          <t>08 - Characteristics of overdues and restructuring</t>
        </is>
      </c>
      <c r="E1014" s="372" t="inlineStr">
        <is>
          <t>P2 21.19</t>
        </is>
      </c>
      <c r="F1014" s="311" t="inlineStr">
        <is>
          <t xml:space="preserve">Méthode de restructuration </t>
        </is>
      </c>
      <c r="G1014" s="312" t="inlineStr">
        <is>
          <t>Restructuring method</t>
        </is>
      </c>
      <c r="H1014" s="312" t="n"/>
      <c r="I1014" s="308" t="inlineStr">
        <is>
          <t>Méthode de restructuration (taux d'intérêt, allongement de durée, paiements échelonnés….)</t>
        </is>
      </c>
      <c r="J1014" s="309" t="inlineStr">
        <is>
          <t>Method of restructuring (interest rate, extended maturity, installment payments, etc.)</t>
        </is>
      </c>
      <c r="K1014" s="370" t="inlineStr">
        <is>
          <t>ND</t>
        </is>
      </c>
      <c r="L1014" s="371" t="inlineStr">
        <is>
          <t>ND</t>
        </is>
      </c>
      <c r="M1014" s="1420" t="inlineStr">
        <is>
          <t>cdMethRest</t>
        </is>
      </c>
      <c r="N1014" s="231" t="inlineStr">
        <is>
          <t>Obligatoire sous conditions</t>
        </is>
      </c>
      <c r="O1014" s="310" t="inlineStr">
        <is>
          <t>Mandatory under conditions</t>
        </is>
      </c>
      <c r="P1014" s="269" t="inlineStr">
        <is>
          <t>LC.0354</t>
        </is>
      </c>
      <c r="Q1014" s="269" t="inlineStr">
        <is>
          <t xml:space="preserve">TA Z8MRESTR </t>
        </is>
      </c>
      <c r="R1014" s="241" t="inlineStr">
        <is>
          <t>NA</t>
        </is>
      </c>
      <c r="S1014" s="233" t="inlineStr">
        <is>
          <t>NA</t>
        </is>
      </c>
      <c r="T1014" s="313" t="inlineStr">
        <is>
          <t>ALPHA</t>
        </is>
      </c>
      <c r="U1014" s="237" t="inlineStr">
        <is>
          <t>NA</t>
        </is>
      </c>
      <c r="V1014" s="238" t="inlineStr">
        <is>
          <t>NA</t>
        </is>
      </c>
      <c r="W1014" s="257" t="n">
        <v>2</v>
      </c>
      <c r="X1014" s="945" t="inlineStr">
        <is>
          <t>NA</t>
        </is>
      </c>
      <c r="Y1014" s="237" t="n">
        <v>43</v>
      </c>
      <c r="Z1014" s="237" t="inlineStr">
        <is>
          <t>NA</t>
        </is>
      </c>
      <c r="AA1014" s="239" t="inlineStr">
        <is>
          <t>NA</t>
        </is>
      </c>
      <c r="AB1014" s="636" t="inlineStr">
        <is>
          <t>ASTRE</t>
        </is>
      </c>
      <c r="AC1014" s="231" t="inlineStr">
        <is>
          <t>ND</t>
        </is>
      </c>
      <c r="AD1014" s="257" t="inlineStr">
        <is>
          <t>N</t>
        </is>
      </c>
      <c r="AE1014" s="257" t="inlineStr">
        <is>
          <t>NA</t>
        </is>
      </c>
      <c r="AF1014" s="257" t="inlineStr">
        <is>
          <t>NA</t>
        </is>
      </c>
      <c r="AG1014" s="258" t="inlineStr">
        <is>
          <t>NA</t>
        </is>
      </c>
      <c r="AH1014" s="89" t="n"/>
      <c r="AI1014" s="316" t="inlineStr">
        <is>
          <t>La donnée est obligatoire si le type de risque [P2 2.0] = 'TRExxx' ET si le statut de crédit [P2 21.5] = '1' ou '2'</t>
        </is>
      </c>
      <c r="AJ1014" s="317" t="inlineStr">
        <is>
          <t>The data is mandatory if risk type [P2 2.0] = 'TRExxx' AND if credit status [P2 21.5] = '1' or '2'</t>
        </is>
      </c>
      <c r="AK1014" s="257" t="n">
        <v>5</v>
      </c>
      <c r="AL1014" s="366" t="inlineStr">
        <is>
          <t>TPS1727</t>
        </is>
      </c>
      <c r="AM1014" s="452" t="inlineStr">
        <is>
          <t>Si elle est renseignée, la valeur doit être connue du Langage Commun associé</t>
        </is>
      </c>
      <c r="AN1014" s="377" t="inlineStr">
        <is>
          <t>If specified, the value must be known to the associated Common Language</t>
        </is>
      </c>
      <c r="AO1014" s="257" t="n">
        <v>7</v>
      </c>
      <c r="AP1014" s="212" t="inlineStr">
        <is>
          <t>TIG0001</t>
        </is>
      </c>
      <c r="AQ1014" s="318" t="n"/>
      <c r="AR1014" s="317" t="n"/>
      <c r="AS1014" s="257" t="n"/>
      <c r="AT1014" s="258" t="n"/>
      <c r="AU1014" s="318" t="n"/>
      <c r="AV1014" s="317" t="n"/>
      <c r="AW1014" s="257" t="n"/>
      <c r="AX1014" s="258" t="n"/>
      <c r="AY1014" s="318" t="n"/>
      <c r="AZ1014" s="317" t="n"/>
      <c r="BA1014" s="257" t="n"/>
      <c r="BB1014" s="258" t="n"/>
      <c r="BC1014" s="316" t="n"/>
      <c r="BD1014" s="317" t="n"/>
      <c r="BE1014" s="257" t="n"/>
      <c r="BF1014" s="258" t="n"/>
      <c r="BG1014" s="89" t="n"/>
      <c r="BH10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14">
        <f>_xlfn.LET(r,ROW(),oc,INDEX($A:$A,r),cv,TRIM(INDEX($Y:$Y,r)&amp;""),IF(oc&lt;&gt;"P1","",IF(cv="45","V45 - novo, nao alimentado pelo spool atual","V44 - alimentado pelo spool atual")))</f>
        <v/>
      </c>
    </row>
    <row r="1015" ht="54" customFormat="1" customHeight="1" s="55">
      <c r="A1015" s="325" t="inlineStr">
        <is>
          <t>P2</t>
        </is>
      </c>
      <c r="B1015" s="326" t="n">
        <v>118</v>
      </c>
      <c r="C1015" s="284" t="inlineStr">
        <is>
          <t>NA</t>
        </is>
      </c>
      <c r="D1015" s="284" t="inlineStr">
        <is>
          <t>NA</t>
        </is>
      </c>
      <c r="E1015" s="326" t="inlineStr">
        <is>
          <t>P2 21.99</t>
        </is>
      </c>
      <c r="F1015" s="327" t="inlineStr">
        <is>
          <t>Filler</t>
        </is>
      </c>
      <c r="G1015" s="327" t="inlineStr">
        <is>
          <t>Filler</t>
        </is>
      </c>
      <c r="H1015" s="327" t="n"/>
      <c r="I1015" s="247" t="inlineStr">
        <is>
          <t>Zone libre</t>
        </is>
      </c>
      <c r="J1015" s="327" t="inlineStr">
        <is>
          <t>Free zone</t>
        </is>
      </c>
      <c r="K1015" s="388" t="inlineStr">
        <is>
          <t>NA</t>
        </is>
      </c>
      <c r="L1015" s="388" t="inlineStr">
        <is>
          <t>NA</t>
        </is>
      </c>
      <c r="M1015" s="1421" t="inlineStr">
        <is>
          <t>ZoneLibre21</t>
        </is>
      </c>
      <c r="N1015" s="284" t="inlineStr">
        <is>
          <t>NA</t>
        </is>
      </c>
      <c r="O1015" s="284" t="inlineStr">
        <is>
          <t>NA</t>
        </is>
      </c>
      <c r="P1015" s="284" t="inlineStr">
        <is>
          <t>NA</t>
        </is>
      </c>
      <c r="Q1015" s="284" t="inlineStr">
        <is>
          <t>NA</t>
        </is>
      </c>
      <c r="R1015" s="247" t="inlineStr">
        <is>
          <t>Laisser à vide</t>
        </is>
      </c>
      <c r="S1015" s="247" t="inlineStr">
        <is>
          <t>Leave empty</t>
        </is>
      </c>
      <c r="T1015" s="326" t="inlineStr">
        <is>
          <t>ALPHA</t>
        </is>
      </c>
      <c r="U1015" s="248" t="inlineStr">
        <is>
          <t>NA</t>
        </is>
      </c>
      <c r="V1015" s="248" t="inlineStr">
        <is>
          <t>NA</t>
        </is>
      </c>
      <c r="W1015" s="284" t="n">
        <v>2</v>
      </c>
      <c r="X1015" s="244" t="inlineStr">
        <is>
          <t>NA</t>
        </is>
      </c>
      <c r="Y1015" s="248" t="inlineStr">
        <is>
          <t>NA</t>
        </is>
      </c>
      <c r="Z1015" s="248" t="inlineStr">
        <is>
          <t>NA</t>
        </is>
      </c>
      <c r="AA1015" s="248" t="inlineStr">
        <is>
          <t>NA</t>
        </is>
      </c>
      <c r="AB1015" s="284" t="inlineStr">
        <is>
          <t>NA</t>
        </is>
      </c>
      <c r="AC1015" s="244" t="inlineStr">
        <is>
          <t>NA</t>
        </is>
      </c>
      <c r="AD1015" s="284" t="inlineStr">
        <is>
          <t>N</t>
        </is>
      </c>
      <c r="AE1015" s="284" t="inlineStr">
        <is>
          <t>NA</t>
        </is>
      </c>
      <c r="AF1015" s="284" t="inlineStr">
        <is>
          <t>NA</t>
        </is>
      </c>
      <c r="AG1015" s="285" t="inlineStr">
        <is>
          <t>NA</t>
        </is>
      </c>
      <c r="AH1015" s="89" t="n"/>
      <c r="AI1015" s="330" t="n"/>
      <c r="AJ1015" s="331" t="n"/>
      <c r="AK1015" s="284" t="n"/>
      <c r="AL1015" s="285" t="n"/>
      <c r="AM1015" s="331" t="n"/>
      <c r="AN1015" s="331" t="n"/>
      <c r="AO1015" s="284" t="n"/>
      <c r="AP1015" s="285" t="n"/>
      <c r="AQ1015" s="331" t="n"/>
      <c r="AR1015" s="331" t="n"/>
      <c r="AS1015" s="284" t="n"/>
      <c r="AT1015" s="285" t="n"/>
      <c r="AU1015" s="331" t="n"/>
      <c r="AV1015" s="331" t="n"/>
      <c r="AW1015" s="284" t="n"/>
      <c r="AX1015" s="285" t="n"/>
      <c r="AY1015" s="331" t="n"/>
      <c r="AZ1015" s="331" t="n"/>
      <c r="BA1015" s="284" t="n"/>
      <c r="BB1015" s="285" t="n"/>
      <c r="BC1015" s="330" t="n"/>
      <c r="BD1015" s="331" t="n"/>
      <c r="BE1015" s="284" t="n"/>
      <c r="BF1015" s="285" t="n"/>
      <c r="BG1015" s="89" t="n"/>
      <c r="BH10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15">
        <f>_xlfn.LET(r,ROW(),oc,INDEX($A:$A,r),cv,TRIM(INDEX($Y:$Y,r)&amp;""),IF(oc&lt;&gt;"P1","",IF(cv="45","V45 - novo, nao alimentado pelo spool atual","V44 - alimentado pelo spool atual")))</f>
        <v/>
      </c>
    </row>
    <row r="1016" ht="54" customFormat="1" customHeight="1" s="90">
      <c r="A1016" s="306" t="inlineStr">
        <is>
          <t>P2</t>
        </is>
      </c>
      <c r="B1016" s="307" t="n">
        <v>119</v>
      </c>
      <c r="C1016" s="269" t="inlineStr">
        <is>
          <t>06 - Caractéristiques échéancier</t>
        </is>
      </c>
      <c r="D1016" s="236" t="inlineStr">
        <is>
          <t>06 - Schedule characteristics</t>
        </is>
      </c>
      <c r="E1016" s="307" t="inlineStr">
        <is>
          <t>P2 22.56</t>
        </is>
      </c>
      <c r="F1016" s="375" t="inlineStr">
        <is>
          <t>Indicateur produit échéancé</t>
        </is>
      </c>
      <c r="G1016" s="309" t="inlineStr">
        <is>
          <t>Indicator product schedule</t>
        </is>
      </c>
      <c r="H1016" s="309" t="n"/>
      <c r="I1016" s="278" t="inlineStr">
        <is>
          <t>Indique si le produit fait ou ne fait pas l'objet d'un échéancement</t>
        </is>
      </c>
      <c r="J1016" s="581" t="inlineStr">
        <is>
          <t>Indicates if the product has or not one or many schedules</t>
        </is>
      </c>
      <c r="K1016" s="370" t="inlineStr">
        <is>
          <t>ND</t>
        </is>
      </c>
      <c r="L1016" s="371" t="inlineStr">
        <is>
          <t>ND</t>
        </is>
      </c>
      <c r="M1016" s="1420" t="inlineStr">
        <is>
          <t>cdProd</t>
        </is>
      </c>
      <c r="N1016" s="231" t="inlineStr">
        <is>
          <t>Obligatoire</t>
        </is>
      </c>
      <c r="O1016" s="236" t="inlineStr">
        <is>
          <t>Mandatory</t>
        </is>
      </c>
      <c r="P1016" s="269" t="inlineStr">
        <is>
          <t>LC.0256</t>
        </is>
      </c>
      <c r="Q1016" s="269" t="inlineStr">
        <is>
          <t>TA KVIPE</t>
        </is>
      </c>
      <c r="R1016" s="1249" t="inlineStr">
        <is>
          <t>Ne concerne que les types de risque "TRExxx".
Pour les autres types risques, renseigner à 'NEC'.
Un produit est dit "échéancé" s'il a au moins une échéance (i.e. cas des remboursements linéaire , montant constant, in fine, etc.).
Cette donnée permet d'identifier les produits pour lesquels un échéancier doit être associé (calculé en central ou fourni). Les produits non échéancés sont ceux pour lesquels aucun tableau d'amortissement n'est requis (exemple : les découverts). Dans ce cas, ces produits seront traitées par défaut comme In fine sur la base de la date de fin d'engagement</t>
        </is>
      </c>
      <c r="S1016" s="233" t="inlineStr">
        <is>
          <t>Concerns risk types "TRExxx" only. For other type of risk indicate 'NEC'.
A product is said to be "scheduled" if it has at least one term (with amortizing method that could be linear, constant installment, in fine, etc. ).
This data allows to identify the products for which a schedule must be associated (calculated at central level or provided by entity). There some products for which no amortization schedule is required (eg overdrafts). In this case, these products will be treated by default as "In fine" based on the end date of commitment</t>
        </is>
      </c>
      <c r="T1016" s="313" t="inlineStr">
        <is>
          <t>ALPHA</t>
        </is>
      </c>
      <c r="U1016" s="237" t="inlineStr">
        <is>
          <t>NA</t>
        </is>
      </c>
      <c r="V1016" s="238" t="inlineStr">
        <is>
          <t>NA</t>
        </is>
      </c>
      <c r="W1016" s="269" t="n">
        <v>3</v>
      </c>
      <c r="X1016" s="231" t="inlineStr">
        <is>
          <t>NA</t>
        </is>
      </c>
      <c r="Y1016" s="237" t="n">
        <v>41</v>
      </c>
      <c r="Z1016" s="237" t="inlineStr">
        <is>
          <t>NA</t>
        </is>
      </c>
      <c r="AA1016" s="270" t="inlineStr">
        <is>
          <t>45.00</t>
        </is>
      </c>
      <c r="AB1016" s="932" t="inlineStr">
        <is>
          <t>LIQUIDITE, OMP</t>
        </is>
      </c>
      <c r="AC1016" s="231" t="inlineStr">
        <is>
          <t>ND</t>
        </is>
      </c>
      <c r="AD1016" s="257" t="inlineStr">
        <is>
          <t>N</t>
        </is>
      </c>
      <c r="AE1016" s="257" t="inlineStr">
        <is>
          <t>NA</t>
        </is>
      </c>
      <c r="AF1016" s="257" t="inlineStr">
        <is>
          <t>NA</t>
        </is>
      </c>
      <c r="AG1016" s="258" t="inlineStr">
        <is>
          <t>NA</t>
        </is>
      </c>
      <c r="AH1016" s="89" t="n"/>
      <c r="AI1016" s="316" t="inlineStr">
        <is>
          <t>La donnée est obligatoire</t>
        </is>
      </c>
      <c r="AJ1016" s="317" t="inlineStr">
        <is>
          <t>The data is mandatory</t>
        </is>
      </c>
      <c r="AK1016" s="257" t="n">
        <v>6</v>
      </c>
      <c r="AL1016" s="335" t="inlineStr">
        <is>
          <t>TPG0001</t>
        </is>
      </c>
      <c r="AM1016" s="318" t="inlineStr">
        <is>
          <t>Si elle est renseignée, la valeur doit être connue du Langage Commun associé</t>
        </is>
      </c>
      <c r="AN1016" s="317" t="inlineStr">
        <is>
          <t>If specified, the value must be known to the associated Common Language</t>
        </is>
      </c>
      <c r="AO1016" s="257" t="n">
        <v>7</v>
      </c>
      <c r="AP1016" s="212" t="inlineStr">
        <is>
          <t>TIG0001</t>
        </is>
      </c>
      <c r="AQ1016" s="318" t="n"/>
      <c r="AR1016" s="317" t="n"/>
      <c r="AS1016" s="257" t="n"/>
      <c r="AT1016" s="258" t="n"/>
      <c r="AU1016" s="318" t="n"/>
      <c r="AV1016" s="317" t="n"/>
      <c r="AW1016" s="257" t="n"/>
      <c r="AX1016" s="258" t="n"/>
      <c r="AY1016" s="318" t="n"/>
      <c r="AZ1016" s="317" t="n"/>
      <c r="BA1016" s="257" t="n"/>
      <c r="BB1016" s="258" t="n"/>
      <c r="BC1016" s="316" t="n"/>
      <c r="BD1016" s="317" t="n"/>
      <c r="BE1016" s="257" t="n"/>
      <c r="BF1016" s="258" t="n"/>
      <c r="BG1016" s="89" t="n"/>
      <c r="BH10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16">
        <f>_xlfn.LET(r,ROW(),oc,INDEX($A:$A,r),cv,TRIM(INDEX($Y:$Y,r)&amp;""),IF(oc&lt;&gt;"P1","",IF(cv="45","V45 - novo, nao alimentado pelo spool atual","V44 - alimentado pelo spool atual")))</f>
        <v/>
      </c>
    </row>
    <row r="1017" ht="54" customFormat="1" customHeight="1" s="90">
      <c r="A1017" s="306" t="inlineStr">
        <is>
          <t>P2</t>
        </is>
      </c>
      <c r="B1017" s="307" t="n">
        <v>120</v>
      </c>
      <c r="C1017" s="269" t="inlineStr">
        <is>
          <t>23 - Caractéristiques palier</t>
        </is>
      </c>
      <c r="D1017" s="236" t="inlineStr">
        <is>
          <t>23 - Stage characteristics</t>
        </is>
      </c>
      <c r="E1017" s="307" t="inlineStr">
        <is>
          <t>P2 22.57</t>
        </is>
      </c>
      <c r="F1017" s="375" t="inlineStr">
        <is>
          <t>Indicateur objet métier palier fourni</t>
        </is>
      </c>
      <c r="G1017" s="309" t="inlineStr">
        <is>
          <t>Indicator of business object stage provided</t>
        </is>
      </c>
      <c r="H1017" s="309" t="n"/>
      <c r="I1017" s="241" t="inlineStr">
        <is>
          <t xml:space="preserve">Indicateur permettant d'indiquer que les données nécessaires au calcul de l'échéancier à date sont reportées dans l'objet PALIER du flux échéancier C2RE.
les caractéristiques permettant de reconstituer l'échéancier sont dans ce cas facultatif </t>
        </is>
      </c>
      <c r="J1017" s="233" t="inlineStr">
        <is>
          <t>Indicator specifying that the data required to calculate repayment schedule to date is reported in the STAGE (PALIER) object of C2RE flow. 
In this case, the characteristics allowing to reconstitute the schedule are optional</t>
        </is>
      </c>
      <c r="K1017" s="269" t="inlineStr">
        <is>
          <t>ND</t>
        </is>
      </c>
      <c r="L1017" s="310" t="inlineStr">
        <is>
          <t>ND</t>
        </is>
      </c>
      <c r="M1017" s="1420" t="inlineStr">
        <is>
          <t>IndicOMPalier</t>
        </is>
      </c>
      <c r="N1017" s="231" t="inlineStr">
        <is>
          <t>Obligatoire sous conditions</t>
        </is>
      </c>
      <c r="O1017" s="284" t="inlineStr">
        <is>
          <t>Mandatory under conditions</t>
        </is>
      </c>
      <c r="P1017" s="269" t="inlineStr">
        <is>
          <t>LC.0250</t>
        </is>
      </c>
      <c r="Q1017" s="269" t="inlineStr">
        <is>
          <t>TA KVIOMPAL</t>
        </is>
      </c>
      <c r="R1017" s="241" t="inlineStr">
        <is>
          <t>Si les informations sont fournies dans l'objet PALIER du flux échéancier C2RE, l'indicateur objet métier palier fourni doit être renseignée à 'Y'</t>
        </is>
      </c>
      <c r="S1017" s="233" t="inlineStr">
        <is>
          <t>If the information is provided in the STAGE (PALIER) object of the C2RE schedule flow, the "Business object stage provided indicator" = 'Y'</t>
        </is>
      </c>
      <c r="T1017" s="313" t="inlineStr">
        <is>
          <t>ALPHA</t>
        </is>
      </c>
      <c r="U1017" s="237" t="inlineStr">
        <is>
          <t>NA</t>
        </is>
      </c>
      <c r="V1017" s="238" t="inlineStr">
        <is>
          <t>NA</t>
        </is>
      </c>
      <c r="W1017" s="269" t="n">
        <v>1</v>
      </c>
      <c r="X1017" s="231" t="inlineStr">
        <is>
          <t>NA</t>
        </is>
      </c>
      <c r="Y1017" s="237" t="n">
        <v>41</v>
      </c>
      <c r="Z1017" s="237" t="inlineStr">
        <is>
          <t>NA</t>
        </is>
      </c>
      <c r="AA1017" s="283" t="inlineStr">
        <is>
          <t>NA</t>
        </is>
      </c>
      <c r="AB1017" s="269" t="inlineStr">
        <is>
          <t>OMP, PALMA</t>
        </is>
      </c>
      <c r="AC1017" s="231" t="inlineStr">
        <is>
          <t>ND</t>
        </is>
      </c>
      <c r="AD1017" s="257" t="inlineStr">
        <is>
          <t>N</t>
        </is>
      </c>
      <c r="AE1017" s="795" t="inlineStr">
        <is>
          <t>NA</t>
        </is>
      </c>
      <c r="AF1017" s="257" t="inlineStr">
        <is>
          <t>NA</t>
        </is>
      </c>
      <c r="AG1017" s="258" t="inlineStr">
        <is>
          <t>NA</t>
        </is>
      </c>
      <c r="AH1017" s="89" t="n"/>
      <c r="AI1017" s="439" t="inlineStr">
        <is>
          <t>La donnée est obligatoire si la donnée indicateur produit échéancé [P2 22.56] = 'ECH'</t>
        </is>
      </c>
      <c r="AJ1017" s="317" t="inlineStr">
        <is>
          <t>The data is mandatory if the indicator product schedule [P2 22.56] = 'ECH'</t>
        </is>
      </c>
      <c r="AK1017" s="257" t="n">
        <v>7</v>
      </c>
      <c r="AL1017" s="366" t="inlineStr">
        <is>
          <t>TPS1728</t>
        </is>
      </c>
      <c r="AM1017" s="452" t="inlineStr">
        <is>
          <t>Si elle est renseignée, la valeur doit être connue du Langage Commun associé</t>
        </is>
      </c>
      <c r="AN1017" s="377" t="inlineStr">
        <is>
          <t>If specified, the value must be known to the associated Common Language</t>
        </is>
      </c>
      <c r="AO1017" s="257" t="n">
        <v>7</v>
      </c>
      <c r="AP1017" s="212" t="inlineStr">
        <is>
          <t>TIG0001</t>
        </is>
      </c>
      <c r="AQ1017" s="318" t="n"/>
      <c r="AR1017" s="317" t="n"/>
      <c r="AS1017" s="257" t="n"/>
      <c r="AT1017" s="258" t="n"/>
      <c r="AU1017" s="318" t="n"/>
      <c r="AV1017" s="317" t="n"/>
      <c r="AW1017" s="257" t="n"/>
      <c r="AX1017" s="258" t="n"/>
      <c r="AY1017" s="582" t="inlineStr">
        <is>
          <t>Si la valeur renseignée est 'Y', il existe au moins un enregistrement de même identifiant (1.11 (P2) Identifiant de l'engagement) dans l'objet métier palier E0</t>
        </is>
      </c>
      <c r="AZ1017" s="489" t="inlineStr">
        <is>
          <t xml:space="preserve">If the value filled is 'Y', there is at least one record linked with the same identifier (1.11 (P2) Commitment identifier) in the stage business object E0 </t>
        </is>
      </c>
      <c r="BA1017" s="583" t="n">
        <v>6</v>
      </c>
      <c r="BB1017" s="481" t="inlineStr">
        <is>
          <t>TC1789</t>
        </is>
      </c>
      <c r="BC1017" s="316" t="n"/>
      <c r="BD1017" s="317" t="n"/>
      <c r="BE1017" s="257" t="n"/>
      <c r="BF1017" s="258" t="n"/>
      <c r="BG1017" s="89" t="n"/>
      <c r="BH10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17">
        <f>_xlfn.LET(r,ROW(),oc,INDEX($A:$A,r),cv,TRIM(INDEX($Y:$Y,r)&amp;""),IF(oc&lt;&gt;"P1","",IF(cv="45","V45 - novo, nao alimentado pelo spool atual","V44 - alimentado pelo spool atual")))</f>
        <v/>
      </c>
    </row>
    <row r="1018" ht="54" customFormat="1" customHeight="1" s="90">
      <c r="A1018" s="306" t="inlineStr">
        <is>
          <t>P2</t>
        </is>
      </c>
      <c r="B1018" s="307" t="n">
        <v>121</v>
      </c>
      <c r="C1018" s="269" t="inlineStr">
        <is>
          <t>03 - Caractéristiques Générales</t>
        </is>
      </c>
      <c r="D1018" s="236" t="inlineStr">
        <is>
          <t>03 - General characteristics</t>
        </is>
      </c>
      <c r="E1018" s="307" t="inlineStr">
        <is>
          <t>P2 4.42</t>
        </is>
      </c>
      <c r="F1018" s="375" t="inlineStr">
        <is>
          <t>Type de produit bancaire</t>
        </is>
      </c>
      <c r="G1018" s="309" t="inlineStr">
        <is>
          <t>Banking Product type</t>
        </is>
      </c>
      <c r="H1018" s="309" t="n"/>
      <c r="I1018" s="314" t="inlineStr">
        <is>
          <t>Classification des produits bancaires et financiers</t>
        </is>
      </c>
      <c r="J1018" s="233" t="inlineStr">
        <is>
          <t>Banking and financial products classification</t>
        </is>
      </c>
      <c r="K1018" s="269" t="inlineStr">
        <is>
          <t>ND</t>
        </is>
      </c>
      <c r="L1018" s="310" t="inlineStr">
        <is>
          <t>ND</t>
        </is>
      </c>
      <c r="M1018" s="1420" t="inlineStr">
        <is>
          <t>cdTypProd</t>
        </is>
      </c>
      <c r="N1018" s="231" t="inlineStr">
        <is>
          <t>Obligatoire</t>
        </is>
      </c>
      <c r="O1018" s="284" t="inlineStr">
        <is>
          <t>Mandatory</t>
        </is>
      </c>
      <c r="P1018" s="269" t="inlineStr">
        <is>
          <t>LC.0303</t>
        </is>
      </c>
      <c r="Q1018" s="269" t="inlineStr">
        <is>
          <t xml:space="preserve">TA Z8PRODUI </t>
        </is>
      </c>
      <c r="R1018" s="232" t="inlineStr">
        <is>
          <t>NA</t>
        </is>
      </c>
      <c r="S1018" s="312" t="inlineStr">
        <is>
          <t>NA</t>
        </is>
      </c>
      <c r="T1018" s="313" t="inlineStr">
        <is>
          <t>ALPHA</t>
        </is>
      </c>
      <c r="U1018" s="237" t="inlineStr">
        <is>
          <t>NA</t>
        </is>
      </c>
      <c r="V1018" s="238" t="inlineStr">
        <is>
          <t>NA</t>
        </is>
      </c>
      <c r="W1018" s="397" t="n">
        <v>6</v>
      </c>
      <c r="X1018" s="945" t="inlineStr">
        <is>
          <t>NA</t>
        </is>
      </c>
      <c r="Y1018" s="237" t="n">
        <v>41</v>
      </c>
      <c r="Z1018" s="237" t="inlineStr">
        <is>
          <t>NA</t>
        </is>
      </c>
      <c r="AA1018" s="239" t="inlineStr">
        <is>
          <t>45.00</t>
        </is>
      </c>
      <c r="AB1018" s="932" t="inlineStr">
        <is>
          <t>AER, ANACREDIT, ASTRE, CONGLOMERATS, LIQUIDITE, NPE, PALMA</t>
        </is>
      </c>
      <c r="AC1018" s="231" t="inlineStr">
        <is>
          <t>ND</t>
        </is>
      </c>
      <c r="AD1018" s="257" t="inlineStr">
        <is>
          <t>N</t>
        </is>
      </c>
      <c r="AE1018" s="257" t="inlineStr">
        <is>
          <t>NA</t>
        </is>
      </c>
      <c r="AF1018" s="257" t="inlineStr">
        <is>
          <t>NA</t>
        </is>
      </c>
      <c r="AG1018" s="258" t="inlineStr">
        <is>
          <t>NA</t>
        </is>
      </c>
      <c r="AH1018" s="89" t="n"/>
      <c r="AI1018" s="353" t="inlineStr">
        <is>
          <t>La donnée est obligatoire</t>
        </is>
      </c>
      <c r="AJ1018" s="317" t="inlineStr">
        <is>
          <t>The data is mandatory</t>
        </is>
      </c>
      <c r="AK1018" s="269" t="n">
        <v>7</v>
      </c>
      <c r="AL1018" s="335" t="inlineStr">
        <is>
          <t>TPG0001</t>
        </is>
      </c>
      <c r="AM1018" s="376" t="inlineStr">
        <is>
          <t>Si elle est renseignée, la valeur doit être connue du Langage Commun associé</t>
        </is>
      </c>
      <c r="AN1018" s="377" t="inlineStr">
        <is>
          <t>If specified, the value must be known to the associated Common Language</t>
        </is>
      </c>
      <c r="AO1018" s="269" t="n">
        <v>7</v>
      </c>
      <c r="AP1018" s="212" t="inlineStr">
        <is>
          <t>TIG0001</t>
        </is>
      </c>
      <c r="AQ1018" s="318" t="n"/>
      <c r="AR1018" s="317" t="n"/>
      <c r="AS1018" s="257" t="n"/>
      <c r="AT1018" s="258" t="n"/>
      <c r="AU1018" s="354" t="inlineStr">
        <is>
          <t>Le type de produit bancaire doit être cohérent avec le type d'enregistrement (la colonne Z8OMZPFR lié au type de produit de la table Z8COPROM doit correspondre à l'objet métier concerné)</t>
        </is>
      </c>
      <c r="AV1018" s="317" t="inlineStr">
        <is>
          <t>The type of banking product must be consistent with the type of record (the Z8OMZPFR column linked to the product type of the Z8COPROM table must correspond to the business object concerned)</t>
        </is>
      </c>
      <c r="AW1018" s="269" t="n">
        <v>7</v>
      </c>
      <c r="AX1018" s="355" t="inlineStr">
        <is>
          <t>TCG0001</t>
        </is>
      </c>
      <c r="AY1018" s="318" t="n"/>
      <c r="AZ1018" s="317" t="n"/>
      <c r="BA1018" s="257" t="n"/>
      <c r="BB1018" s="258" t="n"/>
      <c r="BC1018" s="278" t="inlineStr">
        <is>
          <t>Si la combinaison de donnée n'est pas trouvée dans la matrice des règles de gestion C31, le contrôle doit se lever</t>
        </is>
      </c>
      <c r="BD1018" s="160" t="inlineStr">
        <is>
          <t>If the data combinaison is not found in the C31 business rules matrix, the control must trigger</t>
        </is>
      </c>
      <c r="BE1018" s="257" t="n">
        <v>6</v>
      </c>
      <c r="BF1018" s="393" t="inlineStr">
        <is>
          <t>TC0C31</t>
        </is>
      </c>
      <c r="BG1018" s="89" t="n"/>
      <c r="BH10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18">
        <f>_xlfn.LET(r,ROW(),oc,INDEX($A:$A,r),cv,TRIM(INDEX($Y:$Y,r)&amp;""),IF(oc&lt;&gt;"P1","",IF(cv="45","V45 - novo, nao alimentado pelo spool atual","V44 - alimentado pelo spool atual")))</f>
        <v/>
      </c>
    </row>
    <row r="1019" ht="54" customFormat="1" customHeight="1" s="90">
      <c r="A1019" s="306" t="inlineStr">
        <is>
          <t>P2</t>
        </is>
      </c>
      <c r="B1019" s="307" t="n">
        <v>122</v>
      </c>
      <c r="C1019" s="269" t="inlineStr">
        <is>
          <t>02 - Caractéristiques d'identification fonctionnelles</t>
        </is>
      </c>
      <c r="D1019" s="236" t="inlineStr">
        <is>
          <t>02 - Functional identification characteristics</t>
        </is>
      </c>
      <c r="E1019" s="307" t="inlineStr">
        <is>
          <t>P2 22.1</t>
        </is>
      </c>
      <c r="F1019" s="308" t="inlineStr">
        <is>
          <t>Référence unique du contrat</t>
        </is>
      </c>
      <c r="G1019" s="309" t="inlineStr">
        <is>
          <t>Unique contract reference</t>
        </is>
      </c>
      <c r="H1019" s="309" t="n"/>
      <c r="I1019" s="241" t="inlineStr">
        <is>
          <t>Référence Unique du contrat dans le système de gestion source de l'entité</t>
        </is>
      </c>
      <c r="J1019" s="309" t="inlineStr">
        <is>
          <t>Unique contract reference in the local management IT system of the issuing entity</t>
        </is>
      </c>
      <c r="K1019" s="370" t="inlineStr">
        <is>
          <t>ND</t>
        </is>
      </c>
      <c r="L1019" s="371" t="inlineStr">
        <is>
          <t>ND</t>
        </is>
      </c>
      <c r="M1019" s="1420" t="inlineStr">
        <is>
          <t>cdCt</t>
        </is>
      </c>
      <c r="N1019" s="231" t="inlineStr">
        <is>
          <t>Obligatoire</t>
        </is>
      </c>
      <c r="O1019" s="310" t="inlineStr">
        <is>
          <t>Mandatory</t>
        </is>
      </c>
      <c r="P1019" s="269" t="inlineStr">
        <is>
          <t>NA</t>
        </is>
      </c>
      <c r="Q1019" s="269" t="inlineStr">
        <is>
          <t>NA</t>
        </is>
      </c>
      <c r="R1019" s="241" t="inlineStr">
        <is>
          <t>NA</t>
        </is>
      </c>
      <c r="S1019" s="233" t="inlineStr">
        <is>
          <t>NA</t>
        </is>
      </c>
      <c r="T1019" s="313" t="inlineStr">
        <is>
          <t>ALPHA</t>
        </is>
      </c>
      <c r="U1019" s="237" t="inlineStr">
        <is>
          <t>NA</t>
        </is>
      </c>
      <c r="V1019" s="238" t="inlineStr">
        <is>
          <t>NA</t>
        </is>
      </c>
      <c r="W1019" s="257" t="n">
        <v>40</v>
      </c>
      <c r="X1019" s="945" t="inlineStr">
        <is>
          <t>NA</t>
        </is>
      </c>
      <c r="Y1019" s="237" t="n">
        <v>41</v>
      </c>
      <c r="Z1019" s="237" t="inlineStr">
        <is>
          <t>NA</t>
        </is>
      </c>
      <c r="AA1019" s="978" t="inlineStr">
        <is>
          <t>45.00</t>
        </is>
      </c>
      <c r="AB1019" s="932" t="inlineStr">
        <is>
          <t>ANACREDIT, CONGLOMERATS, LIQUIDITE, NZBA, OMP, PALMA</t>
        </is>
      </c>
      <c r="AC1019" s="231" t="inlineStr">
        <is>
          <t>ND</t>
        </is>
      </c>
      <c r="AD1019" s="257" t="inlineStr">
        <is>
          <t>N</t>
        </is>
      </c>
      <c r="AE1019" s="257" t="inlineStr">
        <is>
          <t>NA</t>
        </is>
      </c>
      <c r="AF1019" s="257" t="inlineStr">
        <is>
          <t>NA</t>
        </is>
      </c>
      <c r="AG1019" s="258" t="inlineStr">
        <is>
          <t>NA</t>
        </is>
      </c>
      <c r="AH1019" s="89" t="n"/>
      <c r="AI1019" s="316" t="inlineStr">
        <is>
          <t>La donnée est obligatoire</t>
        </is>
      </c>
      <c r="AJ1019" s="317" t="inlineStr">
        <is>
          <t>The data is mandatory</t>
        </is>
      </c>
      <c r="AK1019" s="257" t="n">
        <v>6</v>
      </c>
      <c r="AL1019" s="335" t="inlineStr">
        <is>
          <t>TPG0001</t>
        </is>
      </c>
      <c r="AM1019" s="318" t="n"/>
      <c r="AN1019" s="317" t="n"/>
      <c r="AO1019" s="257" t="n"/>
      <c r="AP1019" s="258" t="n"/>
      <c r="AQ1019" s="318" t="n"/>
      <c r="AR1019" s="317" t="n"/>
      <c r="AS1019" s="257" t="n"/>
      <c r="AT1019" s="258" t="n"/>
      <c r="AU1019" s="318" t="n"/>
      <c r="AV1019" s="317" t="n"/>
      <c r="AW1019" s="257" t="n"/>
      <c r="AX1019" s="258" t="n"/>
      <c r="AY1019" s="318" t="n"/>
      <c r="AZ1019" s="317" t="n"/>
      <c r="BA1019" s="257" t="n"/>
      <c r="BB1019" s="258" t="n"/>
      <c r="BC1019" s="316" t="n"/>
      <c r="BD1019" s="317" t="n"/>
      <c r="BE1019" s="257" t="n"/>
      <c r="BF1019" s="258" t="n"/>
      <c r="BG1019" s="89" t="n"/>
      <c r="BH10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19">
        <f>_xlfn.LET(r,ROW(),oc,INDEX($A:$A,r),cv,TRIM(INDEX($Y:$Y,r)&amp;""),IF(oc&lt;&gt;"P1","",IF(cv="45","V45 - novo, nao alimentado pelo spool atual","V44 - alimentado pelo spool atual")))</f>
        <v/>
      </c>
    </row>
    <row r="1020" ht="54" customFormat="1" customHeight="1" s="90">
      <c r="A1020" s="306" t="inlineStr">
        <is>
          <t>P2</t>
        </is>
      </c>
      <c r="B1020" s="307" t="n">
        <v>123</v>
      </c>
      <c r="C1020" s="269" t="inlineStr">
        <is>
          <t>02 - Caractéristiques d'identification fonctionnelles</t>
        </is>
      </c>
      <c r="D1020" s="236" t="inlineStr">
        <is>
          <t>02 - Functional identification characteristics</t>
        </is>
      </c>
      <c r="E1020" s="307" t="inlineStr">
        <is>
          <t>P2 22.51</t>
        </is>
      </c>
      <c r="F1020" s="308" t="inlineStr">
        <is>
          <t xml:space="preserve">Référence Unique de l'élément du contrat </t>
        </is>
      </c>
      <c r="G1020" s="309" t="inlineStr">
        <is>
          <t>Unique contract element reference</t>
        </is>
      </c>
      <c r="H1020" s="309" t="n"/>
      <c r="I1020" s="241" t="inlineStr">
        <is>
          <t>Référence Unique de l'élément du contrat dans le système de gestion source de l'entité
Correspond au niveau le plus fin du contrat</t>
        </is>
      </c>
      <c r="J1020" s="309" t="inlineStr">
        <is>
          <t>Unique contract element reference in the local management IT system of the issuing entity
Contract's most detailed level</t>
        </is>
      </c>
      <c r="K1020" s="370" t="inlineStr">
        <is>
          <t>ND</t>
        </is>
      </c>
      <c r="L1020" s="371" t="inlineStr">
        <is>
          <t>ND</t>
        </is>
      </c>
      <c r="M1020" s="1420" t="inlineStr">
        <is>
          <t>cdEDC</t>
        </is>
      </c>
      <c r="N1020" s="231" t="inlineStr">
        <is>
          <t>Obligatoire</t>
        </is>
      </c>
      <c r="O1020" s="310" t="inlineStr">
        <is>
          <t>Mandatory</t>
        </is>
      </c>
      <c r="P1020" s="269" t="inlineStr">
        <is>
          <t>NA</t>
        </is>
      </c>
      <c r="Q1020" s="269" t="inlineStr">
        <is>
          <t>NA</t>
        </is>
      </c>
      <c r="R1020" s="241" t="inlineStr">
        <is>
          <t>NA</t>
        </is>
      </c>
      <c r="S1020" s="233" t="inlineStr">
        <is>
          <t>NA</t>
        </is>
      </c>
      <c r="T1020" s="313" t="inlineStr">
        <is>
          <t>ALPHA</t>
        </is>
      </c>
      <c r="U1020" s="237" t="inlineStr">
        <is>
          <t>NA</t>
        </is>
      </c>
      <c r="V1020" s="238" t="inlineStr">
        <is>
          <t>NA</t>
        </is>
      </c>
      <c r="W1020" s="257" t="n">
        <v>40</v>
      </c>
      <c r="X1020" s="945" t="inlineStr">
        <is>
          <t>NA</t>
        </is>
      </c>
      <c r="Y1020" s="237" t="n">
        <v>41</v>
      </c>
      <c r="Z1020" s="237" t="inlineStr">
        <is>
          <t>NA</t>
        </is>
      </c>
      <c r="AA1020" s="978" t="inlineStr">
        <is>
          <t>45.00</t>
        </is>
      </c>
      <c r="AB1020" s="932" t="inlineStr">
        <is>
          <t>ANACREDIT, CONGLOMERATS, LIQUIDITE, NPE, NZBA, OMP</t>
        </is>
      </c>
      <c r="AC1020" s="231" t="inlineStr">
        <is>
          <t>ND</t>
        </is>
      </c>
      <c r="AD1020" s="257" t="inlineStr">
        <is>
          <t>N</t>
        </is>
      </c>
      <c r="AE1020" s="257" t="inlineStr">
        <is>
          <t>NA</t>
        </is>
      </c>
      <c r="AF1020" s="257" t="inlineStr">
        <is>
          <t>NA</t>
        </is>
      </c>
      <c r="AG1020" s="258" t="inlineStr">
        <is>
          <t>NA</t>
        </is>
      </c>
      <c r="AH1020" s="89" t="n"/>
      <c r="AI1020" s="316" t="inlineStr">
        <is>
          <t>La donnée est obligatoire</t>
        </is>
      </c>
      <c r="AJ1020" s="317" t="inlineStr">
        <is>
          <t>The data is mandatory</t>
        </is>
      </c>
      <c r="AK1020" s="257" t="n">
        <v>6</v>
      </c>
      <c r="AL1020" s="335" t="inlineStr">
        <is>
          <t>TPG0001</t>
        </is>
      </c>
      <c r="AM1020" s="318" t="n"/>
      <c r="AN1020" s="317" t="n"/>
      <c r="AO1020" s="257" t="n"/>
      <c r="AP1020" s="258" t="n"/>
      <c r="AQ1020" s="318" t="n"/>
      <c r="AR1020" s="317" t="n"/>
      <c r="AS1020" s="257" t="n"/>
      <c r="AT1020" s="258" t="n"/>
      <c r="AU1020" s="318" t="n"/>
      <c r="AV1020" s="317" t="n"/>
      <c r="AW1020" s="257" t="n"/>
      <c r="AX1020" s="258" t="n"/>
      <c r="AY1020" s="318" t="n"/>
      <c r="AZ1020" s="317" t="n"/>
      <c r="BA1020" s="257" t="n"/>
      <c r="BB1020" s="258" t="n"/>
      <c r="BC1020" s="316" t="n"/>
      <c r="BD1020" s="317" t="n"/>
      <c r="BE1020" s="257" t="n"/>
      <c r="BF1020" s="258" t="n"/>
      <c r="BG1020" s="89" t="n"/>
      <c r="BH10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20">
        <f>_xlfn.LET(r,ROW(),oc,INDEX($A:$A,r),cv,TRIM(INDEX($Y:$Y,r)&amp;""),IF(oc&lt;&gt;"P1","",IF(cv="45","V45 - novo, nao alimentado pelo spool atual","V44 - alimentado pelo spool atual")))</f>
        <v/>
      </c>
    </row>
    <row r="1021" ht="54" customFormat="1" customHeight="1" s="90">
      <c r="A1021" s="306" t="inlineStr">
        <is>
          <t>P2</t>
        </is>
      </c>
      <c r="B1021" s="307" t="n">
        <v>124</v>
      </c>
      <c r="C1021" s="269" t="inlineStr">
        <is>
          <t>06 - Caractéristiques échéancier</t>
        </is>
      </c>
      <c r="D1021" s="236" t="inlineStr">
        <is>
          <t>06 - Schedule characteristics</t>
        </is>
      </c>
      <c r="E1021" s="307" t="inlineStr">
        <is>
          <t>P2 22.2</t>
        </is>
      </c>
      <c r="F1021" s="308" t="inlineStr">
        <is>
          <t>Indicateur niveau de risque</t>
        </is>
      </c>
      <c r="G1021" s="309" t="inlineStr">
        <is>
          <t>Risk level indicator</t>
        </is>
      </c>
      <c r="H1021" s="309" t="n"/>
      <c r="I1021" s="241" t="inlineStr">
        <is>
          <t>Indicateur niveau de risque</t>
        </is>
      </c>
      <c r="J1021" s="309" t="inlineStr">
        <is>
          <t>Risk level indicator</t>
        </is>
      </c>
      <c r="K1021" s="370" t="inlineStr">
        <is>
          <t>ND</t>
        </is>
      </c>
      <c r="L1021" s="371" t="inlineStr">
        <is>
          <t>ND</t>
        </is>
      </c>
      <c r="M1021" s="1420" t="inlineStr">
        <is>
          <t>indNivRisq</t>
        </is>
      </c>
      <c r="N1021" s="231" t="inlineStr">
        <is>
          <t>Facultatif</t>
        </is>
      </c>
      <c r="O1021" s="310" t="inlineStr">
        <is>
          <t>Optional</t>
        </is>
      </c>
      <c r="P1021" s="269" t="inlineStr">
        <is>
          <t>LC.0208</t>
        </is>
      </c>
      <c r="Q1021" s="269" t="inlineStr">
        <is>
          <t>TA KVINRISK</t>
        </is>
      </c>
      <c r="R1021" s="241" t="inlineStr">
        <is>
          <t>NA</t>
        </is>
      </c>
      <c r="S1021" s="233" t="inlineStr">
        <is>
          <t>NA</t>
        </is>
      </c>
      <c r="T1021" s="313" t="inlineStr">
        <is>
          <t>ALPHA</t>
        </is>
      </c>
      <c r="U1021" s="237" t="inlineStr">
        <is>
          <t>NA</t>
        </is>
      </c>
      <c r="V1021" s="238" t="inlineStr">
        <is>
          <t>NA</t>
        </is>
      </c>
      <c r="W1021" s="257" t="n">
        <v>1</v>
      </c>
      <c r="X1021" s="945" t="inlineStr">
        <is>
          <t>NA</t>
        </is>
      </c>
      <c r="Y1021" s="237" t="n">
        <v>41</v>
      </c>
      <c r="Z1021" s="237" t="inlineStr">
        <is>
          <t>NA</t>
        </is>
      </c>
      <c r="AA1021" s="270" t="inlineStr">
        <is>
          <t>NA</t>
        </is>
      </c>
      <c r="AB1021" s="1286" t="inlineStr">
        <is>
          <t>CALCULS PRUDENTIELS</t>
        </is>
      </c>
      <c r="AC1021" s="231" t="inlineStr">
        <is>
          <t>ND</t>
        </is>
      </c>
      <c r="AD1021" s="257" t="inlineStr">
        <is>
          <t>N</t>
        </is>
      </c>
      <c r="AE1021" s="257" t="inlineStr">
        <is>
          <t>NA</t>
        </is>
      </c>
      <c r="AF1021" s="257" t="inlineStr">
        <is>
          <t>NA</t>
        </is>
      </c>
      <c r="AG1021" s="258" t="inlineStr">
        <is>
          <t>NA</t>
        </is>
      </c>
      <c r="AH1021" s="89" t="n"/>
      <c r="AI1021" s="316" t="n"/>
      <c r="AJ1021" s="317" t="n"/>
      <c r="AK1021" s="257" t="n"/>
      <c r="AL1021" s="258" t="n"/>
      <c r="AM1021" s="318" t="inlineStr">
        <is>
          <t>Si elle est renseignée, la valeur doit être connue du Langage Commun associé</t>
        </is>
      </c>
      <c r="AN1021" s="317" t="inlineStr">
        <is>
          <t>If specified, the value must be known to the associated Common Language</t>
        </is>
      </c>
      <c r="AO1021" s="257" t="n">
        <v>7</v>
      </c>
      <c r="AP1021" s="212" t="inlineStr">
        <is>
          <t>TIG0001</t>
        </is>
      </c>
      <c r="AQ1021" s="318" t="n"/>
      <c r="AR1021" s="317" t="n"/>
      <c r="AS1021" s="257" t="n"/>
      <c r="AT1021" s="258" t="n"/>
      <c r="AU1021" s="318" t="n"/>
      <c r="AV1021" s="317" t="n"/>
      <c r="AW1021" s="257" t="n"/>
      <c r="AX1021" s="258" t="n"/>
      <c r="AY1021" s="318" t="n"/>
      <c r="AZ1021" s="317" t="n"/>
      <c r="BA1021" s="257" t="n"/>
      <c r="BB1021" s="258" t="n"/>
      <c r="BC1021" s="316" t="n"/>
      <c r="BD1021" s="317" t="n"/>
      <c r="BE1021" s="257" t="n"/>
      <c r="BF1021" s="258" t="n"/>
      <c r="BG1021" s="89" t="n"/>
      <c r="BH10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21">
        <f>_xlfn.LET(r,ROW(),oc,INDEX($A:$A,r),cv,TRIM(INDEX($Y:$Y,r)&amp;""),IF(oc&lt;&gt;"P1","",IF(cv="45","V45 - novo, nao alimentado pelo spool atual","V44 - alimentado pelo spool atual")))</f>
        <v/>
      </c>
    </row>
    <row r="1022" ht="54" customFormat="1" customHeight="1" s="90">
      <c r="A1022" s="306" t="inlineStr">
        <is>
          <t>P2</t>
        </is>
      </c>
      <c r="B1022" s="307" t="n">
        <v>125</v>
      </c>
      <c r="C1022" s="269" t="inlineStr">
        <is>
          <t>06 - Caractéristiques échéancier</t>
        </is>
      </c>
      <c r="D1022" s="236" t="inlineStr">
        <is>
          <t>06 - Schedule characteristics</t>
        </is>
      </c>
      <c r="E1022" s="307" t="inlineStr">
        <is>
          <t>P2 22.3</t>
        </is>
      </c>
      <c r="F1022" s="308" t="inlineStr">
        <is>
          <t>Famille de risque de l'opération couverte par l'engagement</t>
        </is>
      </c>
      <c r="G1022" s="309" t="inlineStr">
        <is>
          <t>Risk family of the transaction covered by the commitment</t>
        </is>
      </c>
      <c r="H1022" s="309" t="n"/>
      <c r="I1022" s="241" t="inlineStr">
        <is>
          <t>Famille de risque de l'opération couverte par l'engagement de financement
de garantie</t>
        </is>
      </c>
      <c r="J1022" s="309" t="inlineStr">
        <is>
          <t>Risk family of the transaction covered by the financing
guarantee commitment</t>
        </is>
      </c>
      <c r="K1022" s="370" t="inlineStr">
        <is>
          <t>ND</t>
        </is>
      </c>
      <c r="L1022" s="371" t="inlineStr">
        <is>
          <t>ND</t>
        </is>
      </c>
      <c r="M1022" s="1420" t="inlineStr">
        <is>
          <t>cdFamilleRisqOpeEng</t>
        </is>
      </c>
      <c r="N1022" s="231" t="inlineStr">
        <is>
          <t>Facultatif</t>
        </is>
      </c>
      <c r="O1022" s="310" t="inlineStr">
        <is>
          <t>Optional</t>
        </is>
      </c>
      <c r="P1022" s="269" t="inlineStr">
        <is>
          <t>LC.0030</t>
        </is>
      </c>
      <c r="Q1022" s="269" t="inlineStr">
        <is>
          <t>RB KVCDRISC</t>
        </is>
      </c>
      <c r="R1022" s="241" t="inlineStr">
        <is>
          <t>NA</t>
        </is>
      </c>
      <c r="S1022" s="233" t="inlineStr">
        <is>
          <t>NA</t>
        </is>
      </c>
      <c r="T1022" s="313" t="inlineStr">
        <is>
          <t>ALPHA</t>
        </is>
      </c>
      <c r="U1022" s="237" t="inlineStr">
        <is>
          <t>NA</t>
        </is>
      </c>
      <c r="V1022" s="238" t="inlineStr">
        <is>
          <t>NA</t>
        </is>
      </c>
      <c r="W1022" s="257" t="n">
        <v>4</v>
      </c>
      <c r="X1022" s="945" t="inlineStr">
        <is>
          <t>NA</t>
        </is>
      </c>
      <c r="Y1022" s="237" t="inlineStr">
        <is>
          <t>40</t>
        </is>
      </c>
      <c r="Z1022" s="237" t="inlineStr">
        <is>
          <t>NA</t>
        </is>
      </c>
      <c r="AA1022" s="283" t="inlineStr">
        <is>
          <t>NA</t>
        </is>
      </c>
      <c r="AB1022" s="269" t="inlineStr">
        <is>
          <t>SI RISQUE</t>
        </is>
      </c>
      <c r="AC1022" s="231" t="inlineStr">
        <is>
          <t>ND</t>
        </is>
      </c>
      <c r="AD1022" s="257" t="inlineStr">
        <is>
          <t>N</t>
        </is>
      </c>
      <c r="AE1022" s="257" t="inlineStr">
        <is>
          <t>NA</t>
        </is>
      </c>
      <c r="AF1022" s="257" t="inlineStr">
        <is>
          <t>NA</t>
        </is>
      </c>
      <c r="AG1022" s="258" t="inlineStr">
        <is>
          <t>NA</t>
        </is>
      </c>
      <c r="AH1022" s="89" t="n"/>
      <c r="AI1022" s="614" t="n"/>
      <c r="AJ1022" s="422" t="n"/>
      <c r="AK1022" s="348" t="n"/>
      <c r="AL1022" s="423" t="n"/>
      <c r="AM1022" s="318" t="inlineStr">
        <is>
          <t>Si elle est renseignée, la valeur doit être connue du Langage Commun associé</t>
        </is>
      </c>
      <c r="AN1022" s="317" t="inlineStr">
        <is>
          <t>If specified, the value must be known to the associated Common Language</t>
        </is>
      </c>
      <c r="AO1022" s="257" t="n">
        <v>7</v>
      </c>
      <c r="AP1022" s="212" t="inlineStr">
        <is>
          <t>TIG0001</t>
        </is>
      </c>
      <c r="AQ1022" s="318" t="n"/>
      <c r="AR1022" s="317" t="n"/>
      <c r="AS1022" s="257" t="n"/>
      <c r="AT1022" s="258" t="n"/>
      <c r="AU1022" s="318" t="n"/>
      <c r="AV1022" s="317" t="n"/>
      <c r="AW1022" s="257" t="n"/>
      <c r="AX1022" s="258" t="n"/>
      <c r="AY1022" s="318" t="n"/>
      <c r="AZ1022" s="317" t="n"/>
      <c r="BA1022" s="257" t="n"/>
      <c r="BB1022" s="258" t="n"/>
      <c r="BC1022" s="316" t="n"/>
      <c r="BD1022" s="317" t="n"/>
      <c r="BE1022" s="257" t="n"/>
      <c r="BF1022" s="258" t="n"/>
      <c r="BG1022" s="89" t="n"/>
      <c r="BH10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22">
        <f>_xlfn.LET(r,ROW(),oc,INDEX($A:$A,r),cv,TRIM(INDEX($Y:$Y,r)&amp;""),IF(oc&lt;&gt;"P1","",IF(cv="45","V45 - novo, nao alimentado pelo spool atual","V44 - alimentado pelo spool atual")))</f>
        <v/>
      </c>
    </row>
    <row r="1023" ht="54" customFormat="1" customHeight="1" s="57">
      <c r="A1023" s="325" t="inlineStr">
        <is>
          <t>P2</t>
        </is>
      </c>
      <c r="B1023" s="326" t="n">
        <v>126</v>
      </c>
      <c r="C1023" s="284" t="inlineStr">
        <is>
          <t>02 - Caractéristiques d'identification fonctionnelles</t>
        </is>
      </c>
      <c r="D1023" s="244" t="inlineStr">
        <is>
          <t>02 - Functional identification characteristics</t>
        </is>
      </c>
      <c r="E1023" s="326" t="inlineStr">
        <is>
          <t>P2 22.4</t>
        </is>
      </c>
      <c r="F1023" s="327" t="inlineStr">
        <is>
          <t>Zone libre (Ex Référence unique du contrat couvert)</t>
        </is>
      </c>
      <c r="G1023" s="327" t="inlineStr">
        <is>
          <t>Covered unique contract reference</t>
        </is>
      </c>
      <c r="H1023" s="327" t="n"/>
      <c r="I1023" s="245" t="inlineStr">
        <is>
          <t xml:space="preserve">Référence unique du contrat couvert par la garantie donnée </t>
        </is>
      </c>
      <c r="J1023" s="327" t="inlineStr">
        <is>
          <t xml:space="preserve">Unique reference of the contract covered by the guarantee given </t>
        </is>
      </c>
      <c r="K1023" s="328" t="inlineStr">
        <is>
          <t>NA</t>
        </is>
      </c>
      <c r="L1023" s="328" t="inlineStr">
        <is>
          <t>NA</t>
        </is>
      </c>
      <c r="M1023" s="1421" t="inlineStr">
        <is>
          <t>ZoneLibre22_4</t>
        </is>
      </c>
      <c r="N1023" s="284" t="inlineStr">
        <is>
          <t>NA</t>
        </is>
      </c>
      <c r="O1023" s="284" t="inlineStr">
        <is>
          <t>NA</t>
        </is>
      </c>
      <c r="P1023" s="284" t="inlineStr">
        <is>
          <t>NA</t>
        </is>
      </c>
      <c r="Q1023" s="284" t="inlineStr">
        <is>
          <t>NA</t>
        </is>
      </c>
      <c r="R1023" s="245" t="inlineStr">
        <is>
          <t>NA</t>
        </is>
      </c>
      <c r="S1023" s="245" t="inlineStr">
        <is>
          <t>NA</t>
        </is>
      </c>
      <c r="T1023" s="326" t="inlineStr">
        <is>
          <t>ALPHA</t>
        </is>
      </c>
      <c r="U1023" s="248" t="inlineStr">
        <is>
          <t>NA</t>
        </is>
      </c>
      <c r="V1023" s="248" t="inlineStr">
        <is>
          <t>NA</t>
        </is>
      </c>
      <c r="W1023" s="284" t="n">
        <v>40</v>
      </c>
      <c r="X1023" s="244" t="inlineStr">
        <is>
          <t>NA</t>
        </is>
      </c>
      <c r="Y1023" s="248" t="inlineStr">
        <is>
          <t>NA</t>
        </is>
      </c>
      <c r="Z1023" s="248" t="inlineStr">
        <is>
          <t>NA</t>
        </is>
      </c>
      <c r="AA1023" s="248" t="inlineStr">
        <is>
          <t>NA</t>
        </is>
      </c>
      <c r="AB1023" s="284" t="inlineStr">
        <is>
          <t>NA</t>
        </is>
      </c>
      <c r="AC1023" s="244" t="inlineStr">
        <is>
          <t>NA</t>
        </is>
      </c>
      <c r="AD1023" s="284" t="inlineStr">
        <is>
          <t>N</t>
        </is>
      </c>
      <c r="AE1023" s="284" t="inlineStr">
        <is>
          <t>NA</t>
        </is>
      </c>
      <c r="AF1023" s="284" t="inlineStr">
        <is>
          <t>NA</t>
        </is>
      </c>
      <c r="AG1023" s="285" t="inlineStr">
        <is>
          <t>NA</t>
        </is>
      </c>
      <c r="AH1023" s="89" t="n"/>
      <c r="AI1023" s="330" t="n"/>
      <c r="AJ1023" s="331" t="n"/>
      <c r="AK1023" s="284" t="n"/>
      <c r="AL1023" s="285" t="n"/>
      <c r="AM1023" s="331" t="n"/>
      <c r="AN1023" s="331" t="n"/>
      <c r="AO1023" s="284" t="n"/>
      <c r="AP1023" s="285" t="n"/>
      <c r="AQ1023" s="331" t="n"/>
      <c r="AR1023" s="331" t="n"/>
      <c r="AS1023" s="284" t="n"/>
      <c r="AT1023" s="285" t="n"/>
      <c r="AU1023" s="331" t="n"/>
      <c r="AV1023" s="331" t="n"/>
      <c r="AW1023" s="284" t="n"/>
      <c r="AX1023" s="285" t="n"/>
      <c r="AY1023" s="331" t="n"/>
      <c r="AZ1023" s="331" t="n"/>
      <c r="BA1023" s="284" t="n"/>
      <c r="BB1023" s="285" t="n"/>
      <c r="BC1023" s="330" t="n"/>
      <c r="BD1023" s="331" t="n"/>
      <c r="BE1023" s="284" t="n"/>
      <c r="BF1023" s="285" t="n"/>
      <c r="BG1023" s="89" t="n"/>
      <c r="BH10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23">
        <f>_xlfn.LET(r,ROW(),oc,INDEX($A:$A,r),cv,TRIM(INDEX($Y:$Y,r)&amp;""),IF(oc&lt;&gt;"P1","",IF(cv="45","V45 - novo, nao alimentado pelo spool atual","V44 - alimentado pelo spool atual")))</f>
        <v/>
      </c>
    </row>
    <row r="1024" ht="54" customFormat="1" customHeight="1" s="90">
      <c r="A1024" s="306" t="inlineStr">
        <is>
          <t>P2</t>
        </is>
      </c>
      <c r="B1024" s="307" t="n">
        <v>127</v>
      </c>
      <c r="C1024" s="269" t="inlineStr">
        <is>
          <t>06 - Caractéristiques échéancier</t>
        </is>
      </c>
      <c r="D1024" s="236" t="inlineStr">
        <is>
          <t>06 - Schedule characteristics</t>
        </is>
      </c>
      <c r="E1024" s="307" t="inlineStr">
        <is>
          <t>P2 22.5</t>
        </is>
      </c>
      <c r="F1024" s="308" t="inlineStr">
        <is>
          <t>Note finale retenue à l'origine</t>
        </is>
      </c>
      <c r="G1024" s="309" t="inlineStr">
        <is>
          <t>Assigned initial final rating</t>
        </is>
      </c>
      <c r="H1024" s="309" t="n"/>
      <c r="I1024" s="241" t="inlineStr">
        <is>
          <t>Note finale retenue à l'origine</t>
        </is>
      </c>
      <c r="J1024" s="309" t="inlineStr">
        <is>
          <t>Assigned initial final rating</t>
        </is>
      </c>
      <c r="K1024" s="370" t="inlineStr">
        <is>
          <t>ND</t>
        </is>
      </c>
      <c r="L1024" s="371" t="inlineStr">
        <is>
          <t>ND</t>
        </is>
      </c>
      <c r="M1024" s="1420" t="inlineStr">
        <is>
          <t>NoteFinOrig</t>
        </is>
      </c>
      <c r="N1024" s="231" t="inlineStr">
        <is>
          <t>Obligatoire sous conditions</t>
        </is>
      </c>
      <c r="O1024" s="371" t="inlineStr">
        <is>
          <t>Mandatory under conditions</t>
        </is>
      </c>
      <c r="P1024" s="269" t="inlineStr">
        <is>
          <t>LC.0006</t>
        </is>
      </c>
      <c r="Q1024" s="269" t="inlineStr">
        <is>
          <t>TA NM648</t>
        </is>
      </c>
      <c r="R1024" s="241" t="inlineStr">
        <is>
          <t>Obligatoire si 
- Eligibilité OMP &lt;&gt; '1' (instrument éligible à l'outil de provissionnement) 
- et Classification comptable des actifs en norme IFRS9 (P2 23.4) &lt;&gt; de "Juste valeur par résultat" et de "Juste valeur par capitaux propres non recyclables" 
- et Organisme de notation à l'origine = ‘I‘ (Notation interne)</t>
        </is>
      </c>
      <c r="S1024" s="233" t="inlineStr">
        <is>
          <t>Mandatory if
- Mutualised provisioning tool eligibility (P2 23.1) &lt;&gt; '1 (instrument eligible for provisioning tool)
- and Accounting classification of assets under IFRS 9 (P2 23.4) &lt;&gt; of "Fair value through P&amp;L" and "Fair value through OCI non-recyclable"
- and Rating agency at the origin = 'I' (Internal rating)</t>
        </is>
      </c>
      <c r="T1024" s="313" t="inlineStr">
        <is>
          <t>ALPHA</t>
        </is>
      </c>
      <c r="U1024" s="237" t="inlineStr">
        <is>
          <t>NA</t>
        </is>
      </c>
      <c r="V1024" s="238" t="inlineStr">
        <is>
          <t>NA</t>
        </is>
      </c>
      <c r="W1024" s="257" t="n">
        <v>2</v>
      </c>
      <c r="X1024" s="945" t="inlineStr">
        <is>
          <t>NA</t>
        </is>
      </c>
      <c r="Y1024" s="237" t="n">
        <v>41</v>
      </c>
      <c r="Z1024" s="237" t="inlineStr">
        <is>
          <t>NA</t>
        </is>
      </c>
      <c r="AA1024" s="237" t="inlineStr">
        <is>
          <t>NA</t>
        </is>
      </c>
      <c r="AB1024" s="269" t="inlineStr">
        <is>
          <t>ASTRE, OMP</t>
        </is>
      </c>
      <c r="AC1024" s="231" t="inlineStr">
        <is>
          <t>ND</t>
        </is>
      </c>
      <c r="AD1024" s="257" t="inlineStr">
        <is>
          <t>N</t>
        </is>
      </c>
      <c r="AE1024" s="257" t="inlineStr">
        <is>
          <t>NA</t>
        </is>
      </c>
      <c r="AF1024" s="257" t="inlineStr">
        <is>
          <t>NA</t>
        </is>
      </c>
      <c r="AG1024" s="258" t="inlineStr">
        <is>
          <t>NA</t>
        </is>
      </c>
      <c r="AH1024" s="89" t="n"/>
      <c r="AI1024" s="453" t="inlineStr">
        <is>
          <t>La donnée est obligatoire si l'éligibilité OMP [P2 23.1] est renseignée et est différente de '1' et que la classification comptable des actifs en norme IFRS9 [P2 23.4] est différente de "JVR" et de "JCN" et que l'organisme de notation à l'origine externe au Groupe [P2 22.6] est égale à 'I'</t>
        </is>
      </c>
      <c r="AJ1024" s="317" t="inlineStr">
        <is>
          <t>The data is mandatory if Mutualised provisioning tool eligibility [P2 23.1] is filled in and different from '1' AND Accounting classification of assets under IFRS 9 [P2 23.4] is different from 'JVR' or 'JCN' AND Rating agency of initial rating [P2 22.6] = 'I'</t>
        </is>
      </c>
      <c r="AK1024" s="257" t="n">
        <v>6</v>
      </c>
      <c r="AL1024" s="345" t="inlineStr">
        <is>
          <t>TPS1729</t>
        </is>
      </c>
      <c r="AM1024" s="813" t="inlineStr">
        <is>
          <t>Si Méthodologie de notation à l'origine [P2 22.55] est renseignée et ne commence pas par R (1er caractère), alors la valeur renseignée doit être connue du Langage Commun</t>
        </is>
      </c>
      <c r="AN1024" s="317" t="inlineStr">
        <is>
          <t>If Methodology of initial rating [P2 22.55] if filled and does not start with R (1st letter), then the value filled must be known to the Common Language</t>
        </is>
      </c>
      <c r="AO1024" s="257" t="n">
        <v>7</v>
      </c>
      <c r="AP1024" s="503" t="inlineStr">
        <is>
          <t>TISXXX</t>
        </is>
      </c>
      <c r="AQ1024" s="318" t="inlineStr">
        <is>
          <t>Si renseignée ET si l'indicateur Actif déprécié dès l'origination [P2 23.6] = 'Y' ET si la note externe à l'origine [P2 22.52] n'est pas renseignée, alors la note finale retenue à l'origine [P2 22.5] = 'F' ou 'Z'</t>
        </is>
      </c>
      <c r="AR1024" s="317" t="inlineStr">
        <is>
          <t>If filled and the Asset indicator depreciated at origination [P2 23.6] = 'Y' and the Initial external rating [P2 22.52] is not filled, then the Assigned initial final rating [P2 22.5] = 'F' or 'Z'</t>
        </is>
      </c>
      <c r="AS1024" s="257" t="n">
        <v>6</v>
      </c>
      <c r="AT1024" s="345" t="inlineStr">
        <is>
          <t>TVS0744</t>
        </is>
      </c>
      <c r="AU1024" s="318" t="n"/>
      <c r="AV1024" s="317" t="n"/>
      <c r="AW1024" s="257" t="n"/>
      <c r="AX1024" s="258" t="n"/>
      <c r="AY1024" s="318" t="n"/>
      <c r="AZ1024" s="317" t="n"/>
      <c r="BA1024" s="257" t="n"/>
      <c r="BB1024" s="258" t="n"/>
      <c r="BC1024" s="316" t="n"/>
      <c r="BD1024" s="317" t="n"/>
      <c r="BE1024" s="257" t="n"/>
      <c r="BF1024" s="258" t="n"/>
      <c r="BG1024" s="89" t="n"/>
      <c r="BH10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24">
        <f>_xlfn.LET(r,ROW(),oc,INDEX($A:$A,r),cv,TRIM(INDEX($Y:$Y,r)&amp;""),IF(oc&lt;&gt;"P1","",IF(cv="45","V45 - novo, nao alimentado pelo spool atual","V44 - alimentado pelo spool atual")))</f>
        <v/>
      </c>
    </row>
    <row r="1025" ht="54" customFormat="1" customHeight="1" s="90">
      <c r="A1025" s="306" t="inlineStr">
        <is>
          <t>P2</t>
        </is>
      </c>
      <c r="B1025" s="307" t="n">
        <v>128</v>
      </c>
      <c r="C1025" s="269" t="inlineStr">
        <is>
          <t>06 - Caractéristiques échéancier</t>
        </is>
      </c>
      <c r="D1025" s="236" t="inlineStr">
        <is>
          <t>06 - Schedule characteristics</t>
        </is>
      </c>
      <c r="E1025" s="307" t="inlineStr">
        <is>
          <t>P2 22.52</t>
        </is>
      </c>
      <c r="F1025" s="308" t="inlineStr">
        <is>
          <t>Note externe à l'origine</t>
        </is>
      </c>
      <c r="G1025" s="309" t="inlineStr">
        <is>
          <t>Initial external rating</t>
        </is>
      </c>
      <c r="H1025" s="309" t="n"/>
      <c r="I1025" s="241" t="inlineStr">
        <is>
          <t>Note externe à l'origine</t>
        </is>
      </c>
      <c r="J1025" s="309" t="inlineStr">
        <is>
          <t>Initial external rating</t>
        </is>
      </c>
      <c r="K1025" s="370" t="inlineStr">
        <is>
          <t>ND</t>
        </is>
      </c>
      <c r="L1025" s="371" t="inlineStr">
        <is>
          <t>ND</t>
        </is>
      </c>
      <c r="M1025" s="1420" t="inlineStr">
        <is>
          <t>NtExtCOrig</t>
        </is>
      </c>
      <c r="N1025" s="231" t="inlineStr">
        <is>
          <t>Obligatoire sous conditions</t>
        </is>
      </c>
      <c r="O1025" s="371" t="inlineStr">
        <is>
          <t>Mandatory under conditions</t>
        </is>
      </c>
      <c r="P1025" s="269" t="inlineStr">
        <is>
          <t>LC.0189</t>
        </is>
      </c>
      <c r="Q1025" s="269" t="inlineStr">
        <is>
          <t>TA KVNOTEQC</t>
        </is>
      </c>
      <c r="R1025" s="814" t="inlineStr">
        <is>
          <t>Se référer à la 'cotation Bdf' onglet 'notation - échelon de crédit' du langage commun</t>
        </is>
      </c>
      <c r="S1025" s="233" t="inlineStr">
        <is>
          <t>Refer to the 'BdF rating' in the tab 'notation - échelon de crédit' of the common language</t>
        </is>
      </c>
      <c r="T1025" s="313" t="inlineStr">
        <is>
          <t>ALPHA</t>
        </is>
      </c>
      <c r="U1025" s="237" t="inlineStr">
        <is>
          <t>NA</t>
        </is>
      </c>
      <c r="V1025" s="238" t="inlineStr">
        <is>
          <t>NA</t>
        </is>
      </c>
      <c r="W1025" s="257" t="n">
        <v>10</v>
      </c>
      <c r="X1025" s="945" t="inlineStr">
        <is>
          <t>NA</t>
        </is>
      </c>
      <c r="Y1025" s="237" t="n">
        <v>41</v>
      </c>
      <c r="Z1025" s="237" t="inlineStr">
        <is>
          <t>NA</t>
        </is>
      </c>
      <c r="AA1025" s="237" t="inlineStr">
        <is>
          <t>NA</t>
        </is>
      </c>
      <c r="AB1025" s="269" t="inlineStr">
        <is>
          <t>OMP</t>
        </is>
      </c>
      <c r="AC1025" s="231" t="inlineStr">
        <is>
          <t>ND</t>
        </is>
      </c>
      <c r="AD1025" s="257" t="inlineStr">
        <is>
          <t>N</t>
        </is>
      </c>
      <c r="AE1025" s="257" t="inlineStr">
        <is>
          <t>NA</t>
        </is>
      </c>
      <c r="AF1025" s="257" t="inlineStr">
        <is>
          <t>NA</t>
        </is>
      </c>
      <c r="AG1025" s="258" t="inlineStr">
        <is>
          <t>NA</t>
        </is>
      </c>
      <c r="AH1025" s="89" t="n"/>
      <c r="AI1025" s="815" t="inlineStr">
        <is>
          <t>La donnée est obligatoire si (l'éligibilité OMP [P2 23.1] est renseignée et est différente de '1') et si (la classification comptable des actifs en norme IFRS9 [P2 23.4] est différente de "JVR" et de "JCN") et si (l'organisme de notation à l'origine externe au Groupe [P2 22.6] est renseigné et est différent de 'I')</t>
        </is>
      </c>
      <c r="AJ1025" s="317" t="inlineStr">
        <is>
          <t>The data is mandatory if (OMP eligibility [P2 23.1] is filled and is different from '1') and if (the accounting classification of assets in IFRS9 [P2 23.4] is different from "JVR" and "JCN") and if (the credit rating organization originally outside the Group [P2 22.6] is filled and different from 'I')</t>
        </is>
      </c>
      <c r="AK1025" s="257" t="n">
        <v>6</v>
      </c>
      <c r="AL1025" s="345" t="inlineStr">
        <is>
          <t>TPS1730</t>
        </is>
      </c>
      <c r="AM1025" s="808" t="inlineStr">
        <is>
          <t>La valeur renseignée doit être connue du Langage Commun (TA KVNOTEQC -&gt; RB KVNOTE10)</t>
        </is>
      </c>
      <c r="AN1025" s="317" t="inlineStr">
        <is>
          <t>The value filled must be known to the Common Language (TA KVNOTEQC -&gt; RB KVNOTE10)</t>
        </is>
      </c>
      <c r="AO1025" s="257" t="n">
        <v>7</v>
      </c>
      <c r="AP1025" s="469" t="inlineStr">
        <is>
          <t>TI0015</t>
        </is>
      </c>
      <c r="AQ1025" s="318" t="n"/>
      <c r="AR1025" s="317" t="n"/>
      <c r="AS1025" s="257" t="n"/>
      <c r="AT1025" s="258" t="n"/>
      <c r="AU1025" s="318" t="n"/>
      <c r="AV1025" s="317" t="n"/>
      <c r="AW1025" s="257" t="n"/>
      <c r="AX1025" s="258" t="n"/>
      <c r="AY1025" s="318" t="n"/>
      <c r="AZ1025" s="317" t="n"/>
      <c r="BA1025" s="257" t="n"/>
      <c r="BB1025" s="258" t="n"/>
      <c r="BC1025" s="316" t="n"/>
      <c r="BD1025" s="317" t="n"/>
      <c r="BE1025" s="257" t="n"/>
      <c r="BF1025" s="258" t="n"/>
      <c r="BG1025" s="89" t="n"/>
      <c r="BH10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25">
        <f>_xlfn.LET(r,ROW(),oc,INDEX($A:$A,r),cv,TRIM(INDEX($Y:$Y,r)&amp;""),IF(oc&lt;&gt;"P1","",IF(cv="45","V45 - novo, nao alimentado pelo spool atual","V44 - alimentado pelo spool atual")))</f>
        <v/>
      </c>
    </row>
    <row r="1026" ht="54" customFormat="1" customHeight="1" s="90">
      <c r="A1026" s="306" t="inlineStr">
        <is>
          <t>P2</t>
        </is>
      </c>
      <c r="B1026" s="307" t="n">
        <v>129</v>
      </c>
      <c r="C1026" s="269" t="inlineStr">
        <is>
          <t>25 - Notation du tiers</t>
        </is>
      </c>
      <c r="D1026" s="236" t="inlineStr">
        <is>
          <t>25 - Third party rating</t>
        </is>
      </c>
      <c r="E1026" s="307" t="inlineStr">
        <is>
          <t>P2 22.6</t>
        </is>
      </c>
      <c r="F1026" s="308" t="inlineStr">
        <is>
          <t>Organisme de notation à l'origine</t>
        </is>
      </c>
      <c r="G1026" s="309" t="inlineStr">
        <is>
          <t>Rating agency of initial rating</t>
        </is>
      </c>
      <c r="H1026" s="309" t="n"/>
      <c r="I1026" s="241" t="inlineStr">
        <is>
          <t>Organisme de notation associé à la notation à l'origine</t>
        </is>
      </c>
      <c r="J1026" s="309" t="inlineStr">
        <is>
          <t>Rating agency associated with the initial rating</t>
        </is>
      </c>
      <c r="K1026" s="370" t="inlineStr">
        <is>
          <t>ND</t>
        </is>
      </c>
      <c r="L1026" s="371" t="inlineStr">
        <is>
          <t>ND</t>
        </is>
      </c>
      <c r="M1026" s="1420" t="inlineStr">
        <is>
          <t>orgNot</t>
        </is>
      </c>
      <c r="N1026" s="231" t="inlineStr">
        <is>
          <t>Obligatoire sous conditions</t>
        </is>
      </c>
      <c r="O1026" s="371" t="inlineStr">
        <is>
          <t>Mandatory under conditions</t>
        </is>
      </c>
      <c r="P1026" s="269" t="inlineStr">
        <is>
          <t>LC.0189</t>
        </is>
      </c>
      <c r="Q1026" s="269" t="inlineStr">
        <is>
          <t>TA KVON</t>
        </is>
      </c>
      <c r="R1026" s="241" t="inlineStr">
        <is>
          <t>NA</t>
        </is>
      </c>
      <c r="S1026" s="233" t="inlineStr">
        <is>
          <t>NA</t>
        </is>
      </c>
      <c r="T1026" s="313" t="inlineStr">
        <is>
          <t>ALPHA</t>
        </is>
      </c>
      <c r="U1026" s="237" t="inlineStr">
        <is>
          <t>NA</t>
        </is>
      </c>
      <c r="V1026" s="238" t="inlineStr">
        <is>
          <t>NA</t>
        </is>
      </c>
      <c r="W1026" s="257" t="n">
        <v>2</v>
      </c>
      <c r="X1026" s="945" t="inlineStr">
        <is>
          <t>NA</t>
        </is>
      </c>
      <c r="Y1026" s="237" t="n">
        <v>41</v>
      </c>
      <c r="Z1026" s="237" t="inlineStr">
        <is>
          <t>NA</t>
        </is>
      </c>
      <c r="AA1026" s="237" t="inlineStr">
        <is>
          <t>NA</t>
        </is>
      </c>
      <c r="AB1026" s="269" t="inlineStr">
        <is>
          <t>OMP</t>
        </is>
      </c>
      <c r="AC1026" s="231" t="inlineStr">
        <is>
          <t>ND</t>
        </is>
      </c>
      <c r="AD1026" s="257" t="inlineStr">
        <is>
          <t>N</t>
        </is>
      </c>
      <c r="AE1026" s="257" t="inlineStr">
        <is>
          <t>NA</t>
        </is>
      </c>
      <c r="AF1026" s="257" t="inlineStr">
        <is>
          <t>NA</t>
        </is>
      </c>
      <c r="AG1026" s="258" t="inlineStr">
        <is>
          <t>NA</t>
        </is>
      </c>
      <c r="AH1026" s="89" t="n"/>
      <c r="AI1026" s="316" t="inlineStr">
        <is>
          <t>La donnée est obligatoire si la note finale retenue à l'origine [P2 22.5] ou si la note externe à l'origine [P2 22.52] est renseignée</t>
        </is>
      </c>
      <c r="AJ1026" s="317" t="inlineStr">
        <is>
          <t>The data is mandatory if the original final score [P2 22.5] or the original external score [P2 22.52] is filled in</t>
        </is>
      </c>
      <c r="AK1026" s="257" t="n">
        <v>6</v>
      </c>
      <c r="AL1026" s="345" t="inlineStr">
        <is>
          <t>TPS1731</t>
        </is>
      </c>
      <c r="AM1026" s="318" t="inlineStr">
        <is>
          <t>Si elle est renseignée, la valeur doit être connue du Langage Commun associé</t>
        </is>
      </c>
      <c r="AN1026" s="317" t="inlineStr">
        <is>
          <t>If specified, the value must be known to the associated Common Language</t>
        </is>
      </c>
      <c r="AO1026" s="257" t="n">
        <v>7</v>
      </c>
      <c r="AP1026" s="212" t="inlineStr">
        <is>
          <t>TIG0001</t>
        </is>
      </c>
      <c r="AQ1026" s="318" t="n"/>
      <c r="AR1026" s="317" t="n"/>
      <c r="AS1026" s="257" t="n"/>
      <c r="AT1026" s="258" t="n"/>
      <c r="AU1026" s="318" t="n"/>
      <c r="AV1026" s="317" t="n"/>
      <c r="AW1026" s="257" t="n"/>
      <c r="AX1026" s="258" t="n"/>
      <c r="AY1026" s="318" t="n"/>
      <c r="AZ1026" s="317" t="n"/>
      <c r="BA1026" s="257" t="n"/>
      <c r="BB1026" s="258" t="n"/>
      <c r="BC1026" s="316" t="n"/>
      <c r="BD1026" s="317" t="n"/>
      <c r="BE1026" s="257" t="n"/>
      <c r="BF1026" s="258" t="n"/>
      <c r="BG1026" s="89" t="n"/>
      <c r="BH10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26">
        <f>_xlfn.LET(r,ROW(),oc,INDEX($A:$A,r),cv,TRIM(INDEX($Y:$Y,r)&amp;""),IF(oc&lt;&gt;"P1","",IF(cv="45","V45 - novo, nao alimentado pelo spool atual","V44 - alimentado pelo spool atual")))</f>
        <v/>
      </c>
    </row>
    <row r="1027" ht="54" customFormat="1" customHeight="1" s="90">
      <c r="A1027" s="306" t="inlineStr">
        <is>
          <t>P2</t>
        </is>
      </c>
      <c r="B1027" s="307" t="n">
        <v>130</v>
      </c>
      <c r="C1027" s="269" t="inlineStr">
        <is>
          <t>25 - Notation du tiers</t>
        </is>
      </c>
      <c r="D1027" s="236" t="inlineStr">
        <is>
          <t>25 - Third party rating</t>
        </is>
      </c>
      <c r="E1027" s="307" t="inlineStr">
        <is>
          <t>P2 22.53</t>
        </is>
      </c>
      <c r="F1027" s="308" t="inlineStr">
        <is>
          <t>Segment de notation à l'origine</t>
        </is>
      </c>
      <c r="G1027" s="309" t="inlineStr">
        <is>
          <t>Initial rating segment</t>
        </is>
      </c>
      <c r="H1027" s="309" t="n"/>
      <c r="I1027" s="241" t="inlineStr">
        <is>
          <t>Segment de notation à l'origine si notation interne</t>
        </is>
      </c>
      <c r="J1027" s="309" t="inlineStr">
        <is>
          <t xml:space="preserve">Initial rating segment if internal rating </t>
        </is>
      </c>
      <c r="K1027" s="370" t="inlineStr">
        <is>
          <t>ND</t>
        </is>
      </c>
      <c r="L1027" s="371" t="inlineStr">
        <is>
          <t>ND</t>
        </is>
      </c>
      <c r="M1027" s="1420" t="inlineStr">
        <is>
          <t>segNotOrig</t>
        </is>
      </c>
      <c r="N1027" s="231" t="inlineStr">
        <is>
          <t>Obligatoire sous conditions</t>
        </is>
      </c>
      <c r="O1027" s="371" t="inlineStr">
        <is>
          <t>Mandatory under conditions</t>
        </is>
      </c>
      <c r="P1027" s="269" t="inlineStr">
        <is>
          <t>LC.0093</t>
        </is>
      </c>
      <c r="Q1027" s="269" t="inlineStr">
        <is>
          <t>RB NM694</t>
        </is>
      </c>
      <c r="R1027" s="590" t="inlineStr">
        <is>
          <t>Segment de notation pour les Caisses, qui correspond à celui du groupe de risque</t>
        </is>
      </c>
      <c r="S1027" s="591" t="inlineStr">
        <is>
          <t>Rating segment for the Regional Banks, which corresponds to that of the risk group</t>
        </is>
      </c>
      <c r="T1027" s="313" t="inlineStr">
        <is>
          <t>ALPHA</t>
        </is>
      </c>
      <c r="U1027" s="237" t="inlineStr">
        <is>
          <t>NA</t>
        </is>
      </c>
      <c r="V1027" s="238" t="inlineStr">
        <is>
          <t>NA</t>
        </is>
      </c>
      <c r="W1027" s="257" t="n">
        <v>2</v>
      </c>
      <c r="X1027" s="945" t="inlineStr">
        <is>
          <t>NA</t>
        </is>
      </c>
      <c r="Y1027" s="237" t="n">
        <v>41</v>
      </c>
      <c r="Z1027" s="237" t="inlineStr">
        <is>
          <t>NA</t>
        </is>
      </c>
      <c r="AA1027" s="283" t="inlineStr">
        <is>
          <t>NA</t>
        </is>
      </c>
      <c r="AB1027" s="269" t="inlineStr">
        <is>
          <t>OMP</t>
        </is>
      </c>
      <c r="AC1027" s="231" t="inlineStr">
        <is>
          <t>ND</t>
        </is>
      </c>
      <c r="AD1027" s="257" t="inlineStr">
        <is>
          <t>N</t>
        </is>
      </c>
      <c r="AE1027" s="257" t="inlineStr">
        <is>
          <t>NA</t>
        </is>
      </c>
      <c r="AF1027" s="257" t="inlineStr">
        <is>
          <t>NA</t>
        </is>
      </c>
      <c r="AG1027" s="258" t="inlineStr">
        <is>
          <t>NA</t>
        </is>
      </c>
      <c r="AH1027" s="89" t="n"/>
      <c r="AI1027" s="316" t="inlineStr">
        <is>
          <t>La donnée est obligatoire si la note finale retenue à l'origine [P2 22.5] est renseignée et &lt;&gt; ‘ND'</t>
        </is>
      </c>
      <c r="AJ1027" s="317" t="inlineStr">
        <is>
          <t>The data is mandatory if the original final score [P2 22.5] is filled in and &lt;&gt; ‘ND'</t>
        </is>
      </c>
      <c r="AK1027" s="257" t="n">
        <v>6</v>
      </c>
      <c r="AL1027" s="366" t="inlineStr">
        <is>
          <t>TPS1732</t>
        </is>
      </c>
      <c r="AM1027" s="318" t="inlineStr">
        <is>
          <t>Si elle est renseignée, la valeur doit être connue du Langage Commun associé</t>
        </is>
      </c>
      <c r="AN1027" s="317" t="inlineStr">
        <is>
          <t>If specified, the value must be known to the associated Common Language</t>
        </is>
      </c>
      <c r="AO1027" s="257" t="n">
        <v>7</v>
      </c>
      <c r="AP1027" s="212" t="inlineStr">
        <is>
          <t>TIG0001</t>
        </is>
      </c>
      <c r="AQ1027" s="318" t="n"/>
      <c r="AR1027" s="317" t="n"/>
      <c r="AS1027" s="257" t="n"/>
      <c r="AT1027" s="258" t="n"/>
      <c r="AU1027" s="318" t="n"/>
      <c r="AV1027" s="317" t="n"/>
      <c r="AW1027" s="257" t="n"/>
      <c r="AX1027" s="258" t="n"/>
      <c r="AY1027" s="318" t="n"/>
      <c r="AZ1027" s="317" t="n"/>
      <c r="BA1027" s="257" t="n"/>
      <c r="BB1027" s="258" t="n"/>
      <c r="BC1027" s="316" t="n"/>
      <c r="BD1027" s="317" t="n"/>
      <c r="BE1027" s="257" t="n"/>
      <c r="BF1027" s="258" t="n"/>
      <c r="BG1027" s="89" t="n"/>
      <c r="BH10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27">
        <f>_xlfn.LET(r,ROW(),oc,INDEX($A:$A,r),cv,TRIM(INDEX($Y:$Y,r)&amp;""),IF(oc&lt;&gt;"P1","",IF(cv="45","V45 - novo, nao alimentado pelo spool atual","V44 - alimentado pelo spool atual")))</f>
        <v/>
      </c>
    </row>
    <row r="1028" ht="54" customFormat="1" customHeight="1" s="90">
      <c r="A1028" s="306" t="inlineStr">
        <is>
          <t>P2</t>
        </is>
      </c>
      <c r="B1028" s="307" t="n">
        <v>131</v>
      </c>
      <c r="C1028" s="269" t="inlineStr">
        <is>
          <t>25 - Notation du tiers</t>
        </is>
      </c>
      <c r="D1028" s="236" t="inlineStr">
        <is>
          <t>25 - Third party rating</t>
        </is>
      </c>
      <c r="E1028" s="307" t="inlineStr">
        <is>
          <t>P2 22.54</t>
        </is>
      </c>
      <c r="F1028" s="495" t="inlineStr">
        <is>
          <t>Grille Modèle de notation à l'origine</t>
        </is>
      </c>
      <c r="G1028" s="309" t="inlineStr">
        <is>
          <t>Initial rating grid model</t>
        </is>
      </c>
      <c r="H1028" s="309" t="n"/>
      <c r="I1028" s="475" t="inlineStr">
        <is>
          <t>Référence de la grille de notation utilisée pour la détermination de la note interne à l'origine</t>
        </is>
      </c>
      <c r="J1028" s="309" t="inlineStr">
        <is>
          <t>Rating grid reference used to determine the initial internal rating</t>
        </is>
      </c>
      <c r="K1028" s="370" t="inlineStr">
        <is>
          <t>ND</t>
        </is>
      </c>
      <c r="L1028" s="371" t="inlineStr">
        <is>
          <t>ND</t>
        </is>
      </c>
      <c r="M1028" s="1420" t="inlineStr">
        <is>
          <t>grilNotOrig</t>
        </is>
      </c>
      <c r="N1028" s="505" t="inlineStr">
        <is>
          <t>Facultatif</t>
        </is>
      </c>
      <c r="O1028" s="371" t="inlineStr">
        <is>
          <t>Optional</t>
        </is>
      </c>
      <c r="P1028" s="269" t="inlineStr">
        <is>
          <t>LC.0153</t>
        </is>
      </c>
      <c r="Q1028" s="269" t="inlineStr">
        <is>
          <t>TA KVVGNTIE</t>
        </is>
      </c>
      <c r="R1028" s="241" t="inlineStr">
        <is>
          <t>Obligatoire si la note finale retenue à l'origine (P2 22.5) renseignée et &lt;&gt; ‘ND'
La Grille de notation à l'origine doit être cohérente avec la Méthodologie de notation à l'origine (P2 22.55)</t>
        </is>
      </c>
      <c r="S1028" s="233" t="inlineStr">
        <is>
          <t>Mandatory if Assigned initial final rating (P2 22.5) indicated and &lt;&gt; 'ND'
The scoring grid originally must be consistent with the rating methodology at the origin (P2 22.55)</t>
        </is>
      </c>
      <c r="T1028" s="313" t="inlineStr">
        <is>
          <t>ALPHA</t>
        </is>
      </c>
      <c r="U1028" s="237" t="inlineStr">
        <is>
          <t>NA</t>
        </is>
      </c>
      <c r="V1028" s="238" t="inlineStr">
        <is>
          <t>NA</t>
        </is>
      </c>
      <c r="W1028" s="257" t="n">
        <v>46</v>
      </c>
      <c r="X1028" s="945" t="inlineStr">
        <is>
          <t>NA</t>
        </is>
      </c>
      <c r="Y1028" s="237" t="n">
        <v>41</v>
      </c>
      <c r="Z1028" s="237" t="inlineStr">
        <is>
          <t>NA</t>
        </is>
      </c>
      <c r="AA1028" s="283" t="inlineStr">
        <is>
          <t>NA</t>
        </is>
      </c>
      <c r="AB1028" s="269" t="inlineStr">
        <is>
          <t>USAGE ZP</t>
        </is>
      </c>
      <c r="AC1028" s="231" t="inlineStr">
        <is>
          <t>ND</t>
        </is>
      </c>
      <c r="AD1028" s="257" t="inlineStr">
        <is>
          <t>N</t>
        </is>
      </c>
      <c r="AE1028" s="257" t="inlineStr">
        <is>
          <t>NA</t>
        </is>
      </c>
      <c r="AF1028" s="257" t="inlineStr">
        <is>
          <t>NA</t>
        </is>
      </c>
      <c r="AG1028" s="258" t="inlineStr">
        <is>
          <t>NA</t>
        </is>
      </c>
      <c r="AH1028" s="89" t="n"/>
      <c r="AI1028" s="316" t="n"/>
      <c r="AJ1028" s="317" t="n"/>
      <c r="AK1028" s="257" t="n"/>
      <c r="AL1028" s="366" t="n"/>
      <c r="AM1028" s="318" t="inlineStr">
        <is>
          <t>Si elle est renseignée, la valeur doit être connue du Langage Commun associé</t>
        </is>
      </c>
      <c r="AN1028" s="317" t="inlineStr">
        <is>
          <t>If specified, the value must be known to the associated Common Language</t>
        </is>
      </c>
      <c r="AO1028" s="257" t="n">
        <v>7</v>
      </c>
      <c r="AP1028" s="212" t="inlineStr">
        <is>
          <t>TIG0001</t>
        </is>
      </c>
      <c r="AQ1028" s="318" t="n"/>
      <c r="AR1028" s="317" t="n"/>
      <c r="AS1028" s="257" t="n"/>
      <c r="AT1028" s="258" t="n"/>
      <c r="AU1028" s="593" t="inlineStr">
        <is>
          <t>Si renseignée et ne commence pas par ‘99000' et si la méthodologie de notation à l'origine [P2 22.55] est renseignée, alors la Grille Modèle de notation à l'origine doit être cohérente avec la méthodologie de notation à l'origine (Table KVGNOTIE Code grille P01 Cod MET R03)</t>
        </is>
      </c>
      <c r="AV1028" s="317" t="inlineStr">
        <is>
          <t>If filled and does not start with ‘99000' and if the Methodology of initial rating [P2 22.55] is filled, then the Initial rating grid model should be consistent with the Methodology of initial rating (Table KVGNOTIE Grid Code P01 MET code R03)</t>
        </is>
      </c>
      <c r="AW1028" s="257" t="n">
        <v>6</v>
      </c>
      <c r="AX1028" s="345" t="inlineStr">
        <is>
          <t>TCS0750</t>
        </is>
      </c>
      <c r="AY1028" s="318" t="n"/>
      <c r="AZ1028" s="317" t="n"/>
      <c r="BA1028" s="257" t="n"/>
      <c r="BB1028" s="258" t="n"/>
      <c r="BC1028" s="316" t="n"/>
      <c r="BD1028" s="317" t="n"/>
      <c r="BE1028" s="257" t="n"/>
      <c r="BF1028" s="258" t="n"/>
      <c r="BG1028" s="89" t="n"/>
      <c r="BH10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28">
        <f>_xlfn.LET(r,ROW(),oc,INDEX($A:$A,r),cv,TRIM(INDEX($Y:$Y,r)&amp;""),IF(oc&lt;&gt;"P1","",IF(cv="45","V45 - novo, nao alimentado pelo spool atual","V44 - alimentado pelo spool atual")))</f>
        <v/>
      </c>
    </row>
    <row r="1029" ht="54" customFormat="1" customHeight="1" s="90">
      <c r="A1029" s="306" t="inlineStr">
        <is>
          <t>P2</t>
        </is>
      </c>
      <c r="B1029" s="307" t="n">
        <v>132</v>
      </c>
      <c r="C1029" s="269" t="inlineStr">
        <is>
          <t>25 - Notation du tiers</t>
        </is>
      </c>
      <c r="D1029" s="236" t="inlineStr">
        <is>
          <t>25 - Third party rating</t>
        </is>
      </c>
      <c r="E1029" s="307" t="inlineStr">
        <is>
          <t>P2 22.55</t>
        </is>
      </c>
      <c r="F1029" s="308" t="inlineStr">
        <is>
          <t>Méthodologie de notation à l'origine</t>
        </is>
      </c>
      <c r="G1029" s="309" t="inlineStr">
        <is>
          <t>Methodology of initial rating</t>
        </is>
      </c>
      <c r="H1029" s="309" t="n"/>
      <c r="I1029" s="241" t="inlineStr">
        <is>
          <t>Type de méthodologie de la notation utilisée pour l'obtention de la note interne à l'origine</t>
        </is>
      </c>
      <c r="J1029" s="309" t="inlineStr">
        <is>
          <t>Type of rating methodology used to obtain the initial internal rating</t>
        </is>
      </c>
      <c r="K1029" s="370" t="inlineStr">
        <is>
          <t>ND</t>
        </is>
      </c>
      <c r="L1029" s="371" t="inlineStr">
        <is>
          <t>ND</t>
        </is>
      </c>
      <c r="M1029" s="1420" t="inlineStr">
        <is>
          <t>methNotOrig</t>
        </is>
      </c>
      <c r="N1029" s="594" t="inlineStr">
        <is>
          <t>Facultatif</t>
        </is>
      </c>
      <c r="O1029" s="295" t="inlineStr">
        <is>
          <t>Optional</t>
        </is>
      </c>
      <c r="P1029" s="269" t="inlineStr">
        <is>
          <t>LC.0007</t>
        </is>
      </c>
      <c r="Q1029" s="269" t="inlineStr">
        <is>
          <t>TA NM196</t>
        </is>
      </c>
      <c r="R1029" s="241" t="inlineStr">
        <is>
          <t>NA</t>
        </is>
      </c>
      <c r="S1029" s="233" t="inlineStr">
        <is>
          <t>NA</t>
        </is>
      </c>
      <c r="T1029" s="313" t="inlineStr">
        <is>
          <t>ALPHA</t>
        </is>
      </c>
      <c r="U1029" s="237" t="inlineStr">
        <is>
          <t>NA</t>
        </is>
      </c>
      <c r="V1029" s="238" t="inlineStr">
        <is>
          <t>NA</t>
        </is>
      </c>
      <c r="W1029" s="269" t="n">
        <v>3</v>
      </c>
      <c r="X1029" s="231" t="inlineStr">
        <is>
          <t>NA</t>
        </is>
      </c>
      <c r="Y1029" s="237" t="n">
        <v>41</v>
      </c>
      <c r="Z1029" s="237" t="inlineStr">
        <is>
          <t>NA</t>
        </is>
      </c>
      <c r="AA1029" s="283" t="inlineStr">
        <is>
          <t>NA</t>
        </is>
      </c>
      <c r="AB1029" s="269" t="inlineStr">
        <is>
          <t>USAGE ZP</t>
        </is>
      </c>
      <c r="AC1029" s="231" t="inlineStr">
        <is>
          <t>ND</t>
        </is>
      </c>
      <c r="AD1029" s="257" t="inlineStr">
        <is>
          <t>N</t>
        </is>
      </c>
      <c r="AE1029" s="257" t="inlineStr">
        <is>
          <t>NA</t>
        </is>
      </c>
      <c r="AF1029" s="257" t="inlineStr">
        <is>
          <t>NA</t>
        </is>
      </c>
      <c r="AG1029" s="258" t="inlineStr">
        <is>
          <t>NA</t>
        </is>
      </c>
      <c r="AH1029" s="89" t="n"/>
      <c r="AI1029" s="316" t="n"/>
      <c r="AJ1029" s="317" t="n"/>
      <c r="AK1029" s="257" t="n"/>
      <c r="AL1029" s="366" t="n"/>
      <c r="AM1029" s="318" t="inlineStr">
        <is>
          <t>Si elle est renseignée, la valeur doit être connue du Langage Commun associé</t>
        </is>
      </c>
      <c r="AN1029" s="317" t="inlineStr">
        <is>
          <t>If specified, the value must be known to the associated Common Language</t>
        </is>
      </c>
      <c r="AO1029" s="257" t="n">
        <v>7</v>
      </c>
      <c r="AP1029" s="212" t="inlineStr">
        <is>
          <t>TIG0001</t>
        </is>
      </c>
      <c r="AQ1029" s="318" t="n"/>
      <c r="AR1029" s="317" t="n"/>
      <c r="AS1029" s="257" t="n"/>
      <c r="AT1029" s="258" t="n"/>
      <c r="AU1029" s="318" t="n"/>
      <c r="AV1029" s="317" t="n"/>
      <c r="AW1029" s="257" t="n"/>
      <c r="AX1029" s="258" t="n"/>
      <c r="AY1029" s="318" t="n"/>
      <c r="AZ1029" s="317" t="n"/>
      <c r="BA1029" s="257" t="n"/>
      <c r="BB1029" s="258" t="n"/>
      <c r="BC1029" s="316" t="n"/>
      <c r="BD1029" s="317" t="n"/>
      <c r="BE1029" s="257" t="n"/>
      <c r="BF1029" s="258" t="n"/>
      <c r="BG1029" s="89" t="n"/>
      <c r="BH10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29">
        <f>_xlfn.LET(r,ROW(),oc,INDEX($A:$A,r),cv,TRIM(INDEX($Y:$Y,r)&amp;""),IF(oc&lt;&gt;"P1","",IF(cv="45","V45 - novo, nao alimentado pelo spool atual","V44 - alimentado pelo spool atual")))</f>
        <v/>
      </c>
    </row>
    <row r="1030" ht="54" customFormat="1" customHeight="1" s="90">
      <c r="A1030" s="306" t="inlineStr">
        <is>
          <t>P2</t>
        </is>
      </c>
      <c r="B1030" s="307" t="n">
        <v>133</v>
      </c>
      <c r="C1030" s="269" t="inlineStr">
        <is>
          <t>06 - Caractéristiques échéancier</t>
        </is>
      </c>
      <c r="D1030" s="236" t="inlineStr">
        <is>
          <t>06 - Schedule characteristics</t>
        </is>
      </c>
      <c r="E1030" s="307" t="inlineStr">
        <is>
          <t>P2 22.7</t>
        </is>
      </c>
      <c r="F1030" s="596" t="inlineStr">
        <is>
          <t>Objet du financement</t>
        </is>
      </c>
      <c r="G1030" s="309" t="inlineStr">
        <is>
          <t>Asset of the financing</t>
        </is>
      </c>
      <c r="H1030" s="309" t="n"/>
      <c r="I1030" s="596" t="inlineStr">
        <is>
          <t>Objet du financement</t>
        </is>
      </c>
      <c r="J1030" s="309" t="inlineStr">
        <is>
          <t>Asset of the financing</t>
        </is>
      </c>
      <c r="K1030" s="370" t="inlineStr">
        <is>
          <t>ND</t>
        </is>
      </c>
      <c r="L1030" s="371" t="inlineStr">
        <is>
          <t>ND</t>
        </is>
      </c>
      <c r="M1030" s="1420" t="inlineStr">
        <is>
          <t>cdObjFin</t>
        </is>
      </c>
      <c r="N1030" s="597" t="inlineStr">
        <is>
          <t>Facultatif</t>
        </is>
      </c>
      <c r="O1030" s="236" t="inlineStr">
        <is>
          <t>Optional</t>
        </is>
      </c>
      <c r="P1030" s="269" t="inlineStr">
        <is>
          <t>LC.0142</t>
        </is>
      </c>
      <c r="Q1030" s="269" t="inlineStr">
        <is>
          <t>TA KVOBJFIN</t>
        </is>
      </c>
      <c r="R1030" s="598" t="inlineStr">
        <is>
          <t>Si objet financé non présent dans le langage commun, renseigner la valeur '97' - Autre objet financé 
Si financement non affecté, renseigner la valeur '98' - Financement non affecté trésorerie</t>
        </is>
      </c>
      <c r="S1030" s="233" t="inlineStr">
        <is>
          <t>If the funded item is not present in the common language, enter the value '97' - Other funded item 
If unallocated funding, enter the value '98' - Unallocated funding cash flow</t>
        </is>
      </c>
      <c r="T1030" s="313" t="inlineStr">
        <is>
          <t>ALPHA</t>
        </is>
      </c>
      <c r="U1030" s="237" t="inlineStr">
        <is>
          <t>NA</t>
        </is>
      </c>
      <c r="V1030" s="238" t="inlineStr">
        <is>
          <t>NA</t>
        </is>
      </c>
      <c r="W1030" s="269" t="n">
        <v>2</v>
      </c>
      <c r="X1030" s="231" t="inlineStr">
        <is>
          <t>NA</t>
        </is>
      </c>
      <c r="Y1030" s="237" t="n">
        <v>41</v>
      </c>
      <c r="Z1030" s="237" t="inlineStr">
        <is>
          <t>NA</t>
        </is>
      </c>
      <c r="AA1030" s="283" t="inlineStr">
        <is>
          <t>NA</t>
        </is>
      </c>
      <c r="AB1030" s="269" t="inlineStr">
        <is>
          <t>ANACREDIT, ESG PILIER 3, NZBA, RISQUE PHYSIQUE</t>
        </is>
      </c>
      <c r="AC1030" s="231" t="inlineStr">
        <is>
          <t>ND</t>
        </is>
      </c>
      <c r="AD1030" s="257" t="inlineStr">
        <is>
          <t>N</t>
        </is>
      </c>
      <c r="AE1030" s="257" t="inlineStr">
        <is>
          <t>NA</t>
        </is>
      </c>
      <c r="AF1030" s="257" t="inlineStr">
        <is>
          <t>NA</t>
        </is>
      </c>
      <c r="AG1030" s="258" t="inlineStr">
        <is>
          <t>NA</t>
        </is>
      </c>
      <c r="AH1030" s="89" t="n"/>
      <c r="AI1030" s="316" t="n"/>
      <c r="AJ1030" s="317" t="n"/>
      <c r="AK1030" s="257" t="n"/>
      <c r="AL1030" s="565" t="n"/>
      <c r="AM1030" s="318" t="inlineStr">
        <is>
          <t>Si elle est renseignée, la valeur doit être connue du Langage Commun associé</t>
        </is>
      </c>
      <c r="AN1030" s="317" t="inlineStr">
        <is>
          <t>If specified, the value must be known to the associated Common Language</t>
        </is>
      </c>
      <c r="AO1030" s="257" t="n">
        <v>7</v>
      </c>
      <c r="AP1030" s="212" t="inlineStr">
        <is>
          <t>TIG0001</t>
        </is>
      </c>
      <c r="AQ1030" s="318" t="n"/>
      <c r="AR1030" s="317" t="n"/>
      <c r="AS1030" s="257" t="n"/>
      <c r="AT1030" s="258" t="n"/>
      <c r="AU1030" s="318" t="inlineStr">
        <is>
          <t>Si l'usage du bien immobilier financé [P2 8.13] est différent de ‘0', alors l'Objet du financement [P2 22.7] doit être égal à ‘01', '02, '03 ou ‘04' (biens immobiliers)</t>
        </is>
      </c>
      <c r="AV1030" s="317" t="inlineStr">
        <is>
          <t>If the use of the financed property [P2 8.13] is different from ‘0', then Asset of the financing [P2 22.7] must be equal to ‘01', '02, '03 or ‘04' (real estate)</t>
        </is>
      </c>
      <c r="AW1030" s="257" t="n">
        <v>6</v>
      </c>
      <c r="AX1030" s="530" t="inlineStr">
        <is>
          <t>TCS0751</t>
        </is>
      </c>
      <c r="AY1030" s="318" t="n"/>
      <c r="AZ1030" s="317" t="n"/>
      <c r="BA1030" s="257" t="n"/>
      <c r="BB1030" s="258" t="n"/>
      <c r="BC1030" s="316" t="n"/>
      <c r="BD1030" s="317" t="n"/>
      <c r="BE1030" s="257" t="n"/>
      <c r="BF1030" s="258" t="n"/>
      <c r="BG1030" s="89" t="n"/>
      <c r="BH10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30">
        <f>_xlfn.LET(r,ROW(),oc,INDEX($A:$A,r),cv,TRIM(INDEX($Y:$Y,r)&amp;""),IF(oc&lt;&gt;"P1","",IF(cv="45","V45 - novo, nao alimentado pelo spool atual","V44 - alimentado pelo spool atual")))</f>
        <v/>
      </c>
    </row>
    <row r="1031" ht="54" customFormat="1" customHeight="1" s="90">
      <c r="A1031" s="306" t="inlineStr">
        <is>
          <t>P2</t>
        </is>
      </c>
      <c r="B1031" s="307" t="n">
        <v>134</v>
      </c>
      <c r="C1031" s="269" t="inlineStr">
        <is>
          <t>06 - Caractéristiques échéancier</t>
        </is>
      </c>
      <c r="D1031" s="236" t="inlineStr">
        <is>
          <t>06 - Schedule characteristics</t>
        </is>
      </c>
      <c r="E1031" s="307" t="inlineStr">
        <is>
          <t>P2 22.8</t>
        </is>
      </c>
      <c r="F1031" s="484" t="inlineStr">
        <is>
          <t>Montant du contrat à l'origine</t>
        </is>
      </c>
      <c r="G1031" s="309" t="inlineStr">
        <is>
          <t>Contract's initial amount</t>
        </is>
      </c>
      <c r="H1031" s="309" t="n"/>
      <c r="I1031" s="308" t="inlineStr">
        <is>
          <t>Correspond au montant initial du contrat (montant du prêt à l'octroi)</t>
        </is>
      </c>
      <c r="J1031" s="309" t="inlineStr">
        <is>
          <t>It is the Initial amount of contract (loan amount at the origin)</t>
        </is>
      </c>
      <c r="K1031" s="370" t="inlineStr">
        <is>
          <t>ND</t>
        </is>
      </c>
      <c r="L1031" s="371" t="inlineStr">
        <is>
          <t>ND</t>
        </is>
      </c>
      <c r="M1031" s="1420" t="inlineStr">
        <is>
          <t>mtCtOr</t>
        </is>
      </c>
      <c r="N1031" s="231" t="inlineStr">
        <is>
          <t>Obligatoire</t>
        </is>
      </c>
      <c r="O1031" s="236" t="inlineStr">
        <is>
          <t>Mandatory</t>
        </is>
      </c>
      <c r="P1031" s="269" t="inlineStr">
        <is>
          <t>NA</t>
        </is>
      </c>
      <c r="Q1031" s="269" t="inlineStr">
        <is>
          <t>NA</t>
        </is>
      </c>
      <c r="R1031" s="241" t="inlineStr">
        <is>
          <t>NA</t>
        </is>
      </c>
      <c r="S1031" s="233" t="inlineStr">
        <is>
          <t>NA</t>
        </is>
      </c>
      <c r="T1031" s="313" t="inlineStr">
        <is>
          <t>NUM</t>
        </is>
      </c>
      <c r="U1031" s="237" t="inlineStr">
        <is>
          <t>19 dont signe et 2 décimales</t>
        </is>
      </c>
      <c r="V1031" s="238" t="inlineStr">
        <is>
          <t>19 including sign and 2 decimals</t>
        </is>
      </c>
      <c r="W1031" s="269" t="n">
        <v>19</v>
      </c>
      <c r="X1031" s="231" t="inlineStr">
        <is>
          <t>NA</t>
        </is>
      </c>
      <c r="Y1031" s="237" t="n">
        <v>41</v>
      </c>
      <c r="Z1031" s="237" t="inlineStr">
        <is>
          <t>NA</t>
        </is>
      </c>
      <c r="AA1031" s="283" t="inlineStr">
        <is>
          <t>NA</t>
        </is>
      </c>
      <c r="AB1031" s="269" t="inlineStr">
        <is>
          <t>ANACREDIT, NZBA, PALMA</t>
        </is>
      </c>
      <c r="AC1031" s="231" t="inlineStr">
        <is>
          <t>ND</t>
        </is>
      </c>
      <c r="AD1031" s="257" t="inlineStr">
        <is>
          <t>N</t>
        </is>
      </c>
      <c r="AE1031" s="257" t="inlineStr">
        <is>
          <t>NA</t>
        </is>
      </c>
      <c r="AF1031" s="257" t="inlineStr">
        <is>
          <t>NA</t>
        </is>
      </c>
      <c r="AG1031" s="258" t="inlineStr">
        <is>
          <t>NA</t>
        </is>
      </c>
      <c r="AH1031" s="89" t="n"/>
      <c r="AI1031" s="316" t="inlineStr">
        <is>
          <t>La donnée est obligatoire</t>
        </is>
      </c>
      <c r="AJ1031" s="317" t="inlineStr">
        <is>
          <t>The data is mandatory</t>
        </is>
      </c>
      <c r="AK1031" s="257" t="n">
        <v>6</v>
      </c>
      <c r="AL1031" s="335" t="inlineStr">
        <is>
          <t>TPG0001</t>
        </is>
      </c>
      <c r="AM1031" s="318" t="n"/>
      <c r="AN1031" s="317" t="n"/>
      <c r="AO1031" s="257" t="n"/>
      <c r="AP1031" s="258" t="n"/>
      <c r="AQ1031" s="318" t="inlineStr">
        <is>
          <t>Si renseignée, la donnée doit être positive (supérieure ou égale à 0)</t>
        </is>
      </c>
      <c r="AR1031" s="317" t="inlineStr">
        <is>
          <t xml:space="preserve">If filled, data must be positive (greater or equal to 0) </t>
        </is>
      </c>
      <c r="AS1031" s="257" t="n">
        <v>7</v>
      </c>
      <c r="AT1031" s="345" t="inlineStr">
        <is>
          <t>TVG0001</t>
        </is>
      </c>
      <c r="AU1031" s="318" t="n"/>
      <c r="AV1031" s="317" t="n"/>
      <c r="AW1031" s="257" t="n"/>
      <c r="AX1031" s="258" t="n"/>
      <c r="AY1031" s="318" t="n"/>
      <c r="AZ1031" s="317" t="n"/>
      <c r="BA1031" s="257" t="n"/>
      <c r="BB1031" s="258" t="n"/>
      <c r="BC1031" s="316" t="n"/>
      <c r="BD1031" s="317" t="n"/>
      <c r="BE1031" s="257" t="n"/>
      <c r="BF1031" s="258" t="n"/>
      <c r="BG1031" s="89" t="n"/>
      <c r="BH10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31">
        <f>_xlfn.LET(r,ROW(),oc,INDEX($A:$A,r),cv,TRIM(INDEX($Y:$Y,r)&amp;""),IF(oc&lt;&gt;"P1","",IF(cv="45","V45 - novo, nao alimentado pelo spool atual","V44 - alimentado pelo spool atual")))</f>
        <v/>
      </c>
    </row>
    <row r="1032" ht="54" customFormat="1" customHeight="1" s="90">
      <c r="A1032" s="306" t="inlineStr">
        <is>
          <t>P2</t>
        </is>
      </c>
      <c r="B1032" s="307" t="n">
        <v>135</v>
      </c>
      <c r="C1032" s="269" t="inlineStr">
        <is>
          <t>06 - Caractéristiques échéancier</t>
        </is>
      </c>
      <c r="D1032" s="236" t="inlineStr">
        <is>
          <t>06 - Schedule characteristics</t>
        </is>
      </c>
      <c r="E1032" s="307" t="inlineStr">
        <is>
          <t>P2 22.9</t>
        </is>
      </c>
      <c r="F1032" s="308" t="inlineStr">
        <is>
          <t>Devise du montant du contrat à l'origine</t>
        </is>
      </c>
      <c r="G1032" s="309" t="inlineStr">
        <is>
          <t>Currency of the contract's initial amount</t>
        </is>
      </c>
      <c r="H1032" s="309" t="n"/>
      <c r="I1032" s="241" t="inlineStr">
        <is>
          <t xml:space="preserve">Devise du montant du contrat à l'origine </t>
        </is>
      </c>
      <c r="J1032" s="309" t="inlineStr">
        <is>
          <t xml:space="preserve">Currency of the contract's initial amount </t>
        </is>
      </c>
      <c r="K1032" s="370" t="inlineStr">
        <is>
          <t>ND</t>
        </is>
      </c>
      <c r="L1032" s="371" t="inlineStr">
        <is>
          <t>ND</t>
        </is>
      </c>
      <c r="M1032" s="1420" t="inlineStr">
        <is>
          <t>cdDevMtCtOr</t>
        </is>
      </c>
      <c r="N1032" s="231" t="inlineStr">
        <is>
          <t>Obligatoire sous conditions</t>
        </is>
      </c>
      <c r="O1032" s="236" t="inlineStr">
        <is>
          <t>Mandatory under conditions</t>
        </is>
      </c>
      <c r="P1032" s="269" t="inlineStr">
        <is>
          <t>LC.0005</t>
        </is>
      </c>
      <c r="Q1032" s="269" t="inlineStr">
        <is>
          <t>TA NM253</t>
        </is>
      </c>
      <c r="R1032" s="241" t="inlineStr">
        <is>
          <t>NA</t>
        </is>
      </c>
      <c r="S1032" s="233" t="inlineStr">
        <is>
          <t>NA</t>
        </is>
      </c>
      <c r="T1032" s="313" t="inlineStr">
        <is>
          <t>ALPHA</t>
        </is>
      </c>
      <c r="U1032" s="237" t="inlineStr">
        <is>
          <t>NA</t>
        </is>
      </c>
      <c r="V1032" s="238" t="inlineStr">
        <is>
          <t>NA</t>
        </is>
      </c>
      <c r="W1032" s="269" t="n">
        <v>3</v>
      </c>
      <c r="X1032" s="231" t="inlineStr">
        <is>
          <t>NA</t>
        </is>
      </c>
      <c r="Y1032" s="237" t="n">
        <v>41</v>
      </c>
      <c r="Z1032" s="237" t="inlineStr">
        <is>
          <t>NA</t>
        </is>
      </c>
      <c r="AA1032" s="237" t="inlineStr">
        <is>
          <t>NA</t>
        </is>
      </c>
      <c r="AB1032" s="269" t="inlineStr">
        <is>
          <t>ANACREDIT, NZBA, PALMA</t>
        </is>
      </c>
      <c r="AC1032" s="231" t="inlineStr">
        <is>
          <t>ND</t>
        </is>
      </c>
      <c r="AD1032" s="257" t="inlineStr">
        <is>
          <t>N</t>
        </is>
      </c>
      <c r="AE1032" s="257" t="inlineStr">
        <is>
          <t>NA</t>
        </is>
      </c>
      <c r="AF1032" s="257" t="inlineStr">
        <is>
          <t>NA</t>
        </is>
      </c>
      <c r="AG1032" s="258" t="inlineStr">
        <is>
          <t>NA</t>
        </is>
      </c>
      <c r="AH1032" s="89" t="n"/>
      <c r="AI1032" s="316" t="inlineStr">
        <is>
          <t>La donnée est obligatoire si le montant du contrat à l'origine [P2 22.8] est renseigné</t>
        </is>
      </c>
      <c r="AJ1032" s="317" t="inlineStr">
        <is>
          <t>The data is mandatory if original contract amount [P2 22.8] is filled</t>
        </is>
      </c>
      <c r="AK1032" s="257" t="n">
        <v>7</v>
      </c>
      <c r="AL1032" s="335" t="inlineStr">
        <is>
          <t>TPG0002</t>
        </is>
      </c>
      <c r="AM1032" s="318" t="inlineStr">
        <is>
          <t>Si elle est renseignée, la valeur doit être connue du Langage Commun associé</t>
        </is>
      </c>
      <c r="AN1032" s="317" t="inlineStr">
        <is>
          <t>If specified, the value must be known to the associated Common Language</t>
        </is>
      </c>
      <c r="AO1032" s="257" t="n">
        <v>7</v>
      </c>
      <c r="AP1032" s="212" t="inlineStr">
        <is>
          <t>TIG0001</t>
        </is>
      </c>
      <c r="AQ1032" s="318" t="n"/>
      <c r="AR1032" s="317" t="n"/>
      <c r="AS1032" s="257" t="n"/>
      <c r="AT1032" s="258" t="n"/>
      <c r="AU1032" s="318" t="n"/>
      <c r="AV1032" s="317" t="n"/>
      <c r="AW1032" s="257" t="n"/>
      <c r="AX1032" s="258" t="n"/>
      <c r="AY1032" s="318" t="n"/>
      <c r="AZ1032" s="317" t="n"/>
      <c r="BA1032" s="257" t="n"/>
      <c r="BB1032" s="258" t="n"/>
      <c r="BC1032" s="316" t="n"/>
      <c r="BD1032" s="317" t="n"/>
      <c r="BE1032" s="257" t="n"/>
      <c r="BF1032" s="258" t="n"/>
      <c r="BG1032" s="89" t="n"/>
      <c r="BH10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32">
        <f>_xlfn.LET(r,ROW(),oc,INDEX($A:$A,r),cv,TRIM(INDEX($Y:$Y,r)&amp;""),IF(oc&lt;&gt;"P1","",IF(cv="45","V45 - novo, nao alimentado pelo spool atual","V44 - alimentado pelo spool atual")))</f>
        <v/>
      </c>
    </row>
    <row r="1033" ht="54" customFormat="1" customHeight="1" s="90">
      <c r="A1033" s="306" t="inlineStr">
        <is>
          <t>P2</t>
        </is>
      </c>
      <c r="B1033" s="307" t="n">
        <v>136</v>
      </c>
      <c r="C1033" s="269" t="inlineStr">
        <is>
          <t>06 - Caractéristiques échéancier</t>
        </is>
      </c>
      <c r="D1033" s="236" t="inlineStr">
        <is>
          <t>06 - Schedule characteristics</t>
        </is>
      </c>
      <c r="E1033" s="307" t="inlineStr">
        <is>
          <t>P2 22.12</t>
        </is>
      </c>
      <c r="F1033" s="375" t="inlineStr">
        <is>
          <t xml:space="preserve">Indicateur échéancier fourni </t>
        </is>
      </c>
      <c r="G1033" s="309" t="inlineStr">
        <is>
          <t xml:space="preserve">Repayment schedule provided indicator </t>
        </is>
      </c>
      <c r="H1033" s="309" t="n"/>
      <c r="I1033" s="241" t="inlineStr">
        <is>
          <t>Permet d'indiquer si l'échéancier explicite est fourni. Si fourni, les caractéristiques permettant de reconstituer l'échéancier sont facultatives</t>
        </is>
      </c>
      <c r="J1033" s="309" t="inlineStr">
        <is>
          <t>Indicates whether explicit schedule is provided. If provided, the characteristics allowing reconstitution of the repayment schedule are optional</t>
        </is>
      </c>
      <c r="K1033" s="370" t="inlineStr">
        <is>
          <t>ND</t>
        </is>
      </c>
      <c r="L1033" s="371" t="inlineStr">
        <is>
          <t>ND</t>
        </is>
      </c>
      <c r="M1033" s="1420" t="inlineStr">
        <is>
          <t>cdIndEch</t>
        </is>
      </c>
      <c r="N1033" s="231" t="inlineStr">
        <is>
          <t>Obligatoire sous conditions</t>
        </is>
      </c>
      <c r="O1033" s="236" t="inlineStr">
        <is>
          <t>Mandatory under conditions</t>
        </is>
      </c>
      <c r="P1033" s="269" t="inlineStr">
        <is>
          <t>LC.0222</t>
        </is>
      </c>
      <c r="Q1033" s="269" t="inlineStr">
        <is>
          <t>TA XPTOPECH</t>
        </is>
      </c>
      <c r="R1033" s="241" t="inlineStr">
        <is>
          <t>NA</t>
        </is>
      </c>
      <c r="S1033" s="233" t="inlineStr">
        <is>
          <t>NA</t>
        </is>
      </c>
      <c r="T1033" s="313" t="inlineStr">
        <is>
          <t>ALPHA</t>
        </is>
      </c>
      <c r="U1033" s="237" t="inlineStr">
        <is>
          <t>NA</t>
        </is>
      </c>
      <c r="V1033" s="238" t="inlineStr">
        <is>
          <t>NA</t>
        </is>
      </c>
      <c r="W1033" s="269" t="n">
        <v>1</v>
      </c>
      <c r="X1033" s="231" t="inlineStr">
        <is>
          <t>NA</t>
        </is>
      </c>
      <c r="Y1033" s="237" t="n">
        <v>41</v>
      </c>
      <c r="Z1033" s="237" t="inlineStr">
        <is>
          <t>NA</t>
        </is>
      </c>
      <c r="AA1033" s="978" t="inlineStr">
        <is>
          <t>45.00</t>
        </is>
      </c>
      <c r="AB1033" s="932" t="inlineStr">
        <is>
          <t>LIQUIDITE, OMP, PALMA</t>
        </is>
      </c>
      <c r="AC1033" s="231" t="inlineStr">
        <is>
          <t>ND</t>
        </is>
      </c>
      <c r="AD1033" s="257" t="inlineStr">
        <is>
          <t>N</t>
        </is>
      </c>
      <c r="AE1033" s="257" t="inlineStr">
        <is>
          <t>NA</t>
        </is>
      </c>
      <c r="AF1033" s="257" t="inlineStr">
        <is>
          <t>NA</t>
        </is>
      </c>
      <c r="AG1033" s="258" t="inlineStr">
        <is>
          <t>NA</t>
        </is>
      </c>
      <c r="AH1033" s="89" t="n"/>
      <c r="AI1033" s="316" t="inlineStr">
        <is>
          <t>La donnée est obligatoire si la donnée indicateur produit échéancé [P2 22.56] = 'ECH'</t>
        </is>
      </c>
      <c r="AJ1033" s="317" t="inlineStr">
        <is>
          <t>The data is mandatory if the indicator product schedule [P2 22.56] = 'ECH'</t>
        </is>
      </c>
      <c r="AK1033" s="257" t="n">
        <v>7</v>
      </c>
      <c r="AL1033" s="366" t="inlineStr">
        <is>
          <t>TPS1728</t>
        </is>
      </c>
      <c r="AM1033" s="318" t="inlineStr">
        <is>
          <t>Si elle est renseignée, la valeur doit être connue du Langage Commun associé</t>
        </is>
      </c>
      <c r="AN1033" s="317" t="inlineStr">
        <is>
          <t>If specified, the value must be known to the associated Common Language</t>
        </is>
      </c>
      <c r="AO1033" s="257" t="n">
        <v>7</v>
      </c>
      <c r="AP1033" s="212" t="inlineStr">
        <is>
          <t>TIG0001</t>
        </is>
      </c>
      <c r="AQ1033" s="318" t="n"/>
      <c r="AR1033" s="317" t="n"/>
      <c r="AS1033" s="257" t="n"/>
      <c r="AT1033" s="258" t="n"/>
      <c r="AU1033" s="318" t="n"/>
      <c r="AV1033" s="317" t="n"/>
      <c r="AW1033" s="257" t="n"/>
      <c r="AX1033" s="258" t="n"/>
      <c r="AY1033" s="582" t="inlineStr">
        <is>
          <t xml:space="preserve">Si la valeur renseignée est 'O', il existe au moins un enregistrement de même identifiant (1.11 (P2) Identifiant de l'engagement) dans l'objet métier échéancier E1
</t>
        </is>
      </c>
      <c r="AZ1033" s="489" t="inlineStr">
        <is>
          <t>If the value filled is 'O', there is at least one record linked with the same identifier (1.11 (P2) Commitment identifier) in the schedule business object E1</t>
        </is>
      </c>
      <c r="BA1033" s="583" t="n">
        <v>6</v>
      </c>
      <c r="BB1033" s="481" t="inlineStr">
        <is>
          <t>TC0224</t>
        </is>
      </c>
      <c r="BC1033" s="316" t="n"/>
      <c r="BD1033" s="317" t="n"/>
      <c r="BE1033" s="257" t="n"/>
      <c r="BF1033" s="258" t="n"/>
      <c r="BG1033" s="89" t="n"/>
      <c r="BH10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33">
        <f>_xlfn.LET(r,ROW(),oc,INDEX($A:$A,r),cv,TRIM(INDEX($Y:$Y,r)&amp;""),IF(oc&lt;&gt;"P1","",IF(cv="45","V45 - novo, nao alimentado pelo spool atual","V44 - alimentado pelo spool atual")))</f>
        <v/>
      </c>
    </row>
    <row r="1034" ht="54" customFormat="1" customHeight="1" s="90">
      <c r="A1034" s="306" t="inlineStr">
        <is>
          <t>P2</t>
        </is>
      </c>
      <c r="B1034" s="307" t="n">
        <v>137</v>
      </c>
      <c r="C1034" s="269" t="inlineStr">
        <is>
          <t>22 - Caractéristiques de taux</t>
        </is>
      </c>
      <c r="D1034" s="236" t="inlineStr">
        <is>
          <t>22 - Rate characteristics</t>
        </is>
      </c>
      <c r="E1034" s="307" t="inlineStr">
        <is>
          <t>P2 22.13</t>
        </is>
      </c>
      <c r="F1034" s="308" t="inlineStr">
        <is>
          <t>Taux d'intérêt effectif (TIE) à l'origine</t>
        </is>
      </c>
      <c r="G1034" s="309" t="inlineStr">
        <is>
          <t>Initial effective interest rate (EIR)</t>
        </is>
      </c>
      <c r="H1034" s="309" t="n"/>
      <c r="I1034" s="308" t="inlineStr">
        <is>
          <t xml:space="preserve"> TIE ou taux nominal ou taux de rendement ou valeur de l'indice à date + spread d'origine 
Exprimé en %</t>
        </is>
      </c>
      <c r="J1034" s="309" t="inlineStr">
        <is>
          <t xml:space="preserve"> EIR or nominal interest rate or rate of return or value of the index at a given date + initial spread 
Expressed as %</t>
        </is>
      </c>
      <c r="K1034" s="370" t="inlineStr">
        <is>
          <t>ND</t>
        </is>
      </c>
      <c r="L1034" s="371" t="inlineStr">
        <is>
          <t>ND</t>
        </is>
      </c>
      <c r="M1034" s="1420" t="inlineStr">
        <is>
          <t>cdTIEOr</t>
        </is>
      </c>
      <c r="N1034" s="231" t="inlineStr">
        <is>
          <t>Obligatoire sous conditions</t>
        </is>
      </c>
      <c r="O1034" s="236" t="inlineStr">
        <is>
          <t>Mandatory under conditions</t>
        </is>
      </c>
      <c r="P1034" s="269" t="inlineStr">
        <is>
          <t>NA</t>
        </is>
      </c>
      <c r="Q1034" s="269" t="inlineStr">
        <is>
          <t>NA</t>
        </is>
      </c>
      <c r="R1034" s="241" t="inlineStr">
        <is>
          <t xml:space="preserve">TIE ou taux nominal ou taux de rendement ou valeur de l'indice à date + spread d'origine </t>
        </is>
      </c>
      <c r="S1034" s="233" t="inlineStr">
        <is>
          <t>EIR or nominal interets rate, or rate of return, or index value at closing date + spread margin at origin</t>
        </is>
      </c>
      <c r="T1034" s="313" t="inlineStr">
        <is>
          <t>NUM</t>
        </is>
      </c>
      <c r="U1034" s="237" t="inlineStr">
        <is>
          <t>10 dont signe et 5 décimales</t>
        </is>
      </c>
      <c r="V1034" s="238" t="inlineStr">
        <is>
          <t>10 including sign and 5 decimals</t>
        </is>
      </c>
      <c r="W1034" s="269" t="n">
        <v>10</v>
      </c>
      <c r="X1034" s="231" t="inlineStr">
        <is>
          <t>NA</t>
        </is>
      </c>
      <c r="Y1034" s="237" t="n">
        <v>41</v>
      </c>
      <c r="Z1034" s="237" t="inlineStr">
        <is>
          <t>NA</t>
        </is>
      </c>
      <c r="AA1034" s="237" t="inlineStr">
        <is>
          <t>NA</t>
        </is>
      </c>
      <c r="AB1034" s="269" t="inlineStr">
        <is>
          <t>OMP, PALMA</t>
        </is>
      </c>
      <c r="AC1034" s="231" t="inlineStr">
        <is>
          <t>ND</t>
        </is>
      </c>
      <c r="AD1034" s="257" t="inlineStr">
        <is>
          <t>N</t>
        </is>
      </c>
      <c r="AE1034" s="257" t="inlineStr">
        <is>
          <t>NA</t>
        </is>
      </c>
      <c r="AF1034" s="257" t="inlineStr">
        <is>
          <t>NA</t>
        </is>
      </c>
      <c r="AG1034" s="258" t="inlineStr">
        <is>
          <t>NA</t>
        </is>
      </c>
      <c r="AH1034" s="89" t="n"/>
      <c r="AI1034" s="435" t="inlineStr">
        <is>
          <t>La donnée est obligatoire, si le type de risque [P2 2.0] = 'TRE2xx' à 'TRE5xx' (hors TRE203, TRE205, TRE206, TRE207) ET si l'indicateur produit échéancé [P2 22.56] = 'ECH' et que l'indicateur échéancier fourni [P2 22.12] = 'N' et que l'indicateur objet métier palier à date fourni [P2 22.57] = 'N' ou vide</t>
        </is>
      </c>
      <c r="AJ1034" s="317" t="inlineStr">
        <is>
          <t>The data is mandatory, if Risk type [P2 2.0] = 'TRE2xx' à 'TRE5xx' (except TRE203, TRE205, TRE206, TRE207) AND if the output indicator is due [P2 22.56] = 'ECH' and the timeline indicator is filled in [P2 22.12] = 'N' and the object indicator is time business filled in [P2 22.57] = 'N' or empty</t>
        </is>
      </c>
      <c r="AK1034" s="257" t="n">
        <v>6</v>
      </c>
      <c r="AL1034" s="816" t="inlineStr">
        <is>
          <t>TPS1733</t>
        </is>
      </c>
      <c r="AM1034" s="318" t="n"/>
      <c r="AN1034" s="317" t="n"/>
      <c r="AO1034" s="257" t="n"/>
      <c r="AP1034" s="258" t="n"/>
      <c r="AQ1034" s="318" t="n"/>
      <c r="AR1034" s="317" t="n"/>
      <c r="AS1034" s="257" t="n"/>
      <c r="AT1034" s="258" t="n"/>
      <c r="AU1034" s="318" t="n"/>
      <c r="AV1034" s="317" t="n"/>
      <c r="AW1034" s="257" t="n"/>
      <c r="AX1034" s="258" t="n"/>
      <c r="AY1034" s="318" t="n"/>
      <c r="AZ1034" s="317" t="n"/>
      <c r="BA1034" s="257" t="n"/>
      <c r="BB1034" s="258" t="n"/>
      <c r="BC1034" s="316" t="n"/>
      <c r="BD1034" s="317" t="n"/>
      <c r="BE1034" s="257" t="n"/>
      <c r="BF1034" s="258" t="n"/>
      <c r="BG1034" s="89" t="n"/>
      <c r="BH10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34">
        <f>_xlfn.LET(r,ROW(),oc,INDEX($A:$A,r),cv,TRIM(INDEX($Y:$Y,r)&amp;""),IF(oc&lt;&gt;"P1","",IF(cv="45","V45 - novo, nao alimentado pelo spool atual","V44 - alimentado pelo spool atual")))</f>
        <v/>
      </c>
    </row>
    <row r="1035" ht="54" customFormat="1" customHeight="1" s="90">
      <c r="A1035" s="306" t="inlineStr">
        <is>
          <t>P2</t>
        </is>
      </c>
      <c r="B1035" s="307" t="n">
        <v>138</v>
      </c>
      <c r="C1035" s="269" t="inlineStr">
        <is>
          <t>22 - Caractéristiques de taux</t>
        </is>
      </c>
      <c r="D1035" s="236" t="inlineStr">
        <is>
          <t>22 - Rate characteristics</t>
        </is>
      </c>
      <c r="E1035" s="307" t="inlineStr">
        <is>
          <t>P2 22.14</t>
        </is>
      </c>
      <c r="F1035" s="308" t="inlineStr">
        <is>
          <t xml:space="preserve">Type de taux </t>
        </is>
      </c>
      <c r="G1035" s="309" t="inlineStr">
        <is>
          <t xml:space="preserve">Type of interest rate </t>
        </is>
      </c>
      <c r="H1035" s="309" t="n"/>
      <c r="I1035" s="278" t="inlineStr">
        <is>
          <t>Indique le type de taux d'intérêt contractuel</t>
        </is>
      </c>
      <c r="J1035" s="160" t="inlineStr">
        <is>
          <t>Indicates the type of interest rate applied contractually</t>
        </is>
      </c>
      <c r="K1035" s="370" t="inlineStr">
        <is>
          <t>ND</t>
        </is>
      </c>
      <c r="L1035" s="371" t="inlineStr">
        <is>
          <t>ND</t>
        </is>
      </c>
      <c r="M1035" s="1420" t="inlineStr">
        <is>
          <t>cdTypTx</t>
        </is>
      </c>
      <c r="N1035" s="231" t="inlineStr">
        <is>
          <t>Obligatoire sous conditions</t>
        </is>
      </c>
      <c r="O1035" s="236" t="inlineStr">
        <is>
          <t>Mandatory under conditions</t>
        </is>
      </c>
      <c r="P1035" s="269" t="inlineStr">
        <is>
          <t>LC.0035</t>
        </is>
      </c>
      <c r="Q1035" s="269" t="inlineStr">
        <is>
          <t>TA KVTTAUX</t>
        </is>
      </c>
      <c r="R1035" s="241" t="inlineStr">
        <is>
          <t>NA</t>
        </is>
      </c>
      <c r="S1035" s="233" t="inlineStr">
        <is>
          <t>NA</t>
        </is>
      </c>
      <c r="T1035" s="313" t="inlineStr">
        <is>
          <t>ALPHA</t>
        </is>
      </c>
      <c r="U1035" s="237" t="inlineStr">
        <is>
          <t>NA</t>
        </is>
      </c>
      <c r="V1035" s="238" t="inlineStr">
        <is>
          <t>NA</t>
        </is>
      </c>
      <c r="W1035" s="269" t="n">
        <v>1</v>
      </c>
      <c r="X1035" s="231" t="inlineStr">
        <is>
          <t>NA</t>
        </is>
      </c>
      <c r="Y1035" s="237" t="n">
        <v>41</v>
      </c>
      <c r="Z1035" s="237" t="inlineStr">
        <is>
          <t>NA</t>
        </is>
      </c>
      <c r="AA1035" s="283" t="inlineStr">
        <is>
          <t>45.00</t>
        </is>
      </c>
      <c r="AB1035" s="932" t="inlineStr">
        <is>
          <t>ANACREDIT, CONGLOMERATS, LIQUIDITE, OMP, PALMA</t>
        </is>
      </c>
      <c r="AC1035" s="231" t="inlineStr">
        <is>
          <t>ND</t>
        </is>
      </c>
      <c r="AD1035" s="257" t="inlineStr">
        <is>
          <t>N</t>
        </is>
      </c>
      <c r="AE1035" s="257" t="inlineStr">
        <is>
          <t>NA</t>
        </is>
      </c>
      <c r="AF1035" s="257" t="inlineStr">
        <is>
          <t>NA</t>
        </is>
      </c>
      <c r="AG1035" s="258" t="inlineStr">
        <is>
          <t>NA</t>
        </is>
      </c>
      <c r="AH1035" s="89" t="n"/>
      <c r="AI1035" s="1226" t="inlineStr">
        <is>
          <t>La donnée est obligatoire si le type de risque [P2 2.0] = (TRE2xx à TRE5xx (hors ‘TRE203, TRE205, TRE206, TRE207'), SIGxxx) ET si le Portefeuille Bâle Opération [P2 2.18] &lt;&gt; '081</t>
        </is>
      </c>
      <c r="AJ1035" s="931" t="inlineStr">
        <is>
          <t>The data is mandatory if Risk type [P2 2.0] = (TRE2xx to TRE5xx (except 'TRE203, TRE205, TRE206, TRE207'), SIGxxx) AND if the basel Transaction Portfolio [P2 2.18] &lt;&gt; '081'</t>
        </is>
      </c>
      <c r="AK1035" s="958" t="n">
        <v>7</v>
      </c>
      <c r="AL1035" s="1227" t="inlineStr">
        <is>
          <t>TPSxxx (ex TPS1734)</t>
        </is>
      </c>
      <c r="AM1035" s="318" t="inlineStr">
        <is>
          <t>Si elle est renseignée, la valeur doit être connue du Langage Commun associé</t>
        </is>
      </c>
      <c r="AN1035" s="317" t="inlineStr">
        <is>
          <t>If specified, the value must be known to the associated Common Language</t>
        </is>
      </c>
      <c r="AO1035" s="257" t="n">
        <v>7</v>
      </c>
      <c r="AP1035" s="212" t="inlineStr">
        <is>
          <t>TIG0001</t>
        </is>
      </c>
      <c r="AQ1035" s="318" t="n"/>
      <c r="AR1035" s="317" t="n"/>
      <c r="AS1035" s="257" t="n"/>
      <c r="AT1035" s="258" t="n"/>
      <c r="AU1035" s="318" t="n"/>
      <c r="AV1035" s="317" t="n"/>
      <c r="AW1035" s="257" t="n"/>
      <c r="AX1035" s="258" t="n"/>
      <c r="AY1035" s="318" t="n"/>
      <c r="AZ1035" s="317" t="n"/>
      <c r="BA1035" s="257" t="n"/>
      <c r="BB1035" s="258" t="n"/>
      <c r="BC1035" s="316" t="n"/>
      <c r="BD1035" s="317" t="n"/>
      <c r="BE1035" s="257" t="n"/>
      <c r="BF1035" s="258" t="n"/>
      <c r="BG1035" s="89" t="n"/>
      <c r="BH10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35">
        <f>_xlfn.LET(r,ROW(),oc,INDEX($A:$A,r),cv,TRIM(INDEX($Y:$Y,r)&amp;""),IF(oc&lt;&gt;"P1","",IF(cv="45","V45 - novo, nao alimentado pelo spool atual","V44 - alimentado pelo spool atual")))</f>
        <v/>
      </c>
    </row>
    <row r="1036" ht="54" customFormat="1" customHeight="1" s="90">
      <c r="A1036" s="306" t="inlineStr">
        <is>
          <t>P2</t>
        </is>
      </c>
      <c r="B1036" s="307" t="n">
        <v>139</v>
      </c>
      <c r="C1036" s="269" t="inlineStr">
        <is>
          <t>22 - Caractéristiques de taux</t>
        </is>
      </c>
      <c r="D1036" s="236" t="inlineStr">
        <is>
          <t>22 - Rate characteristics</t>
        </is>
      </c>
      <c r="E1036" s="307" t="inlineStr">
        <is>
          <t>P2 22.15</t>
        </is>
      </c>
      <c r="F1036" s="1172" t="inlineStr">
        <is>
          <t>Indice de référence</t>
        </is>
      </c>
      <c r="G1036" s="968" t="inlineStr">
        <is>
          <t xml:space="preserve">Reference index </t>
        </is>
      </c>
      <c r="H1036" s="968" t="n"/>
      <c r="I1036" s="1176" t="inlineStr">
        <is>
          <t>Indice de référence pour les taux variables ou révisables</t>
        </is>
      </c>
      <c r="J1036" s="964" t="inlineStr">
        <is>
          <t xml:space="preserve">Reference index for variable or revisable rates </t>
        </is>
      </c>
      <c r="K1036" s="370" t="inlineStr">
        <is>
          <t>ND</t>
        </is>
      </c>
      <c r="L1036" s="371" t="inlineStr">
        <is>
          <t>ND</t>
        </is>
      </c>
      <c r="M1036" s="1420" t="inlineStr">
        <is>
          <t>cdIndRefTx</t>
        </is>
      </c>
      <c r="N1036" s="231" t="inlineStr">
        <is>
          <t>Obligatoire sous conditions</t>
        </is>
      </c>
      <c r="O1036" s="236" t="inlineStr">
        <is>
          <t>Mandatory under conditions</t>
        </is>
      </c>
      <c r="P1036" s="269" t="inlineStr">
        <is>
          <t>LC.0229</t>
        </is>
      </c>
      <c r="Q1036" s="269" t="inlineStr">
        <is>
          <t>TA XPINDEX</t>
        </is>
      </c>
      <c r="R1036" s="241" t="inlineStr">
        <is>
          <t>NA</t>
        </is>
      </c>
      <c r="S1036" s="233" t="inlineStr">
        <is>
          <t>NA</t>
        </is>
      </c>
      <c r="T1036" s="313" t="inlineStr">
        <is>
          <t>ALPHA</t>
        </is>
      </c>
      <c r="U1036" s="237" t="inlineStr">
        <is>
          <t>NA</t>
        </is>
      </c>
      <c r="V1036" s="238" t="inlineStr">
        <is>
          <t>NA</t>
        </is>
      </c>
      <c r="W1036" s="269" t="n">
        <v>12</v>
      </c>
      <c r="X1036" s="231" t="inlineStr">
        <is>
          <t>NA</t>
        </is>
      </c>
      <c r="Y1036" s="237" t="n">
        <v>41</v>
      </c>
      <c r="Z1036" s="237" t="inlineStr">
        <is>
          <t>NA</t>
        </is>
      </c>
      <c r="AA1036" s="978" t="inlineStr">
        <is>
          <t>45.00</t>
        </is>
      </c>
      <c r="AB1036" s="932" t="inlineStr">
        <is>
          <t>ANACREDIT, LIQUIDITE, OMP, PALMA</t>
        </is>
      </c>
      <c r="AC1036" s="231" t="inlineStr">
        <is>
          <t>ND</t>
        </is>
      </c>
      <c r="AD1036" s="257" t="inlineStr">
        <is>
          <t>N</t>
        </is>
      </c>
      <c r="AE1036" s="257" t="inlineStr">
        <is>
          <t>NA</t>
        </is>
      </c>
      <c r="AF1036" s="257" t="inlineStr">
        <is>
          <t>NA</t>
        </is>
      </c>
      <c r="AG1036" s="258" t="inlineStr">
        <is>
          <t>NA</t>
        </is>
      </c>
      <c r="AH1036" s="89" t="n"/>
      <c r="AI1036" s="1226" t="inlineStr">
        <is>
          <t>La donnée est obligatoire si le type de risque [P2 2.0] = 'TRE2xx' (hors ‘TRE203, 205, 206, 207'), 'TRE3xx', 'TRE4xx', 'TRE5xx', 'SIGxxx' ET si le type de taux [P2 22.14] = 'V' ou 'R'</t>
        </is>
      </c>
      <c r="AJ1036" s="931" t="inlineStr">
        <is>
          <t>The data is mandatory if Risk type [P2 2.0] = 'TRE2xx' (excluding ‘TRE203, 205, 206, 207'), 'TRE3xx', 'TRE4xx', 'TRE5xx', 'SIGxxx' AND if the type of interest rate [P2 22.14] = 'V' or 'R'</t>
        </is>
      </c>
      <c r="AK1036" s="958" t="n">
        <v>6</v>
      </c>
      <c r="AL1036" s="1227" t="inlineStr">
        <is>
          <t>TPSxxx (ex TPS1735)</t>
        </is>
      </c>
      <c r="AM1036" s="318" t="inlineStr">
        <is>
          <t>Si elle est renseignée, la valeur doit être connue du Langage Commun associé</t>
        </is>
      </c>
      <c r="AN1036" s="317" t="inlineStr">
        <is>
          <t>If specified, the value must be known to the associated Common Language</t>
        </is>
      </c>
      <c r="AO1036" s="257" t="n">
        <v>7</v>
      </c>
      <c r="AP1036" s="212" t="inlineStr">
        <is>
          <t>TIG0001</t>
        </is>
      </c>
      <c r="AQ1036" s="318" t="n"/>
      <c r="AR1036" s="317" t="n"/>
      <c r="AS1036" s="257" t="n"/>
      <c r="AT1036" s="258" t="n"/>
      <c r="AU1036" s="318" t="n"/>
      <c r="AV1036" s="317" t="n"/>
      <c r="AW1036" s="257" t="n"/>
      <c r="AX1036" s="258" t="n"/>
      <c r="AY1036" s="318" t="n"/>
      <c r="AZ1036" s="317" t="n"/>
      <c r="BA1036" s="257" t="n"/>
      <c r="BB1036" s="258" t="n"/>
      <c r="BC1036" s="316" t="n"/>
      <c r="BD1036" s="317" t="n"/>
      <c r="BE1036" s="257" t="n"/>
      <c r="BF1036" s="258" t="n"/>
      <c r="BG1036" s="89" t="n"/>
      <c r="BH10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36">
        <f>_xlfn.LET(r,ROW(),oc,INDEX($A:$A,r),cv,TRIM(INDEX($Y:$Y,r)&amp;""),IF(oc&lt;&gt;"P1","",IF(cv="45","V45 - novo, nao alimentado pelo spool atual","V44 - alimentado pelo spool atual")))</f>
        <v/>
      </c>
    </row>
    <row r="1037" ht="54" customFormat="1" customHeight="1" s="90">
      <c r="A1037" s="306" t="inlineStr">
        <is>
          <t>P2</t>
        </is>
      </c>
      <c r="B1037" s="307" t="n">
        <v>140</v>
      </c>
      <c r="C1037" s="269" t="inlineStr">
        <is>
          <t>06 - Caractéristiques échéancier</t>
        </is>
      </c>
      <c r="D1037" s="236" t="inlineStr">
        <is>
          <t>06 - Schedule characteristics</t>
        </is>
      </c>
      <c r="E1037" s="307" t="inlineStr">
        <is>
          <t>P2 22.16</t>
        </is>
      </c>
      <c r="F1037" s="308" t="inlineStr">
        <is>
          <t>Type d'amortissement du capital</t>
        </is>
      </c>
      <c r="G1037" s="309" t="inlineStr">
        <is>
          <t>Type of repayment of the principal</t>
        </is>
      </c>
      <c r="H1037" s="309" t="n"/>
      <c r="I1037" s="241" t="inlineStr">
        <is>
          <t>Type d'amortissement du capital</t>
        </is>
      </c>
      <c r="J1037" s="309" t="inlineStr">
        <is>
          <t>Type of repayment of the principal</t>
        </is>
      </c>
      <c r="K1037" s="370" t="inlineStr">
        <is>
          <t>ND</t>
        </is>
      </c>
      <c r="L1037" s="371" t="inlineStr">
        <is>
          <t>ND</t>
        </is>
      </c>
      <c r="M1037" s="1420" t="inlineStr">
        <is>
          <t>cdTypAmort</t>
        </is>
      </c>
      <c r="N1037" s="231" t="inlineStr">
        <is>
          <t>Obligatoire sous conditions</t>
        </is>
      </c>
      <c r="O1037" s="236" t="inlineStr">
        <is>
          <t>Mandatory under conditions</t>
        </is>
      </c>
      <c r="P1037" s="269" t="inlineStr">
        <is>
          <t>LC.0218</t>
        </is>
      </c>
      <c r="Q1037" s="269" t="inlineStr">
        <is>
          <t>TA XPTYPAMO</t>
        </is>
      </c>
      <c r="R1037" s="241" t="inlineStr">
        <is>
          <t>NA</t>
        </is>
      </c>
      <c r="S1037" s="233" t="inlineStr">
        <is>
          <t>NA</t>
        </is>
      </c>
      <c r="T1037" s="313" t="inlineStr">
        <is>
          <t>ALPHA</t>
        </is>
      </c>
      <c r="U1037" s="237" t="inlineStr">
        <is>
          <t>NA</t>
        </is>
      </c>
      <c r="V1037" s="238" t="inlineStr">
        <is>
          <t>NA</t>
        </is>
      </c>
      <c r="W1037" s="269" t="n">
        <v>1</v>
      </c>
      <c r="X1037" s="231" t="inlineStr">
        <is>
          <t>NA</t>
        </is>
      </c>
      <c r="Y1037" s="237" t="n">
        <v>41</v>
      </c>
      <c r="Z1037" s="237" t="inlineStr">
        <is>
          <t>NA</t>
        </is>
      </c>
      <c r="AA1037" s="978" t="inlineStr">
        <is>
          <t>45.00</t>
        </is>
      </c>
      <c r="AB1037" s="932" t="inlineStr">
        <is>
          <t>ANACREDIT, LIQUIDITE, OMP, PALMA</t>
        </is>
      </c>
      <c r="AC1037" s="231" t="inlineStr">
        <is>
          <t>ND</t>
        </is>
      </c>
      <c r="AD1037" s="257" t="inlineStr">
        <is>
          <t>N</t>
        </is>
      </c>
      <c r="AE1037" s="257" t="inlineStr">
        <is>
          <t>NA</t>
        </is>
      </c>
      <c r="AF1037" s="257" t="inlineStr">
        <is>
          <t>NA</t>
        </is>
      </c>
      <c r="AG1037" s="258" t="inlineStr">
        <is>
          <t>NA</t>
        </is>
      </c>
      <c r="AH1037" s="89" t="n"/>
      <c r="AI1037" s="1226" t="inlineStr">
        <is>
          <t>La donnée est obligatoire si le type de risque [P2 2.0] = (TRE2xx, TRE3xx, TRE4xx, TRE5xx hors (TRE203, TRE205, TRE206, TRE207), SIGxxx)</t>
        </is>
      </c>
      <c r="AJ1037" s="931" t="inlineStr">
        <is>
          <t>The data is mandatory if Risk type [P2 2.0] = (TRE2xx, TRE3xx, TRE4xx, TRE5xx except (TRE203, TRE205, TRE206, TRE207), SIGxxx)</t>
        </is>
      </c>
      <c r="AK1037" s="958" t="n">
        <v>6</v>
      </c>
      <c r="AL1037" s="1227" t="inlineStr">
        <is>
          <t>TPSxxx (ex TPS1736)</t>
        </is>
      </c>
      <c r="AM1037" s="318" t="inlineStr">
        <is>
          <t>Si elle est renseignée, la valeur doit être connue du Langage Commun associé</t>
        </is>
      </c>
      <c r="AN1037" s="317" t="inlineStr">
        <is>
          <t>If specified, the value must be known to the associated Common Language</t>
        </is>
      </c>
      <c r="AO1037" s="257" t="n">
        <v>7</v>
      </c>
      <c r="AP1037" s="212" t="inlineStr">
        <is>
          <t>TIG0001</t>
        </is>
      </c>
      <c r="AQ1037" s="318" t="n"/>
      <c r="AR1037" s="317" t="n"/>
      <c r="AS1037" s="257" t="n"/>
      <c r="AT1037" s="258" t="n"/>
      <c r="AU1037" s="318" t="n"/>
      <c r="AV1037" s="317" t="n"/>
      <c r="AW1037" s="257" t="n"/>
      <c r="AX1037" s="258" t="n"/>
      <c r="AY1037" s="318" t="n"/>
      <c r="AZ1037" s="317" t="n"/>
      <c r="BA1037" s="257" t="n"/>
      <c r="BB1037" s="258" t="n"/>
      <c r="BC1037" s="316" t="n"/>
      <c r="BD1037" s="317" t="n"/>
      <c r="BE1037" s="257" t="n"/>
      <c r="BF1037" s="258" t="n"/>
      <c r="BG1037" s="89" t="n"/>
      <c r="BH10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37">
        <f>_xlfn.LET(r,ROW(),oc,INDEX($A:$A,r),cv,TRIM(INDEX($Y:$Y,r)&amp;""),IF(oc&lt;&gt;"P1","",IF(cv="45","V45 - novo, nao alimentado pelo spool atual","V44 - alimentado pelo spool atual")))</f>
        <v/>
      </c>
    </row>
    <row r="1038" ht="54" customFormat="1" customHeight="1" s="90">
      <c r="A1038" s="306" t="inlineStr">
        <is>
          <t>P2</t>
        </is>
      </c>
      <c r="B1038" s="307" t="n">
        <v>141</v>
      </c>
      <c r="C1038" s="269" t="inlineStr">
        <is>
          <t>06 - Caractéristiques échéancier</t>
        </is>
      </c>
      <c r="D1038" s="236" t="inlineStr">
        <is>
          <t>06 - Schedule characteristics</t>
        </is>
      </c>
      <c r="E1038" s="307" t="inlineStr">
        <is>
          <t>P2 22.17</t>
        </is>
      </c>
      <c r="F1038" s="603" t="inlineStr">
        <is>
          <t>Fréquence d'amortissement du capital</t>
        </is>
      </c>
      <c r="G1038" s="309" t="inlineStr">
        <is>
          <t>Frequency of repayment of the principal</t>
        </is>
      </c>
      <c r="H1038" s="309" t="n"/>
      <c r="I1038" s="241" t="inlineStr">
        <is>
          <t>Fréquence à laquelle le capital est remboursé</t>
        </is>
      </c>
      <c r="J1038" s="309" t="inlineStr">
        <is>
          <t>Frequency at which the principal is repaid</t>
        </is>
      </c>
      <c r="K1038" s="370" t="inlineStr">
        <is>
          <t>ND</t>
        </is>
      </c>
      <c r="L1038" s="371" t="inlineStr">
        <is>
          <t>ND</t>
        </is>
      </c>
      <c r="M1038" s="1420" t="inlineStr">
        <is>
          <t>PeAmort</t>
        </is>
      </c>
      <c r="N1038" s="231" t="inlineStr">
        <is>
          <t>Obligatoire sous conditions</t>
        </is>
      </c>
      <c r="O1038" s="236" t="inlineStr">
        <is>
          <t>Mandatory under conditions</t>
        </is>
      </c>
      <c r="P1038" s="269" t="inlineStr">
        <is>
          <t>LC.0056</t>
        </is>
      </c>
      <c r="Q1038" s="269" t="inlineStr">
        <is>
          <t>TA KVFREQU</t>
        </is>
      </c>
      <c r="R1038" s="241" t="inlineStr">
        <is>
          <t>NA</t>
        </is>
      </c>
      <c r="S1038" s="233" t="inlineStr">
        <is>
          <t>NA</t>
        </is>
      </c>
      <c r="T1038" s="313" t="inlineStr">
        <is>
          <t>ALPHA</t>
        </is>
      </c>
      <c r="U1038" s="237" t="inlineStr">
        <is>
          <t>NA</t>
        </is>
      </c>
      <c r="V1038" s="238" t="inlineStr">
        <is>
          <t>NA</t>
        </is>
      </c>
      <c r="W1038" s="269" t="n">
        <v>1</v>
      </c>
      <c r="X1038" s="231" t="inlineStr">
        <is>
          <t>NA</t>
        </is>
      </c>
      <c r="Y1038" s="237" t="n">
        <v>41</v>
      </c>
      <c r="Z1038" s="237" t="inlineStr">
        <is>
          <t>NA</t>
        </is>
      </c>
      <c r="AA1038" s="978" t="inlineStr">
        <is>
          <t>45.00</t>
        </is>
      </c>
      <c r="AB1038" s="932" t="inlineStr">
        <is>
          <t>ANACREDIT, LIQUIDITE, OMP, PALMA</t>
        </is>
      </c>
      <c r="AC1038" s="231" t="inlineStr">
        <is>
          <t>ND</t>
        </is>
      </c>
      <c r="AD1038" s="257" t="inlineStr">
        <is>
          <t>N</t>
        </is>
      </c>
      <c r="AE1038" s="257" t="inlineStr">
        <is>
          <t>NA</t>
        </is>
      </c>
      <c r="AF1038" s="257" t="inlineStr">
        <is>
          <t>NA</t>
        </is>
      </c>
      <c r="AG1038" s="258" t="inlineStr">
        <is>
          <t>NA</t>
        </is>
      </c>
      <c r="AH1038" s="89" t="n"/>
      <c r="AI1038" s="1233" t="inlineStr">
        <is>
          <t>La donnée est obligatoire si le type de risque [P2 2.0] = (TRE2xx, TRE3xx, TRE4xx, TRE5xx hors (TRE203, TRE205, TRE206, TRE207), SIGxxx)</t>
        </is>
      </c>
      <c r="AJ1038" s="931" t="inlineStr">
        <is>
          <t>The data is mandatory if Risk type [P2 2.0] = (TRE2xx, TRE3xx, TRE4xx, TRE5xx except (TRE203, TRE205, TRE206, TRE207), SIGxxx)</t>
        </is>
      </c>
      <c r="AK1038" s="958" t="n">
        <v>6</v>
      </c>
      <c r="AL1038" s="1234" t="inlineStr">
        <is>
          <t>TPSXXX (ex-TPS1736)</t>
        </is>
      </c>
      <c r="AM1038" s="318" t="inlineStr">
        <is>
          <t>Si elle est renseignée, la valeur doit être connue du Langage Commun associé</t>
        </is>
      </c>
      <c r="AN1038" s="317" t="inlineStr">
        <is>
          <t>If specified, the value must be known to the associated Common Language</t>
        </is>
      </c>
      <c r="AO1038" s="257" t="n">
        <v>7</v>
      </c>
      <c r="AP1038" s="212" t="inlineStr">
        <is>
          <t>TIG0001</t>
        </is>
      </c>
      <c r="AQ1038" s="318" t="n"/>
      <c r="AR1038" s="317" t="n"/>
      <c r="AS1038" s="257" t="n"/>
      <c r="AT1038" s="258" t="n"/>
      <c r="AU1038" s="318" t="n"/>
      <c r="AV1038" s="317" t="n"/>
      <c r="AW1038" s="257" t="n"/>
      <c r="AX1038" s="258" t="n"/>
      <c r="AY1038" s="318" t="n"/>
      <c r="AZ1038" s="317" t="n"/>
      <c r="BA1038" s="257" t="n"/>
      <c r="BB1038" s="258" t="n"/>
      <c r="BC1038" s="316" t="n"/>
      <c r="BD1038" s="317" t="n"/>
      <c r="BE1038" s="257" t="n"/>
      <c r="BF1038" s="258" t="n"/>
      <c r="BG1038" s="89" t="n"/>
      <c r="BH10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38">
        <f>_xlfn.LET(r,ROW(),oc,INDEX($A:$A,r),cv,TRIM(INDEX($Y:$Y,r)&amp;""),IF(oc&lt;&gt;"P1","",IF(cv="45","V45 - novo, nao alimentado pelo spool atual","V44 - alimentado pelo spool atual")))</f>
        <v/>
      </c>
    </row>
    <row r="1039" ht="54" customFormat="1" customHeight="1" s="90">
      <c r="A1039" s="306" t="inlineStr">
        <is>
          <t>P2</t>
        </is>
      </c>
      <c r="B1039" s="307" t="n">
        <v>142</v>
      </c>
      <c r="C1039" s="269" t="inlineStr">
        <is>
          <t>06 - Caractéristiques échéancier</t>
        </is>
      </c>
      <c r="D1039" s="236" t="inlineStr">
        <is>
          <t>06 - Schedule characteristics</t>
        </is>
      </c>
      <c r="E1039" s="307" t="inlineStr">
        <is>
          <t>P2 22.18</t>
        </is>
      </c>
      <c r="F1039" s="603" t="inlineStr">
        <is>
          <t>Fréquence de paiement des intérêts</t>
        </is>
      </c>
      <c r="G1039" s="309" t="inlineStr">
        <is>
          <t>Frequency of interest payments</t>
        </is>
      </c>
      <c r="H1039" s="309" t="n"/>
      <c r="I1039" s="241" t="inlineStr">
        <is>
          <t>Fréquence à laquelle les intérêts sont payés</t>
        </is>
      </c>
      <c r="J1039" s="309" t="inlineStr">
        <is>
          <t>Frequency at which the interest is paid</t>
        </is>
      </c>
      <c r="K1039" s="370" t="inlineStr">
        <is>
          <t>ND</t>
        </is>
      </c>
      <c r="L1039" s="371" t="inlineStr">
        <is>
          <t>ND</t>
        </is>
      </c>
      <c r="M1039" s="1420" t="inlineStr">
        <is>
          <t>PePai</t>
        </is>
      </c>
      <c r="N1039" s="231" t="inlineStr">
        <is>
          <t>Obligatoire sous conditions</t>
        </is>
      </c>
      <c r="O1039" s="236" t="inlineStr">
        <is>
          <t>Mandatory under conditions</t>
        </is>
      </c>
      <c r="P1039" s="269" t="inlineStr">
        <is>
          <t>LC.0056</t>
        </is>
      </c>
      <c r="Q1039" s="269" t="inlineStr">
        <is>
          <t>TA KVFREQU</t>
        </is>
      </c>
      <c r="R1039" s="241" t="inlineStr">
        <is>
          <t>Si règlement in fine mettre 'X' (autre fréquence)</t>
        </is>
      </c>
      <c r="S1039" s="233" t="inlineStr">
        <is>
          <t>If final settlement put 'X' (other frequency)</t>
        </is>
      </c>
      <c r="T1039" s="313" t="inlineStr">
        <is>
          <t>ALPHA</t>
        </is>
      </c>
      <c r="U1039" s="237" t="inlineStr">
        <is>
          <t>NA</t>
        </is>
      </c>
      <c r="V1039" s="238" t="inlineStr">
        <is>
          <t>NA</t>
        </is>
      </c>
      <c r="W1039" s="269" t="n">
        <v>1</v>
      </c>
      <c r="X1039" s="231" t="inlineStr">
        <is>
          <t>NA</t>
        </is>
      </c>
      <c r="Y1039" s="237" t="n">
        <v>41</v>
      </c>
      <c r="Z1039" s="237" t="inlineStr">
        <is>
          <t>NA</t>
        </is>
      </c>
      <c r="AA1039" s="978" t="inlineStr">
        <is>
          <t>45.00</t>
        </is>
      </c>
      <c r="AB1039" s="932" t="inlineStr">
        <is>
          <t>ANACREDIT, LIQUIDITE, OMP, PALMA</t>
        </is>
      </c>
      <c r="AC1039" s="231" t="inlineStr">
        <is>
          <t>ND</t>
        </is>
      </c>
      <c r="AD1039" s="257" t="inlineStr">
        <is>
          <t>N</t>
        </is>
      </c>
      <c r="AE1039" s="257" t="inlineStr">
        <is>
          <t>NA</t>
        </is>
      </c>
      <c r="AF1039" s="257" t="inlineStr">
        <is>
          <t>NA</t>
        </is>
      </c>
      <c r="AG1039" s="258" t="inlineStr">
        <is>
          <t>NA</t>
        </is>
      </c>
      <c r="AH1039" s="89" t="n"/>
      <c r="AI1039" s="1226" t="inlineStr">
        <is>
          <t>La donnée est obligatoire si le type de risque [P2 2.0] = (TRE2xx, TRE3xx, TRE4xx, TRE5xx hors (TRE203, TRE205, TRE206, TRE207), SIGxxx)</t>
        </is>
      </c>
      <c r="AJ1039" s="931" t="inlineStr">
        <is>
          <t>The data is mandatory if Risk type [P2 2.0] = (TRE2xx, TRE3xx, TRE4xx, TRE5xx except (TRE203, TRE205, TRE206, TRE207), SIGxxx)</t>
        </is>
      </c>
      <c r="AK1039" s="958" t="n">
        <v>6</v>
      </c>
      <c r="AL1039" s="1227" t="inlineStr">
        <is>
          <t>TPSXXX (ex TPS1736)</t>
        </is>
      </c>
      <c r="AM1039" s="318" t="inlineStr">
        <is>
          <t>Si elle est renseignée, la valeur doit être connue du Langage Commun associé</t>
        </is>
      </c>
      <c r="AN1039" s="317" t="inlineStr">
        <is>
          <t>If specified, the value must be known to the associated Common Language</t>
        </is>
      </c>
      <c r="AO1039" s="257" t="n">
        <v>7</v>
      </c>
      <c r="AP1039" s="212" t="inlineStr">
        <is>
          <t>TIG0001</t>
        </is>
      </c>
      <c r="AQ1039" s="318" t="n"/>
      <c r="AR1039" s="317" t="n"/>
      <c r="AS1039" s="257" t="n"/>
      <c r="AT1039" s="258" t="n"/>
      <c r="AU1039" s="318" t="n"/>
      <c r="AV1039" s="317" t="n"/>
      <c r="AW1039" s="257" t="n"/>
      <c r="AX1039" s="258" t="n"/>
      <c r="AY1039" s="318" t="n"/>
      <c r="AZ1039" s="317" t="n"/>
      <c r="BA1039" s="257" t="n"/>
      <c r="BB1039" s="258" t="n"/>
      <c r="BC1039" s="316" t="n"/>
      <c r="BD1039" s="317" t="n"/>
      <c r="BE1039" s="257" t="n"/>
      <c r="BF1039" s="258" t="n"/>
      <c r="BG1039" s="89" t="n"/>
      <c r="BH10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39">
        <f>_xlfn.LET(r,ROW(),oc,INDEX($A:$A,r),cv,TRIM(INDEX($Y:$Y,r)&amp;""),IF(oc&lt;&gt;"P1","",IF(cv="45","V45 - novo, nao alimentado pelo spool atual","V44 - alimentado pelo spool atual")))</f>
        <v/>
      </c>
    </row>
    <row r="1040" ht="54" customFormat="1" customHeight="1" s="90">
      <c r="A1040" s="306" t="inlineStr">
        <is>
          <t>P2</t>
        </is>
      </c>
      <c r="B1040" s="307" t="n">
        <v>143</v>
      </c>
      <c r="C1040" s="269" t="inlineStr">
        <is>
          <t>22 - Caractéristiques de taux</t>
        </is>
      </c>
      <c r="D1040" s="236" t="inlineStr">
        <is>
          <t>22 - Rate characteristics</t>
        </is>
      </c>
      <c r="E1040" s="307" t="inlineStr">
        <is>
          <t>P2 22.19</t>
        </is>
      </c>
      <c r="F1040" s="308" t="inlineStr">
        <is>
          <t>Taux client à l'octroi</t>
        </is>
      </c>
      <c r="G1040" s="309" t="inlineStr">
        <is>
          <t>Customer lending rate</t>
        </is>
      </c>
      <c r="H1040" s="309" t="n"/>
      <c r="I1040" s="241" t="inlineStr">
        <is>
          <t>Correspond au taux client fixe ou variable à l'octroi 
Exprimé en %</t>
        </is>
      </c>
      <c r="J1040" s="233" t="inlineStr">
        <is>
          <t>The customer fixed or variable lending rate at the origin 
Expressed as %</t>
        </is>
      </c>
      <c r="K1040" s="269" t="inlineStr">
        <is>
          <t>ND</t>
        </is>
      </c>
      <c r="L1040" s="310" t="inlineStr">
        <is>
          <t>ND</t>
        </is>
      </c>
      <c r="M1040" s="1420" t="inlineStr">
        <is>
          <t>txCliOct</t>
        </is>
      </c>
      <c r="N1040" s="1007" t="inlineStr">
        <is>
          <t>Obligatoire</t>
        </is>
      </c>
      <c r="O1040" s="1006" t="inlineStr">
        <is>
          <t>Mandatory</t>
        </is>
      </c>
      <c r="P1040" s="269" t="inlineStr">
        <is>
          <t>NA</t>
        </is>
      </c>
      <c r="Q1040" s="269" t="inlineStr">
        <is>
          <t>NA</t>
        </is>
      </c>
      <c r="R1040" s="241" t="inlineStr">
        <is>
          <t>NA</t>
        </is>
      </c>
      <c r="S1040" s="233" t="inlineStr">
        <is>
          <t>NA</t>
        </is>
      </c>
      <c r="T1040" s="313" t="inlineStr">
        <is>
          <t>NUM</t>
        </is>
      </c>
      <c r="U1040" s="237" t="inlineStr">
        <is>
          <t>10 dont signe et 5 décimales</t>
        </is>
      </c>
      <c r="V1040" s="238" t="inlineStr">
        <is>
          <t>10 including sign and 5 decimals</t>
        </is>
      </c>
      <c r="W1040" s="269" t="n">
        <v>10</v>
      </c>
      <c r="X1040" s="231" t="inlineStr">
        <is>
          <t>NA</t>
        </is>
      </c>
      <c r="Y1040" s="237" t="n">
        <v>41</v>
      </c>
      <c r="Z1040" s="237" t="inlineStr">
        <is>
          <t>NA</t>
        </is>
      </c>
      <c r="AA1040" s="978" t="inlineStr">
        <is>
          <t>45.00</t>
        </is>
      </c>
      <c r="AB1040" s="932" t="inlineStr">
        <is>
          <t>ANACREDIT, ASTRE, LIQUIDITE, OMP, PALMA</t>
        </is>
      </c>
      <c r="AC1040" s="231" t="inlineStr">
        <is>
          <t>ND</t>
        </is>
      </c>
      <c r="AD1040" s="257" t="inlineStr">
        <is>
          <t>N</t>
        </is>
      </c>
      <c r="AE1040" s="257" t="inlineStr">
        <is>
          <t>NA</t>
        </is>
      </c>
      <c r="AF1040" s="257" t="inlineStr">
        <is>
          <t>NA</t>
        </is>
      </c>
      <c r="AG1040" s="258" t="inlineStr">
        <is>
          <t>NA</t>
        </is>
      </c>
      <c r="AH1040" s="89" t="n"/>
      <c r="AI1040" s="1235" t="inlineStr">
        <is>
          <t>La donnée est obligatoire</t>
        </is>
      </c>
      <c r="AJ1040" s="1236" t="inlineStr">
        <is>
          <t>The data is mandatory</t>
        </is>
      </c>
      <c r="AK1040" s="958" t="n">
        <v>6</v>
      </c>
      <c r="AL1040" s="1234" t="inlineStr">
        <is>
          <t>TPG0001</t>
        </is>
      </c>
      <c r="AM1040" s="318" t="n"/>
      <c r="AN1040" s="317" t="n"/>
      <c r="AO1040" s="257" t="n"/>
      <c r="AP1040" s="258" t="n"/>
      <c r="AQ1040" s="318" t="n"/>
      <c r="AR1040" s="317" t="n"/>
      <c r="AS1040" s="257" t="n"/>
      <c r="AT1040" s="258" t="n"/>
      <c r="AU1040" s="318" t="n"/>
      <c r="AV1040" s="317" t="n"/>
      <c r="AW1040" s="257" t="n"/>
      <c r="AX1040" s="258" t="n"/>
      <c r="AY1040" s="318" t="n"/>
      <c r="AZ1040" s="317" t="n"/>
      <c r="BA1040" s="257" t="n"/>
      <c r="BB1040" s="258" t="n"/>
      <c r="BC1040" s="316" t="n"/>
      <c r="BD1040" s="317" t="n"/>
      <c r="BE1040" s="257" t="n"/>
      <c r="BF1040" s="258" t="n"/>
      <c r="BG1040" s="89" t="n"/>
      <c r="BH10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40">
        <f>_xlfn.LET(r,ROW(),oc,INDEX($A:$A,r),cv,TRIM(INDEX($Y:$Y,r)&amp;""),IF(oc&lt;&gt;"P1","",IF(cv="45","V45 - novo, nao alimentado pelo spool atual","V44 - alimentado pelo spool atual")))</f>
        <v/>
      </c>
    </row>
    <row r="1041" ht="54" customFormat="1" customHeight="1" s="90">
      <c r="A1041" s="306" t="inlineStr">
        <is>
          <t>P2</t>
        </is>
      </c>
      <c r="B1041" s="307" t="n">
        <v>144</v>
      </c>
      <c r="C1041" s="269" t="inlineStr">
        <is>
          <t>06 - Caractéristiques échéancier</t>
        </is>
      </c>
      <c r="D1041" s="236" t="inlineStr">
        <is>
          <t>06 - Schedule characteristics</t>
        </is>
      </c>
      <c r="E1041" s="307" t="inlineStr">
        <is>
          <t>P2 22.20</t>
        </is>
      </c>
      <c r="F1041" s="308" t="inlineStr">
        <is>
          <t xml:space="preserve">Modalité de remboursement de la créance </t>
        </is>
      </c>
      <c r="G1041" s="309" t="inlineStr">
        <is>
          <t xml:space="preserve">Loan repayment terms </t>
        </is>
      </c>
      <c r="H1041" s="309" t="n"/>
      <c r="I1041" s="241" t="inlineStr">
        <is>
          <t>Modalité de remboursement de la créance</t>
        </is>
      </c>
      <c r="J1041" s="309" t="inlineStr">
        <is>
          <t>Loan repayment terms</t>
        </is>
      </c>
      <c r="K1041" s="370" t="inlineStr">
        <is>
          <t>ND</t>
        </is>
      </c>
      <c r="L1041" s="371" t="inlineStr">
        <is>
          <t>ND</t>
        </is>
      </c>
      <c r="M1041" s="1420" t="inlineStr">
        <is>
          <t>cdModRBT</t>
        </is>
      </c>
      <c r="N1041" s="231" t="inlineStr">
        <is>
          <t>Obligatoire sous conditions</t>
        </is>
      </c>
      <c r="O1041" s="236" t="inlineStr">
        <is>
          <t>Mandatory under conditions</t>
        </is>
      </c>
      <c r="P1041" s="269" t="inlineStr">
        <is>
          <t>LC.0219</t>
        </is>
      </c>
      <c r="Q1041" s="269" t="inlineStr">
        <is>
          <t>TA KVMODECH</t>
        </is>
      </c>
      <c r="R1041" s="241" t="inlineStr">
        <is>
          <t>NA</t>
        </is>
      </c>
      <c r="S1041" s="233" t="inlineStr">
        <is>
          <t>NA</t>
        </is>
      </c>
      <c r="T1041" s="313" t="inlineStr">
        <is>
          <t>ALPHA</t>
        </is>
      </c>
      <c r="U1041" s="237" t="inlineStr">
        <is>
          <t>NA</t>
        </is>
      </c>
      <c r="V1041" s="238" t="inlineStr">
        <is>
          <t>NA</t>
        </is>
      </c>
      <c r="W1041" s="269" t="n">
        <v>1</v>
      </c>
      <c r="X1041" s="231" t="inlineStr">
        <is>
          <t>NA</t>
        </is>
      </c>
      <c r="Y1041" s="237" t="n">
        <v>41</v>
      </c>
      <c r="Z1041" s="237" t="inlineStr">
        <is>
          <t>NA</t>
        </is>
      </c>
      <c r="AA1041" s="237" t="inlineStr">
        <is>
          <t>NA</t>
        </is>
      </c>
      <c r="AB1041" s="269" t="inlineStr">
        <is>
          <t>OMP</t>
        </is>
      </c>
      <c r="AC1041" s="231" t="inlineStr">
        <is>
          <t>ND</t>
        </is>
      </c>
      <c r="AD1041" s="257" t="inlineStr">
        <is>
          <t>N</t>
        </is>
      </c>
      <c r="AE1041" s="257" t="inlineStr">
        <is>
          <t>NA</t>
        </is>
      </c>
      <c r="AF1041" s="257" t="inlineStr">
        <is>
          <t>NA</t>
        </is>
      </c>
      <c r="AG1041" s="258" t="inlineStr">
        <is>
          <t>NA</t>
        </is>
      </c>
      <c r="AH1041" s="89" t="n"/>
      <c r="AI1041" s="316" t="inlineStr">
        <is>
          <t>La donnée est obligatoire si le type de risque [P2 2.0] = (TRE2xx, TRE3xx, TRE4xx, TRE5xx hors (TRE203, TRE205, TRE206, TRE207), SIGxxx) ET que l'indicateur produit échéancé [P2 22.56] = 'ECH' ET que l'indicateur échéancier fourni [P2 22.12] = 'N' ET que l'indicateur objet métier palier fourni [P2 22.57] = 'N' ou vide</t>
        </is>
      </c>
      <c r="AJ1041" s="317" t="inlineStr">
        <is>
          <t>The data is mandatory if Risk type [P2 2.0] = (TRE2xx, TRE3xx, TRE4xx, TRE5xx except (TRE203, TRE205, TRE206, TRE207), SIGxxx) AND the indicator product schedule [P2 22.56] = 'ECH' AND the repayment schedule provided indicator [P2 22.12] = 'N' AND the indicator of business object stage provided [P2 22.57] = 'N' or empty</t>
        </is>
      </c>
      <c r="AK1041" s="257" t="n">
        <v>6</v>
      </c>
      <c r="AL1041" s="816" t="inlineStr">
        <is>
          <t>TPS1736</t>
        </is>
      </c>
      <c r="AM1041" s="318" t="inlineStr">
        <is>
          <t>Si elle est renseignée, la valeur doit être connue du Langage Commun associé</t>
        </is>
      </c>
      <c r="AN1041" s="317" t="inlineStr">
        <is>
          <t>If specified, the value must be known to the associated Common Language</t>
        </is>
      </c>
      <c r="AO1041" s="257" t="n">
        <v>7</v>
      </c>
      <c r="AP1041" s="212" t="inlineStr">
        <is>
          <t>TIG0001</t>
        </is>
      </c>
      <c r="AQ1041" s="318" t="n"/>
      <c r="AR1041" s="317" t="n"/>
      <c r="AS1041" s="257" t="n"/>
      <c r="AT1041" s="258" t="n"/>
      <c r="AU1041" s="318" t="n"/>
      <c r="AV1041" s="317" t="n"/>
      <c r="AW1041" s="257" t="n"/>
      <c r="AX1041" s="258" t="n"/>
      <c r="AY1041" s="318" t="n"/>
      <c r="AZ1041" s="317" t="n"/>
      <c r="BA1041" s="257" t="n"/>
      <c r="BB1041" s="258" t="n"/>
      <c r="BC1041" s="316" t="n"/>
      <c r="BD1041" s="317" t="n"/>
      <c r="BE1041" s="257" t="n"/>
      <c r="BF1041" s="258" t="n"/>
      <c r="BG1041" s="89" t="n"/>
      <c r="BH10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41">
        <f>_xlfn.LET(r,ROW(),oc,INDEX($A:$A,r),cv,TRIM(INDEX($Y:$Y,r)&amp;""),IF(oc&lt;&gt;"P1","",IF(cv="45","V45 - novo, nao alimentado pelo spool atual","V44 - alimentado pelo spool atual")))</f>
        <v/>
      </c>
    </row>
    <row r="1042" ht="54" customFormat="1" customHeight="1" s="90">
      <c r="A1042" s="306" t="inlineStr">
        <is>
          <t>P2</t>
        </is>
      </c>
      <c r="B1042" s="307" t="n">
        <v>145</v>
      </c>
      <c r="C1042" s="269" t="inlineStr">
        <is>
          <t>06 - Caractéristiques échéancier</t>
        </is>
      </c>
      <c r="D1042" s="236" t="inlineStr">
        <is>
          <t>06 - Schedule characteristics</t>
        </is>
      </c>
      <c r="E1042" s="307" t="inlineStr">
        <is>
          <t>P2 22.21</t>
        </is>
      </c>
      <c r="F1042" s="817" t="inlineStr">
        <is>
          <t>Date de première échéance</t>
        </is>
      </c>
      <c r="G1042" s="309" t="inlineStr">
        <is>
          <t>First repayment date</t>
        </is>
      </c>
      <c r="H1042" s="309" t="n"/>
      <c r="I1042" s="241" t="inlineStr">
        <is>
          <t xml:space="preserve">Date de première échéance </t>
        </is>
      </c>
      <c r="J1042" s="309" t="inlineStr">
        <is>
          <t xml:space="preserve">First repayment date </t>
        </is>
      </c>
      <c r="K1042" s="370" t="inlineStr">
        <is>
          <t>ND</t>
        </is>
      </c>
      <c r="L1042" s="371" t="inlineStr">
        <is>
          <t>ND</t>
        </is>
      </c>
      <c r="M1042" s="1420" t="inlineStr">
        <is>
          <t>dtPrEch</t>
        </is>
      </c>
      <c r="N1042" s="231" t="inlineStr">
        <is>
          <t>Obligatoire sous conditions</t>
        </is>
      </c>
      <c r="O1042" s="236" t="inlineStr">
        <is>
          <t>Mandatory under conditions</t>
        </is>
      </c>
      <c r="P1042" s="269" t="inlineStr">
        <is>
          <t>NA</t>
        </is>
      </c>
      <c r="Q1042" s="269" t="inlineStr">
        <is>
          <t>NA</t>
        </is>
      </c>
      <c r="R1042" s="241" t="inlineStr">
        <is>
          <t>NA</t>
        </is>
      </c>
      <c r="S1042" s="233" t="inlineStr">
        <is>
          <t>NA</t>
        </is>
      </c>
      <c r="T1042" s="206" t="inlineStr">
        <is>
          <t>DATE</t>
        </is>
      </c>
      <c r="U1042" s="237" t="inlineStr">
        <is>
          <t>AAAAMMJJ</t>
        </is>
      </c>
      <c r="V1042" s="238" t="inlineStr">
        <is>
          <t>YYYYMMDD</t>
        </is>
      </c>
      <c r="W1042" s="269" t="n">
        <v>8</v>
      </c>
      <c r="X1042" s="231" t="inlineStr">
        <is>
          <t>NA</t>
        </is>
      </c>
      <c r="Y1042" s="237" t="n">
        <v>41</v>
      </c>
      <c r="Z1042" s="237" t="inlineStr">
        <is>
          <t>NA</t>
        </is>
      </c>
      <c r="AA1042" s="978" t="inlineStr">
        <is>
          <t>45.00</t>
        </is>
      </c>
      <c r="AB1042" s="932" t="inlineStr">
        <is>
          <t>ANACREDIT, LIQUIDITE, OMP, PALMA</t>
        </is>
      </c>
      <c r="AC1042" s="231" t="inlineStr">
        <is>
          <t>ND</t>
        </is>
      </c>
      <c r="AD1042" s="257" t="inlineStr">
        <is>
          <t>N</t>
        </is>
      </c>
      <c r="AE1042" s="257" t="inlineStr">
        <is>
          <t>NA</t>
        </is>
      </c>
      <c r="AF1042" s="257" t="inlineStr">
        <is>
          <t>NA</t>
        </is>
      </c>
      <c r="AG1042" s="258" t="inlineStr">
        <is>
          <t>NA</t>
        </is>
      </c>
      <c r="AH1042" s="89" t="n"/>
      <c r="AI1042" s="1233" t="inlineStr">
        <is>
          <t>La donnée est obligatoire si le type de risque [P2 2.0] = (TRE2xx, TRE3xx, TRE4xx, TRE5xx hors (TRE203, TRE205, TRE206, TRE207), SIGxxx)</t>
        </is>
      </c>
      <c r="AJ1042" s="931" t="inlineStr">
        <is>
          <t>The data is mandatory if Risk type [P2 2.0] = (TRE2xx, TRE3xx, TRE4xx, TRE5xx except (TRE203, TRE205, TRE206, TRE207), SIGxxx)</t>
        </is>
      </c>
      <c r="AK1042" s="958" t="n">
        <v>6</v>
      </c>
      <c r="AL1042" s="1234" t="inlineStr">
        <is>
          <t>TPSXXX (ex-TPS1736)</t>
        </is>
      </c>
      <c r="AM1042" s="318" t="n"/>
      <c r="AN1042" s="317" t="n"/>
      <c r="AO1042" s="257" t="n"/>
      <c r="AP1042" s="258" t="n"/>
      <c r="AQ1042" s="1028" t="inlineStr">
        <is>
          <t>Si renseignée, la donnée doit être supérieure ou égale à '19000101'</t>
        </is>
      </c>
      <c r="AR1042" s="931" t="inlineStr">
        <is>
          <t>If filled, data must be greater or equal to '19000101'</t>
        </is>
      </c>
      <c r="AS1042" s="958" t="n">
        <v>7</v>
      </c>
      <c r="AT1042" s="1052" t="inlineStr">
        <is>
          <t>TVG0005</t>
        </is>
      </c>
      <c r="AU1042" s="604" t="inlineStr">
        <is>
          <t>Si renseignée, ET que l'indicateur produit échéancé [P2 22.56] = 'ECH' ET que l'indicateur échéancier fourni [P2 22.12] = 'N' ET que l'indicateur objet métier palier fourni [P2 22.57] = 'N' ou vide, alors la Date de première échéance [P2 22.21] doit être postérieure ou égale à la date de début de l'engagement [P2 3.2]</t>
        </is>
      </c>
      <c r="AV1042" s="160" t="inlineStr">
        <is>
          <t>If filled, AND the indicator product schedule [P2 22.56] = 'ECH' AND the repayment schedule provided indicator [P2 22.12] = 'N' AND the indicator of business object stage provided [P2 22.57] = 'N' or empty, then the First repayment date [P2 22.21] must be higher or equal to the start date of commitment [P2 3.2]</t>
        </is>
      </c>
      <c r="AW1042" s="505" t="n">
        <v>6</v>
      </c>
      <c r="AX1042" s="818" t="inlineStr">
        <is>
          <t>TCS0752</t>
        </is>
      </c>
      <c r="AY1042" s="318" t="n"/>
      <c r="AZ1042" s="317" t="n"/>
      <c r="BA1042" s="257" t="n"/>
      <c r="BB1042" s="258" t="n"/>
      <c r="BC1042" s="316" t="n"/>
      <c r="BD1042" s="317" t="n"/>
      <c r="BE1042" s="257" t="n"/>
      <c r="BF1042" s="258" t="n"/>
      <c r="BG1042" s="89" t="n"/>
      <c r="BH10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42">
        <f>_xlfn.LET(r,ROW(),oc,INDEX($A:$A,r),cv,TRIM(INDEX($Y:$Y,r)&amp;""),IF(oc&lt;&gt;"P1","",IF(cv="45","V45 - novo, nao alimentado pelo spool atual","V44 - alimentado pelo spool atual")))</f>
        <v/>
      </c>
    </row>
    <row r="1043" ht="54" customFormat="1" customHeight="1" s="90">
      <c r="A1043" s="306" t="inlineStr">
        <is>
          <t>P2</t>
        </is>
      </c>
      <c r="B1043" s="307" t="n">
        <v>146</v>
      </c>
      <c r="C1043" s="269" t="inlineStr">
        <is>
          <t>06 - Caractéristiques échéancier</t>
        </is>
      </c>
      <c r="D1043" s="236" t="inlineStr">
        <is>
          <t>06 - Schedule characteristics</t>
        </is>
      </c>
      <c r="E1043" s="307" t="inlineStr">
        <is>
          <t>P2 22.22</t>
        </is>
      </c>
      <c r="F1043" s="817" t="inlineStr">
        <is>
          <t>Date de fin du différé d'amortissement</t>
        </is>
      </c>
      <c r="G1043" s="309" t="inlineStr">
        <is>
          <t>Grace period's end date</t>
        </is>
      </c>
      <c r="H1043" s="309" t="n"/>
      <c r="I1043" s="241" t="inlineStr">
        <is>
          <t xml:space="preserve">Date de fin du différé d'amortissement </t>
        </is>
      </c>
      <c r="J1043" s="233" t="inlineStr">
        <is>
          <t xml:space="preserve">Grace period's end date </t>
        </is>
      </c>
      <c r="K1043" s="269" t="inlineStr">
        <is>
          <t>ND</t>
        </is>
      </c>
      <c r="L1043" s="310" t="inlineStr">
        <is>
          <t>ND</t>
        </is>
      </c>
      <c r="M1043" s="1420" t="inlineStr">
        <is>
          <t>dtFinCredDif</t>
        </is>
      </c>
      <c r="N1043" s="231" t="inlineStr">
        <is>
          <t>Obligatoire sous conditions</t>
        </is>
      </c>
      <c r="O1043" s="236" t="inlineStr">
        <is>
          <t>Mandatory under conditions</t>
        </is>
      </c>
      <c r="P1043" s="269" t="inlineStr">
        <is>
          <t>NA</t>
        </is>
      </c>
      <c r="Q1043" s="269" t="inlineStr">
        <is>
          <t>NA</t>
        </is>
      </c>
      <c r="R1043" s="241" t="inlineStr">
        <is>
          <t>NA</t>
        </is>
      </c>
      <c r="S1043" s="233" t="inlineStr">
        <is>
          <t>NA</t>
        </is>
      </c>
      <c r="T1043" s="206" t="inlineStr">
        <is>
          <t>DATE</t>
        </is>
      </c>
      <c r="U1043" s="237" t="inlineStr">
        <is>
          <t>AAAAMMJJ</t>
        </is>
      </c>
      <c r="V1043" s="238" t="inlineStr">
        <is>
          <t>YYYYMMDD</t>
        </is>
      </c>
      <c r="W1043" s="269" t="n">
        <v>8</v>
      </c>
      <c r="X1043" s="231" t="inlineStr">
        <is>
          <t>NA</t>
        </is>
      </c>
      <c r="Y1043" s="237" t="n">
        <v>41</v>
      </c>
      <c r="Z1043" s="237" t="inlineStr">
        <is>
          <t>NA</t>
        </is>
      </c>
      <c r="AA1043" s="978" t="inlineStr">
        <is>
          <t>45.00</t>
        </is>
      </c>
      <c r="AB1043" s="932" t="inlineStr">
        <is>
          <t>ANACREDIT, LIQUIDITE, OMP, PALMA</t>
        </is>
      </c>
      <c r="AC1043" s="231" t="inlineStr">
        <is>
          <t>ND</t>
        </is>
      </c>
      <c r="AD1043" s="257" t="inlineStr">
        <is>
          <t>N</t>
        </is>
      </c>
      <c r="AE1043" s="257" t="inlineStr">
        <is>
          <t>NA</t>
        </is>
      </c>
      <c r="AF1043" s="257" t="inlineStr">
        <is>
          <t>NA</t>
        </is>
      </c>
      <c r="AG1043" s="258" t="inlineStr">
        <is>
          <t>NA</t>
        </is>
      </c>
      <c r="AH1043" s="89" t="n"/>
      <c r="AI1043" s="957" t="inlineStr">
        <is>
          <t>La donnée est obligatoire si l'Indicateur différé d'amortissement [P2 22.222] = 'Y'</t>
        </is>
      </c>
      <c r="AJ1043" s="931" t="inlineStr">
        <is>
          <t>The data is mandatory if Deferred depreciation indicator [P2 22.222] = 'Y'</t>
        </is>
      </c>
      <c r="AK1043" s="958" t="n">
        <v>7</v>
      </c>
      <c r="AL1043" s="959" t="inlineStr">
        <is>
          <t>TPSXXXX</t>
        </is>
      </c>
      <c r="AM1043" s="318" t="n"/>
      <c r="AN1043" s="317" t="n"/>
      <c r="AO1043" s="257" t="n"/>
      <c r="AP1043" s="258" t="n"/>
      <c r="AQ1043" s="318" t="n"/>
      <c r="AR1043" s="317" t="n"/>
      <c r="AS1043" s="257" t="n"/>
      <c r="AT1043" s="258" t="n"/>
      <c r="AU1043" s="819" t="inlineStr">
        <is>
          <t>Si renseignée, ET que l'indicateur produit échéancé [P2 22.56] = 'ECH' ET que l'indicateur échéancier fourni [P2 22.12] = 'N' ET que l'indicateur objet métier palier fourni [P2 22.57] = 'N' ou vide, alors la Date de fin du différé d'amortissement [P2 22.22] doit être comprise entre la date de début de l'engagement [P2 3.2] et la date de fin de l'engagement [P2 3.4]</t>
        </is>
      </c>
      <c r="AV1043" s="317" t="inlineStr">
        <is>
          <t>If filled, AND the indicator product schedule [P2 22.56] = 'ECH' AND the repayment schedule provided indicator [P2 22.12] = 'N' AND the indicator of business object stage provided [P2 22.57] = 'N' or empty, then the Grace period's end date [P2 22.22] must be between the start date of commitment [P2 3.2] and the end date of commitment [P2 3.4]</t>
        </is>
      </c>
      <c r="AW1043" s="257" t="n">
        <v>6</v>
      </c>
      <c r="AX1043" s="345" t="inlineStr">
        <is>
          <t>TCS0753</t>
        </is>
      </c>
      <c r="AY1043" s="318" t="n"/>
      <c r="AZ1043" s="317" t="n"/>
      <c r="BA1043" s="257" t="n"/>
      <c r="BB1043" s="258" t="n"/>
      <c r="BC1043" s="316" t="n"/>
      <c r="BD1043" s="317" t="n"/>
      <c r="BE1043" s="257" t="n"/>
      <c r="BF1043" s="258" t="n"/>
      <c r="BG1043" s="89" t="n"/>
      <c r="BH10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43">
        <f>_xlfn.LET(r,ROW(),oc,INDEX($A:$A,r),cv,TRIM(INDEX($Y:$Y,r)&amp;""),IF(oc&lt;&gt;"P1","",IF(cv="45","V45 - novo, nao alimentado pelo spool atual","V44 - alimentado pelo spool atual")))</f>
        <v/>
      </c>
    </row>
    <row r="1044" ht="54" customFormat="1" customHeight="1" s="90">
      <c r="A1044" s="306" t="inlineStr">
        <is>
          <t>P2</t>
        </is>
      </c>
      <c r="B1044" s="307" t="n">
        <v>147</v>
      </c>
      <c r="C1044" s="269" t="inlineStr">
        <is>
          <t>22 - Caractéristiques de taux</t>
        </is>
      </c>
      <c r="D1044" s="236" t="inlineStr">
        <is>
          <t>22 - Rate characteristics</t>
        </is>
      </c>
      <c r="E1044" s="307" t="inlineStr">
        <is>
          <t>P2 22.23</t>
        </is>
      </c>
      <c r="F1044" s="817" t="inlineStr">
        <is>
          <t xml:space="preserve">Taux plafond </t>
        </is>
      </c>
      <c r="G1044" s="309" t="inlineStr">
        <is>
          <t xml:space="preserve">Interest rate cap </t>
        </is>
      </c>
      <c r="H1044" s="309" t="n"/>
      <c r="I1044" s="241" t="inlineStr">
        <is>
          <t>Valeur maximale du taux d'intérêt facturé
Exprimé en %</t>
        </is>
      </c>
      <c r="J1044" s="233" t="inlineStr">
        <is>
          <t>Maximum value of the billed interest rate
Expressed as %</t>
        </is>
      </c>
      <c r="K1044" s="269" t="inlineStr">
        <is>
          <t>ND</t>
        </is>
      </c>
      <c r="L1044" s="310" t="inlineStr">
        <is>
          <t>ND</t>
        </is>
      </c>
      <c r="M1044" s="1420" t="inlineStr">
        <is>
          <t>txPlaf</t>
        </is>
      </c>
      <c r="N1044" s="231" t="inlineStr">
        <is>
          <t>Obligatoire sous conditions</t>
        </is>
      </c>
      <c r="O1044" s="236" t="inlineStr">
        <is>
          <t>Mandatory under conditions</t>
        </is>
      </c>
      <c r="P1044" s="269" t="inlineStr">
        <is>
          <t>NA</t>
        </is>
      </c>
      <c r="Q1044" s="269" t="inlineStr">
        <is>
          <t>NA</t>
        </is>
      </c>
      <c r="R1044" s="278" t="inlineStr">
        <is>
          <t>NA</t>
        </is>
      </c>
      <c r="S1044" s="591" t="inlineStr">
        <is>
          <t>NA</t>
        </is>
      </c>
      <c r="T1044" s="313" t="inlineStr">
        <is>
          <t>NUM</t>
        </is>
      </c>
      <c r="U1044" s="237" t="inlineStr">
        <is>
          <t>10 dont signe et 5 décimales</t>
        </is>
      </c>
      <c r="V1044" s="238" t="inlineStr">
        <is>
          <t>10 including sign and 5 decimals</t>
        </is>
      </c>
      <c r="W1044" s="269" t="n">
        <v>10</v>
      </c>
      <c r="X1044" s="231" t="inlineStr">
        <is>
          <t>NA</t>
        </is>
      </c>
      <c r="Y1044" s="237" t="n">
        <v>41</v>
      </c>
      <c r="Z1044" s="237" t="inlineStr">
        <is>
          <t>NA</t>
        </is>
      </c>
      <c r="AA1044" s="1019" t="inlineStr">
        <is>
          <t>45.00</t>
        </is>
      </c>
      <c r="AB1044" s="932" t="inlineStr">
        <is>
          <t>ANACREDIT, LIQUIDITE, OMP, PALMA</t>
        </is>
      </c>
      <c r="AC1044" s="231" t="inlineStr">
        <is>
          <t>ND</t>
        </is>
      </c>
      <c r="AD1044" s="257" t="inlineStr">
        <is>
          <t>N</t>
        </is>
      </c>
      <c r="AE1044" s="257" t="inlineStr">
        <is>
          <t>NA</t>
        </is>
      </c>
      <c r="AF1044" s="257" t="inlineStr">
        <is>
          <t>NA</t>
        </is>
      </c>
      <c r="AG1044" s="258" t="inlineStr">
        <is>
          <t>NA</t>
        </is>
      </c>
      <c r="AH1044" s="89" t="n"/>
      <c r="AI1044" s="401" t="inlineStr">
        <is>
          <t>La donnée est obligatoire si le type de risque [P2 2.0] = TRE2xx à TRE5xx (hors TRE203, TRE205, TRE206, TRE207) et si l'indicateur produit échéancé [P2 22.56] = 'ECH' et l'indicateur échéancier fourni [P2 22.12] = 'N' et l'indicateur objet métier palier fourni [P2 22.57] = 'N' ou vide et le type de taux [P2 22.14] = 'V' ou 'R'</t>
        </is>
      </c>
      <c r="AJ1044" s="160" t="inlineStr">
        <is>
          <t>The data is mandatory if Risk type [P2 2.0] = TRE2xx to TRE5xx (except TRE203, TRE205, TRE206, TRE207) and if the indicator product schedule [P2 22.56] = 'ECH' and the repayment schedule provided indicator [P2 22.12] = ‘N' and the indicator of business object stage provided [P2 22.57] = ‘N' or empty and the type of interest rate [P2 22.14] ='V' or 'R'</t>
        </is>
      </c>
      <c r="AK1044" s="505" t="n">
        <v>6</v>
      </c>
      <c r="AL1044" s="424" t="inlineStr">
        <is>
          <t>TPS1738</t>
        </is>
      </c>
      <c r="AM1044" s="318" t="n"/>
      <c r="AN1044" s="317" t="n"/>
      <c r="AO1044" s="257" t="n"/>
      <c r="AP1044" s="258" t="n"/>
      <c r="AQ1044" s="318" t="n"/>
      <c r="AR1044" s="317" t="n"/>
      <c r="AS1044" s="257" t="n"/>
      <c r="AT1044" s="258" t="n"/>
      <c r="AU1044" s="159" t="inlineStr">
        <is>
          <t>Si renseigné, ET si l'indicateur produit échéancé [P2 22.56] = 'ECH' ET l'indicateur échéancier fourni [P2 22.12] = 'N' ET l'indicateur objet métier palier fourni [P2 22.57] = 'N' ou vide ET le type de taux [P2 22.14] = 'V' ou 'R', alors le taux renseigné doit être supérieur ou égal au 'Taux plancher' [P2 22.24]</t>
        </is>
      </c>
      <c r="AV1044" s="160" t="inlineStr">
        <is>
          <t>If filled, AND if the indicator product schedule [P2 22.56] = 'ECH' AND the repayment schedule provided indicator [P2 22.12] = ‘N' AND the indicator of business object stage provided [P2 22.57] = ‘N' or empty AND the type of interest rate [P2 22.14] ='V' or 'R', then the rate filled must be higher or equal than the 'Interest rate floor' [P2 22.24]</t>
        </is>
      </c>
      <c r="AW1044" s="505" t="n">
        <v>6</v>
      </c>
      <c r="AX1044" s="424" t="inlineStr">
        <is>
          <t>TCS0754</t>
        </is>
      </c>
      <c r="AY1044" s="318" t="n"/>
      <c r="AZ1044" s="317" t="n"/>
      <c r="BA1044" s="257" t="n"/>
      <c r="BB1044" s="258" t="n"/>
      <c r="BC1044" s="316" t="n"/>
      <c r="BD1044" s="317" t="n"/>
      <c r="BE1044" s="257" t="n"/>
      <c r="BF1044" s="258" t="n"/>
      <c r="BG1044" s="89" t="n"/>
      <c r="BH10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44">
        <f>_xlfn.LET(r,ROW(),oc,INDEX($A:$A,r),cv,TRIM(INDEX($Y:$Y,r)&amp;""),IF(oc&lt;&gt;"P1","",IF(cv="45","V45 - novo, nao alimentado pelo spool atual","V44 - alimentado pelo spool atual")))</f>
        <v/>
      </c>
    </row>
    <row r="1045" ht="54" customFormat="1" customHeight="1" s="90">
      <c r="A1045" s="306" t="inlineStr">
        <is>
          <t>P2</t>
        </is>
      </c>
      <c r="B1045" s="307" t="n">
        <v>148</v>
      </c>
      <c r="C1045" s="269" t="inlineStr">
        <is>
          <t>22 - Caractéristiques de taux</t>
        </is>
      </c>
      <c r="D1045" s="236" t="inlineStr">
        <is>
          <t>22 - Rate characteristics</t>
        </is>
      </c>
      <c r="E1045" s="307" t="inlineStr">
        <is>
          <t>P2 22.24</t>
        </is>
      </c>
      <c r="F1045" s="308" t="inlineStr">
        <is>
          <t>Taux plancher</t>
        </is>
      </c>
      <c r="G1045" s="309" t="inlineStr">
        <is>
          <t>Interest rate floor</t>
        </is>
      </c>
      <c r="H1045" s="309" t="n"/>
      <c r="I1045" s="241" t="inlineStr">
        <is>
          <t>Valeur minimale du taux d'intérêt facturé 
Exprimé en %</t>
        </is>
      </c>
      <c r="J1045" s="233" t="inlineStr">
        <is>
          <t>Minimum value of the billed interest rate
Expressed as %</t>
        </is>
      </c>
      <c r="K1045" s="269" t="inlineStr">
        <is>
          <t>ND</t>
        </is>
      </c>
      <c r="L1045" s="310" t="inlineStr">
        <is>
          <t>ND</t>
        </is>
      </c>
      <c r="M1045" s="1420" t="inlineStr">
        <is>
          <t>txPlan</t>
        </is>
      </c>
      <c r="N1045" s="231" t="inlineStr">
        <is>
          <t>Obligatoire sous conditions</t>
        </is>
      </c>
      <c r="O1045" s="236" t="inlineStr">
        <is>
          <t>Mandatory under conditions</t>
        </is>
      </c>
      <c r="P1045" s="269" t="inlineStr">
        <is>
          <t>NA</t>
        </is>
      </c>
      <c r="Q1045" s="269" t="inlineStr">
        <is>
          <t>NA</t>
        </is>
      </c>
      <c r="R1045" s="278" t="inlineStr">
        <is>
          <t>NA</t>
        </is>
      </c>
      <c r="S1045" s="591" t="inlineStr">
        <is>
          <t>NA</t>
        </is>
      </c>
      <c r="T1045" s="313" t="inlineStr">
        <is>
          <t>NUM</t>
        </is>
      </c>
      <c r="U1045" s="237" t="inlineStr">
        <is>
          <t>10 dont signe et 5 décimales</t>
        </is>
      </c>
      <c r="V1045" s="238" t="inlineStr">
        <is>
          <t>10 including sign and 5 decimals</t>
        </is>
      </c>
      <c r="W1045" s="269" t="n">
        <v>10</v>
      </c>
      <c r="X1045" s="231" t="inlineStr">
        <is>
          <t>NA</t>
        </is>
      </c>
      <c r="Y1045" s="237" t="n">
        <v>41</v>
      </c>
      <c r="Z1045" s="237" t="inlineStr">
        <is>
          <t>NA</t>
        </is>
      </c>
      <c r="AA1045" s="978" t="inlineStr">
        <is>
          <t>45.00</t>
        </is>
      </c>
      <c r="AB1045" s="932" t="inlineStr">
        <is>
          <t>ANACREDIT, LIQUIDITE, OMP, PALMA</t>
        </is>
      </c>
      <c r="AC1045" s="231" t="inlineStr">
        <is>
          <t>ND</t>
        </is>
      </c>
      <c r="AD1045" s="257" t="inlineStr">
        <is>
          <t>N</t>
        </is>
      </c>
      <c r="AE1045" s="257" t="inlineStr">
        <is>
          <t>NA</t>
        </is>
      </c>
      <c r="AF1045" s="257" t="inlineStr">
        <is>
          <t>NA</t>
        </is>
      </c>
      <c r="AG1045" s="258" t="inlineStr">
        <is>
          <t>NA</t>
        </is>
      </c>
      <c r="AH1045" s="89" t="n"/>
      <c r="AI1045" s="316" t="inlineStr">
        <is>
          <t>La donnée est obligatoire si le type de risque [P2 2.0] = TRE2xx à TRE5xx (hors TRE203, TRE205, TRE206, TRE207) et si l'indicateur produit échéancé [P2 22.56] = 'ECH' et l'indicateur échéancier fourni [P2 22.12] = 'N' et l'indicateur objet métier palier fourni [P2 22.57] = 'N' ou vide et le type de taux [P2 22.14] = 'V' ou 'R'</t>
        </is>
      </c>
      <c r="AJ1045" s="160" t="inlineStr">
        <is>
          <t>The data is mandatory if Risk type [P2 2.0] = TRE2xx to TRE5xx (except TRE203, TRE205, TRE206, TRE207) and if the indicator product schedule [P2 22.56] = 'ECH' and the repayment schedule provided indicator [P2 22.12] = ‘N' and the indicator of business object stage provided [P2 22.57] = ‘N' or empty and the type of interest rate [P2 22.14] ='V' or 'R'</t>
        </is>
      </c>
      <c r="AK1045" s="505" t="n">
        <v>6</v>
      </c>
      <c r="AL1045" s="424" t="inlineStr">
        <is>
          <t>TPS1738</t>
        </is>
      </c>
      <c r="AM1045" s="318" t="n"/>
      <c r="AN1045" s="317" t="n"/>
      <c r="AO1045" s="257" t="n"/>
      <c r="AP1045" s="258" t="n"/>
      <c r="AQ1045" s="318" t="n"/>
      <c r="AR1045" s="317" t="n"/>
      <c r="AS1045" s="257" t="n"/>
      <c r="AT1045" s="258" t="n"/>
      <c r="AU1045" s="318" t="n"/>
      <c r="AV1045" s="317" t="n"/>
      <c r="AW1045" s="257" t="n"/>
      <c r="AX1045" s="258" t="n"/>
      <c r="AY1045" s="318" t="n"/>
      <c r="AZ1045" s="317" t="n"/>
      <c r="BA1045" s="257" t="n"/>
      <c r="BB1045" s="258" t="n"/>
      <c r="BC1045" s="316" t="n"/>
      <c r="BD1045" s="317" t="n"/>
      <c r="BE1045" s="257" t="n"/>
      <c r="BF1045" s="258" t="n"/>
      <c r="BG1045" s="89" t="n"/>
      <c r="BH10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45">
        <f>_xlfn.LET(r,ROW(),oc,INDEX($A:$A,r),cv,TRIM(INDEX($Y:$Y,r)&amp;""),IF(oc&lt;&gt;"P1","",IF(cv="45","V45 - novo, nao alimentado pelo spool atual","V44 - alimentado pelo spool atual")))</f>
        <v/>
      </c>
    </row>
    <row r="1046" ht="54" customFormat="1" customHeight="1" s="90">
      <c r="A1046" s="306" t="inlineStr">
        <is>
          <t>P2</t>
        </is>
      </c>
      <c r="B1046" s="307" t="n">
        <v>149</v>
      </c>
      <c r="C1046" s="269" t="inlineStr">
        <is>
          <t>22 - Caractéristiques de taux</t>
        </is>
      </c>
      <c r="D1046" s="236" t="inlineStr">
        <is>
          <t>22 - Rate characteristics</t>
        </is>
      </c>
      <c r="E1046" s="307" t="inlineStr">
        <is>
          <t>P2 22.25</t>
        </is>
      </c>
      <c r="F1046" s="603" t="inlineStr">
        <is>
          <t>Fréquence de révision du taux</t>
        </is>
      </c>
      <c r="G1046" s="309" t="inlineStr">
        <is>
          <t>Frequency of revision of interest rate</t>
        </is>
      </c>
      <c r="H1046" s="309" t="n"/>
      <c r="I1046" s="605" t="inlineStr">
        <is>
          <t>Fréquence de révision du taux du prêt. Elle est à renseigner pour les prêts autres que prêts à taux fixe, y compris lorsque le prêt est sur la dernière période</t>
        </is>
      </c>
      <c r="J1046" s="233" t="inlineStr">
        <is>
          <t>Loan's interest-rate review frequency. An entry is made for loans other than fixed-rate loans, including when the loan is in the last period</t>
        </is>
      </c>
      <c r="K1046" s="269" t="inlineStr">
        <is>
          <t>ND</t>
        </is>
      </c>
      <c r="L1046" s="310" t="inlineStr">
        <is>
          <t>ND</t>
        </is>
      </c>
      <c r="M1046" s="1420" t="inlineStr">
        <is>
          <t>peRevTxUnit</t>
        </is>
      </c>
      <c r="N1046" s="231" t="inlineStr">
        <is>
          <t>Obligatoire sous conditions</t>
        </is>
      </c>
      <c r="O1046" s="236" t="inlineStr">
        <is>
          <t>Mandatory under conditions</t>
        </is>
      </c>
      <c r="P1046" s="269" t="inlineStr">
        <is>
          <t>LC.0056</t>
        </is>
      </c>
      <c r="Q1046" s="269" t="inlineStr">
        <is>
          <t>TA KVFREQU</t>
        </is>
      </c>
      <c r="R1046" s="241" t="inlineStr">
        <is>
          <t>Si règlement in fine mettre 'X' (autre fréquence)</t>
        </is>
      </c>
      <c r="S1046" s="233" t="inlineStr">
        <is>
          <t>If final settlement put 'X' (other frequency)</t>
        </is>
      </c>
      <c r="T1046" s="313" t="inlineStr">
        <is>
          <t>ALPHA</t>
        </is>
      </c>
      <c r="U1046" s="237" t="inlineStr">
        <is>
          <t>NA</t>
        </is>
      </c>
      <c r="V1046" s="238" t="inlineStr">
        <is>
          <t>NA</t>
        </is>
      </c>
      <c r="W1046" s="257" t="n">
        <v>1</v>
      </c>
      <c r="X1046" s="945" t="inlineStr">
        <is>
          <t>NA</t>
        </is>
      </c>
      <c r="Y1046" s="237" t="n">
        <v>41</v>
      </c>
      <c r="Z1046" s="237" t="inlineStr">
        <is>
          <t>NA</t>
        </is>
      </c>
      <c r="AA1046" s="978" t="inlineStr">
        <is>
          <t>45.00</t>
        </is>
      </c>
      <c r="AB1046" s="932" t="inlineStr">
        <is>
          <t>ANACREDIT, LIQUIDITE, OMP, PALMA</t>
        </is>
      </c>
      <c r="AC1046" s="231" t="inlineStr">
        <is>
          <t>ND</t>
        </is>
      </c>
      <c r="AD1046" s="257" t="inlineStr">
        <is>
          <t>N</t>
        </is>
      </c>
      <c r="AE1046" s="257" t="inlineStr">
        <is>
          <t>NA</t>
        </is>
      </c>
      <c r="AF1046" s="257" t="inlineStr">
        <is>
          <t>NA</t>
        </is>
      </c>
      <c r="AG1046" s="258" t="inlineStr">
        <is>
          <t>NA</t>
        </is>
      </c>
      <c r="AH1046" s="89" t="n"/>
      <c r="AI1046" s="1233" t="inlineStr">
        <is>
          <t>La donnée est obligatoire si le type de taux [P2 22.14] = 'V' ou 'R'</t>
        </is>
      </c>
      <c r="AJ1046" s="931" t="inlineStr">
        <is>
          <t>The data is mandatory if the Type of interest rate [P2 22.14] = 'V' or 'R'</t>
        </is>
      </c>
      <c r="AK1046" s="958" t="n">
        <v>6</v>
      </c>
      <c r="AL1046" s="1234" t="inlineStr">
        <is>
          <t>TPSXXX (ex-TPS1739)</t>
        </is>
      </c>
      <c r="AM1046" s="318" t="inlineStr">
        <is>
          <t>Si elle est renseignée, la valeur doit être connue du Langage Commun associé</t>
        </is>
      </c>
      <c r="AN1046" s="317" t="inlineStr">
        <is>
          <t>If specified, the value must be known to the associated Common Language</t>
        </is>
      </c>
      <c r="AO1046" s="257" t="n">
        <v>7</v>
      </c>
      <c r="AP1046" s="212" t="inlineStr">
        <is>
          <t>TIG0001</t>
        </is>
      </c>
      <c r="AQ1046" s="318" t="n"/>
      <c r="AR1046" s="317" t="n"/>
      <c r="AS1046" s="257" t="n"/>
      <c r="AT1046" s="258" t="n"/>
      <c r="AU1046" s="318" t="n"/>
      <c r="AV1046" s="317" t="n"/>
      <c r="AW1046" s="257" t="n"/>
      <c r="AX1046" s="258" t="n"/>
      <c r="AY1046" s="318" t="n"/>
      <c r="AZ1046" s="317" t="n"/>
      <c r="BA1046" s="257" t="n"/>
      <c r="BB1046" s="258" t="n"/>
      <c r="BC1046" s="316" t="n"/>
      <c r="BD1046" s="317" t="n"/>
      <c r="BE1046" s="257" t="n"/>
      <c r="BF1046" s="258" t="n"/>
      <c r="BG1046" s="89" t="n"/>
      <c r="BH10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46">
        <f>_xlfn.LET(r,ROW(),oc,INDEX($A:$A,r),cv,TRIM(INDEX($Y:$Y,r)&amp;""),IF(oc&lt;&gt;"P1","",IF(cv="45","V45 - novo, nao alimentado pelo spool atual","V44 - alimentado pelo spool atual")))</f>
        <v/>
      </c>
    </row>
    <row r="1047" ht="54" customFormat="1" customHeight="1" s="90">
      <c r="A1047" s="306" t="inlineStr">
        <is>
          <t>P2</t>
        </is>
      </c>
      <c r="B1047" s="307" t="n">
        <v>150</v>
      </c>
      <c r="C1047" s="269" t="inlineStr">
        <is>
          <t>22 - Caractéristiques de taux</t>
        </is>
      </c>
      <c r="D1047" s="236" t="inlineStr">
        <is>
          <t>22 - Rate characteristics</t>
        </is>
      </c>
      <c r="E1047" s="307" t="inlineStr">
        <is>
          <t>P2 22.26</t>
        </is>
      </c>
      <c r="F1047" s="308" t="inlineStr">
        <is>
          <t>Périodicité de révision du taux en nombre</t>
        </is>
      </c>
      <c r="G1047" s="309" t="inlineStr">
        <is>
          <t>Periodicity of revision of interest rate in number</t>
        </is>
      </c>
      <c r="H1047" s="309" t="n"/>
      <c r="I1047" s="605" t="inlineStr">
        <is>
          <t>Périodicité de révision d'un crédit à taux variable. Elle est à renseigner pour les prêts autres que prêts à taux fixe, y compris lorsque le prêt est sur la dernière période</t>
        </is>
      </c>
      <c r="J1047" s="233" t="inlineStr">
        <is>
          <t>Review periodicity of a variable-rate loan. An entry is made for loans other than fixed-rate loans, including when the loan is in the last period</t>
        </is>
      </c>
      <c r="K1047" s="370" t="inlineStr">
        <is>
          <t>ND</t>
        </is>
      </c>
      <c r="L1047" s="371" t="inlineStr">
        <is>
          <t>ND</t>
        </is>
      </c>
      <c r="M1047" s="1420" t="inlineStr">
        <is>
          <t>peRevTxNb</t>
        </is>
      </c>
      <c r="N1047" s="231" t="inlineStr">
        <is>
          <t>Obligatoire sous conditions</t>
        </is>
      </c>
      <c r="O1047" s="236" t="inlineStr">
        <is>
          <t>Mandatory under conditions</t>
        </is>
      </c>
      <c r="P1047" s="269" t="inlineStr">
        <is>
          <t>NA</t>
        </is>
      </c>
      <c r="Q1047" s="269" t="inlineStr">
        <is>
          <t>NA</t>
        </is>
      </c>
      <c r="R1047" s="607" t="inlineStr">
        <is>
          <t xml:space="preserve">Nombre affecté à l'unité de temps (P2 22.25)
Par exemple, si fréquence de révision du taux (P2 22.25) = S (semestriel) :
- périodicité = 1, cela veut dire que le taux est révisé tous les semestres = tous les 6 mois
- périodicité = 6, cela veut dire que le taux est révisé tous les 6 semestres = tous les 3 ans </t>
        </is>
      </c>
      <c r="S1047" s="233" t="inlineStr">
        <is>
          <t xml:space="preserve">Number allocated to the time unit (P2 22.25)
For example, if Frequency of revision of interest rate (P2 22.25) = S (half-year):
- periodicity = 1, it means revision of interest rate is every semester = every 6 months
- periodicity = 6, it means revision of interest rate is every 6 semesters = every 3 years </t>
        </is>
      </c>
      <c r="T1047" s="313" t="inlineStr">
        <is>
          <t>NUM</t>
        </is>
      </c>
      <c r="U1047" s="237" t="inlineStr">
        <is>
          <t>NA</t>
        </is>
      </c>
      <c r="V1047" s="238" t="inlineStr">
        <is>
          <t>NA</t>
        </is>
      </c>
      <c r="W1047" s="257" t="n">
        <v>3</v>
      </c>
      <c r="X1047" s="945" t="inlineStr">
        <is>
          <t>NA</t>
        </is>
      </c>
      <c r="Y1047" s="237" t="n">
        <v>41</v>
      </c>
      <c r="Z1047" s="237" t="inlineStr">
        <is>
          <t>NA</t>
        </is>
      </c>
      <c r="AA1047" s="978" t="inlineStr">
        <is>
          <t>45.00</t>
        </is>
      </c>
      <c r="AB1047" s="932" t="inlineStr">
        <is>
          <t>ANACREDIT, LIQUIDITE, OMP</t>
        </is>
      </c>
      <c r="AC1047" s="231" t="inlineStr">
        <is>
          <t>ND</t>
        </is>
      </c>
      <c r="AD1047" s="257" t="inlineStr">
        <is>
          <t>N</t>
        </is>
      </c>
      <c r="AE1047" s="257" t="inlineStr">
        <is>
          <t>NA</t>
        </is>
      </c>
      <c r="AF1047" s="257" t="inlineStr">
        <is>
          <t>NA</t>
        </is>
      </c>
      <c r="AG1047" s="258" t="inlineStr">
        <is>
          <t>NA</t>
        </is>
      </c>
      <c r="AH1047" s="89" t="n"/>
      <c r="AI1047" s="608" t="inlineStr">
        <is>
          <t>La donnée est obligatoire si la Fréquence de révision du taux [P2 22.25] est renseignée</t>
        </is>
      </c>
      <c r="AJ1047" s="317" t="inlineStr">
        <is>
          <t>The data is mandatory if the Frequency of revision of interest rate [P2 22.25] is filled</t>
        </is>
      </c>
      <c r="AK1047" s="257" t="n">
        <v>6</v>
      </c>
      <c r="AL1047" s="345" t="inlineStr">
        <is>
          <t>TPS1740</t>
        </is>
      </c>
      <c r="AM1047" s="318" t="n"/>
      <c r="AN1047" s="317" t="n"/>
      <c r="AO1047" s="257" t="n"/>
      <c r="AP1047" s="258" t="n"/>
      <c r="AQ1047" s="318" t="n"/>
      <c r="AR1047" s="317" t="n"/>
      <c r="AS1047" s="257" t="n"/>
      <c r="AT1047" s="258" t="n"/>
      <c r="AU1047" s="318" t="n"/>
      <c r="AV1047" s="317" t="n"/>
      <c r="AW1047" s="257" t="n"/>
      <c r="AX1047" s="258" t="n"/>
      <c r="AY1047" s="318" t="n"/>
      <c r="AZ1047" s="317" t="n"/>
      <c r="BA1047" s="257" t="n"/>
      <c r="BB1047" s="258" t="n"/>
      <c r="BC1047" s="316" t="n"/>
      <c r="BD1047" s="317" t="n"/>
      <c r="BE1047" s="257" t="n"/>
      <c r="BF1047" s="258" t="n"/>
      <c r="BG1047" s="89" t="n"/>
      <c r="BH10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47">
        <f>_xlfn.LET(r,ROW(),oc,INDEX($A:$A,r),cv,TRIM(INDEX($Y:$Y,r)&amp;""),IF(oc&lt;&gt;"P1","",IF(cv="45","V45 - novo, nao alimentado pelo spool atual","V44 - alimentado pelo spool atual")))</f>
        <v/>
      </c>
    </row>
    <row r="1048" ht="54" customFormat="1" customHeight="1" s="90">
      <c r="A1048" s="306" t="inlineStr">
        <is>
          <t>P2</t>
        </is>
      </c>
      <c r="B1048" s="307" t="n">
        <v>151</v>
      </c>
      <c r="C1048" s="269" t="inlineStr">
        <is>
          <t>22 - Caractéristiques de taux</t>
        </is>
      </c>
      <c r="D1048" s="236" t="inlineStr">
        <is>
          <t>22 - Rate characteristics</t>
        </is>
      </c>
      <c r="E1048" s="307" t="inlineStr">
        <is>
          <t>P2 22.27</t>
        </is>
      </c>
      <c r="F1048" s="375" t="inlineStr">
        <is>
          <t>Taux client de la période en cours</t>
        </is>
      </c>
      <c r="G1048" s="309" t="inlineStr">
        <is>
          <t>Customer interest rate for current period</t>
        </is>
      </c>
      <c r="H1048" s="309" t="n"/>
      <c r="I1048" s="278" t="inlineStr">
        <is>
          <t>Taux du flux d'intérêt de l'échéance
Taux facturé au client, c'est-à-dire comprenant le spread et le coût de l'option éventuelle
Exprimé en %</t>
        </is>
      </c>
      <c r="J1048" s="160" t="inlineStr">
        <is>
          <t>Repayment interest flow rate
Rate charged to the customer, i.e. including the spread and the cost of any option
Expressed as %</t>
        </is>
      </c>
      <c r="K1048" s="370" t="inlineStr">
        <is>
          <t>ND</t>
        </is>
      </c>
      <c r="L1048" s="371" t="inlineStr">
        <is>
          <t>ND</t>
        </is>
      </c>
      <c r="M1048" s="1420" t="inlineStr">
        <is>
          <t>txCliPeriode</t>
        </is>
      </c>
      <c r="N1048" s="231" t="inlineStr">
        <is>
          <t>Obligatoire sous conditions</t>
        </is>
      </c>
      <c r="O1048" s="236" t="inlineStr">
        <is>
          <t>Mandatory under conditions</t>
        </is>
      </c>
      <c r="P1048" s="269" t="inlineStr">
        <is>
          <t>NA</t>
        </is>
      </c>
      <c r="Q1048" s="269" t="inlineStr">
        <is>
          <t>NA</t>
        </is>
      </c>
      <c r="R1048" s="609" t="inlineStr">
        <is>
          <t>NA</t>
        </is>
      </c>
      <c r="S1048" s="233" t="inlineStr">
        <is>
          <t>NA</t>
        </is>
      </c>
      <c r="T1048" s="313" t="inlineStr">
        <is>
          <t>NUM</t>
        </is>
      </c>
      <c r="U1048" s="237" t="inlineStr">
        <is>
          <t>10 dont signe et 5 décimales</t>
        </is>
      </c>
      <c r="V1048" s="238" t="inlineStr">
        <is>
          <t>10 including sign and 5 decimals</t>
        </is>
      </c>
      <c r="W1048" s="257" t="n">
        <v>10</v>
      </c>
      <c r="X1048" s="945" t="inlineStr">
        <is>
          <t>NA</t>
        </is>
      </c>
      <c r="Y1048" s="237" t="n">
        <v>41</v>
      </c>
      <c r="Z1048" s="237" t="inlineStr">
        <is>
          <t>NA</t>
        </is>
      </c>
      <c r="AA1048" s="978" t="inlineStr">
        <is>
          <t>45.00</t>
        </is>
      </c>
      <c r="AB1048" s="932" t="inlineStr">
        <is>
          <t>ANACREDIT, LIQUIDITE, OMP, PALMA</t>
        </is>
      </c>
      <c r="AC1048" s="231" t="inlineStr">
        <is>
          <t>ND</t>
        </is>
      </c>
      <c r="AD1048" s="257" t="inlineStr">
        <is>
          <t>N</t>
        </is>
      </c>
      <c r="AE1048" s="257" t="inlineStr">
        <is>
          <t>NA</t>
        </is>
      </c>
      <c r="AF1048" s="257" t="inlineStr">
        <is>
          <t>NA</t>
        </is>
      </c>
      <c r="AG1048" s="258" t="inlineStr">
        <is>
          <t>NA</t>
        </is>
      </c>
      <c r="AH1048" s="89" t="n"/>
      <c r="AI1048" s="1226" t="inlineStr">
        <is>
          <t>La donnée est obligatoire si le type de risque [P2 2.0] = ('TRE2xx', 'TRE3xx', 'TRE4xx', 'TRE5xx' (hors 'TRE203', 'TRE205', 'TRE206', 'TRE207'), 'SIGxxx')</t>
        </is>
      </c>
      <c r="AJ1048" s="973" t="inlineStr">
        <is>
          <t>The data is mandatory if Risk type [P2 2.0] = ('TRE2xx', 'TRE3xx', 'TRE4xx', 'TRE5xx' (except 'TRE203', 'TRE205', 'TRE206', 'TRE207'), 'SIGxxx')</t>
        </is>
      </c>
      <c r="AK1048" s="958" t="n">
        <v>6</v>
      </c>
      <c r="AL1048" s="1227" t="inlineStr">
        <is>
          <t>TPSxxx (ex TPS1735)</t>
        </is>
      </c>
      <c r="AM1048" s="318" t="n"/>
      <c r="AN1048" s="317" t="n"/>
      <c r="AO1048" s="257" t="n"/>
      <c r="AP1048" s="258" t="n"/>
      <c r="AQ1048" s="318" t="n"/>
      <c r="AR1048" s="317" t="n"/>
      <c r="AS1048" s="257" t="n"/>
      <c r="AT1048" s="258" t="n"/>
      <c r="AU1048" s="318" t="n"/>
      <c r="AV1048" s="317" t="n"/>
      <c r="AW1048" s="257" t="n"/>
      <c r="AX1048" s="258" t="n"/>
      <c r="AY1048" s="318" t="n"/>
      <c r="AZ1048" s="317" t="n"/>
      <c r="BA1048" s="257" t="n"/>
      <c r="BB1048" s="258" t="n"/>
      <c r="BC1048" s="316" t="n"/>
      <c r="BD1048" s="317" t="n"/>
      <c r="BE1048" s="257" t="n"/>
      <c r="BF1048" s="258" t="n"/>
      <c r="BG1048" s="89" t="n"/>
      <c r="BH10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48">
        <f>_xlfn.LET(r,ROW(),oc,INDEX($A:$A,r),cv,TRIM(INDEX($Y:$Y,r)&amp;""),IF(oc&lt;&gt;"P1","",IF(cv="45","V45 - novo, nao alimentado pelo spool atual","V44 - alimentado pelo spool atual")))</f>
        <v/>
      </c>
    </row>
    <row r="1049" ht="54" customFormat="1" customHeight="1" s="90">
      <c r="A1049" s="306" t="inlineStr">
        <is>
          <t>P2</t>
        </is>
      </c>
      <c r="B1049" s="307" t="n">
        <v>152</v>
      </c>
      <c r="C1049" s="269" t="inlineStr">
        <is>
          <t>22 - Caractéristiques de taux</t>
        </is>
      </c>
      <c r="D1049" s="236" t="inlineStr">
        <is>
          <t>22 - Rate characteristics</t>
        </is>
      </c>
      <c r="E1049" s="307" t="inlineStr">
        <is>
          <t>P2 22.28</t>
        </is>
      </c>
      <c r="F1049" s="308" t="inlineStr">
        <is>
          <t>Taux de marge additive</t>
        </is>
      </c>
      <c r="G1049" s="309" t="inlineStr">
        <is>
          <t>Additive margin rate</t>
        </is>
      </c>
      <c r="H1049" s="309" t="n"/>
      <c r="I1049" s="241" t="inlineStr">
        <is>
          <t>Correspond au spread
Marge à ajouter à l'index pour obtenir le taux d'intérêt
Exprimé en %</t>
        </is>
      </c>
      <c r="J1049" s="233" t="inlineStr">
        <is>
          <t>Corresponds to the spread
Margin to be added to the index to obtain the interest rate
Expressed as %</t>
        </is>
      </c>
      <c r="K1049" s="269" t="inlineStr">
        <is>
          <t>ND</t>
        </is>
      </c>
      <c r="L1049" s="310" t="inlineStr">
        <is>
          <t>ND</t>
        </is>
      </c>
      <c r="M1049" s="1420" t="inlineStr">
        <is>
          <t>txMargeAd</t>
        </is>
      </c>
      <c r="N1049" s="231" t="inlineStr">
        <is>
          <t>Obligatoire sous conditions</t>
        </is>
      </c>
      <c r="O1049" s="236" t="inlineStr">
        <is>
          <t>Mandatory under conditions</t>
        </is>
      </c>
      <c r="P1049" s="269" t="inlineStr">
        <is>
          <t>NA</t>
        </is>
      </c>
      <c r="Q1049" s="269" t="inlineStr">
        <is>
          <t>NA</t>
        </is>
      </c>
      <c r="R1049" s="241" t="inlineStr">
        <is>
          <t>Par exemple : taux d'intérêt = marge multiplicative * index de référence + marge additive
Elle peut être négative ou positive</t>
        </is>
      </c>
      <c r="S1049" s="233" t="inlineStr">
        <is>
          <t>For example: interest rate = multiplicative margin * reference index + additive margin
It can be negative or positive</t>
        </is>
      </c>
      <c r="T1049" s="313" t="inlineStr">
        <is>
          <t>NUM</t>
        </is>
      </c>
      <c r="U1049" s="237" t="inlineStr">
        <is>
          <t>10 dont signe et 5 décimales</t>
        </is>
      </c>
      <c r="V1049" s="238" t="inlineStr">
        <is>
          <t>10 including sign and 5 decimals</t>
        </is>
      </c>
      <c r="W1049" s="257" t="n">
        <v>10</v>
      </c>
      <c r="X1049" s="945" t="inlineStr">
        <is>
          <t>NA</t>
        </is>
      </c>
      <c r="Y1049" s="237" t="n">
        <v>41</v>
      </c>
      <c r="Z1049" s="237" t="inlineStr">
        <is>
          <t>NA</t>
        </is>
      </c>
      <c r="AA1049" s="237" t="inlineStr">
        <is>
          <t>45.00</t>
        </is>
      </c>
      <c r="AB1049" s="932" t="inlineStr">
        <is>
          <t>ANACREDIT, OMP, LIQUIDITE, PALMA</t>
        </is>
      </c>
      <c r="AC1049" s="231" t="inlineStr">
        <is>
          <t>ND</t>
        </is>
      </c>
      <c r="AD1049" s="257" t="inlineStr">
        <is>
          <t>N</t>
        </is>
      </c>
      <c r="AE1049" s="257" t="inlineStr">
        <is>
          <t>NA</t>
        </is>
      </c>
      <c r="AF1049" s="257" t="inlineStr">
        <is>
          <t>NA</t>
        </is>
      </c>
      <c r="AG1049" s="258" t="inlineStr">
        <is>
          <t>NA</t>
        </is>
      </c>
      <c r="AH1049" s="89" t="n"/>
      <c r="AI1049" s="316" t="inlineStr">
        <is>
          <t>La donnée est obligatoire si le type de risque [P2 2.0] = TRE2xx à TRE5xx (hors TRE203, TRE205, TRE206, TRE207) et si l'indicateur produit échéancé [P2 22.56] = 'ECH' et l'indicateur échéancier fourni [P2 22.12] = 'N' et l'indicateur objet métier palier fourni [P2 22.57] = 'N' ou vide et le type de taux [P2 22.14] = 'V' ou 'R'</t>
        </is>
      </c>
      <c r="AJ1049" s="160" t="inlineStr">
        <is>
          <t>The data is mandatory if Risk type [P2 2.0] = TRE2xx to TRE5xx (except TRE203, TRE205, TRE206, TRE207) and if the indicator product schedule [P2 22.56] = 'ECH' and the repayment schedule provided indicator [P2 22.12] = ‘N' and the indicator of business object stage provided [P2 22.57] = ‘N' or empty and the type of interest rate [P2 22.14] ='V' or 'R'</t>
        </is>
      </c>
      <c r="AK1049" s="505" t="n">
        <v>6</v>
      </c>
      <c r="AL1049" s="424" t="inlineStr">
        <is>
          <t>TPS1738</t>
        </is>
      </c>
      <c r="AM1049" s="318" t="n"/>
      <c r="AN1049" s="317" t="n"/>
      <c r="AO1049" s="257" t="n"/>
      <c r="AP1049" s="258" t="n"/>
      <c r="AQ1049" s="421" t="n"/>
      <c r="AR1049" s="422" t="n"/>
      <c r="AS1049" s="348" t="n"/>
      <c r="AT1049" s="258" t="n"/>
      <c r="AU1049" s="318" t="n"/>
      <c r="AV1049" s="317" t="n"/>
      <c r="AW1049" s="257" t="n"/>
      <c r="AX1049" s="258" t="n"/>
      <c r="AY1049" s="318" t="n"/>
      <c r="AZ1049" s="317" t="n"/>
      <c r="BA1049" s="257" t="n"/>
      <c r="BB1049" s="258" t="n"/>
      <c r="BC1049" s="316" t="n"/>
      <c r="BD1049" s="317" t="n"/>
      <c r="BE1049" s="257" t="n"/>
      <c r="BF1049" s="258" t="n"/>
      <c r="BG1049" s="89" t="n"/>
      <c r="BH10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49">
        <f>_xlfn.LET(r,ROW(),oc,INDEX($A:$A,r),cv,TRIM(INDEX($Y:$Y,r)&amp;""),IF(oc&lt;&gt;"P1","",IF(cv="45","V45 - novo, nao alimentado pelo spool atual","V44 - alimentado pelo spool atual")))</f>
        <v/>
      </c>
    </row>
    <row r="1050" ht="54" customFormat="1" customHeight="1" s="90">
      <c r="A1050" s="306" t="inlineStr">
        <is>
          <t>P2</t>
        </is>
      </c>
      <c r="B1050" s="307" t="n">
        <v>153</v>
      </c>
      <c r="C1050" s="269" t="inlineStr">
        <is>
          <t>22 - Caractéristiques de taux</t>
        </is>
      </c>
      <c r="D1050" s="236" t="inlineStr">
        <is>
          <t>22 - Rate characteristics</t>
        </is>
      </c>
      <c r="E1050" s="307" t="inlineStr">
        <is>
          <t>P2 22.29</t>
        </is>
      </c>
      <c r="F1050" s="308" t="inlineStr">
        <is>
          <t>Taux de marge multiplicative</t>
        </is>
      </c>
      <c r="G1050" s="309" t="inlineStr">
        <is>
          <t>Multiplicative margin rate</t>
        </is>
      </c>
      <c r="H1050" s="309" t="n"/>
      <c r="I1050" s="278" t="inlineStr">
        <is>
          <t>Taux multiplicateur à appliquer à l'index de référence pour obtenir le taux d'intérêt. Cette donnée permet d'avoir la marge à multiplier à l'index
Exprimé en %</t>
        </is>
      </c>
      <c r="J1050" s="160" t="inlineStr">
        <is>
          <t>Multiplicative rate to be applied to the reference index to obtain the interest rate. This data allows to get a margin to be multiplied to index
Expressed as %</t>
        </is>
      </c>
      <c r="K1050" s="269" t="inlineStr">
        <is>
          <t>ND</t>
        </is>
      </c>
      <c r="L1050" s="310" t="inlineStr">
        <is>
          <t>ND</t>
        </is>
      </c>
      <c r="M1050" s="1420" t="inlineStr">
        <is>
          <t>txMargeMul</t>
        </is>
      </c>
      <c r="N1050" s="231" t="inlineStr">
        <is>
          <t>Obligatoire sous conditions</t>
        </is>
      </c>
      <c r="O1050" s="236" t="inlineStr">
        <is>
          <t>Mandatory under conditions</t>
        </is>
      </c>
      <c r="P1050" s="269" t="inlineStr">
        <is>
          <t>NA</t>
        </is>
      </c>
      <c r="Q1050" s="269" t="inlineStr">
        <is>
          <t>NA</t>
        </is>
      </c>
      <c r="R1050" s="278" t="inlineStr">
        <is>
          <t>Par exemple : taux d'intérêt = marge multiplicative * index de référence + marge additive
S'il n'y a pas de marge multiplicative, la valeur par défaut est +010000000 (pour 100%)</t>
        </is>
      </c>
      <c r="S1050" s="160" t="inlineStr">
        <is>
          <t>For example: interest rate = multiplicative margin * reference index + additive margin
If there is no multiplicative margin, the default is +010000000 (for 100%)</t>
        </is>
      </c>
      <c r="T1050" s="313" t="inlineStr">
        <is>
          <t>NUM</t>
        </is>
      </c>
      <c r="U1050" s="237" t="inlineStr">
        <is>
          <t>10 dont signe et 5 décimales</t>
        </is>
      </c>
      <c r="V1050" s="238" t="inlineStr">
        <is>
          <t>10 including sign and 5 decimals</t>
        </is>
      </c>
      <c r="W1050" s="257" t="n">
        <v>10</v>
      </c>
      <c r="X1050" s="945" t="inlineStr">
        <is>
          <t>NA</t>
        </is>
      </c>
      <c r="Y1050" s="237" t="n">
        <v>41</v>
      </c>
      <c r="Z1050" s="237" t="inlineStr">
        <is>
          <t>NA</t>
        </is>
      </c>
      <c r="AA1050" s="978" t="inlineStr">
        <is>
          <t>45.00</t>
        </is>
      </c>
      <c r="AB1050" s="932" t="inlineStr">
        <is>
          <t>ANACREDIT, LIQUIDITE, OMP, PALMA</t>
        </is>
      </c>
      <c r="AC1050" s="231" t="inlineStr">
        <is>
          <t>ND</t>
        </is>
      </c>
      <c r="AD1050" s="257" t="inlineStr">
        <is>
          <t>N</t>
        </is>
      </c>
      <c r="AE1050" s="257" t="inlineStr">
        <is>
          <t>NA</t>
        </is>
      </c>
      <c r="AF1050" s="257" t="inlineStr">
        <is>
          <t>NA</t>
        </is>
      </c>
      <c r="AG1050" s="258" t="inlineStr">
        <is>
          <t>NA</t>
        </is>
      </c>
      <c r="AH1050" s="89" t="n"/>
      <c r="AI1050" s="1233" t="inlineStr">
        <is>
          <t>La donnée est obligatoire si le type de risque [P2 2.0] = [TRE2xx à TRE5xx (hors TRE203, TRE205, TRE206, TRE207)] et si le type de taux [P2 22.14] = 'V' ou 'R'</t>
        </is>
      </c>
      <c r="AJ1050" s="964" t="inlineStr">
        <is>
          <t>The data is mandatory if Risk type [P2 2.0] = [TRE2xx to TRE5xx (except TRE203, TRE205, TRE206, TRE207)] and if the type of interest rate [P2 22.14] ='V' or 'R'</t>
        </is>
      </c>
      <c r="AK1050" s="965" t="n">
        <v>6</v>
      </c>
      <c r="AL1050" s="1234" t="inlineStr">
        <is>
          <t>TPSXXX (ex-TPS1738)</t>
        </is>
      </c>
      <c r="AM1050" s="318" t="n"/>
      <c r="AN1050" s="317" t="n"/>
      <c r="AO1050" s="257" t="n"/>
      <c r="AP1050" s="258" t="n"/>
      <c r="AQ1050" s="421" t="n"/>
      <c r="AR1050" s="422" t="n"/>
      <c r="AS1050" s="348" t="n"/>
      <c r="AT1050" s="258" t="n"/>
      <c r="AU1050" s="318" t="n"/>
      <c r="AV1050" s="317" t="n"/>
      <c r="AW1050" s="257" t="n"/>
      <c r="AX1050" s="258" t="n"/>
      <c r="AY1050" s="318" t="n"/>
      <c r="AZ1050" s="317" t="n"/>
      <c r="BA1050" s="257" t="n"/>
      <c r="BB1050" s="258" t="n"/>
      <c r="BC1050" s="316" t="n"/>
      <c r="BD1050" s="317" t="n"/>
      <c r="BE1050" s="257" t="n"/>
      <c r="BF1050" s="258" t="n"/>
      <c r="BG1050" s="89" t="n"/>
      <c r="BH10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50">
        <f>_xlfn.LET(r,ROW(),oc,INDEX($A:$A,r),cv,TRIM(INDEX($Y:$Y,r)&amp;""),IF(oc&lt;&gt;"P1","",IF(cv="45","V45 - novo, nao alimentado pelo spool atual","V44 - alimentado pelo spool atual")))</f>
        <v/>
      </c>
    </row>
    <row r="1051" ht="54" customFormat="1" customHeight="1" s="90">
      <c r="A1051" s="306" t="inlineStr">
        <is>
          <t>P2</t>
        </is>
      </c>
      <c r="B1051" s="307" t="n">
        <v>154</v>
      </c>
      <c r="C1051" s="269" t="inlineStr">
        <is>
          <t>06 - Caractéristiques échéancier</t>
        </is>
      </c>
      <c r="D1051" s="236" t="inlineStr">
        <is>
          <t>06 - Schedule characteristics</t>
        </is>
      </c>
      <c r="E1051" s="307" t="inlineStr">
        <is>
          <t>P2 22.30</t>
        </is>
      </c>
      <c r="F1051" s="308" t="inlineStr">
        <is>
          <t>Base de calcul des intérêts</t>
        </is>
      </c>
      <c r="G1051" s="309" t="inlineStr">
        <is>
          <t>Interest calculation basis</t>
        </is>
      </c>
      <c r="H1051" s="309" t="n"/>
      <c r="I1051" s="241" t="inlineStr">
        <is>
          <t>Coefficient appliqué pour passer du taux annuel au taux mensuel</t>
        </is>
      </c>
      <c r="J1051" s="309" t="inlineStr">
        <is>
          <t>Coefficient applied to convert annual interest rate to monthly interest rate</t>
        </is>
      </c>
      <c r="K1051" s="370" t="inlineStr">
        <is>
          <t>ND</t>
        </is>
      </c>
      <c r="L1051" s="371" t="inlineStr">
        <is>
          <t>ND</t>
        </is>
      </c>
      <c r="M1051" s="1420" t="inlineStr">
        <is>
          <t>cdBaseCalc</t>
        </is>
      </c>
      <c r="N1051" s="231" t="inlineStr">
        <is>
          <t>Obligatoire sous conditions</t>
        </is>
      </c>
      <c r="O1051" s="236" t="inlineStr">
        <is>
          <t>Mandatory under conditions</t>
        </is>
      </c>
      <c r="P1051" s="269" t="inlineStr">
        <is>
          <t>LC.0239</t>
        </is>
      </c>
      <c r="Q1051" s="269" t="inlineStr">
        <is>
          <t>RB T2INTBAS</t>
        </is>
      </c>
      <c r="R1051" s="241" t="inlineStr">
        <is>
          <t>NA</t>
        </is>
      </c>
      <c r="S1051" s="233" t="inlineStr">
        <is>
          <t>NA</t>
        </is>
      </c>
      <c r="T1051" s="313" t="inlineStr">
        <is>
          <t>ALPHA</t>
        </is>
      </c>
      <c r="U1051" s="237" t="inlineStr">
        <is>
          <t>NA</t>
        </is>
      </c>
      <c r="V1051" s="238" t="inlineStr">
        <is>
          <t>NA</t>
        </is>
      </c>
      <c r="W1051" s="257" t="n">
        <v>7</v>
      </c>
      <c r="X1051" s="945" t="inlineStr">
        <is>
          <t>NA</t>
        </is>
      </c>
      <c r="Y1051" s="237" t="n">
        <v>41</v>
      </c>
      <c r="Z1051" s="237" t="inlineStr">
        <is>
          <t>NA</t>
        </is>
      </c>
      <c r="AA1051" s="978" t="inlineStr">
        <is>
          <t>45.00</t>
        </is>
      </c>
      <c r="AB1051" s="932" t="inlineStr">
        <is>
          <t>ANACREDIT, LIQUIDITE, OMP. PALMA</t>
        </is>
      </c>
      <c r="AC1051" s="231" t="inlineStr">
        <is>
          <t>ND</t>
        </is>
      </c>
      <c r="AD1051" s="257" t="inlineStr">
        <is>
          <t>N</t>
        </is>
      </c>
      <c r="AE1051" s="257" t="inlineStr">
        <is>
          <t>NA</t>
        </is>
      </c>
      <c r="AF1051" s="257" t="inlineStr">
        <is>
          <t>NA</t>
        </is>
      </c>
      <c r="AG1051" s="258" t="inlineStr">
        <is>
          <t>NA</t>
        </is>
      </c>
      <c r="AH1051" s="89" t="n"/>
      <c r="AI1051" s="1233" t="inlineStr">
        <is>
          <t>La donnée est obligatoire si le type de risque [P2 2.0] = (TRE2xx, TRE3xx, TRE4xx, TRE5xx hors (TRE203, TRE205, TRE206, TRE207), SIGxxx)</t>
        </is>
      </c>
      <c r="AJ1051" s="931" t="inlineStr">
        <is>
          <t>The data is mandatory if Risk type [P2 2.0] = (TRE2xx, TRE3xx, TRE4xx, TRE5xx except (TRE203, TRE205, TRE206, TRE207), SIGxxx)</t>
        </is>
      </c>
      <c r="AK1051" s="958" t="n">
        <v>6</v>
      </c>
      <c r="AL1051" s="1234" t="inlineStr">
        <is>
          <t>TPSXXX (ex-TPS1736)</t>
        </is>
      </c>
      <c r="AM1051" s="318" t="inlineStr">
        <is>
          <t>Si elle est renseignée, la valeur doit être connue du Langage Commun associé</t>
        </is>
      </c>
      <c r="AN1051" s="317" t="inlineStr">
        <is>
          <t>If specified, the value must be known to the associated Common Language</t>
        </is>
      </c>
      <c r="AO1051" s="257" t="n">
        <v>7</v>
      </c>
      <c r="AP1051" s="212" t="inlineStr">
        <is>
          <t>TIG0001</t>
        </is>
      </c>
      <c r="AQ1051" s="318" t="n"/>
      <c r="AR1051" s="317" t="n"/>
      <c r="AS1051" s="257" t="n"/>
      <c r="AT1051" s="258" t="n"/>
      <c r="AU1051" s="318" t="n"/>
      <c r="AV1051" s="317" t="n"/>
      <c r="AW1051" s="257" t="n"/>
      <c r="AX1051" s="258" t="n"/>
      <c r="AY1051" s="318" t="n"/>
      <c r="AZ1051" s="317" t="n"/>
      <c r="BA1051" s="257" t="n"/>
      <c r="BB1051" s="258" t="n"/>
      <c r="BC1051" s="316" t="n"/>
      <c r="BD1051" s="317" t="n"/>
      <c r="BE1051" s="257" t="n"/>
      <c r="BF1051" s="258" t="n"/>
      <c r="BG1051" s="89" t="n"/>
      <c r="BH10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51">
        <f>_xlfn.LET(r,ROW(),oc,INDEX($A:$A,r),cv,TRIM(INDEX($Y:$Y,r)&amp;""),IF(oc&lt;&gt;"P1","",IF(cv="45","V45 - novo, nao alimentado pelo spool atual","V44 - alimentado pelo spool atual")))</f>
        <v/>
      </c>
    </row>
    <row r="1052" ht="54" customFormat="1" customHeight="1" s="90">
      <c r="A1052" s="306" t="inlineStr">
        <is>
          <t>P2</t>
        </is>
      </c>
      <c r="B1052" s="307" t="n">
        <v>155</v>
      </c>
      <c r="C1052" s="269" t="inlineStr">
        <is>
          <t>06 - Caractéristiques échéancier</t>
        </is>
      </c>
      <c r="D1052" s="236" t="inlineStr">
        <is>
          <t>06 - Schedule characteristics</t>
        </is>
      </c>
      <c r="E1052" s="307" t="inlineStr">
        <is>
          <t>P2 22.31</t>
        </is>
      </c>
      <c r="F1052" s="308" t="inlineStr">
        <is>
          <t>Date du premier déblocage de fonds</t>
        </is>
      </c>
      <c r="G1052" s="309" t="inlineStr">
        <is>
          <t>Date of first release of funds</t>
        </is>
      </c>
      <c r="H1052" s="309" t="n"/>
      <c r="I1052" s="241" t="inlineStr">
        <is>
          <t xml:space="preserve">Date du premier versement des fonds </t>
        </is>
      </c>
      <c r="J1052" s="309" t="inlineStr">
        <is>
          <t xml:space="preserve">Date of first payment of funds </t>
        </is>
      </c>
      <c r="K1052" s="370" t="inlineStr">
        <is>
          <t>ND</t>
        </is>
      </c>
      <c r="L1052" s="371" t="inlineStr">
        <is>
          <t>ND</t>
        </is>
      </c>
      <c r="M1052" s="1420" t="inlineStr">
        <is>
          <t>dtPrDebloc</t>
        </is>
      </c>
      <c r="N1052" s="231" t="inlineStr">
        <is>
          <t>Facultatif</t>
        </is>
      </c>
      <c r="O1052" s="236" t="inlineStr">
        <is>
          <t>Optional</t>
        </is>
      </c>
      <c r="P1052" s="269" t="inlineStr">
        <is>
          <t>NA</t>
        </is>
      </c>
      <c r="Q1052" s="269" t="inlineStr">
        <is>
          <t>NA</t>
        </is>
      </c>
      <c r="R1052" s="241" t="inlineStr">
        <is>
          <t>Utilisé lors de la génération des échéanciers simples sur le calcul des intérêts de la première échéance</t>
        </is>
      </c>
      <c r="S1052" s="233" t="inlineStr">
        <is>
          <t>Used for the generation of the simple schedules on interest calculation from the first repayment</t>
        </is>
      </c>
      <c r="T1052" s="206" t="inlineStr">
        <is>
          <t>DATE</t>
        </is>
      </c>
      <c r="U1052" s="237" t="inlineStr">
        <is>
          <t>AAAAMMJJ</t>
        </is>
      </c>
      <c r="V1052" s="238" t="inlineStr">
        <is>
          <t>YYYYMMDD</t>
        </is>
      </c>
      <c r="W1052" s="257" t="n">
        <v>8</v>
      </c>
      <c r="X1052" s="945" t="inlineStr">
        <is>
          <t>NA</t>
        </is>
      </c>
      <c r="Y1052" s="237" t="n">
        <v>41</v>
      </c>
      <c r="Z1052" s="237" t="inlineStr">
        <is>
          <t>NA</t>
        </is>
      </c>
      <c r="AA1052" s="237" t="inlineStr">
        <is>
          <t>NA</t>
        </is>
      </c>
      <c r="AB1052" s="269" t="inlineStr">
        <is>
          <t>ANACREDIT, NZBA, OMP, PALMA</t>
        </is>
      </c>
      <c r="AC1052" s="231" t="inlineStr">
        <is>
          <t>ND</t>
        </is>
      </c>
      <c r="AD1052" s="257" t="inlineStr">
        <is>
          <t>N</t>
        </is>
      </c>
      <c r="AE1052" s="257" t="inlineStr">
        <is>
          <t>NA</t>
        </is>
      </c>
      <c r="AF1052" s="257" t="inlineStr">
        <is>
          <t>NA</t>
        </is>
      </c>
      <c r="AG1052" s="258" t="inlineStr">
        <is>
          <t>NA</t>
        </is>
      </c>
      <c r="AH1052" s="89" t="n"/>
      <c r="AI1052" s="316" t="n"/>
      <c r="AJ1052" s="317" t="n"/>
      <c r="AK1052" s="257" t="n"/>
      <c r="AL1052" s="258" t="n"/>
      <c r="AM1052" s="318" t="n"/>
      <c r="AN1052" s="317" t="n"/>
      <c r="AO1052" s="257" t="n"/>
      <c r="AP1052" s="258" t="n"/>
      <c r="AQ1052" s="356" t="inlineStr">
        <is>
          <t>Si renseignée, la donnée doit être supérieure ou égale à '19000101'</t>
        </is>
      </c>
      <c r="AR1052" s="317" t="inlineStr">
        <is>
          <t>If filled, data must be greater or equal to '19000101'</t>
        </is>
      </c>
      <c r="AS1052" s="574" t="n">
        <v>7</v>
      </c>
      <c r="AT1052" s="258" t="inlineStr">
        <is>
          <t>TVG0005</t>
        </is>
      </c>
      <c r="AU1052" s="318" t="n"/>
      <c r="AV1052" s="317" t="n"/>
      <c r="AW1052" s="257" t="n"/>
      <c r="AX1052" s="258" t="n"/>
      <c r="AY1052" s="318" t="n"/>
      <c r="AZ1052" s="317" t="n"/>
      <c r="BA1052" s="257" t="n"/>
      <c r="BB1052" s="258" t="n"/>
      <c r="BC1052" s="316" t="n"/>
      <c r="BD1052" s="317" t="n"/>
      <c r="BE1052" s="257" t="n"/>
      <c r="BF1052" s="258" t="n"/>
      <c r="BG1052" s="89" t="n"/>
      <c r="BH10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52">
        <f>_xlfn.LET(r,ROW(),oc,INDEX($A:$A,r),cv,TRIM(INDEX($Y:$Y,r)&amp;""),IF(oc&lt;&gt;"P1","",IF(cv="45","V45 - novo, nao alimentado pelo spool atual","V44 - alimentado pelo spool atual")))</f>
        <v/>
      </c>
    </row>
    <row r="1053" ht="54" customFormat="1" customHeight="1" s="55">
      <c r="A1053" s="325" t="inlineStr">
        <is>
          <t>P2</t>
        </is>
      </c>
      <c r="B1053" s="326" t="n">
        <v>156</v>
      </c>
      <c r="C1053" s="284" t="inlineStr">
        <is>
          <t>06 - Caractéristiques échéancier</t>
        </is>
      </c>
      <c r="D1053" s="244" t="inlineStr">
        <is>
          <t>06 - Schedule characteristics</t>
        </is>
      </c>
      <c r="E1053" s="326" t="inlineStr">
        <is>
          <t>P2 22.32</t>
        </is>
      </c>
      <c r="F1053" s="327" t="inlineStr">
        <is>
          <t>Montant du premier déblocage de fonds</t>
        </is>
      </c>
      <c r="G1053" s="327" t="inlineStr">
        <is>
          <t>Amount of first release of funds</t>
        </is>
      </c>
      <c r="H1053" s="327" t="n"/>
      <c r="I1053" s="327" t="inlineStr">
        <is>
          <t>Montant du premier déblocage de fonds</t>
        </is>
      </c>
      <c r="J1053" s="327" t="inlineStr">
        <is>
          <t>Amount of first release of funds</t>
        </is>
      </c>
      <c r="K1053" s="284" t="inlineStr">
        <is>
          <t>NA</t>
        </is>
      </c>
      <c r="L1053" s="284" t="inlineStr">
        <is>
          <t>NA</t>
        </is>
      </c>
      <c r="M1053" s="1421" t="inlineStr">
        <is>
          <t>mtPrDebloc</t>
        </is>
      </c>
      <c r="N1053" s="284" t="inlineStr">
        <is>
          <t>NA</t>
        </is>
      </c>
      <c r="O1053" s="284" t="inlineStr">
        <is>
          <t>NA</t>
        </is>
      </c>
      <c r="P1053" s="284" t="inlineStr">
        <is>
          <t>NA</t>
        </is>
      </c>
      <c r="Q1053" s="284" t="inlineStr">
        <is>
          <t>NA</t>
        </is>
      </c>
      <c r="R1053" s="245" t="inlineStr">
        <is>
          <t>NA</t>
        </is>
      </c>
      <c r="S1053" s="245" t="inlineStr">
        <is>
          <t>NA</t>
        </is>
      </c>
      <c r="T1053" s="326" t="inlineStr">
        <is>
          <t>NUM</t>
        </is>
      </c>
      <c r="U1053" s="248" t="inlineStr">
        <is>
          <t>19 dont signe et 2 décimales</t>
        </is>
      </c>
      <c r="V1053" s="248" t="inlineStr">
        <is>
          <t>19 including sign and 2 decimals</t>
        </is>
      </c>
      <c r="W1053" s="284" t="n">
        <v>19</v>
      </c>
      <c r="X1053" s="244" t="inlineStr">
        <is>
          <t>NA</t>
        </is>
      </c>
      <c r="Y1053" s="248" t="n">
        <v>41</v>
      </c>
      <c r="Z1053" s="248" t="n">
        <v>42</v>
      </c>
      <c r="AA1053" s="248" t="inlineStr">
        <is>
          <t>NA</t>
        </is>
      </c>
      <c r="AB1053" s="284" t="inlineStr">
        <is>
          <t>ANACREDIT</t>
        </is>
      </c>
      <c r="AC1053" s="244" t="inlineStr">
        <is>
          <t>NA</t>
        </is>
      </c>
      <c r="AD1053" s="284" t="inlineStr">
        <is>
          <t>N</t>
        </is>
      </c>
      <c r="AE1053" s="284" t="inlineStr">
        <is>
          <t>NA</t>
        </is>
      </c>
      <c r="AF1053" s="284" t="inlineStr">
        <is>
          <t>NA</t>
        </is>
      </c>
      <c r="AG1053" s="285" t="inlineStr">
        <is>
          <t>NA</t>
        </is>
      </c>
      <c r="AH1053" s="89" t="n"/>
      <c r="AI1053" s="330" t="n"/>
      <c r="AJ1053" s="331" t="n"/>
      <c r="AK1053" s="284" t="n"/>
      <c r="AL1053" s="285" t="n"/>
      <c r="AM1053" s="331" t="n"/>
      <c r="AN1053" s="331" t="n"/>
      <c r="AO1053" s="284" t="n"/>
      <c r="AP1053" s="285" t="n"/>
      <c r="AQ1053" s="331" t="n"/>
      <c r="AR1053" s="331" t="n"/>
      <c r="AS1053" s="284" t="n"/>
      <c r="AT1053" s="285" t="n"/>
      <c r="AU1053" s="331" t="n"/>
      <c r="AV1053" s="331" t="n"/>
      <c r="AW1053" s="284" t="n"/>
      <c r="AX1053" s="285" t="n"/>
      <c r="AY1053" s="331" t="n"/>
      <c r="AZ1053" s="331" t="n"/>
      <c r="BA1053" s="284" t="n"/>
      <c r="BB1053" s="285" t="n"/>
      <c r="BC1053" s="330" t="n"/>
      <c r="BD1053" s="331" t="n"/>
      <c r="BE1053" s="284" t="n"/>
      <c r="BF1053" s="285" t="n"/>
      <c r="BG1053" s="89" t="n"/>
      <c r="BH10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53">
        <f>_xlfn.LET(r,ROW(),oc,INDEX($A:$A,r),cv,TRIM(INDEX($Y:$Y,r)&amp;""),IF(oc&lt;&gt;"P1","",IF(cv="45","V45 - novo, nao alimentado pelo spool atual","V44 - alimentado pelo spool atual")))</f>
        <v/>
      </c>
    </row>
    <row r="1054" ht="54" customFormat="1" customHeight="1" s="55">
      <c r="A1054" s="325" t="inlineStr">
        <is>
          <t>P2</t>
        </is>
      </c>
      <c r="B1054" s="326" t="n">
        <v>157</v>
      </c>
      <c r="C1054" s="284" t="inlineStr">
        <is>
          <t>06 - Caractéristiques échéancier</t>
        </is>
      </c>
      <c r="D1054" s="244" t="inlineStr">
        <is>
          <t>06 - Schedule characteristics</t>
        </is>
      </c>
      <c r="E1054" s="326" t="inlineStr">
        <is>
          <t>P2 22.33</t>
        </is>
      </c>
      <c r="F1054" s="327" t="inlineStr">
        <is>
          <t>Devise du montant du premier déblocage de fonds</t>
        </is>
      </c>
      <c r="G1054" s="327" t="inlineStr">
        <is>
          <t>Currency of the amount of first release of funds</t>
        </is>
      </c>
      <c r="H1054" s="327" t="n"/>
      <c r="I1054" s="245" t="inlineStr">
        <is>
          <t xml:space="preserve">Devise du montant du premier déblocage de fonds </t>
        </is>
      </c>
      <c r="J1054" s="245" t="inlineStr">
        <is>
          <t xml:space="preserve">Currency of the amount of first release of funds </t>
        </is>
      </c>
      <c r="K1054" s="284" t="inlineStr">
        <is>
          <t>NA</t>
        </is>
      </c>
      <c r="L1054" s="284" t="inlineStr">
        <is>
          <t>NA</t>
        </is>
      </c>
      <c r="M1054" s="1421" t="inlineStr">
        <is>
          <t>cdDevMtPrDebloc</t>
        </is>
      </c>
      <c r="N1054" s="284" t="inlineStr">
        <is>
          <t>NA</t>
        </is>
      </c>
      <c r="O1054" s="284" t="inlineStr">
        <is>
          <t>NA</t>
        </is>
      </c>
      <c r="P1054" s="284" t="inlineStr">
        <is>
          <t>LC.0005</t>
        </is>
      </c>
      <c r="Q1054" s="284" t="inlineStr">
        <is>
          <t>TA NM253</t>
        </is>
      </c>
      <c r="R1054" s="245" t="inlineStr">
        <is>
          <t>NA</t>
        </is>
      </c>
      <c r="S1054" s="245" t="inlineStr">
        <is>
          <t>NA</t>
        </is>
      </c>
      <c r="T1054" s="326" t="inlineStr">
        <is>
          <t>ALPHA</t>
        </is>
      </c>
      <c r="U1054" s="248" t="inlineStr">
        <is>
          <t>NA</t>
        </is>
      </c>
      <c r="V1054" s="248" t="inlineStr">
        <is>
          <t>NA</t>
        </is>
      </c>
      <c r="W1054" s="284" t="n">
        <v>3</v>
      </c>
      <c r="X1054" s="244" t="inlineStr">
        <is>
          <t>NA</t>
        </is>
      </c>
      <c r="Y1054" s="248" t="n">
        <v>41</v>
      </c>
      <c r="Z1054" s="248" t="n">
        <v>42</v>
      </c>
      <c r="AA1054" s="248" t="inlineStr">
        <is>
          <t>NA</t>
        </is>
      </c>
      <c r="AB1054" s="284" t="inlineStr">
        <is>
          <t>ANACREDIT</t>
        </is>
      </c>
      <c r="AC1054" s="244" t="inlineStr">
        <is>
          <t>NA</t>
        </is>
      </c>
      <c r="AD1054" s="284" t="inlineStr">
        <is>
          <t>N</t>
        </is>
      </c>
      <c r="AE1054" s="284" t="inlineStr">
        <is>
          <t>NA</t>
        </is>
      </c>
      <c r="AF1054" s="284" t="inlineStr">
        <is>
          <t>NA</t>
        </is>
      </c>
      <c r="AG1054" s="285" t="inlineStr">
        <is>
          <t>NA</t>
        </is>
      </c>
      <c r="AH1054" s="89" t="n"/>
      <c r="AI1054" s="330" t="n"/>
      <c r="AJ1054" s="331" t="n"/>
      <c r="AK1054" s="284" t="n"/>
      <c r="AL1054" s="285" t="n"/>
      <c r="AM1054" s="331" t="n"/>
      <c r="AN1054" s="331" t="n"/>
      <c r="AO1054" s="284" t="n"/>
      <c r="AP1054" s="285" t="n"/>
      <c r="AQ1054" s="331" t="n"/>
      <c r="AR1054" s="331" t="n"/>
      <c r="AS1054" s="284" t="n"/>
      <c r="AT1054" s="285" t="n"/>
      <c r="AU1054" s="331" t="n"/>
      <c r="AV1054" s="331" t="n"/>
      <c r="AW1054" s="284" t="n"/>
      <c r="AX1054" s="285" t="n"/>
      <c r="AY1054" s="331" t="n"/>
      <c r="AZ1054" s="331" t="n"/>
      <c r="BA1054" s="284" t="n"/>
      <c r="BB1054" s="285" t="n"/>
      <c r="BC1054" s="330" t="n"/>
      <c r="BD1054" s="331" t="n"/>
      <c r="BE1054" s="284" t="n"/>
      <c r="BF1054" s="285" t="n"/>
      <c r="BG1054" s="89" t="n"/>
      <c r="BH10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54">
        <f>_xlfn.LET(r,ROW(),oc,INDEX($A:$A,r),cv,TRIM(INDEX($Y:$Y,r)&amp;""),IF(oc&lt;&gt;"P1","",IF(cv="45","V45 - novo, nao alimentado pelo spool atual","V44 - alimentado pelo spool atual")))</f>
        <v/>
      </c>
    </row>
    <row r="1055" ht="54" customFormat="1" customHeight="1" s="90">
      <c r="A1055" s="306" t="inlineStr">
        <is>
          <t>P2</t>
        </is>
      </c>
      <c r="B1055" s="307" t="n">
        <v>158</v>
      </c>
      <c r="C1055" s="269" t="inlineStr">
        <is>
          <t>06 - Caractéristiques échéancier</t>
        </is>
      </c>
      <c r="D1055" s="236" t="inlineStr">
        <is>
          <t>06 - Schedule characteristics</t>
        </is>
      </c>
      <c r="E1055" s="307" t="inlineStr">
        <is>
          <t>P2 22.34</t>
        </is>
      </c>
      <c r="F1055" s="460" t="inlineStr">
        <is>
          <t>Montant du capital théorique restant dû</t>
        </is>
      </c>
      <c r="G1055" s="309" t="inlineStr">
        <is>
          <t>Amount of theoretical principal remaining due</t>
        </is>
      </c>
      <c r="H1055" s="309" t="n"/>
      <c r="I1055" s="308" t="inlineStr">
        <is>
          <t>Correspond au CRD théorique sur les prêts (ne prend pas en compte les arriérés de paiement)</t>
        </is>
      </c>
      <c r="J1055" s="309" t="inlineStr">
        <is>
          <t>Corresponds to the theoretical principal remaining due on loans (does not take into account payment arrears)</t>
        </is>
      </c>
      <c r="K1055" s="370" t="inlineStr">
        <is>
          <t>ND</t>
        </is>
      </c>
      <c r="L1055" s="371" t="inlineStr">
        <is>
          <t>ND</t>
        </is>
      </c>
      <c r="M1055" s="1420" t="inlineStr">
        <is>
          <t>mtCapTheoDu</t>
        </is>
      </c>
      <c r="N1055" s="231" t="inlineStr">
        <is>
          <t>Facultatif</t>
        </is>
      </c>
      <c r="O1055" s="236" t="inlineStr">
        <is>
          <t>Optional</t>
        </is>
      </c>
      <c r="P1055" s="269" t="inlineStr">
        <is>
          <t>NA</t>
        </is>
      </c>
      <c r="Q1055" s="269" t="inlineStr">
        <is>
          <t>NA</t>
        </is>
      </c>
      <c r="R1055" s="241" t="inlineStr">
        <is>
          <t>NA</t>
        </is>
      </c>
      <c r="S1055" s="233" t="inlineStr">
        <is>
          <t>NA</t>
        </is>
      </c>
      <c r="T1055" s="313" t="inlineStr">
        <is>
          <t>NUM</t>
        </is>
      </c>
      <c r="U1055" s="237" t="inlineStr">
        <is>
          <t>19 dont signe et 2 décimales</t>
        </is>
      </c>
      <c r="V1055" s="238" t="inlineStr">
        <is>
          <t>19 including sign and 2 decimals</t>
        </is>
      </c>
      <c r="W1055" s="257" t="n">
        <v>19</v>
      </c>
      <c r="X1055" s="945" t="inlineStr">
        <is>
          <t>NA</t>
        </is>
      </c>
      <c r="Y1055" s="237" t="n">
        <v>41</v>
      </c>
      <c r="Z1055" s="237" t="inlineStr">
        <is>
          <t>NA</t>
        </is>
      </c>
      <c r="AA1055" s="237" t="inlineStr">
        <is>
          <t>NA</t>
        </is>
      </c>
      <c r="AB1055" s="269" t="inlineStr">
        <is>
          <t>ANACREDIT, NZBA, OMP, PALMA</t>
        </is>
      </c>
      <c r="AC1055" s="231" t="inlineStr">
        <is>
          <t>ND</t>
        </is>
      </c>
      <c r="AD1055" s="257" t="inlineStr">
        <is>
          <t>N</t>
        </is>
      </c>
      <c r="AE1055" s="257" t="inlineStr">
        <is>
          <t>NA</t>
        </is>
      </c>
      <c r="AF1055" s="257" t="inlineStr">
        <is>
          <t>NA</t>
        </is>
      </c>
      <c r="AG1055" s="258" t="inlineStr">
        <is>
          <t>NA</t>
        </is>
      </c>
      <c r="AH1055" s="89" t="n"/>
      <c r="AI1055" s="614" t="n"/>
      <c r="AJ1055" s="422" t="n"/>
      <c r="AK1055" s="348" t="n"/>
      <c r="AL1055" s="423" t="n"/>
      <c r="AM1055" s="318" t="n"/>
      <c r="AN1055" s="317" t="n"/>
      <c r="AO1055" s="257" t="n"/>
      <c r="AP1055" s="258" t="n"/>
      <c r="AQ1055" s="322" t="inlineStr">
        <is>
          <t>Si renseignée, la donnée doit être positive (supérieure ou égale à 0)</t>
        </is>
      </c>
      <c r="AR1055" s="317" t="inlineStr">
        <is>
          <t xml:space="preserve">If filled, data must be positive (greater or equal to 0) </t>
        </is>
      </c>
      <c r="AS1055" s="257" t="n">
        <v>7</v>
      </c>
      <c r="AT1055" s="345" t="inlineStr">
        <is>
          <t>TVG0001</t>
        </is>
      </c>
      <c r="AU1055" s="318" t="n"/>
      <c r="AV1055" s="317" t="n"/>
      <c r="AW1055" s="257" t="n"/>
      <c r="AX1055" s="258" t="n"/>
      <c r="AY1055" s="318" t="n"/>
      <c r="AZ1055" s="317" t="n"/>
      <c r="BA1055" s="257" t="n"/>
      <c r="BB1055" s="258" t="n"/>
      <c r="BC1055" s="316" t="n"/>
      <c r="BD1055" s="317" t="n"/>
      <c r="BE1055" s="257" t="n"/>
      <c r="BF1055" s="258" t="n"/>
      <c r="BG1055" s="89" t="n"/>
      <c r="BH10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55">
        <f>_xlfn.LET(r,ROW(),oc,INDEX($A:$A,r),cv,TRIM(INDEX($Y:$Y,r)&amp;""),IF(oc&lt;&gt;"P1","",IF(cv="45","V45 - novo, nao alimentado pelo spool atual","V44 - alimentado pelo spool atual")))</f>
        <v/>
      </c>
    </row>
    <row r="1056" ht="54" customFormat="1" customHeight="1" s="90">
      <c r="A1056" s="306" t="inlineStr">
        <is>
          <t>P2</t>
        </is>
      </c>
      <c r="B1056" s="307" t="n">
        <v>159</v>
      </c>
      <c r="C1056" s="269" t="inlineStr">
        <is>
          <t>06 - Caractéristiques échéancier</t>
        </is>
      </c>
      <c r="D1056" s="236" t="inlineStr">
        <is>
          <t>06 - Schedule characteristics</t>
        </is>
      </c>
      <c r="E1056" s="307" t="inlineStr">
        <is>
          <t>P2 22.35</t>
        </is>
      </c>
      <c r="F1056" s="460" t="inlineStr">
        <is>
          <t>Devise du montant du capital théorique restant dû</t>
        </is>
      </c>
      <c r="G1056" s="309" t="inlineStr">
        <is>
          <t>Currency of amount of theoretical principal outstanding</t>
        </is>
      </c>
      <c r="H1056" s="309" t="n"/>
      <c r="I1056" s="241" t="inlineStr">
        <is>
          <t xml:space="preserve">Devise du capital théorique restant dû </t>
        </is>
      </c>
      <c r="J1056" s="309" t="inlineStr">
        <is>
          <t xml:space="preserve">Currency of theoretical principal outstanding </t>
        </is>
      </c>
      <c r="K1056" s="370" t="inlineStr">
        <is>
          <t>ND</t>
        </is>
      </c>
      <c r="L1056" s="371" t="inlineStr">
        <is>
          <t>ND</t>
        </is>
      </c>
      <c r="M1056" s="1420" t="inlineStr">
        <is>
          <t>cdDevCapResDu</t>
        </is>
      </c>
      <c r="N1056" s="231" t="inlineStr">
        <is>
          <t>Obligatoire sous conditions</t>
        </is>
      </c>
      <c r="O1056" s="236" t="inlineStr">
        <is>
          <t>Mandatory under conditions</t>
        </is>
      </c>
      <c r="P1056" s="269" t="inlineStr">
        <is>
          <t>LC.0005</t>
        </is>
      </c>
      <c r="Q1056" s="269" t="inlineStr">
        <is>
          <t>TA NM253</t>
        </is>
      </c>
      <c r="R1056" s="241" t="inlineStr">
        <is>
          <t>NA</t>
        </is>
      </c>
      <c r="S1056" s="233" t="inlineStr">
        <is>
          <t>NA</t>
        </is>
      </c>
      <c r="T1056" s="313" t="inlineStr">
        <is>
          <t>ALPHA</t>
        </is>
      </c>
      <c r="U1056" s="237" t="inlineStr">
        <is>
          <t>NA</t>
        </is>
      </c>
      <c r="V1056" s="238" t="inlineStr">
        <is>
          <t>NA</t>
        </is>
      </c>
      <c r="W1056" s="257" t="n">
        <v>3</v>
      </c>
      <c r="X1056" s="945" t="inlineStr">
        <is>
          <t>NA</t>
        </is>
      </c>
      <c r="Y1056" s="237" t="n">
        <v>41</v>
      </c>
      <c r="Z1056" s="237" t="inlineStr">
        <is>
          <t>NA</t>
        </is>
      </c>
      <c r="AA1056" s="978" t="inlineStr">
        <is>
          <t>45.00</t>
        </is>
      </c>
      <c r="AB1056" s="932" t="inlineStr">
        <is>
          <t>ANACREDIT, LIQUIDITE, NZBA, OMP, PALMA</t>
        </is>
      </c>
      <c r="AC1056" s="231" t="inlineStr">
        <is>
          <t>ND</t>
        </is>
      </c>
      <c r="AD1056" s="257" t="inlineStr">
        <is>
          <t>N</t>
        </is>
      </c>
      <c r="AE1056" s="257" t="inlineStr">
        <is>
          <t>NA</t>
        </is>
      </c>
      <c r="AF1056" s="257" t="inlineStr">
        <is>
          <t>NA</t>
        </is>
      </c>
      <c r="AG1056" s="258" t="inlineStr">
        <is>
          <t>NA</t>
        </is>
      </c>
      <c r="AH1056" s="89" t="n"/>
      <c r="AI1056" s="500" t="inlineStr">
        <is>
          <t>La donnée est obligatoire si le montant du capital théorique restant dû [P2 22.34] est renseigné</t>
        </is>
      </c>
      <c r="AJ1056" s="317" t="inlineStr">
        <is>
          <t>The data is mandatory if the amount of theoretical capital remaining due [P2 22.34] is filled</t>
        </is>
      </c>
      <c r="AK1056" s="257" t="n">
        <v>7</v>
      </c>
      <c r="AL1056" s="335" t="inlineStr">
        <is>
          <t>TPG0002</t>
        </is>
      </c>
      <c r="AM1056" s="318" t="inlineStr">
        <is>
          <t>Si elle est renseignée, la valeur doit être connue du Langage Commun associé</t>
        </is>
      </c>
      <c r="AN1056" s="317" t="inlineStr">
        <is>
          <t>If specified, the value must be known to the associated Common Language</t>
        </is>
      </c>
      <c r="AO1056" s="257" t="n">
        <v>7</v>
      </c>
      <c r="AP1056" s="212" t="inlineStr">
        <is>
          <t>TIG0001</t>
        </is>
      </c>
      <c r="AQ1056" s="318" t="n"/>
      <c r="AR1056" s="317" t="n"/>
      <c r="AS1056" s="257" t="n"/>
      <c r="AT1056" s="258" t="n"/>
      <c r="AU1056" s="318" t="n"/>
      <c r="AV1056" s="317" t="n"/>
      <c r="AW1056" s="257" t="n"/>
      <c r="AX1056" s="258" t="n"/>
      <c r="AY1056" s="318" t="n"/>
      <c r="AZ1056" s="317" t="n"/>
      <c r="BA1056" s="257" t="n"/>
      <c r="BB1056" s="258" t="n"/>
      <c r="BC1056" s="316" t="n"/>
      <c r="BD1056" s="317" t="n"/>
      <c r="BE1056" s="257" t="n"/>
      <c r="BF1056" s="258" t="n"/>
      <c r="BG1056" s="89" t="n"/>
      <c r="BH10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56">
        <f>_xlfn.LET(r,ROW(),oc,INDEX($A:$A,r),cv,TRIM(INDEX($Y:$Y,r)&amp;""),IF(oc&lt;&gt;"P1","",IF(cv="45","V45 - novo, nao alimentado pelo spool atual","V44 - alimentado pelo spool atual")))</f>
        <v/>
      </c>
    </row>
    <row r="1057" ht="54" customFormat="1" customHeight="1" s="90">
      <c r="A1057" s="306" t="inlineStr">
        <is>
          <t>P2</t>
        </is>
      </c>
      <c r="B1057" s="307" t="n">
        <v>160</v>
      </c>
      <c r="C1057" s="269" t="inlineStr">
        <is>
          <t>06 - Caractéristiques échéancier</t>
        </is>
      </c>
      <c r="D1057" s="236" t="inlineStr">
        <is>
          <t>06 - Schedule characteristics</t>
        </is>
      </c>
      <c r="E1057" s="307" t="inlineStr">
        <is>
          <t>P2 22.36</t>
        </is>
      </c>
      <c r="F1057" s="308" t="inlineStr">
        <is>
          <t>Option de remboursement anticipé</t>
        </is>
      </c>
      <c r="G1057" s="309" t="inlineStr">
        <is>
          <t>Early repayment option</t>
        </is>
      </c>
      <c r="H1057" s="309" t="n"/>
      <c r="I1057" s="561" t="inlineStr">
        <is>
          <t>Classification des expositions de crédit selon les droits du créancier de demander le remboursement de l'exposition</t>
        </is>
      </c>
      <c r="J1057" s="309" t="inlineStr">
        <is>
          <t>Classification of credit exposures according to the creditor's rights to claim the repayment of the exposure</t>
        </is>
      </c>
      <c r="K1057" s="370" t="inlineStr">
        <is>
          <t>ND</t>
        </is>
      </c>
      <c r="L1057" s="371" t="inlineStr">
        <is>
          <t>ND</t>
        </is>
      </c>
      <c r="M1057" s="1420" t="inlineStr">
        <is>
          <t>cdIndOpRBT</t>
        </is>
      </c>
      <c r="N1057" s="231" t="inlineStr">
        <is>
          <t>Obligatoire</t>
        </is>
      </c>
      <c r="O1057" s="236" t="inlineStr">
        <is>
          <t>Mandatory</t>
        </is>
      </c>
      <c r="P1057" s="269" t="inlineStr">
        <is>
          <t>LC.0232</t>
        </is>
      </c>
      <c r="Q1057" s="269" t="inlineStr">
        <is>
          <t>TA KVORBANT</t>
        </is>
      </c>
      <c r="R1057" s="241" t="inlineStr">
        <is>
          <t>NA</t>
        </is>
      </c>
      <c r="S1057" s="233" t="inlineStr">
        <is>
          <t>NA</t>
        </is>
      </c>
      <c r="T1057" s="313" t="inlineStr">
        <is>
          <t>ALPHA</t>
        </is>
      </c>
      <c r="U1057" s="237" t="inlineStr">
        <is>
          <t>NA</t>
        </is>
      </c>
      <c r="V1057" s="238" t="inlineStr">
        <is>
          <t>NA</t>
        </is>
      </c>
      <c r="W1057" s="257" t="n">
        <v>1</v>
      </c>
      <c r="X1057" s="945" t="inlineStr">
        <is>
          <t>NA</t>
        </is>
      </c>
      <c r="Y1057" s="237" t="n">
        <v>41</v>
      </c>
      <c r="Z1057" s="237" t="inlineStr">
        <is>
          <t>NA</t>
        </is>
      </c>
      <c r="AA1057" s="283" t="inlineStr">
        <is>
          <t>NA</t>
        </is>
      </c>
      <c r="AB1057" s="269" t="inlineStr">
        <is>
          <t>ANACREDIT</t>
        </is>
      </c>
      <c r="AC1057" s="231" t="inlineStr">
        <is>
          <t>ND</t>
        </is>
      </c>
      <c r="AD1057" s="257" t="inlineStr">
        <is>
          <t>N</t>
        </is>
      </c>
      <c r="AE1057" s="257" t="inlineStr">
        <is>
          <t>NA</t>
        </is>
      </c>
      <c r="AF1057" s="257" t="inlineStr">
        <is>
          <t>NA</t>
        </is>
      </c>
      <c r="AG1057" s="258" t="inlineStr">
        <is>
          <t>NA</t>
        </is>
      </c>
      <c r="AH1057" s="89" t="n"/>
      <c r="AI1057" s="316" t="inlineStr">
        <is>
          <t>La donnée est obligatoire</t>
        </is>
      </c>
      <c r="AJ1057" s="317" t="inlineStr">
        <is>
          <t>The data is mandatory</t>
        </is>
      </c>
      <c r="AK1057" s="257" t="n">
        <v>6</v>
      </c>
      <c r="AL1057" s="335" t="inlineStr">
        <is>
          <t>TPG0001</t>
        </is>
      </c>
      <c r="AM1057" s="318" t="inlineStr">
        <is>
          <t>Si elle est renseignée, la valeur doit être connue du Langage Commun associé</t>
        </is>
      </c>
      <c r="AN1057" s="317" t="inlineStr">
        <is>
          <t>If specified, the value must be known to the associated Common Language</t>
        </is>
      </c>
      <c r="AO1057" s="257" t="n">
        <v>7</v>
      </c>
      <c r="AP1057" s="212" t="inlineStr">
        <is>
          <t>TIG0001</t>
        </is>
      </c>
      <c r="AQ1057" s="318" t="n"/>
      <c r="AR1057" s="317" t="n"/>
      <c r="AS1057" s="257" t="n"/>
      <c r="AT1057" s="258" t="n"/>
      <c r="AU1057" s="318" t="n"/>
      <c r="AV1057" s="317" t="n"/>
      <c r="AW1057" s="257" t="n"/>
      <c r="AX1057" s="258" t="n"/>
      <c r="AY1057" s="318" t="n"/>
      <c r="AZ1057" s="317" t="n"/>
      <c r="BA1057" s="257" t="n"/>
      <c r="BB1057" s="258" t="n"/>
      <c r="BC1057" s="316" t="n"/>
      <c r="BD1057" s="317" t="n"/>
      <c r="BE1057" s="257" t="n"/>
      <c r="BF1057" s="258" t="n"/>
      <c r="BG1057" s="89" t="n"/>
      <c r="BH10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57">
        <f>_xlfn.LET(r,ROW(),oc,INDEX($A:$A,r),cv,TRIM(INDEX($Y:$Y,r)&amp;""),IF(oc&lt;&gt;"P1","",IF(cv="45","V45 - novo, nao alimentado pelo spool atual","V44 - alimentado pelo spool atual")))</f>
        <v/>
      </c>
    </row>
    <row r="1058" ht="54" customFormat="1" customHeight="1" s="55">
      <c r="A1058" s="325" t="inlineStr">
        <is>
          <t>P2</t>
        </is>
      </c>
      <c r="B1058" s="326" t="n">
        <v>161</v>
      </c>
      <c r="C1058" s="284" t="inlineStr">
        <is>
          <t>06 - Caractéristiques échéancier</t>
        </is>
      </c>
      <c r="D1058" s="244" t="inlineStr">
        <is>
          <t>06 - Schedule characteristics</t>
        </is>
      </c>
      <c r="E1058" s="326" t="inlineStr">
        <is>
          <t>P2 22.37</t>
        </is>
      </c>
      <c r="F1058" s="327" t="inlineStr">
        <is>
          <t>Date du premier arriéré de paiement</t>
        </is>
      </c>
      <c r="G1058" s="327" t="inlineStr">
        <is>
          <t>Date of first payment in arrears</t>
        </is>
      </c>
      <c r="H1058" s="327" t="n"/>
      <c r="I1058" s="327" t="inlineStr">
        <is>
          <t>Date du premier incident de paiement</t>
        </is>
      </c>
      <c r="J1058" s="327" t="inlineStr">
        <is>
          <t>Date of first payment incident</t>
        </is>
      </c>
      <c r="K1058" s="388" t="inlineStr">
        <is>
          <t>NA</t>
        </is>
      </c>
      <c r="L1058" s="388" t="inlineStr">
        <is>
          <t>NA</t>
        </is>
      </c>
      <c r="M1058" s="1421" t="inlineStr">
        <is>
          <t>dtPrArrPai</t>
        </is>
      </c>
      <c r="N1058" s="284" t="inlineStr">
        <is>
          <t>NA</t>
        </is>
      </c>
      <c r="O1058" s="388" t="inlineStr">
        <is>
          <t>NA</t>
        </is>
      </c>
      <c r="P1058" s="284" t="inlineStr">
        <is>
          <t>NA</t>
        </is>
      </c>
      <c r="Q1058" s="284" t="inlineStr">
        <is>
          <t>NA</t>
        </is>
      </c>
      <c r="R1058" s="245" t="inlineStr">
        <is>
          <t>NA</t>
        </is>
      </c>
      <c r="S1058" s="245" t="inlineStr">
        <is>
          <t>NA</t>
        </is>
      </c>
      <c r="T1058" s="246" t="inlineStr">
        <is>
          <t>DATE</t>
        </is>
      </c>
      <c r="U1058" s="248" t="inlineStr">
        <is>
          <t>AAAAMMJJ</t>
        </is>
      </c>
      <c r="V1058" s="248" t="inlineStr">
        <is>
          <t>YYYYMMDD</t>
        </is>
      </c>
      <c r="W1058" s="284" t="n">
        <v>8</v>
      </c>
      <c r="X1058" s="244" t="inlineStr">
        <is>
          <t>NA</t>
        </is>
      </c>
      <c r="Y1058" s="248" t="n">
        <v>41</v>
      </c>
      <c r="Z1058" s="248" t="n">
        <v>42</v>
      </c>
      <c r="AA1058" s="248" t="inlineStr">
        <is>
          <t>NA</t>
        </is>
      </c>
      <c r="AB1058" s="284" t="inlineStr">
        <is>
          <t>ANACREDIT, OMP</t>
        </is>
      </c>
      <c r="AC1058" s="244" t="inlineStr">
        <is>
          <t>NA</t>
        </is>
      </c>
      <c r="AD1058" s="284" t="inlineStr">
        <is>
          <t>N</t>
        </is>
      </c>
      <c r="AE1058" s="284" t="inlineStr">
        <is>
          <t>NA</t>
        </is>
      </c>
      <c r="AF1058" s="284" t="inlineStr">
        <is>
          <t>NA</t>
        </is>
      </c>
      <c r="AG1058" s="285" t="inlineStr">
        <is>
          <t>NA</t>
        </is>
      </c>
      <c r="AH1058" s="89" t="n"/>
      <c r="AI1058" s="330" t="n"/>
      <c r="AJ1058" s="331" t="n"/>
      <c r="AK1058" s="284" t="n"/>
      <c r="AL1058" s="285" t="n"/>
      <c r="AM1058" s="331" t="n"/>
      <c r="AN1058" s="331" t="n"/>
      <c r="AO1058" s="284" t="n"/>
      <c r="AP1058" s="285" t="n"/>
      <c r="AQ1058" s="331" t="n"/>
      <c r="AR1058" s="331" t="n"/>
      <c r="AS1058" s="284" t="n"/>
      <c r="AT1058" s="285" t="n"/>
      <c r="AU1058" s="331" t="n"/>
      <c r="AV1058" s="331" t="n"/>
      <c r="AW1058" s="284" t="n"/>
      <c r="AX1058" s="285" t="n"/>
      <c r="AY1058" s="331" t="n"/>
      <c r="AZ1058" s="331" t="n"/>
      <c r="BA1058" s="284" t="n"/>
      <c r="BB1058" s="285" t="n"/>
      <c r="BC1058" s="330" t="n"/>
      <c r="BD1058" s="331" t="n"/>
      <c r="BE1058" s="284" t="n"/>
      <c r="BF1058" s="285" t="n"/>
      <c r="BG1058" s="89" t="n"/>
      <c r="BH10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58">
        <f>_xlfn.LET(r,ROW(),oc,INDEX($A:$A,r),cv,TRIM(INDEX($Y:$Y,r)&amp;""),IF(oc&lt;&gt;"P1","",IF(cv="45","V45 - novo, nao alimentado pelo spool atual","V44 - alimentado pelo spool atual")))</f>
        <v/>
      </c>
    </row>
    <row r="1059" ht="54" customFormat="1" customHeight="1" s="90">
      <c r="A1059" s="306" t="inlineStr">
        <is>
          <t>P2</t>
        </is>
      </c>
      <c r="B1059" s="307" t="n">
        <v>162</v>
      </c>
      <c r="C1059" s="269" t="inlineStr">
        <is>
          <t>06 - Caractéristiques échéancier</t>
        </is>
      </c>
      <c r="D1059" s="236" t="inlineStr">
        <is>
          <t>06 - Schedule characteristics</t>
        </is>
      </c>
      <c r="E1059" s="307" t="inlineStr">
        <is>
          <t>P2 22.38</t>
        </is>
      </c>
      <c r="F1059" s="308" t="inlineStr">
        <is>
          <t>Date de passage de l'encours en douteux compromis</t>
        </is>
      </c>
      <c r="G1059" s="309" t="inlineStr">
        <is>
          <t>Date on which doubtful outstanding is recognised as compromised</t>
        </is>
      </c>
      <c r="H1059" s="309" t="n"/>
      <c r="I1059" s="241" t="inlineStr">
        <is>
          <t>Date de passage de l'encours en douteux compromis</t>
        </is>
      </c>
      <c r="J1059" s="309" t="inlineStr">
        <is>
          <t>Date on which doubtful outstanding is recognised as compromised</t>
        </is>
      </c>
      <c r="K1059" s="370" t="inlineStr">
        <is>
          <t>ND</t>
        </is>
      </c>
      <c r="L1059" s="371" t="inlineStr">
        <is>
          <t>ND</t>
        </is>
      </c>
      <c r="M1059" s="1420" t="inlineStr">
        <is>
          <t>dtPasEncDout</t>
        </is>
      </c>
      <c r="N1059" s="231" t="inlineStr">
        <is>
          <t>Facultatif</t>
        </is>
      </c>
      <c r="O1059" s="236" t="inlineStr">
        <is>
          <t>Optional</t>
        </is>
      </c>
      <c r="P1059" s="269" t="inlineStr">
        <is>
          <t>NA</t>
        </is>
      </c>
      <c r="Q1059" s="269" t="inlineStr">
        <is>
          <t>NA</t>
        </is>
      </c>
      <c r="R1059" s="241" t="inlineStr">
        <is>
          <t>NA</t>
        </is>
      </c>
      <c r="S1059" s="233" t="inlineStr">
        <is>
          <t>NA</t>
        </is>
      </c>
      <c r="T1059" s="206" t="inlineStr">
        <is>
          <t>DATE</t>
        </is>
      </c>
      <c r="U1059" s="237" t="inlineStr">
        <is>
          <t>AAAAMMJJ</t>
        </is>
      </c>
      <c r="V1059" s="238" t="inlineStr">
        <is>
          <t>YYYYMMDD</t>
        </is>
      </c>
      <c r="W1059" s="257" t="n">
        <v>8</v>
      </c>
      <c r="X1059" s="945" t="inlineStr">
        <is>
          <t>NA</t>
        </is>
      </c>
      <c r="Y1059" s="237" t="n">
        <v>41</v>
      </c>
      <c r="Z1059" s="237" t="inlineStr">
        <is>
          <t>NA</t>
        </is>
      </c>
      <c r="AA1059" s="237" t="inlineStr">
        <is>
          <t>NA</t>
        </is>
      </c>
      <c r="AB1059" s="269" t="inlineStr">
        <is>
          <t>ANACREDIT</t>
        </is>
      </c>
      <c r="AC1059" s="231" t="inlineStr">
        <is>
          <t>ND</t>
        </is>
      </c>
      <c r="AD1059" s="257" t="inlineStr">
        <is>
          <t>N</t>
        </is>
      </c>
      <c r="AE1059" s="257" t="inlineStr">
        <is>
          <t>NA</t>
        </is>
      </c>
      <c r="AF1059" s="257" t="inlineStr">
        <is>
          <t>NA</t>
        </is>
      </c>
      <c r="AG1059" s="258" t="inlineStr">
        <is>
          <t>NA</t>
        </is>
      </c>
      <c r="AH1059" s="89" t="n"/>
      <c r="AI1059" s="316" t="n"/>
      <c r="AJ1059" s="317" t="n"/>
      <c r="AK1059" s="257" t="n"/>
      <c r="AL1059" s="258" t="n"/>
      <c r="AM1059" s="318" t="n"/>
      <c r="AN1059" s="317" t="n"/>
      <c r="AO1059" s="257" t="n"/>
      <c r="AP1059" s="258" t="n"/>
      <c r="AQ1059" s="318" t="n"/>
      <c r="AR1059" s="317" t="n"/>
      <c r="AS1059" s="257" t="n"/>
      <c r="AT1059" s="258" t="n"/>
      <c r="AU1059" s="318" t="inlineStr">
        <is>
          <t xml:space="preserve">Si renseignée, la date de passage en douteux compromis [P2 22.38] doit être supérieure ou égale à la date de début de l'engagement [P2 3.2] </t>
        </is>
      </c>
      <c r="AV1059" s="317" t="inlineStr">
        <is>
          <t>If filled in, the Date loan recognised as compromised [P2 22.38] must be greater than or equal to the funds in use start date [P2 3.2]</t>
        </is>
      </c>
      <c r="AW1059" s="257" t="n">
        <v>6</v>
      </c>
      <c r="AX1059" s="345" t="inlineStr">
        <is>
          <t>TCS0755</t>
        </is>
      </c>
      <c r="AY1059" s="318" t="n"/>
      <c r="AZ1059" s="317" t="n"/>
      <c r="BA1059" s="257" t="n"/>
      <c r="BB1059" s="258" t="n"/>
      <c r="BC1059" s="316" t="n"/>
      <c r="BD1059" s="317" t="n"/>
      <c r="BE1059" s="257" t="n"/>
      <c r="BF1059" s="258" t="n"/>
      <c r="BG1059" s="89" t="n"/>
      <c r="BH10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59">
        <f>_xlfn.LET(r,ROW(),oc,INDEX($A:$A,r),cv,TRIM(INDEX($Y:$Y,r)&amp;""),IF(oc&lt;&gt;"P1","",IF(cv="45","V45 - novo, nao alimentado pelo spool atual","V44 - alimentado pelo spool atual")))</f>
        <v/>
      </c>
    </row>
    <row r="1060" ht="54" customFormat="1" customHeight="1" s="90">
      <c r="A1060" s="306" t="inlineStr">
        <is>
          <t>P2</t>
        </is>
      </c>
      <c r="B1060" s="307" t="n">
        <v>163</v>
      </c>
      <c r="C1060" s="269" t="inlineStr">
        <is>
          <t>06 - Caractéristiques échéancier</t>
        </is>
      </c>
      <c r="D1060" s="236" t="inlineStr">
        <is>
          <t>06 - Schedule characteristics</t>
        </is>
      </c>
      <c r="E1060" s="307" t="inlineStr">
        <is>
          <t>P2 22.39</t>
        </is>
      </c>
      <c r="F1060" s="308" t="inlineStr">
        <is>
          <t>Montant de l'encours en douteux compromis</t>
        </is>
      </c>
      <c r="G1060" s="309" t="inlineStr">
        <is>
          <t>Amount of compromised debt</t>
        </is>
      </c>
      <c r="H1060" s="309" t="n"/>
      <c r="I1060" s="308" t="inlineStr">
        <is>
          <t>Montant de l'encours en douteux compromis</t>
        </is>
      </c>
      <c r="J1060" s="309" t="inlineStr">
        <is>
          <t>Amount of compromised debt</t>
        </is>
      </c>
      <c r="K1060" s="370" t="inlineStr">
        <is>
          <t>ND</t>
        </is>
      </c>
      <c r="L1060" s="371" t="inlineStr">
        <is>
          <t>ND</t>
        </is>
      </c>
      <c r="M1060" s="1420" t="inlineStr">
        <is>
          <t>mtEncourDout</t>
        </is>
      </c>
      <c r="N1060" s="231" t="inlineStr">
        <is>
          <t>Obligatoire sous conditions</t>
        </is>
      </c>
      <c r="O1060" s="236" t="inlineStr">
        <is>
          <t>Mandatory under conditions</t>
        </is>
      </c>
      <c r="P1060" s="269" t="inlineStr">
        <is>
          <t>NA</t>
        </is>
      </c>
      <c r="Q1060" s="269" t="inlineStr">
        <is>
          <t>NA</t>
        </is>
      </c>
      <c r="R1060" s="241" t="inlineStr">
        <is>
          <t>NA</t>
        </is>
      </c>
      <c r="S1060" s="233" t="inlineStr">
        <is>
          <t>NA</t>
        </is>
      </c>
      <c r="T1060" s="313" t="inlineStr">
        <is>
          <t>NUM</t>
        </is>
      </c>
      <c r="U1060" s="237" t="inlineStr">
        <is>
          <t>19 dont signe et 2 décimales</t>
        </is>
      </c>
      <c r="V1060" s="238" t="inlineStr">
        <is>
          <t>19 including sign and 2 decimals</t>
        </is>
      </c>
      <c r="W1060" s="257" t="n">
        <v>19</v>
      </c>
      <c r="X1060" s="945" t="inlineStr">
        <is>
          <t>NA</t>
        </is>
      </c>
      <c r="Y1060" s="237" t="n">
        <v>41</v>
      </c>
      <c r="Z1060" s="237" t="inlineStr">
        <is>
          <t>NA</t>
        </is>
      </c>
      <c r="AA1060" s="237" t="inlineStr">
        <is>
          <t>NA</t>
        </is>
      </c>
      <c r="AB1060" s="269" t="inlineStr">
        <is>
          <t>ANACREDIT</t>
        </is>
      </c>
      <c r="AC1060" s="231" t="inlineStr">
        <is>
          <t>ND</t>
        </is>
      </c>
      <c r="AD1060" s="257" t="inlineStr">
        <is>
          <t>N</t>
        </is>
      </c>
      <c r="AE1060" s="257" t="inlineStr">
        <is>
          <t>NA</t>
        </is>
      </c>
      <c r="AF1060" s="257" t="inlineStr">
        <is>
          <t>NA</t>
        </is>
      </c>
      <c r="AG1060" s="258" t="inlineStr">
        <is>
          <t>NA</t>
        </is>
      </c>
      <c r="AH1060" s="89" t="n"/>
      <c r="AI1060" s="316" t="inlineStr">
        <is>
          <t>La donnée est obligatoire si la date de passage en douteux compromis [P2 22.38] est renseignée</t>
        </is>
      </c>
      <c r="AJ1060" s="317" t="inlineStr">
        <is>
          <t>The data is mandatory if the date of compromise in doubt [P2 22.38] is filled in</t>
        </is>
      </c>
      <c r="AK1060" s="257" t="n">
        <v>6</v>
      </c>
      <c r="AL1060" s="345" t="inlineStr">
        <is>
          <t>TPS1741</t>
        </is>
      </c>
      <c r="AM1060" s="318" t="n"/>
      <c r="AN1060" s="317" t="n"/>
      <c r="AO1060" s="257" t="n"/>
      <c r="AP1060" s="258" t="n"/>
      <c r="AQ1060" s="318" t="inlineStr">
        <is>
          <t>Si renseignée, la donnée doit être positive (supérieure ou égale à 0)</t>
        </is>
      </c>
      <c r="AR1060" s="317" t="inlineStr">
        <is>
          <t xml:space="preserve">If filled, data must be positive (greater or equal to 0) </t>
        </is>
      </c>
      <c r="AS1060" s="257" t="n">
        <v>7</v>
      </c>
      <c r="AT1060" s="345" t="inlineStr">
        <is>
          <t>TVG0001</t>
        </is>
      </c>
      <c r="AU1060" s="318" t="n"/>
      <c r="AV1060" s="317" t="n"/>
      <c r="AW1060" s="257" t="n"/>
      <c r="AX1060" s="258" t="n"/>
      <c r="AY1060" s="318" t="n"/>
      <c r="AZ1060" s="317" t="n"/>
      <c r="BA1060" s="257" t="n"/>
      <c r="BB1060" s="258" t="n"/>
      <c r="BC1060" s="316" t="n"/>
      <c r="BD1060" s="317" t="n"/>
      <c r="BE1060" s="257" t="n"/>
      <c r="BF1060" s="258" t="n"/>
      <c r="BG1060" s="89" t="n"/>
      <c r="BH10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60">
        <f>_xlfn.LET(r,ROW(),oc,INDEX($A:$A,r),cv,TRIM(INDEX($Y:$Y,r)&amp;""),IF(oc&lt;&gt;"P1","",IF(cv="45","V45 - novo, nao alimentado pelo spool atual","V44 - alimentado pelo spool atual")))</f>
        <v/>
      </c>
    </row>
    <row r="1061" ht="54" customFormat="1" customHeight="1" s="90">
      <c r="A1061" s="306" t="inlineStr">
        <is>
          <t>P2</t>
        </is>
      </c>
      <c r="B1061" s="307" t="n">
        <v>164</v>
      </c>
      <c r="C1061" s="269" t="inlineStr">
        <is>
          <t>06 - Caractéristiques échéancier</t>
        </is>
      </c>
      <c r="D1061" s="236" t="inlineStr">
        <is>
          <t>06 - Schedule characteristics</t>
        </is>
      </c>
      <c r="E1061" s="307" t="inlineStr">
        <is>
          <t>P2 22.40</t>
        </is>
      </c>
      <c r="F1061" s="308" t="inlineStr">
        <is>
          <t>Devise du montant de l'encours en douteux compromis</t>
        </is>
      </c>
      <c r="G1061" s="309" t="inlineStr">
        <is>
          <t>Currency of the amount of compromised debt</t>
        </is>
      </c>
      <c r="H1061" s="309" t="n"/>
      <c r="I1061" s="241" t="inlineStr">
        <is>
          <t xml:space="preserve">Devise du montant de l'encours en douteux compromis </t>
        </is>
      </c>
      <c r="J1061" s="309" t="inlineStr">
        <is>
          <t xml:space="preserve">Currency of the amount of compromised debt </t>
        </is>
      </c>
      <c r="K1061" s="370" t="inlineStr">
        <is>
          <t>ND</t>
        </is>
      </c>
      <c r="L1061" s="371" t="inlineStr">
        <is>
          <t>ND</t>
        </is>
      </c>
      <c r="M1061" s="1420" t="inlineStr">
        <is>
          <t>cdDevMtEncourDout</t>
        </is>
      </c>
      <c r="N1061" s="231" t="inlineStr">
        <is>
          <t>Obligatoire sous conditions</t>
        </is>
      </c>
      <c r="O1061" s="236" t="inlineStr">
        <is>
          <t>Mandatory under conditions</t>
        </is>
      </c>
      <c r="P1061" s="269" t="inlineStr">
        <is>
          <t>LC.0005</t>
        </is>
      </c>
      <c r="Q1061" s="269" t="inlineStr">
        <is>
          <t>TA NM253</t>
        </is>
      </c>
      <c r="R1061" s="241" t="inlineStr">
        <is>
          <t>NA</t>
        </is>
      </c>
      <c r="S1061" s="233" t="inlineStr">
        <is>
          <t>NA</t>
        </is>
      </c>
      <c r="T1061" s="313" t="inlineStr">
        <is>
          <t>ALPHA</t>
        </is>
      </c>
      <c r="U1061" s="237" t="inlineStr">
        <is>
          <t>NA</t>
        </is>
      </c>
      <c r="V1061" s="238" t="inlineStr">
        <is>
          <t>NA</t>
        </is>
      </c>
      <c r="W1061" s="257" t="n">
        <v>3</v>
      </c>
      <c r="X1061" s="945" t="inlineStr">
        <is>
          <t>NA</t>
        </is>
      </c>
      <c r="Y1061" s="237" t="n">
        <v>41</v>
      </c>
      <c r="Z1061" s="237" t="inlineStr">
        <is>
          <t>NA</t>
        </is>
      </c>
      <c r="AA1061" s="237" t="inlineStr">
        <is>
          <t>NA</t>
        </is>
      </c>
      <c r="AB1061" s="269" t="inlineStr">
        <is>
          <t>ANACREDIT</t>
        </is>
      </c>
      <c r="AC1061" s="231" t="inlineStr">
        <is>
          <t>ND</t>
        </is>
      </c>
      <c r="AD1061" s="257" t="inlineStr">
        <is>
          <t>N</t>
        </is>
      </c>
      <c r="AE1061" s="257" t="inlineStr">
        <is>
          <t>NA</t>
        </is>
      </c>
      <c r="AF1061" s="257" t="inlineStr">
        <is>
          <t>NA</t>
        </is>
      </c>
      <c r="AG1061" s="258" t="inlineStr">
        <is>
          <t>NA</t>
        </is>
      </c>
      <c r="AH1061" s="89" t="n"/>
      <c r="AI1061" s="316" t="inlineStr">
        <is>
          <t>La donnée est obligatoire si le montant de l'encours en douteux compromis [P2 22.39] est renseigné</t>
        </is>
      </c>
      <c r="AJ1061" s="317" t="inlineStr">
        <is>
          <t>The data is mandatory if the Amount of compromised debt [P2 22.39] is filled</t>
        </is>
      </c>
      <c r="AK1061" s="257" t="n">
        <v>7</v>
      </c>
      <c r="AL1061" s="335" t="inlineStr">
        <is>
          <t>TPG0002</t>
        </is>
      </c>
      <c r="AM1061" s="318" t="inlineStr">
        <is>
          <t>Si elle est renseignée, la valeur doit être connue du Langage Commun associé</t>
        </is>
      </c>
      <c r="AN1061" s="317" t="inlineStr">
        <is>
          <t>If specified, the value must be known to the associated Common Language</t>
        </is>
      </c>
      <c r="AO1061" s="257" t="n">
        <v>7</v>
      </c>
      <c r="AP1061" s="212" t="inlineStr">
        <is>
          <t>TIG0001</t>
        </is>
      </c>
      <c r="AQ1061" s="318" t="n"/>
      <c r="AR1061" s="317" t="n"/>
      <c r="AS1061" s="257" t="n"/>
      <c r="AT1061" s="258" t="n"/>
      <c r="AU1061" s="318" t="n"/>
      <c r="AV1061" s="317" t="n"/>
      <c r="AW1061" s="257" t="n"/>
      <c r="AX1061" s="258" t="n"/>
      <c r="AY1061" s="318" t="n"/>
      <c r="AZ1061" s="317" t="n"/>
      <c r="BA1061" s="257" t="n"/>
      <c r="BB1061" s="258" t="n"/>
      <c r="BC1061" s="316" t="n"/>
      <c r="BD1061" s="317" t="n"/>
      <c r="BE1061" s="257" t="n"/>
      <c r="BF1061" s="258" t="n"/>
      <c r="BG1061" s="89" t="n"/>
      <c r="BH10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61">
        <f>_xlfn.LET(r,ROW(),oc,INDEX($A:$A,r),cv,TRIM(INDEX($Y:$Y,r)&amp;""),IF(oc&lt;&gt;"P1","",IF(cv="45","V45 - novo, nao alimentado pelo spool atual","V44 - alimentado pelo spool atual")))</f>
        <v/>
      </c>
    </row>
    <row r="1062" ht="54" customFormat="1" customHeight="1" s="90">
      <c r="A1062" s="306" t="inlineStr">
        <is>
          <t>P2</t>
        </is>
      </c>
      <c r="B1062" s="307" t="n">
        <v>165</v>
      </c>
      <c r="C1062" s="269" t="inlineStr">
        <is>
          <t>06 - Caractéristiques échéancier</t>
        </is>
      </c>
      <c r="D1062" s="236" t="inlineStr">
        <is>
          <t>06 - Schedule characteristics</t>
        </is>
      </c>
      <c r="E1062" s="307" t="inlineStr">
        <is>
          <t>P2 22.41</t>
        </is>
      </c>
      <c r="F1062" s="308" t="inlineStr">
        <is>
          <t xml:space="preserve">Date de déchéance du terme </t>
        </is>
      </c>
      <c r="G1062" s="309" t="inlineStr">
        <is>
          <t xml:space="preserve">Close-out netting date </t>
        </is>
      </c>
      <c r="H1062" s="309" t="n"/>
      <c r="I1062" s="241" t="inlineStr">
        <is>
          <t>Date à laquelle la banque met fin au contrat et exige le remboursement total du crédit (impayés + échéances à venir + frais + Intérêt)</t>
        </is>
      </c>
      <c r="J1062" s="309" t="inlineStr">
        <is>
          <t>Date on which the bank ends the contract and demands the total repayment of the loan (past due repayments + future repayments + fees + interest)</t>
        </is>
      </c>
      <c r="K1062" s="370" t="inlineStr">
        <is>
          <t>ND</t>
        </is>
      </c>
      <c r="L1062" s="371" t="inlineStr">
        <is>
          <t>ND</t>
        </is>
      </c>
      <c r="M1062" s="1420" t="inlineStr">
        <is>
          <t>dtEchTerme</t>
        </is>
      </c>
      <c r="N1062" s="231" t="inlineStr">
        <is>
          <t>Facultatif</t>
        </is>
      </c>
      <c r="O1062" s="236" t="inlineStr">
        <is>
          <t>Optional</t>
        </is>
      </c>
      <c r="P1062" s="269" t="inlineStr">
        <is>
          <t>NA</t>
        </is>
      </c>
      <c r="Q1062" s="269" t="inlineStr">
        <is>
          <t>NA</t>
        </is>
      </c>
      <c r="R1062" s="241" t="inlineStr">
        <is>
          <t>NA</t>
        </is>
      </c>
      <c r="S1062" s="233" t="inlineStr">
        <is>
          <t>NA</t>
        </is>
      </c>
      <c r="T1062" s="206" t="inlineStr">
        <is>
          <t>DATE</t>
        </is>
      </c>
      <c r="U1062" s="237" t="inlineStr">
        <is>
          <t>AAAAMMJJ</t>
        </is>
      </c>
      <c r="V1062" s="238" t="inlineStr">
        <is>
          <t>YYYYMMDD</t>
        </is>
      </c>
      <c r="W1062" s="257" t="n">
        <v>8</v>
      </c>
      <c r="X1062" s="945" t="inlineStr">
        <is>
          <t>NA</t>
        </is>
      </c>
      <c r="Y1062" s="237" t="n">
        <v>41</v>
      </c>
      <c r="Z1062" s="237" t="inlineStr">
        <is>
          <t>NA</t>
        </is>
      </c>
      <c r="AA1062" s="237" t="inlineStr">
        <is>
          <t>NA</t>
        </is>
      </c>
      <c r="AB1062" s="269" t="inlineStr">
        <is>
          <t>ASTRE, NPE</t>
        </is>
      </c>
      <c r="AC1062" s="231" t="inlineStr">
        <is>
          <t>ND</t>
        </is>
      </c>
      <c r="AD1062" s="257" t="inlineStr">
        <is>
          <t>N</t>
        </is>
      </c>
      <c r="AE1062" s="257" t="inlineStr">
        <is>
          <t>NA</t>
        </is>
      </c>
      <c r="AF1062" s="257" t="inlineStr">
        <is>
          <t>NA</t>
        </is>
      </c>
      <c r="AG1062" s="258" t="inlineStr">
        <is>
          <t>NA</t>
        </is>
      </c>
      <c r="AH1062" s="89" t="n"/>
      <c r="AI1062" s="316" t="n"/>
      <c r="AJ1062" s="317" t="n"/>
      <c r="AK1062" s="257" t="n"/>
      <c r="AL1062" s="258" t="n"/>
      <c r="AM1062" s="318" t="n"/>
      <c r="AN1062" s="317" t="n"/>
      <c r="AO1062" s="257" t="n"/>
      <c r="AP1062" s="258" t="n"/>
      <c r="AQ1062" s="318" t="n"/>
      <c r="AR1062" s="317" t="n"/>
      <c r="AS1062" s="257" t="n"/>
      <c r="AT1062" s="258" t="n"/>
      <c r="AU1062" s="318" t="n"/>
      <c r="AV1062" s="317" t="n"/>
      <c r="AW1062" s="257" t="n"/>
      <c r="AX1062" s="258" t="n"/>
      <c r="AY1062" s="318" t="n"/>
      <c r="AZ1062" s="317" t="n"/>
      <c r="BA1062" s="257" t="n"/>
      <c r="BB1062" s="258" t="n"/>
      <c r="BC1062" s="316" t="n"/>
      <c r="BD1062" s="317" t="n"/>
      <c r="BE1062" s="257" t="n"/>
      <c r="BF1062" s="258" t="n"/>
      <c r="BG1062" s="89" t="n"/>
      <c r="BH10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62">
        <f>_xlfn.LET(r,ROW(),oc,INDEX($A:$A,r),cv,TRIM(INDEX($Y:$Y,r)&amp;""),IF(oc&lt;&gt;"P1","",IF(cv="45","V45 - novo, nao alimentado pelo spool atual","V44 - alimentado pelo spool atual")))</f>
        <v/>
      </c>
    </row>
    <row r="1063" ht="54" customFormat="1" customHeight="1" s="90">
      <c r="A1063" s="306" t="inlineStr">
        <is>
          <t>P2</t>
        </is>
      </c>
      <c r="B1063" s="307" t="n">
        <v>166</v>
      </c>
      <c r="C1063" s="269" t="inlineStr">
        <is>
          <t>29 - Ratio</t>
        </is>
      </c>
      <c r="D1063" s="236" t="inlineStr">
        <is>
          <t>29 - Ratio</t>
        </is>
      </c>
      <c r="E1063" s="307" t="inlineStr">
        <is>
          <t>P2 22.42</t>
        </is>
      </c>
      <c r="F1063" s="308" t="inlineStr">
        <is>
          <t>Loan-to-value ratio (LTV) local à l'octroi</t>
        </is>
      </c>
      <c r="G1063" s="309" t="inlineStr">
        <is>
          <t>Local Loan-to-value (LTV) ratio when loan granted</t>
        </is>
      </c>
      <c r="H1063" s="309" t="n"/>
      <c r="I1063" s="308" t="inlineStr">
        <is>
          <t>Loan-to-value ratio (LTV) local à l'octroi
Exprimé en %</t>
        </is>
      </c>
      <c r="J1063" s="309" t="inlineStr">
        <is>
          <t>Local Loan-to-value (LTV) ratio when loan granted.
Expressed as %</t>
        </is>
      </c>
      <c r="K1063" s="370" t="inlineStr">
        <is>
          <t>ND</t>
        </is>
      </c>
      <c r="L1063" s="371" t="inlineStr">
        <is>
          <t>ND</t>
        </is>
      </c>
      <c r="M1063" s="1420" t="inlineStr">
        <is>
          <t>cdLTVLoc</t>
        </is>
      </c>
      <c r="N1063" s="231" t="inlineStr">
        <is>
          <t>Obligatoire sous conditions</t>
        </is>
      </c>
      <c r="O1063" s="236" t="inlineStr">
        <is>
          <t>Mandatory under conditions</t>
        </is>
      </c>
      <c r="P1063" s="269" t="inlineStr">
        <is>
          <t>NA</t>
        </is>
      </c>
      <c r="Q1063" s="269" t="inlineStr">
        <is>
          <t>NA</t>
        </is>
      </c>
      <c r="R1063" s="241" t="inlineStr">
        <is>
          <t>Obligatoire si prêt immobilier</t>
        </is>
      </c>
      <c r="S1063" s="233" t="inlineStr">
        <is>
          <t>Mandatory if mortgage</t>
        </is>
      </c>
      <c r="T1063" s="313" t="inlineStr">
        <is>
          <t>NUM</t>
        </is>
      </c>
      <c r="U1063" s="237" t="inlineStr">
        <is>
          <t>10 dont signe et 5 décimales</t>
        </is>
      </c>
      <c r="V1063" s="238" t="inlineStr">
        <is>
          <t>10 including sign and 5 decimals</t>
        </is>
      </c>
      <c r="W1063" s="257" t="n">
        <v>10</v>
      </c>
      <c r="X1063" s="945" t="inlineStr">
        <is>
          <t>NA</t>
        </is>
      </c>
      <c r="Y1063" s="237" t="n">
        <v>41</v>
      </c>
      <c r="Z1063" s="237" t="inlineStr">
        <is>
          <t>NA</t>
        </is>
      </c>
      <c r="AA1063" s="270" t="inlineStr">
        <is>
          <t>NA</t>
        </is>
      </c>
      <c r="AB1063" s="994" t="inlineStr">
        <is>
          <t>ASTRE, CALCULS PRUDENTIELS, OCTROI DE CREDIT</t>
        </is>
      </c>
      <c r="AC1063" s="231" t="inlineStr">
        <is>
          <t>ND</t>
        </is>
      </c>
      <c r="AD1063" s="257" t="inlineStr">
        <is>
          <t>N</t>
        </is>
      </c>
      <c r="AE1063" s="257" t="inlineStr">
        <is>
          <t>NA</t>
        </is>
      </c>
      <c r="AF1063" s="257" t="inlineStr">
        <is>
          <t>NA</t>
        </is>
      </c>
      <c r="AG1063" s="258" t="inlineStr">
        <is>
          <t>NA</t>
        </is>
      </c>
      <c r="AH1063" s="89" t="n"/>
      <c r="AI1063" s="487" t="inlineStr">
        <is>
          <t>La donnée est obligatoire, si le type de risque [P2 2.0] = 'TRExx' (hors 'TRE203, TRE205, TRE206, TRE207'), 'SIGxx' ET si l'Usage du bien immobilier financé [P2 8.13] ='1' ou '2'</t>
        </is>
      </c>
      <c r="AJ1063" s="317" t="inlineStr">
        <is>
          <t>The data is mandatory, if the Risk type [P2 2.0] = 'TRExx' (except 'TRE203, TRE205, TRE206, TRE207'), 'SIGxx' AND if Use of financed property [P2 8.13] ='1' or '2'</t>
        </is>
      </c>
      <c r="AK1063" s="257" t="n">
        <v>6</v>
      </c>
      <c r="AL1063" s="335" t="inlineStr">
        <is>
          <t>TPS1742</t>
        </is>
      </c>
      <c r="AM1063" s="318" t="n"/>
      <c r="AN1063" s="317" t="n"/>
      <c r="AO1063" s="257" t="n"/>
      <c r="AP1063" s="258" t="n"/>
      <c r="AQ1063" s="322" t="inlineStr">
        <is>
          <t>Si renseignée, la donnée doit être positive (supérieure ou égale à 0)</t>
        </is>
      </c>
      <c r="AR1063" s="317" t="inlineStr">
        <is>
          <t xml:space="preserve">If filled, data must be positive (greater or equal to 0) </t>
        </is>
      </c>
      <c r="AS1063" s="257" t="n">
        <v>7</v>
      </c>
      <c r="AT1063" s="345" t="inlineStr">
        <is>
          <t>TVG0001</t>
        </is>
      </c>
      <c r="AU1063" s="318" t="n"/>
      <c r="AV1063" s="317" t="n"/>
      <c r="AW1063" s="257" t="n"/>
      <c r="AX1063" s="258" t="n"/>
      <c r="AY1063" s="318" t="n"/>
      <c r="AZ1063" s="317" t="n"/>
      <c r="BA1063" s="257" t="n"/>
      <c r="BB1063" s="258" t="n"/>
      <c r="BC1063" s="316" t="n"/>
      <c r="BD1063" s="317" t="n"/>
      <c r="BE1063" s="257" t="n"/>
      <c r="BF1063" s="258" t="n"/>
      <c r="BG1063" s="89" t="n"/>
      <c r="BH10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63">
        <f>_xlfn.LET(r,ROW(),oc,INDEX($A:$A,r),cv,TRIM(INDEX($Y:$Y,r)&amp;""),IF(oc&lt;&gt;"P1","",IF(cv="45","V45 - novo, nao alimentado pelo spool atual","V44 - alimentado pelo spool atual")))</f>
        <v/>
      </c>
    </row>
    <row r="1064" ht="54" customFormat="1" customHeight="1" s="90">
      <c r="A1064" s="306" t="inlineStr">
        <is>
          <t>P2</t>
        </is>
      </c>
      <c r="B1064" s="307" t="n">
        <v>167</v>
      </c>
      <c r="C1064" s="269" t="inlineStr">
        <is>
          <t>29 - Ratio</t>
        </is>
      </c>
      <c r="D1064" s="236" t="inlineStr">
        <is>
          <t>29 - Ratio</t>
        </is>
      </c>
      <c r="E1064" s="307" t="inlineStr">
        <is>
          <t>P2 22.43</t>
        </is>
      </c>
      <c r="F1064" s="308" t="inlineStr">
        <is>
          <t>Loan-to-value ratio (LTV) local revalorisé</t>
        </is>
      </c>
      <c r="G1064" s="309" t="inlineStr">
        <is>
          <t>Re-evaluated local Loan-to-value (LTV) ratio</t>
        </is>
      </c>
      <c r="H1064" s="309" t="n"/>
      <c r="I1064" s="308" t="inlineStr">
        <is>
          <t>Correspond à la valeur du prêt sur la valeur du bien financé
Exprimé en %</t>
        </is>
      </c>
      <c r="J1064" s="309" t="inlineStr">
        <is>
          <t>It is the value of the loan divided by the value of the financed property
Expressed as %</t>
        </is>
      </c>
      <c r="K1064" s="370" t="inlineStr">
        <is>
          <t>ND</t>
        </is>
      </c>
      <c r="L1064" s="371" t="inlineStr">
        <is>
          <t>ND</t>
        </is>
      </c>
      <c r="M1064" s="1420" t="inlineStr">
        <is>
          <t>cdLTVRev</t>
        </is>
      </c>
      <c r="N1064" s="231" t="inlineStr">
        <is>
          <t>Obligatoire sous conditions</t>
        </is>
      </c>
      <c r="O1064" s="236" t="inlineStr">
        <is>
          <t>Mandatory under conditions</t>
        </is>
      </c>
      <c r="P1064" s="269" t="inlineStr">
        <is>
          <t>NA</t>
        </is>
      </c>
      <c r="Q1064" s="269" t="inlineStr">
        <is>
          <t>NA</t>
        </is>
      </c>
      <c r="R1064" s="241" t="inlineStr">
        <is>
          <t>Obligatoire si prêt immobilier</t>
        </is>
      </c>
      <c r="S1064" s="233" t="inlineStr">
        <is>
          <t>Mandatory if mortgage</t>
        </is>
      </c>
      <c r="T1064" s="313" t="inlineStr">
        <is>
          <t>NUM</t>
        </is>
      </c>
      <c r="U1064" s="237" t="inlineStr">
        <is>
          <t>10 dont signe et 5 décimales</t>
        </is>
      </c>
      <c r="V1064" s="238" t="inlineStr">
        <is>
          <t>10 including sign and 5 decimals</t>
        </is>
      </c>
      <c r="W1064" s="257" t="n">
        <v>10</v>
      </c>
      <c r="X1064" s="945" t="inlineStr">
        <is>
          <t>NA</t>
        </is>
      </c>
      <c r="Y1064" s="237" t="n">
        <v>41</v>
      </c>
      <c r="Z1064" s="237" t="inlineStr">
        <is>
          <t>NA</t>
        </is>
      </c>
      <c r="AA1064" s="270" t="inlineStr">
        <is>
          <t>NA</t>
        </is>
      </c>
      <c r="AB1064" s="994" t="inlineStr">
        <is>
          <t>ASTRE, CALCULS PRUDENTIELS, OCTROI DE CREDIT</t>
        </is>
      </c>
      <c r="AC1064" s="231" t="inlineStr">
        <is>
          <t>ND</t>
        </is>
      </c>
      <c r="AD1064" s="257" t="inlineStr">
        <is>
          <t>N</t>
        </is>
      </c>
      <c r="AE1064" s="257" t="inlineStr">
        <is>
          <t>NA</t>
        </is>
      </c>
      <c r="AF1064" s="257" t="inlineStr">
        <is>
          <t>NA</t>
        </is>
      </c>
      <c r="AG1064" s="258" t="inlineStr">
        <is>
          <t>NA</t>
        </is>
      </c>
      <c r="AH1064" s="89" t="n"/>
      <c r="AI1064" s="353" t="inlineStr">
        <is>
          <t>La donnée est obligatoire, si le type de risque [P2 2.0] = 'TRExx' (hors 'TRE203, TRE205, TRE206, TRE207'), 'SIGxx' ET si l'usage du bien immobilier financé [P2 8.13] ='1' ou '2' ET si la Date de revalorisation [P2 22.46] est renseignée</t>
        </is>
      </c>
      <c r="AJ1064" s="317" t="inlineStr">
        <is>
          <t>The data is mandatory if the Risk type [P2 2.0] = 'TRExx' (except 'TRE203, TRE205, TRE206, TRE207'), 'SIGxx' AND if the use of financed property [P2 8.13]] ='1' or '2' and if revaluation date [P2 22.46] is filled</t>
        </is>
      </c>
      <c r="AK1064" s="257" t="n">
        <v>6</v>
      </c>
      <c r="AL1064" s="335" t="inlineStr">
        <is>
          <t>TPS1743</t>
        </is>
      </c>
      <c r="AM1064" s="318" t="n"/>
      <c r="AN1064" s="317" t="n"/>
      <c r="AO1064" s="257" t="n"/>
      <c r="AP1064" s="258" t="n"/>
      <c r="AQ1064" s="322" t="inlineStr">
        <is>
          <t>Si renseignée, la donnée doit être positive (supérieure ou égale à 0)</t>
        </is>
      </c>
      <c r="AR1064" s="317" t="inlineStr">
        <is>
          <t xml:space="preserve">If filled, data must be positive (greater or equal to 0) </t>
        </is>
      </c>
      <c r="AS1064" s="257" t="n">
        <v>7</v>
      </c>
      <c r="AT1064" s="345" t="inlineStr">
        <is>
          <t>TVG0001</t>
        </is>
      </c>
      <c r="AU1064" s="318" t="n"/>
      <c r="AV1064" s="317" t="n"/>
      <c r="AW1064" s="257" t="n"/>
      <c r="AX1064" s="258" t="n"/>
      <c r="AY1064" s="318" t="n"/>
      <c r="AZ1064" s="317" t="n"/>
      <c r="BA1064" s="257" t="n"/>
      <c r="BB1064" s="258" t="n"/>
      <c r="BC1064" s="316" t="n"/>
      <c r="BD1064" s="317" t="n"/>
      <c r="BE1064" s="257" t="n"/>
      <c r="BF1064" s="258" t="n"/>
      <c r="BG1064" s="89" t="n"/>
      <c r="BH10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64">
        <f>_xlfn.LET(r,ROW(),oc,INDEX($A:$A,r),cv,TRIM(INDEX($Y:$Y,r)&amp;""),IF(oc&lt;&gt;"P1","",IF(cv="45","V45 - novo, nao alimentado pelo spool atual","V44 - alimentado pelo spool atual")))</f>
        <v/>
      </c>
    </row>
    <row r="1065" ht="54" customFormat="1" customHeight="1" s="90">
      <c r="A1065" s="306" t="inlineStr">
        <is>
          <t>P2</t>
        </is>
      </c>
      <c r="B1065" s="307" t="n">
        <v>168</v>
      </c>
      <c r="C1065" s="269" t="inlineStr">
        <is>
          <t>06 - Caractéristiques échéancier</t>
        </is>
      </c>
      <c r="D1065" s="236" t="inlineStr">
        <is>
          <t>06 - Schedule characteristics</t>
        </is>
      </c>
      <c r="E1065" s="307" t="inlineStr">
        <is>
          <t>P2 22.44</t>
        </is>
      </c>
      <c r="F1065" s="308" t="inlineStr">
        <is>
          <t>Montant à l'acquisition du bien financé</t>
        </is>
      </c>
      <c r="G1065" s="309" t="inlineStr">
        <is>
          <t>Amount on acquisition of the funded property</t>
        </is>
      </c>
      <c r="H1065" s="309" t="n"/>
      <c r="I1065" s="308" t="inlineStr">
        <is>
          <t>Montant à l'acquisition du bien financé</t>
        </is>
      </c>
      <c r="J1065" s="309" t="inlineStr">
        <is>
          <t>Amount on acquisition of the funded property</t>
        </is>
      </c>
      <c r="K1065" s="370" t="inlineStr">
        <is>
          <t>ND</t>
        </is>
      </c>
      <c r="L1065" s="371" t="inlineStr">
        <is>
          <t>ND</t>
        </is>
      </c>
      <c r="M1065" s="1420" t="inlineStr">
        <is>
          <t>MtBienOctroi</t>
        </is>
      </c>
      <c r="N1065" s="257" t="inlineStr">
        <is>
          <t>Facultatif</t>
        </is>
      </c>
      <c r="O1065" s="236" t="inlineStr">
        <is>
          <t>Optional</t>
        </is>
      </c>
      <c r="P1065" s="269" t="inlineStr">
        <is>
          <t>NA</t>
        </is>
      </c>
      <c r="Q1065" s="269" t="inlineStr">
        <is>
          <t>NA</t>
        </is>
      </c>
      <c r="R1065" s="241" t="inlineStr">
        <is>
          <t>Obligatoire si prêt immobilier</t>
        </is>
      </c>
      <c r="S1065" s="233" t="inlineStr">
        <is>
          <t>Mandatory if mortgage</t>
        </is>
      </c>
      <c r="T1065" s="313" t="inlineStr">
        <is>
          <t>NUM</t>
        </is>
      </c>
      <c r="U1065" s="237" t="inlineStr">
        <is>
          <t>19 dont signe et 2 décimales</t>
        </is>
      </c>
      <c r="V1065" s="238" t="inlineStr">
        <is>
          <t>19 including sign and 2 decimals</t>
        </is>
      </c>
      <c r="W1065" s="257" t="n">
        <v>19</v>
      </c>
      <c r="X1065" s="945" t="inlineStr">
        <is>
          <t>NA</t>
        </is>
      </c>
      <c r="Y1065" s="237" t="n">
        <v>41</v>
      </c>
      <c r="Z1065" s="237" t="inlineStr">
        <is>
          <t>NA</t>
        </is>
      </c>
      <c r="AA1065" s="270" t="inlineStr">
        <is>
          <t>NA</t>
        </is>
      </c>
      <c r="AB1065" s="994" t="inlineStr">
        <is>
          <t>CALCULS PRUDENTIELS, NZBA</t>
        </is>
      </c>
      <c r="AC1065" s="231" t="inlineStr">
        <is>
          <t>ND</t>
        </is>
      </c>
      <c r="AD1065" s="257" t="inlineStr">
        <is>
          <t>N</t>
        </is>
      </c>
      <c r="AE1065" s="257" t="inlineStr">
        <is>
          <t>NA</t>
        </is>
      </c>
      <c r="AF1065" s="257" t="inlineStr">
        <is>
          <t>NA</t>
        </is>
      </c>
      <c r="AG1065" s="258" t="inlineStr">
        <is>
          <t>NA</t>
        </is>
      </c>
      <c r="AH1065" s="89" t="n"/>
      <c r="AI1065" s="820" t="n"/>
      <c r="AJ1065" s="317" t="n"/>
      <c r="AK1065" s="257" t="n"/>
      <c r="AL1065" s="617" t="n"/>
      <c r="AM1065" s="318" t="n"/>
      <c r="AN1065" s="317" t="n"/>
      <c r="AO1065" s="257" t="n"/>
      <c r="AP1065" s="258" t="n"/>
      <c r="AQ1065" s="322" t="inlineStr">
        <is>
          <t>Si renseignée, la donnée doit être positive (supérieure ou égale à 0)</t>
        </is>
      </c>
      <c r="AR1065" s="317" t="inlineStr">
        <is>
          <t xml:space="preserve">If filled, data must be positive (greater or equal to 0) </t>
        </is>
      </c>
      <c r="AS1065" s="257" t="n">
        <v>7</v>
      </c>
      <c r="AT1065" s="345" t="inlineStr">
        <is>
          <t>TVG0001</t>
        </is>
      </c>
      <c r="AU1065" s="318" t="n"/>
      <c r="AV1065" s="317" t="n"/>
      <c r="AW1065" s="257" t="n"/>
      <c r="AX1065" s="258" t="n"/>
      <c r="AY1065" s="318" t="n"/>
      <c r="AZ1065" s="317" t="n"/>
      <c r="BA1065" s="257" t="n"/>
      <c r="BB1065" s="258" t="n"/>
      <c r="BC1065" s="316" t="n"/>
      <c r="BD1065" s="317" t="n"/>
      <c r="BE1065" s="257" t="n"/>
      <c r="BF1065" s="258" t="n"/>
      <c r="BG1065" s="89" t="n"/>
      <c r="BH10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65">
        <f>_xlfn.LET(r,ROW(),oc,INDEX($A:$A,r),cv,TRIM(INDEX($Y:$Y,r)&amp;""),IF(oc&lt;&gt;"P1","",IF(cv="45","V45 - novo, nao alimentado pelo spool atual","V44 - alimentado pelo spool atual")))</f>
        <v/>
      </c>
    </row>
    <row r="1066" ht="54" customFormat="1" customHeight="1" s="90">
      <c r="A1066" s="306" t="inlineStr">
        <is>
          <t>P2</t>
        </is>
      </c>
      <c r="B1066" s="307" t="n">
        <v>169</v>
      </c>
      <c r="C1066" s="269" t="inlineStr">
        <is>
          <t>06 - Caractéristiques échéancier</t>
        </is>
      </c>
      <c r="D1066" s="236" t="inlineStr">
        <is>
          <t>06 - Schedule characteristics</t>
        </is>
      </c>
      <c r="E1066" s="307" t="inlineStr">
        <is>
          <t>P2 22.45</t>
        </is>
      </c>
      <c r="F1066" s="308" t="inlineStr">
        <is>
          <t>Devise du montant à l'acquisition du bien financé</t>
        </is>
      </c>
      <c r="G1066" s="309" t="inlineStr">
        <is>
          <t>Currency of Amount on acquisition of the funded property</t>
        </is>
      </c>
      <c r="H1066" s="309" t="n"/>
      <c r="I1066" s="241" t="inlineStr">
        <is>
          <t>Devise du montant à l'acquisition du bien financé</t>
        </is>
      </c>
      <c r="J1066" s="309" t="inlineStr">
        <is>
          <t>Currency of Amount on acquisition of the funded property</t>
        </is>
      </c>
      <c r="K1066" s="370" t="inlineStr">
        <is>
          <t>ND</t>
        </is>
      </c>
      <c r="L1066" s="371" t="inlineStr">
        <is>
          <t>ND</t>
        </is>
      </c>
      <c r="M1066" s="1420" t="inlineStr">
        <is>
          <t>cdDevMtBienOctroi</t>
        </is>
      </c>
      <c r="N1066" s="231" t="inlineStr">
        <is>
          <t>Obligatoire sous conditions</t>
        </is>
      </c>
      <c r="O1066" s="236" t="inlineStr">
        <is>
          <t>Mandatory under conditions</t>
        </is>
      </c>
      <c r="P1066" s="269" t="inlineStr">
        <is>
          <t>LC.0005</t>
        </is>
      </c>
      <c r="Q1066" s="269" t="inlineStr">
        <is>
          <t>TA NM253</t>
        </is>
      </c>
      <c r="R1066" s="241" t="inlineStr">
        <is>
          <t>NA</t>
        </is>
      </c>
      <c r="S1066" s="233" t="inlineStr">
        <is>
          <t>NA</t>
        </is>
      </c>
      <c r="T1066" s="313" t="inlineStr">
        <is>
          <t>ALPHA</t>
        </is>
      </c>
      <c r="U1066" s="237" t="inlineStr">
        <is>
          <t>NA</t>
        </is>
      </c>
      <c r="V1066" s="238" t="inlineStr">
        <is>
          <t>NA</t>
        </is>
      </c>
      <c r="W1066" s="257" t="n">
        <v>3</v>
      </c>
      <c r="X1066" s="945" t="inlineStr">
        <is>
          <t>NA</t>
        </is>
      </c>
      <c r="Y1066" s="237" t="n">
        <v>41</v>
      </c>
      <c r="Z1066" s="237" t="inlineStr">
        <is>
          <t>NA</t>
        </is>
      </c>
      <c r="AA1066" s="270" t="inlineStr">
        <is>
          <t>NA</t>
        </is>
      </c>
      <c r="AB1066" s="994" t="inlineStr">
        <is>
          <t>CALCULS PRUDENTIELS, NZBA</t>
        </is>
      </c>
      <c r="AC1066" s="231" t="inlineStr">
        <is>
          <t>ND</t>
        </is>
      </c>
      <c r="AD1066" s="257" t="inlineStr">
        <is>
          <t>N</t>
        </is>
      </c>
      <c r="AE1066" s="257" t="inlineStr">
        <is>
          <t>NA</t>
        </is>
      </c>
      <c r="AF1066" s="257" t="inlineStr">
        <is>
          <t>NA</t>
        </is>
      </c>
      <c r="AG1066" s="258" t="inlineStr">
        <is>
          <t>NA</t>
        </is>
      </c>
      <c r="AH1066" s="89" t="n"/>
      <c r="AI1066" s="316" t="inlineStr">
        <is>
          <t>La donnée est obligatoire si le montant initial du bien à l'achat [P2 22.44] est renseigné</t>
        </is>
      </c>
      <c r="AJ1066" s="317" t="inlineStr">
        <is>
          <t>The data is mandatory if the original purchase amount [P2 22.44] is filled</t>
        </is>
      </c>
      <c r="AK1066" s="257" t="n">
        <v>7</v>
      </c>
      <c r="AL1066" s="335" t="inlineStr">
        <is>
          <t>TPG0002</t>
        </is>
      </c>
      <c r="AM1066" s="318" t="inlineStr">
        <is>
          <t>Si elle est renseignée, la valeur doit être connue du Langage Commun associé</t>
        </is>
      </c>
      <c r="AN1066" s="317" t="inlineStr">
        <is>
          <t>If specified, the value must be known to the associated Common Language</t>
        </is>
      </c>
      <c r="AO1066" s="257" t="n">
        <v>7</v>
      </c>
      <c r="AP1066" s="212" t="inlineStr">
        <is>
          <t>TIG0001</t>
        </is>
      </c>
      <c r="AQ1066" s="318" t="n"/>
      <c r="AR1066" s="317" t="n"/>
      <c r="AS1066" s="257" t="n"/>
      <c r="AT1066" s="258" t="n"/>
      <c r="AU1066" s="318" t="n"/>
      <c r="AV1066" s="317" t="n"/>
      <c r="AW1066" s="257" t="n"/>
      <c r="AX1066" s="258" t="n"/>
      <c r="AY1066" s="318" t="n"/>
      <c r="AZ1066" s="317" t="n"/>
      <c r="BA1066" s="257" t="n"/>
      <c r="BB1066" s="258" t="n"/>
      <c r="BC1066" s="316" t="n"/>
      <c r="BD1066" s="317" t="n"/>
      <c r="BE1066" s="257" t="n"/>
      <c r="BF1066" s="258" t="n"/>
      <c r="BG1066" s="89" t="n"/>
      <c r="BH10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66">
        <f>_xlfn.LET(r,ROW(),oc,INDEX($A:$A,r),cv,TRIM(INDEX($Y:$Y,r)&amp;""),IF(oc&lt;&gt;"P1","",IF(cv="45","V45 - novo, nao alimentado pelo spool atual","V44 - alimentado pelo spool atual")))</f>
        <v/>
      </c>
    </row>
    <row r="1067" ht="54" customFormat="1" customHeight="1" s="90">
      <c r="A1067" s="306" t="inlineStr">
        <is>
          <t>P2</t>
        </is>
      </c>
      <c r="B1067" s="307" t="n">
        <v>170</v>
      </c>
      <c r="C1067" s="269" t="inlineStr">
        <is>
          <t>06 - Caractéristiques échéancier</t>
        </is>
      </c>
      <c r="D1067" s="236" t="inlineStr">
        <is>
          <t>06 - Schedule characteristics</t>
        </is>
      </c>
      <c r="E1067" s="307" t="inlineStr">
        <is>
          <t>P2 22.46</t>
        </is>
      </c>
      <c r="F1067" s="308" t="inlineStr">
        <is>
          <t>Date de revalorisation du bien</t>
        </is>
      </c>
      <c r="G1067" s="309" t="inlineStr">
        <is>
          <t>Property's revaluation date</t>
        </is>
      </c>
      <c r="H1067" s="309" t="n"/>
      <c r="I1067" s="241" t="inlineStr">
        <is>
          <t>Date de revalorisation du bien financé ou loué</t>
        </is>
      </c>
      <c r="J1067" s="309" t="inlineStr">
        <is>
          <t>Financed or leased property's revaluation date</t>
        </is>
      </c>
      <c r="K1067" s="370" t="inlineStr">
        <is>
          <t>ND</t>
        </is>
      </c>
      <c r="L1067" s="371" t="inlineStr">
        <is>
          <t>ND</t>
        </is>
      </c>
      <c r="M1067" s="1420" t="inlineStr">
        <is>
          <t>dtRevBien</t>
        </is>
      </c>
      <c r="N1067" s="449" t="inlineStr">
        <is>
          <t>Facultatif</t>
        </is>
      </c>
      <c r="O1067" s="236" t="inlineStr">
        <is>
          <t>Optional</t>
        </is>
      </c>
      <c r="P1067" s="269" t="inlineStr">
        <is>
          <t>NA</t>
        </is>
      </c>
      <c r="Q1067" s="269" t="inlineStr">
        <is>
          <t>NA</t>
        </is>
      </c>
      <c r="R1067" s="241" t="inlineStr">
        <is>
          <t>Obligatoire si prêt immobilier</t>
        </is>
      </c>
      <c r="S1067" s="233" t="inlineStr">
        <is>
          <t>Mandatory if mortgage</t>
        </is>
      </c>
      <c r="T1067" s="206" t="inlineStr">
        <is>
          <t>DATE</t>
        </is>
      </c>
      <c r="U1067" s="237" t="inlineStr">
        <is>
          <t>AAAAMMJJ</t>
        </is>
      </c>
      <c r="V1067" s="238" t="inlineStr">
        <is>
          <t>YYYYMMDD</t>
        </is>
      </c>
      <c r="W1067" s="257" t="n">
        <v>8</v>
      </c>
      <c r="X1067" s="945" t="inlineStr">
        <is>
          <t>NA</t>
        </is>
      </c>
      <c r="Y1067" s="237" t="n">
        <v>41</v>
      </c>
      <c r="Z1067" s="237" t="inlineStr">
        <is>
          <t>NA</t>
        </is>
      </c>
      <c r="AA1067" s="270" t="inlineStr">
        <is>
          <t>NA</t>
        </is>
      </c>
      <c r="AB1067" s="1286" t="inlineStr">
        <is>
          <t>CALCULS PRUDENTIELS</t>
        </is>
      </c>
      <c r="AC1067" s="231" t="inlineStr">
        <is>
          <t>ND</t>
        </is>
      </c>
      <c r="AD1067" s="257" t="inlineStr">
        <is>
          <t>N</t>
        </is>
      </c>
      <c r="AE1067" s="257" t="inlineStr">
        <is>
          <t>NA</t>
        </is>
      </c>
      <c r="AF1067" s="257" t="inlineStr">
        <is>
          <t>NA</t>
        </is>
      </c>
      <c r="AG1067" s="258" t="inlineStr">
        <is>
          <t>NA</t>
        </is>
      </c>
      <c r="AH1067" s="89" t="n"/>
      <c r="AI1067" s="316" t="n"/>
      <c r="AJ1067" s="317" t="n"/>
      <c r="AK1067" s="257" t="n"/>
      <c r="AL1067" s="258" t="n"/>
      <c r="AM1067" s="318" t="n"/>
      <c r="AN1067" s="317" t="n"/>
      <c r="AO1067" s="257" t="n"/>
      <c r="AP1067" s="258" t="n"/>
      <c r="AQ1067" s="318" t="n"/>
      <c r="AR1067" s="317" t="n"/>
      <c r="AS1067" s="257" t="n"/>
      <c r="AT1067" s="258" t="n"/>
      <c r="AU1067" s="318" t="n"/>
      <c r="AV1067" s="317" t="n"/>
      <c r="AW1067" s="257" t="n"/>
      <c r="AX1067" s="258" t="n"/>
      <c r="AY1067" s="318" t="n"/>
      <c r="AZ1067" s="317" t="n"/>
      <c r="BA1067" s="257" t="n"/>
      <c r="BB1067" s="258" t="n"/>
      <c r="BC1067" s="316" t="n"/>
      <c r="BD1067" s="317" t="n"/>
      <c r="BE1067" s="257" t="n"/>
      <c r="BF1067" s="258" t="n"/>
      <c r="BG1067" s="89" t="n"/>
      <c r="BH10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67">
        <f>_xlfn.LET(r,ROW(),oc,INDEX($A:$A,r),cv,TRIM(INDEX($Y:$Y,r)&amp;""),IF(oc&lt;&gt;"P1","",IF(cv="45","V45 - novo, nao alimentado pelo spool atual","V44 - alimentado pelo spool atual")))</f>
        <v/>
      </c>
    </row>
    <row r="1068" ht="54" customFormat="1" customHeight="1" s="90">
      <c r="A1068" s="306" t="inlineStr">
        <is>
          <t>P2</t>
        </is>
      </c>
      <c r="B1068" s="307" t="n">
        <v>171</v>
      </c>
      <c r="C1068" s="269" t="inlineStr">
        <is>
          <t>06 - Caractéristiques échéancier</t>
        </is>
      </c>
      <c r="D1068" s="236" t="inlineStr">
        <is>
          <t>06 - Schedule characteristics</t>
        </is>
      </c>
      <c r="E1068" s="307" t="inlineStr">
        <is>
          <t>P2 22.47</t>
        </is>
      </c>
      <c r="F1068" s="308" t="inlineStr">
        <is>
          <t>Montant revalorisé du bien financé</t>
        </is>
      </c>
      <c r="G1068" s="309" t="inlineStr">
        <is>
          <t>Revalued amount of the funded asset</t>
        </is>
      </c>
      <c r="H1068" s="309" t="n"/>
      <c r="I1068" s="308" t="inlineStr">
        <is>
          <t>Montant revalorisé du bien financé</t>
        </is>
      </c>
      <c r="J1068" s="309" t="inlineStr">
        <is>
          <t>Revalued amount of the funded asset</t>
        </is>
      </c>
      <c r="K1068" s="370" t="inlineStr">
        <is>
          <t>ND</t>
        </is>
      </c>
      <c r="L1068" s="371" t="inlineStr">
        <is>
          <t>ND</t>
        </is>
      </c>
      <c r="M1068" s="1420" t="inlineStr">
        <is>
          <t>mtMar</t>
        </is>
      </c>
      <c r="N1068" s="257" t="inlineStr">
        <is>
          <t>Facultatif</t>
        </is>
      </c>
      <c r="O1068" s="236" t="inlineStr">
        <is>
          <t>Optional</t>
        </is>
      </c>
      <c r="P1068" s="269" t="inlineStr">
        <is>
          <t>NA</t>
        </is>
      </c>
      <c r="Q1068" s="269" t="inlineStr">
        <is>
          <t>NA</t>
        </is>
      </c>
      <c r="R1068" s="241" t="inlineStr">
        <is>
          <t>Obligatoire si prêt immobilier</t>
        </is>
      </c>
      <c r="S1068" s="233" t="inlineStr">
        <is>
          <t>Mandatory if mortgage</t>
        </is>
      </c>
      <c r="T1068" s="313" t="inlineStr">
        <is>
          <t>NUM</t>
        </is>
      </c>
      <c r="U1068" s="237" t="inlineStr">
        <is>
          <t>19 dont signe et 2 décimales</t>
        </is>
      </c>
      <c r="V1068" s="238" t="inlineStr">
        <is>
          <t>19 including sign and 2 decimals</t>
        </is>
      </c>
      <c r="W1068" s="257" t="n">
        <v>19</v>
      </c>
      <c r="X1068" s="945" t="inlineStr">
        <is>
          <t>NA</t>
        </is>
      </c>
      <c r="Y1068" s="237" t="n">
        <v>41</v>
      </c>
      <c r="Z1068" s="237" t="inlineStr">
        <is>
          <t>NA</t>
        </is>
      </c>
      <c r="AA1068" s="270" t="inlineStr">
        <is>
          <t>NA</t>
        </is>
      </c>
      <c r="AB1068" s="1286" t="inlineStr">
        <is>
          <t>CALCULS PRUDENTIELS</t>
        </is>
      </c>
      <c r="AC1068" s="231" t="inlineStr">
        <is>
          <t>ND</t>
        </is>
      </c>
      <c r="AD1068" s="257" t="inlineStr">
        <is>
          <t>N</t>
        </is>
      </c>
      <c r="AE1068" s="257" t="inlineStr">
        <is>
          <t>NA</t>
        </is>
      </c>
      <c r="AF1068" s="257" t="inlineStr">
        <is>
          <t>NA</t>
        </is>
      </c>
      <c r="AG1068" s="258" t="inlineStr">
        <is>
          <t>NA</t>
        </is>
      </c>
      <c r="AH1068" s="89" t="n"/>
      <c r="AI1068" s="820" t="n"/>
      <c r="AJ1068" s="317" t="n"/>
      <c r="AK1068" s="257" t="n"/>
      <c r="AL1068" s="447" t="n"/>
      <c r="AM1068" s="318" t="n"/>
      <c r="AN1068" s="317" t="n"/>
      <c r="AO1068" s="257" t="n"/>
      <c r="AP1068" s="258" t="n"/>
      <c r="AQ1068" s="322" t="inlineStr">
        <is>
          <t>Si renseignée, la donnée doit être positive (supérieure ou égale à 0)</t>
        </is>
      </c>
      <c r="AR1068" s="317" t="inlineStr">
        <is>
          <t xml:space="preserve">If filled, data must be positive (greater or equal to 0) </t>
        </is>
      </c>
      <c r="AS1068" s="257" t="n">
        <v>7</v>
      </c>
      <c r="AT1068" s="345" t="inlineStr">
        <is>
          <t>TVG0001</t>
        </is>
      </c>
      <c r="AU1068" s="318" t="n"/>
      <c r="AV1068" s="317" t="n"/>
      <c r="AW1068" s="257" t="n"/>
      <c r="AX1068" s="258" t="n"/>
      <c r="AY1068" s="318" t="n"/>
      <c r="AZ1068" s="317" t="n"/>
      <c r="BA1068" s="257" t="n"/>
      <c r="BB1068" s="258" t="n"/>
      <c r="BC1068" s="316" t="n"/>
      <c r="BD1068" s="317" t="n"/>
      <c r="BE1068" s="257" t="n"/>
      <c r="BF1068" s="258" t="n"/>
      <c r="BG1068" s="89" t="n"/>
      <c r="BH10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68">
        <f>_xlfn.LET(r,ROW(),oc,INDEX($A:$A,r),cv,TRIM(INDEX($Y:$Y,r)&amp;""),IF(oc&lt;&gt;"P1","",IF(cv="45","V45 - novo, nao alimentado pelo spool atual","V44 - alimentado pelo spool atual")))</f>
        <v/>
      </c>
    </row>
    <row r="1069" ht="54" customFormat="1" customHeight="1" s="90">
      <c r="A1069" s="306" t="inlineStr">
        <is>
          <t>P2</t>
        </is>
      </c>
      <c r="B1069" s="307" t="n">
        <v>172</v>
      </c>
      <c r="C1069" s="269" t="inlineStr">
        <is>
          <t>06 - Caractéristiques échéancier</t>
        </is>
      </c>
      <c r="D1069" s="236" t="inlineStr">
        <is>
          <t>06 - Schedule characteristics</t>
        </is>
      </c>
      <c r="E1069" s="307" t="inlineStr">
        <is>
          <t>P2 22.48</t>
        </is>
      </c>
      <c r="F1069" s="308" t="inlineStr">
        <is>
          <t>Devise du montant du bien immobilier revalorisé</t>
        </is>
      </c>
      <c r="G1069" s="309" t="inlineStr">
        <is>
          <t>Currency of the amount of the revalued real property</t>
        </is>
      </c>
      <c r="H1069" s="309" t="n"/>
      <c r="I1069" s="241" t="inlineStr">
        <is>
          <t xml:space="preserve">Devise du montant du bien immobilier revalorisé </t>
        </is>
      </c>
      <c r="J1069" s="309" t="inlineStr">
        <is>
          <t xml:space="preserve">Currency of the amount of the revalued real property </t>
        </is>
      </c>
      <c r="K1069" s="370" t="inlineStr">
        <is>
          <t>ND</t>
        </is>
      </c>
      <c r="L1069" s="371" t="inlineStr">
        <is>
          <t>ND</t>
        </is>
      </c>
      <c r="M1069" s="1420" t="inlineStr">
        <is>
          <t>cdDevMar</t>
        </is>
      </c>
      <c r="N1069" s="231" t="inlineStr">
        <is>
          <t>Obligatoire sous conditions</t>
        </is>
      </c>
      <c r="O1069" s="236" t="inlineStr">
        <is>
          <t>Mandatory under conditions</t>
        </is>
      </c>
      <c r="P1069" s="269" t="inlineStr">
        <is>
          <t>LC.0005</t>
        </is>
      </c>
      <c r="Q1069" s="269" t="inlineStr">
        <is>
          <t>TA NM253</t>
        </is>
      </c>
      <c r="R1069" s="241" t="inlineStr">
        <is>
          <t>NA</t>
        </is>
      </c>
      <c r="S1069" s="233" t="inlineStr">
        <is>
          <t>NA</t>
        </is>
      </c>
      <c r="T1069" s="313" t="inlineStr">
        <is>
          <t>ALPHA</t>
        </is>
      </c>
      <c r="U1069" s="237" t="inlineStr">
        <is>
          <t>NA</t>
        </is>
      </c>
      <c r="V1069" s="238" t="inlineStr">
        <is>
          <t>NA</t>
        </is>
      </c>
      <c r="W1069" s="257" t="n">
        <v>3</v>
      </c>
      <c r="X1069" s="945" t="inlineStr">
        <is>
          <t>NA</t>
        </is>
      </c>
      <c r="Y1069" s="237" t="inlineStr">
        <is>
          <t>40</t>
        </is>
      </c>
      <c r="Z1069" s="237" t="inlineStr">
        <is>
          <t>NA</t>
        </is>
      </c>
      <c r="AA1069" s="270" t="inlineStr">
        <is>
          <t>NA</t>
        </is>
      </c>
      <c r="AB1069" s="1286" t="inlineStr">
        <is>
          <t>CALCULS PRUDENTIELS</t>
        </is>
      </c>
      <c r="AC1069" s="231" t="inlineStr">
        <is>
          <t>ND</t>
        </is>
      </c>
      <c r="AD1069" s="257" t="inlineStr">
        <is>
          <t>N</t>
        </is>
      </c>
      <c r="AE1069" s="257" t="inlineStr">
        <is>
          <t>NA</t>
        </is>
      </c>
      <c r="AF1069" s="257" t="inlineStr">
        <is>
          <t>NA</t>
        </is>
      </c>
      <c r="AG1069" s="258" t="inlineStr">
        <is>
          <t>NA</t>
        </is>
      </c>
      <c r="AH1069" s="89" t="n"/>
      <c r="AI1069" s="316" t="inlineStr">
        <is>
          <t>La donnée est obligatoire si le montant du bien revalorisé [P2 22.47] est renseigné</t>
        </is>
      </c>
      <c r="AJ1069" s="317" t="inlineStr">
        <is>
          <t>The data is mandatory if the amount of the revalued property [P2 22.47] is filled</t>
        </is>
      </c>
      <c r="AK1069" s="257" t="n">
        <v>7</v>
      </c>
      <c r="AL1069" s="335" t="inlineStr">
        <is>
          <t>TPG0002</t>
        </is>
      </c>
      <c r="AM1069" s="318" t="inlineStr">
        <is>
          <t>Si elle est renseignée, la valeur doit être connue du Langage Commun associé</t>
        </is>
      </c>
      <c r="AN1069" s="317" t="inlineStr">
        <is>
          <t>If specified, the value must be known to the associated Common Language</t>
        </is>
      </c>
      <c r="AO1069" s="257" t="n">
        <v>7</v>
      </c>
      <c r="AP1069" s="212" t="inlineStr">
        <is>
          <t>TIG0001</t>
        </is>
      </c>
      <c r="AQ1069" s="318" t="n"/>
      <c r="AR1069" s="317" t="n"/>
      <c r="AS1069" s="257" t="n"/>
      <c r="AT1069" s="258" t="n"/>
      <c r="AU1069" s="318" t="n"/>
      <c r="AV1069" s="317" t="n"/>
      <c r="AW1069" s="257" t="n"/>
      <c r="AX1069" s="258" t="n"/>
      <c r="AY1069" s="318" t="n"/>
      <c r="AZ1069" s="317" t="n"/>
      <c r="BA1069" s="257" t="n"/>
      <c r="BB1069" s="258" t="n"/>
      <c r="BC1069" s="316" t="n"/>
      <c r="BD1069" s="317" t="n"/>
      <c r="BE1069" s="257" t="n"/>
      <c r="BF1069" s="258" t="n"/>
      <c r="BG1069" s="89" t="n"/>
      <c r="BH10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69">
        <f>_xlfn.LET(r,ROW(),oc,INDEX($A:$A,r),cv,TRIM(INDEX($Y:$Y,r)&amp;""),IF(oc&lt;&gt;"P1","",IF(cv="45","V45 - novo, nao alimentado pelo spool atual","V44 - alimentado pelo spool atual")))</f>
        <v/>
      </c>
    </row>
    <row r="1070" ht="54" customFormat="1" customHeight="1" s="90">
      <c r="A1070" s="306" t="inlineStr">
        <is>
          <t>P2</t>
        </is>
      </c>
      <c r="B1070" s="307" t="n">
        <v>173</v>
      </c>
      <c r="C1070" s="269" t="inlineStr">
        <is>
          <t>29 - Ratio</t>
        </is>
      </c>
      <c r="D1070" s="236" t="inlineStr">
        <is>
          <t>29 - Ratio</t>
        </is>
      </c>
      <c r="E1070" s="307" t="inlineStr">
        <is>
          <t>P2 22.49</t>
        </is>
      </c>
      <c r="F1070" s="308" t="inlineStr">
        <is>
          <t>Loan-to-income ratio (LTI) local à l'octroi</t>
        </is>
      </c>
      <c r="G1070" s="309" t="inlineStr">
        <is>
          <t>Local Loan-to-income ratio (LTI) ratio when loan granted</t>
        </is>
      </c>
      <c r="H1070" s="309" t="n"/>
      <c r="I1070" s="308" t="inlineStr">
        <is>
          <t>Montant du prêt accordé sur les revenus du client
Exprimé en %</t>
        </is>
      </c>
      <c r="J1070" s="309" t="inlineStr">
        <is>
          <t>Amount of loan divided by customer's income
Expressed as %</t>
        </is>
      </c>
      <c r="K1070" s="370" t="inlineStr">
        <is>
          <t>ND</t>
        </is>
      </c>
      <c r="L1070" s="371" t="inlineStr">
        <is>
          <t>ND</t>
        </is>
      </c>
      <c r="M1070" s="1420" t="inlineStr">
        <is>
          <t>cdLTIOct</t>
        </is>
      </c>
      <c r="N1070" s="231" t="inlineStr">
        <is>
          <t>Obligatoire sous conditions</t>
        </is>
      </c>
      <c r="O1070" s="236" t="inlineStr">
        <is>
          <t>Mandatory under conditions</t>
        </is>
      </c>
      <c r="P1070" s="269" t="inlineStr">
        <is>
          <t>NA</t>
        </is>
      </c>
      <c r="Q1070" s="269" t="inlineStr">
        <is>
          <t>NA</t>
        </is>
      </c>
      <c r="R1070" s="241" t="inlineStr">
        <is>
          <t>Si prêt immobilier résidentiel (bien occupé ou donné en location par le propriétaire)</t>
        </is>
      </c>
      <c r="S1070" s="233" t="inlineStr">
        <is>
          <t>If residential real property loan (residential property occupied or rented by the owner)</t>
        </is>
      </c>
      <c r="T1070" s="313" t="inlineStr">
        <is>
          <t>NUM</t>
        </is>
      </c>
      <c r="U1070" s="237" t="inlineStr">
        <is>
          <t>10 dont signe et 5 décimales</t>
        </is>
      </c>
      <c r="V1070" s="238" t="inlineStr">
        <is>
          <t>10 including sign and 5 decimals</t>
        </is>
      </c>
      <c r="W1070" s="257" t="n">
        <v>10</v>
      </c>
      <c r="X1070" s="945" t="inlineStr">
        <is>
          <t>NA</t>
        </is>
      </c>
      <c r="Y1070" s="237" t="n">
        <v>41</v>
      </c>
      <c r="Z1070" s="237" t="inlineStr">
        <is>
          <t>NA</t>
        </is>
      </c>
      <c r="AA1070" s="283" t="inlineStr">
        <is>
          <t>NA</t>
        </is>
      </c>
      <c r="AB1070" s="269" t="inlineStr">
        <is>
          <t>OCTROI DE CREDIT</t>
        </is>
      </c>
      <c r="AC1070" s="231" t="inlineStr">
        <is>
          <t>ND</t>
        </is>
      </c>
      <c r="AD1070" s="257" t="inlineStr">
        <is>
          <t>N</t>
        </is>
      </c>
      <c r="AE1070" s="257" t="inlineStr">
        <is>
          <t>NA</t>
        </is>
      </c>
      <c r="AF1070" s="257" t="inlineStr">
        <is>
          <t>NA</t>
        </is>
      </c>
      <c r="AG1070" s="258" t="inlineStr">
        <is>
          <t>NA</t>
        </is>
      </c>
      <c r="AH1070" s="89" t="n"/>
      <c r="AI1070" s="487" t="inlineStr">
        <is>
          <t>La donnée est obligatoire, si le type de risque [P2 2.0] = 'TRExx' (hors 'TRE203, TRE205, TRE206, TRE207'), 'SIGxx' ET si l'Usage du bien immobilier financé [P2 8.13] ='2'</t>
        </is>
      </c>
      <c r="AJ1070" s="317" t="inlineStr">
        <is>
          <t>The data is mandatory, if the Risk type [P2 2.0] = 'TRExx' (except 'TRE203, TRE205, TRE206, TRE207'), 'SIGxx' AND if Use of financed property [P2 8.13] ='2'</t>
        </is>
      </c>
      <c r="AK1070" s="257" t="n">
        <v>5</v>
      </c>
      <c r="AL1070" s="335" t="inlineStr">
        <is>
          <t>TPS1744</t>
        </is>
      </c>
      <c r="AM1070" s="318" t="n"/>
      <c r="AN1070" s="317" t="n"/>
      <c r="AO1070" s="257" t="n"/>
      <c r="AP1070" s="258" t="n"/>
      <c r="AQ1070" s="322" t="inlineStr">
        <is>
          <t>Si renseignée, la donnée doit être positive (supérieure ou égale à 0)</t>
        </is>
      </c>
      <c r="AR1070" s="317" t="inlineStr">
        <is>
          <t xml:space="preserve">If filled, data must be positive (greater or equal to 0) </t>
        </is>
      </c>
      <c r="AS1070" s="257" t="n">
        <v>7</v>
      </c>
      <c r="AT1070" s="345" t="inlineStr">
        <is>
          <t>TVG0001</t>
        </is>
      </c>
      <c r="AU1070" s="318" t="n"/>
      <c r="AV1070" s="317" t="n"/>
      <c r="AW1070" s="257" t="n"/>
      <c r="AX1070" s="258" t="n"/>
      <c r="AY1070" s="318" t="n"/>
      <c r="AZ1070" s="317" t="n"/>
      <c r="BA1070" s="257" t="n"/>
      <c r="BB1070" s="258" t="n"/>
      <c r="BC1070" s="316" t="n"/>
      <c r="BD1070" s="317" t="n"/>
      <c r="BE1070" s="257" t="n"/>
      <c r="BF1070" s="258" t="n"/>
      <c r="BG1070" s="89" t="n"/>
      <c r="BH10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70">
        <f>_xlfn.LET(r,ROW(),oc,INDEX($A:$A,r),cv,TRIM(INDEX($Y:$Y,r)&amp;""),IF(oc&lt;&gt;"P1","",IF(cv="45","V45 - novo, nao alimentado pelo spool atual","V44 - alimentado pelo spool atual")))</f>
        <v/>
      </c>
    </row>
    <row r="1071" ht="54" customFormat="1" customHeight="1" s="90">
      <c r="A1071" s="306" t="inlineStr">
        <is>
          <t>P2</t>
        </is>
      </c>
      <c r="B1071" s="307" t="n">
        <v>174</v>
      </c>
      <c r="C1071" s="269" t="inlineStr">
        <is>
          <t>29 - Ratio</t>
        </is>
      </c>
      <c r="D1071" s="236" t="inlineStr">
        <is>
          <t>29 - Ratio</t>
        </is>
      </c>
      <c r="E1071" s="307" t="inlineStr">
        <is>
          <t>P2 22.50</t>
        </is>
      </c>
      <c r="F1071" s="308" t="inlineStr">
        <is>
          <t>Loan-to-income ratio (LTI) local revalorisé</t>
        </is>
      </c>
      <c r="G1071" s="309" t="inlineStr">
        <is>
          <t>Re-evaluated local Loan-to-income ratio (LTI) ratio</t>
        </is>
      </c>
      <c r="H1071" s="309" t="n"/>
      <c r="I1071" s="308" t="inlineStr">
        <is>
          <t>Loan-to-income ratio (LTI) local revalorisé
Exprimé en %</t>
        </is>
      </c>
      <c r="J1071" s="309" t="inlineStr">
        <is>
          <t>Re-evaluated local Loan-to-income ratio (LTI) ratio
Expressed as %</t>
        </is>
      </c>
      <c r="K1071" s="370" t="inlineStr">
        <is>
          <t>ND</t>
        </is>
      </c>
      <c r="L1071" s="371" t="inlineStr">
        <is>
          <t>ND</t>
        </is>
      </c>
      <c r="M1071" s="1420" t="inlineStr">
        <is>
          <t>cdLTILocalRev</t>
        </is>
      </c>
      <c r="N1071" s="231" t="inlineStr">
        <is>
          <t>Facultatif</t>
        </is>
      </c>
      <c r="O1071" s="236" t="inlineStr">
        <is>
          <t>Optional</t>
        </is>
      </c>
      <c r="P1071" s="269" t="inlineStr">
        <is>
          <t>NA</t>
        </is>
      </c>
      <c r="Q1071" s="269" t="inlineStr">
        <is>
          <t>NA</t>
        </is>
      </c>
      <c r="R1071" s="241" t="inlineStr">
        <is>
          <t>NA</t>
        </is>
      </c>
      <c r="S1071" s="233" t="inlineStr">
        <is>
          <t>NA</t>
        </is>
      </c>
      <c r="T1071" s="313" t="inlineStr">
        <is>
          <t>NUM</t>
        </is>
      </c>
      <c r="U1071" s="237" t="inlineStr">
        <is>
          <t>10 dont signe et 5 décimales</t>
        </is>
      </c>
      <c r="V1071" s="238" t="inlineStr">
        <is>
          <t>10 including sign and 5 decimals</t>
        </is>
      </c>
      <c r="W1071" s="257" t="n">
        <v>10</v>
      </c>
      <c r="X1071" s="945" t="inlineStr">
        <is>
          <t>NA</t>
        </is>
      </c>
      <c r="Y1071" s="237" t="n">
        <v>41</v>
      </c>
      <c r="Z1071" s="237" t="inlineStr">
        <is>
          <t>NA</t>
        </is>
      </c>
      <c r="AA1071" s="237" t="inlineStr">
        <is>
          <t>NA</t>
        </is>
      </c>
      <c r="AB1071" s="269" t="inlineStr">
        <is>
          <t>OCTROI DE CREDIT</t>
        </is>
      </c>
      <c r="AC1071" s="231" t="inlineStr">
        <is>
          <t>ND</t>
        </is>
      </c>
      <c r="AD1071" s="257" t="inlineStr">
        <is>
          <t>N</t>
        </is>
      </c>
      <c r="AE1071" s="257" t="inlineStr">
        <is>
          <t>NA</t>
        </is>
      </c>
      <c r="AF1071" s="257" t="inlineStr">
        <is>
          <t>NA</t>
        </is>
      </c>
      <c r="AG1071" s="258" t="inlineStr">
        <is>
          <t>NA</t>
        </is>
      </c>
      <c r="AH1071" s="89" t="n"/>
      <c r="AI1071" s="316" t="n"/>
      <c r="AJ1071" s="317" t="n"/>
      <c r="AK1071" s="257" t="n"/>
      <c r="AL1071" s="258" t="n"/>
      <c r="AM1071" s="318" t="n"/>
      <c r="AN1071" s="317" t="n"/>
      <c r="AO1071" s="257" t="n"/>
      <c r="AP1071" s="258" t="n"/>
      <c r="AQ1071" s="322" t="inlineStr">
        <is>
          <t>Si renseignée, la donnée doit être positive (supérieure ou égale à 0)</t>
        </is>
      </c>
      <c r="AR1071" s="317" t="inlineStr">
        <is>
          <t xml:space="preserve">If filled, data must be positive (greater or equal to 0) </t>
        </is>
      </c>
      <c r="AS1071" s="257" t="n">
        <v>7</v>
      </c>
      <c r="AT1071" s="345" t="inlineStr">
        <is>
          <t>TVG0001</t>
        </is>
      </c>
      <c r="AU1071" s="318" t="n"/>
      <c r="AV1071" s="317" t="n"/>
      <c r="AW1071" s="257" t="n"/>
      <c r="AX1071" s="258" t="n"/>
      <c r="AY1071" s="318" t="n"/>
      <c r="AZ1071" s="317" t="n"/>
      <c r="BA1071" s="257" t="n"/>
      <c r="BB1071" s="258" t="n"/>
      <c r="BC1071" s="316" t="n"/>
      <c r="BD1071" s="317" t="n"/>
      <c r="BE1071" s="257" t="n"/>
      <c r="BF1071" s="258" t="n"/>
      <c r="BG1071" s="89" t="n"/>
      <c r="BH10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71">
        <f>_xlfn.LET(r,ROW(),oc,INDEX($A:$A,r),cv,TRIM(INDEX($Y:$Y,r)&amp;""),IF(oc&lt;&gt;"P1","",IF(cv="45","V45 - novo, nao alimentado pelo spool atual","V44 - alimentado pelo spool atual")))</f>
        <v/>
      </c>
    </row>
    <row r="1072" ht="54" customFormat="1" customHeight="1" s="90">
      <c r="A1072" s="306" t="inlineStr">
        <is>
          <t>P2</t>
        </is>
      </c>
      <c r="B1072" s="307" t="n">
        <v>175</v>
      </c>
      <c r="C1072" s="269" t="inlineStr">
        <is>
          <t>23 - Caractéristiques palier</t>
        </is>
      </c>
      <c r="D1072" s="236" t="inlineStr">
        <is>
          <t>23 - Stage characteristics</t>
        </is>
      </c>
      <c r="E1072" s="307" t="inlineStr">
        <is>
          <t>P2 22.58</t>
        </is>
      </c>
      <c r="F1072" s="375" t="inlineStr">
        <is>
          <t xml:space="preserve">Date de début de palier </t>
        </is>
      </c>
      <c r="G1072" s="309" t="inlineStr">
        <is>
          <t>Start date of the stage</t>
        </is>
      </c>
      <c r="H1072" s="309" t="n"/>
      <c r="I1072" s="278" t="inlineStr">
        <is>
          <t>Date à partir de laquelle les caractéristiques du palier sont appliquées</t>
        </is>
      </c>
      <c r="J1072" s="160" t="inlineStr">
        <is>
          <t>Date from which the characteristics of the stage are applied</t>
        </is>
      </c>
      <c r="K1072" s="370" t="inlineStr">
        <is>
          <t>ND</t>
        </is>
      </c>
      <c r="L1072" s="371" t="inlineStr">
        <is>
          <t>ND</t>
        </is>
      </c>
      <c r="M1072" s="1420" t="inlineStr">
        <is>
          <t>dtDebPalier</t>
        </is>
      </c>
      <c r="N1072" s="231" t="inlineStr">
        <is>
          <t>Obligatoire sous conditions</t>
        </is>
      </c>
      <c r="O1072" s="236" t="inlineStr">
        <is>
          <t>Mandatory under conditions</t>
        </is>
      </c>
      <c r="P1072" s="269" t="inlineStr">
        <is>
          <t>NA</t>
        </is>
      </c>
      <c r="Q1072" s="269" t="inlineStr">
        <is>
          <t>NA</t>
        </is>
      </c>
      <c r="R1072" s="241" t="inlineStr">
        <is>
          <t>NA</t>
        </is>
      </c>
      <c r="S1072" s="233" t="inlineStr">
        <is>
          <t>NA</t>
        </is>
      </c>
      <c r="T1072" s="206" t="inlineStr">
        <is>
          <t>DATE</t>
        </is>
      </c>
      <c r="U1072" s="237" t="inlineStr">
        <is>
          <t>AAAAMMJJ</t>
        </is>
      </c>
      <c r="V1072" s="238" t="inlineStr">
        <is>
          <t>YYYYMMDD</t>
        </is>
      </c>
      <c r="W1072" s="257" t="n">
        <v>8</v>
      </c>
      <c r="X1072" s="945" t="inlineStr">
        <is>
          <t>NA</t>
        </is>
      </c>
      <c r="Y1072" s="237" t="n">
        <v>41</v>
      </c>
      <c r="Z1072" s="237" t="inlineStr">
        <is>
          <t>NA</t>
        </is>
      </c>
      <c r="AA1072" s="237" t="inlineStr">
        <is>
          <t>NA</t>
        </is>
      </c>
      <c r="AB1072" s="269" t="inlineStr">
        <is>
          <t>ANACREDIT, OMP, PALMA</t>
        </is>
      </c>
      <c r="AC1072" s="231" t="inlineStr">
        <is>
          <t>ND</t>
        </is>
      </c>
      <c r="AD1072" s="257" t="inlineStr">
        <is>
          <t>N</t>
        </is>
      </c>
      <c r="AE1072" s="257" t="inlineStr">
        <is>
          <t>NA</t>
        </is>
      </c>
      <c r="AF1072" s="257" t="inlineStr">
        <is>
          <t>NA</t>
        </is>
      </c>
      <c r="AG1072" s="258" t="inlineStr">
        <is>
          <t>NA</t>
        </is>
      </c>
      <c r="AH1072" s="89" t="n"/>
      <c r="AI1072" s="316" t="inlineStr">
        <is>
          <t>La donnée est obligatoire si le type de risque [P2 2.0] = (TRE2xx, TRE3xx, TRE4xx, TRE5xx hors (TRE203, TRE205, TRE206, TRE207), SIGxxx) ET que l'indicateur produit échéancé [P2 22.56] = 'ECH' ET que l'indicateur échéancier fourni [P2 22.12] = 'N' ET que l'indicateur objet métier palier fourni [P2 22.57] = 'N' ou vide</t>
        </is>
      </c>
      <c r="AJ1072" s="317" t="inlineStr">
        <is>
          <t>The data is mandatory if Risk type [P2 2.0] = (TRE2xx, TRE3xx, TRE4xx, TRE5xx except (TRE203, TRE205, TRE206, TRE207), SIGxxx) AND the indicator product schedule [P2 22.56] = 'ECH' AND the repayment schedule provided indicator [P2 22.12] = 'N' AND the indicator of business object stage provided [P2 22.57] = 'N' or empty</t>
        </is>
      </c>
      <c r="AK1072" s="257" t="n">
        <v>5</v>
      </c>
      <c r="AL1072" s="816" t="inlineStr">
        <is>
          <t>TPS1736</t>
        </is>
      </c>
      <c r="AM1072" s="318" t="n"/>
      <c r="AN1072" s="317" t="n"/>
      <c r="AO1072" s="257" t="n"/>
      <c r="AP1072" s="258" t="n"/>
      <c r="AQ1072" s="318" t="inlineStr">
        <is>
          <t>Si renseignée, la donnée doit être supérieure ou égale à '19000101'</t>
        </is>
      </c>
      <c r="AR1072" s="317" t="inlineStr">
        <is>
          <t>If filled, data must be greater or equal to '19000101'</t>
        </is>
      </c>
      <c r="AS1072" s="257" t="n">
        <v>7</v>
      </c>
      <c r="AT1072" s="258" t="inlineStr">
        <is>
          <t>TVG0005</t>
        </is>
      </c>
      <c r="AU1072" s="318" t="inlineStr">
        <is>
          <t>Si renseignée, la Date de début de palier [P2 22.58] doit être comprise entre la date de début de l'engagement [P2 3.2] et la date de fin de l'engagement [P2 3.4]</t>
        </is>
      </c>
      <c r="AV1072" s="317" t="inlineStr">
        <is>
          <t>If filled, the Start date of the stage [P2 22.58] must be between the start date of commitment [P2 3.2] and the end date of commitment [P2 3.4]</t>
        </is>
      </c>
      <c r="AW1072" s="257" t="n">
        <v>6</v>
      </c>
      <c r="AX1072" s="345" t="inlineStr">
        <is>
          <t>TCS0756</t>
        </is>
      </c>
      <c r="AY1072" s="318" t="n"/>
      <c r="AZ1072" s="317" t="n"/>
      <c r="BA1072" s="257" t="n"/>
      <c r="BB1072" s="258" t="n"/>
      <c r="BC1072" s="316" t="n"/>
      <c r="BD1072" s="317" t="n"/>
      <c r="BE1072" s="257" t="n"/>
      <c r="BF1072" s="258" t="n"/>
      <c r="BG1072" s="89" t="n"/>
      <c r="BH10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72">
        <f>_xlfn.LET(r,ROW(),oc,INDEX($A:$A,r),cv,TRIM(INDEX($Y:$Y,r)&amp;""),IF(oc&lt;&gt;"P1","",IF(cv="45","V45 - novo, nao alimentado pelo spool atual","V44 - alimentado pelo spool atual")))</f>
        <v/>
      </c>
    </row>
    <row r="1073" ht="54" customFormat="1" customHeight="1" s="90">
      <c r="A1073" s="306" t="inlineStr">
        <is>
          <t>P2</t>
        </is>
      </c>
      <c r="B1073" s="307" t="n">
        <v>176</v>
      </c>
      <c r="C1073" s="269" t="inlineStr">
        <is>
          <t>23 - Caractéristiques palier</t>
        </is>
      </c>
      <c r="D1073" s="236" t="inlineStr">
        <is>
          <t>23 - Stage characteristics</t>
        </is>
      </c>
      <c r="E1073" s="307" t="inlineStr">
        <is>
          <t>P2 22.59</t>
        </is>
      </c>
      <c r="F1073" s="375" t="inlineStr">
        <is>
          <t>Date de fin de palier</t>
        </is>
      </c>
      <c r="G1073" s="309" t="inlineStr">
        <is>
          <t>End date of stage</t>
        </is>
      </c>
      <c r="H1073" s="309" t="n"/>
      <c r="I1073" s="241" t="inlineStr">
        <is>
          <t>Correspond à la date d'échéance pour les prêts ayant un seul tableau d'amortissement à date</t>
        </is>
      </c>
      <c r="J1073" s="309" t="inlineStr">
        <is>
          <t>Maturity date for loans with a single date of amortization schedule</t>
        </is>
      </c>
      <c r="K1073" s="370" t="inlineStr">
        <is>
          <t>ND</t>
        </is>
      </c>
      <c r="L1073" s="371" t="inlineStr">
        <is>
          <t>ND</t>
        </is>
      </c>
      <c r="M1073" s="1420" t="inlineStr">
        <is>
          <t>dtFinPalier</t>
        </is>
      </c>
      <c r="N1073" s="231" t="inlineStr">
        <is>
          <t>Obligatoire sous conditions</t>
        </is>
      </c>
      <c r="O1073" s="236" t="inlineStr">
        <is>
          <t>Mandatory under conditions</t>
        </is>
      </c>
      <c r="P1073" s="269" t="inlineStr">
        <is>
          <t>NA</t>
        </is>
      </c>
      <c r="Q1073" s="269" t="inlineStr">
        <is>
          <t>NA</t>
        </is>
      </c>
      <c r="R1073" s="241" t="inlineStr">
        <is>
          <t>NA</t>
        </is>
      </c>
      <c r="S1073" s="233" t="inlineStr">
        <is>
          <t>NA</t>
        </is>
      </c>
      <c r="T1073" s="206" t="inlineStr">
        <is>
          <t>DATE</t>
        </is>
      </c>
      <c r="U1073" s="237" t="inlineStr">
        <is>
          <t>AAAAMMJJ</t>
        </is>
      </c>
      <c r="V1073" s="238" t="inlineStr">
        <is>
          <t>YYYYMMDD</t>
        </is>
      </c>
      <c r="W1073" s="257" t="n">
        <v>8</v>
      </c>
      <c r="X1073" s="945" t="inlineStr">
        <is>
          <t>NA</t>
        </is>
      </c>
      <c r="Y1073" s="237" t="n">
        <v>41</v>
      </c>
      <c r="Z1073" s="237" t="inlineStr">
        <is>
          <t>NA</t>
        </is>
      </c>
      <c r="AA1073" s="237" t="inlineStr">
        <is>
          <t>NA</t>
        </is>
      </c>
      <c r="AB1073" s="269" t="inlineStr">
        <is>
          <t>ANACREDIT, OMP, PALMA</t>
        </is>
      </c>
      <c r="AC1073" s="231" t="inlineStr">
        <is>
          <t>ND</t>
        </is>
      </c>
      <c r="AD1073" s="257" t="inlineStr">
        <is>
          <t>N</t>
        </is>
      </c>
      <c r="AE1073" s="257" t="inlineStr">
        <is>
          <t>NA</t>
        </is>
      </c>
      <c r="AF1073" s="257" t="inlineStr">
        <is>
          <t>NA</t>
        </is>
      </c>
      <c r="AG1073" s="258" t="inlineStr">
        <is>
          <t>NA</t>
        </is>
      </c>
      <c r="AH1073" s="89" t="n"/>
      <c r="AI1073" s="316" t="inlineStr">
        <is>
          <t>La donnée est obligatoire si le type de risque [P2 2.0] = (TRE2xx, TRE3xx, TRE4xx, TRE5xx hors (TRE203, TRE205, TRE206, TRE207), SIGxxx) ET que l'indicateur produit échéancé [P2 22.56] = 'ECH' ET que l'indicateur échéancier fourni [P2 22.12] = 'N' ET que l'indicateur objet métier palier fourni [P2 22.57] = 'N' ou vide</t>
        </is>
      </c>
      <c r="AJ1073" s="317" t="inlineStr">
        <is>
          <t>The data is mandatory if Risk type [P2 2.0] = (TRE2xx, TRE3xx, TRE4xx, TRE5xx except (TRE203, TRE205, TRE206, TRE207), SIGxxx) AND the indicator product schedule [P2 22.56] = 'ECH' AND the repayment schedule provided indicator [P2 22.12] = 'N' AND the indicator of business object stage provided [P2 22.57] = 'N' or empty</t>
        </is>
      </c>
      <c r="AK1073" s="257" t="n">
        <v>5</v>
      </c>
      <c r="AL1073" s="816" t="inlineStr">
        <is>
          <t>TPS1736</t>
        </is>
      </c>
      <c r="AM1073" s="318" t="n"/>
      <c r="AN1073" s="317" t="n"/>
      <c r="AO1073" s="257" t="n"/>
      <c r="AP1073" s="258" t="n"/>
      <c r="AQ1073" s="318" t="n"/>
      <c r="AR1073" s="317" t="n"/>
      <c r="AS1073" s="257" t="n"/>
      <c r="AT1073" s="258" t="n"/>
      <c r="AU1073" s="620" t="inlineStr">
        <is>
          <t>Si la date de début de palier [P2 22.58] est renseignée et si la date de fin de palier [P2 22.59] est renseignée, alors la date de fin de palier [P2 22.59] doit être supérieure ou égale à la date de début de palier [P2 22.58] et inférieure ou égale à la date de fin de l'engagement [P2 3.4]</t>
        </is>
      </c>
      <c r="AV1073" s="317" t="inlineStr">
        <is>
          <t>If the start date of the stage [P2 22.58] is filled and the end date of the stage [P2 22.59] is filled, then the end date of the stage [P2 22.59] must be greater than or equal to the start date of the stage [P2 22.58] and lower or equal to the end date of commitment [P2 3.4]</t>
        </is>
      </c>
      <c r="AW1073" s="257" t="n">
        <v>6</v>
      </c>
      <c r="AX1073" s="554" t="inlineStr">
        <is>
          <t>TCS0757</t>
        </is>
      </c>
      <c r="AY1073" s="318" t="n"/>
      <c r="AZ1073" s="317" t="n"/>
      <c r="BA1073" s="257" t="n"/>
      <c r="BB1073" s="258" t="n"/>
      <c r="BC1073" s="316" t="n"/>
      <c r="BD1073" s="317" t="n"/>
      <c r="BE1073" s="257" t="n"/>
      <c r="BF1073" s="258" t="n"/>
      <c r="BG1073" s="89" t="n"/>
      <c r="BH10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73">
        <f>_xlfn.LET(r,ROW(),oc,INDEX($A:$A,r),cv,TRIM(INDEX($Y:$Y,r)&amp;""),IF(oc&lt;&gt;"P1","",IF(cv="45","V45 - novo, nao alimentado pelo spool atual","V44 - alimentado pelo spool atual")))</f>
        <v/>
      </c>
    </row>
    <row r="1074" ht="54" customFormat="1" customHeight="1" s="90">
      <c r="A1074" s="306" t="inlineStr">
        <is>
          <t>P2</t>
        </is>
      </c>
      <c r="B1074" s="307" t="n">
        <v>177</v>
      </c>
      <c r="C1074" s="269" t="inlineStr">
        <is>
          <t>06 - Caractéristiques échéancier</t>
        </is>
      </c>
      <c r="D1074" s="236" t="inlineStr">
        <is>
          <t>06 - Schedule characteristics</t>
        </is>
      </c>
      <c r="E1074" s="307" t="inlineStr">
        <is>
          <t>P2 22.60</t>
        </is>
      </c>
      <c r="F1074" s="375" t="inlineStr">
        <is>
          <t>Montant de l'échéance en cours</t>
        </is>
      </c>
      <c r="G1074" s="309" t="inlineStr">
        <is>
          <t>Current due date amount</t>
        </is>
      </c>
      <c r="H1074" s="309" t="n"/>
      <c r="I1074" s="375" t="inlineStr">
        <is>
          <t>Montant de l'échéance en cours</t>
        </is>
      </c>
      <c r="J1074" s="309" t="inlineStr">
        <is>
          <t>Current due date amount</t>
        </is>
      </c>
      <c r="K1074" s="370" t="inlineStr">
        <is>
          <t>ND</t>
        </is>
      </c>
      <c r="L1074" s="371" t="inlineStr">
        <is>
          <t>ND</t>
        </is>
      </c>
      <c r="M1074" s="1420" t="inlineStr">
        <is>
          <t>mtEchEnc</t>
        </is>
      </c>
      <c r="N1074" s="231" t="inlineStr">
        <is>
          <t>Obligatoire sous conditions</t>
        </is>
      </c>
      <c r="O1074" s="236" t="inlineStr">
        <is>
          <t>Mandatory under conditions</t>
        </is>
      </c>
      <c r="P1074" s="269" t="inlineStr">
        <is>
          <t>NA</t>
        </is>
      </c>
      <c r="Q1074" s="269" t="inlineStr">
        <is>
          <t>NA</t>
        </is>
      </c>
      <c r="R1074" s="241" t="inlineStr">
        <is>
          <t>Montant de l'échéance (capital + intérêts) dans le cas d'un amortissement à montant constant</t>
        </is>
      </c>
      <c r="S1074" s="233" t="inlineStr">
        <is>
          <t>Current due date amount (principal + interest) in the case of a constant amount amortisation</t>
        </is>
      </c>
      <c r="T1074" s="313" t="inlineStr">
        <is>
          <t>NUM</t>
        </is>
      </c>
      <c r="U1074" s="237" t="inlineStr">
        <is>
          <t>19 dont signe et 2 décimales</t>
        </is>
      </c>
      <c r="V1074" s="238" t="inlineStr">
        <is>
          <t>19 including sign and 2 decimals</t>
        </is>
      </c>
      <c r="W1074" s="257" t="n">
        <v>19</v>
      </c>
      <c r="X1074" s="945" t="inlineStr">
        <is>
          <t>NA</t>
        </is>
      </c>
      <c r="Y1074" s="237" t="n">
        <v>41</v>
      </c>
      <c r="Z1074" s="237" t="inlineStr">
        <is>
          <t>NA</t>
        </is>
      </c>
      <c r="AA1074" s="237" t="inlineStr">
        <is>
          <t>NA</t>
        </is>
      </c>
      <c r="AB1074" s="269" t="inlineStr">
        <is>
          <t>ANACREDIT, OMP, PALMA</t>
        </is>
      </c>
      <c r="AC1074" s="231" t="inlineStr">
        <is>
          <t>ND</t>
        </is>
      </c>
      <c r="AD1074" s="257" t="inlineStr">
        <is>
          <t>N</t>
        </is>
      </c>
      <c r="AE1074" s="257" t="inlineStr">
        <is>
          <t>NA</t>
        </is>
      </c>
      <c r="AF1074" s="257" t="inlineStr">
        <is>
          <t>NA</t>
        </is>
      </c>
      <c r="AG1074" s="258" t="inlineStr">
        <is>
          <t>NA</t>
        </is>
      </c>
      <c r="AH1074" s="89" t="n"/>
      <c r="AI1074" s="316" t="inlineStr">
        <is>
          <t>La donnée est obligatoire si le type de risque [P2 2.0] = (TRE2xx, TRE3xx, TRE4xx, TRE5xx hors (TRE203, TRE205, TRE206, TRE207), SIGxxx) ET que l'indicateur produit échéancé [P2 22.56] = 'ECH' ET que l'indicateur échéancier fourni [P2 22.12] = 'N' ET que l'indicateur objet métier palier fourni [P2 22.57] = 'N' ou vide</t>
        </is>
      </c>
      <c r="AJ1074" s="317" t="inlineStr">
        <is>
          <t>The data is mandatory if Risk type [P2 2.0] = (TRE2xx, TRE3xx, TRE4xx, TRE5xx except (TRE203, TRE205, TRE206, TRE207), SIGxxx) AND the indicator product schedule [P2 22.56] = 'ECH' AND the repayment schedule provided indicator [P2 22.12] = 'N' AND the indicator of business object stage provided [P2 22.57] = 'N' or empty</t>
        </is>
      </c>
      <c r="AK1074" s="257" t="n">
        <v>6</v>
      </c>
      <c r="AL1074" s="816" t="inlineStr">
        <is>
          <t>TPS1736</t>
        </is>
      </c>
      <c r="AM1074" s="318" t="n"/>
      <c r="AN1074" s="317" t="n"/>
      <c r="AO1074" s="257" t="n"/>
      <c r="AP1074" s="258" t="n"/>
      <c r="AQ1074" s="322" t="inlineStr">
        <is>
          <t>Si renseignée, la donnée doit être positive (supérieure ou égale à 0)</t>
        </is>
      </c>
      <c r="AR1074" s="317" t="inlineStr">
        <is>
          <t xml:space="preserve">If filled, data must be positive (greater or equal to 0) </t>
        </is>
      </c>
      <c r="AS1074" s="257" t="n">
        <v>7</v>
      </c>
      <c r="AT1074" s="345" t="inlineStr">
        <is>
          <t>TVG0001</t>
        </is>
      </c>
      <c r="AU1074" s="318" t="n"/>
      <c r="AV1074" s="317" t="n"/>
      <c r="AW1074" s="257" t="n"/>
      <c r="AX1074" s="258" t="n"/>
      <c r="AY1074" s="318" t="n"/>
      <c r="AZ1074" s="317" t="n"/>
      <c r="BA1074" s="257" t="n"/>
      <c r="BB1074" s="258" t="n"/>
      <c r="BC1074" s="316" t="n"/>
      <c r="BD1074" s="317" t="n"/>
      <c r="BE1074" s="257" t="n"/>
      <c r="BF1074" s="258" t="n"/>
      <c r="BG1074" s="89" t="n"/>
      <c r="BH10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74">
        <f>_xlfn.LET(r,ROW(),oc,INDEX($A:$A,r),cv,TRIM(INDEX($Y:$Y,r)&amp;""),IF(oc&lt;&gt;"P1","",IF(cv="45","V45 - novo, nao alimentado pelo spool atual","V44 - alimentado pelo spool atual")))</f>
        <v/>
      </c>
    </row>
    <row r="1075" ht="54" customFormat="1" customHeight="1" s="90">
      <c r="A1075" s="306" t="inlineStr">
        <is>
          <t>P2</t>
        </is>
      </c>
      <c r="B1075" s="307" t="n">
        <v>178</v>
      </c>
      <c r="C1075" s="269" t="inlineStr">
        <is>
          <t>06 - Caractéristiques échéancier</t>
        </is>
      </c>
      <c r="D1075" s="236" t="inlineStr">
        <is>
          <t>06 - Schedule characteristics</t>
        </is>
      </c>
      <c r="E1075" s="307" t="inlineStr">
        <is>
          <t>P2 22.61</t>
        </is>
      </c>
      <c r="F1075" s="375" t="inlineStr">
        <is>
          <t>Devise du montant de l'échéance en cours</t>
        </is>
      </c>
      <c r="G1075" s="309" t="inlineStr">
        <is>
          <t>Currency of current due date amount</t>
        </is>
      </c>
      <c r="H1075" s="309" t="n"/>
      <c r="I1075" s="375" t="inlineStr">
        <is>
          <t>Devise du montant de l'échéance en cours</t>
        </is>
      </c>
      <c r="J1075" s="309" t="inlineStr">
        <is>
          <t>Currency of current due date amount</t>
        </is>
      </c>
      <c r="K1075" s="370" t="inlineStr">
        <is>
          <t>ND</t>
        </is>
      </c>
      <c r="L1075" s="371" t="inlineStr">
        <is>
          <t>ND</t>
        </is>
      </c>
      <c r="M1075" s="1420" t="inlineStr">
        <is>
          <t>cdDevEchEnc</t>
        </is>
      </c>
      <c r="N1075" s="231" t="inlineStr">
        <is>
          <t>Obligatoire sous conditions</t>
        </is>
      </c>
      <c r="O1075" s="236" t="inlineStr">
        <is>
          <t>Mandatory under conditions</t>
        </is>
      </c>
      <c r="P1075" s="269" t="inlineStr">
        <is>
          <t>LC.0005</t>
        </is>
      </c>
      <c r="Q1075" s="269" t="inlineStr">
        <is>
          <t>TA NM253</t>
        </is>
      </c>
      <c r="R1075" s="241" t="inlineStr">
        <is>
          <t>NA</t>
        </is>
      </c>
      <c r="S1075" s="233" t="inlineStr">
        <is>
          <t>NA</t>
        </is>
      </c>
      <c r="T1075" s="313" t="inlineStr">
        <is>
          <t>ALPHA</t>
        </is>
      </c>
      <c r="U1075" s="237" t="inlineStr">
        <is>
          <t>NA</t>
        </is>
      </c>
      <c r="V1075" s="238" t="inlineStr">
        <is>
          <t>NA</t>
        </is>
      </c>
      <c r="W1075" s="257" t="n">
        <v>3</v>
      </c>
      <c r="X1075" s="945" t="inlineStr">
        <is>
          <t>NA</t>
        </is>
      </c>
      <c r="Y1075" s="237" t="n">
        <v>41</v>
      </c>
      <c r="Z1075" s="237" t="inlineStr">
        <is>
          <t>NA</t>
        </is>
      </c>
      <c r="AA1075" s="237" t="inlineStr">
        <is>
          <t>NA</t>
        </is>
      </c>
      <c r="AB1075" s="269" t="inlineStr">
        <is>
          <t>ANACREDIT, OMP, PALMA</t>
        </is>
      </c>
      <c r="AC1075" s="231" t="inlineStr">
        <is>
          <t>ND</t>
        </is>
      </c>
      <c r="AD1075" s="257" t="inlineStr">
        <is>
          <t>N</t>
        </is>
      </c>
      <c r="AE1075" s="257" t="inlineStr">
        <is>
          <t>NA</t>
        </is>
      </c>
      <c r="AF1075" s="257" t="inlineStr">
        <is>
          <t>NA</t>
        </is>
      </c>
      <c r="AG1075" s="258" t="inlineStr">
        <is>
          <t>NA</t>
        </is>
      </c>
      <c r="AH1075" s="89" t="n"/>
      <c r="AI1075" s="316" t="inlineStr">
        <is>
          <t>La donnée est obligatoire si le montant de l'échéance en cours [P2 22.60] est renseigné</t>
        </is>
      </c>
      <c r="AJ1075" s="317" t="inlineStr">
        <is>
          <t>The data is mandatory if current due date amount [P2 22.60] is filled</t>
        </is>
      </c>
      <c r="AK1075" s="257" t="n">
        <v>7</v>
      </c>
      <c r="AL1075" s="335" t="inlineStr">
        <is>
          <t>TPG0002</t>
        </is>
      </c>
      <c r="AM1075" s="318" t="inlineStr">
        <is>
          <t>Si elle est renseignée, la valeur doit être connue du Langage Commun associé</t>
        </is>
      </c>
      <c r="AN1075" s="317" t="inlineStr">
        <is>
          <t>If specified, the value must be known to the associated Common Language</t>
        </is>
      </c>
      <c r="AO1075" s="257" t="n">
        <v>7</v>
      </c>
      <c r="AP1075" s="212" t="inlineStr">
        <is>
          <t>TIG0001</t>
        </is>
      </c>
      <c r="AQ1075" s="318" t="n"/>
      <c r="AR1075" s="317" t="n"/>
      <c r="AS1075" s="257" t="n"/>
      <c r="AT1075" s="258" t="n"/>
      <c r="AU1075" s="318" t="n"/>
      <c r="AV1075" s="317" t="n"/>
      <c r="AW1075" s="257" t="n"/>
      <c r="AX1075" s="258" t="n"/>
      <c r="AY1075" s="318" t="n"/>
      <c r="AZ1075" s="317" t="n"/>
      <c r="BA1075" s="257" t="n"/>
      <c r="BB1075" s="258" t="n"/>
      <c r="BC1075" s="316" t="n"/>
      <c r="BD1075" s="317" t="n"/>
      <c r="BE1075" s="257" t="n"/>
      <c r="BF1075" s="258" t="n"/>
      <c r="BG1075" s="89" t="n"/>
      <c r="BH10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75">
        <f>_xlfn.LET(r,ROW(),oc,INDEX($A:$A,r),cv,TRIM(INDEX($Y:$Y,r)&amp;""),IF(oc&lt;&gt;"P1","",IF(cv="45","V45 - novo, nao alimentado pelo spool atual","V44 - alimentado pelo spool atual")))</f>
        <v/>
      </c>
    </row>
    <row r="1076" ht="54" customFormat="1" customHeight="1" s="90">
      <c r="A1076" s="306" t="inlineStr">
        <is>
          <t>P2</t>
        </is>
      </c>
      <c r="B1076" s="307" t="n">
        <v>179</v>
      </c>
      <c r="C1076" s="269" t="inlineStr">
        <is>
          <t>06 - Caractéristiques échéancier</t>
        </is>
      </c>
      <c r="D1076" s="236" t="inlineStr">
        <is>
          <t>06 - Schedule characteristics</t>
        </is>
      </c>
      <c r="E1076" s="307" t="inlineStr">
        <is>
          <t>P2 22.62</t>
        </is>
      </c>
      <c r="F1076" s="375" t="inlineStr">
        <is>
          <t>Indicateur pré / post fixé</t>
        </is>
      </c>
      <c r="G1076" s="309" t="inlineStr">
        <is>
          <t>Fixed pre / post indicator</t>
        </is>
      </c>
      <c r="H1076" s="309" t="n"/>
      <c r="I1076" s="278" t="inlineStr">
        <is>
          <t>Indique l'utilisation pré ou post fixé de l'index du palier</t>
        </is>
      </c>
      <c r="J1076" s="160" t="inlineStr">
        <is>
          <t>Indicates the use pre or post fixed of the index of the stage</t>
        </is>
      </c>
      <c r="K1076" s="370" t="inlineStr">
        <is>
          <t>ND</t>
        </is>
      </c>
      <c r="L1076" s="371" t="inlineStr">
        <is>
          <t>ND</t>
        </is>
      </c>
      <c r="M1076" s="1420" t="inlineStr">
        <is>
          <t>IndicPPFix</t>
        </is>
      </c>
      <c r="N1076" s="231" t="inlineStr">
        <is>
          <t>Obligatoire sous conditions</t>
        </is>
      </c>
      <c r="O1076" s="236" t="inlineStr">
        <is>
          <t>Mandatory under conditions</t>
        </is>
      </c>
      <c r="P1076" s="269" t="inlineStr">
        <is>
          <t>LC.0243</t>
        </is>
      </c>
      <c r="Q1076" s="269" t="inlineStr">
        <is>
          <t>TA XPINDPPF</t>
        </is>
      </c>
      <c r="R1076" s="278" t="inlineStr">
        <is>
          <t>Pré fixé : la valeur de l'index est connu en début de la période, post fixé : la valeur est connue en fin de période</t>
        </is>
      </c>
      <c r="S1076" s="591" t="inlineStr">
        <is>
          <t>Fixed pre, the index value is known at the beginning of the period; fixed post the value is known at the end of the period</t>
        </is>
      </c>
      <c r="T1076" s="313" t="inlineStr">
        <is>
          <t>ALPHA</t>
        </is>
      </c>
      <c r="U1076" s="237" t="inlineStr">
        <is>
          <t>NA</t>
        </is>
      </c>
      <c r="V1076" s="238" t="inlineStr">
        <is>
          <t>NA</t>
        </is>
      </c>
      <c r="W1076" s="257" t="n">
        <v>1</v>
      </c>
      <c r="X1076" s="945" t="inlineStr">
        <is>
          <t>NA</t>
        </is>
      </c>
      <c r="Y1076" s="237" t="n">
        <v>41</v>
      </c>
      <c r="Z1076" s="237" t="inlineStr">
        <is>
          <t>NA</t>
        </is>
      </c>
      <c r="AA1076" s="978" t="inlineStr">
        <is>
          <t>45.00</t>
        </is>
      </c>
      <c r="AB1076" s="932" t="inlineStr">
        <is>
          <t>ANACREDIT, LIQUIDITE, OMP, PALMA</t>
        </is>
      </c>
      <c r="AC1076" s="231" t="inlineStr">
        <is>
          <t>ND</t>
        </is>
      </c>
      <c r="AD1076" s="257" t="inlineStr">
        <is>
          <t>N</t>
        </is>
      </c>
      <c r="AE1076" s="257" t="inlineStr">
        <is>
          <t>NA</t>
        </is>
      </c>
      <c r="AF1076" s="257" t="inlineStr">
        <is>
          <t>NA</t>
        </is>
      </c>
      <c r="AG1076" s="258" t="inlineStr">
        <is>
          <t>NA</t>
        </is>
      </c>
      <c r="AH1076" s="89" t="n"/>
      <c r="AI1076" s="1233" t="inlineStr">
        <is>
          <t>La donnée est obligatoire si le type de risque [P2 2.0] = ('TRE2xx', 'TRE3xx', 'TRE4xx', 'TRE5xx' (hors 'TRE203', 'TRE205', 'TRE206', 'TRE207'), 'SIGxxx') ET si le type de taux [P2 22.14] = 'V' ou 'R'</t>
        </is>
      </c>
      <c r="AJ1076" s="931" t="inlineStr">
        <is>
          <t>The data is mandatory if Risk type [P2 2.0] = ('TRE2xx', 'TRE3xx', 'TRE4xx', 'TRE5xx' (except 'TRE203', 'TRE205', 'TRE206', 'TRE207'), 'SIGxxx') AND if the type of interest rate [P2 22.14] = 'V' or 'R'</t>
        </is>
      </c>
      <c r="AK1076" s="958" t="n">
        <v>6</v>
      </c>
      <c r="AL1076" s="1234" t="inlineStr">
        <is>
          <t>TPSXXX (ex-TPS1735)</t>
        </is>
      </c>
      <c r="AM1076" s="318" t="inlineStr">
        <is>
          <t>Si elle est renseignée, la valeur doit être connue du Langage Commun associé</t>
        </is>
      </c>
      <c r="AN1076" s="317" t="inlineStr">
        <is>
          <t>If specified, the value must be known to the associated Common Language</t>
        </is>
      </c>
      <c r="AO1076" s="257" t="n">
        <v>7</v>
      </c>
      <c r="AP1076" s="212" t="inlineStr">
        <is>
          <t>TIG0001</t>
        </is>
      </c>
      <c r="AQ1076" s="318" t="n"/>
      <c r="AR1076" s="317" t="n"/>
      <c r="AS1076" s="257" t="n"/>
      <c r="AT1076" s="258" t="n"/>
      <c r="AU1076" s="318" t="n"/>
      <c r="AV1076" s="317" t="n"/>
      <c r="AW1076" s="257" t="n"/>
      <c r="AX1076" s="258" t="n"/>
      <c r="AY1076" s="318" t="n"/>
      <c r="AZ1076" s="317" t="n"/>
      <c r="BA1076" s="257" t="n"/>
      <c r="BB1076" s="258" t="n"/>
      <c r="BC1076" s="316" t="n"/>
      <c r="BD1076" s="317" t="n"/>
      <c r="BE1076" s="257" t="n"/>
      <c r="BF1076" s="258" t="n"/>
      <c r="BG1076" s="89" t="n"/>
      <c r="BH10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76">
        <f>_xlfn.LET(r,ROW(),oc,INDEX($A:$A,r),cv,TRIM(INDEX($Y:$Y,r)&amp;""),IF(oc&lt;&gt;"P1","",IF(cv="45","V45 - novo, nao alimentado pelo spool atual","V44 - alimentado pelo spool atual")))</f>
        <v/>
      </c>
    </row>
    <row r="1077" ht="54" customFormat="1" customHeight="1" s="90">
      <c r="A1077" s="306" t="inlineStr">
        <is>
          <t>P2</t>
        </is>
      </c>
      <c r="B1077" s="307" t="n">
        <v>180</v>
      </c>
      <c r="C1077" s="269" t="inlineStr">
        <is>
          <t>06 - Caractéristiques échéancier</t>
        </is>
      </c>
      <c r="D1077" s="236" t="inlineStr">
        <is>
          <t>06 - Schedule characteristics</t>
        </is>
      </c>
      <c r="E1077" s="307" t="inlineStr">
        <is>
          <t>P2 22.63</t>
        </is>
      </c>
      <c r="F1077" s="375" t="inlineStr">
        <is>
          <t xml:space="preserve">Date de début de l'engagement renouvelé </t>
        </is>
      </c>
      <c r="G1077" s="309" t="inlineStr">
        <is>
          <t>Start date of renewed commitment</t>
        </is>
      </c>
      <c r="H1077" s="309" t="n"/>
      <c r="I1077" s="969" t="inlineStr">
        <is>
          <t xml:space="preserve">Date de début de validité de la ligne d'autorisation quand elle est renouvelée (pour tout type d'opérations renouvelables : découverts, revolving,…) </t>
        </is>
      </c>
      <c r="J1077" s="968" t="inlineStr">
        <is>
          <t>Start date of validity of the authorisation line when it is renewed (for any type of renewable operations: overdrafts, revolving, etc.)</t>
        </is>
      </c>
      <c r="K1077" s="370" t="inlineStr">
        <is>
          <t>ND</t>
        </is>
      </c>
      <c r="L1077" s="371" t="inlineStr">
        <is>
          <t>ND</t>
        </is>
      </c>
      <c r="M1077" s="1420" t="inlineStr">
        <is>
          <t>DdtDebEngRen</t>
        </is>
      </c>
      <c r="N1077" s="623" t="inlineStr">
        <is>
          <t>Obligatoire (SC)</t>
        </is>
      </c>
      <c r="O1077" s="236" t="inlineStr">
        <is>
          <t>Mandatory (SC)</t>
        </is>
      </c>
      <c r="P1077" s="269" t="inlineStr">
        <is>
          <t>NA</t>
        </is>
      </c>
      <c r="Q1077" s="269" t="inlineStr">
        <is>
          <t>NA</t>
        </is>
      </c>
      <c r="R1077" s="967" t="inlineStr">
        <is>
          <t>La date de renouvellement correspond à la définition de la date d'origination, en cas de novation pour les opérations renouvelables et les restructurations commerciales, décrite dans les prinicipes IFRS9 Groupe. Les caractéristiques de risques à l'origination des opérations concernées sont mises à jour en date de renouvellement. Cette date doit être renseignée en cas de renouvellement et laisser à vide pour les autres opérations</t>
        </is>
      </c>
      <c r="S1077" s="966" t="inlineStr">
        <is>
          <t>The renewal date corresponds to the definition of the date of origination, in case of novation for renewable transactions and commercial restructuring, described in IFRS9 Group principles. The risk characteristics at the origin of the transactions concerned are updated on the renewal date. This date must be entered in case of renewal and leave empty for other operations</t>
        </is>
      </c>
      <c r="T1077" s="206" t="inlineStr">
        <is>
          <t>DATE</t>
        </is>
      </c>
      <c r="U1077" s="237" t="inlineStr">
        <is>
          <t>AAAAMMJJ</t>
        </is>
      </c>
      <c r="V1077" s="238" t="inlineStr">
        <is>
          <t>YYYYMMDD</t>
        </is>
      </c>
      <c r="W1077" s="257" t="n">
        <v>8</v>
      </c>
      <c r="X1077" s="945" t="inlineStr">
        <is>
          <t>NA</t>
        </is>
      </c>
      <c r="Y1077" s="237" t="n">
        <v>41</v>
      </c>
      <c r="Z1077" s="237" t="inlineStr">
        <is>
          <t>NA</t>
        </is>
      </c>
      <c r="AA1077" s="283" t="inlineStr">
        <is>
          <t>45.00</t>
        </is>
      </c>
      <c r="AB1077" s="269" t="inlineStr">
        <is>
          <t>OMP</t>
        </is>
      </c>
      <c r="AC1077" s="231" t="inlineStr">
        <is>
          <t>ND</t>
        </is>
      </c>
      <c r="AD1077" s="257" t="inlineStr">
        <is>
          <t>N</t>
        </is>
      </c>
      <c r="AE1077" s="257" t="inlineStr">
        <is>
          <t>NA</t>
        </is>
      </c>
      <c r="AF1077" s="257" t="inlineStr">
        <is>
          <t>NA</t>
        </is>
      </c>
      <c r="AG1077" s="258" t="inlineStr">
        <is>
          <t>NA</t>
        </is>
      </c>
      <c r="AH1077" s="89" t="n"/>
      <c r="AI1077" s="316" t="n"/>
      <c r="AJ1077" s="317" t="n"/>
      <c r="AK1077" s="257" t="n"/>
      <c r="AL1077" s="624" t="n"/>
      <c r="AM1077" s="318" t="n"/>
      <c r="AN1077" s="317" t="n"/>
      <c r="AO1077" s="257" t="n"/>
      <c r="AP1077" s="258" t="n"/>
      <c r="AQ1077" s="318" t="inlineStr">
        <is>
          <t>Si renseignée, la donnée doit être supérieure ou égale à '19000101'</t>
        </is>
      </c>
      <c r="AR1077" s="317" t="inlineStr">
        <is>
          <t>If filled, data must be greater or equal to '19000101'</t>
        </is>
      </c>
      <c r="AS1077" s="257" t="n">
        <v>7</v>
      </c>
      <c r="AT1077" s="258" t="inlineStr">
        <is>
          <t>TVG0005</t>
        </is>
      </c>
      <c r="AU1077" s="963" t="inlineStr">
        <is>
          <t>Si renseignée, la date de début de l'engagement renouvelé doit être supérieure ou égale à la date de début de l'engagement
---
La donnée doit être inférieure ou égale à la date d'arrêté</t>
        </is>
      </c>
      <c r="AV1077" s="964" t="inlineStr">
        <is>
          <t>If filled, the start date of renewed commitment must be higher or equal to the start date of commitment
---
Data must be lower or equal than closing date</t>
        </is>
      </c>
      <c r="AW1077" s="965" t="n">
        <v>6</v>
      </c>
      <c r="AX1077" s="959" t="inlineStr">
        <is>
          <t>TCS0800
TCG0004</t>
        </is>
      </c>
      <c r="AY1077" s="318" t="n"/>
      <c r="AZ1077" s="317" t="n"/>
      <c r="BA1077" s="257" t="n"/>
      <c r="BB1077" s="258" t="n"/>
      <c r="BC1077" s="316" t="n"/>
      <c r="BD1077" s="317" t="n"/>
      <c r="BE1077" s="257" t="n"/>
      <c r="BF1077" s="258" t="n"/>
      <c r="BG1077" s="89" t="n"/>
      <c r="BH10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77">
        <f>_xlfn.LET(r,ROW(),oc,INDEX($A:$A,r),cv,TRIM(INDEX($Y:$Y,r)&amp;""),IF(oc&lt;&gt;"P1","",IF(cv="45","V45 - novo, nao alimentado pelo spool atual","V44 - alimentado pelo spool atual")))</f>
        <v/>
      </c>
    </row>
    <row r="1078" ht="54" customFormat="1" customHeight="1" s="90">
      <c r="A1078" s="306" t="inlineStr">
        <is>
          <t>P2</t>
        </is>
      </c>
      <c r="B1078" s="307" t="n">
        <v>181</v>
      </c>
      <c r="C1078" s="269" t="inlineStr">
        <is>
          <t>06 - Caractéristiques échéancier</t>
        </is>
      </c>
      <c r="D1078" s="236" t="inlineStr">
        <is>
          <t>06 - Schedule characteristics</t>
        </is>
      </c>
      <c r="E1078" s="307" t="inlineStr">
        <is>
          <t>P2 22.64</t>
        </is>
      </c>
      <c r="F1078" s="278" t="inlineStr">
        <is>
          <t>Type de prêt habitat</t>
        </is>
      </c>
      <c r="G1078" s="160" t="inlineStr">
        <is>
          <t>Home loan type</t>
        </is>
      </c>
      <c r="H1078" s="160" t="n"/>
      <c r="I1078" s="278" t="inlineStr">
        <is>
          <t>Le type de prêt permet d'identifier si le prêt est un prêt principal, un prêt relai, un prêt travaux</t>
        </is>
      </c>
      <c r="J1078" s="160" t="inlineStr">
        <is>
          <t>The loan type identifies if the loan is a principal loan, bridging loan or loan for works</t>
        </is>
      </c>
      <c r="K1078" s="370" t="inlineStr">
        <is>
          <t>ND</t>
        </is>
      </c>
      <c r="L1078" s="371" t="inlineStr">
        <is>
          <t>ND</t>
        </is>
      </c>
      <c r="M1078" s="1420" t="inlineStr">
        <is>
          <t>cdTypPret</t>
        </is>
      </c>
      <c r="N1078" s="231" t="inlineStr">
        <is>
          <t>Obligatoire sous conditions</t>
        </is>
      </c>
      <c r="O1078" s="236" t="inlineStr">
        <is>
          <t>Mandatory under conditions</t>
        </is>
      </c>
      <c r="P1078" s="269" t="inlineStr">
        <is>
          <t>LC.0246</t>
        </is>
      </c>
      <c r="Q1078" s="269" t="inlineStr">
        <is>
          <t>RB TG316</t>
        </is>
      </c>
      <c r="R1078" s="241" t="inlineStr">
        <is>
          <t>Si prêt immobilier commercial</t>
        </is>
      </c>
      <c r="S1078" s="233" t="inlineStr">
        <is>
          <t>If commercial mortgage loan</t>
        </is>
      </c>
      <c r="T1078" s="313" t="inlineStr">
        <is>
          <t>ALPHA</t>
        </is>
      </c>
      <c r="U1078" s="237" t="inlineStr">
        <is>
          <t>NA</t>
        </is>
      </c>
      <c r="V1078" s="238" t="inlineStr">
        <is>
          <t>NA</t>
        </is>
      </c>
      <c r="W1078" s="257" t="n">
        <v>2</v>
      </c>
      <c r="X1078" s="945" t="inlineStr">
        <is>
          <t>NA</t>
        </is>
      </c>
      <c r="Y1078" s="237" t="n">
        <v>41</v>
      </c>
      <c r="Z1078" s="237" t="inlineStr">
        <is>
          <t>NA</t>
        </is>
      </c>
      <c r="AA1078" s="283" t="inlineStr">
        <is>
          <t>NA</t>
        </is>
      </c>
      <c r="AB1078" s="269" t="inlineStr">
        <is>
          <t>NZBA</t>
        </is>
      </c>
      <c r="AC1078" s="231" t="inlineStr">
        <is>
          <t>ND</t>
        </is>
      </c>
      <c r="AD1078" s="257" t="inlineStr">
        <is>
          <t>N</t>
        </is>
      </c>
      <c r="AE1078" s="257" t="inlineStr">
        <is>
          <t>NA</t>
        </is>
      </c>
      <c r="AF1078" s="257" t="inlineStr">
        <is>
          <t>NA</t>
        </is>
      </c>
      <c r="AG1078" s="258" t="inlineStr">
        <is>
          <t>NA</t>
        </is>
      </c>
      <c r="AH1078" s="89" t="n"/>
      <c r="AI1078" s="821" t="inlineStr">
        <is>
          <t>La donnée est obligatoire, si le type de risque [P2 2.0] = 'TRExx' (hors 'TRE203, TRE205, TRE206, TRE207'), 'SIGxx' ET si l'Usage du bien immobilier financé [P2 8.13] ='2'</t>
        </is>
      </c>
      <c r="AJ1078" s="317" t="inlineStr">
        <is>
          <t>The data is mandatory, if the Risk type [P2 2.0] = 'TRExx' (except 'TRE203, TRE205, TRE206, TRE207'), 'SIGxx' AND if Use of financed property [P2 8.13] ='2'</t>
        </is>
      </c>
      <c r="AK1078" s="257" t="n">
        <v>6</v>
      </c>
      <c r="AL1078" s="335" t="inlineStr">
        <is>
          <t>TPS1744</t>
        </is>
      </c>
      <c r="AM1078" s="318" t="inlineStr">
        <is>
          <t>Si elle est renseignée, la valeur doit être connue du Langage Commun associé</t>
        </is>
      </c>
      <c r="AN1078" s="317" t="inlineStr">
        <is>
          <t>If specified, the value must be known to the associated Common Language</t>
        </is>
      </c>
      <c r="AO1078" s="257" t="n">
        <v>7</v>
      </c>
      <c r="AP1078" s="212" t="inlineStr">
        <is>
          <t>TIG0001</t>
        </is>
      </c>
      <c r="AQ1078" s="318" t="n"/>
      <c r="AR1078" s="317" t="n"/>
      <c r="AS1078" s="257" t="n"/>
      <c r="AT1078" s="258" t="n"/>
      <c r="AU1078" s="318" t="n"/>
      <c r="AV1078" s="317" t="n"/>
      <c r="AW1078" s="257" t="n"/>
      <c r="AX1078" s="258" t="n"/>
      <c r="AY1078" s="318" t="n"/>
      <c r="AZ1078" s="317" t="n"/>
      <c r="BA1078" s="257" t="n"/>
      <c r="BB1078" s="258" t="n"/>
      <c r="BC1078" s="316" t="n"/>
      <c r="BD1078" s="317" t="n"/>
      <c r="BE1078" s="257" t="n"/>
      <c r="BF1078" s="258" t="n"/>
      <c r="BG1078" s="89" t="n"/>
      <c r="BH10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78">
        <f>_xlfn.LET(r,ROW(),oc,INDEX($A:$A,r),cv,TRIM(INDEX($Y:$Y,r)&amp;""),IF(oc&lt;&gt;"P1","",IF(cv="45","V45 - novo, nao alimentado pelo spool atual","V44 - alimentado pelo spool atual")))</f>
        <v/>
      </c>
    </row>
    <row r="1079" ht="54" customFormat="1" customHeight="1" s="90">
      <c r="A1079" s="306" t="inlineStr">
        <is>
          <t>P2</t>
        </is>
      </c>
      <c r="B1079" s="307" t="n">
        <v>182</v>
      </c>
      <c r="C1079" s="269" t="inlineStr">
        <is>
          <t>22 - Caractéristiques de taux</t>
        </is>
      </c>
      <c r="D1079" s="236" t="inlineStr">
        <is>
          <t>22 - Rate characteristics</t>
        </is>
      </c>
      <c r="E1079" s="307" t="inlineStr">
        <is>
          <t>P2 22.65</t>
        </is>
      </c>
      <c r="F1079" s="375" t="inlineStr">
        <is>
          <t>Taux d'endettement à l'octroi</t>
        </is>
      </c>
      <c r="G1079" s="309" t="inlineStr">
        <is>
          <t>Rate of indebtedness granted</t>
        </is>
      </c>
      <c r="H1079" s="309" t="n"/>
      <c r="I1079" s="590" t="inlineStr">
        <is>
          <t>Le taux d'endettement est le taux utilisé par les métiers pour analyser la capacité de remboursement de l'emprunteur. Ce taux rapporte l'ensemble des charges de l'emprunteur (telles que définies par chaque entité dans sa politique d'octroi) à ses revenus : charges de remboursement des crédits et toutes les charges récurrentes du client (loyers, assurances, etc).
Exprimé en %</t>
        </is>
      </c>
      <c r="J1079" s="160" t="inlineStr">
        <is>
          <t>The debt ratio is the rate used by the business lines to analyze the borrower's repayment capacity. This rate relates all of the borrower's expenses (as defined by each entity in its grant policy) to his income: repayment expenses and all recurring expenses (rent, insurance, etc).
Expressed as %</t>
        </is>
      </c>
      <c r="K1079" s="370" t="inlineStr">
        <is>
          <t>ND</t>
        </is>
      </c>
      <c r="L1079" s="371" t="inlineStr">
        <is>
          <t>ND</t>
        </is>
      </c>
      <c r="M1079" s="1420" t="inlineStr">
        <is>
          <t>TxEndettOctroi</t>
        </is>
      </c>
      <c r="N1079" s="231" t="inlineStr">
        <is>
          <t>Obligatoire sous conditions</t>
        </is>
      </c>
      <c r="O1079" s="236" t="inlineStr">
        <is>
          <t>Mandatory under conditions</t>
        </is>
      </c>
      <c r="P1079" s="269" t="inlineStr">
        <is>
          <t>NA</t>
        </is>
      </c>
      <c r="Q1079" s="269" t="inlineStr">
        <is>
          <t>NA</t>
        </is>
      </c>
      <c r="R1079" s="241" t="inlineStr">
        <is>
          <t>Si prêt immobilier commercial</t>
        </is>
      </c>
      <c r="S1079" s="233" t="inlineStr">
        <is>
          <t>If commercial mortgage loan</t>
        </is>
      </c>
      <c r="T1079" s="313" t="inlineStr">
        <is>
          <t>NUM</t>
        </is>
      </c>
      <c r="U1079" s="237" t="inlineStr">
        <is>
          <t>10 dont signe et 5 décimales</t>
        </is>
      </c>
      <c r="V1079" s="238" t="inlineStr">
        <is>
          <t>10 including sign and 5 decimals</t>
        </is>
      </c>
      <c r="W1079" s="257" t="n">
        <v>10</v>
      </c>
      <c r="X1079" s="945" t="inlineStr">
        <is>
          <t>NA</t>
        </is>
      </c>
      <c r="Y1079" s="237" t="n">
        <v>41</v>
      </c>
      <c r="Z1079" s="237" t="inlineStr">
        <is>
          <t>NA</t>
        </is>
      </c>
      <c r="AA1079" s="283" t="inlineStr">
        <is>
          <t>NA</t>
        </is>
      </c>
      <c r="AB1079" s="269" t="inlineStr">
        <is>
          <t>OCTROI DE CREDIT</t>
        </is>
      </c>
      <c r="AC1079" s="231" t="inlineStr">
        <is>
          <t>ND</t>
        </is>
      </c>
      <c r="AD1079" s="257" t="inlineStr">
        <is>
          <t>N</t>
        </is>
      </c>
      <c r="AE1079" s="257" t="inlineStr">
        <is>
          <t>NA</t>
        </is>
      </c>
      <c r="AF1079" s="257" t="inlineStr">
        <is>
          <t>NA</t>
        </is>
      </c>
      <c r="AG1079" s="258" t="inlineStr">
        <is>
          <t>NA</t>
        </is>
      </c>
      <c r="AH1079" s="89" t="n"/>
      <c r="AI1079" s="821" t="inlineStr">
        <is>
          <t>La donnée est obligatoire, si le type de risque [P2 2.0] = 'TRExx' (hors 'TRE203, TRE205, TRE206, TRE207'), 'SIGxx' ET si l'Usage du bien immobilier financé [P2 8.13] ='2'</t>
        </is>
      </c>
      <c r="AJ1079" s="317" t="inlineStr">
        <is>
          <t>The data is mandatory, if the Risk type [P2 2.0] = 'TRExx' (except 'TRE203, TRE205, TRE206, TRE207'), 'SIGxx' AND if Use of financed property [P2 8.13] ='2'</t>
        </is>
      </c>
      <c r="AK1079" s="257" t="n">
        <v>5</v>
      </c>
      <c r="AL1079" s="335" t="inlineStr">
        <is>
          <t>TPS1744</t>
        </is>
      </c>
      <c r="AM1079" s="318" t="n"/>
      <c r="AN1079" s="317" t="n"/>
      <c r="AO1079" s="257" t="n"/>
      <c r="AP1079" s="258" t="n"/>
      <c r="AQ1079" s="322" t="inlineStr">
        <is>
          <t>Si renseignée, la donnée doit être positive (supérieure ou égale à 0)</t>
        </is>
      </c>
      <c r="AR1079" s="317" t="inlineStr">
        <is>
          <t xml:space="preserve">If filled, data must be positive (greater or equal to 0) </t>
        </is>
      </c>
      <c r="AS1079" s="257" t="n">
        <v>7</v>
      </c>
      <c r="AT1079" s="345" t="inlineStr">
        <is>
          <t>TVG0001</t>
        </is>
      </c>
      <c r="AU1079" s="318" t="n"/>
      <c r="AV1079" s="317" t="n"/>
      <c r="AW1079" s="257" t="n"/>
      <c r="AX1079" s="258" t="n"/>
      <c r="AY1079" s="318" t="n"/>
      <c r="AZ1079" s="317" t="n"/>
      <c r="BA1079" s="257" t="n"/>
      <c r="BB1079" s="258" t="n"/>
      <c r="BC1079" s="316" t="n"/>
      <c r="BD1079" s="317" t="n"/>
      <c r="BE1079" s="257" t="n"/>
      <c r="BF1079" s="258" t="n"/>
      <c r="BG1079" s="89" t="n"/>
      <c r="BH10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79">
        <f>_xlfn.LET(r,ROW(),oc,INDEX($A:$A,r),cv,TRIM(INDEX($Y:$Y,r)&amp;""),IF(oc&lt;&gt;"P1","",IF(cv="45","V45 - novo, nao alimentado pelo spool atual","V44 - alimentado pelo spool atual")))</f>
        <v/>
      </c>
    </row>
    <row r="1080" ht="54" customFormat="1" customHeight="1" s="90">
      <c r="A1080" s="306" t="inlineStr">
        <is>
          <t>P2</t>
        </is>
      </c>
      <c r="B1080" s="307" t="n">
        <v>183</v>
      </c>
      <c r="C1080" s="269" t="inlineStr">
        <is>
          <t>06 - Caractéristiques échéancier</t>
        </is>
      </c>
      <c r="D1080" s="236" t="inlineStr">
        <is>
          <t>06 - Schedule characteristics</t>
        </is>
      </c>
      <c r="E1080" s="372" t="inlineStr">
        <is>
          <t>P2 22.66</t>
        </is>
      </c>
      <c r="F1080" s="308" t="inlineStr">
        <is>
          <t>Pays de juridiction du contrat</t>
        </is>
      </c>
      <c r="G1080" s="309" t="inlineStr">
        <is>
          <t>Country of jurisdiction of the contract</t>
        </is>
      </c>
      <c r="H1080" s="309" t="n"/>
      <c r="I1080" s="241" t="inlineStr">
        <is>
          <t>Code du pays de juridiction du contrat en norme ISO2</t>
        </is>
      </c>
      <c r="J1080" s="309" t="inlineStr">
        <is>
          <t>Country Code of jurisdiction of contract in line with ISO2 norm</t>
        </is>
      </c>
      <c r="K1080" s="370" t="inlineStr">
        <is>
          <t>ND</t>
        </is>
      </c>
      <c r="L1080" s="371" t="inlineStr">
        <is>
          <t>ND</t>
        </is>
      </c>
      <c r="M1080" s="1420" t="inlineStr">
        <is>
          <t>cdPaysJuriContr</t>
        </is>
      </c>
      <c r="N1080" s="231" t="inlineStr">
        <is>
          <t>Obligatoire sous conditions</t>
        </is>
      </c>
      <c r="O1080" s="236" t="inlineStr">
        <is>
          <t>Mandatory under conditions</t>
        </is>
      </c>
      <c r="P1080" s="269" t="inlineStr">
        <is>
          <t>LC.0004
LC.0273</t>
        </is>
      </c>
      <c r="Q1080" s="269" t="inlineStr">
        <is>
          <t>TA NM252 (pour la partie ISO 3166)
TA NM258 (organisation supra nationales)</t>
        </is>
      </c>
      <c r="R1080" s="241" t="inlineStr">
        <is>
          <t>NA</t>
        </is>
      </c>
      <c r="S1080" s="233" t="inlineStr">
        <is>
          <t>NA</t>
        </is>
      </c>
      <c r="T1080" s="313" t="inlineStr">
        <is>
          <t>ALPHA</t>
        </is>
      </c>
      <c r="U1080" s="237" t="inlineStr">
        <is>
          <t>NA</t>
        </is>
      </c>
      <c r="V1080" s="238" t="inlineStr">
        <is>
          <t>NA</t>
        </is>
      </c>
      <c r="W1080" s="257" t="n">
        <v>2</v>
      </c>
      <c r="X1080" s="945" t="inlineStr">
        <is>
          <t>NA</t>
        </is>
      </c>
      <c r="Y1080" s="237" t="n">
        <v>42</v>
      </c>
      <c r="Z1080" s="237" t="inlineStr">
        <is>
          <t>NA</t>
        </is>
      </c>
      <c r="AA1080" s="239" t="inlineStr">
        <is>
          <t>NA</t>
        </is>
      </c>
      <c r="AB1080" s="269" t="inlineStr">
        <is>
          <t>MREL</t>
        </is>
      </c>
      <c r="AC1080" s="231" t="inlineStr">
        <is>
          <t>ND</t>
        </is>
      </c>
      <c r="AD1080" s="257" t="inlineStr">
        <is>
          <t>N</t>
        </is>
      </c>
      <c r="AE1080" s="257" t="inlineStr">
        <is>
          <t>NA</t>
        </is>
      </c>
      <c r="AF1080" s="257" t="inlineStr">
        <is>
          <t>NA</t>
        </is>
      </c>
      <c r="AG1080" s="258" t="inlineStr">
        <is>
          <t>NA</t>
        </is>
      </c>
      <c r="AH1080" s="89" t="n"/>
      <c r="AI1080" s="425" t="inlineStr">
        <is>
          <t>La donnée est obligatoire, si le type de risque [P2 2.0] = 'TRE2xx à TRE5xx, SIGxx (sauf TRE203, TRE205, TRE206, TRE207)'</t>
        </is>
      </c>
      <c r="AJ1080" s="317" t="inlineStr">
        <is>
          <t>The data is mandatory, if Risk type [P2 2.0] = 'TRE2xx to TRE5xx, SIGxx (except TRE203, TRE205, TRE206, TRE207)'</t>
        </is>
      </c>
      <c r="AK1080" s="257" t="n">
        <v>6</v>
      </c>
      <c r="AL1080" s="420" t="inlineStr">
        <is>
          <t>TPS1746</t>
        </is>
      </c>
      <c r="AM1080" s="318" t="inlineStr">
        <is>
          <t>Si elle est renseignée, la valeur doit être connue du Langage Commun associé</t>
        </is>
      </c>
      <c r="AN1080" s="317" t="inlineStr">
        <is>
          <t>If specified, the value must be known to the associated Common Language</t>
        </is>
      </c>
      <c r="AO1080" s="257" t="n">
        <v>7</v>
      </c>
      <c r="AP1080" s="212" t="inlineStr">
        <is>
          <t>TIG0001</t>
        </is>
      </c>
      <c r="AQ1080" s="318" t="n"/>
      <c r="AR1080" s="317" t="n"/>
      <c r="AS1080" s="257" t="n"/>
      <c r="AT1080" s="258" t="n"/>
      <c r="AU1080" s="318" t="n"/>
      <c r="AV1080" s="317" t="n"/>
      <c r="AW1080" s="257" t="n"/>
      <c r="AX1080" s="258" t="n"/>
      <c r="AY1080" s="318" t="n"/>
      <c r="AZ1080" s="317" t="n"/>
      <c r="BA1080" s="257" t="n"/>
      <c r="BB1080" s="258" t="n"/>
      <c r="BC1080" s="316" t="n"/>
      <c r="BD1080" s="317" t="n"/>
      <c r="BE1080" s="257" t="n"/>
      <c r="BF1080" s="258" t="n"/>
      <c r="BG1080" s="89" t="n"/>
      <c r="BH10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80">
        <f>_xlfn.LET(r,ROW(),oc,INDEX($A:$A,r),cv,TRIM(INDEX($Y:$Y,r)&amp;""),IF(oc&lt;&gt;"P1","",IF(cv="45","V45 - novo, nao alimentado pelo spool atual","V44 - alimentado pelo spool atual")))</f>
        <v/>
      </c>
    </row>
    <row r="1081" ht="54" customFormat="1" customHeight="1" s="90">
      <c r="A1081" s="306" t="inlineStr">
        <is>
          <t>P2</t>
        </is>
      </c>
      <c r="B1081" s="307" t="n">
        <v>184</v>
      </c>
      <c r="C1081" s="269" t="inlineStr">
        <is>
          <t>06 - Caractéristiques échéancier</t>
        </is>
      </c>
      <c r="D1081" s="236" t="inlineStr">
        <is>
          <t>06 - Schedule characteristics</t>
        </is>
      </c>
      <c r="E1081" s="372" t="inlineStr">
        <is>
          <t>P2 22.67</t>
        </is>
      </c>
      <c r="F1081" s="484" t="inlineStr">
        <is>
          <t>Date de signature du contrat initial</t>
        </is>
      </c>
      <c r="G1081" s="309" t="inlineStr">
        <is>
          <t>Date of signature of the initial contract</t>
        </is>
      </c>
      <c r="H1081" s="309" t="n"/>
      <c r="I1081" s="241" t="inlineStr">
        <is>
          <t>Date de signature du contrat initial</t>
        </is>
      </c>
      <c r="J1081" s="309" t="inlineStr">
        <is>
          <t>Date of signature of the initial contract</t>
        </is>
      </c>
      <c r="K1081" s="370" t="inlineStr">
        <is>
          <t>ND</t>
        </is>
      </c>
      <c r="L1081" s="371" t="inlineStr">
        <is>
          <t>ND</t>
        </is>
      </c>
      <c r="M1081" s="1420" t="inlineStr">
        <is>
          <t>dtSigCtrtInit</t>
        </is>
      </c>
      <c r="N1081" s="231" t="inlineStr">
        <is>
          <t>Obligatoire sous conditions</t>
        </is>
      </c>
      <c r="O1081" s="236" t="inlineStr">
        <is>
          <t>Mandatory under conditions</t>
        </is>
      </c>
      <c r="P1081" s="269" t="inlineStr">
        <is>
          <t>NA</t>
        </is>
      </c>
      <c r="Q1081" s="269" t="inlineStr">
        <is>
          <t>NA</t>
        </is>
      </c>
      <c r="R1081" s="241" t="inlineStr">
        <is>
          <t>NA</t>
        </is>
      </c>
      <c r="S1081" s="233" t="inlineStr">
        <is>
          <t>NA</t>
        </is>
      </c>
      <c r="T1081" s="206" t="inlineStr">
        <is>
          <t>DATE</t>
        </is>
      </c>
      <c r="U1081" s="237" t="inlineStr">
        <is>
          <t>AAAAMMJJ</t>
        </is>
      </c>
      <c r="V1081" s="238" t="inlineStr">
        <is>
          <t>YYYYMMDD</t>
        </is>
      </c>
      <c r="W1081" s="257" t="n">
        <v>8</v>
      </c>
      <c r="X1081" s="945" t="inlineStr">
        <is>
          <t>NA</t>
        </is>
      </c>
      <c r="Y1081" s="237" t="n">
        <v>42</v>
      </c>
      <c r="Z1081" s="237" t="inlineStr">
        <is>
          <t>NA</t>
        </is>
      </c>
      <c r="AA1081" s="283" t="inlineStr">
        <is>
          <t>NA</t>
        </is>
      </c>
      <c r="AB1081" s="269" t="inlineStr">
        <is>
          <t>ANACREDIT, ASTRE, NPE, NZBA</t>
        </is>
      </c>
      <c r="AC1081" s="231" t="inlineStr">
        <is>
          <t>ND</t>
        </is>
      </c>
      <c r="AD1081" s="257" t="inlineStr">
        <is>
          <t>N</t>
        </is>
      </c>
      <c r="AE1081" s="257" t="inlineStr">
        <is>
          <t>NA</t>
        </is>
      </c>
      <c r="AF1081" s="257" t="inlineStr">
        <is>
          <t>NA</t>
        </is>
      </c>
      <c r="AG1081" s="258" t="inlineStr">
        <is>
          <t>NA</t>
        </is>
      </c>
      <c r="AH1081" s="89" t="n"/>
      <c r="AI1081" s="425" t="inlineStr">
        <is>
          <t>La donnée est obligatoire, si le type de risque [P2 2.0] = 'TRE2xx à TRE5xx, SIGxx (sauf TRE203, TRE205, TRE206, TRE207)'</t>
        </is>
      </c>
      <c r="AJ1081" s="317" t="inlineStr">
        <is>
          <t>The data is mandatory, if Risk type [P2 2.0] = 'TRE2xx to TRE5xx, SIGxx (except TRE203, TRE205, TRE206, TRE207)'</t>
        </is>
      </c>
      <c r="AK1081" s="257" t="n">
        <v>6</v>
      </c>
      <c r="AL1081" s="420" t="inlineStr">
        <is>
          <t>TPS1746</t>
        </is>
      </c>
      <c r="AM1081" s="318" t="n"/>
      <c r="AN1081" s="317" t="n"/>
      <c r="AO1081" s="257" t="n"/>
      <c r="AP1081" s="258" t="n"/>
      <c r="AQ1081" s="318" t="inlineStr">
        <is>
          <t>Si renseignée, la donnée doit être supérieure ou égale à '19000101'</t>
        </is>
      </c>
      <c r="AR1081" s="317" t="inlineStr">
        <is>
          <t>If filled, data must be greater or equal to '19000101'</t>
        </is>
      </c>
      <c r="AS1081" s="257" t="n">
        <v>7</v>
      </c>
      <c r="AT1081" s="258" t="inlineStr">
        <is>
          <t>TVG0005</t>
        </is>
      </c>
      <c r="AU1081" s="318" t="inlineStr">
        <is>
          <t>La donnée doit être inférieure ou égale à la date d'arrêté</t>
        </is>
      </c>
      <c r="AV1081" s="317" t="inlineStr">
        <is>
          <t>Data must be lower or equal than closing date</t>
        </is>
      </c>
      <c r="AW1081" s="257" t="n">
        <v>6</v>
      </c>
      <c r="AX1081" s="626" t="inlineStr">
        <is>
          <t>TCG0004</t>
        </is>
      </c>
      <c r="AY1081" s="318" t="n"/>
      <c r="AZ1081" s="317" t="n"/>
      <c r="BA1081" s="257" t="n"/>
      <c r="BB1081" s="258" t="n"/>
      <c r="BC1081" s="316" t="n"/>
      <c r="BD1081" s="317" t="n"/>
      <c r="BE1081" s="257" t="n"/>
      <c r="BF1081" s="258" t="n"/>
      <c r="BG1081" s="89" t="n"/>
      <c r="BH10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81">
        <f>_xlfn.LET(r,ROW(),oc,INDEX($A:$A,r),cv,TRIM(INDEX($Y:$Y,r)&amp;""),IF(oc&lt;&gt;"P1","",IF(cv="45","V45 - novo, nao alimentado pelo spool atual","V44 - alimentado pelo spool atual")))</f>
        <v/>
      </c>
    </row>
    <row r="1082" ht="54" customFormat="1" customHeight="1" s="90">
      <c r="A1082" s="306" t="inlineStr">
        <is>
          <t>P2</t>
        </is>
      </c>
      <c r="B1082" s="307" t="n">
        <v>185</v>
      </c>
      <c r="C1082" s="269" t="inlineStr">
        <is>
          <t>06 - Caractéristiques échéancier</t>
        </is>
      </c>
      <c r="D1082" s="236" t="inlineStr">
        <is>
          <t>06 - Schedule characteristics</t>
        </is>
      </c>
      <c r="E1082" s="372" t="inlineStr">
        <is>
          <t>P2 22.68</t>
        </is>
      </c>
      <c r="F1082" s="938" t="inlineStr">
        <is>
          <t>Evénement déclencheur de la garantie</t>
        </is>
      </c>
      <c r="G1082" s="309" t="inlineStr">
        <is>
          <t>Guarantee Trigger</t>
        </is>
      </c>
      <c r="H1082" s="309" t="n"/>
      <c r="I1082" s="241" t="inlineStr">
        <is>
          <t>Evénement susceptible de déclencher la mise en jeu de la garantie (ex défaut, solvabilité...)</t>
        </is>
      </c>
      <c r="J1082" s="309" t="inlineStr">
        <is>
          <t>Event susceptible to trigger the involvement of the guarantee (ex. default, solvency, liquidity, others</t>
        </is>
      </c>
      <c r="K1082" s="370" t="inlineStr">
        <is>
          <t>ND</t>
        </is>
      </c>
      <c r="L1082" s="371" t="inlineStr">
        <is>
          <t>ND</t>
        </is>
      </c>
      <c r="M1082" s="1420" t="inlineStr">
        <is>
          <t>cdEventDeclenGar</t>
        </is>
      </c>
      <c r="N1082" s="1007" t="inlineStr">
        <is>
          <t>Obligatoire sous conditions</t>
        </is>
      </c>
      <c r="O1082" s="1006" t="inlineStr">
        <is>
          <t>Mandatory under conditions</t>
        </is>
      </c>
      <c r="P1082" s="269" t="inlineStr">
        <is>
          <t>LC.0295</t>
        </is>
      </c>
      <c r="Q1082" s="269" t="inlineStr">
        <is>
          <t>TA KVEVDEGA</t>
        </is>
      </c>
      <c r="R1082" s="241" t="inlineStr">
        <is>
          <t>NA</t>
        </is>
      </c>
      <c r="S1082" s="233" t="inlineStr">
        <is>
          <t>NA</t>
        </is>
      </c>
      <c r="T1082" s="307" t="inlineStr">
        <is>
          <t>ALPHA</t>
        </is>
      </c>
      <c r="U1082" s="237" t="inlineStr">
        <is>
          <t>NA</t>
        </is>
      </c>
      <c r="V1082" s="238" t="inlineStr">
        <is>
          <t>NA</t>
        </is>
      </c>
      <c r="W1082" s="257" t="n">
        <v>2</v>
      </c>
      <c r="X1082" s="945" t="inlineStr">
        <is>
          <t>NA</t>
        </is>
      </c>
      <c r="Y1082" s="237" t="n">
        <v>42</v>
      </c>
      <c r="Z1082" s="237" t="inlineStr">
        <is>
          <t>NA</t>
        </is>
      </c>
      <c r="AA1082" s="237" t="inlineStr">
        <is>
          <t>45.00</t>
        </is>
      </c>
      <c r="AB1082" s="269" t="inlineStr">
        <is>
          <t>CONGLOMERATS, MREL</t>
        </is>
      </c>
      <c r="AC1082" s="231" t="inlineStr">
        <is>
          <t>ND</t>
        </is>
      </c>
      <c r="AD1082" s="257" t="inlineStr">
        <is>
          <t>N</t>
        </is>
      </c>
      <c r="AE1082" s="257" t="inlineStr">
        <is>
          <t>SIG2xx</t>
        </is>
      </c>
      <c r="AF1082" s="257" t="inlineStr">
        <is>
          <t>NA</t>
        </is>
      </c>
      <c r="AG1082" s="258" t="inlineStr">
        <is>
          <t>NA</t>
        </is>
      </c>
      <c r="AH1082" s="89" t="n"/>
      <c r="AI1082" s="989" t="inlineStr">
        <is>
          <t xml:space="preserve">La donnée est obligatoire si le type de risque [P2 2.0] = 'SIG2xx' </t>
        </is>
      </c>
      <c r="AJ1082" s="931" t="inlineStr">
        <is>
          <t xml:space="preserve">The data is mandatory if risk type [P2 2.0] = 'SIG2xx' </t>
        </is>
      </c>
      <c r="AK1082" s="958" t="n">
        <v>6</v>
      </c>
      <c r="AL1082" s="990" t="inlineStr">
        <is>
          <t>TPS1776</t>
        </is>
      </c>
      <c r="AM1082" s="318" t="inlineStr">
        <is>
          <t>Si elle est renseignée, la valeur doit être connue du Langage Commun associé</t>
        </is>
      </c>
      <c r="AN1082" s="317" t="inlineStr">
        <is>
          <t>If specified, the value must be known to the associated Common Language</t>
        </is>
      </c>
      <c r="AO1082" s="257" t="n">
        <v>7</v>
      </c>
      <c r="AP1082" s="212" t="inlineStr">
        <is>
          <t>TIG0001</t>
        </is>
      </c>
      <c r="AQ1082" s="318" t="n"/>
      <c r="AR1082" s="317" t="n"/>
      <c r="AS1082" s="257" t="n"/>
      <c r="AT1082" s="258" t="n"/>
      <c r="AU1082" s="318" t="n"/>
      <c r="AV1082" s="317" t="n"/>
      <c r="AW1082" s="257" t="n"/>
      <c r="AX1082" s="258" t="n"/>
      <c r="AY1082" s="318" t="n"/>
      <c r="AZ1082" s="317" t="n"/>
      <c r="BA1082" s="257" t="n"/>
      <c r="BB1082" s="258" t="n"/>
      <c r="BC1082" s="316" t="n"/>
      <c r="BD1082" s="317" t="n"/>
      <c r="BE1082" s="257" t="n"/>
      <c r="BF1082" s="258" t="n"/>
      <c r="BG1082" s="89" t="n"/>
      <c r="BH10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82">
        <f>_xlfn.LET(r,ROW(),oc,INDEX($A:$A,r),cv,TRIM(INDEX($Y:$Y,r)&amp;""),IF(oc&lt;&gt;"P1","",IF(cv="45","V45 - novo, nao alimentado pelo spool atual","V44 - alimentado pelo spool atual")))</f>
        <v/>
      </c>
    </row>
    <row r="1083" ht="54" customFormat="1" customHeight="1" s="55">
      <c r="A1083" s="325" t="inlineStr">
        <is>
          <t>P2</t>
        </is>
      </c>
      <c r="B1083" s="326" t="n">
        <v>186</v>
      </c>
      <c r="C1083" s="284" t="inlineStr">
        <is>
          <t>06 - Caractéristiques échéancier</t>
        </is>
      </c>
      <c r="D1083" s="244" t="inlineStr">
        <is>
          <t>06 - Schedule characteristics</t>
        </is>
      </c>
      <c r="E1083" s="333" t="inlineStr">
        <is>
          <t>P2 22.70</t>
        </is>
      </c>
      <c r="F1083" s="327" t="inlineStr">
        <is>
          <t>Nombre de jours de retard de paiement</t>
        </is>
      </c>
      <c r="G1083" s="327" t="inlineStr">
        <is>
          <t xml:space="preserve">Number of days in payment delay </t>
        </is>
      </c>
      <c r="H1083" s="327" t="n"/>
      <c r="I1083" s="245" t="inlineStr">
        <is>
          <t>Nombre de jours de retard de paiement</t>
        </is>
      </c>
      <c r="J1083" s="327" t="inlineStr">
        <is>
          <t xml:space="preserve">Number of days in payment delay </t>
        </is>
      </c>
      <c r="K1083" s="388" t="inlineStr">
        <is>
          <t>NA</t>
        </is>
      </c>
      <c r="L1083" s="388" t="inlineStr">
        <is>
          <t>NA</t>
        </is>
      </c>
      <c r="M1083" s="1421" t="inlineStr">
        <is>
          <t>nbJRetPaimt</t>
        </is>
      </c>
      <c r="N1083" s="284" t="inlineStr">
        <is>
          <t>NA</t>
        </is>
      </c>
      <c r="O1083" s="388" t="inlineStr">
        <is>
          <t>NA</t>
        </is>
      </c>
      <c r="P1083" s="284" t="inlineStr">
        <is>
          <t>NA</t>
        </is>
      </c>
      <c r="Q1083" s="284" t="inlineStr">
        <is>
          <t>NA</t>
        </is>
      </c>
      <c r="R1083" s="245" t="inlineStr">
        <is>
          <t>NA</t>
        </is>
      </c>
      <c r="S1083" s="245" t="inlineStr">
        <is>
          <t>NA</t>
        </is>
      </c>
      <c r="T1083" s="326" t="inlineStr">
        <is>
          <t>ALPHA</t>
        </is>
      </c>
      <c r="U1083" s="248" t="inlineStr">
        <is>
          <t>NA</t>
        </is>
      </c>
      <c r="V1083" s="248" t="inlineStr">
        <is>
          <t>NA</t>
        </is>
      </c>
      <c r="W1083" s="284" t="n">
        <v>5</v>
      </c>
      <c r="X1083" s="244" t="inlineStr">
        <is>
          <t>NA</t>
        </is>
      </c>
      <c r="Y1083" s="248" t="n">
        <v>42</v>
      </c>
      <c r="Z1083" s="248" t="n">
        <v>42</v>
      </c>
      <c r="AA1083" s="248" t="inlineStr">
        <is>
          <t>NA</t>
        </is>
      </c>
      <c r="AB1083" s="284" t="inlineStr">
        <is>
          <t>ASTRE</t>
        </is>
      </c>
      <c r="AC1083" s="244" t="inlineStr">
        <is>
          <t>NA</t>
        </is>
      </c>
      <c r="AD1083" s="284" t="inlineStr">
        <is>
          <t>N</t>
        </is>
      </c>
      <c r="AE1083" s="284" t="inlineStr">
        <is>
          <t>NA</t>
        </is>
      </c>
      <c r="AF1083" s="284" t="inlineStr">
        <is>
          <t>NA</t>
        </is>
      </c>
      <c r="AG1083" s="285" t="inlineStr">
        <is>
          <t>NA</t>
        </is>
      </c>
      <c r="AH1083" s="89" t="n"/>
      <c r="AI1083" s="330" t="n"/>
      <c r="AJ1083" s="331" t="n"/>
      <c r="AK1083" s="284" t="n"/>
      <c r="AL1083" s="285" t="n"/>
      <c r="AM1083" s="331" t="n"/>
      <c r="AN1083" s="331" t="n"/>
      <c r="AO1083" s="284" t="n"/>
      <c r="AP1083" s="285" t="n"/>
      <c r="AQ1083" s="331" t="n"/>
      <c r="AR1083" s="331" t="n"/>
      <c r="AS1083" s="284" t="n"/>
      <c r="AT1083" s="285" t="n"/>
      <c r="AU1083" s="331" t="n"/>
      <c r="AV1083" s="331" t="n"/>
      <c r="AW1083" s="284" t="n"/>
      <c r="AX1083" s="285" t="n"/>
      <c r="AY1083" s="331" t="n"/>
      <c r="AZ1083" s="331" t="n"/>
      <c r="BA1083" s="284" t="n"/>
      <c r="BB1083" s="285" t="n"/>
      <c r="BC1083" s="330" t="n"/>
      <c r="BD1083" s="331" t="n"/>
      <c r="BE1083" s="284" t="n"/>
      <c r="BF1083" s="285" t="n"/>
      <c r="BG1083" s="89" t="n"/>
      <c r="BH10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83">
        <f>_xlfn.LET(r,ROW(),oc,INDEX($A:$A,r),cv,TRIM(INDEX($Y:$Y,r)&amp;""),IF(oc&lt;&gt;"P1","",IF(cv="45","V45 - novo, nao alimentado pelo spool atual","V44 - alimentado pelo spool atual")))</f>
        <v/>
      </c>
    </row>
    <row r="1084" ht="54" customFormat="1" customHeight="1" s="90">
      <c r="A1084" s="306" t="inlineStr">
        <is>
          <t>P2</t>
        </is>
      </c>
      <c r="B1084" s="307" t="n">
        <v>187</v>
      </c>
      <c r="C1084" s="269" t="inlineStr">
        <is>
          <t>06 - Caractéristiques échéancier</t>
        </is>
      </c>
      <c r="D1084" s="236" t="inlineStr">
        <is>
          <t>06 - Schedule characteristics</t>
        </is>
      </c>
      <c r="E1084" s="372" t="inlineStr">
        <is>
          <t>P2 22.71</t>
        </is>
      </c>
      <c r="F1084" s="1269" t="inlineStr">
        <is>
          <t xml:space="preserve">Motif du passage en engagement en défaut </t>
        </is>
      </c>
      <c r="G1084" s="968" t="inlineStr">
        <is>
          <t>Reason of classification as commitment into default</t>
        </is>
      </c>
      <c r="H1084" s="968" t="n"/>
      <c r="I1084" s="1008" t="inlineStr">
        <is>
          <t>Motif du passage de l'opération en engagement en défaut (ex douteux)</t>
        </is>
      </c>
      <c r="J1084" s="968" t="inlineStr">
        <is>
          <t>Reason of classification as commitment into default (ex doubtful)</t>
        </is>
      </c>
      <c r="K1084" s="370" t="inlineStr">
        <is>
          <t>ND</t>
        </is>
      </c>
      <c r="L1084" s="371" t="inlineStr">
        <is>
          <t>ND</t>
        </is>
      </c>
      <c r="M1084" s="1420" t="inlineStr">
        <is>
          <t>cdPasEngDout</t>
        </is>
      </c>
      <c r="N1084" s="231" t="inlineStr">
        <is>
          <t>Facultatif</t>
        </is>
      </c>
      <c r="O1084" s="236" t="inlineStr">
        <is>
          <t>Optional</t>
        </is>
      </c>
      <c r="P1084" s="269" t="inlineStr">
        <is>
          <t>LC.0267</t>
        </is>
      </c>
      <c r="Q1084" s="269" t="inlineStr">
        <is>
          <t>TA NM690</t>
        </is>
      </c>
      <c r="R1084" s="241" t="inlineStr">
        <is>
          <t>NA</t>
        </is>
      </c>
      <c r="S1084" s="233" t="inlineStr">
        <is>
          <t>NA</t>
        </is>
      </c>
      <c r="T1084" s="313" t="inlineStr">
        <is>
          <t>ALPHA</t>
        </is>
      </c>
      <c r="U1084" s="237" t="inlineStr">
        <is>
          <t>NA</t>
        </is>
      </c>
      <c r="V1084" s="238" t="inlineStr">
        <is>
          <t>NA</t>
        </is>
      </c>
      <c r="W1084" s="269" t="n">
        <v>3</v>
      </c>
      <c r="X1084" s="231" t="inlineStr">
        <is>
          <t>NA</t>
        </is>
      </c>
      <c r="Y1084" s="237" t="n">
        <v>42</v>
      </c>
      <c r="Z1084" s="237" t="inlineStr">
        <is>
          <t>NA</t>
        </is>
      </c>
      <c r="AA1084" s="270" t="inlineStr">
        <is>
          <t>45.00</t>
        </is>
      </c>
      <c r="AB1084" s="269" t="inlineStr">
        <is>
          <t>ANACREDIT</t>
        </is>
      </c>
      <c r="AC1084" s="231" t="inlineStr">
        <is>
          <t>ND</t>
        </is>
      </c>
      <c r="AD1084" s="257" t="inlineStr">
        <is>
          <t>N</t>
        </is>
      </c>
      <c r="AE1084" s="257" t="inlineStr">
        <is>
          <t>NA</t>
        </is>
      </c>
      <c r="AF1084" s="257" t="inlineStr">
        <is>
          <t>NA</t>
        </is>
      </c>
      <c r="AG1084" s="258" t="inlineStr">
        <is>
          <t>NA</t>
        </is>
      </c>
      <c r="AH1084" s="89" t="n"/>
      <c r="AI1084" s="629" t="n"/>
      <c r="AJ1084" s="317" t="n"/>
      <c r="AK1084" s="630" t="n"/>
      <c r="AL1084" s="258" t="n"/>
      <c r="AM1084" s="452" t="inlineStr">
        <is>
          <t>Si elle est renseignée, la valeur doit être connue du Langage Commun associé</t>
        </is>
      </c>
      <c r="AN1084" s="377" t="inlineStr">
        <is>
          <t>If specified, the value must be known to the associated Common Language</t>
        </is>
      </c>
      <c r="AO1084" s="257" t="n">
        <v>7</v>
      </c>
      <c r="AP1084" s="212" t="inlineStr">
        <is>
          <t>TIG0001</t>
        </is>
      </c>
      <c r="AQ1084" s="318" t="n"/>
      <c r="AR1084" s="317" t="n"/>
      <c r="AS1084" s="257" t="n"/>
      <c r="AT1084" s="258" t="n"/>
      <c r="AU1084" s="318" t="n"/>
      <c r="AV1084" s="317" t="n"/>
      <c r="AW1084" s="257" t="n"/>
      <c r="AX1084" s="258" t="n"/>
      <c r="AY1084" s="318" t="n"/>
      <c r="AZ1084" s="317" t="n"/>
      <c r="BA1084" s="257" t="n"/>
      <c r="BB1084" s="258" t="n"/>
      <c r="BC1084" s="316" t="n"/>
      <c r="BD1084" s="317" t="n"/>
      <c r="BE1084" s="257" t="n"/>
      <c r="BF1084" s="258" t="n"/>
      <c r="BG1084" s="89" t="n"/>
      <c r="BH10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84">
        <f>_xlfn.LET(r,ROW(),oc,INDEX($A:$A,r),cv,TRIM(INDEX($Y:$Y,r)&amp;""),IF(oc&lt;&gt;"P1","",IF(cv="45","V45 - novo, nao alimentado pelo spool atual","V44 - alimentado pelo spool atual")))</f>
        <v/>
      </c>
    </row>
    <row r="1085" ht="54" customFormat="1" customHeight="1" s="90">
      <c r="A1085" s="306" t="inlineStr">
        <is>
          <t>P2</t>
        </is>
      </c>
      <c r="B1085" s="307" t="n">
        <v>188</v>
      </c>
      <c r="C1085" s="269" t="inlineStr">
        <is>
          <t>06 - Caractéristiques échéancier</t>
        </is>
      </c>
      <c r="D1085" s="236" t="inlineStr">
        <is>
          <t>06 - Schedule characteristics</t>
        </is>
      </c>
      <c r="E1085" s="372" t="inlineStr">
        <is>
          <t>P2 22.72</t>
        </is>
      </c>
      <c r="F1085" s="308" t="inlineStr">
        <is>
          <t>Bucket IFRS9</t>
        </is>
      </c>
      <c r="G1085" s="309" t="inlineStr">
        <is>
          <t>Bucket IFRS9</t>
        </is>
      </c>
      <c r="H1085" s="309" t="n"/>
      <c r="I1085" s="241" t="inlineStr">
        <is>
          <t xml:space="preserve">Permet d'indiquer le classement de l'encours en norme IFRS9 </t>
        </is>
      </c>
      <c r="J1085" s="309" t="inlineStr">
        <is>
          <t xml:space="preserve">Permits to indicate the classification of outstanding in IFRS9 </t>
        </is>
      </c>
      <c r="K1085" s="370" t="inlineStr">
        <is>
          <t>ND</t>
        </is>
      </c>
      <c r="L1085" s="371" t="inlineStr">
        <is>
          <t>ND</t>
        </is>
      </c>
      <c r="M1085" s="1420" t="inlineStr">
        <is>
          <t>cdBcktIFRS9</t>
        </is>
      </c>
      <c r="N1085" s="231" t="inlineStr">
        <is>
          <t>Obligatoire sous conditions</t>
        </is>
      </c>
      <c r="O1085" s="236" t="inlineStr">
        <is>
          <t>Mandatory under conditions</t>
        </is>
      </c>
      <c r="P1085" s="269" t="inlineStr">
        <is>
          <t>LC.0257</t>
        </is>
      </c>
      <c r="Q1085" s="269" t="inlineStr">
        <is>
          <t>TA KVBUCKET</t>
        </is>
      </c>
      <c r="R1085" s="632" t="inlineStr">
        <is>
          <t>Pour le premier mois : 
- Application du B3 pour les encours associés aux tiers en défaut ;
- Application du B1 dans les autres cas</t>
        </is>
      </c>
      <c r="S1085" s="633" t="inlineStr">
        <is>
          <t>For the first month:
- Application of the B3 for outstandings associated with defaulting third parties;
- Application of B1 in other cases"</t>
        </is>
      </c>
      <c r="T1085" s="313" t="inlineStr">
        <is>
          <t>ALPHA</t>
        </is>
      </c>
      <c r="U1085" s="237" t="inlineStr">
        <is>
          <t>NA</t>
        </is>
      </c>
      <c r="V1085" s="238" t="inlineStr">
        <is>
          <t>NA</t>
        </is>
      </c>
      <c r="W1085" s="257" t="n">
        <v>2</v>
      </c>
      <c r="X1085" s="945" t="inlineStr">
        <is>
          <t>NA</t>
        </is>
      </c>
      <c r="Y1085" s="237" t="n">
        <v>42</v>
      </c>
      <c r="Z1085" s="237" t="inlineStr">
        <is>
          <t>NA</t>
        </is>
      </c>
      <c r="AA1085" s="978" t="inlineStr">
        <is>
          <t>45.00</t>
        </is>
      </c>
      <c r="AB1085" s="932" t="inlineStr">
        <is>
          <t>ASTRE, CALCULS PRUDENTIELS, ESG PILIER 3, GRR, LIQUIDITE, NPE, PALMA</t>
        </is>
      </c>
      <c r="AC1085" s="231" t="inlineStr">
        <is>
          <t>ND</t>
        </is>
      </c>
      <c r="AD1085" s="257" t="inlineStr">
        <is>
          <t>N</t>
        </is>
      </c>
      <c r="AE1085" s="257" t="inlineStr">
        <is>
          <t>NA</t>
        </is>
      </c>
      <c r="AF1085" s="257" t="inlineStr">
        <is>
          <t>NA</t>
        </is>
      </c>
      <c r="AG1085" s="258" t="inlineStr">
        <is>
          <t>NA</t>
        </is>
      </c>
      <c r="AH1085" s="89" t="n"/>
      <c r="AI1085" s="634" t="inlineStr">
        <is>
          <t>La donnée est obligatoire si ([P2 19.5] = ‘CAM') et ([P2 3.2] &lt;= dernier jour du mois ([EN 0.1] moins 1 mois)*)
* si [EN 0.1] = 20180228 alors on prend la valeur 20180131</t>
        </is>
      </c>
      <c r="AJ1085" s="317" t="inlineStr">
        <is>
          <t xml:space="preserve">The data is mandatory if ([P2 19.5] = ‘CAM') and ([P2 3.2] &lt;= last day of the month ([EN 0.1] minus 1 month)*)
* if [EN 0.1] = 20180228 then the value 20180131 is taken
</t>
        </is>
      </c>
      <c r="AK1085" s="257" t="n">
        <v>6</v>
      </c>
      <c r="AL1085" s="411" t="inlineStr">
        <is>
          <t>TPS1747</t>
        </is>
      </c>
      <c r="AM1085" s="318" t="inlineStr">
        <is>
          <t>Si elle est renseignée, la valeur doit être connue du Langage Commun associé</t>
        </is>
      </c>
      <c r="AN1085" s="317" t="inlineStr">
        <is>
          <t>If specified, the value must be known to the associated Common Language</t>
        </is>
      </c>
      <c r="AO1085" s="257" t="n">
        <v>7</v>
      </c>
      <c r="AP1085" s="212" t="inlineStr">
        <is>
          <t>TIG0001</t>
        </is>
      </c>
      <c r="AQ1085" s="318" t="n"/>
      <c r="AR1085" s="317" t="n"/>
      <c r="AS1085" s="257" t="n"/>
      <c r="AT1085" s="258" t="n"/>
      <c r="AU1085" s="318" t="n"/>
      <c r="AV1085" s="317" t="n"/>
      <c r="AW1085" s="257" t="n"/>
      <c r="AX1085" s="258" t="n"/>
      <c r="AY1085" s="318" t="n"/>
      <c r="AZ1085" s="317" t="n"/>
      <c r="BA1085" s="257" t="n"/>
      <c r="BB1085" s="258" t="n"/>
      <c r="BC1085" s="316" t="n"/>
      <c r="BD1085" s="317" t="n"/>
      <c r="BE1085" s="257" t="n"/>
      <c r="BF1085" s="258" t="n"/>
      <c r="BG1085" s="89" t="n"/>
      <c r="BH10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85">
        <f>_xlfn.LET(r,ROW(),oc,INDEX($A:$A,r),cv,TRIM(INDEX($Y:$Y,r)&amp;""),IF(oc&lt;&gt;"P1","",IF(cv="45","V45 - novo, nao alimentado pelo spool atual","V44 - alimentado pelo spool atual")))</f>
        <v/>
      </c>
    </row>
    <row r="1086" ht="54" customFormat="1" customHeight="1" s="94">
      <c r="A1086" s="306" t="inlineStr">
        <is>
          <t>P2</t>
        </is>
      </c>
      <c r="B1086" s="307" t="n">
        <v>189</v>
      </c>
      <c r="C1086" s="269" t="inlineStr">
        <is>
          <t>06 - Caractéristiques échéancier</t>
        </is>
      </c>
      <c r="D1086" s="236" t="inlineStr">
        <is>
          <t>06 - Schedule characteristics</t>
        </is>
      </c>
      <c r="E1086" s="372" t="inlineStr">
        <is>
          <t>P2 22.73</t>
        </is>
      </c>
      <c r="F1086" s="527" t="inlineStr">
        <is>
          <t xml:space="preserve">Probabilité de défaut à l'origine calculée en local </t>
        </is>
      </c>
      <c r="G1086" s="309" t="inlineStr">
        <is>
          <t xml:space="preserve">Initial probability of default calculated locally </t>
        </is>
      </c>
      <c r="H1086" s="309" t="n"/>
      <c r="I1086" s="527" t="inlineStr">
        <is>
          <t xml:space="preserve">Probabilité de défaut à l'origine calculée en local </t>
        </is>
      </c>
      <c r="J1086" s="309" t="inlineStr">
        <is>
          <t xml:space="preserve">Initial probability of default calculated locally </t>
        </is>
      </c>
      <c r="K1086" s="370" t="inlineStr">
        <is>
          <t>ND</t>
        </is>
      </c>
      <c r="L1086" s="371" t="inlineStr">
        <is>
          <t>ND</t>
        </is>
      </c>
      <c r="M1086" s="1420" t="inlineStr">
        <is>
          <t>cdPDOr</t>
        </is>
      </c>
      <c r="N1086" s="449" t="inlineStr">
        <is>
          <t>Facultatif</t>
        </is>
      </c>
      <c r="O1086" s="236" t="inlineStr">
        <is>
          <t>Optional</t>
        </is>
      </c>
      <c r="P1086" s="269" t="inlineStr">
        <is>
          <t>NA</t>
        </is>
      </c>
      <c r="Q1086" s="269" t="inlineStr">
        <is>
          <t>NA</t>
        </is>
      </c>
      <c r="R1086" s="475" t="inlineStr">
        <is>
          <t>Exprimée en %.
Obligatoire si Probabilité de Défaut à l'origine calculée en local (concerne les encours retail sans note) sinon laisser à vide – spécifique Cariparma pour le périmètre du retail avec encours &gt; 1M€ traité en corporate STD</t>
        </is>
      </c>
      <c r="S1086" s="233" t="inlineStr">
        <is>
          <t>Expressed as %
Mandatory if Default Probability originally calculated locally (for retail outstandings without rating) otherwise leave empty - specific Cariparma for the retail scope with outstanding &gt; € 1M treated in corporate STD</t>
        </is>
      </c>
      <c r="T1086" s="529" t="inlineStr">
        <is>
          <t>NUM</t>
        </is>
      </c>
      <c r="U1086" s="259" t="inlineStr">
        <is>
          <t>10 dont signe et 5 décimales</t>
        </is>
      </c>
      <c r="V1086" s="260" t="inlineStr">
        <is>
          <t>10 including sign and 5 decimals</t>
        </is>
      </c>
      <c r="W1086" s="315" t="n">
        <v>10</v>
      </c>
      <c r="X1086" s="945" t="inlineStr">
        <is>
          <t>NA</t>
        </is>
      </c>
      <c r="Y1086" s="237" t="n">
        <v>42</v>
      </c>
      <c r="Z1086" s="237" t="inlineStr">
        <is>
          <t>NA</t>
        </is>
      </c>
      <c r="AA1086" s="283" t="inlineStr">
        <is>
          <t>NA</t>
        </is>
      </c>
      <c r="AB1086" s="269" t="inlineStr">
        <is>
          <t>ASTRE, OMP</t>
        </is>
      </c>
      <c r="AC1086" s="231" t="inlineStr">
        <is>
          <t>ND</t>
        </is>
      </c>
      <c r="AD1086" s="257" t="inlineStr">
        <is>
          <t>N</t>
        </is>
      </c>
      <c r="AE1086" s="257" t="inlineStr">
        <is>
          <t>NA</t>
        </is>
      </c>
      <c r="AF1086" s="257" t="inlineStr">
        <is>
          <t>NA</t>
        </is>
      </c>
      <c r="AG1086" s="258" t="inlineStr">
        <is>
          <t>NA</t>
        </is>
      </c>
      <c r="AH1086" s="89" t="n"/>
      <c r="AI1086" s="316" t="n"/>
      <c r="AJ1086" s="317" t="n"/>
      <c r="AK1086" s="257" t="n"/>
      <c r="AL1086" s="258" t="n"/>
      <c r="AM1086" s="318" t="n"/>
      <c r="AN1086" s="317" t="n"/>
      <c r="AO1086" s="257" t="n"/>
      <c r="AP1086" s="258" t="n"/>
      <c r="AQ1086" s="436" t="inlineStr">
        <is>
          <t>Si renseignée, la donnée doit être comprise entre 0 et 100</t>
        </is>
      </c>
      <c r="AR1086" s="317" t="inlineStr">
        <is>
          <t>If filled, data must be between 0 and 100</t>
        </is>
      </c>
      <c r="AS1086" s="257" t="n">
        <v>7</v>
      </c>
      <c r="AT1086" s="345" t="inlineStr">
        <is>
          <t>TVG0004</t>
        </is>
      </c>
      <c r="AU1086" s="318" t="n"/>
      <c r="AV1086" s="317" t="n"/>
      <c r="AW1086" s="257" t="n"/>
      <c r="AX1086" s="258" t="n"/>
      <c r="AY1086" s="318" t="n"/>
      <c r="AZ1086" s="317" t="n"/>
      <c r="BA1086" s="257" t="n"/>
      <c r="BB1086" s="258" t="n"/>
      <c r="BC1086" s="316" t="n"/>
      <c r="BD1086" s="317" t="n"/>
      <c r="BE1086" s="257" t="n"/>
      <c r="BF1086" s="258" t="n"/>
      <c r="BG1086" s="89" t="n"/>
      <c r="BH10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86">
        <f>_xlfn.LET(r,ROW(),oc,INDEX($A:$A,r),cv,TRIM(INDEX($Y:$Y,r)&amp;""),IF(oc&lt;&gt;"P1","",IF(cv="45","V45 - novo, nao alimentado pelo spool atual","V44 - alimentado pelo spool atual")))</f>
        <v/>
      </c>
    </row>
    <row r="1087" ht="54" customFormat="1" customHeight="1" s="94">
      <c r="A1087" s="306" t="inlineStr">
        <is>
          <t>P2</t>
        </is>
      </c>
      <c r="B1087" s="307" t="n">
        <v>190</v>
      </c>
      <c r="C1087" s="269" t="inlineStr">
        <is>
          <t>06 - Caractéristiques échéancier</t>
        </is>
      </c>
      <c r="D1087" s="236" t="inlineStr">
        <is>
          <t>06 - Schedule characteristics</t>
        </is>
      </c>
      <c r="E1087" s="372" t="inlineStr">
        <is>
          <t>P2 22.74</t>
        </is>
      </c>
      <c r="F1087" s="527" t="inlineStr">
        <is>
          <t xml:space="preserve">Probabilité de défaut à date calculée en local </t>
        </is>
      </c>
      <c r="G1087" s="309" t="inlineStr">
        <is>
          <t xml:space="preserve">Probability of default calculated locally </t>
        </is>
      </c>
      <c r="H1087" s="309" t="n"/>
      <c r="I1087" s="527" t="inlineStr">
        <is>
          <t xml:space="preserve">Probabilité de défaut à date calculée en local </t>
        </is>
      </c>
      <c r="J1087" s="309" t="inlineStr">
        <is>
          <t xml:space="preserve">Probability of default calculated locally </t>
        </is>
      </c>
      <c r="K1087" s="370" t="inlineStr">
        <is>
          <t>ND</t>
        </is>
      </c>
      <c r="L1087" s="371" t="inlineStr">
        <is>
          <t>ND</t>
        </is>
      </c>
      <c r="M1087" s="1420" t="inlineStr">
        <is>
          <t>ProbDef</t>
        </is>
      </c>
      <c r="N1087" s="449" t="inlineStr">
        <is>
          <t>Facultatif</t>
        </is>
      </c>
      <c r="O1087" s="236" t="inlineStr">
        <is>
          <t>Optional</t>
        </is>
      </c>
      <c r="P1087" s="269" t="inlineStr">
        <is>
          <t>NA</t>
        </is>
      </c>
      <c r="Q1087" s="269" t="inlineStr">
        <is>
          <t>NA</t>
        </is>
      </c>
      <c r="R1087" s="475" t="inlineStr">
        <is>
          <t>Exprimée en %.
Obligatoire si Probabilité de Défaut à date calculée en local (concerne les encours retail sans note) sinon laisser à vide – spécifique Cariparma pour le périmètre du retail avec encours &gt; 1M€ traité en corporate STD</t>
        </is>
      </c>
      <c r="S1087" s="233" t="inlineStr">
        <is>
          <t>Expressed as %
Mandatory if Probability of default at date calculated locally (concerns retail outstandings without note) otherwise leave empty - specific Cariparma for the retail scope with outstanding &gt; € 1M treated in corporate STD</t>
        </is>
      </c>
      <c r="T1087" s="529" t="inlineStr">
        <is>
          <t>NUM</t>
        </is>
      </c>
      <c r="U1087" s="259" t="inlineStr">
        <is>
          <t>10 dont signe et 5 décimales</t>
        </is>
      </c>
      <c r="V1087" s="260" t="inlineStr">
        <is>
          <t>10 including sign and 5 decimals</t>
        </is>
      </c>
      <c r="W1087" s="315" t="n">
        <v>10</v>
      </c>
      <c r="X1087" s="945" t="inlineStr">
        <is>
          <t>NA</t>
        </is>
      </c>
      <c r="Y1087" s="237" t="n">
        <v>42</v>
      </c>
      <c r="Z1087" s="237" t="inlineStr">
        <is>
          <t>NA</t>
        </is>
      </c>
      <c r="AA1087" s="283" t="inlineStr">
        <is>
          <t>NA</t>
        </is>
      </c>
      <c r="AB1087" s="269" t="inlineStr">
        <is>
          <t>ANACREDIT, ASTRE, OMP</t>
        </is>
      </c>
      <c r="AC1087" s="231" t="inlineStr">
        <is>
          <t>ND</t>
        </is>
      </c>
      <c r="AD1087" s="257" t="inlineStr">
        <is>
          <t>N</t>
        </is>
      </c>
      <c r="AE1087" s="257" t="inlineStr">
        <is>
          <t>NA</t>
        </is>
      </c>
      <c r="AF1087" s="257" t="inlineStr">
        <is>
          <t>NA</t>
        </is>
      </c>
      <c r="AG1087" s="258" t="inlineStr">
        <is>
          <t>NA</t>
        </is>
      </c>
      <c r="AH1087" s="89" t="n"/>
      <c r="AI1087" s="316" t="n"/>
      <c r="AJ1087" s="317" t="n"/>
      <c r="AK1087" s="257" t="n"/>
      <c r="AL1087" s="258" t="n"/>
      <c r="AM1087" s="318" t="n"/>
      <c r="AN1087" s="317" t="n"/>
      <c r="AO1087" s="257" t="n"/>
      <c r="AP1087" s="258" t="n"/>
      <c r="AQ1087" s="318" t="inlineStr">
        <is>
          <t>Si renseignée, la donnée doit être comprise entre 0 et 100</t>
        </is>
      </c>
      <c r="AR1087" s="317" t="inlineStr">
        <is>
          <t>If filled, data must be between 0 and 100</t>
        </is>
      </c>
      <c r="AS1087" s="257" t="n">
        <v>7</v>
      </c>
      <c r="AT1087" s="366" t="inlineStr">
        <is>
          <t>TVG0004</t>
        </is>
      </c>
      <c r="AU1087" s="318" t="n"/>
      <c r="AV1087" s="317" t="n"/>
      <c r="AW1087" s="257" t="n"/>
      <c r="AX1087" s="258" t="n"/>
      <c r="AY1087" s="318" t="n"/>
      <c r="AZ1087" s="317" t="n"/>
      <c r="BA1087" s="257" t="n"/>
      <c r="BB1087" s="258" t="n"/>
      <c r="BC1087" s="316" t="n"/>
      <c r="BD1087" s="317" t="n"/>
      <c r="BE1087" s="257" t="n"/>
      <c r="BF1087" s="258" t="n"/>
      <c r="BG1087" s="89" t="n"/>
      <c r="BH10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87">
        <f>_xlfn.LET(r,ROW(),oc,INDEX($A:$A,r),cv,TRIM(INDEX($Y:$Y,r)&amp;""),IF(oc&lt;&gt;"P1","",IF(cv="45","V45 - novo, nao alimentado pelo spool atual","V44 - alimentado pelo spool atual")))</f>
        <v/>
      </c>
    </row>
    <row r="1088" ht="54" customFormat="1" customHeight="1" s="55">
      <c r="A1088" s="325" t="inlineStr">
        <is>
          <t>P2</t>
        </is>
      </c>
      <c r="B1088" s="326" t="n">
        <v>191</v>
      </c>
      <c r="C1088" s="284" t="inlineStr">
        <is>
          <t>NA</t>
        </is>
      </c>
      <c r="D1088" s="244" t="inlineStr">
        <is>
          <t>NA</t>
        </is>
      </c>
      <c r="E1088" s="326" t="inlineStr">
        <is>
          <t>P2 22.99</t>
        </is>
      </c>
      <c r="F1088" s="327" t="inlineStr">
        <is>
          <t>Filler</t>
        </is>
      </c>
      <c r="G1088" s="327" t="inlineStr">
        <is>
          <t>Filler</t>
        </is>
      </c>
      <c r="H1088" s="327" t="n"/>
      <c r="I1088" s="247" t="inlineStr">
        <is>
          <t>Zone libre</t>
        </is>
      </c>
      <c r="J1088" s="327" t="inlineStr">
        <is>
          <t>Free zone</t>
        </is>
      </c>
      <c r="K1088" s="388" t="inlineStr">
        <is>
          <t>NA</t>
        </is>
      </c>
      <c r="L1088" s="388" t="inlineStr">
        <is>
          <t>NA</t>
        </is>
      </c>
      <c r="M1088" s="1421" t="inlineStr">
        <is>
          <t>Zonelibre2299</t>
        </is>
      </c>
      <c r="N1088" s="284" t="inlineStr">
        <is>
          <t>NA</t>
        </is>
      </c>
      <c r="O1088" s="388" t="inlineStr">
        <is>
          <t>NA</t>
        </is>
      </c>
      <c r="P1088" s="284" t="inlineStr">
        <is>
          <t>NA</t>
        </is>
      </c>
      <c r="Q1088" s="284" t="inlineStr">
        <is>
          <t>NA</t>
        </is>
      </c>
      <c r="R1088" s="247" t="inlineStr">
        <is>
          <t>Laisser à vide</t>
        </is>
      </c>
      <c r="S1088" s="247" t="inlineStr">
        <is>
          <t>Leave empty</t>
        </is>
      </c>
      <c r="T1088" s="326" t="inlineStr">
        <is>
          <t>ALPHA</t>
        </is>
      </c>
      <c r="U1088" s="248" t="inlineStr">
        <is>
          <t>NA</t>
        </is>
      </c>
      <c r="V1088" s="248" t="inlineStr">
        <is>
          <t>NA</t>
        </is>
      </c>
      <c r="W1088" s="284" t="n">
        <v>1</v>
      </c>
      <c r="X1088" s="244" t="inlineStr">
        <is>
          <t>NA</t>
        </is>
      </c>
      <c r="Y1088" s="248" t="inlineStr">
        <is>
          <t>NA</t>
        </is>
      </c>
      <c r="Z1088" s="248" t="inlineStr">
        <is>
          <t>NA</t>
        </is>
      </c>
      <c r="AA1088" s="248" t="inlineStr">
        <is>
          <t>NA</t>
        </is>
      </c>
      <c r="AB1088" s="244" t="inlineStr">
        <is>
          <t>NA</t>
        </is>
      </c>
      <c r="AC1088" s="244" t="inlineStr">
        <is>
          <t>NA</t>
        </is>
      </c>
      <c r="AD1088" s="284" t="inlineStr">
        <is>
          <t>N</t>
        </is>
      </c>
      <c r="AE1088" s="284" t="inlineStr">
        <is>
          <t>NA</t>
        </is>
      </c>
      <c r="AF1088" s="284" t="inlineStr">
        <is>
          <t>NA</t>
        </is>
      </c>
      <c r="AG1088" s="285" t="inlineStr">
        <is>
          <t>NA</t>
        </is>
      </c>
      <c r="AH1088" s="89" t="n"/>
      <c r="AI1088" s="330" t="n"/>
      <c r="AJ1088" s="331" t="n"/>
      <c r="AK1088" s="284" t="n"/>
      <c r="AL1088" s="285" t="n"/>
      <c r="AM1088" s="331" t="n"/>
      <c r="AN1088" s="331" t="n"/>
      <c r="AO1088" s="284" t="n"/>
      <c r="AP1088" s="285" t="n"/>
      <c r="AQ1088" s="331" t="n"/>
      <c r="AR1088" s="331" t="n"/>
      <c r="AS1088" s="284" t="n"/>
      <c r="AT1088" s="285" t="n"/>
      <c r="AU1088" s="331" t="n"/>
      <c r="AV1088" s="331" t="n"/>
      <c r="AW1088" s="284" t="n"/>
      <c r="AX1088" s="285" t="n"/>
      <c r="AY1088" s="331" t="n"/>
      <c r="AZ1088" s="331" t="n"/>
      <c r="BA1088" s="284" t="n"/>
      <c r="BB1088" s="285" t="n"/>
      <c r="BC1088" s="330" t="n"/>
      <c r="BD1088" s="331" t="n"/>
      <c r="BE1088" s="284" t="n"/>
      <c r="BF1088" s="285" t="n"/>
      <c r="BG1088" s="89" t="n"/>
      <c r="BH10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88">
        <f>_xlfn.LET(r,ROW(),oc,INDEX($A:$A,r),cv,TRIM(INDEX($Y:$Y,r)&amp;""),IF(oc&lt;&gt;"P1","",IF(cv="45","V45 - novo, nao alimentado pelo spool atual","V44 - alimentado pelo spool atual")))</f>
        <v/>
      </c>
    </row>
    <row r="1089" ht="54" customFormat="1" customHeight="1" s="90">
      <c r="A1089" s="306" t="inlineStr">
        <is>
          <t>P2</t>
        </is>
      </c>
      <c r="B1089" s="307" t="n">
        <v>192</v>
      </c>
      <c r="C1089" s="269" t="inlineStr">
        <is>
          <t>13 - Caractéristiques Provision</t>
        </is>
      </c>
      <c r="D1089" s="310" t="inlineStr">
        <is>
          <t>13 - Provision characteristics</t>
        </is>
      </c>
      <c r="E1089" s="307" t="inlineStr">
        <is>
          <t>P2 23.1</t>
        </is>
      </c>
      <c r="F1089" s="308" t="inlineStr">
        <is>
          <t>Eligibilité Outil Mutualisé de provisionnement</t>
        </is>
      </c>
      <c r="G1089" s="309" t="inlineStr">
        <is>
          <t>Mutualised provisioning tool eligibility</t>
        </is>
      </c>
      <c r="H1089" s="309" t="n"/>
      <c r="I1089" s="241" t="inlineStr">
        <is>
          <t>Indicateur d'éligibilité à l'Outil Mutualisé de provisionnement</t>
        </is>
      </c>
      <c r="J1089" s="309" t="inlineStr">
        <is>
          <t>Indicator of eligibility of the mutualised provisioning tool</t>
        </is>
      </c>
      <c r="K1089" s="370" t="inlineStr">
        <is>
          <t>ND</t>
        </is>
      </c>
      <c r="L1089" s="371" t="inlineStr">
        <is>
          <t>ND</t>
        </is>
      </c>
      <c r="M1089" s="1420" t="inlineStr">
        <is>
          <t>cdOMP</t>
        </is>
      </c>
      <c r="N1089" s="231" t="inlineStr">
        <is>
          <t>Obligatoire</t>
        </is>
      </c>
      <c r="O1089" s="236" t="inlineStr">
        <is>
          <t>Mandatory</t>
        </is>
      </c>
      <c r="P1089" s="269" t="inlineStr">
        <is>
          <t>LC.0216</t>
        </is>
      </c>
      <c r="Q1089" s="269" t="inlineStr">
        <is>
          <t>TA KVELIOMP</t>
        </is>
      </c>
      <c r="R1089" s="241" t="inlineStr">
        <is>
          <t>NA</t>
        </is>
      </c>
      <c r="S1089" s="233" t="inlineStr">
        <is>
          <t>NA</t>
        </is>
      </c>
      <c r="T1089" s="313" t="inlineStr">
        <is>
          <t>ALPHA</t>
        </is>
      </c>
      <c r="U1089" s="237" t="inlineStr">
        <is>
          <t>NA</t>
        </is>
      </c>
      <c r="V1089" s="238" t="inlineStr">
        <is>
          <t>NA</t>
        </is>
      </c>
      <c r="W1089" s="269" t="n">
        <v>1</v>
      </c>
      <c r="X1089" s="231" t="inlineStr">
        <is>
          <t>NA</t>
        </is>
      </c>
      <c r="Y1089" s="237" t="n">
        <v>41</v>
      </c>
      <c r="Z1089" s="237" t="inlineStr">
        <is>
          <t>NA</t>
        </is>
      </c>
      <c r="AA1089" s="237" t="inlineStr">
        <is>
          <t>NA</t>
        </is>
      </c>
      <c r="AB1089" s="269" t="inlineStr">
        <is>
          <t>ASTRE, OMP</t>
        </is>
      </c>
      <c r="AC1089" s="231" t="inlineStr">
        <is>
          <t>ND</t>
        </is>
      </c>
      <c r="AD1089" s="257" t="inlineStr">
        <is>
          <t>N</t>
        </is>
      </c>
      <c r="AE1089" s="257" t="inlineStr">
        <is>
          <t>NA</t>
        </is>
      </c>
      <c r="AF1089" s="257" t="inlineStr">
        <is>
          <t>NA</t>
        </is>
      </c>
      <c r="AG1089" s="258" t="inlineStr">
        <is>
          <t>NA</t>
        </is>
      </c>
      <c r="AH1089" s="89" t="n"/>
      <c r="AI1089" s="316" t="inlineStr">
        <is>
          <t>La donnée est obligatoire</t>
        </is>
      </c>
      <c r="AJ1089" s="317" t="inlineStr">
        <is>
          <t>The data is mandatory</t>
        </is>
      </c>
      <c r="AK1089" s="257" t="n">
        <v>7</v>
      </c>
      <c r="AL1089" s="335" t="inlineStr">
        <is>
          <t>TPG0001</t>
        </is>
      </c>
      <c r="AM1089" s="318" t="inlineStr">
        <is>
          <t>Si elle est renseignée, la valeur doit être connue du Langage Commun associé</t>
        </is>
      </c>
      <c r="AN1089" s="317" t="inlineStr">
        <is>
          <t>If specified, the value must be known to the associated Common Language</t>
        </is>
      </c>
      <c r="AO1089" s="257" t="n">
        <v>7</v>
      </c>
      <c r="AP1089" s="212" t="inlineStr">
        <is>
          <t>TIG0001</t>
        </is>
      </c>
      <c r="AQ1089" s="318" t="n"/>
      <c r="AR1089" s="317" t="n"/>
      <c r="AS1089" s="257" t="n"/>
      <c r="AT1089" s="258" t="n"/>
      <c r="AU1089" s="318" t="n"/>
      <c r="AV1089" s="317" t="n"/>
      <c r="AW1089" s="257" t="n"/>
      <c r="AX1089" s="258" t="n"/>
      <c r="AY1089" s="318" t="n"/>
      <c r="AZ1089" s="317" t="n"/>
      <c r="BA1089" s="257" t="n"/>
      <c r="BB1089" s="258" t="n"/>
      <c r="BC1089" s="316" t="n"/>
      <c r="BD1089" s="317" t="n"/>
      <c r="BE1089" s="257" t="n"/>
      <c r="BF1089" s="258" t="n"/>
      <c r="BG1089" s="89" t="n"/>
      <c r="BH10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89">
        <f>_xlfn.LET(r,ROW(),oc,INDEX($A:$A,r),cv,TRIM(INDEX($Y:$Y,r)&amp;""),IF(oc&lt;&gt;"P1","",IF(cv="45","V45 - novo, nao alimentado pelo spool atual","V44 - alimentado pelo spool atual")))</f>
        <v/>
      </c>
    </row>
    <row r="1090" ht="54" customFormat="1" customHeight="1" s="90">
      <c r="A1090" s="306" t="inlineStr">
        <is>
          <t>P2</t>
        </is>
      </c>
      <c r="B1090" s="307" t="n">
        <v>193</v>
      </c>
      <c r="C1090" s="269" t="inlineStr">
        <is>
          <t>13 - Caractéristiques Provision</t>
        </is>
      </c>
      <c r="D1090" s="310" t="inlineStr">
        <is>
          <t>13 - Provision characteristics</t>
        </is>
      </c>
      <c r="E1090" s="307" t="inlineStr">
        <is>
          <t>P2 23.2</t>
        </is>
      </c>
      <c r="F1090" s="308" t="inlineStr">
        <is>
          <t>Centre de résultat</t>
        </is>
      </c>
      <c r="G1090" s="309" t="inlineStr">
        <is>
          <t>Result center</t>
        </is>
      </c>
      <c r="H1090" s="309" t="n"/>
      <c r="I1090" s="241" t="inlineStr">
        <is>
          <t>Identification de sous-périmètre dans une entité
Correspond à un centre de responsabilité comptable, ou un centre de résultat ou un Business Unit en fonction des entités
Codification libre</t>
        </is>
      </c>
      <c r="J1090" s="233" t="inlineStr">
        <is>
          <t>Identification of sub-scope in an entity. 
Corresponds to an accounting responsibility centre, result centre, or Business Unit depending on the entity. 
Free codification</t>
        </is>
      </c>
      <c r="K1090" s="269" t="inlineStr">
        <is>
          <t>ND</t>
        </is>
      </c>
      <c r="L1090" s="310" t="inlineStr">
        <is>
          <t>ND</t>
        </is>
      </c>
      <c r="M1090" s="1420" t="inlineStr">
        <is>
          <t>cdCtreRes</t>
        </is>
      </c>
      <c r="N1090" s="986" t="inlineStr">
        <is>
          <t>Obligatoire (SC)</t>
        </is>
      </c>
      <c r="O1090" s="987" t="inlineStr">
        <is>
          <t>Mandatory (SC)</t>
        </is>
      </c>
      <c r="P1090" s="269" t="inlineStr">
        <is>
          <t>NA</t>
        </is>
      </c>
      <c r="Q1090" s="269" t="inlineStr">
        <is>
          <t>NA</t>
        </is>
      </c>
      <c r="R1090" s="1043" t="inlineStr">
        <is>
          <t>NA</t>
        </is>
      </c>
      <c r="S1090" s="1009" t="inlineStr">
        <is>
          <t>NA</t>
        </is>
      </c>
      <c r="T1090" s="307" t="inlineStr">
        <is>
          <t>ALPHA</t>
        </is>
      </c>
      <c r="U1090" s="237" t="inlineStr">
        <is>
          <t>NA</t>
        </is>
      </c>
      <c r="V1090" s="238" t="inlineStr">
        <is>
          <t>NA</t>
        </is>
      </c>
      <c r="W1090" s="269" t="n">
        <v>7</v>
      </c>
      <c r="X1090" s="231" t="inlineStr">
        <is>
          <t>NA</t>
        </is>
      </c>
      <c r="Y1090" s="237" t="n">
        <v>41</v>
      </c>
      <c r="Z1090" s="237" t="inlineStr">
        <is>
          <t>NA</t>
        </is>
      </c>
      <c r="AA1090" s="237" t="inlineStr">
        <is>
          <t>45.00</t>
        </is>
      </c>
      <c r="AB1090" s="932" t="inlineStr">
        <is>
          <t>LIQUIDITE, OMP, PALMA</t>
        </is>
      </c>
      <c r="AC1090" s="231" t="inlineStr">
        <is>
          <t>ND</t>
        </is>
      </c>
      <c r="AD1090" s="257" t="inlineStr">
        <is>
          <t>N</t>
        </is>
      </c>
      <c r="AE1090" s="257" t="inlineStr">
        <is>
          <t>NA</t>
        </is>
      </c>
      <c r="AF1090" s="257" t="inlineStr">
        <is>
          <t>NA</t>
        </is>
      </c>
      <c r="AG1090" s="258" t="inlineStr">
        <is>
          <t>NA</t>
        </is>
      </c>
      <c r="AH1090" s="89" t="n"/>
      <c r="AI1090" s="316" t="n"/>
      <c r="AJ1090" s="317" t="n"/>
      <c r="AK1090" s="257" t="n"/>
      <c r="AL1090" s="258" t="n"/>
      <c r="AM1090" s="318" t="n"/>
      <c r="AN1090" s="317" t="n"/>
      <c r="AO1090" s="257" t="n"/>
      <c r="AP1090" s="258" t="n"/>
      <c r="AQ1090" s="318" t="n"/>
      <c r="AR1090" s="317" t="n"/>
      <c r="AS1090" s="257" t="n"/>
      <c r="AT1090" s="258" t="n"/>
      <c r="AU1090" s="318" t="n"/>
      <c r="AV1090" s="317" t="n"/>
      <c r="AW1090" s="257" t="n"/>
      <c r="AX1090" s="258" t="n"/>
      <c r="AY1090" s="318" t="n"/>
      <c r="AZ1090" s="317" t="n"/>
      <c r="BA1090" s="257" t="n"/>
      <c r="BB1090" s="258" t="n"/>
      <c r="BC1090" s="316" t="n"/>
      <c r="BD1090" s="317" t="n"/>
      <c r="BE1090" s="257" t="n"/>
      <c r="BF1090" s="258" t="n"/>
      <c r="BG1090" s="89" t="n"/>
      <c r="BH10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90">
        <f>_xlfn.LET(r,ROW(),oc,INDEX($A:$A,r),cv,TRIM(INDEX($Y:$Y,r)&amp;""),IF(oc&lt;&gt;"P1","",IF(cv="45","V45 - novo, nao alimentado pelo spool atual","V44 - alimentado pelo spool atual")))</f>
        <v/>
      </c>
    </row>
    <row r="1091" ht="54" customFormat="1" customHeight="1" s="90">
      <c r="A1091" s="306" t="inlineStr">
        <is>
          <t>P2</t>
        </is>
      </c>
      <c r="B1091" s="307" t="n">
        <v>194</v>
      </c>
      <c r="C1091" s="269" t="inlineStr">
        <is>
          <t>13 - Caractéristiques Provision</t>
        </is>
      </c>
      <c r="D1091" s="310" t="inlineStr">
        <is>
          <t>13 - Provision characteristics</t>
        </is>
      </c>
      <c r="E1091" s="307" t="inlineStr">
        <is>
          <t>P2 23.3</t>
        </is>
      </c>
      <c r="F1091" s="308" t="inlineStr">
        <is>
          <t>Système de gestion source</t>
        </is>
      </c>
      <c r="G1091" s="309" t="inlineStr">
        <is>
          <t>Source management system</t>
        </is>
      </c>
      <c r="H1091" s="309" t="n"/>
      <c r="I1091" s="241" t="inlineStr">
        <is>
          <t>Code du système opérationnel de gestion de l'opération de l'entité</t>
        </is>
      </c>
      <c r="J1091" s="233" t="inlineStr">
        <is>
          <t>Code of the operational management system of the entity file's content</t>
        </is>
      </c>
      <c r="K1091" s="269" t="inlineStr">
        <is>
          <t>ND</t>
        </is>
      </c>
      <c r="L1091" s="310" t="inlineStr">
        <is>
          <t>ND</t>
        </is>
      </c>
      <c r="M1091" s="1420" t="inlineStr">
        <is>
          <t>appliSysGestSource</t>
        </is>
      </c>
      <c r="N1091" s="231" t="inlineStr">
        <is>
          <t>Obligatoire</t>
        </is>
      </c>
      <c r="O1091" s="236" t="inlineStr">
        <is>
          <t>Mandatory</t>
        </is>
      </c>
      <c r="P1091" s="269" t="inlineStr">
        <is>
          <t>NA</t>
        </is>
      </c>
      <c r="Q1091" s="269" t="inlineStr">
        <is>
          <t>NA</t>
        </is>
      </c>
      <c r="R1091" s="241" t="inlineStr">
        <is>
          <t>Codification libre</t>
        </is>
      </c>
      <c r="S1091" s="233" t="inlineStr">
        <is>
          <t>Free codification</t>
        </is>
      </c>
      <c r="T1091" s="307" t="inlineStr">
        <is>
          <t>ALPHA</t>
        </is>
      </c>
      <c r="U1091" s="237" t="inlineStr">
        <is>
          <t>NA</t>
        </is>
      </c>
      <c r="V1091" s="238" t="inlineStr">
        <is>
          <t>NA</t>
        </is>
      </c>
      <c r="W1091" s="269" t="n">
        <v>20</v>
      </c>
      <c r="X1091" s="231" t="inlineStr">
        <is>
          <t>NA</t>
        </is>
      </c>
      <c r="Y1091" s="237" t="n">
        <v>41</v>
      </c>
      <c r="Z1091" s="237" t="inlineStr">
        <is>
          <t>NA</t>
        </is>
      </c>
      <c r="AA1091" s="237" t="inlineStr">
        <is>
          <t>NA</t>
        </is>
      </c>
      <c r="AB1091" s="269" t="inlineStr">
        <is>
          <t>ASTRE, OMP, NPE</t>
        </is>
      </c>
      <c r="AC1091" s="231" t="inlineStr">
        <is>
          <t>ND</t>
        </is>
      </c>
      <c r="AD1091" s="257" t="inlineStr">
        <is>
          <t>N</t>
        </is>
      </c>
      <c r="AE1091" s="257" t="inlineStr">
        <is>
          <t>NA</t>
        </is>
      </c>
      <c r="AF1091" s="257" t="inlineStr">
        <is>
          <t>NA</t>
        </is>
      </c>
      <c r="AG1091" s="258" t="inlineStr">
        <is>
          <t>NA</t>
        </is>
      </c>
      <c r="AH1091" s="89" t="n"/>
      <c r="AI1091" s="353" t="inlineStr">
        <is>
          <t xml:space="preserve">La donnée est obligatoire </t>
        </is>
      </c>
      <c r="AJ1091" s="317" t="inlineStr">
        <is>
          <t>The data is mandatory</t>
        </is>
      </c>
      <c r="AK1091" s="269" t="n">
        <v>7</v>
      </c>
      <c r="AL1091" s="335" t="inlineStr">
        <is>
          <t>TPG0001</t>
        </is>
      </c>
      <c r="AM1091" s="318" t="n"/>
      <c r="AN1091" s="317" t="n"/>
      <c r="AO1091" s="257" t="n"/>
      <c r="AP1091" s="258" t="n"/>
      <c r="AQ1091" s="318" t="n"/>
      <c r="AR1091" s="317" t="n"/>
      <c r="AS1091" s="257" t="n"/>
      <c r="AT1091" s="258" t="n"/>
      <c r="AU1091" s="318" t="n"/>
      <c r="AV1091" s="317" t="n"/>
      <c r="AW1091" s="257" t="n"/>
      <c r="AX1091" s="258" t="n"/>
      <c r="AY1091" s="318" t="n"/>
      <c r="AZ1091" s="317" t="n"/>
      <c r="BA1091" s="257" t="n"/>
      <c r="BB1091" s="258" t="n"/>
      <c r="BC1091" s="316" t="n"/>
      <c r="BD1091" s="317" t="n"/>
      <c r="BE1091" s="257" t="n"/>
      <c r="BF1091" s="258" t="n"/>
      <c r="BG1091" s="89" t="n"/>
      <c r="BH10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91">
        <f>_xlfn.LET(r,ROW(),oc,INDEX($A:$A,r),cv,TRIM(INDEX($Y:$Y,r)&amp;""),IF(oc&lt;&gt;"P1","",IF(cv="45","V45 - novo, nao alimentado pelo spool atual","V44 - alimentado pelo spool atual")))</f>
        <v/>
      </c>
    </row>
    <row r="1092" ht="54" customFormat="1" customHeight="1" s="55">
      <c r="A1092" s="325" t="inlineStr">
        <is>
          <t>P2</t>
        </is>
      </c>
      <c r="B1092" s="326" t="n">
        <v>195</v>
      </c>
      <c r="C1092" s="284" t="inlineStr">
        <is>
          <t>13 - Caractéristiques Provision</t>
        </is>
      </c>
      <c r="D1092" s="284" t="inlineStr">
        <is>
          <t>13 - Provision characteristics</t>
        </is>
      </c>
      <c r="E1092" s="326" t="inlineStr">
        <is>
          <t>P2 23.4</t>
        </is>
      </c>
      <c r="F1092" s="327" t="inlineStr">
        <is>
          <t>Classification comptable des actifs en norme IFRS9</t>
        </is>
      </c>
      <c r="G1092" s="327" t="inlineStr">
        <is>
          <t>Accounting classification of assets under IFRS 9</t>
        </is>
      </c>
      <c r="H1092" s="327" t="n"/>
      <c r="I1092" s="245" t="inlineStr">
        <is>
          <t>Permet d'identifier le périmètre devant faire l'objet d'un provisionnement au titre des normes internationales IFRS9</t>
        </is>
      </c>
      <c r="J1092" s="327" t="inlineStr">
        <is>
          <t>Identifies the scope that must be provisioned under IFRS 9</t>
        </is>
      </c>
      <c r="K1092" s="284" t="inlineStr">
        <is>
          <t>NA</t>
        </is>
      </c>
      <c r="L1092" s="388" t="inlineStr">
        <is>
          <t>NA</t>
        </is>
      </c>
      <c r="M1092" s="1421" t="inlineStr">
        <is>
          <t>cdClasIFRS9</t>
        </is>
      </c>
      <c r="N1092" s="284" t="inlineStr">
        <is>
          <t>NA</t>
        </is>
      </c>
      <c r="O1092" s="388" t="inlineStr">
        <is>
          <t>NA</t>
        </is>
      </c>
      <c r="P1092" s="284" t="inlineStr">
        <is>
          <t>LC.0066</t>
        </is>
      </c>
      <c r="Q1092" s="284" t="inlineStr">
        <is>
          <t>TA KVCLCOMP</t>
        </is>
      </c>
      <c r="R1092" s="245" t="inlineStr">
        <is>
          <t>Cette donnée devra être alimentée à partir de la nomenclature IFRS9 dès 2017 pour les simulations de l'outil OMP. La nomenclature IFRS9 rentrera officiellement en vigueur (à la place de la norme IAS au 1er janvier 2018) et il conviendra alors à cette date d'alimenter la donnée "Classification comptable de référence des actifs " (P2 19.5) en norme IFRS9</t>
        </is>
      </c>
      <c r="S1092" s="245" t="inlineStr">
        <is>
          <t>This nomenclature will be used in 2017 only for the MPT simulations
The IFRS 9 nomenclature goes into force on January 1, 2018 (replaces IAS 39), therefore "Reference accounting classification of assets" (P2 19.5) will be used for the IFRS9 nomenclature</t>
        </is>
      </c>
      <c r="T1092" s="326" t="inlineStr">
        <is>
          <t>ALPHA</t>
        </is>
      </c>
      <c r="U1092" s="248" t="inlineStr">
        <is>
          <t>NA</t>
        </is>
      </c>
      <c r="V1092" s="248" t="inlineStr">
        <is>
          <t>NA</t>
        </is>
      </c>
      <c r="W1092" s="284" t="n">
        <v>3</v>
      </c>
      <c r="X1092" s="244" t="inlineStr">
        <is>
          <t>NA</t>
        </is>
      </c>
      <c r="Y1092" s="248" t="inlineStr">
        <is>
          <t>40</t>
        </is>
      </c>
      <c r="Z1092" s="782" t="inlineStr">
        <is>
          <t>45</t>
        </is>
      </c>
      <c r="AA1092" s="782" t="inlineStr">
        <is>
          <t>45.00</t>
        </is>
      </c>
      <c r="AB1092" s="284" t="inlineStr">
        <is>
          <t>CONGLOMERATS, OMP</t>
        </is>
      </c>
      <c r="AC1092" s="244" t="inlineStr">
        <is>
          <t>NA</t>
        </is>
      </c>
      <c r="AD1092" s="284" t="inlineStr">
        <is>
          <t>N</t>
        </is>
      </c>
      <c r="AE1092" s="284" t="inlineStr">
        <is>
          <t>NA</t>
        </is>
      </c>
      <c r="AF1092" s="284" t="inlineStr">
        <is>
          <t>NA</t>
        </is>
      </c>
      <c r="AG1092" s="285" t="inlineStr">
        <is>
          <t>NA</t>
        </is>
      </c>
      <c r="AH1092" s="1362" t="n"/>
      <c r="AI1092" s="951" t="n"/>
      <c r="AJ1092" s="952" t="n"/>
      <c r="AK1092" s="953" t="n"/>
      <c r="AL1092" s="954" t="n"/>
      <c r="AM1092" s="952" t="n"/>
      <c r="AN1092" s="952" t="n"/>
      <c r="AO1092" s="953" t="n"/>
      <c r="AP1092" s="955" t="n"/>
      <c r="AQ1092" s="331" t="n"/>
      <c r="AR1092" s="331" t="n"/>
      <c r="AS1092" s="284" t="n"/>
      <c r="AT1092" s="285" t="n"/>
      <c r="AU1092" s="952" t="n"/>
      <c r="AV1092" s="952" t="n"/>
      <c r="AW1092" s="953" t="n"/>
      <c r="AX1092" s="954" t="n"/>
      <c r="AY1092" s="331" t="n"/>
      <c r="AZ1092" s="331" t="n"/>
      <c r="BA1092" s="284" t="n"/>
      <c r="BB1092" s="285" t="n"/>
      <c r="BC1092" s="330" t="n"/>
      <c r="BD1092" s="331" t="n"/>
      <c r="BE1092" s="284" t="n"/>
      <c r="BF1092" s="285" t="n"/>
      <c r="BG1092" s="89" t="n"/>
      <c r="BH10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92">
        <f>_xlfn.LET(r,ROW(),oc,INDEX($A:$A,r),cv,TRIM(INDEX($Y:$Y,r)&amp;""),IF(oc&lt;&gt;"P1","",IF(cv="45","V45 - novo, nao alimentado pelo spool atual","V44 - alimentado pelo spool atual")))</f>
        <v/>
      </c>
    </row>
    <row r="1093" ht="54" customFormat="1" customHeight="1" s="90">
      <c r="A1093" s="306" t="inlineStr">
        <is>
          <t>P2</t>
        </is>
      </c>
      <c r="B1093" s="307" t="n">
        <v>196</v>
      </c>
      <c r="C1093" s="269" t="inlineStr">
        <is>
          <t>13 - Caractéristiques Provision</t>
        </is>
      </c>
      <c r="D1093" s="310" t="inlineStr">
        <is>
          <t>13 - Provision characteristics</t>
        </is>
      </c>
      <c r="E1093" s="307" t="inlineStr">
        <is>
          <t>P2 23.5</t>
        </is>
      </c>
      <c r="F1093" s="308" t="inlineStr">
        <is>
          <t>Classification comptable des actifs en norme nationale</t>
        </is>
      </c>
      <c r="G1093" s="309" t="inlineStr">
        <is>
          <t>Accounting classification of assets under national standards</t>
        </is>
      </c>
      <c r="H1093" s="309" t="n"/>
      <c r="I1093" s="241" t="inlineStr">
        <is>
          <t>Permet d'identifier le périmètre devant faire l'objet d'un provisionnement au titre des normes nationales (French GAP, ….) et qui ne ferait pas l'objet d'un provisionnement au titre des normes internationales IFRS9</t>
        </is>
      </c>
      <c r="J1093" s="309" t="inlineStr">
        <is>
          <t>Identifies scope for which provisions must be made under national accounting standards (French GAP, etc.), but not under IFRS 9 standard</t>
        </is>
      </c>
      <c r="K1093" s="370" t="inlineStr">
        <is>
          <t>ND</t>
        </is>
      </c>
      <c r="L1093" s="371" t="inlineStr">
        <is>
          <t>ND</t>
        </is>
      </c>
      <c r="M1093" s="1420" t="inlineStr">
        <is>
          <t>cdClasLoc</t>
        </is>
      </c>
      <c r="N1093" s="231" t="inlineStr">
        <is>
          <t>Facultatif</t>
        </is>
      </c>
      <c r="O1093" s="236" t="inlineStr">
        <is>
          <t>Optional</t>
        </is>
      </c>
      <c r="P1093" s="269" t="inlineStr">
        <is>
          <t>LC.0223</t>
        </is>
      </c>
      <c r="Q1093" s="640" t="inlineStr">
        <is>
          <t>TA KVCCPTNN</t>
        </is>
      </c>
      <c r="R1093" s="641" t="inlineStr">
        <is>
          <t>Dans un premier temps, seule la classification en norme française sera prise en compte</t>
        </is>
      </c>
      <c r="S1093" s="233" t="inlineStr">
        <is>
          <t>In the first stage, only the classification in French standard will be taken into account</t>
        </is>
      </c>
      <c r="T1093" s="307" t="inlineStr">
        <is>
          <t>ALPHA</t>
        </is>
      </c>
      <c r="U1093" s="237" t="inlineStr">
        <is>
          <t>NA</t>
        </is>
      </c>
      <c r="V1093" s="238" t="inlineStr">
        <is>
          <t>NA</t>
        </is>
      </c>
      <c r="W1093" s="269" t="n">
        <v>3</v>
      </c>
      <c r="X1093" s="231" t="inlineStr">
        <is>
          <t>NA</t>
        </is>
      </c>
      <c r="Y1093" s="237" t="n">
        <v>41</v>
      </c>
      <c r="Z1093" s="237" t="inlineStr">
        <is>
          <t>NA</t>
        </is>
      </c>
      <c r="AA1093" s="237" t="inlineStr">
        <is>
          <t>NA</t>
        </is>
      </c>
      <c r="AB1093" s="269" t="inlineStr">
        <is>
          <t>OMP</t>
        </is>
      </c>
      <c r="AC1093" s="231" t="inlineStr">
        <is>
          <t>ND</t>
        </is>
      </c>
      <c r="AD1093" s="257" t="inlineStr">
        <is>
          <t>N</t>
        </is>
      </c>
      <c r="AE1093" s="257" t="inlineStr">
        <is>
          <t>NA</t>
        </is>
      </c>
      <c r="AF1093" s="257" t="inlineStr">
        <is>
          <t>NA</t>
        </is>
      </c>
      <c r="AG1093" s="258" t="inlineStr">
        <is>
          <t>NA</t>
        </is>
      </c>
      <c r="AH1093" s="89" t="n"/>
      <c r="AI1093" s="316" t="n"/>
      <c r="AJ1093" s="317" t="n"/>
      <c r="AK1093" s="257" t="n"/>
      <c r="AL1093" s="258" t="n"/>
      <c r="AM1093" s="822" t="inlineStr">
        <is>
          <t>Si 'Pays de juridiction du contrat' [P2 22.66] = ‘FR', alors la valeur doit être connue du Langage Commun associé</t>
        </is>
      </c>
      <c r="AN1093" s="317" t="inlineStr">
        <is>
          <t>If Country of jurisdiction of the contract [P2 22.66] = 'FR', then the value must be known to the associated Common Language</t>
        </is>
      </c>
      <c r="AO1093" s="823" t="n">
        <v>7</v>
      </c>
      <c r="AP1093" s="644" t="inlineStr">
        <is>
          <t>TISXXXX</t>
        </is>
      </c>
      <c r="AQ1093" s="318" t="n"/>
      <c r="AR1093" s="317" t="n"/>
      <c r="AS1093" s="257" t="n"/>
      <c r="AT1093" s="258" t="n"/>
      <c r="AU1093" s="318" t="n"/>
      <c r="AV1093" s="317" t="n"/>
      <c r="AW1093" s="257" t="n"/>
      <c r="AX1093" s="258" t="n"/>
      <c r="AY1093" s="318" t="n"/>
      <c r="AZ1093" s="317" t="n"/>
      <c r="BA1093" s="257" t="n"/>
      <c r="BB1093" s="258" t="n"/>
      <c r="BC1093" s="316" t="n"/>
      <c r="BD1093" s="317" t="n"/>
      <c r="BE1093" s="257" t="n"/>
      <c r="BF1093" s="258" t="n"/>
      <c r="BG1093" s="89" t="n"/>
      <c r="BH10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93">
        <f>_xlfn.LET(r,ROW(),oc,INDEX($A:$A,r),cv,TRIM(INDEX($Y:$Y,r)&amp;""),IF(oc&lt;&gt;"P1","",IF(cv="45","V45 - novo, nao alimentado pelo spool atual","V44 - alimentado pelo spool atual")))</f>
        <v/>
      </c>
    </row>
    <row r="1094" ht="54" customFormat="1" customHeight="1" s="90">
      <c r="A1094" s="306" t="inlineStr">
        <is>
          <t>P2</t>
        </is>
      </c>
      <c r="B1094" s="307" t="n">
        <v>197</v>
      </c>
      <c r="C1094" s="269" t="inlineStr">
        <is>
          <t>13 - Caractéristiques Provision</t>
        </is>
      </c>
      <c r="D1094" s="310" t="inlineStr">
        <is>
          <t>13 - Provision characteristics</t>
        </is>
      </c>
      <c r="E1094" s="307" t="inlineStr">
        <is>
          <t>P2 23.6</t>
        </is>
      </c>
      <c r="F1094" s="308" t="inlineStr">
        <is>
          <t>Indicateur Actif déprécié dès l'origination</t>
        </is>
      </c>
      <c r="G1094" s="309" t="inlineStr">
        <is>
          <t>Asset impaired as of origination indicator</t>
        </is>
      </c>
      <c r="H1094" s="309" t="n"/>
      <c r="I1094" s="241" t="inlineStr">
        <is>
          <t>Permet d'indiquer si l'opération est en défaut dès l'origination</t>
        </is>
      </c>
      <c r="J1094" s="309" t="inlineStr">
        <is>
          <t>Indicates whether the transaction is in default as of origination</t>
        </is>
      </c>
      <c r="K1094" s="370" t="inlineStr">
        <is>
          <t>ND</t>
        </is>
      </c>
      <c r="L1094" s="371" t="inlineStr">
        <is>
          <t>ND</t>
        </is>
      </c>
      <c r="M1094" s="1420" t="inlineStr">
        <is>
          <t>cdIndAct</t>
        </is>
      </c>
      <c r="N1094" s="231" t="inlineStr">
        <is>
          <t>Obligatoire sous conditions</t>
        </is>
      </c>
      <c r="O1094" s="236" t="inlineStr">
        <is>
          <t>Mandatory under conditions</t>
        </is>
      </c>
      <c r="P1094" s="269" t="inlineStr">
        <is>
          <t>LC.0217</t>
        </is>
      </c>
      <c r="Q1094" s="269" t="inlineStr">
        <is>
          <t>TA KVINPOCI</t>
        </is>
      </c>
      <c r="R1094" s="824" t="inlineStr">
        <is>
          <t>Obligatoire si 
- Eligibilité OMP &lt;&gt; '1' (instrument éligible à l'outil de provisionnement) 
- et Classification comptable des actifs en norme IFRS9 (P2 23.4) &lt;&gt; de "Juste valeur par résultat" et de "Juste valeur par capitaux propres non recyclables"</t>
        </is>
      </c>
      <c r="S1094" s="233" t="inlineStr">
        <is>
          <t>Mandatory if
- Mutualised provisioning tool eligibility (P2 23.1) &lt;&gt; '1' (instrument eligible for the provisioning tool)
- and Accounting classification of assets under IFRS 9 (P2 23.4) &lt;&gt; of "Fair value through P&amp;L" and "Fair value through OCI non-recyclable"</t>
        </is>
      </c>
      <c r="T1094" s="307" t="inlineStr">
        <is>
          <t>ALPHA</t>
        </is>
      </c>
      <c r="U1094" s="237" t="inlineStr">
        <is>
          <t>NA</t>
        </is>
      </c>
      <c r="V1094" s="238" t="inlineStr">
        <is>
          <t>NA</t>
        </is>
      </c>
      <c r="W1094" s="269" t="n">
        <v>1</v>
      </c>
      <c r="X1094" s="231" t="inlineStr">
        <is>
          <t>NA</t>
        </is>
      </c>
      <c r="Y1094" s="237" t="n">
        <v>41</v>
      </c>
      <c r="Z1094" s="237" t="inlineStr">
        <is>
          <t>NA</t>
        </is>
      </c>
      <c r="AA1094" s="283" t="inlineStr">
        <is>
          <t>NA</t>
        </is>
      </c>
      <c r="AB1094" s="269" t="inlineStr">
        <is>
          <t>ANACREDIT, OMP</t>
        </is>
      </c>
      <c r="AC1094" s="231" t="inlineStr">
        <is>
          <t>ND</t>
        </is>
      </c>
      <c r="AD1094" s="257" t="inlineStr">
        <is>
          <t>N</t>
        </is>
      </c>
      <c r="AE1094" s="257" t="inlineStr">
        <is>
          <t>NA</t>
        </is>
      </c>
      <c r="AF1094" s="257" t="inlineStr">
        <is>
          <t>NA</t>
        </is>
      </c>
      <c r="AG1094" s="258" t="inlineStr">
        <is>
          <t>NA</t>
        </is>
      </c>
      <c r="AH1094" s="89" t="n"/>
      <c r="AI1094" s="353" t="inlineStr">
        <is>
          <t>La donnée est obligatoire si [l'éligibilité OMP [P2 23.1] est renseignée et différente de '1' ET la classification comptable des actifs en norme IFRS9 [P2 23.4] est différente de ('JVR', 'JCN')] OU si Eligibilité Outil Central ANACREDIT [P2 27.3] = '2'</t>
        </is>
      </c>
      <c r="AJ1094" s="317" t="inlineStr">
        <is>
          <t>The data is mandatory if [OMP eligibility [P2 23.1] is filled and different from '1' AND the accounting classification of assets in IFRS9 [P2 23.4] is different from ('JVR', 'JCN')] OR if Eligibility for the ANACREDIT Central tool [P2 27.3] = '2'</t>
        </is>
      </c>
      <c r="AK1094" s="257" t="n">
        <v>6</v>
      </c>
      <c r="AL1094" s="345" t="inlineStr">
        <is>
          <t>TPS1748</t>
        </is>
      </c>
      <c r="AM1094" s="318" t="inlineStr">
        <is>
          <t>Si elle est renseignée, la valeur doit être connue du Langage Commun associé</t>
        </is>
      </c>
      <c r="AN1094" s="317" t="inlineStr">
        <is>
          <t>If specified, the value must be known to the associated Common Language</t>
        </is>
      </c>
      <c r="AO1094" s="257" t="n">
        <v>7</v>
      </c>
      <c r="AP1094" s="212" t="inlineStr">
        <is>
          <t>TIG0001</t>
        </is>
      </c>
      <c r="AQ1094" s="318" t="n"/>
      <c r="AR1094" s="317" t="n"/>
      <c r="AS1094" s="257" t="n"/>
      <c r="AT1094" s="258" t="n"/>
      <c r="AU1094" s="318" t="n"/>
      <c r="AV1094" s="317" t="n"/>
      <c r="AW1094" s="257" t="n"/>
      <c r="AX1094" s="258" t="n"/>
      <c r="AY1094" s="318" t="n"/>
      <c r="AZ1094" s="317" t="n"/>
      <c r="BA1094" s="257" t="n"/>
      <c r="BB1094" s="258" t="n"/>
      <c r="BC1094" s="316" t="n"/>
      <c r="BD1094" s="317" t="n"/>
      <c r="BE1094" s="257" t="n"/>
      <c r="BF1094" s="258" t="n"/>
      <c r="BG1094" s="89" t="n"/>
      <c r="BH10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94">
        <f>_xlfn.LET(r,ROW(),oc,INDEX($A:$A,r),cv,TRIM(INDEX($Y:$Y,r)&amp;""),IF(oc&lt;&gt;"P1","",IF(cv="45","V45 - novo, nao alimentado pelo spool atual","V44 - alimentado pelo spool atual")))</f>
        <v/>
      </c>
    </row>
    <row r="1095" ht="54" customFormat="1" customHeight="1" s="90">
      <c r="A1095" s="306" t="inlineStr">
        <is>
          <t>P2</t>
        </is>
      </c>
      <c r="B1095" s="307" t="n">
        <v>198</v>
      </c>
      <c r="C1095" s="269" t="inlineStr">
        <is>
          <t>13 - Caractéristiques Provision</t>
        </is>
      </c>
      <c r="D1095" s="310" t="inlineStr">
        <is>
          <t>13 - Provision characteristics</t>
        </is>
      </c>
      <c r="E1095" s="307" t="inlineStr">
        <is>
          <t>P2 23.7</t>
        </is>
      </c>
      <c r="F1095" s="308" t="inlineStr">
        <is>
          <t>Zone libre d'appariement comptable</t>
        </is>
      </c>
      <c r="G1095" s="309" t="inlineStr">
        <is>
          <t>Accounting matching free field</t>
        </is>
      </c>
      <c r="H1095" s="309" t="n"/>
      <c r="I1095" s="241" t="inlineStr">
        <is>
          <t xml:space="preserve">Zone libre, permet à l'entité d'indiquer ces critères d'appariement comptable IFRS9 </t>
        </is>
      </c>
      <c r="J1095" s="309" t="inlineStr">
        <is>
          <t>Free zone – enables the entity to indicate these IFRS 9 accounting matching criteria</t>
        </is>
      </c>
      <c r="K1095" s="370" t="inlineStr">
        <is>
          <t>ND</t>
        </is>
      </c>
      <c r="L1095" s="371" t="inlineStr">
        <is>
          <t>ND</t>
        </is>
      </c>
      <c r="M1095" s="1420" t="inlineStr">
        <is>
          <t>cdAppCmpt</t>
        </is>
      </c>
      <c r="N1095" s="449" t="inlineStr">
        <is>
          <t>Facultatif</t>
        </is>
      </c>
      <c r="O1095" s="236" t="inlineStr">
        <is>
          <t>Optional</t>
        </is>
      </c>
      <c r="P1095" s="269" t="inlineStr">
        <is>
          <t>NA</t>
        </is>
      </c>
      <c r="Q1095" s="269" t="inlineStr">
        <is>
          <t>NA</t>
        </is>
      </c>
      <c r="R1095" s="241" t="inlineStr">
        <is>
          <t>Obligatoire si 
- Eligibilité OMP &lt;&gt; '1' (instrument éligible à l'outil de provissionnement) 
- et Classification comptable des actifs en norme IFRS9 (P2 23.4) &lt;&gt; de "Juste valeur par résultat" et de "Juste valeur par capitaux propres non recyclables"
Champ libre à la main de l'entité permettant de collecter des informations facilitant les appariements comptables</t>
        </is>
      </c>
      <c r="S1095" s="233" t="inlineStr">
        <is>
          <t>Mandatory if
- Mutualised provisioning tool eligibility (P2 23.1) &lt;&gt; '1' (instrument eligible for the provisioning tool)
- and Accounting classification of assets under IFRS 9 (P2 23.4) &lt;&gt; of "Fair value through P&amp;L" and "Fair value through OCI non-recyclable".
Free zone to feed by the entity for collecting information that facilitates accounting matching</t>
        </is>
      </c>
      <c r="T1095" s="307" t="inlineStr">
        <is>
          <t>ALPHA</t>
        </is>
      </c>
      <c r="U1095" s="237" t="inlineStr">
        <is>
          <t>NA</t>
        </is>
      </c>
      <c r="V1095" s="238" t="inlineStr">
        <is>
          <t>NA</t>
        </is>
      </c>
      <c r="W1095" s="269" t="n">
        <v>40</v>
      </c>
      <c r="X1095" s="231" t="inlineStr">
        <is>
          <t>NA</t>
        </is>
      </c>
      <c r="Y1095" s="237" t="n">
        <v>41</v>
      </c>
      <c r="Z1095" s="237" t="inlineStr">
        <is>
          <t>NA</t>
        </is>
      </c>
      <c r="AA1095" s="237" t="inlineStr">
        <is>
          <t>NA</t>
        </is>
      </c>
      <c r="AB1095" s="269" t="inlineStr">
        <is>
          <t>OMP</t>
        </is>
      </c>
      <c r="AC1095" s="231" t="inlineStr">
        <is>
          <t>ND</t>
        </is>
      </c>
      <c r="AD1095" s="257" t="inlineStr">
        <is>
          <t>N</t>
        </is>
      </c>
      <c r="AE1095" s="257" t="inlineStr">
        <is>
          <t>NA</t>
        </is>
      </c>
      <c r="AF1095" s="257" t="inlineStr">
        <is>
          <t>NA</t>
        </is>
      </c>
      <c r="AG1095" s="258" t="inlineStr">
        <is>
          <t>NA</t>
        </is>
      </c>
      <c r="AH1095" s="89" t="n"/>
      <c r="AI1095" s="316" t="n"/>
      <c r="AJ1095" s="317" t="n"/>
      <c r="AK1095" s="257" t="n"/>
      <c r="AL1095" s="258" t="n"/>
      <c r="AM1095" s="318" t="n"/>
      <c r="AN1095" s="317" t="n"/>
      <c r="AO1095" s="257" t="n"/>
      <c r="AP1095" s="258" t="n"/>
      <c r="AQ1095" s="318" t="n"/>
      <c r="AR1095" s="317" t="n"/>
      <c r="AS1095" s="257" t="n"/>
      <c r="AT1095" s="258" t="n"/>
      <c r="AU1095" s="318" t="n"/>
      <c r="AV1095" s="317" t="n"/>
      <c r="AW1095" s="257" t="n"/>
      <c r="AX1095" s="258" t="n"/>
      <c r="AY1095" s="318" t="n"/>
      <c r="AZ1095" s="317" t="n"/>
      <c r="BA1095" s="257" t="n"/>
      <c r="BB1095" s="258" t="n"/>
      <c r="BC1095" s="316" t="n"/>
      <c r="BD1095" s="317" t="n"/>
      <c r="BE1095" s="257" t="n"/>
      <c r="BF1095" s="258" t="n"/>
      <c r="BG1095" s="89" t="n"/>
      <c r="BH10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95">
        <f>_xlfn.LET(r,ROW(),oc,INDEX($A:$A,r),cv,TRIM(INDEX($Y:$Y,r)&amp;""),IF(oc&lt;&gt;"P1","",IF(cv="45","V45 - novo, nao alimentado pelo spool atual","V44 - alimentado pelo spool atual")))</f>
        <v/>
      </c>
    </row>
    <row r="1096" ht="54" customFormat="1" customHeight="1" s="90">
      <c r="A1096" s="306" t="inlineStr">
        <is>
          <t>P2</t>
        </is>
      </c>
      <c r="B1096" s="307" t="n">
        <v>199</v>
      </c>
      <c r="C1096" s="269" t="inlineStr">
        <is>
          <t>13 - Caractéristiques Provision</t>
        </is>
      </c>
      <c r="D1096" s="310" t="inlineStr">
        <is>
          <t>13 - Provision characteristics</t>
        </is>
      </c>
      <c r="E1096" s="307" t="inlineStr">
        <is>
          <t>P2 23.12</t>
        </is>
      </c>
      <c r="F1096" s="375" t="inlineStr">
        <is>
          <t>Zone OMP locale 1</t>
        </is>
      </c>
      <c r="G1096" s="309" t="inlineStr">
        <is>
          <t>Zone MPT local 1</t>
        </is>
      </c>
      <c r="H1096" s="309" t="n"/>
      <c r="I1096" s="241" t="inlineStr">
        <is>
          <t>Premier critère local de sélection des portefeuilles à stresser</t>
        </is>
      </c>
      <c r="J1096" s="309" t="inlineStr">
        <is>
          <t>First local selection criteria portfolios to stress</t>
        </is>
      </c>
      <c r="K1096" s="370" t="inlineStr">
        <is>
          <t>ND</t>
        </is>
      </c>
      <c r="L1096" s="371" t="inlineStr">
        <is>
          <t>ND</t>
        </is>
      </c>
      <c r="M1096" s="1420" t="inlineStr">
        <is>
          <t>cdZoneLibOMP1</t>
        </is>
      </c>
      <c r="N1096" s="231" t="inlineStr">
        <is>
          <t>Facultatif</t>
        </is>
      </c>
      <c r="O1096" s="236" t="inlineStr">
        <is>
          <t>Optional</t>
        </is>
      </c>
      <c r="P1096" s="269" t="inlineStr">
        <is>
          <t>NA</t>
        </is>
      </c>
      <c r="Q1096" s="269" t="inlineStr">
        <is>
          <t>NA</t>
        </is>
      </c>
      <c r="R1096" s="241" t="inlineStr">
        <is>
          <t>Zone libre à la main de l'entité permettant de véhiculer un premier critère local de sélection des portefeuilles à stresser</t>
        </is>
      </c>
      <c r="S1096" s="233" t="inlineStr">
        <is>
          <t>Free zone to be used by the entity allowing to convey the first local criteria of the portfolios selection to be stressed</t>
        </is>
      </c>
      <c r="T1096" s="307" t="inlineStr">
        <is>
          <t>ALPHA</t>
        </is>
      </c>
      <c r="U1096" s="237" t="inlineStr">
        <is>
          <t>NA</t>
        </is>
      </c>
      <c r="V1096" s="238" t="inlineStr">
        <is>
          <t>NA</t>
        </is>
      </c>
      <c r="W1096" s="269" t="n">
        <v>5</v>
      </c>
      <c r="X1096" s="231" t="inlineStr">
        <is>
          <t>NA</t>
        </is>
      </c>
      <c r="Y1096" s="237" t="n">
        <v>41</v>
      </c>
      <c r="Z1096" s="237" t="inlineStr">
        <is>
          <t>NA</t>
        </is>
      </c>
      <c r="AA1096" s="237" t="inlineStr">
        <is>
          <t>NA</t>
        </is>
      </c>
      <c r="AB1096" s="269" t="inlineStr">
        <is>
          <t>OMP</t>
        </is>
      </c>
      <c r="AC1096" s="231" t="inlineStr">
        <is>
          <t>ND</t>
        </is>
      </c>
      <c r="AD1096" s="257" t="inlineStr">
        <is>
          <t>N</t>
        </is>
      </c>
      <c r="AE1096" s="257" t="inlineStr">
        <is>
          <t>NA</t>
        </is>
      </c>
      <c r="AF1096" s="257" t="inlineStr">
        <is>
          <t>NA</t>
        </is>
      </c>
      <c r="AG1096" s="258" t="inlineStr">
        <is>
          <t>NA</t>
        </is>
      </c>
      <c r="AH1096" s="89" t="n"/>
      <c r="AI1096" s="316" t="n"/>
      <c r="AJ1096" s="317" t="n"/>
      <c r="AK1096" s="257" t="n"/>
      <c r="AL1096" s="258" t="n"/>
      <c r="AM1096" s="318" t="n"/>
      <c r="AN1096" s="317" t="n"/>
      <c r="AO1096" s="257" t="n"/>
      <c r="AP1096" s="258" t="n"/>
      <c r="AQ1096" s="318" t="n"/>
      <c r="AR1096" s="317" t="n"/>
      <c r="AS1096" s="257" t="n"/>
      <c r="AT1096" s="258" t="n"/>
      <c r="AU1096" s="318" t="n"/>
      <c r="AV1096" s="317" t="n"/>
      <c r="AW1096" s="257" t="n"/>
      <c r="AX1096" s="258" t="n"/>
      <c r="AY1096" s="318" t="n"/>
      <c r="AZ1096" s="317" t="n"/>
      <c r="BA1096" s="257" t="n"/>
      <c r="BB1096" s="258" t="n"/>
      <c r="BC1096" s="316" t="n"/>
      <c r="BD1096" s="317" t="n"/>
      <c r="BE1096" s="257" t="n"/>
      <c r="BF1096" s="258" t="n"/>
      <c r="BG1096" s="89" t="n"/>
      <c r="BH10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96">
        <f>_xlfn.LET(r,ROW(),oc,INDEX($A:$A,r),cv,TRIM(INDEX($Y:$Y,r)&amp;""),IF(oc&lt;&gt;"P1","",IF(cv="45","V45 - novo, nao alimentado pelo spool atual","V44 - alimentado pelo spool atual")))</f>
        <v/>
      </c>
    </row>
    <row r="1097" ht="54" customFormat="1" customHeight="1" s="90">
      <c r="A1097" s="306" t="inlineStr">
        <is>
          <t>P2</t>
        </is>
      </c>
      <c r="B1097" s="307" t="n">
        <v>200</v>
      </c>
      <c r="C1097" s="269" t="inlineStr">
        <is>
          <t>13 - Caractéristiques Provision</t>
        </is>
      </c>
      <c r="D1097" s="310" t="inlineStr">
        <is>
          <t>13 - Provision characteristics</t>
        </is>
      </c>
      <c r="E1097" s="307" t="inlineStr">
        <is>
          <t>P2 23.13</t>
        </is>
      </c>
      <c r="F1097" s="375" t="inlineStr">
        <is>
          <t>Zone OMP locale 2</t>
        </is>
      </c>
      <c r="G1097" s="309" t="inlineStr">
        <is>
          <t>Zone MPT local 2</t>
        </is>
      </c>
      <c r="H1097" s="309" t="n"/>
      <c r="I1097" s="241" t="inlineStr">
        <is>
          <t>Deuxième critère local de sélection des portefeuilles à stresser</t>
        </is>
      </c>
      <c r="J1097" s="309" t="inlineStr">
        <is>
          <t>Second local selection criteria portfolios to stress</t>
        </is>
      </c>
      <c r="K1097" s="370" t="inlineStr">
        <is>
          <t>ND</t>
        </is>
      </c>
      <c r="L1097" s="371" t="inlineStr">
        <is>
          <t>ND</t>
        </is>
      </c>
      <c r="M1097" s="1420" t="inlineStr">
        <is>
          <t>cdZoneLibOMP2</t>
        </is>
      </c>
      <c r="N1097" s="231" t="inlineStr">
        <is>
          <t>Facultatif</t>
        </is>
      </c>
      <c r="O1097" s="236" t="inlineStr">
        <is>
          <t>Optional</t>
        </is>
      </c>
      <c r="P1097" s="269" t="inlineStr">
        <is>
          <t>NA</t>
        </is>
      </c>
      <c r="Q1097" s="269" t="inlineStr">
        <is>
          <t>NA</t>
        </is>
      </c>
      <c r="R1097" s="241" t="inlineStr">
        <is>
          <t>Zone libre à la main de l'entité permettant de véhiculer un deuxième critère local de sélection des portefeuilles à stresser</t>
        </is>
      </c>
      <c r="S1097" s="233" t="inlineStr">
        <is>
          <t>Free zone to be used by the entity allowing to convey the second local criteria of the portfolios selection to be stressed</t>
        </is>
      </c>
      <c r="T1097" s="307" t="inlineStr">
        <is>
          <t>ALPHA</t>
        </is>
      </c>
      <c r="U1097" s="237" t="inlineStr">
        <is>
          <t>NA</t>
        </is>
      </c>
      <c r="V1097" s="238" t="inlineStr">
        <is>
          <t>NA</t>
        </is>
      </c>
      <c r="W1097" s="269" t="n">
        <v>5</v>
      </c>
      <c r="X1097" s="231" t="inlineStr">
        <is>
          <t>NA</t>
        </is>
      </c>
      <c r="Y1097" s="237" t="n">
        <v>41</v>
      </c>
      <c r="Z1097" s="237" t="inlineStr">
        <is>
          <t>NA</t>
        </is>
      </c>
      <c r="AA1097" s="237" t="inlineStr">
        <is>
          <t>NA</t>
        </is>
      </c>
      <c r="AB1097" s="269" t="inlineStr">
        <is>
          <t>OMP</t>
        </is>
      </c>
      <c r="AC1097" s="231" t="inlineStr">
        <is>
          <t>ND</t>
        </is>
      </c>
      <c r="AD1097" s="257" t="inlineStr">
        <is>
          <t>N</t>
        </is>
      </c>
      <c r="AE1097" s="257" t="inlineStr">
        <is>
          <t>NA</t>
        </is>
      </c>
      <c r="AF1097" s="257" t="inlineStr">
        <is>
          <t>NA</t>
        </is>
      </c>
      <c r="AG1097" s="258" t="inlineStr">
        <is>
          <t>NA</t>
        </is>
      </c>
      <c r="AH1097" s="89" t="n"/>
      <c r="AI1097" s="316" t="n"/>
      <c r="AJ1097" s="317" t="n"/>
      <c r="AK1097" s="257" t="n"/>
      <c r="AL1097" s="258" t="n"/>
      <c r="AM1097" s="318" t="n"/>
      <c r="AN1097" s="317" t="n"/>
      <c r="AO1097" s="257" t="n"/>
      <c r="AP1097" s="258" t="n"/>
      <c r="AQ1097" s="318" t="n"/>
      <c r="AR1097" s="317" t="n"/>
      <c r="AS1097" s="257" t="n"/>
      <c r="AT1097" s="258" t="n"/>
      <c r="AU1097" s="318" t="n"/>
      <c r="AV1097" s="317" t="n"/>
      <c r="AW1097" s="257" t="n"/>
      <c r="AX1097" s="258" t="n"/>
      <c r="AY1097" s="318" t="n"/>
      <c r="AZ1097" s="317" t="n"/>
      <c r="BA1097" s="257" t="n"/>
      <c r="BB1097" s="258" t="n"/>
      <c r="BC1097" s="316" t="n"/>
      <c r="BD1097" s="317" t="n"/>
      <c r="BE1097" s="257" t="n"/>
      <c r="BF1097" s="258" t="n"/>
      <c r="BG1097" s="89" t="n"/>
      <c r="BH10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97">
        <f>_xlfn.LET(r,ROW(),oc,INDEX($A:$A,r),cv,TRIM(INDEX($Y:$Y,r)&amp;""),IF(oc&lt;&gt;"P1","",IF(cv="45","V45 - novo, nao alimentado pelo spool atual","V44 - alimentado pelo spool atual")))</f>
        <v/>
      </c>
    </row>
    <row r="1098" ht="54" customFormat="1" customHeight="1" s="90">
      <c r="A1098" s="306" t="inlineStr">
        <is>
          <t>P2</t>
        </is>
      </c>
      <c r="B1098" s="307" t="n">
        <v>201</v>
      </c>
      <c r="C1098" s="269" t="inlineStr">
        <is>
          <t>31 - Paramètres bâlois</t>
        </is>
      </c>
      <c r="D1098" s="310" t="inlineStr">
        <is>
          <t>31 - Basel settings</t>
        </is>
      </c>
      <c r="E1098" s="307" t="inlineStr">
        <is>
          <t>P2 23.8</t>
        </is>
      </c>
      <c r="F1098" s="375" t="inlineStr">
        <is>
          <t>Code méthode IFRS9 - PD</t>
        </is>
      </c>
      <c r="G1098" s="309" t="inlineStr">
        <is>
          <t>Method code IFRS9 - PD</t>
        </is>
      </c>
      <c r="H1098" s="309" t="n"/>
      <c r="I1098" s="241" t="inlineStr">
        <is>
          <t>Clé d'appariement avec les courbes de PD du référentiel IFRS 9</t>
        </is>
      </c>
      <c r="J1098" s="309" t="inlineStr">
        <is>
          <t>Matching code with IFRS 9 referential PD curves</t>
        </is>
      </c>
      <c r="K1098" s="370" t="inlineStr">
        <is>
          <t>ND</t>
        </is>
      </c>
      <c r="L1098" s="371" t="inlineStr">
        <is>
          <t>ND</t>
        </is>
      </c>
      <c r="M1098" s="1420" t="inlineStr">
        <is>
          <t>cdMetPD</t>
        </is>
      </c>
      <c r="N1098" s="231" t="inlineStr">
        <is>
          <t>Facultatif</t>
        </is>
      </c>
      <c r="O1098" s="236" t="inlineStr">
        <is>
          <t>Optional</t>
        </is>
      </c>
      <c r="P1098" s="269" t="inlineStr">
        <is>
          <t>NA</t>
        </is>
      </c>
      <c r="Q1098" s="269" t="inlineStr">
        <is>
          <t>NA</t>
        </is>
      </c>
      <c r="R1098" s="241" t="inlineStr">
        <is>
          <t>NA</t>
        </is>
      </c>
      <c r="S1098" s="233" t="inlineStr">
        <is>
          <t>NA</t>
        </is>
      </c>
      <c r="T1098" s="307" t="inlineStr">
        <is>
          <t>ALPHA</t>
        </is>
      </c>
      <c r="U1098" s="237" t="inlineStr">
        <is>
          <t>NA</t>
        </is>
      </c>
      <c r="V1098" s="238" t="inlineStr">
        <is>
          <t>NA</t>
        </is>
      </c>
      <c r="W1098" s="269" t="n">
        <v>12</v>
      </c>
      <c r="X1098" s="231" t="inlineStr">
        <is>
          <t>NA</t>
        </is>
      </c>
      <c r="Y1098" s="237" t="n">
        <v>41</v>
      </c>
      <c r="Z1098" s="237" t="inlineStr">
        <is>
          <t>NA</t>
        </is>
      </c>
      <c r="AA1098" s="237" t="inlineStr">
        <is>
          <t>NA</t>
        </is>
      </c>
      <c r="AB1098" s="269" t="inlineStr">
        <is>
          <t>ASTRE, OMP</t>
        </is>
      </c>
      <c r="AC1098" s="231" t="inlineStr">
        <is>
          <t>ND</t>
        </is>
      </c>
      <c r="AD1098" s="257" t="inlineStr">
        <is>
          <t>N</t>
        </is>
      </c>
      <c r="AE1098" s="257" t="inlineStr">
        <is>
          <t>NA</t>
        </is>
      </c>
      <c r="AF1098" s="257" t="inlineStr">
        <is>
          <t>NA</t>
        </is>
      </c>
      <c r="AG1098" s="258" t="inlineStr">
        <is>
          <t>NA</t>
        </is>
      </c>
      <c r="AH1098" s="89" t="n"/>
      <c r="AI1098" s="316" t="n"/>
      <c r="AJ1098" s="317" t="n"/>
      <c r="AK1098" s="257" t="n"/>
      <c r="AL1098" s="258" t="n"/>
      <c r="AM1098" s="318" t="n"/>
      <c r="AN1098" s="317" t="n"/>
      <c r="AO1098" s="257" t="n"/>
      <c r="AP1098" s="258" t="n"/>
      <c r="AQ1098" s="318" t="n"/>
      <c r="AR1098" s="317" t="n"/>
      <c r="AS1098" s="257" t="n"/>
      <c r="AT1098" s="258" t="n"/>
      <c r="AU1098" s="318" t="n"/>
      <c r="AV1098" s="317" t="n"/>
      <c r="AW1098" s="257" t="n"/>
      <c r="AX1098" s="258" t="n"/>
      <c r="AY1098" s="318" t="n"/>
      <c r="AZ1098" s="317" t="n"/>
      <c r="BA1098" s="257" t="n"/>
      <c r="BB1098" s="258" t="n"/>
      <c r="BC1098" s="316" t="n"/>
      <c r="BD1098" s="317" t="n"/>
      <c r="BE1098" s="257" t="n"/>
      <c r="BF1098" s="258" t="n"/>
      <c r="BG1098" s="89" t="n"/>
      <c r="BH10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98">
        <f>_xlfn.LET(r,ROW(),oc,INDEX($A:$A,r),cv,TRIM(INDEX($Y:$Y,r)&amp;""),IF(oc&lt;&gt;"P1","",IF(cv="45","V45 - novo, nao alimentado pelo spool atual","V44 - alimentado pelo spool atual")))</f>
        <v/>
      </c>
    </row>
    <row r="1099" ht="54" customFormat="1" customHeight="1" s="90">
      <c r="A1099" s="306" t="inlineStr">
        <is>
          <t>P2</t>
        </is>
      </c>
      <c r="B1099" s="307" t="n">
        <v>202</v>
      </c>
      <c r="C1099" s="269" t="inlineStr">
        <is>
          <t>31 - Paramètres bâlois</t>
        </is>
      </c>
      <c r="D1099" s="310" t="inlineStr">
        <is>
          <t>31 - Basel settings</t>
        </is>
      </c>
      <c r="E1099" s="307" t="inlineStr">
        <is>
          <t>P2 23.9</t>
        </is>
      </c>
      <c r="F1099" s="308" t="inlineStr">
        <is>
          <t>Code méthode IFRS9 - Loss Given Default (LGD)</t>
        </is>
      </c>
      <c r="G1099" s="309" t="inlineStr">
        <is>
          <t>Method code IFRS9 - Loss Given Default (LGD)</t>
        </is>
      </c>
      <c r="H1099" s="309" t="n"/>
      <c r="I1099" s="645" t="inlineStr">
        <is>
          <t>Clé d'appariement avec les courbes de LGD du référentiel IFRS 9</t>
        </is>
      </c>
      <c r="J1099" s="309" t="inlineStr">
        <is>
          <t>Pairing key with the LGD curves of IFRS 9 reference</t>
        </is>
      </c>
      <c r="K1099" s="370" t="inlineStr">
        <is>
          <t>ND</t>
        </is>
      </c>
      <c r="L1099" s="371" t="inlineStr">
        <is>
          <t>ND</t>
        </is>
      </c>
      <c r="M1099" s="1420" t="inlineStr">
        <is>
          <t>cdMetLGD</t>
        </is>
      </c>
      <c r="N1099" s="231" t="inlineStr">
        <is>
          <t>Facultatif</t>
        </is>
      </c>
      <c r="O1099" s="236" t="inlineStr">
        <is>
          <t>Optional</t>
        </is>
      </c>
      <c r="P1099" s="269" t="inlineStr">
        <is>
          <t>NA</t>
        </is>
      </c>
      <c r="Q1099" s="269" t="inlineStr">
        <is>
          <t>NA</t>
        </is>
      </c>
      <c r="R1099" s="241" t="inlineStr">
        <is>
          <t>NA</t>
        </is>
      </c>
      <c r="S1099" s="233" t="inlineStr">
        <is>
          <t>NA</t>
        </is>
      </c>
      <c r="T1099" s="307" t="inlineStr">
        <is>
          <t>ALPHA</t>
        </is>
      </c>
      <c r="U1099" s="237" t="inlineStr">
        <is>
          <t>NA</t>
        </is>
      </c>
      <c r="V1099" s="238" t="inlineStr">
        <is>
          <t>NA</t>
        </is>
      </c>
      <c r="W1099" s="269" t="n">
        <v>12</v>
      </c>
      <c r="X1099" s="231" t="inlineStr">
        <is>
          <t>NA</t>
        </is>
      </c>
      <c r="Y1099" s="237" t="n">
        <v>41</v>
      </c>
      <c r="Z1099" s="237" t="inlineStr">
        <is>
          <t>NA</t>
        </is>
      </c>
      <c r="AA1099" s="237" t="inlineStr">
        <is>
          <t>NA</t>
        </is>
      </c>
      <c r="AB1099" s="269" t="inlineStr">
        <is>
          <t>ASTRE, OMP</t>
        </is>
      </c>
      <c r="AC1099" s="231" t="inlineStr">
        <is>
          <t>ND</t>
        </is>
      </c>
      <c r="AD1099" s="257" t="inlineStr">
        <is>
          <t>N</t>
        </is>
      </c>
      <c r="AE1099" s="257" t="inlineStr">
        <is>
          <t>NA</t>
        </is>
      </c>
      <c r="AF1099" s="257" t="inlineStr">
        <is>
          <t>NA</t>
        </is>
      </c>
      <c r="AG1099" s="258" t="inlineStr">
        <is>
          <t>NA</t>
        </is>
      </c>
      <c r="AH1099" s="89" t="n"/>
      <c r="AI1099" s="316" t="n"/>
      <c r="AJ1099" s="317" t="n"/>
      <c r="AK1099" s="257" t="n"/>
      <c r="AL1099" s="258" t="n"/>
      <c r="AM1099" s="318" t="n"/>
      <c r="AN1099" s="317" t="n"/>
      <c r="AO1099" s="257" t="n"/>
      <c r="AP1099" s="258" t="n"/>
      <c r="AQ1099" s="318" t="n"/>
      <c r="AR1099" s="317" t="n"/>
      <c r="AS1099" s="257" t="n"/>
      <c r="AT1099" s="258" t="n"/>
      <c r="AU1099" s="318" t="n"/>
      <c r="AV1099" s="317" t="n"/>
      <c r="AW1099" s="257" t="n"/>
      <c r="AX1099" s="258" t="n"/>
      <c r="AY1099" s="318" t="n"/>
      <c r="AZ1099" s="317" t="n"/>
      <c r="BA1099" s="257" t="n"/>
      <c r="BB1099" s="258" t="n"/>
      <c r="BC1099" s="316" t="n"/>
      <c r="BD1099" s="317" t="n"/>
      <c r="BE1099" s="257" t="n"/>
      <c r="BF1099" s="258" t="n"/>
      <c r="BG1099" s="89" t="n"/>
      <c r="BH10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099">
        <f>_xlfn.LET(r,ROW(),oc,INDEX($A:$A,r),cv,TRIM(INDEX($Y:$Y,r)&amp;""),IF(oc&lt;&gt;"P1","",IF(cv="45","V45 - novo, nao alimentado pelo spool atual","V44 - alimentado pelo spool atual")))</f>
        <v/>
      </c>
    </row>
    <row r="1100" ht="54" customFormat="1" customHeight="1" s="90">
      <c r="A1100" s="306" t="inlineStr">
        <is>
          <t>P2</t>
        </is>
      </c>
      <c r="B1100" s="307" t="n">
        <v>203</v>
      </c>
      <c r="C1100" s="269" t="inlineStr">
        <is>
          <t>31 - Paramètres bâlois</t>
        </is>
      </c>
      <c r="D1100" s="310" t="inlineStr">
        <is>
          <t>31 - Basel settings</t>
        </is>
      </c>
      <c r="E1100" s="307" t="inlineStr">
        <is>
          <t>P2 23.10</t>
        </is>
      </c>
      <c r="F1100" s="375" t="inlineStr">
        <is>
          <t>Code méthode IFRS9 - CCF</t>
        </is>
      </c>
      <c r="G1100" s="309" t="inlineStr">
        <is>
          <t>IFRS9 method code - CCF</t>
        </is>
      </c>
      <c r="H1100" s="309" t="n"/>
      <c r="I1100" s="241" t="inlineStr">
        <is>
          <t>Clé d'appariement avec les courbes de CCF du référentiel IFRS9</t>
        </is>
      </c>
      <c r="J1100" s="309" t="inlineStr">
        <is>
          <t>Matching code with IFRS9 referential CCF curves</t>
        </is>
      </c>
      <c r="K1100" s="370" t="inlineStr">
        <is>
          <t>ND</t>
        </is>
      </c>
      <c r="L1100" s="371" t="inlineStr">
        <is>
          <t>ND</t>
        </is>
      </c>
      <c r="M1100" s="1420" t="inlineStr">
        <is>
          <t>cdMetCCF</t>
        </is>
      </c>
      <c r="N1100" s="231" t="inlineStr">
        <is>
          <t>Facultatif</t>
        </is>
      </c>
      <c r="O1100" s="236" t="inlineStr">
        <is>
          <t>Optional</t>
        </is>
      </c>
      <c r="P1100" s="269" t="inlineStr">
        <is>
          <t>NA</t>
        </is>
      </c>
      <c r="Q1100" s="269" t="inlineStr">
        <is>
          <t>NA</t>
        </is>
      </c>
      <c r="R1100" s="241" t="inlineStr">
        <is>
          <t>NA</t>
        </is>
      </c>
      <c r="S1100" s="233" t="inlineStr">
        <is>
          <t>NA</t>
        </is>
      </c>
      <c r="T1100" s="307" t="inlineStr">
        <is>
          <t>ALPHA</t>
        </is>
      </c>
      <c r="U1100" s="237" t="inlineStr">
        <is>
          <t>NA</t>
        </is>
      </c>
      <c r="V1100" s="238" t="inlineStr">
        <is>
          <t>NA</t>
        </is>
      </c>
      <c r="W1100" s="269" t="n">
        <v>12</v>
      </c>
      <c r="X1100" s="231" t="inlineStr">
        <is>
          <t>NA</t>
        </is>
      </c>
      <c r="Y1100" s="237" t="n">
        <v>41</v>
      </c>
      <c r="Z1100" s="237" t="inlineStr">
        <is>
          <t>NA</t>
        </is>
      </c>
      <c r="AA1100" s="237" t="inlineStr">
        <is>
          <t>NA</t>
        </is>
      </c>
      <c r="AB1100" s="269" t="inlineStr">
        <is>
          <t>ASTRE, OMP</t>
        </is>
      </c>
      <c r="AC1100" s="231" t="inlineStr">
        <is>
          <t>ND</t>
        </is>
      </c>
      <c r="AD1100" s="257" t="inlineStr">
        <is>
          <t>N</t>
        </is>
      </c>
      <c r="AE1100" s="257" t="inlineStr">
        <is>
          <t>NA</t>
        </is>
      </c>
      <c r="AF1100" s="257" t="inlineStr">
        <is>
          <t>NA</t>
        </is>
      </c>
      <c r="AG1100" s="258" t="inlineStr">
        <is>
          <t>NA</t>
        </is>
      </c>
      <c r="AH1100" s="89" t="n"/>
      <c r="AI1100" s="316" t="n"/>
      <c r="AJ1100" s="317" t="n"/>
      <c r="AK1100" s="257" t="n"/>
      <c r="AL1100" s="258" t="n"/>
      <c r="AM1100" s="318" t="n"/>
      <c r="AN1100" s="317" t="n"/>
      <c r="AO1100" s="257" t="n"/>
      <c r="AP1100" s="258" t="n"/>
      <c r="AQ1100" s="318" t="n"/>
      <c r="AR1100" s="317" t="n"/>
      <c r="AS1100" s="257" t="n"/>
      <c r="AT1100" s="258" t="n"/>
      <c r="AU1100" s="318" t="n"/>
      <c r="AV1100" s="317" t="n"/>
      <c r="AW1100" s="257" t="n"/>
      <c r="AX1100" s="258" t="n"/>
      <c r="AY1100" s="318" t="n"/>
      <c r="AZ1100" s="317" t="n"/>
      <c r="BA1100" s="257" t="n"/>
      <c r="BB1100" s="258" t="n"/>
      <c r="BC1100" s="316" t="n"/>
      <c r="BD1100" s="317" t="n"/>
      <c r="BE1100" s="257" t="n"/>
      <c r="BF1100" s="258" t="n"/>
      <c r="BG1100" s="89" t="n"/>
      <c r="BH11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00">
        <f>_xlfn.LET(r,ROW(),oc,INDEX($A:$A,r),cv,TRIM(INDEX($Y:$Y,r)&amp;""),IF(oc&lt;&gt;"P1","",IF(cv="45","V45 - novo, nao alimentado pelo spool atual","V44 - alimentado pelo spool atual")))</f>
        <v/>
      </c>
    </row>
    <row r="1101" ht="54" customFormat="1" customHeight="1" s="90">
      <c r="A1101" s="306" t="inlineStr">
        <is>
          <t>P2</t>
        </is>
      </c>
      <c r="B1101" s="307" t="n">
        <v>204</v>
      </c>
      <c r="C1101" s="269" t="inlineStr">
        <is>
          <t>13 - Caractéristiques Provision</t>
        </is>
      </c>
      <c r="D1101" s="310" t="inlineStr">
        <is>
          <t>13 - Provision characteristics</t>
        </is>
      </c>
      <c r="E1101" s="307" t="inlineStr">
        <is>
          <t>P2 23.11</t>
        </is>
      </c>
      <c r="F1101" s="375" t="inlineStr">
        <is>
          <t>Code méthode IFRS9 - Taux de remboursement anticipé</t>
        </is>
      </c>
      <c r="G1101" s="309" t="inlineStr">
        <is>
          <t>Method code IFRS9 - Prepayment rate</t>
        </is>
      </c>
      <c r="H1101" s="309" t="n"/>
      <c r="I1101" s="475" t="inlineStr">
        <is>
          <t>Clé d'appariement avec les courbes de taux de remboursement anticipé du référentiel IFRS 9</t>
        </is>
      </c>
      <c r="J1101" s="309" t="inlineStr">
        <is>
          <t>Pairing key with the prepayment rate curves of IFRS 9 reference</t>
        </is>
      </c>
      <c r="K1101" s="370" t="inlineStr">
        <is>
          <t>ND</t>
        </is>
      </c>
      <c r="L1101" s="371" t="inlineStr">
        <is>
          <t>ND</t>
        </is>
      </c>
      <c r="M1101" s="1420" t="inlineStr">
        <is>
          <t>cdMetRembAnt</t>
        </is>
      </c>
      <c r="N1101" s="449" t="inlineStr">
        <is>
          <t>Facultatif</t>
        </is>
      </c>
      <c r="O1101" s="236" t="inlineStr">
        <is>
          <t>Optional</t>
        </is>
      </c>
      <c r="P1101" s="269" t="inlineStr">
        <is>
          <t>NA</t>
        </is>
      </c>
      <c r="Q1101" s="269" t="inlineStr">
        <is>
          <t>NA</t>
        </is>
      </c>
      <c r="R1101" s="241" t="inlineStr">
        <is>
          <t>NA</t>
        </is>
      </c>
      <c r="S1101" s="233" t="inlineStr">
        <is>
          <t>NA</t>
        </is>
      </c>
      <c r="T1101" s="307" t="inlineStr">
        <is>
          <t>ALPHA</t>
        </is>
      </c>
      <c r="U1101" s="237" t="inlineStr">
        <is>
          <t>NA</t>
        </is>
      </c>
      <c r="V1101" s="238" t="inlineStr">
        <is>
          <t>NA</t>
        </is>
      </c>
      <c r="W1101" s="269" t="n">
        <v>12</v>
      </c>
      <c r="X1101" s="231" t="inlineStr">
        <is>
          <t>NA</t>
        </is>
      </c>
      <c r="Y1101" s="237" t="n">
        <v>41</v>
      </c>
      <c r="Z1101" s="237" t="inlineStr">
        <is>
          <t>NA</t>
        </is>
      </c>
      <c r="AA1101" s="237" t="inlineStr">
        <is>
          <t>NA</t>
        </is>
      </c>
      <c r="AB1101" s="269" t="inlineStr">
        <is>
          <t>ASTRE, OMP</t>
        </is>
      </c>
      <c r="AC1101" s="231" t="inlineStr">
        <is>
          <t>ND</t>
        </is>
      </c>
      <c r="AD1101" s="257" t="inlineStr">
        <is>
          <t>N</t>
        </is>
      </c>
      <c r="AE1101" s="257" t="inlineStr">
        <is>
          <t>NA</t>
        </is>
      </c>
      <c r="AF1101" s="257" t="inlineStr">
        <is>
          <t>NA</t>
        </is>
      </c>
      <c r="AG1101" s="258" t="inlineStr">
        <is>
          <t>NA</t>
        </is>
      </c>
      <c r="AH1101" s="89" t="n"/>
      <c r="AI1101" s="316" t="n"/>
      <c r="AJ1101" s="317" t="n"/>
      <c r="AK1101" s="257" t="n"/>
      <c r="AL1101" s="258" t="n"/>
      <c r="AM1101" s="318" t="n"/>
      <c r="AN1101" s="317" t="n"/>
      <c r="AO1101" s="257" t="n"/>
      <c r="AP1101" s="258" t="n"/>
      <c r="AQ1101" s="318" t="n"/>
      <c r="AR1101" s="317" t="n"/>
      <c r="AS1101" s="257" t="n"/>
      <c r="AT1101" s="258" t="n"/>
      <c r="AU1101" s="318" t="n"/>
      <c r="AV1101" s="317" t="n"/>
      <c r="AW1101" s="257" t="n"/>
      <c r="AX1101" s="258" t="n"/>
      <c r="AY1101" s="318" t="n"/>
      <c r="AZ1101" s="317" t="n"/>
      <c r="BA1101" s="257" t="n"/>
      <c r="BB1101" s="258" t="n"/>
      <c r="BC1101" s="316" t="n"/>
      <c r="BD1101" s="317" t="n"/>
      <c r="BE1101" s="257" t="n"/>
      <c r="BF1101" s="258" t="n"/>
      <c r="BG1101" s="89" t="n"/>
      <c r="BH11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01">
        <f>_xlfn.LET(r,ROW(),oc,INDEX($A:$A,r),cv,TRIM(INDEX($Y:$Y,r)&amp;""),IF(oc&lt;&gt;"P1","",IF(cv="45","V45 - novo, nao alimentado pelo spool atual","V44 - alimentado pelo spool atual")))</f>
        <v/>
      </c>
    </row>
    <row r="1102" ht="54" customFormat="1" customHeight="1" s="55">
      <c r="A1102" s="325" t="inlineStr">
        <is>
          <t>P2</t>
        </is>
      </c>
      <c r="B1102" s="326" t="n">
        <v>205</v>
      </c>
      <c r="C1102" s="284" t="inlineStr">
        <is>
          <t>NA</t>
        </is>
      </c>
      <c r="D1102" s="284" t="inlineStr">
        <is>
          <t>NA</t>
        </is>
      </c>
      <c r="E1102" s="326" t="inlineStr">
        <is>
          <t>P2 23.99</t>
        </is>
      </c>
      <c r="F1102" s="327" t="inlineStr">
        <is>
          <t>Filler</t>
        </is>
      </c>
      <c r="G1102" s="327" t="inlineStr">
        <is>
          <t>Filler</t>
        </is>
      </c>
      <c r="H1102" s="327" t="n"/>
      <c r="I1102" s="247" t="inlineStr">
        <is>
          <t>Zone libre</t>
        </is>
      </c>
      <c r="J1102" s="327" t="inlineStr">
        <is>
          <t>Free zone</t>
        </is>
      </c>
      <c r="K1102" s="388" t="inlineStr">
        <is>
          <t>NA</t>
        </is>
      </c>
      <c r="L1102" s="388" t="inlineStr">
        <is>
          <t>NA</t>
        </is>
      </c>
      <c r="M1102" s="1421" t="inlineStr">
        <is>
          <t>Zonelibre2399</t>
        </is>
      </c>
      <c r="N1102" s="284" t="inlineStr">
        <is>
          <t>NA</t>
        </is>
      </c>
      <c r="O1102" s="388" t="inlineStr">
        <is>
          <t>NA</t>
        </is>
      </c>
      <c r="P1102" s="284" t="inlineStr">
        <is>
          <t>NA</t>
        </is>
      </c>
      <c r="Q1102" s="284" t="inlineStr">
        <is>
          <t>NA</t>
        </is>
      </c>
      <c r="R1102" s="247" t="inlineStr">
        <is>
          <t>Laisser à vide</t>
        </is>
      </c>
      <c r="S1102" s="247" t="inlineStr">
        <is>
          <t>Leave empty</t>
        </is>
      </c>
      <c r="T1102" s="326" t="inlineStr">
        <is>
          <t>ALPHA</t>
        </is>
      </c>
      <c r="U1102" s="248" t="inlineStr">
        <is>
          <t>NA</t>
        </is>
      </c>
      <c r="V1102" s="248" t="inlineStr">
        <is>
          <t>NA</t>
        </is>
      </c>
      <c r="W1102" s="284" t="n">
        <v>2</v>
      </c>
      <c r="X1102" s="244" t="inlineStr">
        <is>
          <t>NA</t>
        </is>
      </c>
      <c r="Y1102" s="248" t="inlineStr">
        <is>
          <t>NA</t>
        </is>
      </c>
      <c r="Z1102" s="248" t="inlineStr">
        <is>
          <t>NA</t>
        </is>
      </c>
      <c r="AA1102" s="248" t="inlineStr">
        <is>
          <t>NA</t>
        </is>
      </c>
      <c r="AB1102" s="244" t="inlineStr">
        <is>
          <t>NA</t>
        </is>
      </c>
      <c r="AC1102" s="244" t="inlineStr">
        <is>
          <t>NA</t>
        </is>
      </c>
      <c r="AD1102" s="284" t="inlineStr">
        <is>
          <t>N</t>
        </is>
      </c>
      <c r="AE1102" s="284" t="inlineStr">
        <is>
          <t>NA</t>
        </is>
      </c>
      <c r="AF1102" s="284" t="inlineStr">
        <is>
          <t>NA</t>
        </is>
      </c>
      <c r="AG1102" s="285" t="inlineStr">
        <is>
          <t>NA</t>
        </is>
      </c>
      <c r="AH1102" s="89" t="n"/>
      <c r="AI1102" s="330" t="n"/>
      <c r="AJ1102" s="331" t="n"/>
      <c r="AK1102" s="284" t="n"/>
      <c r="AL1102" s="285" t="n"/>
      <c r="AM1102" s="331" t="n"/>
      <c r="AN1102" s="331" t="n"/>
      <c r="AO1102" s="284" t="n"/>
      <c r="AP1102" s="285" t="n"/>
      <c r="AQ1102" s="331" t="n"/>
      <c r="AR1102" s="331" t="n"/>
      <c r="AS1102" s="284" t="n"/>
      <c r="AT1102" s="285" t="n"/>
      <c r="AU1102" s="331" t="n"/>
      <c r="AV1102" s="331" t="n"/>
      <c r="AW1102" s="284" t="n"/>
      <c r="AX1102" s="285" t="n"/>
      <c r="AY1102" s="331" t="n"/>
      <c r="AZ1102" s="331" t="n"/>
      <c r="BA1102" s="284" t="n"/>
      <c r="BB1102" s="285" t="n"/>
      <c r="BC1102" s="330" t="n"/>
      <c r="BD1102" s="331" t="n"/>
      <c r="BE1102" s="284" t="n"/>
      <c r="BF1102" s="285" t="n"/>
      <c r="BG1102" s="89" t="n"/>
      <c r="BH11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02">
        <f>_xlfn.LET(r,ROW(),oc,INDEX($A:$A,r),cv,TRIM(INDEX($Y:$Y,r)&amp;""),IF(oc&lt;&gt;"P1","",IF(cv="45","V45 - novo, nao alimentado pelo spool atual","V44 - alimentado pelo spool atual")))</f>
        <v/>
      </c>
    </row>
    <row r="1103" ht="54" customFormat="1" customHeight="1" s="55">
      <c r="A1103" s="325" t="inlineStr">
        <is>
          <t>P2</t>
        </is>
      </c>
      <c r="B1103" s="326" t="n">
        <v>206</v>
      </c>
      <c r="C1103" s="284" t="inlineStr">
        <is>
          <t>NA</t>
        </is>
      </c>
      <c r="D1103" s="244" t="inlineStr">
        <is>
          <t>NA</t>
        </is>
      </c>
      <c r="E1103" s="326" t="inlineStr">
        <is>
          <t>P2 26.1</t>
        </is>
      </c>
      <c r="F1103" s="327" t="inlineStr">
        <is>
          <t>Indicateur mobilisation de l'actif</t>
        </is>
      </c>
      <c r="G1103" s="327" t="inlineStr">
        <is>
          <t>Asset mobilisation indicator</t>
        </is>
      </c>
      <c r="H1103" s="327" t="n"/>
      <c r="I1103" s="245" t="inlineStr">
        <is>
          <t>Indicateur mobilisation de l'actif</t>
        </is>
      </c>
      <c r="J1103" s="327" t="inlineStr">
        <is>
          <t>Asset's mobilisation indicator</t>
        </is>
      </c>
      <c r="K1103" s="388" t="inlineStr">
        <is>
          <t>NA</t>
        </is>
      </c>
      <c r="L1103" s="388" t="inlineStr">
        <is>
          <t>NA</t>
        </is>
      </c>
      <c r="M1103" s="1421" t="inlineStr">
        <is>
          <t>indMobilActif</t>
        </is>
      </c>
      <c r="N1103" s="284" t="inlineStr">
        <is>
          <t>NA</t>
        </is>
      </c>
      <c r="O1103" s="284" t="inlineStr">
        <is>
          <t>NA</t>
        </is>
      </c>
      <c r="P1103" s="284" t="inlineStr">
        <is>
          <t>LC.0237</t>
        </is>
      </c>
      <c r="Q1103" s="284" t="inlineStr">
        <is>
          <t>TA KVIMA</t>
        </is>
      </c>
      <c r="R1103" s="247" t="inlineStr">
        <is>
          <t>Laisser à vide</t>
        </is>
      </c>
      <c r="S1103" s="247" t="inlineStr">
        <is>
          <t>Leave empty</t>
        </is>
      </c>
      <c r="T1103" s="326" t="inlineStr">
        <is>
          <t>ALPHA</t>
        </is>
      </c>
      <c r="U1103" s="248" t="inlineStr">
        <is>
          <t>NA</t>
        </is>
      </c>
      <c r="V1103" s="248" t="inlineStr">
        <is>
          <t>NA</t>
        </is>
      </c>
      <c r="W1103" s="284" t="n">
        <v>1</v>
      </c>
      <c r="X1103" s="244" t="inlineStr">
        <is>
          <t>NA</t>
        </is>
      </c>
      <c r="Y1103" s="248" t="n">
        <v>41</v>
      </c>
      <c r="Z1103" s="248" t="n">
        <v>43</v>
      </c>
      <c r="AA1103" s="248" t="inlineStr">
        <is>
          <t>NA</t>
        </is>
      </c>
      <c r="AB1103" s="244" t="inlineStr">
        <is>
          <t>NA</t>
        </is>
      </c>
      <c r="AC1103" s="244" t="inlineStr">
        <is>
          <t>NA</t>
        </is>
      </c>
      <c r="AD1103" s="284" t="inlineStr">
        <is>
          <t>N</t>
        </is>
      </c>
      <c r="AE1103" s="284" t="inlineStr">
        <is>
          <t>NA</t>
        </is>
      </c>
      <c r="AF1103" s="284" t="inlineStr">
        <is>
          <t>NA</t>
        </is>
      </c>
      <c r="AG1103" s="285" t="inlineStr">
        <is>
          <t>NA</t>
        </is>
      </c>
      <c r="AH1103" s="89" t="n"/>
      <c r="AI1103" s="330" t="n"/>
      <c r="AJ1103" s="331" t="n"/>
      <c r="AK1103" s="284" t="n"/>
      <c r="AL1103" s="285" t="n"/>
      <c r="AM1103" s="331" t="n"/>
      <c r="AN1103" s="331" t="n"/>
      <c r="AO1103" s="284" t="n"/>
      <c r="AP1103" s="285" t="n"/>
      <c r="AQ1103" s="331" t="n"/>
      <c r="AR1103" s="331" t="n"/>
      <c r="AS1103" s="284" t="n"/>
      <c r="AT1103" s="285" t="n"/>
      <c r="AU1103" s="331" t="n"/>
      <c r="AV1103" s="331" t="n"/>
      <c r="AW1103" s="284" t="n"/>
      <c r="AX1103" s="285" t="n"/>
      <c r="AY1103" s="331" t="n"/>
      <c r="AZ1103" s="331" t="n"/>
      <c r="BA1103" s="284" t="n"/>
      <c r="BB1103" s="285" t="n"/>
      <c r="BC1103" s="330" t="n"/>
      <c r="BD1103" s="331" t="n"/>
      <c r="BE1103" s="284" t="n"/>
      <c r="BF1103" s="285" t="n"/>
      <c r="BG1103" s="89" t="n"/>
      <c r="BH11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03">
        <f>_xlfn.LET(r,ROW(),oc,INDEX($A:$A,r),cv,TRIM(INDEX($Y:$Y,r)&amp;""),IF(oc&lt;&gt;"P1","",IF(cv="45","V45 - novo, nao alimentado pelo spool atual","V44 - alimentado pelo spool atual")))</f>
        <v/>
      </c>
    </row>
    <row r="1104" ht="54" customFormat="1" customHeight="1" s="55">
      <c r="A1104" s="325" t="inlineStr">
        <is>
          <t>P2</t>
        </is>
      </c>
      <c r="B1104" s="326" t="n">
        <v>207</v>
      </c>
      <c r="C1104" s="284" t="inlineStr">
        <is>
          <t>NA</t>
        </is>
      </c>
      <c r="D1104" s="244" t="inlineStr">
        <is>
          <t>NA</t>
        </is>
      </c>
      <c r="E1104" s="326" t="inlineStr">
        <is>
          <t>P2 26.2</t>
        </is>
      </c>
      <c r="F1104" s="327" t="inlineStr">
        <is>
          <t>Indicateur éligibilité de l'actif à une mobilisation banque centrale</t>
        </is>
      </c>
      <c r="G1104" s="327" t="inlineStr">
        <is>
          <t>Indicator of the asset's eligibility for mobilization with a central bank</t>
        </is>
      </c>
      <c r="H1104" s="327" t="n"/>
      <c r="I1104" s="245" t="inlineStr">
        <is>
          <t>Indicateur d'éligibilité de l'actif à une mobilisation auprès d'une banque centrale</t>
        </is>
      </c>
      <c r="J1104" s="245" t="inlineStr">
        <is>
          <t>Indicator of the asset's eligibility for mobilization with a central bank</t>
        </is>
      </c>
      <c r="K1104" s="284" t="inlineStr">
        <is>
          <t>NA</t>
        </is>
      </c>
      <c r="L1104" s="284" t="inlineStr">
        <is>
          <t>NA</t>
        </is>
      </c>
      <c r="M1104" s="1421" t="inlineStr">
        <is>
          <t>IndMobAct</t>
        </is>
      </c>
      <c r="N1104" s="244" t="inlineStr">
        <is>
          <t>NA</t>
        </is>
      </c>
      <c r="O1104" s="244" t="inlineStr">
        <is>
          <t>NA</t>
        </is>
      </c>
      <c r="P1104" s="284" t="inlineStr">
        <is>
          <t>LC.0345</t>
        </is>
      </c>
      <c r="Q1104" s="284" t="inlineStr">
        <is>
          <t>TA Z8IEAMBC</t>
        </is>
      </c>
      <c r="R1104" s="247" t="inlineStr">
        <is>
          <t>Laisser à vide</t>
        </is>
      </c>
      <c r="S1104" s="247" t="inlineStr">
        <is>
          <t>Leave empty</t>
        </is>
      </c>
      <c r="T1104" s="326" t="inlineStr">
        <is>
          <t>ALPHA</t>
        </is>
      </c>
      <c r="U1104" s="248" t="inlineStr">
        <is>
          <t>NA</t>
        </is>
      </c>
      <c r="V1104" s="248" t="inlineStr">
        <is>
          <t>NA</t>
        </is>
      </c>
      <c r="W1104" s="284" t="n">
        <v>1</v>
      </c>
      <c r="X1104" s="244" t="inlineStr">
        <is>
          <t>NA</t>
        </is>
      </c>
      <c r="Y1104" s="248" t="n">
        <v>43</v>
      </c>
      <c r="Z1104" s="248" t="n">
        <v>43</v>
      </c>
      <c r="AA1104" s="248" t="inlineStr">
        <is>
          <t>NA</t>
        </is>
      </c>
      <c r="AB1104" s="244" t="inlineStr">
        <is>
          <t>NA</t>
        </is>
      </c>
      <c r="AC1104" s="244" t="inlineStr">
        <is>
          <t>NA</t>
        </is>
      </c>
      <c r="AD1104" s="284" t="inlineStr">
        <is>
          <t>N</t>
        </is>
      </c>
      <c r="AE1104" s="284" t="inlineStr">
        <is>
          <t>NA</t>
        </is>
      </c>
      <c r="AF1104" s="284" t="inlineStr">
        <is>
          <t>NA</t>
        </is>
      </c>
      <c r="AG1104" s="285" t="inlineStr">
        <is>
          <t>NA</t>
        </is>
      </c>
      <c r="AH1104" s="89" t="n"/>
      <c r="AI1104" s="330" t="n"/>
      <c r="AJ1104" s="331" t="n"/>
      <c r="AK1104" s="284" t="n"/>
      <c r="AL1104" s="285" t="n"/>
      <c r="AM1104" s="331" t="n"/>
      <c r="AN1104" s="331" t="n"/>
      <c r="AO1104" s="284" t="n"/>
      <c r="AP1104" s="285" t="n"/>
      <c r="AQ1104" s="331" t="n"/>
      <c r="AR1104" s="331" t="n"/>
      <c r="AS1104" s="284" t="n"/>
      <c r="AT1104" s="285" t="n"/>
      <c r="AU1104" s="331" t="n"/>
      <c r="AV1104" s="331" t="n"/>
      <c r="AW1104" s="284" t="n"/>
      <c r="AX1104" s="285" t="n"/>
      <c r="AY1104" s="331" t="n"/>
      <c r="AZ1104" s="331" t="n"/>
      <c r="BA1104" s="284" t="n"/>
      <c r="BB1104" s="285" t="n"/>
      <c r="BC1104" s="330" t="n"/>
      <c r="BD1104" s="331" t="n"/>
      <c r="BE1104" s="284" t="n"/>
      <c r="BF1104" s="285" t="n"/>
      <c r="BG1104" s="89" t="n"/>
      <c r="BH11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04">
        <f>_xlfn.LET(r,ROW(),oc,INDEX($A:$A,r),cv,TRIM(INDEX($Y:$Y,r)&amp;""),IF(oc&lt;&gt;"P1","",IF(cv="45","V45 - novo, nao alimentado pelo spool atual","V44 - alimentado pelo spool atual")))</f>
        <v/>
      </c>
    </row>
    <row r="1105" ht="54" customFormat="1" customHeight="1" s="55">
      <c r="A1105" s="325" t="inlineStr">
        <is>
          <t>P2</t>
        </is>
      </c>
      <c r="B1105" s="326" t="n">
        <v>208</v>
      </c>
      <c r="C1105" s="284" t="inlineStr">
        <is>
          <t>NA</t>
        </is>
      </c>
      <c r="D1105" s="244" t="inlineStr">
        <is>
          <t>NA</t>
        </is>
      </c>
      <c r="E1105" s="326" t="inlineStr">
        <is>
          <t>P2 26.3</t>
        </is>
      </c>
      <c r="F1105" s="327" t="inlineStr">
        <is>
          <t xml:space="preserve">Référence de mobilisation de l'actif </t>
        </is>
      </c>
      <c r="G1105" s="327" t="inlineStr">
        <is>
          <t>Asset mobilization reference</t>
        </is>
      </c>
      <c r="H1105" s="327" t="n"/>
      <c r="I1105" s="245" t="inlineStr">
        <is>
          <t>Référence locale de mobilisation de l'actif qui sert de clé dans la fabrication du lien de mobilisation</t>
        </is>
      </c>
      <c r="J1105" s="245" t="inlineStr">
        <is>
          <t>Local asset mobilization reference which serves as a key in the fabrication of the mobilization link</t>
        </is>
      </c>
      <c r="K1105" s="284" t="inlineStr">
        <is>
          <t>NA</t>
        </is>
      </c>
      <c r="L1105" s="284" t="inlineStr">
        <is>
          <t>NA</t>
        </is>
      </c>
      <c r="M1105" s="1421" t="inlineStr">
        <is>
          <t>RefMobAct</t>
        </is>
      </c>
      <c r="N1105" s="244" t="inlineStr">
        <is>
          <t>NA</t>
        </is>
      </c>
      <c r="O1105" s="244" t="inlineStr">
        <is>
          <t>NA</t>
        </is>
      </c>
      <c r="P1105" s="284" t="inlineStr">
        <is>
          <t>NA</t>
        </is>
      </c>
      <c r="Q1105" s="284" t="inlineStr">
        <is>
          <t>NA</t>
        </is>
      </c>
      <c r="R1105" s="247" t="inlineStr">
        <is>
          <t>Laisser à vide</t>
        </is>
      </c>
      <c r="S1105" s="247" t="inlineStr">
        <is>
          <t>Leave empty</t>
        </is>
      </c>
      <c r="T1105" s="326" t="inlineStr">
        <is>
          <t>ALPHA</t>
        </is>
      </c>
      <c r="U1105" s="248" t="inlineStr">
        <is>
          <t>NA</t>
        </is>
      </c>
      <c r="V1105" s="248" t="inlineStr">
        <is>
          <t>NA</t>
        </is>
      </c>
      <c r="W1105" s="284" t="n">
        <v>3</v>
      </c>
      <c r="X1105" s="244" t="inlineStr">
        <is>
          <t>NA</t>
        </is>
      </c>
      <c r="Y1105" s="248" t="n">
        <v>43</v>
      </c>
      <c r="Z1105" s="248" t="n">
        <v>43</v>
      </c>
      <c r="AA1105" s="249" t="inlineStr">
        <is>
          <t>NA</t>
        </is>
      </c>
      <c r="AB1105" s="244" t="inlineStr">
        <is>
          <t>NA</t>
        </is>
      </c>
      <c r="AC1105" s="244" t="inlineStr">
        <is>
          <t>NA</t>
        </is>
      </c>
      <c r="AD1105" s="284" t="inlineStr">
        <is>
          <t>N</t>
        </is>
      </c>
      <c r="AE1105" s="284" t="inlineStr">
        <is>
          <t>NA</t>
        </is>
      </c>
      <c r="AF1105" s="284" t="inlineStr">
        <is>
          <t>NA</t>
        </is>
      </c>
      <c r="AG1105" s="285" t="inlineStr">
        <is>
          <t>NA</t>
        </is>
      </c>
      <c r="AH1105" s="89" t="n"/>
      <c r="AI1105" s="330" t="n"/>
      <c r="AJ1105" s="331" t="n"/>
      <c r="AK1105" s="284" t="n"/>
      <c r="AL1105" s="285" t="n"/>
      <c r="AM1105" s="331" t="n"/>
      <c r="AN1105" s="331" t="n"/>
      <c r="AO1105" s="284" t="n"/>
      <c r="AP1105" s="285" t="n"/>
      <c r="AQ1105" s="331" t="n"/>
      <c r="AR1105" s="331" t="n"/>
      <c r="AS1105" s="284" t="n"/>
      <c r="AT1105" s="285" t="n"/>
      <c r="AU1105" s="331" t="n"/>
      <c r="AV1105" s="331" t="n"/>
      <c r="AW1105" s="284" t="n"/>
      <c r="AX1105" s="285" t="n"/>
      <c r="AY1105" s="331" t="n"/>
      <c r="AZ1105" s="331" t="n"/>
      <c r="BA1105" s="284" t="n"/>
      <c r="BB1105" s="285" t="n"/>
      <c r="BC1105" s="330" t="n"/>
      <c r="BD1105" s="331" t="n"/>
      <c r="BE1105" s="284" t="n"/>
      <c r="BF1105" s="285" t="n"/>
      <c r="BG1105" s="89" t="n"/>
      <c r="BH11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05">
        <f>_xlfn.LET(r,ROW(),oc,INDEX($A:$A,r),cv,TRIM(INDEX($Y:$Y,r)&amp;""),IF(oc&lt;&gt;"P1","",IF(cv="45","V45 - novo, nao alimentado pelo spool atual","V44 - alimentado pelo spool atual")))</f>
        <v/>
      </c>
    </row>
    <row r="1106" ht="54" customFormat="1" customHeight="1" s="55">
      <c r="A1106" s="325" t="inlineStr">
        <is>
          <t>P2</t>
        </is>
      </c>
      <c r="B1106" s="326" t="n">
        <v>209</v>
      </c>
      <c r="C1106" s="284" t="inlineStr">
        <is>
          <t>NA</t>
        </is>
      </c>
      <c r="D1106" s="244" t="inlineStr">
        <is>
          <t>NA</t>
        </is>
      </c>
      <c r="E1106" s="326" t="inlineStr">
        <is>
          <t>P2 26.4</t>
        </is>
      </c>
      <c r="F1106" s="327" t="inlineStr">
        <is>
          <t xml:space="preserve">Code organisme de mobilisation </t>
        </is>
      </c>
      <c r="G1106" s="327" t="inlineStr">
        <is>
          <t xml:space="preserve">Mobilization organization code </t>
        </is>
      </c>
      <c r="H1106" s="327" t="n"/>
      <c r="I1106" s="245" t="inlineStr">
        <is>
          <t>Référence normalisée de l'organisme de mobilisation gérée par le système Crédit Agricole SA ACREA</t>
        </is>
      </c>
      <c r="J1106" s="825" t="inlineStr">
        <is>
          <t>Standard reference of the mobilization organization managed by the Crédit Agricole SA ACREA system</t>
        </is>
      </c>
      <c r="K1106" s="284" t="inlineStr">
        <is>
          <t>NA</t>
        </is>
      </c>
      <c r="L1106" s="284" t="inlineStr">
        <is>
          <t>NA</t>
        </is>
      </c>
      <c r="M1106" s="1421" t="inlineStr">
        <is>
          <t>cdOrgMob</t>
        </is>
      </c>
      <c r="N1106" s="244" t="inlineStr">
        <is>
          <t>NA</t>
        </is>
      </c>
      <c r="O1106" s="244" t="inlineStr">
        <is>
          <t>NA</t>
        </is>
      </c>
      <c r="P1106" s="284" t="inlineStr">
        <is>
          <t>LC.0346</t>
        </is>
      </c>
      <c r="Q1106" s="284" t="inlineStr">
        <is>
          <t>RB 0793</t>
        </is>
      </c>
      <c r="R1106" s="247" t="inlineStr">
        <is>
          <t>Laisser à vide</t>
        </is>
      </c>
      <c r="S1106" s="247" t="inlineStr">
        <is>
          <t>Leave empty</t>
        </is>
      </c>
      <c r="T1106" s="326" t="inlineStr">
        <is>
          <t>ALPHA</t>
        </is>
      </c>
      <c r="U1106" s="248" t="inlineStr">
        <is>
          <t>NA</t>
        </is>
      </c>
      <c r="V1106" s="248" t="inlineStr">
        <is>
          <t>NA</t>
        </is>
      </c>
      <c r="W1106" s="284" t="n">
        <v>3</v>
      </c>
      <c r="X1106" s="244" t="inlineStr">
        <is>
          <t>NA</t>
        </is>
      </c>
      <c r="Y1106" s="248" t="n">
        <v>43</v>
      </c>
      <c r="Z1106" s="248" t="n">
        <v>43</v>
      </c>
      <c r="AA1106" s="249" t="inlineStr">
        <is>
          <t>NA</t>
        </is>
      </c>
      <c r="AB1106" s="244" t="inlineStr">
        <is>
          <t>NA</t>
        </is>
      </c>
      <c r="AC1106" s="244" t="inlineStr">
        <is>
          <t>NA</t>
        </is>
      </c>
      <c r="AD1106" s="284" t="inlineStr">
        <is>
          <t>N</t>
        </is>
      </c>
      <c r="AE1106" s="284" t="inlineStr">
        <is>
          <t>NA</t>
        </is>
      </c>
      <c r="AF1106" s="284" t="inlineStr">
        <is>
          <t>NA</t>
        </is>
      </c>
      <c r="AG1106" s="285" t="inlineStr">
        <is>
          <t>NA</t>
        </is>
      </c>
      <c r="AH1106" s="89" t="n"/>
      <c r="AI1106" s="330" t="n"/>
      <c r="AJ1106" s="331" t="n"/>
      <c r="AK1106" s="284" t="n"/>
      <c r="AL1106" s="285" t="n"/>
      <c r="AM1106" s="331" t="n"/>
      <c r="AN1106" s="331" t="n"/>
      <c r="AO1106" s="284" t="n"/>
      <c r="AP1106" s="285" t="n"/>
      <c r="AQ1106" s="331" t="n"/>
      <c r="AR1106" s="331" t="n"/>
      <c r="AS1106" s="284" t="n"/>
      <c r="AT1106" s="285" t="n"/>
      <c r="AU1106" s="331" t="n"/>
      <c r="AV1106" s="331" t="n"/>
      <c r="AW1106" s="284" t="n"/>
      <c r="AX1106" s="285" t="n"/>
      <c r="AY1106" s="331" t="n"/>
      <c r="AZ1106" s="331" t="n"/>
      <c r="BA1106" s="284" t="n"/>
      <c r="BB1106" s="285" t="n"/>
      <c r="BC1106" s="330" t="n"/>
      <c r="BD1106" s="331" t="n"/>
      <c r="BE1106" s="284" t="n"/>
      <c r="BF1106" s="285" t="n"/>
      <c r="BG1106" s="89" t="n"/>
      <c r="BH11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06">
        <f>_xlfn.LET(r,ROW(),oc,INDEX($A:$A,r),cv,TRIM(INDEX($Y:$Y,r)&amp;""),IF(oc&lt;&gt;"P1","",IF(cv="45","V45 - novo, nao alimentado pelo spool atual","V44 - alimentado pelo spool atual")))</f>
        <v/>
      </c>
    </row>
    <row r="1107" ht="54" customFormat="1" customHeight="1" s="55">
      <c r="A1107" s="325" t="inlineStr">
        <is>
          <t>P2</t>
        </is>
      </c>
      <c r="B1107" s="326" t="n">
        <v>210</v>
      </c>
      <c r="C1107" s="284" t="inlineStr">
        <is>
          <t>03 - Caractéristiques Générales</t>
        </is>
      </c>
      <c r="D1107" s="244" t="inlineStr">
        <is>
          <t>03 - General characteristics</t>
        </is>
      </c>
      <c r="E1107" s="326" t="inlineStr">
        <is>
          <t>P2 26.99</t>
        </is>
      </c>
      <c r="F1107" s="327" t="inlineStr">
        <is>
          <t>Zone réservée Asset Encumbrance</t>
        </is>
      </c>
      <c r="G1107" s="327" t="inlineStr">
        <is>
          <t>Zone reserved Asset Encumbrance</t>
        </is>
      </c>
      <c r="H1107" s="327" t="n"/>
      <c r="I1107" s="245" t="inlineStr">
        <is>
          <t>Zone réservée Asset Encumbrance</t>
        </is>
      </c>
      <c r="J1107" s="327" t="inlineStr">
        <is>
          <t>Zone reserved Asset Encumbrance</t>
        </is>
      </c>
      <c r="K1107" s="328" t="inlineStr">
        <is>
          <t>NA</t>
        </is>
      </c>
      <c r="L1107" s="328" t="inlineStr">
        <is>
          <t>NA</t>
        </is>
      </c>
      <c r="M1107" s="1421" t="inlineStr">
        <is>
          <t>ZoneResAssEnc</t>
        </is>
      </c>
      <c r="N1107" s="284" t="inlineStr">
        <is>
          <t>NA</t>
        </is>
      </c>
      <c r="O1107" s="388" t="inlineStr">
        <is>
          <t>NA</t>
        </is>
      </c>
      <c r="P1107" s="284" t="inlineStr">
        <is>
          <t>NA</t>
        </is>
      </c>
      <c r="Q1107" s="284" t="inlineStr">
        <is>
          <t>NA</t>
        </is>
      </c>
      <c r="R1107" s="245" t="inlineStr">
        <is>
          <t>NA</t>
        </is>
      </c>
      <c r="S1107" s="245" t="inlineStr">
        <is>
          <t>NA</t>
        </is>
      </c>
      <c r="T1107" s="326" t="inlineStr">
        <is>
          <t>ALPHA</t>
        </is>
      </c>
      <c r="U1107" s="248" t="inlineStr">
        <is>
          <t>NA</t>
        </is>
      </c>
      <c r="V1107" s="248" t="inlineStr">
        <is>
          <t>NA</t>
        </is>
      </c>
      <c r="W1107" s="284" t="n">
        <v>20</v>
      </c>
      <c r="X1107" s="244" t="inlineStr">
        <is>
          <t>NA</t>
        </is>
      </c>
      <c r="Y1107" s="248" t="inlineStr">
        <is>
          <t>NA</t>
        </is>
      </c>
      <c r="Z1107" s="248" t="inlineStr">
        <is>
          <t>NA</t>
        </is>
      </c>
      <c r="AA1107" s="249" t="inlineStr">
        <is>
          <t>NA</t>
        </is>
      </c>
      <c r="AB1107" s="244" t="inlineStr">
        <is>
          <t>NA</t>
        </is>
      </c>
      <c r="AC1107" s="244" t="inlineStr">
        <is>
          <t>NA</t>
        </is>
      </c>
      <c r="AD1107" s="284" t="inlineStr">
        <is>
          <t>N</t>
        </is>
      </c>
      <c r="AE1107" s="284" t="inlineStr">
        <is>
          <t>NA</t>
        </is>
      </c>
      <c r="AF1107" s="284" t="inlineStr">
        <is>
          <t>NA</t>
        </is>
      </c>
      <c r="AG1107" s="285" t="inlineStr">
        <is>
          <t>NA</t>
        </is>
      </c>
      <c r="AH1107" s="89" t="n"/>
      <c r="AI1107" s="330" t="n"/>
      <c r="AJ1107" s="331" t="n"/>
      <c r="AK1107" s="284" t="n"/>
      <c r="AL1107" s="285" t="n"/>
      <c r="AM1107" s="331" t="n"/>
      <c r="AN1107" s="331" t="n"/>
      <c r="AO1107" s="284" t="n"/>
      <c r="AP1107" s="285" t="n"/>
      <c r="AQ1107" s="331" t="n"/>
      <c r="AR1107" s="331" t="n"/>
      <c r="AS1107" s="284" t="n"/>
      <c r="AT1107" s="285" t="n"/>
      <c r="AU1107" s="331" t="n"/>
      <c r="AV1107" s="331" t="n"/>
      <c r="AW1107" s="284" t="n"/>
      <c r="AX1107" s="285" t="n"/>
      <c r="AY1107" s="331" t="n"/>
      <c r="AZ1107" s="331" t="n"/>
      <c r="BA1107" s="284" t="n"/>
      <c r="BB1107" s="285" t="n"/>
      <c r="BC1107" s="330" t="n"/>
      <c r="BD1107" s="331" t="n"/>
      <c r="BE1107" s="284" t="n"/>
      <c r="BF1107" s="285" t="n"/>
      <c r="BG1107" s="89" t="n"/>
      <c r="BH11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07">
        <f>_xlfn.LET(r,ROW(),oc,INDEX($A:$A,r),cv,TRIM(INDEX($Y:$Y,r)&amp;""),IF(oc&lt;&gt;"P1","",IF(cv="45","V45 - novo, nao alimentado pelo spool atual","V44 - alimentado pelo spool atual")))</f>
        <v/>
      </c>
    </row>
    <row r="1108" ht="54" customFormat="1" customHeight="1" s="90">
      <c r="A1108" s="306" t="inlineStr">
        <is>
          <t>P2</t>
        </is>
      </c>
      <c r="B1108" s="307" t="n">
        <v>211</v>
      </c>
      <c r="C1108" s="269" t="inlineStr">
        <is>
          <t>11 - Caractéristiques Opérations à effet de levier</t>
        </is>
      </c>
      <c r="D1108" s="236" t="inlineStr">
        <is>
          <t>11 - Leveraged Operations characteristics</t>
        </is>
      </c>
      <c r="E1108" s="372" t="inlineStr">
        <is>
          <t>P2 28.1</t>
        </is>
      </c>
      <c r="F1108" s="375" t="inlineStr">
        <is>
          <t>Indicateur opération effet de levier</t>
        </is>
      </c>
      <c r="G1108" s="309" t="inlineStr">
        <is>
          <t>Leveraged transaction Indicator</t>
        </is>
      </c>
      <c r="H1108" s="309" t="n"/>
      <c r="I1108" s="241" t="inlineStr">
        <is>
          <t>Indicateur permettant d'identifier les encours sur opérations de financement à effet de levier</t>
        </is>
      </c>
      <c r="J1108" s="309" t="inlineStr">
        <is>
          <t>Indicator to identify leveraged transaction outstandings</t>
        </is>
      </c>
      <c r="K1108" s="370" t="inlineStr">
        <is>
          <t>ND</t>
        </is>
      </c>
      <c r="L1108" s="371" t="inlineStr">
        <is>
          <t>ND</t>
        </is>
      </c>
      <c r="M1108" s="1420" t="inlineStr">
        <is>
          <t>indOpeEffetLevier</t>
        </is>
      </c>
      <c r="N1108" s="257" t="inlineStr">
        <is>
          <t>Obligatoire sous conditions</t>
        </is>
      </c>
      <c r="O1108" s="236" t="inlineStr">
        <is>
          <t>Mandatory under conditions</t>
        </is>
      </c>
      <c r="P1108" s="269" t="inlineStr">
        <is>
          <t>LC.0299</t>
        </is>
      </c>
      <c r="Q1108" s="269" t="inlineStr">
        <is>
          <t>TA KVIOPEFL</t>
        </is>
      </c>
      <c r="R1108" s="241" t="inlineStr">
        <is>
          <t>NA</t>
        </is>
      </c>
      <c r="S1108" s="233" t="inlineStr">
        <is>
          <t>NA</t>
        </is>
      </c>
      <c r="T1108" s="313" t="inlineStr">
        <is>
          <t>ALPHA</t>
        </is>
      </c>
      <c r="U1108" s="237" t="inlineStr">
        <is>
          <t>NA</t>
        </is>
      </c>
      <c r="V1108" s="238" t="inlineStr">
        <is>
          <t>NA</t>
        </is>
      </c>
      <c r="W1108" s="257" t="n">
        <v>1</v>
      </c>
      <c r="X1108" s="945" t="inlineStr">
        <is>
          <t>NA</t>
        </is>
      </c>
      <c r="Y1108" s="237" t="n">
        <v>42</v>
      </c>
      <c r="Z1108" s="237" t="inlineStr">
        <is>
          <t>NA</t>
        </is>
      </c>
      <c r="AA1108" s="283" t="inlineStr">
        <is>
          <t>45.00</t>
        </is>
      </c>
      <c r="AB1108" s="269" t="inlineStr">
        <is>
          <t>FEL</t>
        </is>
      </c>
      <c r="AC1108" s="231" t="inlineStr">
        <is>
          <t>ND</t>
        </is>
      </c>
      <c r="AD1108" s="257" t="inlineStr">
        <is>
          <t>N</t>
        </is>
      </c>
      <c r="AE1108" s="257" t="inlineStr">
        <is>
          <t>NA</t>
        </is>
      </c>
      <c r="AF1108" s="257" t="inlineStr">
        <is>
          <t>NA</t>
        </is>
      </c>
      <c r="AG1108" s="258" t="inlineStr">
        <is>
          <t>NA</t>
        </is>
      </c>
      <c r="AH1108" s="89" t="n"/>
      <c r="AI1108" s="316" t="inlineStr">
        <is>
          <t>La donnée est obligatoire si le type de risque [P2 2.0] = 'TRExxx' hors (TRE3xx et TRE5xx) et 'SIGxx' hors (SIG1xx, SIG202, SIG203, SIG205)</t>
        </is>
      </c>
      <c r="AJ1108" s="317" t="inlineStr">
        <is>
          <t>The data is mandatory if Risk type [P2 2.0] = 'TRExxx' out (TRE3xx and TRE5xx) and 'SIGxx' out (SIG1xx, SIG202, SIG203, SIG205)</t>
        </is>
      </c>
      <c r="AK1108" s="958" t="n">
        <v>7</v>
      </c>
      <c r="AL1108" s="345" t="inlineStr">
        <is>
          <t>TPS1749</t>
        </is>
      </c>
      <c r="AM1108" s="452" t="inlineStr">
        <is>
          <t>Si elle est renseignée, la valeur doit être connue du Langage Commun associé</t>
        </is>
      </c>
      <c r="AN1108" s="377" t="inlineStr">
        <is>
          <t>If specified, the value must be known to the associated Common Language</t>
        </is>
      </c>
      <c r="AO1108" s="257" t="n">
        <v>7</v>
      </c>
      <c r="AP1108" s="212" t="inlineStr">
        <is>
          <t>TIG0001</t>
        </is>
      </c>
      <c r="AQ1108" s="318" t="n"/>
      <c r="AR1108" s="317" t="n"/>
      <c r="AS1108" s="257" t="n"/>
      <c r="AT1108" s="258" t="n"/>
      <c r="AU1108" s="318" t="n"/>
      <c r="AV1108" s="317" t="n"/>
      <c r="AW1108" s="257" t="n"/>
      <c r="AX1108" s="258" t="n"/>
      <c r="AY1108" s="318" t="n"/>
      <c r="AZ1108" s="317" t="n"/>
      <c r="BA1108" s="257" t="n"/>
      <c r="BB1108" s="258" t="n"/>
      <c r="BC1108" s="316" t="n"/>
      <c r="BD1108" s="317" t="n"/>
      <c r="BE1108" s="257" t="n"/>
      <c r="BF1108" s="258" t="n"/>
      <c r="BG1108" s="89" t="n"/>
      <c r="BH11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08">
        <f>_xlfn.LET(r,ROW(),oc,INDEX($A:$A,r),cv,TRIM(INDEX($Y:$Y,r)&amp;""),IF(oc&lt;&gt;"P1","",IF(cv="45","V45 - novo, nao alimentado pelo spool atual","V44 - alimentado pelo spool atual")))</f>
        <v/>
      </c>
    </row>
    <row r="1109" ht="54" customFormat="1" customHeight="1" s="90">
      <c r="A1109" s="306" t="inlineStr">
        <is>
          <t>P2</t>
        </is>
      </c>
      <c r="B1109" s="307" t="n">
        <v>212</v>
      </c>
      <c r="C1109" s="269" t="inlineStr">
        <is>
          <t>11 - Caractéristiques Opérations à effet de levier</t>
        </is>
      </c>
      <c r="D1109" s="236" t="inlineStr">
        <is>
          <t>11 - Leveraged Operations characteristics</t>
        </is>
      </c>
      <c r="E1109" s="372" t="inlineStr">
        <is>
          <t>P2 28.2</t>
        </is>
      </c>
      <c r="F1109" s="375" t="inlineStr">
        <is>
          <t>Indicateur sponsor financier majoritaire au capital</t>
        </is>
      </c>
      <c r="G1109" s="309" t="inlineStr">
        <is>
          <t>Financial sponsor major shareholder indicator</t>
        </is>
      </c>
      <c r="H1109" s="309" t="n"/>
      <c r="I1109" s="241" t="inlineStr">
        <is>
          <t>Indicateur de présence d'un sponsor financier majoritaire sur opération de financement à effet de levier</t>
        </is>
      </c>
      <c r="J1109" s="309" t="inlineStr">
        <is>
          <t>Indicator of the presence of Financial sponsor major shareholder on a leveraged financing transaction</t>
        </is>
      </c>
      <c r="K1109" s="370" t="inlineStr">
        <is>
          <t>ND</t>
        </is>
      </c>
      <c r="L1109" s="371" t="inlineStr">
        <is>
          <t>ND</t>
        </is>
      </c>
      <c r="M1109" s="1420" t="inlineStr">
        <is>
          <t>indSponsFinanMajCap</t>
        </is>
      </c>
      <c r="N1109" s="257" t="inlineStr">
        <is>
          <t>Obligatoire sous conditions</t>
        </is>
      </c>
      <c r="O1109" s="236" t="inlineStr">
        <is>
          <t>Mandatory under conditions</t>
        </is>
      </c>
      <c r="P1109" s="269" t="inlineStr">
        <is>
          <t>LC.0300</t>
        </is>
      </c>
      <c r="Q1109" s="269" t="inlineStr">
        <is>
          <t>TA KVISPFMC</t>
        </is>
      </c>
      <c r="R1109" s="241" t="inlineStr">
        <is>
          <t>NA</t>
        </is>
      </c>
      <c r="S1109" s="233" t="inlineStr">
        <is>
          <t>NA</t>
        </is>
      </c>
      <c r="T1109" s="313" t="inlineStr">
        <is>
          <t>ALPHA</t>
        </is>
      </c>
      <c r="U1109" s="237" t="inlineStr">
        <is>
          <t>NA</t>
        </is>
      </c>
      <c r="V1109" s="238" t="inlineStr">
        <is>
          <t>NA</t>
        </is>
      </c>
      <c r="W1109" s="257" t="n">
        <v>1</v>
      </c>
      <c r="X1109" s="945" t="inlineStr">
        <is>
          <t>NA</t>
        </is>
      </c>
      <c r="Y1109" s="237" t="n">
        <v>42</v>
      </c>
      <c r="Z1109" s="237" t="inlineStr">
        <is>
          <t>NA</t>
        </is>
      </c>
      <c r="AA1109" s="237" t="inlineStr">
        <is>
          <t>NA</t>
        </is>
      </c>
      <c r="AB1109" s="269" t="inlineStr">
        <is>
          <t>FEL</t>
        </is>
      </c>
      <c r="AC1109" s="231" t="inlineStr">
        <is>
          <t>ND</t>
        </is>
      </c>
      <c r="AD1109" s="257" t="inlineStr">
        <is>
          <t>N</t>
        </is>
      </c>
      <c r="AE1109" s="257" t="inlineStr">
        <is>
          <t>NA</t>
        </is>
      </c>
      <c r="AF1109" s="257" t="inlineStr">
        <is>
          <t>NA</t>
        </is>
      </c>
      <c r="AG1109" s="258" t="inlineStr">
        <is>
          <t>NA</t>
        </is>
      </c>
      <c r="AH1109" s="89" t="n"/>
      <c r="AI1109" s="316" t="inlineStr">
        <is>
          <t>La donnée est obligatoire si le type de risque [P2 2.0] = 'TRExxx' hors (TRE3xx et TRE5xx) et 'SIGxx' hors (SIG1xx, SIG202, SIG203, SIG205) et si la donnée indicateur opération effet de levier [P2 28.1] est renseignée et est &lt;&gt; '0'</t>
        </is>
      </c>
      <c r="AJ1109" s="317" t="inlineStr">
        <is>
          <t>The data is mandatory if Risk type [P2 2.0] = 'TRExxx' out (TRE3xx and TRE5xx) and 'SIGxx' out (SIG1xx, SIG202, SIG203, SIG205) and the leverage operation indicator data [P2 28.1] is filled in and is &lt;&gt; '0'</t>
        </is>
      </c>
      <c r="AK1109" s="257" t="n">
        <v>6</v>
      </c>
      <c r="AL1109" s="424" t="inlineStr">
        <is>
          <t>TPS1750</t>
        </is>
      </c>
      <c r="AM1109" s="452" t="inlineStr">
        <is>
          <t>Si elle est renseignée, la valeur doit être connue du Langage Commun associé</t>
        </is>
      </c>
      <c r="AN1109" s="377" t="inlineStr">
        <is>
          <t>If specified, the value must be known to the associated Common Language</t>
        </is>
      </c>
      <c r="AO1109" s="257" t="n">
        <v>7</v>
      </c>
      <c r="AP1109" s="212" t="inlineStr">
        <is>
          <t>TIG0001</t>
        </is>
      </c>
      <c r="AQ1109" s="318" t="n"/>
      <c r="AR1109" s="317" t="n"/>
      <c r="AS1109" s="257" t="n"/>
      <c r="AT1109" s="258" t="n"/>
      <c r="AU1109" s="421" t="n"/>
      <c r="AV1109" s="422" t="n"/>
      <c r="AW1109" s="348" t="n"/>
      <c r="AX1109" s="258" t="n"/>
      <c r="AY1109" s="318" t="n"/>
      <c r="AZ1109" s="317" t="n"/>
      <c r="BA1109" s="257" t="n"/>
      <c r="BB1109" s="258" t="n"/>
      <c r="BC1109" s="316" t="n"/>
      <c r="BD1109" s="317" t="n"/>
      <c r="BE1109" s="257" t="n"/>
      <c r="BF1109" s="258" t="n"/>
      <c r="BG1109" s="89" t="n"/>
      <c r="BH11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09">
        <f>_xlfn.LET(r,ROW(),oc,INDEX($A:$A,r),cv,TRIM(INDEX($Y:$Y,r)&amp;""),IF(oc&lt;&gt;"P1","",IF(cv="45","V45 - novo, nao alimentado pelo spool atual","V44 - alimentado pelo spool atual")))</f>
        <v/>
      </c>
    </row>
    <row r="1110" ht="54" customFormat="1" customHeight="1" s="90">
      <c r="A1110" s="306" t="inlineStr">
        <is>
          <t>P2</t>
        </is>
      </c>
      <c r="B1110" s="307" t="n">
        <v>213</v>
      </c>
      <c r="C1110" s="269" t="inlineStr">
        <is>
          <t>03 - Caractéristiques Générales</t>
        </is>
      </c>
      <c r="D1110" s="310" t="inlineStr">
        <is>
          <t>03 - General characteristics</t>
        </is>
      </c>
      <c r="E1110" s="372" t="inlineStr">
        <is>
          <t>P2 29.1</t>
        </is>
      </c>
      <c r="F1110" s="375" t="inlineStr">
        <is>
          <t>Montant de l'indemnité de résiliation</t>
        </is>
      </c>
      <c r="G1110" s="309" t="inlineStr">
        <is>
          <t xml:space="preserve">Amount of the termination indemnity </t>
        </is>
      </c>
      <c r="H1110" s="309" t="n"/>
      <c r="I1110" s="375" t="inlineStr">
        <is>
          <t>Montant de l'indemnité à payer par le client si ce dernier résilie son contrat avant la date d'échéance</t>
        </is>
      </c>
      <c r="J1110" s="309" t="inlineStr">
        <is>
          <t>Amount of compensation to be paid by the customer if the latter terminates his contract before the due date</t>
        </is>
      </c>
      <c r="K1110" s="370" t="inlineStr">
        <is>
          <t>ND</t>
        </is>
      </c>
      <c r="L1110" s="371" t="inlineStr">
        <is>
          <t>ND</t>
        </is>
      </c>
      <c r="M1110" s="1420" t="inlineStr">
        <is>
          <t>mtIndmRes</t>
        </is>
      </c>
      <c r="N1110" s="231" t="inlineStr">
        <is>
          <t>Facultatif</t>
        </is>
      </c>
      <c r="O1110" s="236" t="inlineStr">
        <is>
          <t>Optional</t>
        </is>
      </c>
      <c r="P1110" s="269" t="inlineStr">
        <is>
          <t>NA</t>
        </is>
      </c>
      <c r="Q1110" s="269" t="inlineStr">
        <is>
          <t>NA</t>
        </is>
      </c>
      <c r="R1110" s="241" t="inlineStr">
        <is>
          <t>NA</t>
        </is>
      </c>
      <c r="S1110" s="233" t="inlineStr">
        <is>
          <t>NA</t>
        </is>
      </c>
      <c r="T1110" s="313" t="inlineStr">
        <is>
          <t>NUM</t>
        </is>
      </c>
      <c r="U1110" s="237" t="inlineStr">
        <is>
          <t>19 dont signe et 2 décimales</t>
        </is>
      </c>
      <c r="V1110" s="238" t="inlineStr">
        <is>
          <t>19 including sign and 2 decimals</t>
        </is>
      </c>
      <c r="W1110" s="257" t="n">
        <v>19</v>
      </c>
      <c r="X1110" s="945" t="inlineStr">
        <is>
          <t>NA</t>
        </is>
      </c>
      <c r="Y1110" s="237" t="n">
        <v>42</v>
      </c>
      <c r="Z1110" s="237" t="inlineStr">
        <is>
          <t>NA</t>
        </is>
      </c>
      <c r="AA1110" s="237" t="inlineStr">
        <is>
          <t>NA</t>
        </is>
      </c>
      <c r="AB1110" s="269" t="inlineStr">
        <is>
          <t>ANACREDIT</t>
        </is>
      </c>
      <c r="AC1110" s="231" t="inlineStr">
        <is>
          <t>ND</t>
        </is>
      </c>
      <c r="AD1110" s="257" t="inlineStr">
        <is>
          <t>N</t>
        </is>
      </c>
      <c r="AE1110" s="257" t="inlineStr">
        <is>
          <t>NA</t>
        </is>
      </c>
      <c r="AF1110" s="257" t="inlineStr">
        <is>
          <t>NA</t>
        </is>
      </c>
      <c r="AG1110" s="258" t="inlineStr">
        <is>
          <t>NA</t>
        </is>
      </c>
      <c r="AH1110" s="89" t="n"/>
      <c r="AI1110" s="316" t="n"/>
      <c r="AJ1110" s="317" t="n"/>
      <c r="AK1110" s="257" t="n"/>
      <c r="AL1110" s="258" t="n"/>
      <c r="AM1110" s="318" t="n"/>
      <c r="AN1110" s="317" t="n"/>
      <c r="AO1110" s="257" t="n"/>
      <c r="AP1110" s="258" t="n"/>
      <c r="AQ1110" s="322" t="inlineStr">
        <is>
          <t>Si renseignée, la donnée doit être positive (supérieure ou égale à 0)</t>
        </is>
      </c>
      <c r="AR1110" s="317" t="inlineStr">
        <is>
          <t xml:space="preserve">If filled, data must be positive (greater or equal to 0) </t>
        </is>
      </c>
      <c r="AS1110" s="257" t="n">
        <v>7</v>
      </c>
      <c r="AT1110" s="345" t="inlineStr">
        <is>
          <t>TVG0001</t>
        </is>
      </c>
      <c r="AU1110" s="318" t="n"/>
      <c r="AV1110" s="317" t="n"/>
      <c r="AW1110" s="257" t="n"/>
      <c r="AX1110" s="258" t="n"/>
      <c r="AY1110" s="318" t="n"/>
      <c r="AZ1110" s="317" t="n"/>
      <c r="BA1110" s="257" t="n"/>
      <c r="BB1110" s="258" t="n"/>
      <c r="BC1110" s="316" t="n"/>
      <c r="BD1110" s="317" t="n"/>
      <c r="BE1110" s="257" t="n"/>
      <c r="BF1110" s="258" t="n"/>
      <c r="BG1110" s="89" t="n"/>
      <c r="BH11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10">
        <f>_xlfn.LET(r,ROW(),oc,INDEX($A:$A,r),cv,TRIM(INDEX($Y:$Y,r)&amp;""),IF(oc&lt;&gt;"P1","",IF(cv="45","V45 - novo, nao alimentado pelo spool atual","V44 - alimentado pelo spool atual")))</f>
        <v/>
      </c>
    </row>
    <row r="1111" ht="54" customFormat="1" customHeight="1" s="90">
      <c r="A1111" s="306" t="inlineStr">
        <is>
          <t>P2</t>
        </is>
      </c>
      <c r="B1111" s="307" t="n">
        <v>214</v>
      </c>
      <c r="C1111" s="269" t="inlineStr">
        <is>
          <t>03 - Caractéristiques Générales</t>
        </is>
      </c>
      <c r="D1111" s="310" t="inlineStr">
        <is>
          <t>03 - General characteristics</t>
        </is>
      </c>
      <c r="E1111" s="372" t="inlineStr">
        <is>
          <t>P2 29.2</t>
        </is>
      </c>
      <c r="F1111" s="375" t="inlineStr">
        <is>
          <t>Devise du montant de l'indemnité de résiliation</t>
        </is>
      </c>
      <c r="G1111" s="309" t="inlineStr">
        <is>
          <t xml:space="preserve">Currency of the amount of termination indemnity </t>
        </is>
      </c>
      <c r="H1111" s="309" t="n"/>
      <c r="I1111" s="241" t="inlineStr">
        <is>
          <t>Devise du montant de l'indemnité de résiliation</t>
        </is>
      </c>
      <c r="J1111" s="309" t="inlineStr">
        <is>
          <t xml:space="preserve">Currency of the amount of termination indemnity </t>
        </is>
      </c>
      <c r="K1111" s="370" t="inlineStr">
        <is>
          <t>ND</t>
        </is>
      </c>
      <c r="L1111" s="371" t="inlineStr">
        <is>
          <t>ND</t>
        </is>
      </c>
      <c r="M1111" s="1420" t="inlineStr">
        <is>
          <t>cdDevMtIndmRes</t>
        </is>
      </c>
      <c r="N1111" s="231" t="inlineStr">
        <is>
          <t>Obligatoire sous conditions</t>
        </is>
      </c>
      <c r="O1111" s="236" t="inlineStr">
        <is>
          <t>Mandatory under conditions</t>
        </is>
      </c>
      <c r="P1111" s="269" t="inlineStr">
        <is>
          <t>LC.0005</t>
        </is>
      </c>
      <c r="Q1111" s="269" t="inlineStr">
        <is>
          <t>TA NM253</t>
        </is>
      </c>
      <c r="R1111" s="241" t="inlineStr">
        <is>
          <t>NA</t>
        </is>
      </c>
      <c r="S1111" s="233" t="inlineStr">
        <is>
          <t>NA</t>
        </is>
      </c>
      <c r="T1111" s="313" t="inlineStr">
        <is>
          <t>ALPHA</t>
        </is>
      </c>
      <c r="U1111" s="237" t="inlineStr">
        <is>
          <t>NA</t>
        </is>
      </c>
      <c r="V1111" s="238" t="inlineStr">
        <is>
          <t>NA</t>
        </is>
      </c>
      <c r="W1111" s="257" t="n">
        <v>3</v>
      </c>
      <c r="X1111" s="945" t="inlineStr">
        <is>
          <t>NA</t>
        </is>
      </c>
      <c r="Y1111" s="237" t="n">
        <v>42</v>
      </c>
      <c r="Z1111" s="237" t="inlineStr">
        <is>
          <t>NA</t>
        </is>
      </c>
      <c r="AA1111" s="237" t="inlineStr">
        <is>
          <t>NA</t>
        </is>
      </c>
      <c r="AB1111" s="269" t="inlineStr">
        <is>
          <t>ANACREDIT</t>
        </is>
      </c>
      <c r="AC1111" s="231" t="inlineStr">
        <is>
          <t>ND</t>
        </is>
      </c>
      <c r="AD1111" s="257" t="inlineStr">
        <is>
          <t>N</t>
        </is>
      </c>
      <c r="AE1111" s="257" t="inlineStr">
        <is>
          <t>NA</t>
        </is>
      </c>
      <c r="AF1111" s="257" t="inlineStr">
        <is>
          <t>NA</t>
        </is>
      </c>
      <c r="AG1111" s="258" t="inlineStr">
        <is>
          <t>NA</t>
        </is>
      </c>
      <c r="AH1111" s="89" t="n"/>
      <c r="AI1111" s="435" t="inlineStr">
        <is>
          <t>La donnée est obligatoire si le Montant de l'indemnité de résiliation [P2 29.1] est renseigné</t>
        </is>
      </c>
      <c r="AJ1111" s="317" t="inlineStr">
        <is>
          <t>The data is mandatory if Amount of the termination indemnity [P2 29.1] is filled</t>
        </is>
      </c>
      <c r="AK1111" s="257" t="n">
        <v>7</v>
      </c>
      <c r="AL1111" s="335" t="inlineStr">
        <is>
          <t>TPG0002</t>
        </is>
      </c>
      <c r="AM1111" s="318" t="inlineStr">
        <is>
          <t>Si elle est renseignée, la valeur doit être connue du Langage Commun associé</t>
        </is>
      </c>
      <c r="AN1111" s="317" t="inlineStr">
        <is>
          <t>If specified, the value must be known to the associated Common Language</t>
        </is>
      </c>
      <c r="AO1111" s="257" t="n">
        <v>7</v>
      </c>
      <c r="AP1111" s="212" t="inlineStr">
        <is>
          <t>TIG0001</t>
        </is>
      </c>
      <c r="AQ1111" s="318" t="n"/>
      <c r="AR1111" s="317" t="n"/>
      <c r="AS1111" s="257" t="n"/>
      <c r="AT1111" s="258" t="n"/>
      <c r="AU1111" s="318" t="n"/>
      <c r="AV1111" s="317" t="n"/>
      <c r="AW1111" s="257" t="n"/>
      <c r="AX1111" s="258" t="n"/>
      <c r="AY1111" s="318" t="n"/>
      <c r="AZ1111" s="317" t="n"/>
      <c r="BA1111" s="257" t="n"/>
      <c r="BB1111" s="258" t="n"/>
      <c r="BC1111" s="316" t="n"/>
      <c r="BD1111" s="317" t="n"/>
      <c r="BE1111" s="257" t="n"/>
      <c r="BF1111" s="258" t="n"/>
      <c r="BG1111" s="89" t="n"/>
      <c r="BH11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11">
        <f>_xlfn.LET(r,ROW(),oc,INDEX($A:$A,r),cv,TRIM(INDEX($Y:$Y,r)&amp;""),IF(oc&lt;&gt;"P1","",IF(cv="45","V45 - novo, nao alimentado pelo spool atual","V44 - alimentado pelo spool atual")))</f>
        <v/>
      </c>
    </row>
    <row r="1112" ht="54" customFormat="1" customHeight="1" s="55">
      <c r="A1112" s="325" t="inlineStr">
        <is>
          <t>P2</t>
        </is>
      </c>
      <c r="B1112" s="326" t="n">
        <v>215</v>
      </c>
      <c r="C1112" s="284" t="inlineStr">
        <is>
          <t>03 - Caractéristiques Générales</t>
        </is>
      </c>
      <c r="D1112" s="284" t="inlineStr">
        <is>
          <t>03 - General characteristics</t>
        </is>
      </c>
      <c r="E1112" s="326" t="inlineStr">
        <is>
          <t>P2 27.1</t>
        </is>
      </c>
      <c r="F1112" s="327" t="inlineStr">
        <is>
          <t xml:space="preserve">Montant cumulé des recouvrements depuis le défaut </t>
        </is>
      </c>
      <c r="G1112" s="327" t="inlineStr">
        <is>
          <t>Amount of cumulative recoveries since default</t>
        </is>
      </c>
      <c r="H1112" s="327" t="n"/>
      <c r="I1112" s="327" t="inlineStr">
        <is>
          <t>Montant cumulé des recouvrements depuis le défaut associé à l'encours</t>
        </is>
      </c>
      <c r="J1112" s="327" t="inlineStr">
        <is>
          <t>Cumulative recoveries since the default associated with outstanding</t>
        </is>
      </c>
      <c r="K1112" s="284" t="inlineStr">
        <is>
          <t>NA</t>
        </is>
      </c>
      <c r="L1112" s="284" t="inlineStr">
        <is>
          <t>NA</t>
        </is>
      </c>
      <c r="M1112" s="1421" t="inlineStr">
        <is>
          <t>mtCumRecouvr</t>
        </is>
      </c>
      <c r="N1112" s="284" t="inlineStr">
        <is>
          <t>NA</t>
        </is>
      </c>
      <c r="O1112" s="284" t="inlineStr">
        <is>
          <t>NA</t>
        </is>
      </c>
      <c r="P1112" s="284" t="inlineStr">
        <is>
          <t>NA</t>
        </is>
      </c>
      <c r="Q1112" s="284" t="inlineStr">
        <is>
          <t>NA</t>
        </is>
      </c>
      <c r="R1112" s="245" t="inlineStr">
        <is>
          <t>NA</t>
        </is>
      </c>
      <c r="S1112" s="245" t="inlineStr">
        <is>
          <t>NA</t>
        </is>
      </c>
      <c r="T1112" s="326" t="inlineStr">
        <is>
          <t>NUM</t>
        </is>
      </c>
      <c r="U1112" s="248" t="inlineStr">
        <is>
          <t>NA</t>
        </is>
      </c>
      <c r="V1112" s="248" t="inlineStr">
        <is>
          <t>NA</t>
        </is>
      </c>
      <c r="W1112" s="284" t="n">
        <v>19</v>
      </c>
      <c r="X1112" s="244" t="inlineStr">
        <is>
          <t>NA</t>
        </is>
      </c>
      <c r="Y1112" s="248" t="n">
        <v>43</v>
      </c>
      <c r="Z1112" s="248" t="n">
        <v>43</v>
      </c>
      <c r="AA1112" s="249" t="inlineStr">
        <is>
          <t>NA</t>
        </is>
      </c>
      <c r="AB1112" s="284" t="inlineStr">
        <is>
          <t>ANACREDIT</t>
        </is>
      </c>
      <c r="AC1112" s="244" t="inlineStr">
        <is>
          <t>NA</t>
        </is>
      </c>
      <c r="AD1112" s="284" t="inlineStr">
        <is>
          <t>N</t>
        </is>
      </c>
      <c r="AE1112" s="284" t="inlineStr">
        <is>
          <t>NA</t>
        </is>
      </c>
      <c r="AF1112" s="284" t="inlineStr">
        <is>
          <t>NA</t>
        </is>
      </c>
      <c r="AG1112" s="285" t="inlineStr">
        <is>
          <t>NA</t>
        </is>
      </c>
      <c r="AH1112" s="89" t="n"/>
      <c r="AI1112" s="330" t="n"/>
      <c r="AJ1112" s="331" t="n"/>
      <c r="AK1112" s="284" t="n"/>
      <c r="AL1112" s="285" t="n"/>
      <c r="AM1112" s="331" t="n"/>
      <c r="AN1112" s="331" t="n"/>
      <c r="AO1112" s="284" t="n"/>
      <c r="AP1112" s="285" t="n"/>
      <c r="AQ1112" s="331" t="n"/>
      <c r="AR1112" s="331" t="n"/>
      <c r="AS1112" s="284" t="n"/>
      <c r="AT1112" s="285" t="n"/>
      <c r="AU1112" s="331" t="n"/>
      <c r="AV1112" s="331" t="n"/>
      <c r="AW1112" s="284" t="n"/>
      <c r="AX1112" s="285" t="n"/>
      <c r="AY1112" s="331" t="n"/>
      <c r="AZ1112" s="331" t="n"/>
      <c r="BA1112" s="284" t="n"/>
      <c r="BB1112" s="285" t="n"/>
      <c r="BC1112" s="330" t="n"/>
      <c r="BD1112" s="331" t="n"/>
      <c r="BE1112" s="284" t="n"/>
      <c r="BF1112" s="285" t="n"/>
      <c r="BG1112" s="89" t="n"/>
      <c r="BH11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12">
        <f>_xlfn.LET(r,ROW(),oc,INDEX($A:$A,r),cv,TRIM(INDEX($Y:$Y,r)&amp;""),IF(oc&lt;&gt;"P1","",IF(cv="45","V45 - novo, nao alimentado pelo spool atual","V44 - alimentado pelo spool atual")))</f>
        <v/>
      </c>
    </row>
    <row r="1113" ht="54" customFormat="1" customHeight="1" s="55">
      <c r="A1113" s="325" t="inlineStr">
        <is>
          <t>P2</t>
        </is>
      </c>
      <c r="B1113" s="326" t="n">
        <v>216</v>
      </c>
      <c r="C1113" s="284" t="inlineStr">
        <is>
          <t>03 - Caractéristiques Générales</t>
        </is>
      </c>
      <c r="D1113" s="284" t="inlineStr">
        <is>
          <t>03 - General characteristics</t>
        </is>
      </c>
      <c r="E1113" s="326" t="inlineStr">
        <is>
          <t>P2 27.2</t>
        </is>
      </c>
      <c r="F1113" s="327" t="inlineStr">
        <is>
          <t xml:space="preserve">Devise du Montant cumulé des recouvrements depuis le défaut </t>
        </is>
      </c>
      <c r="G1113" s="327" t="inlineStr">
        <is>
          <t>Currency of the amount of cumulative recoveries since default</t>
        </is>
      </c>
      <c r="H1113" s="327" t="n"/>
      <c r="I1113" s="245" t="inlineStr">
        <is>
          <t>Devise des montants recouvrés depuis le défaut</t>
        </is>
      </c>
      <c r="J1113" s="245" t="inlineStr">
        <is>
          <t>Currency of the amount of cumulative recoveries since default</t>
        </is>
      </c>
      <c r="K1113" s="284" t="inlineStr">
        <is>
          <t>NA</t>
        </is>
      </c>
      <c r="L1113" s="284" t="inlineStr">
        <is>
          <t>NA</t>
        </is>
      </c>
      <c r="M1113" s="1421" t="inlineStr">
        <is>
          <t>cdDevMtCumRecouvr</t>
        </is>
      </c>
      <c r="N1113" s="284" t="inlineStr">
        <is>
          <t>NA</t>
        </is>
      </c>
      <c r="O1113" s="284" t="inlineStr">
        <is>
          <t>NA</t>
        </is>
      </c>
      <c r="P1113" s="284" t="inlineStr">
        <is>
          <t>NA</t>
        </is>
      </c>
      <c r="Q1113" s="284" t="inlineStr">
        <is>
          <t>NA</t>
        </is>
      </c>
      <c r="R1113" s="245" t="inlineStr">
        <is>
          <t>NA</t>
        </is>
      </c>
      <c r="S1113" s="245" t="inlineStr">
        <is>
          <t>NA</t>
        </is>
      </c>
      <c r="T1113" s="326" t="inlineStr">
        <is>
          <t>ALPHA</t>
        </is>
      </c>
      <c r="U1113" s="248" t="inlineStr">
        <is>
          <t>NA</t>
        </is>
      </c>
      <c r="V1113" s="248" t="inlineStr">
        <is>
          <t>NA</t>
        </is>
      </c>
      <c r="W1113" s="284" t="n">
        <v>3</v>
      </c>
      <c r="X1113" s="244" t="inlineStr">
        <is>
          <t>NA</t>
        </is>
      </c>
      <c r="Y1113" s="248" t="n">
        <v>43</v>
      </c>
      <c r="Z1113" s="248" t="n">
        <v>43</v>
      </c>
      <c r="AA1113" s="249" t="inlineStr">
        <is>
          <t>NA</t>
        </is>
      </c>
      <c r="AB1113" s="284" t="inlineStr">
        <is>
          <t>ANACREDIT</t>
        </is>
      </c>
      <c r="AC1113" s="244" t="inlineStr">
        <is>
          <t>NA</t>
        </is>
      </c>
      <c r="AD1113" s="284" t="inlineStr">
        <is>
          <t>N</t>
        </is>
      </c>
      <c r="AE1113" s="284" t="inlineStr">
        <is>
          <t>NA</t>
        </is>
      </c>
      <c r="AF1113" s="284" t="inlineStr">
        <is>
          <t>NA</t>
        </is>
      </c>
      <c r="AG1113" s="285" t="inlineStr">
        <is>
          <t>NA</t>
        </is>
      </c>
      <c r="AH1113" s="89" t="n"/>
      <c r="AI1113" s="330" t="n"/>
      <c r="AJ1113" s="331" t="n"/>
      <c r="AK1113" s="284" t="n"/>
      <c r="AL1113" s="285" t="n"/>
      <c r="AM1113" s="331" t="n"/>
      <c r="AN1113" s="331" t="n"/>
      <c r="AO1113" s="284" t="n"/>
      <c r="AP1113" s="285" t="n"/>
      <c r="AQ1113" s="331" t="n"/>
      <c r="AR1113" s="331" t="n"/>
      <c r="AS1113" s="284" t="n"/>
      <c r="AT1113" s="285" t="n"/>
      <c r="AU1113" s="331" t="n"/>
      <c r="AV1113" s="331" t="n"/>
      <c r="AW1113" s="284" t="n"/>
      <c r="AX1113" s="285" t="n"/>
      <c r="AY1113" s="331" t="n"/>
      <c r="AZ1113" s="331" t="n"/>
      <c r="BA1113" s="284" t="n"/>
      <c r="BB1113" s="285" t="n"/>
      <c r="BC1113" s="330" t="n"/>
      <c r="BD1113" s="331" t="n"/>
      <c r="BE1113" s="284" t="n"/>
      <c r="BF1113" s="285" t="n"/>
      <c r="BG1113" s="89" t="n"/>
      <c r="BH11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13">
        <f>_xlfn.LET(r,ROW(),oc,INDEX($A:$A,r),cv,TRIM(INDEX($Y:$Y,r)&amp;""),IF(oc&lt;&gt;"P1","",IF(cv="45","V45 - novo, nao alimentado pelo spool atual","V44 - alimentado pelo spool atual")))</f>
        <v/>
      </c>
    </row>
    <row r="1114" ht="54" customFormat="1" customHeight="1" s="90">
      <c r="A1114" s="306" t="inlineStr">
        <is>
          <t>P2</t>
        </is>
      </c>
      <c r="B1114" s="307" t="n">
        <v>217</v>
      </c>
      <c r="C1114" s="269" t="inlineStr">
        <is>
          <t>03 - Caractéristiques Générales</t>
        </is>
      </c>
      <c r="D1114" s="310" t="inlineStr">
        <is>
          <t>03 - General characteristics</t>
        </is>
      </c>
      <c r="E1114" s="307" t="inlineStr">
        <is>
          <t>P2 27.3</t>
        </is>
      </c>
      <c r="F1114" s="308" t="inlineStr">
        <is>
          <t>Eligibilité Outil Central ANACREDIT</t>
        </is>
      </c>
      <c r="G1114" s="309" t="inlineStr">
        <is>
          <t>Eligibility for the ANACREDIT Central tool</t>
        </is>
      </c>
      <c r="H1114" s="309" t="n"/>
      <c r="I1114" s="241" t="inlineStr">
        <is>
          <t>Permet à l'entité d'indiquer si l'opération est éligible à l'outil Central AnaCredit</t>
        </is>
      </c>
      <c r="J1114" s="233" t="inlineStr">
        <is>
          <t>Allows the entity to indicate whether the transaction is eligible for AnaCredit Central tool</t>
        </is>
      </c>
      <c r="K1114" s="269" t="inlineStr">
        <is>
          <t>ND</t>
        </is>
      </c>
      <c r="L1114" s="310" t="inlineStr">
        <is>
          <t>ND</t>
        </is>
      </c>
      <c r="M1114" s="1420" t="inlineStr">
        <is>
          <t>cdAnaCred</t>
        </is>
      </c>
      <c r="N1114" s="231" t="inlineStr">
        <is>
          <t>Obligatoire</t>
        </is>
      </c>
      <c r="O1114" s="236" t="inlineStr">
        <is>
          <t>Mandatory</t>
        </is>
      </c>
      <c r="P1114" s="269" t="inlineStr">
        <is>
          <t>LC.0329</t>
        </is>
      </c>
      <c r="Q1114" s="269" t="inlineStr">
        <is>
          <t>TA Z8ELIANA</t>
        </is>
      </c>
      <c r="R1114" s="241" t="inlineStr">
        <is>
          <t>NA</t>
        </is>
      </c>
      <c r="S1114" s="233" t="inlineStr">
        <is>
          <t>NA</t>
        </is>
      </c>
      <c r="T1114" s="313" t="inlineStr">
        <is>
          <t>ALPHA</t>
        </is>
      </c>
      <c r="U1114" s="237" t="inlineStr">
        <is>
          <t>NA</t>
        </is>
      </c>
      <c r="V1114" s="238" t="inlineStr">
        <is>
          <t>NA</t>
        </is>
      </c>
      <c r="W1114" s="257" t="n">
        <v>1</v>
      </c>
      <c r="X1114" s="945" t="inlineStr">
        <is>
          <t>NA</t>
        </is>
      </c>
      <c r="Y1114" s="237" t="n">
        <v>43</v>
      </c>
      <c r="Z1114" s="237" t="inlineStr">
        <is>
          <t>NA</t>
        </is>
      </c>
      <c r="AA1114" s="239" t="inlineStr">
        <is>
          <t>NA</t>
        </is>
      </c>
      <c r="AB1114" s="269" t="inlineStr">
        <is>
          <t>ANACREDIT</t>
        </is>
      </c>
      <c r="AC1114" s="231" t="inlineStr">
        <is>
          <t>ND</t>
        </is>
      </c>
      <c r="AD1114" s="257" t="inlineStr">
        <is>
          <t>N</t>
        </is>
      </c>
      <c r="AE1114" s="257" t="inlineStr">
        <is>
          <t>NA</t>
        </is>
      </c>
      <c r="AF1114" s="257" t="inlineStr">
        <is>
          <t>NA</t>
        </is>
      </c>
      <c r="AG1114" s="258" t="inlineStr">
        <is>
          <t>NA</t>
        </is>
      </c>
      <c r="AH1114" s="89" t="n"/>
      <c r="AI1114" s="316" t="inlineStr">
        <is>
          <t>La donnée est obligatoire</t>
        </is>
      </c>
      <c r="AJ1114" s="317" t="inlineStr">
        <is>
          <t>The data is mandatory</t>
        </is>
      </c>
      <c r="AK1114" s="257" t="n">
        <v>7</v>
      </c>
      <c r="AL1114" s="335" t="inlineStr">
        <is>
          <t>TPG0001</t>
        </is>
      </c>
      <c r="AM1114" s="452" t="inlineStr">
        <is>
          <t>Si elle est renseignée, la valeur doit être connue du Langage Commun associé</t>
        </is>
      </c>
      <c r="AN1114" s="377" t="inlineStr">
        <is>
          <t>If specified, the value must be known to the associated Common Language</t>
        </is>
      </c>
      <c r="AO1114" s="257" t="n">
        <v>7</v>
      </c>
      <c r="AP1114" s="212" t="inlineStr">
        <is>
          <t>TIG0001</t>
        </is>
      </c>
      <c r="AQ1114" s="318" t="n"/>
      <c r="AR1114" s="317" t="n"/>
      <c r="AS1114" s="257" t="n"/>
      <c r="AT1114" s="258" t="n"/>
      <c r="AU1114" s="318" t="n"/>
      <c r="AV1114" s="317" t="n"/>
      <c r="AW1114" s="257" t="n"/>
      <c r="AX1114" s="258" t="n"/>
      <c r="AY1114" s="318" t="n"/>
      <c r="AZ1114" s="317" t="n"/>
      <c r="BA1114" s="257" t="n"/>
      <c r="BB1114" s="258" t="n"/>
      <c r="BC1114" s="316" t="n"/>
      <c r="BD1114" s="317" t="n"/>
      <c r="BE1114" s="257" t="n"/>
      <c r="BF1114" s="258" t="n"/>
      <c r="BG1114" s="89" t="n"/>
      <c r="BH11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14">
        <f>_xlfn.LET(r,ROW(),oc,INDEX($A:$A,r),cv,TRIM(INDEX($Y:$Y,r)&amp;""),IF(oc&lt;&gt;"P1","",IF(cv="45","V45 - novo, nao alimentado pelo spool atual","V44 - alimentado pelo spool atual")))</f>
        <v/>
      </c>
    </row>
    <row r="1115" ht="54" customFormat="1" customHeight="1" s="90">
      <c r="A1115" s="306" t="inlineStr">
        <is>
          <t>P2</t>
        </is>
      </c>
      <c r="B1115" s="307" t="n">
        <v>218</v>
      </c>
      <c r="C1115" s="269" t="inlineStr">
        <is>
          <t>03 - Caractéristiques Générales</t>
        </is>
      </c>
      <c r="D1115" s="310" t="inlineStr">
        <is>
          <t>03 - General characteristics</t>
        </is>
      </c>
      <c r="E1115" s="307" t="inlineStr">
        <is>
          <t>P2 27.4</t>
        </is>
      </c>
      <c r="F1115" s="308" t="inlineStr">
        <is>
          <t>Motif exclusion à la déclaration ANACREDIT</t>
        </is>
      </c>
      <c r="G1115" s="309" t="inlineStr">
        <is>
          <t>Exclusion reason to ANACREDIT reporting</t>
        </is>
      </c>
      <c r="H1115" s="309" t="n"/>
      <c r="I1115" s="241" t="inlineStr">
        <is>
          <t>Indique le motif d'exclusion de l'opération à la déclaration AnaCredit</t>
        </is>
      </c>
      <c r="J1115" s="233" t="inlineStr">
        <is>
          <t>Indicates the reason for excluding the transaction from the AnaCredit declaration</t>
        </is>
      </c>
      <c r="K1115" s="269" t="inlineStr">
        <is>
          <t>ND</t>
        </is>
      </c>
      <c r="L1115" s="310" t="inlineStr">
        <is>
          <t>ND</t>
        </is>
      </c>
      <c r="M1115" s="1420" t="inlineStr">
        <is>
          <t>cdMotifExcluAnaCred</t>
        </is>
      </c>
      <c r="N1115" s="231" t="inlineStr">
        <is>
          <t>Facultatif</t>
        </is>
      </c>
      <c r="O1115" s="236" t="inlineStr">
        <is>
          <t>Optional</t>
        </is>
      </c>
      <c r="P1115" s="269" t="inlineStr">
        <is>
          <t>LC.0330</t>
        </is>
      </c>
      <c r="Q1115" s="269" t="inlineStr">
        <is>
          <t>TA Z8MEXANA</t>
        </is>
      </c>
      <c r="R1115" s="241" t="inlineStr">
        <is>
          <t>NA</t>
        </is>
      </c>
      <c r="S1115" s="233" t="inlineStr">
        <is>
          <t>NA</t>
        </is>
      </c>
      <c r="T1115" s="313" t="inlineStr">
        <is>
          <t>ALPHA</t>
        </is>
      </c>
      <c r="U1115" s="237" t="inlineStr">
        <is>
          <t>NA</t>
        </is>
      </c>
      <c r="V1115" s="238" t="inlineStr">
        <is>
          <t>NA</t>
        </is>
      </c>
      <c r="W1115" s="257" t="n">
        <v>2</v>
      </c>
      <c r="X1115" s="945" t="inlineStr">
        <is>
          <t>NA</t>
        </is>
      </c>
      <c r="Y1115" s="237" t="n">
        <v>43</v>
      </c>
      <c r="Z1115" s="237" t="inlineStr">
        <is>
          <t>NA</t>
        </is>
      </c>
      <c r="AA1115" s="239" t="inlineStr">
        <is>
          <t>NA</t>
        </is>
      </c>
      <c r="AB1115" s="269" t="inlineStr">
        <is>
          <t>ANACREDIT</t>
        </is>
      </c>
      <c r="AC1115" s="231" t="inlineStr">
        <is>
          <t>ND</t>
        </is>
      </c>
      <c r="AD1115" s="257" t="inlineStr">
        <is>
          <t>N</t>
        </is>
      </c>
      <c r="AE1115" s="257" t="inlineStr">
        <is>
          <t>NA</t>
        </is>
      </c>
      <c r="AF1115" s="257" t="inlineStr">
        <is>
          <t>NA</t>
        </is>
      </c>
      <c r="AG1115" s="258" t="inlineStr">
        <is>
          <t>NA</t>
        </is>
      </c>
      <c r="AH1115" s="89" t="n"/>
      <c r="AI1115" s="316" t="n"/>
      <c r="AJ1115" s="317" t="n"/>
      <c r="AK1115" s="257" t="n"/>
      <c r="AL1115" s="258" t="n"/>
      <c r="AM1115" s="452" t="inlineStr">
        <is>
          <t>Si elle est renseignée, la valeur doit être connue du Langage Commun associé</t>
        </is>
      </c>
      <c r="AN1115" s="377" t="inlineStr">
        <is>
          <t>If specified, the value must be known to the associated Common Language</t>
        </is>
      </c>
      <c r="AO1115" s="257" t="n">
        <v>7</v>
      </c>
      <c r="AP1115" s="212" t="inlineStr">
        <is>
          <t>TIG0001</t>
        </is>
      </c>
      <c r="AQ1115" s="318" t="n"/>
      <c r="AR1115" s="317" t="n"/>
      <c r="AS1115" s="257" t="n"/>
      <c r="AT1115" s="258" t="n"/>
      <c r="AU1115" s="318" t="n"/>
      <c r="AV1115" s="317" t="n"/>
      <c r="AW1115" s="257" t="n"/>
      <c r="AX1115" s="258" t="n"/>
      <c r="AY1115" s="318" t="n"/>
      <c r="AZ1115" s="317" t="n"/>
      <c r="BA1115" s="257" t="n"/>
      <c r="BB1115" s="258" t="n"/>
      <c r="BC1115" s="316" t="n"/>
      <c r="BD1115" s="317" t="n"/>
      <c r="BE1115" s="257" t="n"/>
      <c r="BF1115" s="258" t="n"/>
      <c r="BG1115" s="89" t="n"/>
      <c r="BH11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15">
        <f>_xlfn.LET(r,ROW(),oc,INDEX($A:$A,r),cv,TRIM(INDEX($Y:$Y,r)&amp;""),IF(oc&lt;&gt;"P1","",IF(cv="45","V45 - novo, nao alimentado pelo spool atual","V44 - alimentado pelo spool atual")))</f>
        <v/>
      </c>
    </row>
    <row r="1116" ht="54" customFormat="1" customHeight="1" s="55">
      <c r="A1116" s="325" t="inlineStr">
        <is>
          <t>P2</t>
        </is>
      </c>
      <c r="B1116" s="326" t="n">
        <v>219</v>
      </c>
      <c r="C1116" s="284" t="inlineStr">
        <is>
          <t>NA</t>
        </is>
      </c>
      <c r="D1116" s="284" t="inlineStr">
        <is>
          <t>NA</t>
        </is>
      </c>
      <c r="E1116" s="326" t="inlineStr">
        <is>
          <t>P2 27.99</t>
        </is>
      </c>
      <c r="F1116" s="327" t="inlineStr">
        <is>
          <t xml:space="preserve">Filler </t>
        </is>
      </c>
      <c r="G1116" s="327" t="inlineStr">
        <is>
          <t>Filler</t>
        </is>
      </c>
      <c r="H1116" s="327" t="n"/>
      <c r="I1116" s="247" t="inlineStr">
        <is>
          <t>Zone libre</t>
        </is>
      </c>
      <c r="J1116" s="327" t="inlineStr">
        <is>
          <t>Free zone</t>
        </is>
      </c>
      <c r="K1116" s="388" t="inlineStr">
        <is>
          <t>NA</t>
        </is>
      </c>
      <c r="L1116" s="388" t="inlineStr">
        <is>
          <t>NA</t>
        </is>
      </c>
      <c r="M1116" s="1421" t="inlineStr">
        <is>
          <t>ZoneLibre27</t>
        </is>
      </c>
      <c r="N1116" s="284" t="inlineStr">
        <is>
          <t>NA</t>
        </is>
      </c>
      <c r="O1116" s="388" t="inlineStr">
        <is>
          <t>NA</t>
        </is>
      </c>
      <c r="P1116" s="284" t="inlineStr">
        <is>
          <t>NA</t>
        </is>
      </c>
      <c r="Q1116" s="284" t="inlineStr">
        <is>
          <t>NA</t>
        </is>
      </c>
      <c r="R1116" s="247" t="inlineStr">
        <is>
          <t>Laisser à vide</t>
        </is>
      </c>
      <c r="S1116" s="247" t="inlineStr">
        <is>
          <t>Leave empty</t>
        </is>
      </c>
      <c r="T1116" s="326" t="inlineStr">
        <is>
          <t>ALPHA</t>
        </is>
      </c>
      <c r="U1116" s="248" t="inlineStr">
        <is>
          <t>NA</t>
        </is>
      </c>
      <c r="V1116" s="248" t="inlineStr">
        <is>
          <t>NA</t>
        </is>
      </c>
      <c r="W1116" s="284" t="n">
        <v>23</v>
      </c>
      <c r="X1116" s="244" t="inlineStr">
        <is>
          <t>NA</t>
        </is>
      </c>
      <c r="Y1116" s="248" t="inlineStr">
        <is>
          <t>NA</t>
        </is>
      </c>
      <c r="Z1116" s="248" t="inlineStr">
        <is>
          <t>NA</t>
        </is>
      </c>
      <c r="AA1116" s="249" t="inlineStr">
        <is>
          <t>NA</t>
        </is>
      </c>
      <c r="AB1116" s="244" t="inlineStr">
        <is>
          <t>NA</t>
        </is>
      </c>
      <c r="AC1116" s="244" t="inlineStr">
        <is>
          <t>NA</t>
        </is>
      </c>
      <c r="AD1116" s="284" t="inlineStr">
        <is>
          <t>N</t>
        </is>
      </c>
      <c r="AE1116" s="284" t="inlineStr">
        <is>
          <t>NA</t>
        </is>
      </c>
      <c r="AF1116" s="284" t="inlineStr">
        <is>
          <t>NA</t>
        </is>
      </c>
      <c r="AG1116" s="285" t="inlineStr">
        <is>
          <t>NA</t>
        </is>
      </c>
      <c r="AH1116" s="89" t="n"/>
      <c r="AI1116" s="330" t="n"/>
      <c r="AJ1116" s="331" t="n"/>
      <c r="AK1116" s="284" t="n"/>
      <c r="AL1116" s="285" t="n"/>
      <c r="AM1116" s="331" t="n"/>
      <c r="AN1116" s="331" t="n"/>
      <c r="AO1116" s="284" t="n"/>
      <c r="AP1116" s="285" t="n"/>
      <c r="AQ1116" s="331" t="n"/>
      <c r="AR1116" s="331" t="n"/>
      <c r="AS1116" s="284" t="n"/>
      <c r="AT1116" s="285" t="n"/>
      <c r="AU1116" s="331" t="n"/>
      <c r="AV1116" s="331" t="n"/>
      <c r="AW1116" s="284" t="n"/>
      <c r="AX1116" s="285" t="n"/>
      <c r="AY1116" s="331" t="n"/>
      <c r="AZ1116" s="331" t="n"/>
      <c r="BA1116" s="284" t="n"/>
      <c r="BB1116" s="285" t="n"/>
      <c r="BC1116" s="330" t="n"/>
      <c r="BD1116" s="331" t="n"/>
      <c r="BE1116" s="284" t="n"/>
      <c r="BF1116" s="285" t="n"/>
      <c r="BG1116" s="89" t="n"/>
      <c r="BH11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16">
        <f>_xlfn.LET(r,ROW(),oc,INDEX($A:$A,r),cv,TRIM(INDEX($Y:$Y,r)&amp;""),IF(oc&lt;&gt;"P1","",IF(cv="45","V45 - novo, nao alimentado pelo spool atual","V44 - alimentado pelo spool atual")))</f>
        <v/>
      </c>
    </row>
    <row r="1117" ht="54" customFormat="1" customHeight="1" s="90">
      <c r="A1117" s="306" t="inlineStr">
        <is>
          <t>P2</t>
        </is>
      </c>
      <c r="B1117" s="307" t="n">
        <v>220</v>
      </c>
      <c r="C1117" s="269" t="inlineStr">
        <is>
          <t>03 - Caractéristiques Générales</t>
        </is>
      </c>
      <c r="D1117" s="310" t="inlineStr">
        <is>
          <t>03 - General characteristics</t>
        </is>
      </c>
      <c r="E1117" s="372" t="inlineStr">
        <is>
          <t>P2 31.1</t>
        </is>
      </c>
      <c r="F1117" s="308" t="inlineStr">
        <is>
          <t>Code entité de la succursale à l'origine de l'opération</t>
        </is>
      </c>
      <c r="G1117" s="309" t="inlineStr">
        <is>
          <t>Entity code of the branch that originated the transaction</t>
        </is>
      </c>
      <c r="H1117" s="309" t="n"/>
      <c r="I1117" s="308" t="inlineStr">
        <is>
          <t>Permet d'indiquer le code consolidation de la succursale qui a fait l'opération/contrat dans le cas où les encours sont portés par la maison mère</t>
        </is>
      </c>
      <c r="J1117" s="309" t="inlineStr">
        <is>
          <t>Allows to indicate the consolidation code of the branch that made the transaction/contract in the case where the outstandings are brought by the main company</t>
        </is>
      </c>
      <c r="K1117" s="370" t="inlineStr">
        <is>
          <t>ND</t>
        </is>
      </c>
      <c r="L1117" s="371" t="inlineStr">
        <is>
          <t>ND</t>
        </is>
      </c>
      <c r="M1117" s="1420" t="inlineStr">
        <is>
          <t>CdEntSucc</t>
        </is>
      </c>
      <c r="N1117" s="231" t="inlineStr">
        <is>
          <t>Facultatif</t>
        </is>
      </c>
      <c r="O1117" s="236" t="inlineStr">
        <is>
          <t>Optional</t>
        </is>
      </c>
      <c r="P1117" s="269" t="inlineStr">
        <is>
          <t>LC.0475</t>
        </is>
      </c>
      <c r="Q1117" s="269" t="inlineStr">
        <is>
          <t>TA H8ENTITY</t>
        </is>
      </c>
      <c r="R1117" s="311" t="inlineStr">
        <is>
          <t>Demandé pour les entités qui ont des succursales (ex : CACEIS)</t>
        </is>
      </c>
      <c r="S1117" s="312" t="inlineStr">
        <is>
          <t>Required for entities that have branches (eg: CACEIS)</t>
        </is>
      </c>
      <c r="T1117" s="313" t="inlineStr">
        <is>
          <t>ALPHA</t>
        </is>
      </c>
      <c r="U1117" s="237" t="inlineStr">
        <is>
          <t>NA</t>
        </is>
      </c>
      <c r="V1117" s="238" t="inlineStr">
        <is>
          <t>NA</t>
        </is>
      </c>
      <c r="W1117" s="257" t="n">
        <v>5</v>
      </c>
      <c r="X1117" s="945" t="inlineStr">
        <is>
          <t>NA</t>
        </is>
      </c>
      <c r="Y1117" s="237" t="n">
        <v>43</v>
      </c>
      <c r="Z1117" s="237" t="inlineStr">
        <is>
          <t>NA</t>
        </is>
      </c>
      <c r="AA1117" s="239" t="inlineStr">
        <is>
          <t>NA</t>
        </is>
      </c>
      <c r="AB1117" s="269" t="inlineStr">
        <is>
          <t>USAGE ZP</t>
        </is>
      </c>
      <c r="AC1117" s="231" t="inlineStr">
        <is>
          <t>ND</t>
        </is>
      </c>
      <c r="AD1117" s="257" t="inlineStr">
        <is>
          <t>N</t>
        </is>
      </c>
      <c r="AE1117" s="257" t="inlineStr">
        <is>
          <t>NA</t>
        </is>
      </c>
      <c r="AF1117" s="257" t="inlineStr">
        <is>
          <t>NA</t>
        </is>
      </c>
      <c r="AG1117" s="258" t="inlineStr">
        <is>
          <t>NA</t>
        </is>
      </c>
      <c r="AH1117" s="89" t="n"/>
      <c r="AI1117" s="316" t="n"/>
      <c r="AJ1117" s="317" t="n"/>
      <c r="AK1117" s="257" t="n"/>
      <c r="AL1117" s="258" t="n"/>
      <c r="AM1117" s="452" t="inlineStr">
        <is>
          <t>Si elle est renseignée, la valeur doit être connue du Langage Commun associé</t>
        </is>
      </c>
      <c r="AN1117" s="377" t="inlineStr">
        <is>
          <t>If specified, the value must be known to the associated Common Language</t>
        </is>
      </c>
      <c r="AO1117" s="257" t="n">
        <v>7</v>
      </c>
      <c r="AP1117" s="212" t="inlineStr">
        <is>
          <t>TIG0001</t>
        </is>
      </c>
      <c r="AQ1117" s="318" t="n"/>
      <c r="AR1117" s="317" t="n"/>
      <c r="AS1117" s="257" t="n"/>
      <c r="AT1117" s="258" t="n"/>
      <c r="AU1117" s="318" t="n"/>
      <c r="AV1117" s="317" t="n"/>
      <c r="AW1117" s="257" t="n"/>
      <c r="AX1117" s="258" t="n"/>
      <c r="AY1117" s="318" t="n"/>
      <c r="AZ1117" s="317" t="n"/>
      <c r="BA1117" s="257" t="n"/>
      <c r="BB1117" s="258" t="n"/>
      <c r="BC1117" s="316" t="n"/>
      <c r="BD1117" s="317" t="n"/>
      <c r="BE1117" s="257" t="n"/>
      <c r="BF1117" s="258" t="n"/>
      <c r="BG1117" s="89" t="n"/>
      <c r="BH11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17">
        <f>_xlfn.LET(r,ROW(),oc,INDEX($A:$A,r),cv,TRIM(INDEX($Y:$Y,r)&amp;""),IF(oc&lt;&gt;"P1","",IF(cv="45","V45 - novo, nao alimentado pelo spool atual","V44 - alimentado pelo spool atual")))</f>
        <v/>
      </c>
    </row>
    <row r="1118" ht="54" customFormat="1" customHeight="1" s="90">
      <c r="A1118" s="306" t="inlineStr">
        <is>
          <t>P2</t>
        </is>
      </c>
      <c r="B1118" s="307" t="n">
        <v>221</v>
      </c>
      <c r="C1118" s="269" t="inlineStr">
        <is>
          <t>02 - Caractéristiques d'identification fonctionnelles</t>
        </is>
      </c>
      <c r="D1118" s="310" t="inlineStr">
        <is>
          <t>02 - Functional identification characteristics</t>
        </is>
      </c>
      <c r="E1118" s="372" t="inlineStr">
        <is>
          <t>P2 31.2</t>
        </is>
      </c>
      <c r="F1118" s="308" t="inlineStr">
        <is>
          <t>Référence unique du contrat à l'origine</t>
        </is>
      </c>
      <c r="G1118" s="309" t="inlineStr">
        <is>
          <t>Unique contract reference at origination</t>
        </is>
      </c>
      <c r="H1118" s="309" t="n"/>
      <c r="I1118" s="241" t="inlineStr">
        <is>
          <t>Permet de conserver la référence unique du contrat à l'origine lorsque l'entité change de système de gestion local</t>
        </is>
      </c>
      <c r="J1118" s="309" t="inlineStr">
        <is>
          <t>Keeps the unique contract reference at origination when the entity changes the local management system</t>
        </is>
      </c>
      <c r="K1118" s="370" t="inlineStr">
        <is>
          <t>ND</t>
        </is>
      </c>
      <c r="L1118" s="371" t="inlineStr">
        <is>
          <t>ND</t>
        </is>
      </c>
      <c r="M1118" s="1420" t="inlineStr">
        <is>
          <t>cdCtOri</t>
        </is>
      </c>
      <c r="N1118" s="231" t="inlineStr">
        <is>
          <t>Facultatif</t>
        </is>
      </c>
      <c r="O1118" s="236" t="inlineStr">
        <is>
          <t>Optional</t>
        </is>
      </c>
      <c r="P1118" s="269" t="inlineStr">
        <is>
          <t>NA</t>
        </is>
      </c>
      <c r="Q1118" s="269" t="inlineStr">
        <is>
          <t>NA</t>
        </is>
      </c>
      <c r="R1118" s="241" t="inlineStr">
        <is>
          <t>Si le référence unique de contrat à date est identique à celle à l'origine, renseigner la référence unique de contrat à l'origne avec la référence unique de contrat (P2 22.1)</t>
        </is>
      </c>
      <c r="S1118" s="233" t="inlineStr">
        <is>
          <t>If the single contract reference on date is the same as the original one, enter the original single contract reference with the single contract reference (P2 22.1)</t>
        </is>
      </c>
      <c r="T1118" s="313" t="inlineStr">
        <is>
          <t>ALPHA</t>
        </is>
      </c>
      <c r="U1118" s="237" t="inlineStr">
        <is>
          <t>NA</t>
        </is>
      </c>
      <c r="V1118" s="238" t="inlineStr">
        <is>
          <t>NA</t>
        </is>
      </c>
      <c r="W1118" s="257" t="n">
        <v>40</v>
      </c>
      <c r="X1118" s="945" t="inlineStr">
        <is>
          <t>NA</t>
        </is>
      </c>
      <c r="Y1118" s="237" t="n">
        <v>43</v>
      </c>
      <c r="Z1118" s="237" t="inlineStr">
        <is>
          <t>NA</t>
        </is>
      </c>
      <c r="AA1118" s="239" t="inlineStr">
        <is>
          <t>NA</t>
        </is>
      </c>
      <c r="AB1118" s="269" t="inlineStr">
        <is>
          <t>ANACREDIT</t>
        </is>
      </c>
      <c r="AC1118" s="231" t="inlineStr">
        <is>
          <t>ND</t>
        </is>
      </c>
      <c r="AD1118" s="257" t="inlineStr">
        <is>
          <t>N</t>
        </is>
      </c>
      <c r="AE1118" s="257" t="inlineStr">
        <is>
          <t>NA</t>
        </is>
      </c>
      <c r="AF1118" s="257" t="inlineStr">
        <is>
          <t>NA</t>
        </is>
      </c>
      <c r="AG1118" s="258" t="inlineStr">
        <is>
          <t>NA</t>
        </is>
      </c>
      <c r="AH1118" s="89" t="n"/>
      <c r="AI1118" s="316" t="n"/>
      <c r="AJ1118" s="317" t="n"/>
      <c r="AK1118" s="257" t="n"/>
      <c r="AL1118" s="258" t="n"/>
      <c r="AM1118" s="318" t="n"/>
      <c r="AN1118" s="317" t="n"/>
      <c r="AO1118" s="257" t="n"/>
      <c r="AP1118" s="258" t="n"/>
      <c r="AQ1118" s="318" t="n"/>
      <c r="AR1118" s="317" t="n"/>
      <c r="AS1118" s="257" t="n"/>
      <c r="AT1118" s="258" t="n"/>
      <c r="AU1118" s="318" t="n"/>
      <c r="AV1118" s="317" t="n"/>
      <c r="AW1118" s="257" t="n"/>
      <c r="AX1118" s="258" t="n"/>
      <c r="AY1118" s="318" t="n"/>
      <c r="AZ1118" s="317" t="n"/>
      <c r="BA1118" s="257" t="n"/>
      <c r="BB1118" s="258" t="n"/>
      <c r="BC1118" s="316" t="n"/>
      <c r="BD1118" s="317" t="n"/>
      <c r="BE1118" s="257" t="n"/>
      <c r="BF1118" s="258" t="n"/>
      <c r="BG1118" s="89" t="n"/>
      <c r="BH11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18">
        <f>_xlfn.LET(r,ROW(),oc,INDEX($A:$A,r),cv,TRIM(INDEX($Y:$Y,r)&amp;""),IF(oc&lt;&gt;"P1","",IF(cv="45","V45 - novo, nao alimentado pelo spool atual","V44 - alimentado pelo spool atual")))</f>
        <v/>
      </c>
    </row>
    <row r="1119" ht="54" customFormat="1" customHeight="1" s="90">
      <c r="A1119" s="306" t="inlineStr">
        <is>
          <t>P2</t>
        </is>
      </c>
      <c r="B1119" s="307" t="n">
        <v>222</v>
      </c>
      <c r="C1119" s="269" t="inlineStr">
        <is>
          <t>02 - Caractéristiques d'identification fonctionnelles</t>
        </is>
      </c>
      <c r="D1119" s="310" t="inlineStr">
        <is>
          <t>02 - Functional identification characteristics</t>
        </is>
      </c>
      <c r="E1119" s="372" t="inlineStr">
        <is>
          <t>P2 31.3</t>
        </is>
      </c>
      <c r="F1119" s="308" t="inlineStr">
        <is>
          <t>Référence unique de l'élément de contrat à l'origine</t>
        </is>
      </c>
      <c r="G1119" s="309" t="inlineStr">
        <is>
          <t>Unique contract element reference at origination</t>
        </is>
      </c>
      <c r="H1119" s="309" t="n"/>
      <c r="I1119" s="475" t="inlineStr">
        <is>
          <t>Permet de conserver la référence unique de l'élément de contrat à l'origine lorsque l'entité change de système de gestion local</t>
        </is>
      </c>
      <c r="J1119" s="309" t="inlineStr">
        <is>
          <t>Keeps the unique contract element reference at origination when the entity changes the local management system</t>
        </is>
      </c>
      <c r="K1119" s="370" t="inlineStr">
        <is>
          <t>ND</t>
        </is>
      </c>
      <c r="L1119" s="371" t="inlineStr">
        <is>
          <t>ND</t>
        </is>
      </c>
      <c r="M1119" s="1420" t="inlineStr">
        <is>
          <t>cdEDCOri</t>
        </is>
      </c>
      <c r="N1119" s="231" t="inlineStr">
        <is>
          <t>Facultatif</t>
        </is>
      </c>
      <c r="O1119" s="236" t="inlineStr">
        <is>
          <t>Optional</t>
        </is>
      </c>
      <c r="P1119" s="269" t="inlineStr">
        <is>
          <t>NA</t>
        </is>
      </c>
      <c r="Q1119" s="269" t="inlineStr">
        <is>
          <t>NA</t>
        </is>
      </c>
      <c r="R1119" s="241" t="inlineStr">
        <is>
          <t>Si le référence unique de l'élément de contrat à date est identique à celle à l'origine, renseigner la référence unique de l'élément de contrat à l'origne avec la référence unique de l'élément de contrat (P2 22.51)</t>
        </is>
      </c>
      <c r="S1119" s="233" t="inlineStr">
        <is>
          <t>If the unique reference of the contract item on date is the same as the original one, enter the unique reference of the original contract item with the unique reference of the contract item (P2 22.51)</t>
        </is>
      </c>
      <c r="T1119" s="313" t="inlineStr">
        <is>
          <t>ALPHA</t>
        </is>
      </c>
      <c r="U1119" s="237" t="inlineStr">
        <is>
          <t>NA</t>
        </is>
      </c>
      <c r="V1119" s="238" t="inlineStr">
        <is>
          <t>NA</t>
        </is>
      </c>
      <c r="W1119" s="257" t="n">
        <v>40</v>
      </c>
      <c r="X1119" s="945" t="inlineStr">
        <is>
          <t>NA</t>
        </is>
      </c>
      <c r="Y1119" s="237" t="n">
        <v>43</v>
      </c>
      <c r="Z1119" s="237" t="inlineStr">
        <is>
          <t>NA</t>
        </is>
      </c>
      <c r="AA1119" s="239" t="inlineStr">
        <is>
          <t>NA</t>
        </is>
      </c>
      <c r="AB1119" s="269" t="inlineStr">
        <is>
          <t>ANACREDIT</t>
        </is>
      </c>
      <c r="AC1119" s="231" t="inlineStr">
        <is>
          <t>ND</t>
        </is>
      </c>
      <c r="AD1119" s="257" t="inlineStr">
        <is>
          <t>N</t>
        </is>
      </c>
      <c r="AE1119" s="257" t="inlineStr">
        <is>
          <t>NA</t>
        </is>
      </c>
      <c r="AF1119" s="257" t="inlineStr">
        <is>
          <t>NA</t>
        </is>
      </c>
      <c r="AG1119" s="258" t="inlineStr">
        <is>
          <t>NA</t>
        </is>
      </c>
      <c r="AH1119" s="89" t="n"/>
      <c r="AI1119" s="316" t="n"/>
      <c r="AJ1119" s="317" t="n"/>
      <c r="AK1119" s="257" t="n"/>
      <c r="AL1119" s="258" t="n"/>
      <c r="AM1119" s="318" t="n"/>
      <c r="AN1119" s="317" t="n"/>
      <c r="AO1119" s="257" t="n"/>
      <c r="AP1119" s="258" t="n"/>
      <c r="AQ1119" s="318" t="n"/>
      <c r="AR1119" s="317" t="n"/>
      <c r="AS1119" s="257" t="n"/>
      <c r="AT1119" s="258" t="n"/>
      <c r="AU1119" s="318" t="n"/>
      <c r="AV1119" s="317" t="n"/>
      <c r="AW1119" s="257" t="n"/>
      <c r="AX1119" s="258" t="n"/>
      <c r="AY1119" s="318" t="n"/>
      <c r="AZ1119" s="317" t="n"/>
      <c r="BA1119" s="257" t="n"/>
      <c r="BB1119" s="258" t="n"/>
      <c r="BC1119" s="316" t="n"/>
      <c r="BD1119" s="317" t="n"/>
      <c r="BE1119" s="257" t="n"/>
      <c r="BF1119" s="258" t="n"/>
      <c r="BG1119" s="89" t="n"/>
      <c r="BH11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19">
        <f>_xlfn.LET(r,ROW(),oc,INDEX($A:$A,r),cv,TRIM(INDEX($Y:$Y,r)&amp;""),IF(oc&lt;&gt;"P1","",IF(cv="45","V45 - novo, nao alimentado pelo spool atual","V44 - alimentado pelo spool atual")))</f>
        <v/>
      </c>
    </row>
    <row r="1120" ht="54" customFormat="1" customHeight="1" s="90">
      <c r="A1120" s="306" t="inlineStr">
        <is>
          <t>P2</t>
        </is>
      </c>
      <c r="B1120" s="307" t="n">
        <v>223</v>
      </c>
      <c r="C1120" s="269" t="inlineStr">
        <is>
          <t>03 - Caractéristiques Générales</t>
        </is>
      </c>
      <c r="D1120" s="310" t="inlineStr">
        <is>
          <t>03 - General characteristics</t>
        </is>
      </c>
      <c r="E1120" s="372" t="inlineStr">
        <is>
          <t>P2 31.4</t>
        </is>
      </c>
      <c r="F1120" s="308" t="inlineStr">
        <is>
          <t>Montant en euros de l'engagement à la date de signature du contrat</t>
        </is>
      </c>
      <c r="G1120" s="309" t="inlineStr">
        <is>
          <t>Amount in euros of the commitment at the date of signature of the contract</t>
        </is>
      </c>
      <c r="H1120" s="309" t="n"/>
      <c r="I1120" s="308" t="inlineStr">
        <is>
          <t>Montant de l'engagement contrevalorisé en euros à la date de signature du contrat (reste invariable sur la durée du contrat)</t>
        </is>
      </c>
      <c r="J1120" s="309" t="inlineStr">
        <is>
          <t>Amount of the commitment revalued in euros on the date of signature of the contract (remains unchanged over the duration of the contract)</t>
        </is>
      </c>
      <c r="K1120" s="370" t="inlineStr">
        <is>
          <t>ND</t>
        </is>
      </c>
      <c r="L1120" s="371" t="inlineStr">
        <is>
          <t>ND</t>
        </is>
      </c>
      <c r="M1120" s="1420" t="inlineStr">
        <is>
          <t>mtCtEuroOri</t>
        </is>
      </c>
      <c r="N1120" s="257" t="inlineStr">
        <is>
          <t>Obligatoire sous conditions</t>
        </is>
      </c>
      <c r="O1120" s="236" t="inlineStr">
        <is>
          <t>Mandatory under conditions</t>
        </is>
      </c>
      <c r="P1120" s="269" t="inlineStr">
        <is>
          <t>NA</t>
        </is>
      </c>
      <c r="Q1120" s="269" t="inlineStr">
        <is>
          <t>NA</t>
        </is>
      </c>
      <c r="R1120" s="241" t="inlineStr">
        <is>
          <t>NA</t>
        </is>
      </c>
      <c r="S1120" s="233" t="inlineStr">
        <is>
          <t>NA</t>
        </is>
      </c>
      <c r="T1120" s="307" t="inlineStr">
        <is>
          <t>NUM</t>
        </is>
      </c>
      <c r="U1120" s="237" t="inlineStr">
        <is>
          <t>19 dont signe et 2 décimales</t>
        </is>
      </c>
      <c r="V1120" s="238" t="inlineStr">
        <is>
          <t>19 including sign and 2 decimals</t>
        </is>
      </c>
      <c r="W1120" s="257" t="n">
        <v>19</v>
      </c>
      <c r="X1120" s="945" t="inlineStr">
        <is>
          <t>NA</t>
        </is>
      </c>
      <c r="Y1120" s="237" t="n">
        <v>43</v>
      </c>
      <c r="Z1120" s="237" t="inlineStr">
        <is>
          <t>NA</t>
        </is>
      </c>
      <c r="AA1120" s="239" t="inlineStr">
        <is>
          <t>NA</t>
        </is>
      </c>
      <c r="AB1120" s="269" t="inlineStr">
        <is>
          <t>ANACREDIT</t>
        </is>
      </c>
      <c r="AC1120" s="231" t="inlineStr">
        <is>
          <t>ND</t>
        </is>
      </c>
      <c r="AD1120" s="257" t="inlineStr">
        <is>
          <t>N</t>
        </is>
      </c>
      <c r="AE1120" s="257" t="inlineStr">
        <is>
          <t>NA</t>
        </is>
      </c>
      <c r="AF1120" s="257" t="inlineStr">
        <is>
          <t>NA</t>
        </is>
      </c>
      <c r="AG1120" s="258" t="inlineStr">
        <is>
          <t>NA</t>
        </is>
      </c>
      <c r="AH1120" s="89" t="n"/>
      <c r="AI1120" s="353" t="inlineStr">
        <is>
          <t>La donnée est obligatoire si le montant du contrat à l'origine [P2 22.8] est renseigné et si l'indicateur"Eligibilité Outil Central ANACREDIT" [P2 27.3] = '2' et le motif exclusion à la déclaration ANACREDIT [P2 27.4] est non renseigné</t>
        </is>
      </c>
      <c r="AJ1120" s="317" t="inlineStr">
        <is>
          <t>The data is mandatory if the original contract amount [P2 22.8] is filled in and the indicator "Eligibility Central Tool ANACREDIT" [P2 27.3] = '2' and the reason exclusion to the ANACREDIT declaration [P2 27.4] is not filled in</t>
        </is>
      </c>
      <c r="AK1120" s="257" t="n">
        <v>6</v>
      </c>
      <c r="AL1120" s="345" t="inlineStr">
        <is>
          <t>TPS1751</t>
        </is>
      </c>
      <c r="AM1120" s="318" t="n"/>
      <c r="AN1120" s="317" t="n"/>
      <c r="AO1120" s="257" t="n"/>
      <c r="AP1120" s="258" t="n"/>
      <c r="AQ1120" s="318" t="inlineStr">
        <is>
          <t>Si renseignée, la donnée doit être positive (supérieure ou égale à 0)</t>
        </is>
      </c>
      <c r="AR1120" s="317" t="inlineStr">
        <is>
          <t xml:space="preserve">If filled, data must be positive (greater or equal to 0) </t>
        </is>
      </c>
      <c r="AS1120" s="257" t="n">
        <v>7</v>
      </c>
      <c r="AT1120" s="345" t="inlineStr">
        <is>
          <t>TVG0001</t>
        </is>
      </c>
      <c r="AU1120" s="318" t="n"/>
      <c r="AV1120" s="317" t="n"/>
      <c r="AW1120" s="257" t="n"/>
      <c r="AX1120" s="258" t="n"/>
      <c r="AY1120" s="318" t="n"/>
      <c r="AZ1120" s="317" t="n"/>
      <c r="BA1120" s="257" t="n"/>
      <c r="BB1120" s="258" t="n"/>
      <c r="BC1120" s="316" t="n"/>
      <c r="BD1120" s="317" t="n"/>
      <c r="BE1120" s="257" t="n"/>
      <c r="BF1120" s="258" t="n"/>
      <c r="BG1120" s="89" t="n"/>
      <c r="BH11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20">
        <f>_xlfn.LET(r,ROW(),oc,INDEX($A:$A,r),cv,TRIM(INDEX($Y:$Y,r)&amp;""),IF(oc&lt;&gt;"P1","",IF(cv="45","V45 - novo, nao alimentado pelo spool atual","V44 - alimentado pelo spool atual")))</f>
        <v/>
      </c>
    </row>
    <row r="1121" ht="54" customFormat="1" customHeight="1" s="90">
      <c r="A1121" s="306" t="inlineStr">
        <is>
          <t>P2</t>
        </is>
      </c>
      <c r="B1121" s="307" t="n">
        <v>224</v>
      </c>
      <c r="C1121" s="269" t="inlineStr">
        <is>
          <t>03 - Caractéristiques Générales</t>
        </is>
      </c>
      <c r="D1121" s="310" t="inlineStr">
        <is>
          <t>03 - General characteristics</t>
        </is>
      </c>
      <c r="E1121" s="372" t="inlineStr">
        <is>
          <t>P2 31.5</t>
        </is>
      </c>
      <c r="F1121" s="308" t="inlineStr">
        <is>
          <t>Indicateur responsabilité solidaire</t>
        </is>
      </c>
      <c r="G1121" s="309" t="inlineStr">
        <is>
          <t>Joint liability indicator</t>
        </is>
      </c>
      <c r="H1121" s="309" t="n"/>
      <c r="I1121" s="308" t="inlineStr">
        <is>
          <t>Indique si le contrat est en responsabilité commune et solidaire
Indique si le contrat est multi-débiteur</t>
        </is>
      </c>
      <c r="J1121" s="309" t="inlineStr">
        <is>
          <t>Indicates whether the contract is in joint and several liability
Indicates if the contract is multi-debtor</t>
        </is>
      </c>
      <c r="K1121" s="370" t="inlineStr">
        <is>
          <t>ND</t>
        </is>
      </c>
      <c r="L1121" s="371" t="inlineStr">
        <is>
          <t>ND</t>
        </is>
      </c>
      <c r="M1121" s="1420" t="inlineStr">
        <is>
          <t>indRespSoli</t>
        </is>
      </c>
      <c r="N1121" s="257" t="inlineStr">
        <is>
          <t>Obligatoire</t>
        </is>
      </c>
      <c r="O1121" s="236" t="inlineStr">
        <is>
          <t>Mandatory</t>
        </is>
      </c>
      <c r="P1121" s="269" t="inlineStr">
        <is>
          <t>LC.0350</t>
        </is>
      </c>
      <c r="Q1121" s="269" t="inlineStr">
        <is>
          <t>TA Z8IRESOL</t>
        </is>
      </c>
      <c r="R1121" s="241" t="inlineStr">
        <is>
          <t>NA</t>
        </is>
      </c>
      <c r="S1121" s="233" t="inlineStr">
        <is>
          <t>NA</t>
        </is>
      </c>
      <c r="T1121" s="307" t="inlineStr">
        <is>
          <t>ALPHA</t>
        </is>
      </c>
      <c r="U1121" s="237" t="inlineStr">
        <is>
          <t>NA</t>
        </is>
      </c>
      <c r="V1121" s="238" t="inlineStr">
        <is>
          <t>NA</t>
        </is>
      </c>
      <c r="W1121" s="257" t="n">
        <v>1</v>
      </c>
      <c r="X1121" s="945" t="inlineStr">
        <is>
          <t>NA</t>
        </is>
      </c>
      <c r="Y1121" s="237" t="n">
        <v>43</v>
      </c>
      <c r="Z1121" s="237" t="inlineStr">
        <is>
          <t>NA</t>
        </is>
      </c>
      <c r="AA1121" s="270" t="inlineStr">
        <is>
          <t>NA</t>
        </is>
      </c>
      <c r="AB1121" s="269" t="inlineStr">
        <is>
          <t>ANACREDIT</t>
        </is>
      </c>
      <c r="AC1121" s="231" t="inlineStr">
        <is>
          <t>ND</t>
        </is>
      </c>
      <c r="AD1121" s="257" t="inlineStr">
        <is>
          <t>N</t>
        </is>
      </c>
      <c r="AE1121" s="257" t="inlineStr">
        <is>
          <t>NA</t>
        </is>
      </c>
      <c r="AF1121" s="257" t="inlineStr">
        <is>
          <t>NA</t>
        </is>
      </c>
      <c r="AG1121" s="258" t="inlineStr">
        <is>
          <t>NA</t>
        </is>
      </c>
      <c r="AH1121" s="89" t="n"/>
      <c r="AI1121" s="316" t="inlineStr">
        <is>
          <t>La donnée est obligatoire</t>
        </is>
      </c>
      <c r="AJ1121" s="317" t="inlineStr">
        <is>
          <t>The data is mandatory</t>
        </is>
      </c>
      <c r="AK1121" s="257" t="n">
        <v>6</v>
      </c>
      <c r="AL1121" s="335" t="inlineStr">
        <is>
          <t>TPG0001</t>
        </is>
      </c>
      <c r="AM1121" s="452" t="inlineStr">
        <is>
          <t>Si elle est renseignée, la valeur doit être connue du Langage Commun associé</t>
        </is>
      </c>
      <c r="AN1121" s="377" t="inlineStr">
        <is>
          <t>If specified, the value must be known to the associated Common Language</t>
        </is>
      </c>
      <c r="AO1121" s="257" t="n">
        <v>7</v>
      </c>
      <c r="AP1121" s="212" t="inlineStr">
        <is>
          <t>TIG0001</t>
        </is>
      </c>
      <c r="AQ1121" s="318" t="n"/>
      <c r="AR1121" s="317" t="n"/>
      <c r="AS1121" s="257" t="n"/>
      <c r="AT1121" s="258" t="n"/>
      <c r="AU1121" s="318" t="n"/>
      <c r="AV1121" s="317" t="n"/>
      <c r="AW1121" s="257" t="n"/>
      <c r="AX1121" s="258" t="n"/>
      <c r="AY1121" s="318" t="n"/>
      <c r="AZ1121" s="317" t="n"/>
      <c r="BA1121" s="257" t="n"/>
      <c r="BB1121" s="258" t="n"/>
      <c r="BC1121" s="316" t="n"/>
      <c r="BD1121" s="317" t="n"/>
      <c r="BE1121" s="257" t="n"/>
      <c r="BF1121" s="258" t="n"/>
      <c r="BG1121" s="89" t="n"/>
      <c r="BH11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21">
        <f>_xlfn.LET(r,ROW(),oc,INDEX($A:$A,r),cv,TRIM(INDEX($Y:$Y,r)&amp;""),IF(oc&lt;&gt;"P1","",IF(cv="45","V45 - novo, nao alimentado pelo spool atual","V44 - alimentado pelo spool atual")))</f>
        <v/>
      </c>
    </row>
    <row r="1122" ht="54" customFormat="1" customHeight="1" s="90">
      <c r="A1122" s="306" t="inlineStr">
        <is>
          <t>P2</t>
        </is>
      </c>
      <c r="B1122" s="307" t="n">
        <v>225</v>
      </c>
      <c r="C1122" s="269" t="inlineStr">
        <is>
          <t>03 - Caractéristiques Générales</t>
        </is>
      </c>
      <c r="D1122" s="310" t="inlineStr">
        <is>
          <t>03 - General characteristics</t>
        </is>
      </c>
      <c r="E1122" s="372" t="inlineStr">
        <is>
          <t>P2 31.6</t>
        </is>
      </c>
      <c r="F1122" s="308" t="inlineStr">
        <is>
          <t>Indicateur dossier infrastructure éligible au facteur de réduction 75%</t>
        </is>
      </c>
      <c r="G1122" s="309" t="inlineStr">
        <is>
          <t>Indicator Infrastructure eligible for the reduction factor 75%</t>
        </is>
      </c>
      <c r="H1122" s="309" t="n"/>
      <c r="I1122" s="308" t="inlineStr">
        <is>
          <t>Indicateur dossier infrastructure éligible au facteur de réduction 75%</t>
        </is>
      </c>
      <c r="J1122" s="309" t="inlineStr">
        <is>
          <t>Indicator Infrastructure eligible for the reduction factor 75%</t>
        </is>
      </c>
      <c r="K1122" s="370" t="inlineStr">
        <is>
          <t>ND</t>
        </is>
      </c>
      <c r="L1122" s="371" t="inlineStr">
        <is>
          <t>ND</t>
        </is>
      </c>
      <c r="M1122" s="1420" t="inlineStr">
        <is>
          <t>IndInfraFactReduc</t>
        </is>
      </c>
      <c r="N1122" s="257" t="inlineStr">
        <is>
          <t>Obligatoire sous conditions</t>
        </is>
      </c>
      <c r="O1122" s="236" t="inlineStr">
        <is>
          <t>Mandatory under conditions</t>
        </is>
      </c>
      <c r="P1122" s="269" t="inlineStr">
        <is>
          <t>LC.0353</t>
        </is>
      </c>
      <c r="Q1122" s="269" t="inlineStr">
        <is>
          <t>TA Z8IDIEFR</t>
        </is>
      </c>
      <c r="R1122" s="241" t="inlineStr">
        <is>
          <t>NA</t>
        </is>
      </c>
      <c r="S1122" s="233" t="inlineStr">
        <is>
          <t>NA</t>
        </is>
      </c>
      <c r="T1122" s="307" t="inlineStr">
        <is>
          <t>ALPHA</t>
        </is>
      </c>
      <c r="U1122" s="237" t="inlineStr">
        <is>
          <t>NA</t>
        </is>
      </c>
      <c r="V1122" s="238" t="inlineStr">
        <is>
          <t>NA</t>
        </is>
      </c>
      <c r="W1122" s="257" t="n">
        <v>1</v>
      </c>
      <c r="X1122" s="945" t="inlineStr">
        <is>
          <t>NA</t>
        </is>
      </c>
      <c r="Y1122" s="237" t="n">
        <v>43</v>
      </c>
      <c r="Z1122" s="237" t="inlineStr">
        <is>
          <t>NA</t>
        </is>
      </c>
      <c r="AA1122" s="270" t="inlineStr">
        <is>
          <t>NA</t>
        </is>
      </c>
      <c r="AB1122" s="1286" t="inlineStr">
        <is>
          <t>CALCULS PRUDENTIELS</t>
        </is>
      </c>
      <c r="AC1122" s="231" t="inlineStr">
        <is>
          <t>ND</t>
        </is>
      </c>
      <c r="AD1122" s="257" t="inlineStr">
        <is>
          <t>N</t>
        </is>
      </c>
      <c r="AE1122" s="257" t="inlineStr">
        <is>
          <t>NA</t>
        </is>
      </c>
      <c r="AF1122" s="257" t="inlineStr">
        <is>
          <t>NA</t>
        </is>
      </c>
      <c r="AG1122" s="258" t="inlineStr">
        <is>
          <t>NA</t>
        </is>
      </c>
      <c r="AH1122" s="89" t="n"/>
      <c r="AI1122" s="316" t="inlineStr">
        <is>
          <t>La donnée est obligatoire si le type de risque [P2 2.0] = 'SIGxxx'</t>
        </is>
      </c>
      <c r="AJ1122" s="317" t="inlineStr">
        <is>
          <t>The data is mandatory if risk type [P2 2.0] = 'SIGxxx'</t>
        </is>
      </c>
      <c r="AK1122" s="257" t="n">
        <v>6</v>
      </c>
      <c r="AL1122" s="335" t="inlineStr">
        <is>
          <t>TPS1752</t>
        </is>
      </c>
      <c r="AM1122" s="452" t="inlineStr">
        <is>
          <t>Si elle est renseignée, la valeur doit être connue du Langage Commun associé</t>
        </is>
      </c>
      <c r="AN1122" s="377" t="inlineStr">
        <is>
          <t>If specified, the value must be known to the associated Common Language</t>
        </is>
      </c>
      <c r="AO1122" s="257" t="n">
        <v>7</v>
      </c>
      <c r="AP1122" s="212" t="inlineStr">
        <is>
          <t>TIG0001</t>
        </is>
      </c>
      <c r="AQ1122" s="318" t="n"/>
      <c r="AR1122" s="317" t="n"/>
      <c r="AS1122" s="257" t="n"/>
      <c r="AT1122" s="258" t="n"/>
      <c r="AU1122" s="318" t="n"/>
      <c r="AV1122" s="317" t="n"/>
      <c r="AW1122" s="257" t="n"/>
      <c r="AX1122" s="258" t="n"/>
      <c r="AY1122" s="318" t="n"/>
      <c r="AZ1122" s="317" t="n"/>
      <c r="BA1122" s="257" t="n"/>
      <c r="BB1122" s="258" t="n"/>
      <c r="BC1122" s="316" t="n"/>
      <c r="BD1122" s="317" t="n"/>
      <c r="BE1122" s="257" t="n"/>
      <c r="BF1122" s="258" t="n"/>
      <c r="BG1122" s="89" t="n"/>
      <c r="BH11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22">
        <f>_xlfn.LET(r,ROW(),oc,INDEX($A:$A,r),cv,TRIM(INDEX($Y:$Y,r)&amp;""),IF(oc&lt;&gt;"P1","",IF(cv="45","V45 - novo, nao alimentado pelo spool atual","V44 - alimentado pelo spool atual")))</f>
        <v/>
      </c>
    </row>
    <row r="1123" ht="54" customFormat="1" customHeight="1" s="90">
      <c r="A1123" s="306" t="inlineStr">
        <is>
          <t>P2</t>
        </is>
      </c>
      <c r="B1123" s="307" t="n">
        <v>226</v>
      </c>
      <c r="C1123" s="269" t="inlineStr">
        <is>
          <t>03 - Caractéristiques Générales</t>
        </is>
      </c>
      <c r="D1123" s="310" t="inlineStr">
        <is>
          <t>03 - General characteristics</t>
        </is>
      </c>
      <c r="E1123" s="372" t="inlineStr">
        <is>
          <t>P2 31.7</t>
        </is>
      </c>
      <c r="F1123" s="308" t="inlineStr">
        <is>
          <t>Rang dans la hiérarchie des créanciers</t>
        </is>
      </c>
      <c r="G1123" s="309" t="inlineStr">
        <is>
          <t>Insolvency Ranking</t>
        </is>
      </c>
      <c r="H1123" s="309" t="n"/>
      <c r="I1123" s="241" t="inlineStr">
        <is>
          <t>Indique la hiérarchie des créanciers par pays (application législation locale)</t>
        </is>
      </c>
      <c r="J1123" s="309" t="inlineStr">
        <is>
          <t>Indicates the hierarchy of creditors by country (application of local legislation)</t>
        </is>
      </c>
      <c r="K1123" s="370" t="inlineStr">
        <is>
          <t>ND</t>
        </is>
      </c>
      <c r="L1123" s="371" t="inlineStr">
        <is>
          <t>ND</t>
        </is>
      </c>
      <c r="M1123" s="1420" t="inlineStr">
        <is>
          <t>cdRgCreanciers</t>
        </is>
      </c>
      <c r="N1123" s="257" t="inlineStr">
        <is>
          <t>Obligatoire sous conditions</t>
        </is>
      </c>
      <c r="O1123" s="236" t="inlineStr">
        <is>
          <t>Mandatory under conditions</t>
        </is>
      </c>
      <c r="P1123" s="269" t="inlineStr">
        <is>
          <t>LC.0306</t>
        </is>
      </c>
      <c r="Q1123" s="269" t="inlineStr">
        <is>
          <t xml:space="preserve">TA Z8INSORG </t>
        </is>
      </c>
      <c r="R1123" s="241" t="inlineStr">
        <is>
          <t>NA</t>
        </is>
      </c>
      <c r="S1123" s="233" t="inlineStr">
        <is>
          <t>NA</t>
        </is>
      </c>
      <c r="T1123" s="313" t="inlineStr">
        <is>
          <t>ALPHA</t>
        </is>
      </c>
      <c r="U1123" s="237" t="inlineStr">
        <is>
          <t>NA</t>
        </is>
      </c>
      <c r="V1123" s="238" t="inlineStr">
        <is>
          <t>NA</t>
        </is>
      </c>
      <c r="W1123" s="257" t="n">
        <v>6</v>
      </c>
      <c r="X1123" s="945" t="inlineStr">
        <is>
          <t>NA</t>
        </is>
      </c>
      <c r="Y1123" s="237" t="n">
        <v>43</v>
      </c>
      <c r="Z1123" s="237" t="inlineStr">
        <is>
          <t>NA</t>
        </is>
      </c>
      <c r="AA1123" s="239" t="inlineStr">
        <is>
          <t>NA</t>
        </is>
      </c>
      <c r="AB1123" s="269" t="inlineStr">
        <is>
          <t>MREL</t>
        </is>
      </c>
      <c r="AC1123" s="231" t="inlineStr">
        <is>
          <t>ND</t>
        </is>
      </c>
      <c r="AD1123" s="257" t="inlineStr">
        <is>
          <t>N</t>
        </is>
      </c>
      <c r="AE1123" s="257" t="inlineStr">
        <is>
          <t>NA</t>
        </is>
      </c>
      <c r="AF1123" s="257" t="inlineStr">
        <is>
          <t>NA</t>
        </is>
      </c>
      <c r="AG1123" s="258" t="inlineStr">
        <is>
          <t>NA</t>
        </is>
      </c>
      <c r="AH1123" s="89" t="n"/>
      <c r="AI1123" s="316" t="inlineStr">
        <is>
          <t>La donnée est obligatoire si le type de risque [P2 2.0] = 'SIG2xx'</t>
        </is>
      </c>
      <c r="AJ1123" s="317" t="inlineStr">
        <is>
          <t>The data is mandatory if risk type [P2 2.0] = 'SIG2xx'</t>
        </is>
      </c>
      <c r="AK1123" s="257" t="n">
        <v>6</v>
      </c>
      <c r="AL1123" s="335" t="inlineStr">
        <is>
          <t>TPS1753</t>
        </is>
      </c>
      <c r="AM1123" s="452" t="inlineStr">
        <is>
          <t>Si elle est renseignée, la valeur doit être connue du Langage Commun associé</t>
        </is>
      </c>
      <c r="AN1123" s="377" t="inlineStr">
        <is>
          <t>If specified, the value must be known to the associated Common Language</t>
        </is>
      </c>
      <c r="AO1123" s="257" t="n">
        <v>7</v>
      </c>
      <c r="AP1123" s="212" t="inlineStr">
        <is>
          <t>TIG0001</t>
        </is>
      </c>
      <c r="AQ1123" s="681" t="n"/>
      <c r="AR1123" s="317" t="n"/>
      <c r="AS1123" s="257" t="n"/>
      <c r="AT1123" s="258" t="n"/>
      <c r="AU1123" s="318" t="n"/>
      <c r="AV1123" s="317" t="n"/>
      <c r="AW1123" s="257" t="n"/>
      <c r="AX1123" s="258" t="n"/>
      <c r="AY1123" s="318" t="n"/>
      <c r="AZ1123" s="317" t="n"/>
      <c r="BA1123" s="257" t="n"/>
      <c r="BB1123" s="258" t="n"/>
      <c r="BC1123" s="316" t="n"/>
      <c r="BD1123" s="317" t="n"/>
      <c r="BE1123" s="257" t="n"/>
      <c r="BF1123" s="258" t="n"/>
      <c r="BG1123" s="89" t="n"/>
      <c r="BH11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23">
        <f>_xlfn.LET(r,ROW(),oc,INDEX($A:$A,r),cv,TRIM(INDEX($Y:$Y,r)&amp;""),IF(oc&lt;&gt;"P1","",IF(cv="45","V45 - novo, nao alimentado pelo spool atual","V44 - alimentado pelo spool atual")))</f>
        <v/>
      </c>
    </row>
    <row r="1124" ht="54" customFormat="1" customHeight="1" s="90">
      <c r="A1124" s="306" t="inlineStr">
        <is>
          <t>P2</t>
        </is>
      </c>
      <c r="B1124" s="307" t="n">
        <v>227</v>
      </c>
      <c r="C1124" s="269" t="inlineStr">
        <is>
          <t>03 - Caractéristiques Générales</t>
        </is>
      </c>
      <c r="D1124" s="310" t="inlineStr">
        <is>
          <t>03 - General characteristics</t>
        </is>
      </c>
      <c r="E1124" s="372" t="inlineStr">
        <is>
          <t>P2 31.8</t>
        </is>
      </c>
      <c r="F1124" s="308" t="inlineStr">
        <is>
          <t>Droit d'un pays tiers : reconnaissance de la clause de bail-in</t>
        </is>
      </c>
      <c r="G1124" s="309" t="inlineStr">
        <is>
          <t>Third Party, bail-in contractual recognition</t>
        </is>
      </c>
      <c r="H1124" s="309" t="n"/>
      <c r="I1124" s="241" t="inlineStr">
        <is>
          <t>Reconnaissance de la clause contractuelle de bail-in (renflouement interne) dans la configuration où le contrat de l'instrument est régi dans le droit d'un pays tiers</t>
        </is>
      </c>
      <c r="J1124" s="233" t="inlineStr">
        <is>
          <t>Recognition of the Bail-in contractual clause in the case where the contract of the instrument is governed by the law of a third country</t>
        </is>
      </c>
      <c r="K1124" s="269" t="inlineStr">
        <is>
          <t>ND</t>
        </is>
      </c>
      <c r="L1124" s="310" t="inlineStr">
        <is>
          <t>ND</t>
        </is>
      </c>
      <c r="M1124" s="1420" t="inlineStr">
        <is>
          <t>tpDroitPaysTiers</t>
        </is>
      </c>
      <c r="N1124" s="257" t="inlineStr">
        <is>
          <t>Obligatoire sous conditions</t>
        </is>
      </c>
      <c r="O1124" s="236" t="inlineStr">
        <is>
          <t>Mandatory under conditions</t>
        </is>
      </c>
      <c r="P1124" s="269" t="inlineStr">
        <is>
          <t>LC.0309</t>
        </is>
      </c>
      <c r="Q1124" s="269" t="inlineStr">
        <is>
          <t>TA Z8BAILIN</t>
        </is>
      </c>
      <c r="R1124" s="241" t="inlineStr">
        <is>
          <t>NA</t>
        </is>
      </c>
      <c r="S1124" s="233" t="inlineStr">
        <is>
          <t>NA</t>
        </is>
      </c>
      <c r="T1124" s="313" t="inlineStr">
        <is>
          <t>ALPHA</t>
        </is>
      </c>
      <c r="U1124" s="237" t="inlineStr">
        <is>
          <t>NA</t>
        </is>
      </c>
      <c r="V1124" s="238" t="inlineStr">
        <is>
          <t>NA</t>
        </is>
      </c>
      <c r="W1124" s="257" t="n">
        <v>1</v>
      </c>
      <c r="X1124" s="945" t="inlineStr">
        <is>
          <t>NA</t>
        </is>
      </c>
      <c r="Y1124" s="237" t="n">
        <v>43</v>
      </c>
      <c r="Z1124" s="237" t="inlineStr">
        <is>
          <t>NA</t>
        </is>
      </c>
      <c r="AA1124" s="239" t="inlineStr">
        <is>
          <t>NA</t>
        </is>
      </c>
      <c r="AB1124" s="269" t="inlineStr">
        <is>
          <t>MREL</t>
        </is>
      </c>
      <c r="AC1124" s="231" t="inlineStr">
        <is>
          <t>ND</t>
        </is>
      </c>
      <c r="AD1124" s="257" t="inlineStr">
        <is>
          <t>N</t>
        </is>
      </c>
      <c r="AE1124" s="257" t="inlineStr">
        <is>
          <t>NA</t>
        </is>
      </c>
      <c r="AF1124" s="257" t="inlineStr">
        <is>
          <t>NA</t>
        </is>
      </c>
      <c r="AG1124" s="258" t="inlineStr">
        <is>
          <t>NA</t>
        </is>
      </c>
      <c r="AH1124" s="89" t="n"/>
      <c r="AI1124" s="316" t="inlineStr">
        <is>
          <t>La donnée est obligatoire si le type de risque [P2 2.0] = 'SIG2xx'</t>
        </is>
      </c>
      <c r="AJ1124" s="317" t="inlineStr">
        <is>
          <t>The data is mandatory if risk type [P2 2.0] = 'SIG2xx'</t>
        </is>
      </c>
      <c r="AK1124" s="257" t="n">
        <v>6</v>
      </c>
      <c r="AL1124" s="335" t="inlineStr">
        <is>
          <t>TPS1753</t>
        </is>
      </c>
      <c r="AM1124" s="452" t="inlineStr">
        <is>
          <t>Si elle est renseignée, la valeur doit être connue du Langage Commun associé</t>
        </is>
      </c>
      <c r="AN1124" s="377" t="inlineStr">
        <is>
          <t>If specified, the value must be known to the associated Common Language</t>
        </is>
      </c>
      <c r="AO1124" s="257" t="n">
        <v>7</v>
      </c>
      <c r="AP1124" s="212" t="inlineStr">
        <is>
          <t>TIG0001</t>
        </is>
      </c>
      <c r="AQ1124" s="318" t="n"/>
      <c r="AR1124" s="317" t="n"/>
      <c r="AS1124" s="257" t="n"/>
      <c r="AT1124" s="258" t="n"/>
      <c r="AU1124" s="318" t="inlineStr">
        <is>
          <t>Si renseignée et si la donnée Pays de juridiction du contrat [P2 22.66] est un pays HORS de l'UE (LC.0004 - TA 0990 H8COUNTR - liste des pays dont la zone géographique n'est pas 'XGE001' ou 'XGE002'), alors la donnée 'Droit d'un pays tiers : reconnaissance de la clause de bail-in' [P2 31.8] = '1' ou '2'
Sinon (Pays de juridiction du contrat [P2 22.66] est un pays de l'UE), alors la donnée 'Droit d'un pays tiers : reconnaissance de la clause de bail-in' [P2 31.8] = '3'</t>
        </is>
      </c>
      <c r="AV1124" s="317" t="inlineStr">
        <is>
          <t>If filled and if the data Country of contract jurisdiction [P2 22.66] is a country OUTSIDE the EU (LC.0004 - TA 0990 H8COUNTR - list of countries whose geographical area is not 'XGE001' or 'XGE002'), then the data 'Third Party, bail-in contractual recognition' [P2 31.8] = '1' or '2'
Otherwise (Country of contract jurisdiction [P2 22.66] is an EU country), then the data 'Third Party, bail-in contractual recognition' [P2 31.8] = '3'</t>
        </is>
      </c>
      <c r="AW1124" s="257" t="n">
        <v>6</v>
      </c>
      <c r="AX1124" s="345" t="inlineStr">
        <is>
          <t>TCS0758</t>
        </is>
      </c>
      <c r="AY1124" s="318" t="n"/>
      <c r="AZ1124" s="317" t="n"/>
      <c r="BA1124" s="257" t="n"/>
      <c r="BB1124" s="258" t="n"/>
      <c r="BC1124" s="316" t="n"/>
      <c r="BD1124" s="317" t="n"/>
      <c r="BE1124" s="257" t="n"/>
      <c r="BF1124" s="258" t="n"/>
      <c r="BG1124" s="89" t="n"/>
      <c r="BH11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24">
        <f>_xlfn.LET(r,ROW(),oc,INDEX($A:$A,r),cv,TRIM(INDEX($Y:$Y,r)&amp;""),IF(oc&lt;&gt;"P1","",IF(cv="45","V45 - novo, nao alimentado pelo spool atual","V44 - alimentado pelo spool atual")))</f>
        <v/>
      </c>
    </row>
    <row r="1125" ht="54" customFormat="1" customHeight="1" s="90">
      <c r="A1125" s="306" t="inlineStr">
        <is>
          <t>P2</t>
        </is>
      </c>
      <c r="B1125" s="307" t="n">
        <v>228</v>
      </c>
      <c r="C1125" s="269" t="inlineStr">
        <is>
          <t>27 - Caractéristiques extra-financière</t>
        </is>
      </c>
      <c r="D1125" s="310" t="inlineStr">
        <is>
          <t>27 - Extra-financial caracteristics</t>
        </is>
      </c>
      <c r="E1125" s="307" t="inlineStr">
        <is>
          <t>P2 31.9</t>
        </is>
      </c>
      <c r="F1125" s="683" t="inlineStr">
        <is>
          <t>Lieu d'investissement du bien principal financé : code postal</t>
        </is>
      </c>
      <c r="G1125" s="309" t="inlineStr">
        <is>
          <t>Investment location of the principal asset financed: postcode</t>
        </is>
      </c>
      <c r="H1125" s="309" t="n"/>
      <c r="I1125" s="684" t="inlineStr">
        <is>
          <t>Lieu d'investissement du bien financé : code postal</t>
        </is>
      </c>
      <c r="J1125" s="309" t="inlineStr">
        <is>
          <t>Investment location of the financed asset: postcode</t>
        </is>
      </c>
      <c r="K1125" s="370" t="inlineStr">
        <is>
          <t>ND</t>
        </is>
      </c>
      <c r="L1125" s="371" t="inlineStr">
        <is>
          <t>ND</t>
        </is>
      </c>
      <c r="M1125" s="1420" t="inlineStr">
        <is>
          <t>cdCPBienF</t>
        </is>
      </c>
      <c r="N1125" s="257" t="inlineStr">
        <is>
          <t>Obligatoire sous conditions</t>
        </is>
      </c>
      <c r="O1125" s="236" t="inlineStr">
        <is>
          <t>Mandatory under conditions</t>
        </is>
      </c>
      <c r="P1125" s="269" t="inlineStr">
        <is>
          <t>LC.0369</t>
        </is>
      </c>
      <c r="Q1125" s="269" t="inlineStr">
        <is>
          <t>TA COMU0001 à COMU0098</t>
        </is>
      </c>
      <c r="R1125" s="241" t="inlineStr">
        <is>
          <t>NA</t>
        </is>
      </c>
      <c r="S1125" s="233" t="inlineStr">
        <is>
          <t>NA</t>
        </is>
      </c>
      <c r="T1125" s="313" t="inlineStr">
        <is>
          <t>ALPHA</t>
        </is>
      </c>
      <c r="U1125" s="237" t="inlineStr">
        <is>
          <t>NA</t>
        </is>
      </c>
      <c r="V1125" s="238" t="inlineStr">
        <is>
          <t>NA</t>
        </is>
      </c>
      <c r="W1125" s="257" t="n">
        <v>15</v>
      </c>
      <c r="X1125" s="945" t="inlineStr">
        <is>
          <t>NA</t>
        </is>
      </c>
      <c r="Y1125" s="237" t="n">
        <v>43</v>
      </c>
      <c r="Z1125" s="237" t="inlineStr">
        <is>
          <t>NA</t>
        </is>
      </c>
      <c r="AA1125" s="270" t="inlineStr">
        <is>
          <t>NA</t>
        </is>
      </c>
      <c r="AB1125" s="269" t="inlineStr">
        <is>
          <t>ESG PILIER 3, NZBA, OMP, RISQUE PHYSIQUE</t>
        </is>
      </c>
      <c r="AC1125" s="231" t="inlineStr">
        <is>
          <t>ND</t>
        </is>
      </c>
      <c r="AD1125" s="257" t="inlineStr">
        <is>
          <t>N</t>
        </is>
      </c>
      <c r="AE1125" s="257" t="inlineStr">
        <is>
          <t>NA</t>
        </is>
      </c>
      <c r="AF1125" s="257" t="inlineStr">
        <is>
          <t>NA</t>
        </is>
      </c>
      <c r="AG1125" s="258" t="inlineStr">
        <is>
          <t>NA</t>
        </is>
      </c>
      <c r="AH1125" s="89" t="n"/>
      <c r="AI1125" s="826" t="inlineStr">
        <is>
          <t>La donnée est obligatoire si le type de risque [P2 2.0] = 'TRE2xx' à 'TRE5xx' hors (TRE201, TRE203, TRE205, TRE206, TRE207) et si la donnée usage du bien immobilier financé [P2 8.13] est renseignée et différente de '0' et si le Lieu d'investissement du bien financé : Code pays [P2 31.10] = 'FR'</t>
        </is>
      </c>
      <c r="AJ1125" s="317" t="inlineStr">
        <is>
          <t>The data is mandatory if Risk type [P2 2.0] = 'TRE2xx' to 'TRE5xx' out (TRE201, TRE203, TRE205, TRE206, TRE207) and the use of real estate data [P2 8.13] is filled in and different from '0' and if Investment location of the financed asset: Country code [P2 31.10]= 'FR'</t>
        </is>
      </c>
      <c r="AK1125" s="257" t="n">
        <v>7</v>
      </c>
      <c r="AL1125" s="458" t="inlineStr">
        <is>
          <t>TPS1754</t>
        </is>
      </c>
      <c r="AM1125" s="686" t="inlineStr">
        <is>
          <t>Si Lieu d'investissement du bien financé : Code pays [P2 31.10] = 'FR', alors la valeur renseignée doit être connue du Langage Commun (colonne RQCDPOST)</t>
        </is>
      </c>
      <c r="AN1125" s="377" t="inlineStr">
        <is>
          <t>If Investment location of the financed asset: Country code [P2 31.10]= 'FR', then the value filled must be known to the Common Language (column RQCDPOST)</t>
        </is>
      </c>
      <c r="AO1125" s="257" t="n">
        <v>7</v>
      </c>
      <c r="AP1125" s="503" t="inlineStr">
        <is>
          <t>TI0121</t>
        </is>
      </c>
      <c r="AQ1125" s="318" t="n"/>
      <c r="AR1125" s="317" t="n"/>
      <c r="AS1125" s="257" t="n"/>
      <c r="AT1125" s="258" t="n"/>
      <c r="AU1125" s="318" t="n"/>
      <c r="AV1125" s="317" t="n"/>
      <c r="AW1125" s="257" t="n"/>
      <c r="AX1125" s="258" t="n"/>
      <c r="AY1125" s="318" t="n"/>
      <c r="AZ1125" s="317" t="n"/>
      <c r="BA1125" s="257" t="n"/>
      <c r="BB1125" s="258" t="n"/>
      <c r="BC1125" s="316" t="n"/>
      <c r="BD1125" s="317" t="n"/>
      <c r="BE1125" s="257" t="n"/>
      <c r="BF1125" s="258" t="n"/>
      <c r="BG1125" s="89" t="n"/>
      <c r="BH11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25">
        <f>_xlfn.LET(r,ROW(),oc,INDEX($A:$A,r),cv,TRIM(INDEX($Y:$Y,r)&amp;""),IF(oc&lt;&gt;"P1","",IF(cv="45","V45 - novo, nao alimentado pelo spool atual","V44 - alimentado pelo spool atual")))</f>
        <v/>
      </c>
    </row>
    <row r="1126" ht="54" customFormat="1" customHeight="1" s="90">
      <c r="A1126" s="306" t="inlineStr">
        <is>
          <t>P2</t>
        </is>
      </c>
      <c r="B1126" s="307" t="n">
        <v>229</v>
      </c>
      <c r="C1126" s="269" t="inlineStr">
        <is>
          <t>27 - Caractéristiques extra-financière</t>
        </is>
      </c>
      <c r="D1126" s="310" t="inlineStr">
        <is>
          <t>27 - Extra-financial caracteristics</t>
        </is>
      </c>
      <c r="E1126" s="307" t="inlineStr">
        <is>
          <t>P2 31.10</t>
        </is>
      </c>
      <c r="F1126" s="683" t="inlineStr">
        <is>
          <t>Lieu d'investissement du bien principal financé : Code pays</t>
        </is>
      </c>
      <c r="G1126" s="309" t="inlineStr">
        <is>
          <t>Investment location of the principal asset financed: Country code</t>
        </is>
      </c>
      <c r="H1126" s="309" t="n"/>
      <c r="I1126" s="308" t="inlineStr">
        <is>
          <t>Lieu d'investissement du bien financé : Code pays</t>
        </is>
      </c>
      <c r="J1126" s="309" t="inlineStr">
        <is>
          <t>Investment location of the financed asset: Country code</t>
        </is>
      </c>
      <c r="K1126" s="370" t="inlineStr">
        <is>
          <t>ND</t>
        </is>
      </c>
      <c r="L1126" s="371" t="inlineStr">
        <is>
          <t>ND</t>
        </is>
      </c>
      <c r="M1126" s="1420" t="inlineStr">
        <is>
          <t>cdPayBienF</t>
        </is>
      </c>
      <c r="N1126" s="257" t="inlineStr">
        <is>
          <t>Obligatoire sous conditions</t>
        </is>
      </c>
      <c r="O1126" s="236" t="inlineStr">
        <is>
          <t>Mandatory under conditions</t>
        </is>
      </c>
      <c r="P1126" s="269" t="inlineStr">
        <is>
          <t>LC.0004
LC.0273</t>
        </is>
      </c>
      <c r="Q1126" s="269" t="inlineStr">
        <is>
          <t>TA NM252 (pour la partie ISO 3166)
TA NM258 (organisation supra nationales)</t>
        </is>
      </c>
      <c r="R1126" s="241" t="inlineStr">
        <is>
          <t>NA</t>
        </is>
      </c>
      <c r="S1126" s="233" t="inlineStr">
        <is>
          <t>NA</t>
        </is>
      </c>
      <c r="T1126" s="313" t="inlineStr">
        <is>
          <t>ALPHA</t>
        </is>
      </c>
      <c r="U1126" s="237" t="inlineStr">
        <is>
          <t>NA</t>
        </is>
      </c>
      <c r="V1126" s="238" t="inlineStr">
        <is>
          <t>NA</t>
        </is>
      </c>
      <c r="W1126" s="257" t="n">
        <v>2</v>
      </c>
      <c r="X1126" s="945" t="inlineStr">
        <is>
          <t>NA</t>
        </is>
      </c>
      <c r="Y1126" s="237" t="n">
        <v>43</v>
      </c>
      <c r="Z1126" s="237" t="inlineStr">
        <is>
          <t>NA</t>
        </is>
      </c>
      <c r="AA1126" s="270" t="inlineStr">
        <is>
          <t>NA</t>
        </is>
      </c>
      <c r="AB1126" s="269" t="inlineStr">
        <is>
          <t>ASTRE, ESG PILIER 3, NZBA, OMP, RISQUE PHYSIQUE</t>
        </is>
      </c>
      <c r="AC1126" s="231" t="inlineStr">
        <is>
          <t>ND</t>
        </is>
      </c>
      <c r="AD1126" s="257" t="inlineStr">
        <is>
          <t>N</t>
        </is>
      </c>
      <c r="AE1126" s="257" t="inlineStr">
        <is>
          <t>NA</t>
        </is>
      </c>
      <c r="AF1126" s="257" t="inlineStr">
        <is>
          <t>NA</t>
        </is>
      </c>
      <c r="AG1126" s="258" t="inlineStr">
        <is>
          <t>NA</t>
        </is>
      </c>
      <c r="AH1126" s="89" t="n"/>
      <c r="AI1126" s="316" t="inlineStr">
        <is>
          <t>La donnée est obligatoire si le type de risque [P2 2.0] = 'TRE2xx' à 'TRE5xx', hors (TRE201,TRE203,TRE205, TRE206, TRE207) et si la donnée usage du bien immobilier financé [P2 8.13] est renseignée et différente de '0'</t>
        </is>
      </c>
      <c r="AJ1126" s="317" t="inlineStr">
        <is>
          <t>The data is mandatory if Risk type [P2 2.0] = 'TRE2xx' to 'TRE5xx', out (TRE201, TRE203, TRE205, TRE206, TRE207) and the use of real estate data [P2 8.13] is filled in and different from '0'</t>
        </is>
      </c>
      <c r="AK1126" s="257" t="n">
        <v>7</v>
      </c>
      <c r="AL1126" s="458" t="inlineStr">
        <is>
          <t>TPS1755</t>
        </is>
      </c>
      <c r="AM1126" s="452" t="inlineStr">
        <is>
          <t>Si elle est renseignée, la valeur doit être connue du Langage Commun associé</t>
        </is>
      </c>
      <c r="AN1126" s="377" t="inlineStr">
        <is>
          <t>If specified, the value must be known to the associated Common Language</t>
        </is>
      </c>
      <c r="AO1126" s="257" t="n">
        <v>7</v>
      </c>
      <c r="AP1126" s="212" t="inlineStr">
        <is>
          <t>TIG0001</t>
        </is>
      </c>
      <c r="AQ1126" s="318" t="n"/>
      <c r="AR1126" s="317" t="n"/>
      <c r="AS1126" s="257" t="n"/>
      <c r="AT1126" s="258" t="n"/>
      <c r="AU1126" s="318" t="n"/>
      <c r="AV1126" s="317" t="n"/>
      <c r="AW1126" s="257" t="n"/>
      <c r="AX1126" s="258" t="n"/>
      <c r="AY1126" s="318" t="n"/>
      <c r="AZ1126" s="317" t="n"/>
      <c r="BA1126" s="257" t="n"/>
      <c r="BB1126" s="258" t="n"/>
      <c r="BC1126" s="316" t="n"/>
      <c r="BD1126" s="317" t="n"/>
      <c r="BE1126" s="257" t="n"/>
      <c r="BF1126" s="258" t="n"/>
      <c r="BG1126" s="89" t="n"/>
      <c r="BH11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26">
        <f>_xlfn.LET(r,ROW(),oc,INDEX($A:$A,r),cv,TRIM(INDEX($Y:$Y,r)&amp;""),IF(oc&lt;&gt;"P1","",IF(cv="45","V45 - novo, nao alimentado pelo spool atual","V44 - alimentado pelo spool atual")))</f>
        <v/>
      </c>
    </row>
    <row r="1127" ht="54" customFormat="1" customHeight="1" s="90">
      <c r="A1127" s="306" t="inlineStr">
        <is>
          <t>P2</t>
        </is>
      </c>
      <c r="B1127" s="307" t="n">
        <v>230</v>
      </c>
      <c r="C1127" s="269" t="inlineStr">
        <is>
          <t>03 - Caractéristiques Générales</t>
        </is>
      </c>
      <c r="D1127" s="310" t="inlineStr">
        <is>
          <t>03 - General characteristics</t>
        </is>
      </c>
      <c r="E1127" s="372" t="inlineStr">
        <is>
          <t>P2 31.11</t>
        </is>
      </c>
      <c r="F1127" s="308" t="inlineStr">
        <is>
          <t>Indicateur permis de construire à l'octroi</t>
        </is>
      </c>
      <c r="G1127" s="309" t="inlineStr">
        <is>
          <t>Building permit indicator on grant</t>
        </is>
      </c>
      <c r="H1127" s="309" t="n"/>
      <c r="I1127" s="241" t="inlineStr">
        <is>
          <t>Indicateur permis de construire à l'octroi</t>
        </is>
      </c>
      <c r="J1127" s="309" t="inlineStr">
        <is>
          <t>Building permit indicator on grant</t>
        </is>
      </c>
      <c r="K1127" s="370" t="inlineStr">
        <is>
          <t>ND</t>
        </is>
      </c>
      <c r="L1127" s="371" t="inlineStr">
        <is>
          <t>ND</t>
        </is>
      </c>
      <c r="M1127" s="1420" t="inlineStr">
        <is>
          <t>cdIndPermisCons</t>
        </is>
      </c>
      <c r="N1127" s="257" t="inlineStr">
        <is>
          <t>Obligatoire sous conditions</t>
        </is>
      </c>
      <c r="O1127" s="236" t="inlineStr">
        <is>
          <t>Mandatory under conditions</t>
        </is>
      </c>
      <c r="P1127" s="269" t="inlineStr">
        <is>
          <t>LC.0336</t>
        </is>
      </c>
      <c r="Q1127" s="269" t="inlineStr">
        <is>
          <t>TA Z8IPCONS</t>
        </is>
      </c>
      <c r="R1127" s="241" t="inlineStr">
        <is>
          <t>NA</t>
        </is>
      </c>
      <c r="S1127" s="233" t="inlineStr">
        <is>
          <t>NA</t>
        </is>
      </c>
      <c r="T1127" s="313" t="inlineStr">
        <is>
          <t>ALPHA</t>
        </is>
      </c>
      <c r="U1127" s="237" t="inlineStr">
        <is>
          <t>NA</t>
        </is>
      </c>
      <c r="V1127" s="238" t="inlineStr">
        <is>
          <t>NA</t>
        </is>
      </c>
      <c r="W1127" s="257" t="n">
        <v>1</v>
      </c>
      <c r="X1127" s="945" t="inlineStr">
        <is>
          <t>NA</t>
        </is>
      </c>
      <c r="Y1127" s="237" t="n">
        <v>43</v>
      </c>
      <c r="Z1127" s="237" t="inlineStr">
        <is>
          <t>NA</t>
        </is>
      </c>
      <c r="AA1127" s="239" t="inlineStr">
        <is>
          <t>NA</t>
        </is>
      </c>
      <c r="AB1127" s="269" t="inlineStr">
        <is>
          <t>OCTROI DE CREDIT</t>
        </is>
      </c>
      <c r="AC1127" s="231" t="inlineStr">
        <is>
          <t>ND</t>
        </is>
      </c>
      <c r="AD1127" s="257" t="inlineStr">
        <is>
          <t>N</t>
        </is>
      </c>
      <c r="AE1127" s="257" t="inlineStr">
        <is>
          <t>NA</t>
        </is>
      </c>
      <c r="AF1127" s="257" t="inlineStr">
        <is>
          <t>NA</t>
        </is>
      </c>
      <c r="AG1127" s="258" t="inlineStr">
        <is>
          <t>NA</t>
        </is>
      </c>
      <c r="AH1127" s="89" t="n"/>
      <c r="AI1127" s="690" t="inlineStr">
        <is>
          <t>La donnée est obligatoire si le type de risque [P2 2.0] = 'TRE2xx' à 'TRE5xx', hors (TRE201,TRE203,TRE205, TRE206, TRE207) ET si la donnée méthodologie de notation [C1 4.3] du tiers en risque ='M1 ', 'M2', 'M41', 'M43' ou 'M44', ET si l'Objet financé [P2 22.7] = '01', '02', '03' ou '04'</t>
        </is>
      </c>
      <c r="AJ1127" s="317" t="inlineStr">
        <is>
          <t>The data is mandatory if Risk type [P2 2.0] = 'TRE2xx' to 'TRE5xx' (except TRE201, TRE203, TRE205, TRE206, TRE207) AND if the rating methodology data [C1 4.3] of the third party in risk ='M1 ', 'M2', 'M41', 'M43' or 'M44', AND if Object financed [P2 22.7] = '01', '02', '03' or '04'</t>
        </is>
      </c>
      <c r="AK1127" s="257" t="n">
        <v>6</v>
      </c>
      <c r="AL1127" s="258" t="inlineStr">
        <is>
          <t>TP0030</t>
        </is>
      </c>
      <c r="AM1127" s="452" t="inlineStr">
        <is>
          <t>Si elle est renseignée, la valeur doit être connue du Langage Commun associé</t>
        </is>
      </c>
      <c r="AN1127" s="377" t="inlineStr">
        <is>
          <t>If specified, the value must be known to the associated Common Language</t>
        </is>
      </c>
      <c r="AO1127" s="257" t="n">
        <v>7</v>
      </c>
      <c r="AP1127" s="212" t="inlineStr">
        <is>
          <t>TIG0001</t>
        </is>
      </c>
      <c r="AQ1127" s="318" t="n"/>
      <c r="AR1127" s="317" t="n"/>
      <c r="AS1127" s="257" t="n"/>
      <c r="AT1127" s="258" t="n"/>
      <c r="AU1127" s="318" t="n"/>
      <c r="AV1127" s="317" t="n"/>
      <c r="AW1127" s="257" t="n"/>
      <c r="AX1127" s="258" t="n"/>
      <c r="AY1127" s="318" t="n"/>
      <c r="AZ1127" s="317" t="n"/>
      <c r="BA1127" s="257" t="n"/>
      <c r="BB1127" s="258" t="n"/>
      <c r="BC1127" s="316" t="n"/>
      <c r="BD1127" s="317" t="n"/>
      <c r="BE1127" s="257" t="n"/>
      <c r="BF1127" s="258" t="n"/>
      <c r="BG1127" s="89" t="n"/>
      <c r="BH11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27">
        <f>_xlfn.LET(r,ROW(),oc,INDEX($A:$A,r),cv,TRIM(INDEX($Y:$Y,r)&amp;""),IF(oc&lt;&gt;"P1","",IF(cv="45","V45 - novo, nao alimentado pelo spool atual","V44 - alimentado pelo spool atual")))</f>
        <v/>
      </c>
    </row>
    <row r="1128" ht="54" customFormat="1" customHeight="1" s="90">
      <c r="A1128" s="306" t="inlineStr">
        <is>
          <t>P2</t>
        </is>
      </c>
      <c r="B1128" s="307" t="n">
        <v>231</v>
      </c>
      <c r="C1128" s="269" t="inlineStr">
        <is>
          <t>03 - Caractéristiques Générales</t>
        </is>
      </c>
      <c r="D1128" s="310" t="inlineStr">
        <is>
          <t>03 - General characteristics</t>
        </is>
      </c>
      <c r="E1128" s="372" t="inlineStr">
        <is>
          <t>P2 31.12</t>
        </is>
      </c>
      <c r="F1128" s="308" t="inlineStr">
        <is>
          <t>Etat du bien financé à l'octroi</t>
        </is>
      </c>
      <c r="G1128" s="309" t="inlineStr">
        <is>
          <t>Statement of the property financed at grant</t>
        </is>
      </c>
      <c r="H1128" s="309" t="n"/>
      <c r="I1128" s="241" t="inlineStr">
        <is>
          <t>Etat du bien financé à l'octroi</t>
        </is>
      </c>
      <c r="J1128" s="309" t="inlineStr">
        <is>
          <t>Statement of the property financed at grant</t>
        </is>
      </c>
      <c r="K1128" s="370" t="inlineStr">
        <is>
          <t>ND</t>
        </is>
      </c>
      <c r="L1128" s="371" t="inlineStr">
        <is>
          <t>ND</t>
        </is>
      </c>
      <c r="M1128" s="1420" t="inlineStr">
        <is>
          <t>cdEtatBienF</t>
        </is>
      </c>
      <c r="N1128" s="597" t="inlineStr">
        <is>
          <t>Facultatif</t>
        </is>
      </c>
      <c r="O1128" s="236" t="inlineStr">
        <is>
          <t>Optional</t>
        </is>
      </c>
      <c r="P1128" s="269" t="inlineStr">
        <is>
          <t>LC.0334</t>
        </is>
      </c>
      <c r="Q1128" s="269" t="inlineStr">
        <is>
          <t>TA Z8EBIMMO</t>
        </is>
      </c>
      <c r="R1128" s="241" t="inlineStr">
        <is>
          <t>NA</t>
        </is>
      </c>
      <c r="S1128" s="233" t="inlineStr">
        <is>
          <t>NA</t>
        </is>
      </c>
      <c r="T1128" s="313" t="inlineStr">
        <is>
          <t>ALPHA</t>
        </is>
      </c>
      <c r="U1128" s="237" t="inlineStr">
        <is>
          <t>NA</t>
        </is>
      </c>
      <c r="V1128" s="238" t="inlineStr">
        <is>
          <t>NA</t>
        </is>
      </c>
      <c r="W1128" s="257" t="n">
        <v>1</v>
      </c>
      <c r="X1128" s="945" t="inlineStr">
        <is>
          <t>NA</t>
        </is>
      </c>
      <c r="Y1128" s="237" t="n">
        <v>43</v>
      </c>
      <c r="Z1128" s="237" t="inlineStr">
        <is>
          <t>NA</t>
        </is>
      </c>
      <c r="AA1128" s="239" t="inlineStr">
        <is>
          <t>NA</t>
        </is>
      </c>
      <c r="AB1128" s="269" t="inlineStr">
        <is>
          <t>OCTROI DE CREDIT</t>
        </is>
      </c>
      <c r="AC1128" s="231" t="inlineStr">
        <is>
          <t>ND</t>
        </is>
      </c>
      <c r="AD1128" s="257" t="inlineStr">
        <is>
          <t>N</t>
        </is>
      </c>
      <c r="AE1128" s="257" t="inlineStr">
        <is>
          <t>NA</t>
        </is>
      </c>
      <c r="AF1128" s="257" t="inlineStr">
        <is>
          <t>NA</t>
        </is>
      </c>
      <c r="AG1128" s="258" t="inlineStr">
        <is>
          <t>NA</t>
        </is>
      </c>
      <c r="AH1128" s="89" t="n"/>
      <c r="AI1128" s="690" t="n"/>
      <c r="AJ1128" s="317" t="n"/>
      <c r="AK1128" s="257" t="n"/>
      <c r="AL1128" s="463" t="n"/>
      <c r="AM1128" s="452" t="inlineStr">
        <is>
          <t>Si elle est renseignée, la valeur doit être connue du Langage Commun associé</t>
        </is>
      </c>
      <c r="AN1128" s="377" t="inlineStr">
        <is>
          <t>If specified, the value must be known to the associated Common Language</t>
        </is>
      </c>
      <c r="AO1128" s="257" t="n">
        <v>7</v>
      </c>
      <c r="AP1128" s="212" t="inlineStr">
        <is>
          <t>TIG0001</t>
        </is>
      </c>
      <c r="AQ1128" s="318" t="n"/>
      <c r="AR1128" s="317" t="n"/>
      <c r="AS1128" s="257" t="n"/>
      <c r="AT1128" s="258" t="n"/>
      <c r="AU1128" s="318" t="n"/>
      <c r="AV1128" s="317" t="n"/>
      <c r="AW1128" s="257" t="n"/>
      <c r="AX1128" s="258" t="n"/>
      <c r="AY1128" s="318" t="n"/>
      <c r="AZ1128" s="317" t="n"/>
      <c r="BA1128" s="257" t="n"/>
      <c r="BB1128" s="258" t="n"/>
      <c r="BC1128" s="316" t="n"/>
      <c r="BD1128" s="317" t="n"/>
      <c r="BE1128" s="257" t="n"/>
      <c r="BF1128" s="258" t="n"/>
      <c r="BG1128" s="89" t="n"/>
      <c r="BH11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28">
        <f>_xlfn.LET(r,ROW(),oc,INDEX($A:$A,r),cv,TRIM(INDEX($Y:$Y,r)&amp;""),IF(oc&lt;&gt;"P1","",IF(cv="45","V45 - novo, nao alimentado pelo spool atual","V44 - alimentado pelo spool atual")))</f>
        <v/>
      </c>
    </row>
    <row r="1129" ht="54" customFormat="1" customHeight="1" s="90">
      <c r="A1129" s="306" t="inlineStr">
        <is>
          <t>P2</t>
        </is>
      </c>
      <c r="B1129" s="307" t="n">
        <v>232</v>
      </c>
      <c r="C1129" s="269" t="inlineStr">
        <is>
          <t>03 - Caractéristiques Générales</t>
        </is>
      </c>
      <c r="D1129" s="310" t="inlineStr">
        <is>
          <t>03 - General characteristics</t>
        </is>
      </c>
      <c r="E1129" s="372" t="inlineStr">
        <is>
          <t>P2 31.13</t>
        </is>
      </c>
      <c r="F1129" s="308" t="inlineStr">
        <is>
          <t>Catégorie énergétique du bien immobilier à l'octroi</t>
        </is>
      </c>
      <c r="G1129" s="309" t="inlineStr">
        <is>
          <t>Energy category of real estate on grant</t>
        </is>
      </c>
      <c r="H1129" s="309" t="n"/>
      <c r="I1129" s="241" t="inlineStr">
        <is>
          <t>Catégorie énergétique du bien immobilier à l'octroi</t>
        </is>
      </c>
      <c r="J1129" s="309" t="inlineStr">
        <is>
          <t>Energy category of real estate on grant</t>
        </is>
      </c>
      <c r="K1129" s="370" t="inlineStr">
        <is>
          <t>ND</t>
        </is>
      </c>
      <c r="L1129" s="371" t="inlineStr">
        <is>
          <t>ND</t>
        </is>
      </c>
      <c r="M1129" s="1420" t="inlineStr">
        <is>
          <t>cdClassNrjBienF</t>
        </is>
      </c>
      <c r="N1129" s="597" t="inlineStr">
        <is>
          <t>Facultatif</t>
        </is>
      </c>
      <c r="O1129" s="236" t="inlineStr">
        <is>
          <t>Optional</t>
        </is>
      </c>
      <c r="P1129" s="269" t="inlineStr">
        <is>
          <t>LC.0335</t>
        </is>
      </c>
      <c r="Q1129" s="269" t="inlineStr">
        <is>
          <t>RB 0503</t>
        </is>
      </c>
      <c r="R1129" s="241" t="inlineStr">
        <is>
          <t>NA</t>
        </is>
      </c>
      <c r="S1129" s="233" t="inlineStr">
        <is>
          <t>NA</t>
        </is>
      </c>
      <c r="T1129" s="313" t="inlineStr">
        <is>
          <t>ALPHA</t>
        </is>
      </c>
      <c r="U1129" s="237" t="inlineStr">
        <is>
          <t>NA</t>
        </is>
      </c>
      <c r="V1129" s="238" t="inlineStr">
        <is>
          <t>NA</t>
        </is>
      </c>
      <c r="W1129" s="257" t="n">
        <v>1</v>
      </c>
      <c r="X1129" s="945" t="inlineStr">
        <is>
          <t>NA</t>
        </is>
      </c>
      <c r="Y1129" s="237" t="n">
        <v>43</v>
      </c>
      <c r="Z1129" s="237" t="inlineStr">
        <is>
          <t>NA</t>
        </is>
      </c>
      <c r="AA1129" s="283" t="inlineStr">
        <is>
          <t>NA</t>
        </is>
      </c>
      <c r="AB1129" s="269" t="inlineStr">
        <is>
          <t>ESG PILIER 3, NZBA</t>
        </is>
      </c>
      <c r="AC1129" s="231" t="inlineStr">
        <is>
          <t>ND</t>
        </is>
      </c>
      <c r="AD1129" s="257" t="inlineStr">
        <is>
          <t>N</t>
        </is>
      </c>
      <c r="AE1129" s="257" t="inlineStr">
        <is>
          <t>NA</t>
        </is>
      </c>
      <c r="AF1129" s="257" t="inlineStr">
        <is>
          <t>NA</t>
        </is>
      </c>
      <c r="AG1129" s="258" t="inlineStr">
        <is>
          <t>NA</t>
        </is>
      </c>
      <c r="AH1129" s="89" t="n"/>
      <c r="AI1129" s="353" t="n"/>
      <c r="AJ1129" s="317" t="n"/>
      <c r="AK1129" s="269" t="n"/>
      <c r="AL1129" s="617" t="n"/>
      <c r="AM1129" s="452" t="inlineStr">
        <is>
          <t>Si elle est renseignée, la valeur doit être connue du Langage Commun associé</t>
        </is>
      </c>
      <c r="AN1129" s="377" t="inlineStr">
        <is>
          <t>If specified, the value must be known to the associated Common Language</t>
        </is>
      </c>
      <c r="AO1129" s="257" t="n">
        <v>7</v>
      </c>
      <c r="AP1129" s="212" t="inlineStr">
        <is>
          <t>TIG0001</t>
        </is>
      </c>
      <c r="AQ1129" s="533" t="inlineStr">
        <is>
          <t>Si renseignée, la donnée doit être différente de 'Y' ou 'Z'</t>
        </is>
      </c>
      <c r="AR1129" s="317" t="inlineStr">
        <is>
          <t>If filled in, the data must be different of 'Y' or 'Z'</t>
        </is>
      </c>
      <c r="AS1129" s="257" t="n">
        <v>7</v>
      </c>
      <c r="AT1129" s="345" t="inlineStr">
        <is>
          <t>TVS0732</t>
        </is>
      </c>
      <c r="AU1129" s="318" t="n"/>
      <c r="AV1129" s="317" t="n"/>
      <c r="AW1129" s="257" t="n"/>
      <c r="AX1129" s="258" t="n"/>
      <c r="AY1129" s="318" t="n"/>
      <c r="AZ1129" s="317" t="n"/>
      <c r="BA1129" s="257" t="n"/>
      <c r="BB1129" s="258" t="n"/>
      <c r="BC1129" s="316" t="n"/>
      <c r="BD1129" s="317" t="n"/>
      <c r="BE1129" s="257" t="n"/>
      <c r="BF1129" s="258" t="n"/>
      <c r="BG1129" s="89" t="n"/>
      <c r="BH11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29">
        <f>_xlfn.LET(r,ROW(),oc,INDEX($A:$A,r),cv,TRIM(INDEX($Y:$Y,r)&amp;""),IF(oc&lt;&gt;"P1","",IF(cv="45","V45 - novo, nao alimentado pelo spool atual","V44 - alimentado pelo spool atual")))</f>
        <v/>
      </c>
    </row>
    <row r="1130" ht="54" customFormat="1" customHeight="1" s="90">
      <c r="A1130" s="306" t="inlineStr">
        <is>
          <t>P2</t>
        </is>
      </c>
      <c r="B1130" s="307" t="n">
        <v>233</v>
      </c>
      <c r="C1130" s="269" t="inlineStr">
        <is>
          <t>22 - Caractéristiques de taux</t>
        </is>
      </c>
      <c r="D1130" s="310" t="inlineStr">
        <is>
          <t>22 - Rate characteristics</t>
        </is>
      </c>
      <c r="E1130" s="372" t="inlineStr">
        <is>
          <t>P2 31.14</t>
        </is>
      </c>
      <c r="F1130" s="308" t="inlineStr">
        <is>
          <t>Taux de réservation du programme immobilier</t>
        </is>
      </c>
      <c r="G1130" s="309" t="inlineStr">
        <is>
          <t>Real estate program reservation rate</t>
        </is>
      </c>
      <c r="H1130" s="309" t="n"/>
      <c r="I1130" s="1248" t="inlineStr">
        <is>
          <t>Taux de réservation du programme immobilier
Exprimé en %</t>
        </is>
      </c>
      <c r="J1130" s="309" t="inlineStr">
        <is>
          <t>Real estate program reservation rate
Expressed as %</t>
        </is>
      </c>
      <c r="K1130" s="370" t="inlineStr">
        <is>
          <t>ND</t>
        </is>
      </c>
      <c r="L1130" s="371" t="inlineStr">
        <is>
          <t>ND</t>
        </is>
      </c>
      <c r="M1130" s="1420" t="inlineStr">
        <is>
          <t>TauxResProgImmo</t>
        </is>
      </c>
      <c r="N1130" s="257" t="inlineStr">
        <is>
          <t>Obligatoire sous conditions</t>
        </is>
      </c>
      <c r="O1130" s="236" t="inlineStr">
        <is>
          <t>Mandatory under conditions</t>
        </is>
      </c>
      <c r="P1130" s="269" t="inlineStr">
        <is>
          <t>NA</t>
        </is>
      </c>
      <c r="Q1130" s="269" t="inlineStr">
        <is>
          <t>NA</t>
        </is>
      </c>
      <c r="R1130" s="241" t="inlineStr">
        <is>
          <t>NA</t>
        </is>
      </c>
      <c r="S1130" s="233" t="inlineStr">
        <is>
          <t>NA</t>
        </is>
      </c>
      <c r="T1130" s="313" t="inlineStr">
        <is>
          <t>NUM</t>
        </is>
      </c>
      <c r="U1130" s="237" t="inlineStr">
        <is>
          <t>15 dont signe et 9 décimales</t>
        </is>
      </c>
      <c r="V1130" s="238" t="inlineStr">
        <is>
          <t>15 including sign and 9 decimals</t>
        </is>
      </c>
      <c r="W1130" s="257" t="n">
        <v>15</v>
      </c>
      <c r="X1130" s="945" t="inlineStr">
        <is>
          <t>NA</t>
        </is>
      </c>
      <c r="Y1130" s="237" t="n">
        <v>43</v>
      </c>
      <c r="Z1130" s="237" t="inlineStr">
        <is>
          <t>NA</t>
        </is>
      </c>
      <c r="AA1130" s="239" t="inlineStr">
        <is>
          <t>NA</t>
        </is>
      </c>
      <c r="AB1130" s="269" t="inlineStr">
        <is>
          <t>OCTROI DE CREDIT</t>
        </is>
      </c>
      <c r="AC1130" s="231" t="inlineStr">
        <is>
          <t>ND</t>
        </is>
      </c>
      <c r="AD1130" s="257" t="inlineStr">
        <is>
          <t>N</t>
        </is>
      </c>
      <c r="AE1130" s="257" t="inlineStr">
        <is>
          <t>NA</t>
        </is>
      </c>
      <c r="AF1130" s="257" t="inlineStr">
        <is>
          <t>NA</t>
        </is>
      </c>
      <c r="AG1130" s="258" t="inlineStr">
        <is>
          <t>NA</t>
        </is>
      </c>
      <c r="AH1130" s="89" t="n"/>
      <c r="AI1130" s="690" t="inlineStr">
        <is>
          <t>La donnée est obligatoire si le type de risque [P2 2.0] = 'TRE2xx' à 'TRE5xx', hors (TRE201,TRE203,TRE205, TRE206, TRE207) ET si la donnée méthodologie de notation [C1 4.3] du tiers en risque ='M1 ', 'M2', 'M41', 'M43' ou 'M44', ET si l'Objet financé [P2 22.7] = '01', '02', '03' ou '04'</t>
        </is>
      </c>
      <c r="AJ1130" s="317" t="inlineStr">
        <is>
          <t>The data is mandatory if Risk type [P2 2.0] = 'TRE2xx' to 'TRE5xx' (except TRE201, TRE203, TRE205, TRE206, TRE207) AND if the rating methodology data [C1 4.3] of the third party in risk ='M1 ', 'M2', 'M41', 'M43' or 'M44', AND if Object financed [P2 22.7] = '01', '02', '03' or '04'</t>
        </is>
      </c>
      <c r="AK1130" s="257" t="n">
        <v>6</v>
      </c>
      <c r="AL1130" s="258" t="inlineStr">
        <is>
          <t>TP0030</t>
        </is>
      </c>
      <c r="AM1130" s="318" t="n"/>
      <c r="AN1130" s="317" t="n"/>
      <c r="AO1130" s="257" t="n"/>
      <c r="AP1130" s="258" t="n"/>
      <c r="AQ1130" s="322" t="inlineStr">
        <is>
          <t>Si renseignée, la donnée doit être positive (supérieure ou égale à 0)</t>
        </is>
      </c>
      <c r="AR1130" s="317" t="inlineStr">
        <is>
          <t xml:space="preserve">If filled, data must be positive (greater or equal to 0) </t>
        </is>
      </c>
      <c r="AS1130" s="257" t="n">
        <v>7</v>
      </c>
      <c r="AT1130" s="345" t="inlineStr">
        <is>
          <t>TVG0001</t>
        </is>
      </c>
      <c r="AU1130" s="318" t="n"/>
      <c r="AV1130" s="317" t="n"/>
      <c r="AW1130" s="257" t="n"/>
      <c r="AX1130" s="258" t="n"/>
      <c r="AY1130" s="318" t="n"/>
      <c r="AZ1130" s="317" t="n"/>
      <c r="BA1130" s="257" t="n"/>
      <c r="BB1130" s="258" t="n"/>
      <c r="BC1130" s="316" t="n"/>
      <c r="BD1130" s="317" t="n"/>
      <c r="BE1130" s="257" t="n"/>
      <c r="BF1130" s="258" t="n"/>
      <c r="BG1130" s="89" t="n"/>
      <c r="BH11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30">
        <f>_xlfn.LET(r,ROW(),oc,INDEX($A:$A,r),cv,TRIM(INDEX($Y:$Y,r)&amp;""),IF(oc&lt;&gt;"P1","",IF(cv="45","V45 - novo, nao alimentado pelo spool atual","V44 - alimentado pelo spool atual")))</f>
        <v/>
      </c>
    </row>
    <row r="1131" ht="54" customFormat="1" customHeight="1" s="90">
      <c r="A1131" s="306" t="inlineStr">
        <is>
          <t>P2</t>
        </is>
      </c>
      <c r="B1131" s="307" t="n">
        <v>234</v>
      </c>
      <c r="C1131" s="269" t="inlineStr">
        <is>
          <t>03 - Caractéristiques Générales</t>
        </is>
      </c>
      <c r="D1131" s="310" t="inlineStr">
        <is>
          <t>03 - General characteristics</t>
        </is>
      </c>
      <c r="E1131" s="372" t="inlineStr">
        <is>
          <t>P2 31.15</t>
        </is>
      </c>
      <c r="F1131" s="308" t="inlineStr">
        <is>
          <t>Montant de l'apport à l'octroi</t>
        </is>
      </c>
      <c r="G1131" s="309" t="inlineStr">
        <is>
          <t>Cash contribution when loan granted</t>
        </is>
      </c>
      <c r="H1131" s="309" t="n"/>
      <c r="I1131" s="241" t="inlineStr">
        <is>
          <t>Montant de l'apport en cash à l'octroi de crédit</t>
        </is>
      </c>
      <c r="J1131" s="309" t="inlineStr">
        <is>
          <t>Amount of cash contribution when loan granted</t>
        </is>
      </c>
      <c r="K1131" s="370" t="inlineStr">
        <is>
          <t>ND</t>
        </is>
      </c>
      <c r="L1131" s="371" t="inlineStr">
        <is>
          <t>ND</t>
        </is>
      </c>
      <c r="M1131" s="1420" t="inlineStr">
        <is>
          <t>MtApportOctroi</t>
        </is>
      </c>
      <c r="N1131" s="257" t="inlineStr">
        <is>
          <t>Obligatoire sous conditions</t>
        </is>
      </c>
      <c r="O1131" s="236" t="inlineStr">
        <is>
          <t>Mandatory under conditions</t>
        </is>
      </c>
      <c r="P1131" s="269" t="inlineStr">
        <is>
          <t>NA</t>
        </is>
      </c>
      <c r="Q1131" s="269" t="inlineStr">
        <is>
          <t>NA</t>
        </is>
      </c>
      <c r="R1131" s="241" t="inlineStr">
        <is>
          <t>NA</t>
        </is>
      </c>
      <c r="S1131" s="233" t="inlineStr">
        <is>
          <t>NA</t>
        </is>
      </c>
      <c r="T1131" s="307" t="inlineStr">
        <is>
          <t>NUM</t>
        </is>
      </c>
      <c r="U1131" s="237" t="inlineStr">
        <is>
          <t>19 dont signe et 2 décimales</t>
        </is>
      </c>
      <c r="V1131" s="238" t="inlineStr">
        <is>
          <t>19 including sign and 2 decimals</t>
        </is>
      </c>
      <c r="W1131" s="257" t="n">
        <v>19</v>
      </c>
      <c r="X1131" s="945" t="inlineStr">
        <is>
          <t>NA</t>
        </is>
      </c>
      <c r="Y1131" s="237" t="n">
        <v>43</v>
      </c>
      <c r="Z1131" s="237" t="inlineStr">
        <is>
          <t>NA</t>
        </is>
      </c>
      <c r="AA1131" s="270" t="inlineStr">
        <is>
          <t>NA</t>
        </is>
      </c>
      <c r="AB1131" s="269" t="inlineStr">
        <is>
          <t>NZBA, OCTROI DE CREDIT</t>
        </is>
      </c>
      <c r="AC1131" s="231" t="inlineStr">
        <is>
          <t>ND</t>
        </is>
      </c>
      <c r="AD1131" s="257" t="inlineStr">
        <is>
          <t>N</t>
        </is>
      </c>
      <c r="AE1131" s="257" t="inlineStr">
        <is>
          <t>NA</t>
        </is>
      </c>
      <c r="AF1131" s="257" t="inlineStr">
        <is>
          <t>NA</t>
        </is>
      </c>
      <c r="AG1131" s="258" t="inlineStr">
        <is>
          <t>NA</t>
        </is>
      </c>
      <c r="AH1131" s="89" t="n"/>
      <c r="AI1131" s="690" t="inlineStr">
        <is>
          <t>La donnée est obligatoire si le type de risque [P2 2.0] = 'TRE2xx' à 'TRE5xx', hors (TRE201,TRE203,TRE205, TRE206, TRE207) ET si la donnée méthodologie de notation [C1 4.3] du tiers en risque ='M1 ', 'M2', 'M41', 'M43' ou 'M44', ET si l'Objet financé [P2 22.7] = '01', '02', '03' ou '04'</t>
        </is>
      </c>
      <c r="AJ1131" s="317" t="inlineStr">
        <is>
          <t>The data is mandatory if Risk type [P2 2.0] = 'TRE2xx' to 'TRE5xx' (except TRE201, TRE203, TRE205, TRE206, TRE207) AND if the rating methodology data [C1 4.3] of the third party in risk ='M1 ', 'M2', 'M41', 'M43' or 'M44', AND if Object financed [P2 22.7] = '01', '02', '03' or '04'</t>
        </is>
      </c>
      <c r="AK1131" s="257" t="n">
        <v>6</v>
      </c>
      <c r="AL1131" s="258" t="inlineStr">
        <is>
          <t>TP0030</t>
        </is>
      </c>
      <c r="AM1131" s="318" t="n"/>
      <c r="AN1131" s="317" t="n"/>
      <c r="AO1131" s="257" t="n"/>
      <c r="AP1131" s="258" t="n"/>
      <c r="AQ1131" s="322" t="inlineStr">
        <is>
          <t>Si renseignée, la donnée doit être positive (supérieure ou égale à 0)</t>
        </is>
      </c>
      <c r="AR1131" s="317" t="inlineStr">
        <is>
          <t xml:space="preserve">If filled, data must be positive (greater or equal to 0) </t>
        </is>
      </c>
      <c r="AS1131" s="257" t="n">
        <v>7</v>
      </c>
      <c r="AT1131" s="345" t="inlineStr">
        <is>
          <t>TVG0001</t>
        </is>
      </c>
      <c r="AU1131" s="318" t="n"/>
      <c r="AV1131" s="317" t="n"/>
      <c r="AW1131" s="257" t="n"/>
      <c r="AX1131" s="258" t="n"/>
      <c r="AY1131" s="318" t="n"/>
      <c r="AZ1131" s="317" t="n"/>
      <c r="BA1131" s="257" t="n"/>
      <c r="BB1131" s="258" t="n"/>
      <c r="BC1131" s="316" t="n"/>
      <c r="BD1131" s="317" t="n"/>
      <c r="BE1131" s="257" t="n"/>
      <c r="BF1131" s="258" t="n"/>
      <c r="BG1131" s="89" t="n"/>
      <c r="BH11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31">
        <f>_xlfn.LET(r,ROW(),oc,INDEX($A:$A,r),cv,TRIM(INDEX($Y:$Y,r)&amp;""),IF(oc&lt;&gt;"P1","",IF(cv="45","V45 - novo, nao alimentado pelo spool atual","V44 - alimentado pelo spool atual")))</f>
        <v/>
      </c>
    </row>
    <row r="1132" ht="54" customFormat="1" customHeight="1" s="90">
      <c r="A1132" s="306" t="inlineStr">
        <is>
          <t>P2</t>
        </is>
      </c>
      <c r="B1132" s="307" t="n">
        <v>235</v>
      </c>
      <c r="C1132" s="269" t="inlineStr">
        <is>
          <t>03 - Caractéristiques Générales</t>
        </is>
      </c>
      <c r="D1132" s="310" t="inlineStr">
        <is>
          <t>03 - General characteristics</t>
        </is>
      </c>
      <c r="E1132" s="372" t="inlineStr">
        <is>
          <t>P2 31.16</t>
        </is>
      </c>
      <c r="F1132" s="308" t="inlineStr">
        <is>
          <t>Devise du montant de l'apport à l'octroi</t>
        </is>
      </c>
      <c r="G1132" s="309" t="inlineStr">
        <is>
          <t>Currency of amount of cash contribution when loan granted</t>
        </is>
      </c>
      <c r="H1132" s="309" t="n"/>
      <c r="I1132" s="241" t="inlineStr">
        <is>
          <t>Devise d'expression du montant de l'apport à l'octroi</t>
        </is>
      </c>
      <c r="J1132" s="309" t="inlineStr">
        <is>
          <t>Currency of amount of cash contribution when loan granted</t>
        </is>
      </c>
      <c r="K1132" s="370" t="inlineStr">
        <is>
          <t>ND</t>
        </is>
      </c>
      <c r="L1132" s="371" t="inlineStr">
        <is>
          <t>ND</t>
        </is>
      </c>
      <c r="M1132" s="1420" t="inlineStr">
        <is>
          <t>cdDevApportOctroi</t>
        </is>
      </c>
      <c r="N1132" s="257" t="inlineStr">
        <is>
          <t>Obligatoire sous conditions</t>
        </is>
      </c>
      <c r="O1132" s="236" t="inlineStr">
        <is>
          <t>Mandatory under conditions</t>
        </is>
      </c>
      <c r="P1132" s="269" t="inlineStr">
        <is>
          <t>LC.0005</t>
        </is>
      </c>
      <c r="Q1132" s="269" t="inlineStr">
        <is>
          <t>TA NM253</t>
        </is>
      </c>
      <c r="R1132" s="241" t="inlineStr">
        <is>
          <t>NA</t>
        </is>
      </c>
      <c r="S1132" s="233" t="inlineStr">
        <is>
          <t>NA</t>
        </is>
      </c>
      <c r="T1132" s="313" t="inlineStr">
        <is>
          <t>ALPHA</t>
        </is>
      </c>
      <c r="U1132" s="237" t="inlineStr">
        <is>
          <t>NA</t>
        </is>
      </c>
      <c r="V1132" s="238" t="inlineStr">
        <is>
          <t>NA</t>
        </is>
      </c>
      <c r="W1132" s="257" t="n">
        <v>3</v>
      </c>
      <c r="X1132" s="945" t="inlineStr">
        <is>
          <t>NA</t>
        </is>
      </c>
      <c r="Y1132" s="237" t="n">
        <v>43</v>
      </c>
      <c r="Z1132" s="237" t="inlineStr">
        <is>
          <t>NA</t>
        </is>
      </c>
      <c r="AA1132" s="239" t="inlineStr">
        <is>
          <t>NA</t>
        </is>
      </c>
      <c r="AB1132" s="269" t="inlineStr">
        <is>
          <t>NZBA, OCTROI DE CREDIT</t>
        </is>
      </c>
      <c r="AC1132" s="231" t="inlineStr">
        <is>
          <t>ND</t>
        </is>
      </c>
      <c r="AD1132" s="257" t="inlineStr">
        <is>
          <t>N</t>
        </is>
      </c>
      <c r="AE1132" s="257" t="inlineStr">
        <is>
          <t>NA</t>
        </is>
      </c>
      <c r="AF1132" s="257" t="inlineStr">
        <is>
          <t>NA</t>
        </is>
      </c>
      <c r="AG1132" s="258" t="inlineStr">
        <is>
          <t>NA</t>
        </is>
      </c>
      <c r="AH1132" s="89" t="n"/>
      <c r="AI1132" s="316" t="inlineStr">
        <is>
          <t>La donnée est obligatoire si la donnée montant de l'apport à l'octroi [P2 31.15] est renseignée</t>
        </is>
      </c>
      <c r="AJ1132" s="317" t="inlineStr">
        <is>
          <t>The data is mandatory if the grant contribution amount data [P2 31.15] is filled</t>
        </is>
      </c>
      <c r="AK1132" s="257" t="n">
        <v>7</v>
      </c>
      <c r="AL1132" s="335" t="inlineStr">
        <is>
          <t>TPG0002</t>
        </is>
      </c>
      <c r="AM1132" s="452" t="inlineStr">
        <is>
          <t>Si elle est renseignée, la valeur doit être connue du Langage Commun associé</t>
        </is>
      </c>
      <c r="AN1132" s="377" t="inlineStr">
        <is>
          <t>If specified, the value must be known to the associated Common Language</t>
        </is>
      </c>
      <c r="AO1132" s="257" t="n">
        <v>7</v>
      </c>
      <c r="AP1132" s="212" t="inlineStr">
        <is>
          <t>TIG0001</t>
        </is>
      </c>
      <c r="AQ1132" s="318" t="n"/>
      <c r="AR1132" s="317" t="n"/>
      <c r="AS1132" s="257" t="n"/>
      <c r="AT1132" s="258" t="n"/>
      <c r="AU1132" s="318" t="n"/>
      <c r="AV1132" s="317" t="n"/>
      <c r="AW1132" s="257" t="n"/>
      <c r="AX1132" s="258" t="n"/>
      <c r="AY1132" s="318" t="n"/>
      <c r="AZ1132" s="317" t="n"/>
      <c r="BA1132" s="257" t="n"/>
      <c r="BB1132" s="258" t="n"/>
      <c r="BC1132" s="316" t="n"/>
      <c r="BD1132" s="317" t="n"/>
      <c r="BE1132" s="257" t="n"/>
      <c r="BF1132" s="258" t="n"/>
      <c r="BG1132" s="89" t="n"/>
      <c r="BH11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32">
        <f>_xlfn.LET(r,ROW(),oc,INDEX($A:$A,r),cv,TRIM(INDEX($Y:$Y,r)&amp;""),IF(oc&lt;&gt;"P1","",IF(cv="45","V45 - novo, nao alimentado pelo spool atual","V44 - alimentado pelo spool atual")))</f>
        <v/>
      </c>
    </row>
    <row r="1133" ht="54" customFormat="1" customHeight="1" s="90">
      <c r="A1133" s="306" t="inlineStr">
        <is>
          <t>P2</t>
        </is>
      </c>
      <c r="B1133" s="307" t="n">
        <v>236</v>
      </c>
      <c r="C1133" s="269" t="inlineStr">
        <is>
          <t>03 - Caractéristiques Générales</t>
        </is>
      </c>
      <c r="D1133" s="310" t="inlineStr">
        <is>
          <t>03 - General characteristics</t>
        </is>
      </c>
      <c r="E1133" s="372" t="inlineStr">
        <is>
          <t>P2 31.17</t>
        </is>
      </c>
      <c r="F1133" s="308" t="inlineStr">
        <is>
          <t xml:space="preserve">Durée initiale du prêt </t>
        </is>
      </c>
      <c r="G1133" s="309" t="inlineStr">
        <is>
          <t>Initial duration of the loan</t>
        </is>
      </c>
      <c r="H1133" s="309" t="n"/>
      <c r="I1133" s="308" t="inlineStr">
        <is>
          <t>Durée (en mois) initiale d'amortissement du prêt à la signature du contrat, celle à l'origine du prêt</t>
        </is>
      </c>
      <c r="J1133" s="309" t="inlineStr">
        <is>
          <t>The initial amortisation duration (in months) of the loan at the time of signature of the contract, the one at which the loan originated</t>
        </is>
      </c>
      <c r="K1133" s="370" t="inlineStr">
        <is>
          <t>ND</t>
        </is>
      </c>
      <c r="L1133" s="371" t="inlineStr">
        <is>
          <t>ND</t>
        </is>
      </c>
      <c r="M1133" s="1420" t="inlineStr">
        <is>
          <t>nbDIOctroi</t>
        </is>
      </c>
      <c r="N1133" s="257" t="inlineStr">
        <is>
          <t>Obligatoire sous conditions</t>
        </is>
      </c>
      <c r="O1133" s="236" t="inlineStr">
        <is>
          <t>Mandatory under conditions</t>
        </is>
      </c>
      <c r="P1133" s="269" t="inlineStr">
        <is>
          <t>NA</t>
        </is>
      </c>
      <c r="Q1133" s="269" t="inlineStr">
        <is>
          <t>NA</t>
        </is>
      </c>
      <c r="R1133" s="241" t="inlineStr">
        <is>
          <t>Exprimé en nombre de mois</t>
        </is>
      </c>
      <c r="S1133" s="233" t="inlineStr">
        <is>
          <t>Expressed in number of months</t>
        </is>
      </c>
      <c r="T1133" s="307" t="inlineStr">
        <is>
          <t>NUM</t>
        </is>
      </c>
      <c r="U1133" s="237" t="inlineStr">
        <is>
          <t>6 dont signe</t>
        </is>
      </c>
      <c r="V1133" s="238" t="inlineStr">
        <is>
          <t>6 including sign</t>
        </is>
      </c>
      <c r="W1133" s="257" t="n">
        <v>6</v>
      </c>
      <c r="X1133" s="945" t="inlineStr">
        <is>
          <t>NA</t>
        </is>
      </c>
      <c r="Y1133" s="237" t="n">
        <v>43</v>
      </c>
      <c r="Z1133" s="237" t="inlineStr">
        <is>
          <t>NA</t>
        </is>
      </c>
      <c r="AA1133" s="239" t="inlineStr">
        <is>
          <t>NA</t>
        </is>
      </c>
      <c r="AB1133" s="269" t="inlineStr">
        <is>
          <t>NZBA, OCTROI DE CREDIT, OMP, PALMA</t>
        </is>
      </c>
      <c r="AC1133" s="231" t="inlineStr">
        <is>
          <t>ND</t>
        </is>
      </c>
      <c r="AD1133" s="257" t="inlineStr">
        <is>
          <t>N</t>
        </is>
      </c>
      <c r="AE1133" s="257" t="inlineStr">
        <is>
          <t>NA</t>
        </is>
      </c>
      <c r="AF1133" s="257" t="inlineStr">
        <is>
          <t>NA</t>
        </is>
      </c>
      <c r="AG1133" s="258" t="inlineStr">
        <is>
          <t>NA</t>
        </is>
      </c>
      <c r="AH1133" s="89" t="n"/>
      <c r="AI1133" s="316" t="inlineStr">
        <is>
          <t>La donnée est obligatoire si le type de risque [P2 2.0] = 'TREXXX'</t>
        </is>
      </c>
      <c r="AJ1133" s="317" t="inlineStr">
        <is>
          <t>The data is mandatory if risk type [P2 2.0] = 'TREXXX'</t>
        </is>
      </c>
      <c r="AK1133" s="257" t="n">
        <v>6</v>
      </c>
      <c r="AL1133" s="335" t="inlineStr">
        <is>
          <t>TPS1756</t>
        </is>
      </c>
      <c r="AM1133" s="318" t="n"/>
      <c r="AN1133" s="317" t="n"/>
      <c r="AO1133" s="257" t="n"/>
      <c r="AP1133" s="258" t="n"/>
      <c r="AQ1133" s="322" t="inlineStr">
        <is>
          <t>Si renseignée, la donnée doit être positive (supérieure ou égale à 0)</t>
        </is>
      </c>
      <c r="AR1133" s="317" t="inlineStr">
        <is>
          <t xml:space="preserve">If filled, data must be positive (greater or equal to 0) </t>
        </is>
      </c>
      <c r="AS1133" s="257" t="n">
        <v>7</v>
      </c>
      <c r="AT1133" s="345" t="inlineStr">
        <is>
          <t>TVG0001</t>
        </is>
      </c>
      <c r="AU1133" s="318" t="n"/>
      <c r="AV1133" s="317" t="n"/>
      <c r="AW1133" s="257" t="n"/>
      <c r="AX1133" s="258" t="n"/>
      <c r="AY1133" s="318" t="n"/>
      <c r="AZ1133" s="317" t="n"/>
      <c r="BA1133" s="257" t="n"/>
      <c r="BB1133" s="258" t="n"/>
      <c r="BC1133" s="316" t="n"/>
      <c r="BD1133" s="317" t="n"/>
      <c r="BE1133" s="257" t="n"/>
      <c r="BF1133" s="258" t="n"/>
      <c r="BG1133" s="89" t="n"/>
      <c r="BH11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33">
        <f>_xlfn.LET(r,ROW(),oc,INDEX($A:$A,r),cv,TRIM(INDEX($Y:$Y,r)&amp;""),IF(oc&lt;&gt;"P1","",IF(cv="45","V45 - novo, nao alimentado pelo spool atual","V44 - alimentado pelo spool atual")))</f>
        <v/>
      </c>
    </row>
    <row r="1134" ht="54" customFormat="1" customHeight="1" s="90">
      <c r="A1134" s="306" t="inlineStr">
        <is>
          <t>P2</t>
        </is>
      </c>
      <c r="B1134" s="307" t="n">
        <v>237</v>
      </c>
      <c r="C1134" s="269" t="inlineStr">
        <is>
          <t>03 - Caractéristiques Générales</t>
        </is>
      </c>
      <c r="D1134" s="310" t="inlineStr">
        <is>
          <t>03 - General characteristics</t>
        </is>
      </c>
      <c r="E1134" s="372" t="inlineStr">
        <is>
          <t>P2 31.18</t>
        </is>
      </c>
      <c r="F1134" s="308" t="inlineStr">
        <is>
          <t>Durée totale du prêt à date</t>
        </is>
      </c>
      <c r="G1134" s="309" t="inlineStr">
        <is>
          <t>Total duration of loan on date</t>
        </is>
      </c>
      <c r="H1134" s="309" t="n"/>
      <c r="I1134" s="308" t="inlineStr">
        <is>
          <t>Durée totale (en mois) d'amortissement du prêt à la date d'arrêté</t>
        </is>
      </c>
      <c r="J1134" s="309" t="inlineStr">
        <is>
          <t>Total amortisation duration (months) of loan at closing date</t>
        </is>
      </c>
      <c r="K1134" s="370" t="inlineStr">
        <is>
          <t>ND</t>
        </is>
      </c>
      <c r="L1134" s="371" t="inlineStr">
        <is>
          <t>ND</t>
        </is>
      </c>
      <c r="M1134" s="1420" t="inlineStr">
        <is>
          <t>nbDureeTot</t>
        </is>
      </c>
      <c r="N1134" s="257" t="inlineStr">
        <is>
          <t>Obligatoire sous conditions</t>
        </is>
      </c>
      <c r="O1134" s="236" t="inlineStr">
        <is>
          <t>Mandatory under conditions</t>
        </is>
      </c>
      <c r="P1134" s="269" t="inlineStr">
        <is>
          <t>NA</t>
        </is>
      </c>
      <c r="Q1134" s="269" t="inlineStr">
        <is>
          <t>NA</t>
        </is>
      </c>
      <c r="R1134" s="241" t="inlineStr">
        <is>
          <t>La durée totale du prêt à date correspond bien à la maturité totale du prêt (du début à la fin du prêt)
En l'absence de modification des conditions du prêt, ce champ sera égal à la durée initiale</t>
        </is>
      </c>
      <c r="S1134" s="233" t="inlineStr">
        <is>
          <t>The total duration of loan on date corresponds to the total maturity of the loan (from the start to the end of the loan)
In the absence of modification of the loan conditions, this field will be equal to the initial duration</t>
        </is>
      </c>
      <c r="T1134" s="307" t="inlineStr">
        <is>
          <t>NUM</t>
        </is>
      </c>
      <c r="U1134" s="237" t="inlineStr">
        <is>
          <t>6 dont signe</t>
        </is>
      </c>
      <c r="V1134" s="238" t="inlineStr">
        <is>
          <t>6 including sign</t>
        </is>
      </c>
      <c r="W1134" s="257" t="n">
        <v>6</v>
      </c>
      <c r="X1134" s="945" t="inlineStr">
        <is>
          <t>NA</t>
        </is>
      </c>
      <c r="Y1134" s="237" t="n">
        <v>43</v>
      </c>
      <c r="Z1134" s="237" t="inlineStr">
        <is>
          <t>NA</t>
        </is>
      </c>
      <c r="AA1134" s="239" t="inlineStr">
        <is>
          <t>NA</t>
        </is>
      </c>
      <c r="AB1134" s="269" t="inlineStr">
        <is>
          <t>ASTRE, OCTROI DE CREDIT, PALMA</t>
        </is>
      </c>
      <c r="AC1134" s="231" t="inlineStr">
        <is>
          <t>ND</t>
        </is>
      </c>
      <c r="AD1134" s="257" t="inlineStr">
        <is>
          <t>N</t>
        </is>
      </c>
      <c r="AE1134" s="257" t="inlineStr">
        <is>
          <t>NA</t>
        </is>
      </c>
      <c r="AF1134" s="257" t="inlineStr">
        <is>
          <t>NA</t>
        </is>
      </c>
      <c r="AG1134" s="258" t="inlineStr">
        <is>
          <t>NA</t>
        </is>
      </c>
      <c r="AH1134" s="89" t="n"/>
      <c r="AI1134" s="316" t="inlineStr">
        <is>
          <t>La donnée est obligatoire si le type de risque [P2 2.0] = 'TREXXX'</t>
        </is>
      </c>
      <c r="AJ1134" s="317" t="inlineStr">
        <is>
          <t>The data is mandatory if risk type [P2 2.0] = 'TREXXX'</t>
        </is>
      </c>
      <c r="AK1134" s="257" t="n">
        <v>6</v>
      </c>
      <c r="AL1134" s="335" t="inlineStr">
        <is>
          <t>TPS1756</t>
        </is>
      </c>
      <c r="AM1134" s="318" t="n"/>
      <c r="AN1134" s="317" t="n"/>
      <c r="AO1134" s="257" t="n"/>
      <c r="AP1134" s="258" t="n"/>
      <c r="AQ1134" s="322" t="inlineStr">
        <is>
          <t>Si renseignée, la donnée doit être positive (supérieure ou égale à 0)</t>
        </is>
      </c>
      <c r="AR1134" s="317" t="inlineStr">
        <is>
          <t xml:space="preserve">If filled, data must be positive (greater or equal to 0) </t>
        </is>
      </c>
      <c r="AS1134" s="257" t="n">
        <v>7</v>
      </c>
      <c r="AT1134" s="345" t="inlineStr">
        <is>
          <t>TVG0001</t>
        </is>
      </c>
      <c r="AU1134" s="318" t="n"/>
      <c r="AV1134" s="317" t="n"/>
      <c r="AW1134" s="257" t="n"/>
      <c r="AX1134" s="258" t="n"/>
      <c r="AY1134" s="318" t="n"/>
      <c r="AZ1134" s="317" t="n"/>
      <c r="BA1134" s="257" t="n"/>
      <c r="BB1134" s="258" t="n"/>
      <c r="BC1134" s="316" t="n"/>
      <c r="BD1134" s="317" t="n"/>
      <c r="BE1134" s="257" t="n"/>
      <c r="BF1134" s="258" t="n"/>
      <c r="BG1134" s="89" t="n"/>
      <c r="BH11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34">
        <f>_xlfn.LET(r,ROW(),oc,INDEX($A:$A,r),cv,TRIM(INDEX($Y:$Y,r)&amp;""),IF(oc&lt;&gt;"P1","",IF(cv="45","V45 - novo, nao alimentado pelo spool atual","V44 - alimentado pelo spool atual")))</f>
        <v/>
      </c>
    </row>
    <row r="1135" ht="54" customFormat="1" customHeight="1" s="90">
      <c r="A1135" s="306" t="inlineStr">
        <is>
          <t>P2</t>
        </is>
      </c>
      <c r="B1135" s="307" t="n">
        <v>238</v>
      </c>
      <c r="C1135" s="269" t="inlineStr">
        <is>
          <t>03 - Caractéristiques Générales</t>
        </is>
      </c>
      <c r="D1135" s="310" t="inlineStr">
        <is>
          <t>03 - General characteristics</t>
        </is>
      </c>
      <c r="E1135" s="372" t="inlineStr">
        <is>
          <t>P2 31.19</t>
        </is>
      </c>
      <c r="F1135" s="308" t="inlineStr">
        <is>
          <t>Durée de la période d'anticipation à date d'arrêté</t>
        </is>
      </c>
      <c r="G1135" s="309" t="inlineStr">
        <is>
          <t>Duration of the anticipation period at closing date</t>
        </is>
      </c>
      <c r="H1135" s="309" t="n"/>
      <c r="I1135" s="308" t="inlineStr">
        <is>
          <t>La durée de la période d'anticipation (en mois) théorique ou réelle en fonction de l'état d'amortissement du prêt. Correspond à la durée entre la date du premier versement par la banque et la date de première échéance</t>
        </is>
      </c>
      <c r="J1135" s="309" t="inlineStr">
        <is>
          <t>The duration of the anticipation period (in months), theoretical or real depending on the amortization status of the loan. Corresponds to the duration between the date of the first payment by the bank and the date of first repayment</t>
        </is>
      </c>
      <c r="K1135" s="370" t="inlineStr">
        <is>
          <t>ND</t>
        </is>
      </c>
      <c r="L1135" s="371" t="inlineStr">
        <is>
          <t>ND</t>
        </is>
      </c>
      <c r="M1135" s="1420" t="inlineStr">
        <is>
          <t>DurReelPeriAnti</t>
        </is>
      </c>
      <c r="N1135" s="257" t="inlineStr">
        <is>
          <t>Obligatoire sous conditions</t>
        </is>
      </c>
      <c r="O1135" s="236" t="inlineStr">
        <is>
          <t>Mandatory under conditions</t>
        </is>
      </c>
      <c r="P1135" s="269" t="inlineStr">
        <is>
          <t>NA</t>
        </is>
      </c>
      <c r="Q1135" s="269" t="inlineStr">
        <is>
          <t>NA</t>
        </is>
      </c>
      <c r="R1135" s="241" t="inlineStr">
        <is>
          <t>Exprimé en nombre de mois
Uniquement pour le crédit immobilier</t>
        </is>
      </c>
      <c r="S1135" s="233" t="inlineStr">
        <is>
          <t>Expressed in number of months
Only for the real estate credit</t>
        </is>
      </c>
      <c r="T1135" s="307" t="inlineStr">
        <is>
          <t>NUM</t>
        </is>
      </c>
      <c r="U1135" s="237" t="inlineStr">
        <is>
          <t>6 dont signe</t>
        </is>
      </c>
      <c r="V1135" s="238" t="inlineStr">
        <is>
          <t>6 including sign</t>
        </is>
      </c>
      <c r="W1135" s="257" t="n">
        <v>6</v>
      </c>
      <c r="X1135" s="945" t="inlineStr">
        <is>
          <t>NA</t>
        </is>
      </c>
      <c r="Y1135" s="237" t="n">
        <v>43</v>
      </c>
      <c r="Z1135" s="237" t="inlineStr">
        <is>
          <t>NA</t>
        </is>
      </c>
      <c r="AA1135" s="270" t="inlineStr">
        <is>
          <t>NA</t>
        </is>
      </c>
      <c r="AB1135" s="269" t="inlineStr">
        <is>
          <t>OCTROI DE CREDIT</t>
        </is>
      </c>
      <c r="AC1135" s="231" t="inlineStr">
        <is>
          <t>ND</t>
        </is>
      </c>
      <c r="AD1135" s="257" t="inlineStr">
        <is>
          <t>N</t>
        </is>
      </c>
      <c r="AE1135" s="257" t="inlineStr">
        <is>
          <t>NA</t>
        </is>
      </c>
      <c r="AF1135" s="257" t="inlineStr">
        <is>
          <t>NA</t>
        </is>
      </c>
      <c r="AG1135" s="258" t="inlineStr">
        <is>
          <t>NA</t>
        </is>
      </c>
      <c r="AH1135" s="89" t="n"/>
      <c r="AI1135" s="619" t="inlineStr">
        <is>
          <t>La donnée est obligatoire si le type de risque [P2 2.0] = 'TREXXX' et si la donnée usage du bien immobilier financé [P2 8.13] est différente de '0'</t>
        </is>
      </c>
      <c r="AJ1135" s="317" t="inlineStr">
        <is>
          <t>The data is mandatory if the type of risk [P2 2.0] = 'TREXXX' and if the use of financed property [P2 8.13] is different from '0'</t>
        </is>
      </c>
      <c r="AK1135" s="257" t="n">
        <v>5</v>
      </c>
      <c r="AL1135" s="530" t="inlineStr">
        <is>
          <t>TPS1757</t>
        </is>
      </c>
      <c r="AM1135" s="318" t="n"/>
      <c r="AN1135" s="317" t="n"/>
      <c r="AO1135" s="257" t="n"/>
      <c r="AP1135" s="258" t="n"/>
      <c r="AQ1135" s="322" t="inlineStr">
        <is>
          <t>Si renseignée, la donnée doit être positive (supérieure ou égale à 0)</t>
        </is>
      </c>
      <c r="AR1135" s="317" t="inlineStr">
        <is>
          <t xml:space="preserve">If filled, data must be positive (greater or equal to 0) </t>
        </is>
      </c>
      <c r="AS1135" s="257" t="n">
        <v>7</v>
      </c>
      <c r="AT1135" s="345" t="inlineStr">
        <is>
          <t>TVG0001</t>
        </is>
      </c>
      <c r="AU1135" s="318" t="n"/>
      <c r="AV1135" s="317" t="n"/>
      <c r="AW1135" s="257" t="n"/>
      <c r="AX1135" s="258" t="n"/>
      <c r="AY1135" s="318" t="n"/>
      <c r="AZ1135" s="317" t="n"/>
      <c r="BA1135" s="257" t="n"/>
      <c r="BB1135" s="258" t="n"/>
      <c r="BC1135" s="316" t="n"/>
      <c r="BD1135" s="317" t="n"/>
      <c r="BE1135" s="257" t="n"/>
      <c r="BF1135" s="258" t="n"/>
      <c r="BG1135" s="89" t="n"/>
      <c r="BH11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35">
        <f>_xlfn.LET(r,ROW(),oc,INDEX($A:$A,r),cv,TRIM(INDEX($Y:$Y,r)&amp;""),IF(oc&lt;&gt;"P1","",IF(cv="45","V45 - novo, nao alimentado pelo spool atual","V44 - alimentado pelo spool atual")))</f>
        <v/>
      </c>
    </row>
    <row r="1136" ht="54" customFormat="1" customHeight="1" s="90">
      <c r="A1136" s="306" t="inlineStr">
        <is>
          <t>P2</t>
        </is>
      </c>
      <c r="B1136" s="307" t="n">
        <v>239</v>
      </c>
      <c r="C1136" s="269" t="inlineStr">
        <is>
          <t>03 - Caractéristiques Générales</t>
        </is>
      </c>
      <c r="D1136" s="310" t="inlineStr">
        <is>
          <t>03 - General characteristics</t>
        </is>
      </c>
      <c r="E1136" s="372" t="inlineStr">
        <is>
          <t>P2 31.20</t>
        </is>
      </c>
      <c r="F1136" s="308" t="inlineStr">
        <is>
          <t xml:space="preserve">Méthode de valorisation du bien </t>
        </is>
      </c>
      <c r="G1136" s="309" t="inlineStr">
        <is>
          <t>Valuation method of the property</t>
        </is>
      </c>
      <c r="H1136" s="309" t="n"/>
      <c r="I1136" s="241" t="inlineStr">
        <is>
          <t>Indique la méthode utilisée pour la valorisation ou la revalorisation du bien</t>
        </is>
      </c>
      <c r="J1136" s="309" t="inlineStr">
        <is>
          <t>Indicates the method used for the valuation or revaluation of the property</t>
        </is>
      </c>
      <c r="K1136" s="370" t="inlineStr">
        <is>
          <t>ND</t>
        </is>
      </c>
      <c r="L1136" s="371" t="inlineStr">
        <is>
          <t>ND</t>
        </is>
      </c>
      <c r="M1136" s="1420" t="inlineStr">
        <is>
          <t>cdMetRev</t>
        </is>
      </c>
      <c r="N1136" s="597" t="inlineStr">
        <is>
          <t>Facultatif</t>
        </is>
      </c>
      <c r="O1136" s="236" t="inlineStr">
        <is>
          <t>Optional</t>
        </is>
      </c>
      <c r="P1136" s="269" t="inlineStr">
        <is>
          <t>LC.0057</t>
        </is>
      </c>
      <c r="Q1136" s="269" t="inlineStr">
        <is>
          <t>TA KVVALOR</t>
        </is>
      </c>
      <c r="R1136" s="241" t="inlineStr">
        <is>
          <t>NA</t>
        </is>
      </c>
      <c r="S1136" s="233" t="inlineStr">
        <is>
          <t>NA</t>
        </is>
      </c>
      <c r="T1136" s="313" t="inlineStr">
        <is>
          <t>ALPHA</t>
        </is>
      </c>
      <c r="U1136" s="237" t="inlineStr">
        <is>
          <t>NA</t>
        </is>
      </c>
      <c r="V1136" s="238" t="inlineStr">
        <is>
          <t>NA</t>
        </is>
      </c>
      <c r="W1136" s="257" t="n">
        <v>1</v>
      </c>
      <c r="X1136" s="945" t="inlineStr">
        <is>
          <t>NA</t>
        </is>
      </c>
      <c r="Y1136" s="237" t="n">
        <v>43</v>
      </c>
      <c r="Z1136" s="237" t="inlineStr">
        <is>
          <t>NA</t>
        </is>
      </c>
      <c r="AA1136" s="270" t="inlineStr">
        <is>
          <t>NA</t>
        </is>
      </c>
      <c r="AB1136" s="269" t="inlineStr">
        <is>
          <t>OCTROI DE CREDIT</t>
        </is>
      </c>
      <c r="AC1136" s="231" t="inlineStr">
        <is>
          <t>ND</t>
        </is>
      </c>
      <c r="AD1136" s="257" t="inlineStr">
        <is>
          <t>N</t>
        </is>
      </c>
      <c r="AE1136" s="257" t="inlineStr">
        <is>
          <t>NA</t>
        </is>
      </c>
      <c r="AF1136" s="257" t="inlineStr">
        <is>
          <t>NA</t>
        </is>
      </c>
      <c r="AG1136" s="258" t="inlineStr">
        <is>
          <t>NA</t>
        </is>
      </c>
      <c r="AH1136" s="89" t="n"/>
      <c r="AI1136" s="619" t="n"/>
      <c r="AJ1136" s="317" t="n"/>
      <c r="AK1136" s="257" t="n"/>
      <c r="AL1136" s="617" t="n"/>
      <c r="AM1136" s="452" t="inlineStr">
        <is>
          <t>Si elle est renseignée, la valeur doit être connue du Langage Commun associé</t>
        </is>
      </c>
      <c r="AN1136" s="377" t="inlineStr">
        <is>
          <t>If specified, the value must be known to the associated Common Language</t>
        </is>
      </c>
      <c r="AO1136" s="257" t="n">
        <v>7</v>
      </c>
      <c r="AP1136" s="212" t="inlineStr">
        <is>
          <t>TIG0001</t>
        </is>
      </c>
      <c r="AQ1136" s="318" t="n"/>
      <c r="AR1136" s="317" t="n"/>
      <c r="AS1136" s="257" t="n"/>
      <c r="AT1136" s="258" t="n"/>
      <c r="AU1136" s="318" t="n"/>
      <c r="AV1136" s="317" t="n"/>
      <c r="AW1136" s="257" t="n"/>
      <c r="AX1136" s="258" t="n"/>
      <c r="AY1136" s="318" t="n"/>
      <c r="AZ1136" s="317" t="n"/>
      <c r="BA1136" s="257" t="n"/>
      <c r="BB1136" s="258" t="n"/>
      <c r="BC1136" s="316" t="n"/>
      <c r="BD1136" s="317" t="n"/>
      <c r="BE1136" s="257" t="n"/>
      <c r="BF1136" s="258" t="n"/>
      <c r="BG1136" s="89" t="n"/>
      <c r="BH11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36">
        <f>_xlfn.LET(r,ROW(),oc,INDEX($A:$A,r),cv,TRIM(INDEX($Y:$Y,r)&amp;""),IF(oc&lt;&gt;"P1","",IF(cv="45","V45 - novo, nao alimentado pelo spool atual","V44 - alimentado pelo spool atual")))</f>
        <v/>
      </c>
    </row>
    <row r="1137" ht="54" customFormat="1" customHeight="1" s="90">
      <c r="A1137" s="306" t="inlineStr">
        <is>
          <t>P2</t>
        </is>
      </c>
      <c r="B1137" s="307" t="n">
        <v>240</v>
      </c>
      <c r="C1137" s="269" t="inlineStr">
        <is>
          <t>03 - Caractéristiques Générales</t>
        </is>
      </c>
      <c r="D1137" s="310" t="inlineStr">
        <is>
          <t>03 - General characteristics</t>
        </is>
      </c>
      <c r="E1137" s="372" t="inlineStr">
        <is>
          <t>P2 31.21</t>
        </is>
      </c>
      <c r="F1137" s="308" t="inlineStr">
        <is>
          <t>Type de sécurisation à l'octroi</t>
        </is>
      </c>
      <c r="G1137" s="309" t="inlineStr">
        <is>
          <t>Type of security on grant</t>
        </is>
      </c>
      <c r="H1137" s="309" t="n"/>
      <c r="I1137" s="241" t="inlineStr">
        <is>
          <t>Indique si le contrat est sécurisé ou pas et précise la nature de la garantie principale du contrat sécurisé à l'octroi</t>
        </is>
      </c>
      <c r="J1137" s="309" t="inlineStr">
        <is>
          <t>Indicates whether the contract is secured or not and specifies the nature of the primary guarantee of the secured contract at grant</t>
        </is>
      </c>
      <c r="K1137" s="370" t="inlineStr">
        <is>
          <t>ND</t>
        </is>
      </c>
      <c r="L1137" s="371" t="inlineStr">
        <is>
          <t>ND</t>
        </is>
      </c>
      <c r="M1137" s="1420" t="inlineStr">
        <is>
          <t>cdTypeGarPrincOctroi</t>
        </is>
      </c>
      <c r="N1137" s="257" t="inlineStr">
        <is>
          <t>Obligatoire sous conditions</t>
        </is>
      </c>
      <c r="O1137" s="236" t="inlineStr">
        <is>
          <t>Mandatory under conditions</t>
        </is>
      </c>
      <c r="P1137" s="269" t="inlineStr">
        <is>
          <t>LC.0370</t>
        </is>
      </c>
      <c r="Q1137" s="269" t="inlineStr">
        <is>
          <t>TA Z8ICTSEC</t>
        </is>
      </c>
      <c r="R1137" s="241" t="inlineStr">
        <is>
          <t>NA</t>
        </is>
      </c>
      <c r="S1137" s="233" t="inlineStr">
        <is>
          <t>NA</t>
        </is>
      </c>
      <c r="T1137" s="313" t="inlineStr">
        <is>
          <t>ALPHA</t>
        </is>
      </c>
      <c r="U1137" s="237" t="inlineStr">
        <is>
          <t>NA</t>
        </is>
      </c>
      <c r="V1137" s="238" t="inlineStr">
        <is>
          <t>NA</t>
        </is>
      </c>
      <c r="W1137" s="257" t="n">
        <v>2</v>
      </c>
      <c r="X1137" s="945" t="inlineStr">
        <is>
          <t>NA</t>
        </is>
      </c>
      <c r="Y1137" s="237" t="n">
        <v>43</v>
      </c>
      <c r="Z1137" s="237" t="inlineStr">
        <is>
          <t>NA</t>
        </is>
      </c>
      <c r="AA1137" s="270" t="inlineStr">
        <is>
          <t>NA</t>
        </is>
      </c>
      <c r="AB1137" s="269" t="inlineStr">
        <is>
          <t>OCTROI DE CREDIT</t>
        </is>
      </c>
      <c r="AC1137" s="231" t="inlineStr">
        <is>
          <t>ND</t>
        </is>
      </c>
      <c r="AD1137" s="257" t="inlineStr">
        <is>
          <t>N</t>
        </is>
      </c>
      <c r="AE1137" s="257" t="inlineStr">
        <is>
          <t>NA</t>
        </is>
      </c>
      <c r="AF1137" s="257" t="inlineStr">
        <is>
          <t>NA</t>
        </is>
      </c>
      <c r="AG1137" s="258" t="inlineStr">
        <is>
          <t>NA</t>
        </is>
      </c>
      <c r="AH1137" s="89" t="n"/>
      <c r="AI1137" s="316" t="inlineStr">
        <is>
          <t>La donnée est obligatoire si le type de risque [P2 2.0] = 'TREXXX'</t>
        </is>
      </c>
      <c r="AJ1137" s="317" t="inlineStr">
        <is>
          <t>The data is mandatory if risk type [P2 2.0] = 'TREXXX'</t>
        </is>
      </c>
      <c r="AK1137" s="257" t="n">
        <v>6</v>
      </c>
      <c r="AL1137" s="335" t="inlineStr">
        <is>
          <t>TPS1756</t>
        </is>
      </c>
      <c r="AM1137" s="318" t="inlineStr">
        <is>
          <t>Si elle est renseignée, la valeur doit être connue du Langage Commun associé</t>
        </is>
      </c>
      <c r="AN1137" s="317" t="inlineStr">
        <is>
          <t>If specified, the value must be known to the associated Common Language</t>
        </is>
      </c>
      <c r="AO1137" s="257" t="n">
        <v>7</v>
      </c>
      <c r="AP1137" s="212" t="inlineStr">
        <is>
          <t>TIG0001</t>
        </is>
      </c>
      <c r="AQ1137" s="318" t="n"/>
      <c r="AR1137" s="317" t="n"/>
      <c r="AS1137" s="257" t="n"/>
      <c r="AT1137" s="258" t="n"/>
      <c r="AU1137" s="318" t="n"/>
      <c r="AV1137" s="317" t="n"/>
      <c r="AW1137" s="257" t="n"/>
      <c r="AX1137" s="258" t="n"/>
      <c r="AY1137" s="318" t="n"/>
      <c r="AZ1137" s="317" t="n"/>
      <c r="BA1137" s="257" t="n"/>
      <c r="BB1137" s="258" t="n"/>
      <c r="BC1137" s="316" t="n"/>
      <c r="BD1137" s="317" t="n"/>
      <c r="BE1137" s="257" t="n"/>
      <c r="BF1137" s="258" t="n"/>
      <c r="BG1137" s="89" t="n"/>
      <c r="BH11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37">
        <f>_xlfn.LET(r,ROW(),oc,INDEX($A:$A,r),cv,TRIM(INDEX($Y:$Y,r)&amp;""),IF(oc&lt;&gt;"P1","",IF(cv="45","V45 - novo, nao alimentado pelo spool atual","V44 - alimentado pelo spool atual")))</f>
        <v/>
      </c>
    </row>
    <row r="1138" ht="54" customFormat="1" customHeight="1" s="90">
      <c r="A1138" s="306" t="inlineStr">
        <is>
          <t>P2</t>
        </is>
      </c>
      <c r="B1138" s="307" t="n">
        <v>241</v>
      </c>
      <c r="C1138" s="269" t="inlineStr">
        <is>
          <t>03 - Caractéristiques Générales</t>
        </is>
      </c>
      <c r="D1138" s="310" t="inlineStr">
        <is>
          <t>03 - General characteristics</t>
        </is>
      </c>
      <c r="E1138" s="372" t="inlineStr">
        <is>
          <t>P2 31.22</t>
        </is>
      </c>
      <c r="F1138" s="308" t="inlineStr">
        <is>
          <t>Type de sécurisation à date</t>
        </is>
      </c>
      <c r="G1138" s="309" t="inlineStr">
        <is>
          <t>Type of security at closing date</t>
        </is>
      </c>
      <c r="H1138" s="309" t="n"/>
      <c r="I1138" s="241" t="inlineStr">
        <is>
          <t>Indique si le contrat est sécurisé ou pas et précise la nature de la garantie principale du contrat sécurisé à la date d'arrêté</t>
        </is>
      </c>
      <c r="J1138" s="309" t="inlineStr">
        <is>
          <t>Indicates whether the contract is secured or not and specifies the nature of the primary guarantee of the secured contract at the cut-off date</t>
        </is>
      </c>
      <c r="K1138" s="370" t="inlineStr">
        <is>
          <t>ND</t>
        </is>
      </c>
      <c r="L1138" s="371" t="inlineStr">
        <is>
          <t>ND</t>
        </is>
      </c>
      <c r="M1138" s="1420" t="inlineStr">
        <is>
          <t>cdTypeGarPrincDt</t>
        </is>
      </c>
      <c r="N1138" s="257" t="inlineStr">
        <is>
          <t>Obligatoire sous conditions</t>
        </is>
      </c>
      <c r="O1138" s="236" t="inlineStr">
        <is>
          <t>Mandatory under conditions</t>
        </is>
      </c>
      <c r="P1138" s="269" t="inlineStr">
        <is>
          <t>LC.0370</t>
        </is>
      </c>
      <c r="Q1138" s="269" t="inlineStr">
        <is>
          <t>TA Z8ICTSEC</t>
        </is>
      </c>
      <c r="R1138" s="241" t="inlineStr">
        <is>
          <t>NA</t>
        </is>
      </c>
      <c r="S1138" s="233" t="inlineStr">
        <is>
          <t>NA</t>
        </is>
      </c>
      <c r="T1138" s="313" t="inlineStr">
        <is>
          <t>ALPHA</t>
        </is>
      </c>
      <c r="U1138" s="237" t="inlineStr">
        <is>
          <t>NA</t>
        </is>
      </c>
      <c r="V1138" s="238" t="inlineStr">
        <is>
          <t>NA</t>
        </is>
      </c>
      <c r="W1138" s="257" t="n">
        <v>2</v>
      </c>
      <c r="X1138" s="945" t="inlineStr">
        <is>
          <t>NA</t>
        </is>
      </c>
      <c r="Y1138" s="237" t="n">
        <v>43</v>
      </c>
      <c r="Z1138" s="237" t="inlineStr">
        <is>
          <t>NA</t>
        </is>
      </c>
      <c r="AA1138" s="239" t="inlineStr">
        <is>
          <t>NA</t>
        </is>
      </c>
      <c r="AB1138" s="269" t="inlineStr">
        <is>
          <t>ASTRE, OCTROI DE CREDIT</t>
        </is>
      </c>
      <c r="AC1138" s="231" t="inlineStr">
        <is>
          <t>ND</t>
        </is>
      </c>
      <c r="AD1138" s="257" t="inlineStr">
        <is>
          <t>N</t>
        </is>
      </c>
      <c r="AE1138" s="257" t="inlineStr">
        <is>
          <t>NA</t>
        </is>
      </c>
      <c r="AF1138" s="257" t="inlineStr">
        <is>
          <t>NA</t>
        </is>
      </c>
      <c r="AG1138" s="258" t="inlineStr">
        <is>
          <t>NA</t>
        </is>
      </c>
      <c r="AH1138" s="89" t="n"/>
      <c r="AI1138" s="316" t="inlineStr">
        <is>
          <t>La donnée est obligatoire si le type de risque [P2 2.0] = 'TREXXX'</t>
        </is>
      </c>
      <c r="AJ1138" s="317" t="inlineStr">
        <is>
          <t>The data is mandatory if risk type [P2 2.0] = 'TREXXX'</t>
        </is>
      </c>
      <c r="AK1138" s="257" t="n">
        <v>6</v>
      </c>
      <c r="AL1138" s="335" t="inlineStr">
        <is>
          <t>TPS1756</t>
        </is>
      </c>
      <c r="AM1138" s="318" t="inlineStr">
        <is>
          <t>Si elle est renseignée, la valeur doit être connue du Langage Commun associé</t>
        </is>
      </c>
      <c r="AN1138" s="317" t="inlineStr">
        <is>
          <t>If specified, the value must be known to the associated Common Language</t>
        </is>
      </c>
      <c r="AO1138" s="257" t="n">
        <v>7</v>
      </c>
      <c r="AP1138" s="212" t="inlineStr">
        <is>
          <t>TIG0001</t>
        </is>
      </c>
      <c r="AQ1138" s="318" t="n"/>
      <c r="AR1138" s="317" t="n"/>
      <c r="AS1138" s="257" t="n"/>
      <c r="AT1138" s="258" t="n"/>
      <c r="AU1138" s="318" t="n"/>
      <c r="AV1138" s="317" t="n"/>
      <c r="AW1138" s="257" t="n"/>
      <c r="AX1138" s="258" t="n"/>
      <c r="AY1138" s="318" t="n"/>
      <c r="AZ1138" s="317" t="n"/>
      <c r="BA1138" s="257" t="n"/>
      <c r="BB1138" s="258" t="n"/>
      <c r="BC1138" s="316" t="n"/>
      <c r="BD1138" s="317" t="n"/>
      <c r="BE1138" s="257" t="n"/>
      <c r="BF1138" s="258" t="n"/>
      <c r="BG1138" s="89" t="n"/>
      <c r="BH11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38">
        <f>_xlfn.LET(r,ROW(),oc,INDEX($A:$A,r),cv,TRIM(INDEX($Y:$Y,r)&amp;""),IF(oc&lt;&gt;"P1","",IF(cv="45","V45 - novo, nao alimentado pelo spool atual","V44 - alimentado pelo spool atual")))</f>
        <v/>
      </c>
    </row>
    <row r="1139" ht="54" customFormat="1" customHeight="1" s="90">
      <c r="A1139" s="306" t="inlineStr">
        <is>
          <t>P2</t>
        </is>
      </c>
      <c r="B1139" s="307" t="n">
        <v>242</v>
      </c>
      <c r="C1139" s="269" t="inlineStr">
        <is>
          <t>03 - Caractéristiques Générales</t>
        </is>
      </c>
      <c r="D1139" s="310" t="inlineStr">
        <is>
          <t>03 - General characteristics</t>
        </is>
      </c>
      <c r="E1139" s="372" t="inlineStr">
        <is>
          <t>P2 31.23</t>
        </is>
      </c>
      <c r="F1139" s="308" t="inlineStr">
        <is>
          <t>Montant des fonds remis à date</t>
        </is>
      </c>
      <c r="G1139" s="309" t="inlineStr">
        <is>
          <t>Amount of funds provided to date</t>
        </is>
      </c>
      <c r="H1139" s="309" t="n"/>
      <c r="I1139" s="308" t="inlineStr">
        <is>
          <t>Montant des fonds débloqués à date d'arrêté par la banque au client depuis l'octroi du crédit, hors remboursements</t>
        </is>
      </c>
      <c r="J1139" s="309" t="inlineStr">
        <is>
          <t>Amount of funds provided on the closing date by the bank to the customer since the loan was granted, excluding reimbursements</t>
        </is>
      </c>
      <c r="K1139" s="370" t="inlineStr">
        <is>
          <t>ND</t>
        </is>
      </c>
      <c r="L1139" s="371" t="inlineStr">
        <is>
          <t>ND</t>
        </is>
      </c>
      <c r="M1139" s="1420" t="inlineStr">
        <is>
          <t>mtRemis</t>
        </is>
      </c>
      <c r="N1139" s="257" t="inlineStr">
        <is>
          <t>Obligatoire sous conditions</t>
        </is>
      </c>
      <c r="O1139" s="236" t="inlineStr">
        <is>
          <t>Mandatory under conditions</t>
        </is>
      </c>
      <c r="P1139" s="269" t="inlineStr">
        <is>
          <t>NA</t>
        </is>
      </c>
      <c r="Q1139" s="269" t="inlineStr">
        <is>
          <t>NA</t>
        </is>
      </c>
      <c r="R1139" s="241" t="inlineStr">
        <is>
          <t>NA</t>
        </is>
      </c>
      <c r="S1139" s="233" t="inlineStr">
        <is>
          <t>NA</t>
        </is>
      </c>
      <c r="T1139" s="307" t="inlineStr">
        <is>
          <t>NUM</t>
        </is>
      </c>
      <c r="U1139" s="237" t="inlineStr">
        <is>
          <t>19 dont signe et 2 décimales</t>
        </is>
      </c>
      <c r="V1139" s="238" t="inlineStr">
        <is>
          <t>19 including sign and 2 decimals</t>
        </is>
      </c>
      <c r="W1139" s="257" t="n">
        <v>19</v>
      </c>
      <c r="X1139" s="945" t="inlineStr">
        <is>
          <t>NA</t>
        </is>
      </c>
      <c r="Y1139" s="237" t="n">
        <v>43</v>
      </c>
      <c r="Z1139" s="237" t="inlineStr">
        <is>
          <t>NA</t>
        </is>
      </c>
      <c r="AA1139" s="239" t="inlineStr">
        <is>
          <t>NA</t>
        </is>
      </c>
      <c r="AB1139" s="269" t="inlineStr">
        <is>
          <t>OCTROI DE CREDIT, PALMA</t>
        </is>
      </c>
      <c r="AC1139" s="231" t="inlineStr">
        <is>
          <t>ND</t>
        </is>
      </c>
      <c r="AD1139" s="257" t="inlineStr">
        <is>
          <t>N</t>
        </is>
      </c>
      <c r="AE1139" s="257" t="inlineStr">
        <is>
          <t>NA</t>
        </is>
      </c>
      <c r="AF1139" s="257" t="inlineStr">
        <is>
          <t>NA</t>
        </is>
      </c>
      <c r="AG1139" s="258" t="inlineStr">
        <is>
          <t>NA</t>
        </is>
      </c>
      <c r="AH1139" s="89" t="n"/>
      <c r="AI1139" s="316" t="inlineStr">
        <is>
          <t>La donnée est obligatoire si le type de risque [P2 2.0] = 'TRExxx'</t>
        </is>
      </c>
      <c r="AJ1139" s="317" t="inlineStr">
        <is>
          <t>The data is mandatory if risk type [P2 2.0] = 'TREXXX'</t>
        </is>
      </c>
      <c r="AK1139" s="257" t="n">
        <v>5</v>
      </c>
      <c r="AL1139" s="335" t="inlineStr">
        <is>
          <t>TPS1756</t>
        </is>
      </c>
      <c r="AM1139" s="318" t="n"/>
      <c r="AN1139" s="317" t="n"/>
      <c r="AO1139" s="257" t="n"/>
      <c r="AP1139" s="258" t="n"/>
      <c r="AQ1139" s="322" t="inlineStr">
        <is>
          <t>Si renseignée, la donnée doit être positive (supérieure ou égale à 0)</t>
        </is>
      </c>
      <c r="AR1139" s="317" t="inlineStr">
        <is>
          <t xml:space="preserve">If filled, data must be positive (greater or equal to 0) </t>
        </is>
      </c>
      <c r="AS1139" s="257" t="n">
        <v>7</v>
      </c>
      <c r="AT1139" s="345" t="inlineStr">
        <is>
          <t>TVG0001</t>
        </is>
      </c>
      <c r="AU1139" s="318" t="n"/>
      <c r="AV1139" s="317" t="n"/>
      <c r="AW1139" s="257" t="n"/>
      <c r="AX1139" s="258" t="n"/>
      <c r="AY1139" s="318" t="n"/>
      <c r="AZ1139" s="317" t="n"/>
      <c r="BA1139" s="257" t="n"/>
      <c r="BB1139" s="258" t="n"/>
      <c r="BC1139" s="316" t="n"/>
      <c r="BD1139" s="317" t="n"/>
      <c r="BE1139" s="257" t="n"/>
      <c r="BF1139" s="258" t="n"/>
      <c r="BG1139" s="89" t="n"/>
      <c r="BH11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39">
        <f>_xlfn.LET(r,ROW(),oc,INDEX($A:$A,r),cv,TRIM(INDEX($Y:$Y,r)&amp;""),IF(oc&lt;&gt;"P1","",IF(cv="45","V45 - novo, nao alimentado pelo spool atual","V44 - alimentado pelo spool atual")))</f>
        <v/>
      </c>
    </row>
    <row r="1140" ht="54" customFormat="1" customHeight="1" s="90">
      <c r="A1140" s="306" t="inlineStr">
        <is>
          <t>P2</t>
        </is>
      </c>
      <c r="B1140" s="307" t="n">
        <v>243</v>
      </c>
      <c r="C1140" s="269" t="inlineStr">
        <is>
          <t>03 - Caractéristiques Générales</t>
        </is>
      </c>
      <c r="D1140" s="310" t="inlineStr">
        <is>
          <t>03 - General characteristics</t>
        </is>
      </c>
      <c r="E1140" s="372" t="inlineStr">
        <is>
          <t>P2 31.24</t>
        </is>
      </c>
      <c r="F1140" s="308" t="inlineStr">
        <is>
          <t>Devise du montant des fonds remis à date</t>
        </is>
      </c>
      <c r="G1140" s="309" t="inlineStr">
        <is>
          <t>Currency of amount of funds provided to date</t>
        </is>
      </c>
      <c r="H1140" s="309" t="n"/>
      <c r="I1140" s="241" t="inlineStr">
        <is>
          <t>Devise d'expression du montant des fonds remis à date</t>
        </is>
      </c>
      <c r="J1140" s="309" t="inlineStr">
        <is>
          <t>Currency of amount of funds provided to date</t>
        </is>
      </c>
      <c r="K1140" s="370" t="inlineStr">
        <is>
          <t>ND</t>
        </is>
      </c>
      <c r="L1140" s="371" t="inlineStr">
        <is>
          <t>ND</t>
        </is>
      </c>
      <c r="M1140" s="1420" t="inlineStr">
        <is>
          <t>cdDevRemis</t>
        </is>
      </c>
      <c r="N1140" s="257" t="inlineStr">
        <is>
          <t>Obligatoire sous conditions</t>
        </is>
      </c>
      <c r="O1140" s="236" t="inlineStr">
        <is>
          <t>Mandatory under conditions</t>
        </is>
      </c>
      <c r="P1140" s="269" t="inlineStr">
        <is>
          <t>LC.0005</t>
        </is>
      </c>
      <c r="Q1140" s="269" t="inlineStr">
        <is>
          <t>TA NM253</t>
        </is>
      </c>
      <c r="R1140" s="241" t="inlineStr">
        <is>
          <t>NA</t>
        </is>
      </c>
      <c r="S1140" s="233" t="inlineStr">
        <is>
          <t>NA</t>
        </is>
      </c>
      <c r="T1140" s="313" t="inlineStr">
        <is>
          <t>ALPHA</t>
        </is>
      </c>
      <c r="U1140" s="237" t="inlineStr">
        <is>
          <t>NA</t>
        </is>
      </c>
      <c r="V1140" s="238" t="inlineStr">
        <is>
          <t>NA</t>
        </is>
      </c>
      <c r="W1140" s="257" t="n">
        <v>3</v>
      </c>
      <c r="X1140" s="945" t="inlineStr">
        <is>
          <t>NA</t>
        </is>
      </c>
      <c r="Y1140" s="237" t="n">
        <v>43</v>
      </c>
      <c r="Z1140" s="237" t="inlineStr">
        <is>
          <t>NA</t>
        </is>
      </c>
      <c r="AA1140" s="239" t="inlineStr">
        <is>
          <t>NA</t>
        </is>
      </c>
      <c r="AB1140" s="269" t="inlineStr">
        <is>
          <t>OCTROI DE CREDIT, PALMA</t>
        </is>
      </c>
      <c r="AC1140" s="231" t="inlineStr">
        <is>
          <t>ND</t>
        </is>
      </c>
      <c r="AD1140" s="257" t="inlineStr">
        <is>
          <t>N</t>
        </is>
      </c>
      <c r="AE1140" s="257" t="inlineStr">
        <is>
          <t>NA</t>
        </is>
      </c>
      <c r="AF1140" s="257" t="inlineStr">
        <is>
          <t>NA</t>
        </is>
      </c>
      <c r="AG1140" s="258" t="inlineStr">
        <is>
          <t>NA</t>
        </is>
      </c>
      <c r="AH1140" s="89" t="n"/>
      <c r="AI1140" s="316" t="inlineStr">
        <is>
          <t>La donnée est obligatoire si la donnée montant des fonds remis à date [P2 31.23] est renseignée</t>
        </is>
      </c>
      <c r="AJ1140" s="317" t="inlineStr">
        <is>
          <t>The data is mandatory if the amount of funds remitted to date data [P2 31.23] is filled</t>
        </is>
      </c>
      <c r="AK1140" s="257" t="n">
        <v>7</v>
      </c>
      <c r="AL1140" s="335" t="inlineStr">
        <is>
          <t>TPG0002</t>
        </is>
      </c>
      <c r="AM1140" s="452" t="inlineStr">
        <is>
          <t>Si elle est renseignée, la valeur doit être connue du Langage Commun associé</t>
        </is>
      </c>
      <c r="AN1140" s="377" t="inlineStr">
        <is>
          <t>If specified, the value must be known to the associated Common Language</t>
        </is>
      </c>
      <c r="AO1140" s="257" t="n">
        <v>7</v>
      </c>
      <c r="AP1140" s="212" t="inlineStr">
        <is>
          <t>TIG0001</t>
        </is>
      </c>
      <c r="AQ1140" s="318" t="n"/>
      <c r="AR1140" s="317" t="n"/>
      <c r="AS1140" s="257" t="n"/>
      <c r="AT1140" s="258" t="n"/>
      <c r="AU1140" s="318" t="n"/>
      <c r="AV1140" s="317" t="n"/>
      <c r="AW1140" s="257" t="n"/>
      <c r="AX1140" s="258" t="n"/>
      <c r="AY1140" s="318" t="n"/>
      <c r="AZ1140" s="317" t="n"/>
      <c r="BA1140" s="257" t="n"/>
      <c r="BB1140" s="258" t="n"/>
      <c r="BC1140" s="316" t="n"/>
      <c r="BD1140" s="317" t="n"/>
      <c r="BE1140" s="257" t="n"/>
      <c r="BF1140" s="258" t="n"/>
      <c r="BG1140" s="89" t="n"/>
      <c r="BH11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40">
        <f>_xlfn.LET(r,ROW(),oc,INDEX($A:$A,r),cv,TRIM(INDEX($Y:$Y,r)&amp;""),IF(oc&lt;&gt;"P1","",IF(cv="45","V45 - novo, nao alimentado pelo spool atual","V44 - alimentado pelo spool atual")))</f>
        <v/>
      </c>
    </row>
    <row r="1141" ht="54" customFormat="1" customHeight="1" s="90">
      <c r="A1141" s="306" t="inlineStr">
        <is>
          <t>P2</t>
        </is>
      </c>
      <c r="B1141" s="307" t="n">
        <v>244</v>
      </c>
      <c r="C1141" s="269" t="inlineStr">
        <is>
          <t>29 - Ratio</t>
        </is>
      </c>
      <c r="D1141" s="310" t="inlineStr">
        <is>
          <t>29 - Ratio</t>
        </is>
      </c>
      <c r="E1141" s="372" t="inlineStr">
        <is>
          <t>P2 31.25</t>
        </is>
      </c>
      <c r="F1141" s="308" t="inlineStr">
        <is>
          <t>Interest Coverage Ratio (ICR) à l'octroi</t>
        </is>
      </c>
      <c r="G1141" s="309" t="inlineStr">
        <is>
          <t>Interest Coverage Ratio (ICR) on grant</t>
        </is>
      </c>
      <c r="H1141" s="309" t="n"/>
      <c r="I1141" s="241" t="inlineStr">
        <is>
          <t>Le ratio ICR (Interest Coverage Ratio) à l'octroi correspond au rapport entre l'excédent brut d'exploitation (EBE) de l'emprunteur et le coût annuel des intérêts du service total de la dette au moment du montage du prêt.
Exprimé en %</t>
        </is>
      </c>
      <c r="J1141" s="309" t="inlineStr">
        <is>
          <t>The Interest Coverage Ratio (ICR) on grant corresponds to the ratio between the borrower's gross operating surplus (GOS) and the annual interest cost of the total debt service at the time of the loan
Expressed as %</t>
        </is>
      </c>
      <c r="K1141" s="370" t="inlineStr">
        <is>
          <t>ND</t>
        </is>
      </c>
      <c r="L1141" s="371" t="inlineStr">
        <is>
          <t>ND</t>
        </is>
      </c>
      <c r="M1141" s="1420" t="inlineStr">
        <is>
          <t>txICROctroi</t>
        </is>
      </c>
      <c r="N1141" s="257" t="inlineStr">
        <is>
          <t>Obligatoire sous conditions</t>
        </is>
      </c>
      <c r="O1141" s="236" t="inlineStr">
        <is>
          <t>Mandatory under conditions</t>
        </is>
      </c>
      <c r="P1141" s="269" t="inlineStr">
        <is>
          <t>NA</t>
        </is>
      </c>
      <c r="Q1141" s="269" t="inlineStr">
        <is>
          <t>NA</t>
        </is>
      </c>
      <c r="R1141" s="241" t="inlineStr">
        <is>
          <t>Pour les prêts immobilier à usage locatif</t>
        </is>
      </c>
      <c r="S1141" s="233" t="inlineStr">
        <is>
          <t>For rental mortgage</t>
        </is>
      </c>
      <c r="T1141" s="313" t="inlineStr">
        <is>
          <t>NUM</t>
        </is>
      </c>
      <c r="U1141" s="237" t="inlineStr">
        <is>
          <t>15 dont signe et 9 décimales</t>
        </is>
      </c>
      <c r="V1141" s="238" t="inlineStr">
        <is>
          <t>15 including sign and 9 decimals</t>
        </is>
      </c>
      <c r="W1141" s="257" t="n">
        <v>15</v>
      </c>
      <c r="X1141" s="945" t="inlineStr">
        <is>
          <t>NA</t>
        </is>
      </c>
      <c r="Y1141" s="237" t="n">
        <v>43</v>
      </c>
      <c r="Z1141" s="237" t="inlineStr">
        <is>
          <t>NA</t>
        </is>
      </c>
      <c r="AA1141" s="239" t="inlineStr">
        <is>
          <t>NA</t>
        </is>
      </c>
      <c r="AB1141" s="269" t="inlineStr">
        <is>
          <t>OCTROI DE CREDIT</t>
        </is>
      </c>
      <c r="AC1141" s="231" t="inlineStr">
        <is>
          <t>ND</t>
        </is>
      </c>
      <c r="AD1141" s="257" t="inlineStr">
        <is>
          <t>N</t>
        </is>
      </c>
      <c r="AE1141" s="257" t="inlineStr">
        <is>
          <t>NA</t>
        </is>
      </c>
      <c r="AF1141" s="257" t="inlineStr">
        <is>
          <t>NA</t>
        </is>
      </c>
      <c r="AG1141" s="258" t="inlineStr">
        <is>
          <t>NA</t>
        </is>
      </c>
      <c r="AH1141" s="89" t="n"/>
      <c r="AI1141" s="316" t="inlineStr">
        <is>
          <t>La donnée est obligatoire si le type de risque [P2 2.0] = 'TREXXX' et si la donnée objet financé [P2 22.7] = '03' et si la donnée méthodologie de notation [C1 4.3] du tiers en risque ='M1 ', 'M2', 'M41', 'M43' ou 'M44'</t>
        </is>
      </c>
      <c r="AJ1141" s="317" t="inlineStr">
        <is>
          <t>The data is mandatory if Risk type [P2 2.0] = 'TREXXX' and the funded object data [P2 22.7] = '03' and the rating methodology data [C1 4.3] of the third party in risk ='M1 ', 'M2', 'M41', 'M43' or 'M44'</t>
        </is>
      </c>
      <c r="AK1141" s="257" t="n">
        <v>6</v>
      </c>
      <c r="AL1141" s="258" t="inlineStr">
        <is>
          <t>TP0583</t>
        </is>
      </c>
      <c r="AM1141" s="318" t="n"/>
      <c r="AN1141" s="317" t="n"/>
      <c r="AO1141" s="257" t="n"/>
      <c r="AP1141" s="258" t="n"/>
      <c r="AQ1141" s="318" t="n"/>
      <c r="AR1141" s="317" t="n"/>
      <c r="AS1141" s="257" t="n"/>
      <c r="AT1141" s="258" t="n"/>
      <c r="AU1141" s="318" t="n"/>
      <c r="AV1141" s="317" t="n"/>
      <c r="AW1141" s="257" t="n"/>
      <c r="AX1141" s="258" t="n"/>
      <c r="AY1141" s="318" t="n"/>
      <c r="AZ1141" s="317" t="n"/>
      <c r="BA1141" s="257" t="n"/>
      <c r="BB1141" s="258" t="n"/>
      <c r="BC1141" s="316" t="n"/>
      <c r="BD1141" s="317" t="n"/>
      <c r="BE1141" s="257" t="n"/>
      <c r="BF1141" s="258" t="n"/>
      <c r="BG1141" s="89" t="n"/>
      <c r="BH11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41">
        <f>_xlfn.LET(r,ROW(),oc,INDEX($A:$A,r),cv,TRIM(INDEX($Y:$Y,r)&amp;""),IF(oc&lt;&gt;"P1","",IF(cv="45","V45 - novo, nao alimentado pelo spool atual","V44 - alimentado pelo spool atual")))</f>
        <v/>
      </c>
    </row>
    <row r="1142" ht="54" customFormat="1" customHeight="1" s="90">
      <c r="A1142" s="306" t="inlineStr">
        <is>
          <t>P2</t>
        </is>
      </c>
      <c r="B1142" s="307" t="n">
        <v>245</v>
      </c>
      <c r="C1142" s="269" t="inlineStr">
        <is>
          <t>29 - Ratio</t>
        </is>
      </c>
      <c r="D1142" s="310" t="inlineStr">
        <is>
          <t>29 - Ratio</t>
        </is>
      </c>
      <c r="E1142" s="372" t="inlineStr">
        <is>
          <t>P2 31.26</t>
        </is>
      </c>
      <c r="F1142" s="308" t="inlineStr">
        <is>
          <t>Loan-to-rent ratio (LTR) à l'octroi</t>
        </is>
      </c>
      <c r="G1142" s="309" t="inlineStr">
        <is>
          <t>Loan-to-rent ratio (LTR) on grant</t>
        </is>
      </c>
      <c r="H1142" s="309" t="n"/>
      <c r="I1142" s="241" t="inlineStr">
        <is>
          <t>Correspond au ratio initial : valeur du montant du prêt sur le revenu locatif annuel
Exprimé en %</t>
        </is>
      </c>
      <c r="J1142" s="309" t="inlineStr">
        <is>
          <t>Corresponds to the initial ratio: value of the loan amount to annual rental income
Expressed as %</t>
        </is>
      </c>
      <c r="K1142" s="370" t="inlineStr">
        <is>
          <t>ND</t>
        </is>
      </c>
      <c r="L1142" s="371" t="inlineStr">
        <is>
          <t>ND</t>
        </is>
      </c>
      <c r="M1142" s="1420" t="inlineStr">
        <is>
          <t>txLTROctroi</t>
        </is>
      </c>
      <c r="N1142" s="257" t="inlineStr">
        <is>
          <t>Obligatoire sous conditions</t>
        </is>
      </c>
      <c r="O1142" s="236" t="inlineStr">
        <is>
          <t>Mandatory under conditions</t>
        </is>
      </c>
      <c r="P1142" s="269" t="inlineStr">
        <is>
          <t>NA</t>
        </is>
      </c>
      <c r="Q1142" s="269" t="inlineStr">
        <is>
          <t>NA</t>
        </is>
      </c>
      <c r="R1142" s="241" t="inlineStr">
        <is>
          <t>Pour les prêts immobilier à usage locatif</t>
        </is>
      </c>
      <c r="S1142" s="233" t="inlineStr">
        <is>
          <t>For rental mortgage</t>
        </is>
      </c>
      <c r="T1142" s="313" t="inlineStr">
        <is>
          <t>NUM</t>
        </is>
      </c>
      <c r="U1142" s="237" t="inlineStr">
        <is>
          <t>15 dont signe et 9 décimales</t>
        </is>
      </c>
      <c r="V1142" s="238" t="inlineStr">
        <is>
          <t>15 including sign and 9 decimals</t>
        </is>
      </c>
      <c r="W1142" s="257" t="n">
        <v>15</v>
      </c>
      <c r="X1142" s="945" t="inlineStr">
        <is>
          <t>NA</t>
        </is>
      </c>
      <c r="Y1142" s="237" t="n">
        <v>43</v>
      </c>
      <c r="Z1142" s="237" t="inlineStr">
        <is>
          <t>NA</t>
        </is>
      </c>
      <c r="AA1142" s="270" t="inlineStr">
        <is>
          <t>NA</t>
        </is>
      </c>
      <c r="AB1142" s="269" t="inlineStr">
        <is>
          <t>OCTROI DE CREDIT</t>
        </is>
      </c>
      <c r="AC1142" s="231" t="inlineStr">
        <is>
          <t>ND</t>
        </is>
      </c>
      <c r="AD1142" s="257" t="inlineStr">
        <is>
          <t>N</t>
        </is>
      </c>
      <c r="AE1142" s="257" t="inlineStr">
        <is>
          <t>NA</t>
        </is>
      </c>
      <c r="AF1142" s="257" t="inlineStr">
        <is>
          <t>NA</t>
        </is>
      </c>
      <c r="AG1142" s="258" t="inlineStr">
        <is>
          <t>NA</t>
        </is>
      </c>
      <c r="AH1142" s="89" t="n"/>
      <c r="AI1142" s="316" t="inlineStr">
        <is>
          <t>La donnée est obligatoire si le type de risque [P2 2.0] = 'TREXXX' et si la donnée objet financé [P2 22.7] = '03' et si la donnée méthodologie de notation [C1 4.3] du tiers en risque ='M1 ', 'M2', 'M41', 'M43' ou 'M44'</t>
        </is>
      </c>
      <c r="AJ1142" s="317" t="inlineStr">
        <is>
          <t>The data is mandatory if Risk type [P2 2.0] = 'TREXXX' and the funded object data [P2 22.7] = '03' and the rating methodology data [C1 4.3] of the third party in risk ='M1 ', 'M2', 'M41', 'M43' or 'M44'</t>
        </is>
      </c>
      <c r="AK1142" s="257" t="n">
        <v>6</v>
      </c>
      <c r="AL1142" s="258" t="inlineStr">
        <is>
          <t>TP0583</t>
        </is>
      </c>
      <c r="AM1142" s="318" t="n"/>
      <c r="AN1142" s="317" t="n"/>
      <c r="AO1142" s="257" t="n"/>
      <c r="AP1142" s="258" t="n"/>
      <c r="AQ1142" s="318" t="n"/>
      <c r="AR1142" s="317" t="n"/>
      <c r="AS1142" s="257" t="n"/>
      <c r="AT1142" s="258" t="n"/>
      <c r="AU1142" s="318" t="n"/>
      <c r="AV1142" s="317" t="n"/>
      <c r="AW1142" s="257" t="n"/>
      <c r="AX1142" s="258" t="n"/>
      <c r="AY1142" s="318" t="n"/>
      <c r="AZ1142" s="317" t="n"/>
      <c r="BA1142" s="257" t="n"/>
      <c r="BB1142" s="258" t="n"/>
      <c r="BC1142" s="316" t="n"/>
      <c r="BD1142" s="317" t="n"/>
      <c r="BE1142" s="257" t="n"/>
      <c r="BF1142" s="258" t="n"/>
      <c r="BG1142" s="89" t="n"/>
      <c r="BH11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42">
        <f>_xlfn.LET(r,ROW(),oc,INDEX($A:$A,r),cv,TRIM(INDEX($Y:$Y,r)&amp;""),IF(oc&lt;&gt;"P1","",IF(cv="45","V45 - novo, nao alimentado pelo spool atual","V44 - alimentado pelo spool atual")))</f>
        <v/>
      </c>
    </row>
    <row r="1143" ht="54" customFormat="1" customHeight="1" s="55">
      <c r="A1143" s="325" t="inlineStr">
        <is>
          <t>P2</t>
        </is>
      </c>
      <c r="B1143" s="326" t="n">
        <v>246</v>
      </c>
      <c r="C1143" s="284" t="inlineStr">
        <is>
          <t>03 - Caractéristiques Générales</t>
        </is>
      </c>
      <c r="D1143" s="284" t="inlineStr">
        <is>
          <t>03 - General characteristics</t>
        </is>
      </c>
      <c r="E1143" s="326" t="inlineStr">
        <is>
          <t>P2 31.27</t>
        </is>
      </c>
      <c r="F1143" s="327" t="inlineStr">
        <is>
          <t>LSTI à l'octroi</t>
        </is>
      </c>
      <c r="G1143" s="327" t="inlineStr">
        <is>
          <t>LSTI on grant</t>
        </is>
      </c>
      <c r="H1143" s="327" t="n"/>
      <c r="I1143" s="245" t="inlineStr">
        <is>
          <t>Le taux LSTI (Loan-Service-To Income ratio) à l'octroi correspond au taux d'endettement lié au prêt non global
Pour les crédits aux particuliers</t>
        </is>
      </c>
      <c r="J1143" s="245" t="inlineStr">
        <is>
          <t xml:space="preserve">The LSTI (Loan-Service-To-Income ratio at origination) rate corresponds to the debt ratio linked to the loan at issue.
For loans to individuals.
</t>
        </is>
      </c>
      <c r="K1143" s="284" t="inlineStr">
        <is>
          <t>NA</t>
        </is>
      </c>
      <c r="L1143" s="284" t="inlineStr">
        <is>
          <t>NA</t>
        </is>
      </c>
      <c r="M1143" s="1421" t="inlineStr">
        <is>
          <t>txLSTIOctroi</t>
        </is>
      </c>
      <c r="N1143" s="284" t="inlineStr">
        <is>
          <t>NA</t>
        </is>
      </c>
      <c r="O1143" s="284" t="inlineStr">
        <is>
          <t>NA</t>
        </is>
      </c>
      <c r="P1143" s="284" t="inlineStr">
        <is>
          <t>NA</t>
        </is>
      </c>
      <c r="Q1143" s="284" t="inlineStr">
        <is>
          <t>NA</t>
        </is>
      </c>
      <c r="R1143" s="245" t="inlineStr">
        <is>
          <t>NA</t>
        </is>
      </c>
      <c r="S1143" s="245" t="inlineStr">
        <is>
          <t>NA</t>
        </is>
      </c>
      <c r="T1143" s="326" t="inlineStr">
        <is>
          <t>NUM</t>
        </is>
      </c>
      <c r="U1143" s="248" t="inlineStr">
        <is>
          <t>15 dont signe et 9 décimales</t>
        </is>
      </c>
      <c r="V1143" s="248" t="inlineStr">
        <is>
          <t>15 including sign and 9 decimals</t>
        </is>
      </c>
      <c r="W1143" s="284" t="n">
        <v>15</v>
      </c>
      <c r="X1143" s="244" t="inlineStr">
        <is>
          <t>NA</t>
        </is>
      </c>
      <c r="Y1143" s="248" t="n">
        <v>43</v>
      </c>
      <c r="Z1143" s="248" t="n">
        <v>43</v>
      </c>
      <c r="AA1143" s="248" t="inlineStr">
        <is>
          <t>NA</t>
        </is>
      </c>
      <c r="AB1143" s="284" t="inlineStr">
        <is>
          <t>NA</t>
        </is>
      </c>
      <c r="AC1143" s="244" t="inlineStr">
        <is>
          <t>NA</t>
        </is>
      </c>
      <c r="AD1143" s="284" t="inlineStr">
        <is>
          <t>N</t>
        </is>
      </c>
      <c r="AE1143" s="284" t="inlineStr">
        <is>
          <t>NA</t>
        </is>
      </c>
      <c r="AF1143" s="284" t="inlineStr">
        <is>
          <t>NA</t>
        </is>
      </c>
      <c r="AG1143" s="285" t="inlineStr">
        <is>
          <t>NA</t>
        </is>
      </c>
      <c r="AH1143" s="89" t="n"/>
      <c r="AI1143" s="330" t="n"/>
      <c r="AJ1143" s="331" t="n"/>
      <c r="AK1143" s="284" t="n"/>
      <c r="AL1143" s="285" t="n"/>
      <c r="AM1143" s="331" t="n"/>
      <c r="AN1143" s="331" t="n"/>
      <c r="AO1143" s="284" t="n"/>
      <c r="AP1143" s="285" t="n"/>
      <c r="AQ1143" s="331" t="n"/>
      <c r="AR1143" s="331" t="n"/>
      <c r="AS1143" s="284" t="n"/>
      <c r="AT1143" s="285" t="n"/>
      <c r="AU1143" s="331" t="n"/>
      <c r="AV1143" s="331" t="n"/>
      <c r="AW1143" s="284" t="n"/>
      <c r="AX1143" s="285" t="n"/>
      <c r="AY1143" s="331" t="n"/>
      <c r="AZ1143" s="331" t="n"/>
      <c r="BA1143" s="284" t="n"/>
      <c r="BB1143" s="285" t="n"/>
      <c r="BC1143" s="330" t="n"/>
      <c r="BD1143" s="331" t="n"/>
      <c r="BE1143" s="284" t="n"/>
      <c r="BF1143" s="285" t="n"/>
      <c r="BG1143" s="89" t="n"/>
      <c r="BH11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43">
        <f>_xlfn.LET(r,ROW(),oc,INDEX($A:$A,r),cv,TRIM(INDEX($Y:$Y,r)&amp;""),IF(oc&lt;&gt;"P1","",IF(cv="45","V45 - novo, nao alimentado pelo spool atual","V44 - alimentado pelo spool atual")))</f>
        <v/>
      </c>
    </row>
    <row r="1144" ht="54" customFormat="1" customHeight="1" s="55">
      <c r="A1144" s="325" t="inlineStr">
        <is>
          <t>P2</t>
        </is>
      </c>
      <c r="B1144" s="326" t="n">
        <v>247</v>
      </c>
      <c r="C1144" s="284" t="inlineStr">
        <is>
          <t>03 - Caractéristiques Générales</t>
        </is>
      </c>
      <c r="D1144" s="284" t="inlineStr">
        <is>
          <t>03 - General characteristics</t>
        </is>
      </c>
      <c r="E1144" s="326" t="inlineStr">
        <is>
          <t>P2 31.28</t>
        </is>
      </c>
      <c r="F1144" s="327" t="inlineStr">
        <is>
          <t>DSTI à l'octroi</t>
        </is>
      </c>
      <c r="G1144" s="327" t="inlineStr">
        <is>
          <t>DSTI on grant</t>
        </is>
      </c>
      <c r="H1144" s="327" t="n"/>
      <c r="I1144" s="245" t="inlineStr">
        <is>
          <t>Le taux DSTI à l'octroi (Debt-Service To Income ratio) à l'octroi correspond au taux d'endettement global.
Pour les crédits aux particuliers</t>
        </is>
      </c>
      <c r="J1144" s="245" t="inlineStr">
        <is>
          <t>NA</t>
        </is>
      </c>
      <c r="K1144" s="284" t="inlineStr">
        <is>
          <t>NA</t>
        </is>
      </c>
      <c r="L1144" s="284" t="inlineStr">
        <is>
          <t>NA</t>
        </is>
      </c>
      <c r="M1144" s="1421" t="inlineStr">
        <is>
          <t>txDSTIOctroi</t>
        </is>
      </c>
      <c r="N1144" s="284" t="inlineStr">
        <is>
          <t>NA</t>
        </is>
      </c>
      <c r="O1144" s="284" t="inlineStr">
        <is>
          <t>NA</t>
        </is>
      </c>
      <c r="P1144" s="284" t="inlineStr">
        <is>
          <t>NA</t>
        </is>
      </c>
      <c r="Q1144" s="284" t="inlineStr">
        <is>
          <t>NA</t>
        </is>
      </c>
      <c r="R1144" s="245" t="inlineStr">
        <is>
          <t>NA</t>
        </is>
      </c>
      <c r="S1144" s="245" t="inlineStr">
        <is>
          <t>NA</t>
        </is>
      </c>
      <c r="T1144" s="326" t="inlineStr">
        <is>
          <t>NUM</t>
        </is>
      </c>
      <c r="U1144" s="248" t="inlineStr">
        <is>
          <t>15 dont signe et 9 décimales</t>
        </is>
      </c>
      <c r="V1144" s="248" t="inlineStr">
        <is>
          <t>15 including sign and 9 decimals</t>
        </is>
      </c>
      <c r="W1144" s="284" t="n">
        <v>15</v>
      </c>
      <c r="X1144" s="244" t="inlineStr">
        <is>
          <t>NA</t>
        </is>
      </c>
      <c r="Y1144" s="248" t="n">
        <v>43</v>
      </c>
      <c r="Z1144" s="248" t="n">
        <v>43</v>
      </c>
      <c r="AA1144" s="248" t="inlineStr">
        <is>
          <t>NA</t>
        </is>
      </c>
      <c r="AB1144" s="284" t="inlineStr">
        <is>
          <t>NA</t>
        </is>
      </c>
      <c r="AC1144" s="244" t="inlineStr">
        <is>
          <t>NA</t>
        </is>
      </c>
      <c r="AD1144" s="284" t="inlineStr">
        <is>
          <t>N</t>
        </is>
      </c>
      <c r="AE1144" s="284" t="inlineStr">
        <is>
          <t>NA</t>
        </is>
      </c>
      <c r="AF1144" s="284" t="inlineStr">
        <is>
          <t>NA</t>
        </is>
      </c>
      <c r="AG1144" s="285" t="inlineStr">
        <is>
          <t>NA</t>
        </is>
      </c>
      <c r="AH1144" s="89" t="n"/>
      <c r="AI1144" s="330" t="n"/>
      <c r="AJ1144" s="331" t="n"/>
      <c r="AK1144" s="284" t="n"/>
      <c r="AL1144" s="285" t="n"/>
      <c r="AM1144" s="331" t="n"/>
      <c r="AN1144" s="331" t="n"/>
      <c r="AO1144" s="284" t="n"/>
      <c r="AP1144" s="285" t="n"/>
      <c r="AQ1144" s="331" t="n"/>
      <c r="AR1144" s="331" t="n"/>
      <c r="AS1144" s="284" t="n"/>
      <c r="AT1144" s="285" t="n"/>
      <c r="AU1144" s="331" t="n"/>
      <c r="AV1144" s="331" t="n"/>
      <c r="AW1144" s="284" t="n"/>
      <c r="AX1144" s="285" t="n"/>
      <c r="AY1144" s="331" t="n"/>
      <c r="AZ1144" s="331" t="n"/>
      <c r="BA1144" s="284" t="n"/>
      <c r="BB1144" s="285" t="n"/>
      <c r="BC1144" s="330" t="n"/>
      <c r="BD1144" s="331" t="n"/>
      <c r="BE1144" s="284" t="n"/>
      <c r="BF1144" s="285" t="n"/>
      <c r="BG1144" s="89" t="n"/>
      <c r="BH11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44">
        <f>_xlfn.LET(r,ROW(),oc,INDEX($A:$A,r),cv,TRIM(INDEX($Y:$Y,r)&amp;""),IF(oc&lt;&gt;"P1","",IF(cv="45","V45 - novo, nao alimentado pelo spool atual","V44 - alimentado pelo spool atual")))</f>
        <v/>
      </c>
    </row>
    <row r="1145" ht="54" customFormat="1" customHeight="1" s="90">
      <c r="A1145" s="306" t="inlineStr">
        <is>
          <t>P2</t>
        </is>
      </c>
      <c r="B1145" s="307" t="n">
        <v>248</v>
      </c>
      <c r="C1145" s="269" t="inlineStr">
        <is>
          <t>03 - Caractéristiques Générales</t>
        </is>
      </c>
      <c r="D1145" s="310" t="inlineStr">
        <is>
          <t>03 - General characteristics</t>
        </is>
      </c>
      <c r="E1145" s="372" t="inlineStr">
        <is>
          <t>P2 31.29</t>
        </is>
      </c>
      <c r="F1145" s="308" t="inlineStr">
        <is>
          <t>Taux de marge du crédit brut à l'octroi</t>
        </is>
      </c>
      <c r="G1145" s="309" t="inlineStr">
        <is>
          <t xml:space="preserve"> Margin rate of gross credit to grant</t>
        </is>
      </c>
      <c r="H1145" s="309" t="n"/>
      <c r="I1145" s="241" t="inlineStr">
        <is>
          <t>Taux de marge du crédit brut à l'octroi : différence Taux client / Taux de refinancement (incluant le coût de la liquidité)
Exprimé en %</t>
        </is>
      </c>
      <c r="J1145" s="309" t="inlineStr">
        <is>
          <t>Margin rate of gross credit to be granted: customer rate/refinancing rate difference (including the cost of liquidity)
Expressed as %</t>
        </is>
      </c>
      <c r="K1145" s="370" t="inlineStr">
        <is>
          <t>ND</t>
        </is>
      </c>
      <c r="L1145" s="371" t="inlineStr">
        <is>
          <t>ND</t>
        </is>
      </c>
      <c r="M1145" s="1420" t="inlineStr">
        <is>
          <t>txMardeCreditOctroi</t>
        </is>
      </c>
      <c r="N1145" s="257" t="inlineStr">
        <is>
          <t>Obligatoire sous conditions</t>
        </is>
      </c>
      <c r="O1145" s="236" t="inlineStr">
        <is>
          <t>Mandatory under conditions</t>
        </is>
      </c>
      <c r="P1145" s="269" t="inlineStr">
        <is>
          <t>NA</t>
        </is>
      </c>
      <c r="Q1145" s="269" t="inlineStr">
        <is>
          <t>NA</t>
        </is>
      </c>
      <c r="R1145" s="241" t="inlineStr">
        <is>
          <t>NA</t>
        </is>
      </c>
      <c r="S1145" s="233" t="inlineStr">
        <is>
          <t>NA</t>
        </is>
      </c>
      <c r="T1145" s="313" t="inlineStr">
        <is>
          <t>NUM</t>
        </is>
      </c>
      <c r="U1145" s="237" t="inlineStr">
        <is>
          <t>15 dont signe et 9 décimales</t>
        </is>
      </c>
      <c r="V1145" s="238" t="inlineStr">
        <is>
          <t>15 including sign and 9 decimals</t>
        </is>
      </c>
      <c r="W1145" s="257" t="n">
        <v>15</v>
      </c>
      <c r="X1145" s="945" t="inlineStr">
        <is>
          <t>NA</t>
        </is>
      </c>
      <c r="Y1145" s="237" t="n">
        <v>43</v>
      </c>
      <c r="Z1145" s="237" t="inlineStr">
        <is>
          <t>NA</t>
        </is>
      </c>
      <c r="AA1145" s="239" t="inlineStr">
        <is>
          <t>NA</t>
        </is>
      </c>
      <c r="AB1145" s="269" t="inlineStr">
        <is>
          <t>OCTROI DE CREDIT</t>
        </is>
      </c>
      <c r="AC1145" s="231" t="inlineStr">
        <is>
          <t>ND</t>
        </is>
      </c>
      <c r="AD1145" s="257" t="inlineStr">
        <is>
          <t>N</t>
        </is>
      </c>
      <c r="AE1145" s="257" t="inlineStr">
        <is>
          <t>NA</t>
        </is>
      </c>
      <c r="AF1145" s="257" t="inlineStr">
        <is>
          <t>NA</t>
        </is>
      </c>
      <c r="AG1145" s="258" t="inlineStr">
        <is>
          <t>NA</t>
        </is>
      </c>
      <c r="AH1145" s="89" t="n"/>
      <c r="AI1145" s="827" t="inlineStr">
        <is>
          <t>La donnée est obligatoire si le type de risque [P2 2.0] = 'TRExxx'</t>
        </is>
      </c>
      <c r="AJ1145" s="317" t="inlineStr">
        <is>
          <t>The data is mandatory if risk type [P2 2.0] = 'TREXXX'</t>
        </is>
      </c>
      <c r="AK1145" s="257" t="n">
        <v>5</v>
      </c>
      <c r="AL1145" s="335" t="inlineStr">
        <is>
          <t>TPS1756</t>
        </is>
      </c>
      <c r="AM1145" s="318" t="n"/>
      <c r="AN1145" s="317" t="n"/>
      <c r="AO1145" s="257" t="n"/>
      <c r="AP1145" s="258" t="n"/>
      <c r="AQ1145" s="318" t="n"/>
      <c r="AR1145" s="317" t="n"/>
      <c r="AS1145" s="257" t="n"/>
      <c r="AT1145" s="258" t="n"/>
      <c r="AU1145" s="318" t="n"/>
      <c r="AV1145" s="317" t="n"/>
      <c r="AW1145" s="257" t="n"/>
      <c r="AX1145" s="258" t="n"/>
      <c r="AY1145" s="318" t="n"/>
      <c r="AZ1145" s="317" t="n"/>
      <c r="BA1145" s="257" t="n"/>
      <c r="BB1145" s="258" t="n"/>
      <c r="BC1145" s="316" t="n"/>
      <c r="BD1145" s="317" t="n"/>
      <c r="BE1145" s="257" t="n"/>
      <c r="BF1145" s="258" t="n"/>
      <c r="BG1145" s="89" t="n"/>
      <c r="BH11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45">
        <f>_xlfn.LET(r,ROW(),oc,INDEX($A:$A,r),cv,TRIM(INDEX($Y:$Y,r)&amp;""),IF(oc&lt;&gt;"P1","",IF(cv="45","V45 - novo, nao alimentado pelo spool atual","V44 - alimentado pelo spool atual")))</f>
        <v/>
      </c>
    </row>
    <row r="1146" ht="54" customFormat="1" customHeight="1" s="90">
      <c r="A1146" s="306" t="inlineStr">
        <is>
          <t>P2</t>
        </is>
      </c>
      <c r="B1146" s="307" t="n">
        <v>249</v>
      </c>
      <c r="C1146" s="269" t="inlineStr">
        <is>
          <t>10 - Caractéristiques Engagements par Signature</t>
        </is>
      </c>
      <c r="D1146" s="310" t="inlineStr">
        <is>
          <t>10 - Funds in use by signature characteristics</t>
        </is>
      </c>
      <c r="E1146" s="372" t="inlineStr">
        <is>
          <t>P2 31.37</t>
        </is>
      </c>
      <c r="F1146" s="308" t="inlineStr">
        <is>
          <t>Indicateur garantie sans limite</t>
        </is>
      </c>
      <c r="G1146" s="309" t="inlineStr">
        <is>
          <t>Unlimited commitment indicator</t>
        </is>
      </c>
      <c r="H1146" s="309" t="n"/>
      <c r="I1146" s="241" t="inlineStr">
        <is>
          <t>Identifie les garanties données sans limite de montant</t>
        </is>
      </c>
      <c r="J1146" s="633" t="inlineStr">
        <is>
          <t>Allows to identify guarantees given without limit of amount</t>
        </is>
      </c>
      <c r="K1146" s="640" t="inlineStr">
        <is>
          <t>ND</t>
        </is>
      </c>
      <c r="L1146" s="694" t="inlineStr">
        <is>
          <t>ND</t>
        </is>
      </c>
      <c r="M1146" s="1420" t="inlineStr">
        <is>
          <t>indGar</t>
        </is>
      </c>
      <c r="N1146" s="257" t="inlineStr">
        <is>
          <t>Obligatoire sous conditions</t>
        </is>
      </c>
      <c r="O1146" s="236" t="inlineStr">
        <is>
          <t>Mandatory under conditions</t>
        </is>
      </c>
      <c r="P1146" s="269" t="inlineStr">
        <is>
          <t>LC.0338</t>
        </is>
      </c>
      <c r="Q1146" s="269" t="inlineStr">
        <is>
          <t>TA Z8IESLIM</t>
        </is>
      </c>
      <c r="R1146" s="241" t="inlineStr">
        <is>
          <t>NA</t>
        </is>
      </c>
      <c r="S1146" s="233" t="inlineStr">
        <is>
          <t>NA</t>
        </is>
      </c>
      <c r="T1146" s="313" t="inlineStr">
        <is>
          <t>ALPHA</t>
        </is>
      </c>
      <c r="U1146" s="237" t="inlineStr">
        <is>
          <t>NA</t>
        </is>
      </c>
      <c r="V1146" s="238" t="inlineStr">
        <is>
          <t>NA</t>
        </is>
      </c>
      <c r="W1146" s="257" t="n">
        <v>1</v>
      </c>
      <c r="X1146" s="945" t="inlineStr">
        <is>
          <t>NA</t>
        </is>
      </c>
      <c r="Y1146" s="237" t="inlineStr">
        <is>
          <t>40</t>
        </is>
      </c>
      <c r="Z1146" s="237" t="inlineStr">
        <is>
          <t>NA</t>
        </is>
      </c>
      <c r="AA1146" s="237" t="inlineStr">
        <is>
          <t>NA</t>
        </is>
      </c>
      <c r="AB1146" s="269" t="inlineStr">
        <is>
          <t>MREL</t>
        </is>
      </c>
      <c r="AC1146" s="231" t="inlineStr">
        <is>
          <t>ND</t>
        </is>
      </c>
      <c r="AD1146" s="257" t="inlineStr">
        <is>
          <t>N</t>
        </is>
      </c>
      <c r="AE1146" s="269" t="inlineStr">
        <is>
          <t>NA</t>
        </is>
      </c>
      <c r="AF1146" s="269" t="inlineStr">
        <is>
          <t>NA</t>
        </is>
      </c>
      <c r="AG1146" s="364" t="inlineStr">
        <is>
          <t>NA</t>
        </is>
      </c>
      <c r="AH1146" s="89" t="n"/>
      <c r="AI1146" s="316" t="inlineStr">
        <is>
          <t>La donnée est obligatoire si le type de risque [P2 2.0] = 'SIG2xx'</t>
        </is>
      </c>
      <c r="AJ1146" s="317" t="inlineStr">
        <is>
          <t>The data is mandatory if risk type [P2 2.0] = 'SIG2xx'</t>
        </is>
      </c>
      <c r="AK1146" s="257" t="n">
        <v>7</v>
      </c>
      <c r="AL1146" s="335" t="inlineStr">
        <is>
          <t>TPS1753</t>
        </is>
      </c>
      <c r="AM1146" s="452" t="inlineStr">
        <is>
          <t>Si elle est renseignée, la valeur doit être connue du Langage Commun associé</t>
        </is>
      </c>
      <c r="AN1146" s="377" t="inlineStr">
        <is>
          <t>If specified, the value must be known to the associated Common Language</t>
        </is>
      </c>
      <c r="AO1146" s="257" t="n">
        <v>7</v>
      </c>
      <c r="AP1146" s="212" t="inlineStr">
        <is>
          <t>TIG0001</t>
        </is>
      </c>
      <c r="AQ1146" s="318" t="n"/>
      <c r="AR1146" s="317" t="n"/>
      <c r="AS1146" s="257" t="n"/>
      <c r="AT1146" s="258" t="n"/>
      <c r="AU1146" s="318" t="n"/>
      <c r="AV1146" s="317" t="n"/>
      <c r="AW1146" s="257" t="n"/>
      <c r="AX1146" s="258" t="n"/>
      <c r="AY1146" s="318" t="n"/>
      <c r="AZ1146" s="317" t="n"/>
      <c r="BA1146" s="257" t="n"/>
      <c r="BB1146" s="258" t="n"/>
      <c r="BC1146" s="316" t="n"/>
      <c r="BD1146" s="317" t="n"/>
      <c r="BE1146" s="257" t="n"/>
      <c r="BF1146" s="258" t="n"/>
      <c r="BG1146" s="89" t="n"/>
      <c r="BH11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46">
        <f>_xlfn.LET(r,ROW(),oc,INDEX($A:$A,r),cv,TRIM(INDEX($Y:$Y,r)&amp;""),IF(oc&lt;&gt;"P1","",IF(cv="45","V45 - novo, nao alimentado pelo spool atual","V44 - alimentado pelo spool atual")))</f>
        <v/>
      </c>
    </row>
    <row r="1147" ht="54" customFormat="1" customHeight="1" s="90">
      <c r="A1147" s="306" t="inlineStr">
        <is>
          <t>P2</t>
        </is>
      </c>
      <c r="B1147" s="307" t="n">
        <v>250</v>
      </c>
      <c r="C1147" s="269" t="inlineStr">
        <is>
          <t>10 - Caractéristiques Engagements par Signature</t>
        </is>
      </c>
      <c r="D1147" s="310" t="inlineStr">
        <is>
          <t>10 - Funds in use by signature characteristics</t>
        </is>
      </c>
      <c r="E1147" s="372" t="inlineStr">
        <is>
          <t>P2 31.38</t>
        </is>
      </c>
      <c r="F1147" s="308" t="inlineStr">
        <is>
          <t>Etendue de la garantie donnée</t>
        </is>
      </c>
      <c r="G1147" s="309" t="inlineStr">
        <is>
          <t xml:space="preserve">Scope of the mitigant given </t>
        </is>
      </c>
      <c r="H1147" s="309" t="n"/>
      <c r="I1147" s="241" t="inlineStr">
        <is>
          <t>Indique la couverture de la garantie donnée</t>
        </is>
      </c>
      <c r="J1147" s="363" t="inlineStr">
        <is>
          <t>Allows to identify the coverage of guarantee given</t>
        </is>
      </c>
      <c r="K1147" s="516" t="inlineStr">
        <is>
          <t>ND</t>
        </is>
      </c>
      <c r="L1147" s="517" t="inlineStr">
        <is>
          <t>ND</t>
        </is>
      </c>
      <c r="M1147" s="1420" t="inlineStr">
        <is>
          <t>cdTypeGar</t>
        </is>
      </c>
      <c r="N1147" s="454" t="inlineStr">
        <is>
          <t>Facultatif</t>
        </is>
      </c>
      <c r="O1147" s="236" t="inlineStr">
        <is>
          <t>Optional</t>
        </is>
      </c>
      <c r="P1147" s="269" t="inlineStr">
        <is>
          <t>LC.0047</t>
        </is>
      </c>
      <c r="Q1147" s="269" t="inlineStr">
        <is>
          <t>TA KVETEND</t>
        </is>
      </c>
      <c r="R1147" s="241" t="inlineStr">
        <is>
          <t>NA</t>
        </is>
      </c>
      <c r="S1147" s="233" t="inlineStr">
        <is>
          <t>NA</t>
        </is>
      </c>
      <c r="T1147" s="313" t="inlineStr">
        <is>
          <t>ALPHA</t>
        </is>
      </c>
      <c r="U1147" s="237" t="inlineStr">
        <is>
          <t>NA</t>
        </is>
      </c>
      <c r="V1147" s="238" t="inlineStr">
        <is>
          <t>NA</t>
        </is>
      </c>
      <c r="W1147" s="257" t="n">
        <v>1</v>
      </c>
      <c r="X1147" s="945" t="inlineStr">
        <is>
          <t>NA</t>
        </is>
      </c>
      <c r="Y1147" s="237" t="inlineStr">
        <is>
          <t>40</t>
        </is>
      </c>
      <c r="Z1147" s="237" t="inlineStr">
        <is>
          <t>NA</t>
        </is>
      </c>
      <c r="AA1147" s="283" t="inlineStr">
        <is>
          <t>NA</t>
        </is>
      </c>
      <c r="AB1147" s="269" t="inlineStr">
        <is>
          <t>ASTRE, MREL</t>
        </is>
      </c>
      <c r="AC1147" s="231" t="inlineStr">
        <is>
          <t>ND</t>
        </is>
      </c>
      <c r="AD1147" s="257" t="inlineStr">
        <is>
          <t>N</t>
        </is>
      </c>
      <c r="AE1147" s="269" t="inlineStr">
        <is>
          <t>NA</t>
        </is>
      </c>
      <c r="AF1147" s="269" t="inlineStr">
        <is>
          <t>NA</t>
        </is>
      </c>
      <c r="AG1147" s="364" t="inlineStr">
        <is>
          <t>NA</t>
        </is>
      </c>
      <c r="AH1147" s="89" t="n"/>
      <c r="AI1147" s="614" t="n"/>
      <c r="AJ1147" s="422" t="n"/>
      <c r="AK1147" s="348" t="n"/>
      <c r="AL1147" s="423" t="n"/>
      <c r="AM1147" s="452" t="inlineStr">
        <is>
          <t>Si elle est renseignée, la valeur doit être connue du Langage Commun associé</t>
        </is>
      </c>
      <c r="AN1147" s="377" t="inlineStr">
        <is>
          <t>If specified, the value must be known to the associated Common Language</t>
        </is>
      </c>
      <c r="AO1147" s="257" t="n">
        <v>7</v>
      </c>
      <c r="AP1147" s="212" t="inlineStr">
        <is>
          <t>TIG0001</t>
        </is>
      </c>
      <c r="AQ1147" s="318" t="n"/>
      <c r="AR1147" s="317" t="n"/>
      <c r="AS1147" s="257" t="n"/>
      <c r="AT1147" s="258" t="n"/>
      <c r="AU1147" s="318" t="n"/>
      <c r="AV1147" s="317" t="n"/>
      <c r="AW1147" s="257" t="n"/>
      <c r="AX1147" s="258" t="n"/>
      <c r="AY1147" s="318" t="n"/>
      <c r="AZ1147" s="317" t="n"/>
      <c r="BA1147" s="257" t="n"/>
      <c r="BB1147" s="258" t="n"/>
      <c r="BC1147" s="316" t="n"/>
      <c r="BD1147" s="317" t="n"/>
      <c r="BE1147" s="257" t="n"/>
      <c r="BF1147" s="258" t="n"/>
      <c r="BG1147" s="89" t="n"/>
      <c r="BH11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47">
        <f>_xlfn.LET(r,ROW(),oc,INDEX($A:$A,r),cv,TRIM(INDEX($Y:$Y,r)&amp;""),IF(oc&lt;&gt;"P1","",IF(cv="45","V45 - novo, nao alimentado pelo spool atual","V44 - alimentado pelo spool atual")))</f>
        <v/>
      </c>
    </row>
    <row r="1148" ht="54" customFormat="1" customHeight="1" s="90">
      <c r="A1148" s="306" t="inlineStr">
        <is>
          <t>P2</t>
        </is>
      </c>
      <c r="B1148" s="307" t="n">
        <v>251</v>
      </c>
      <c r="C1148" s="269" t="inlineStr">
        <is>
          <t>03 - Caractéristiques Générales</t>
        </is>
      </c>
      <c r="D1148" s="310" t="inlineStr">
        <is>
          <t>03 - General characteristics</t>
        </is>
      </c>
      <c r="E1148" s="372" t="inlineStr">
        <is>
          <t>P2 29.3</t>
        </is>
      </c>
      <c r="F1148" s="308" t="inlineStr">
        <is>
          <t>Montant des subventions</t>
        </is>
      </c>
      <c r="G1148" s="309" t="inlineStr">
        <is>
          <t xml:space="preserve"> Amount of subventions </t>
        </is>
      </c>
      <c r="H1148" s="309" t="n"/>
      <c r="I1148" s="241" t="inlineStr">
        <is>
          <t>Montant des subventions (organisme d'état, …) reçues par l'entité dans le cadre de l'opération de crédit-bail</t>
        </is>
      </c>
      <c r="J1148" s="309" t="inlineStr">
        <is>
          <t>Amount of subventions (government agencies, etc.) received by the entity as part of the leasing operation</t>
        </is>
      </c>
      <c r="K1148" s="370" t="inlineStr">
        <is>
          <t>ND</t>
        </is>
      </c>
      <c r="L1148" s="371" t="inlineStr">
        <is>
          <t>ND</t>
        </is>
      </c>
      <c r="M1148" s="1420" t="inlineStr">
        <is>
          <t>mtSubv</t>
        </is>
      </c>
      <c r="N1148" s="269" t="inlineStr">
        <is>
          <t>Obligatoire sous conditions</t>
        </is>
      </c>
      <c r="O1148" s="236" t="inlineStr">
        <is>
          <t>Mandatory under conditions</t>
        </is>
      </c>
      <c r="P1148" s="269" t="inlineStr">
        <is>
          <t>NA</t>
        </is>
      </c>
      <c r="Q1148" s="269" t="inlineStr">
        <is>
          <t>NA</t>
        </is>
      </c>
      <c r="R1148" s="241" t="inlineStr">
        <is>
          <t>NA</t>
        </is>
      </c>
      <c r="S1148" s="233" t="inlineStr">
        <is>
          <t>NA</t>
        </is>
      </c>
      <c r="T1148" s="313" t="inlineStr">
        <is>
          <t>NUM</t>
        </is>
      </c>
      <c r="U1148" s="237" t="inlineStr">
        <is>
          <t>19 dont signe et 2 décimales</t>
        </is>
      </c>
      <c r="V1148" s="238" t="inlineStr">
        <is>
          <t>19 including sign and 2 decimals</t>
        </is>
      </c>
      <c r="W1148" s="257" t="n">
        <v>19</v>
      </c>
      <c r="X1148" s="945" t="inlineStr">
        <is>
          <t>NA</t>
        </is>
      </c>
      <c r="Y1148" s="237" t="n">
        <v>43</v>
      </c>
      <c r="Z1148" s="237" t="inlineStr">
        <is>
          <t>NA</t>
        </is>
      </c>
      <c r="AA1148" s="239" t="inlineStr">
        <is>
          <t>NA</t>
        </is>
      </c>
      <c r="AB1148" s="269" t="inlineStr">
        <is>
          <t>ANACREDIT</t>
        </is>
      </c>
      <c r="AC1148" s="231" t="inlineStr">
        <is>
          <t>ND</t>
        </is>
      </c>
      <c r="AD1148" s="257" t="inlineStr">
        <is>
          <t>N</t>
        </is>
      </c>
      <c r="AE1148" s="257" t="inlineStr">
        <is>
          <t>NA</t>
        </is>
      </c>
      <c r="AF1148" s="257" t="inlineStr">
        <is>
          <t>NA</t>
        </is>
      </c>
      <c r="AG1148" s="258" t="inlineStr">
        <is>
          <t>NA</t>
        </is>
      </c>
      <c r="AH1148" s="89" t="n"/>
      <c r="AI1148" s="316" t="inlineStr">
        <is>
          <t>La donnée est obligatoire si le type de risque [P2 2.0] = 'TRE5xx'</t>
        </is>
      </c>
      <c r="AJ1148" s="317" t="inlineStr">
        <is>
          <t>The data is mandatory if risk type [P2 2.0] = 'TRE5xx'</t>
        </is>
      </c>
      <c r="AK1148" s="257" t="n">
        <v>5</v>
      </c>
      <c r="AL1148" s="366" t="inlineStr">
        <is>
          <t>TPS1758</t>
        </is>
      </c>
      <c r="AM1148" s="318" t="n"/>
      <c r="AN1148" s="317" t="n"/>
      <c r="AO1148" s="257" t="n"/>
      <c r="AP1148" s="258" t="n"/>
      <c r="AQ1148" s="322" t="inlineStr">
        <is>
          <t>Si renseignée, la donnée doit être positive (supérieure ou égale à 0)</t>
        </is>
      </c>
      <c r="AR1148" s="317" t="inlineStr">
        <is>
          <t xml:space="preserve">If filled, data must be positive (greater or equal to 0) </t>
        </is>
      </c>
      <c r="AS1148" s="257" t="n">
        <v>7</v>
      </c>
      <c r="AT1148" s="345" t="inlineStr">
        <is>
          <t>TVG0001</t>
        </is>
      </c>
      <c r="AU1148" s="318" t="n"/>
      <c r="AV1148" s="317" t="n"/>
      <c r="AW1148" s="257" t="n"/>
      <c r="AX1148" s="258" t="n"/>
      <c r="AY1148" s="318" t="n"/>
      <c r="AZ1148" s="317" t="n"/>
      <c r="BA1148" s="257" t="n"/>
      <c r="BB1148" s="258" t="n"/>
      <c r="BC1148" s="316" t="n"/>
      <c r="BD1148" s="317" t="n"/>
      <c r="BE1148" s="257" t="n"/>
      <c r="BF1148" s="258" t="n"/>
      <c r="BG1148" s="89" t="n"/>
      <c r="BH11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48">
        <f>_xlfn.LET(r,ROW(),oc,INDEX($A:$A,r),cv,TRIM(INDEX($Y:$Y,r)&amp;""),IF(oc&lt;&gt;"P1","",IF(cv="45","V45 - novo, nao alimentado pelo spool atual","V44 - alimentado pelo spool atual")))</f>
        <v/>
      </c>
    </row>
    <row r="1149" ht="54" customFormat="1" customHeight="1" s="90">
      <c r="A1149" s="306" t="inlineStr">
        <is>
          <t>P2</t>
        </is>
      </c>
      <c r="B1149" s="307" t="n">
        <v>252</v>
      </c>
      <c r="C1149" s="269" t="inlineStr">
        <is>
          <t>03 - Caractéristiques Générales</t>
        </is>
      </c>
      <c r="D1149" s="310" t="inlineStr">
        <is>
          <t>03 - General characteristics</t>
        </is>
      </c>
      <c r="E1149" s="372" t="inlineStr">
        <is>
          <t>P2 29.4</t>
        </is>
      </c>
      <c r="F1149" s="308" t="inlineStr">
        <is>
          <t>Devise du montant des subventions</t>
        </is>
      </c>
      <c r="G1149" s="309" t="inlineStr">
        <is>
          <t xml:space="preserve">Currency of amount of subventions </t>
        </is>
      </c>
      <c r="H1149" s="309" t="n"/>
      <c r="I1149" s="308" t="inlineStr">
        <is>
          <t>Devise d'expression du montant des subventions</t>
        </is>
      </c>
      <c r="J1149" s="309" t="inlineStr">
        <is>
          <t>Currency of amount of subventions</t>
        </is>
      </c>
      <c r="K1149" s="370" t="inlineStr">
        <is>
          <t>ND</t>
        </is>
      </c>
      <c r="L1149" s="371" t="inlineStr">
        <is>
          <t>ND</t>
        </is>
      </c>
      <c r="M1149" s="1420" t="inlineStr">
        <is>
          <t>cdDevSubv</t>
        </is>
      </c>
      <c r="N1149" s="231" t="inlineStr">
        <is>
          <t>Obligatoire sous conditions</t>
        </is>
      </c>
      <c r="O1149" s="236" t="inlineStr">
        <is>
          <t>Mandatory under conditions</t>
        </is>
      </c>
      <c r="P1149" s="269" t="inlineStr">
        <is>
          <t>LC.0005</t>
        </is>
      </c>
      <c r="Q1149" s="269" t="inlineStr">
        <is>
          <t>TA NM253</t>
        </is>
      </c>
      <c r="R1149" s="241" t="inlineStr">
        <is>
          <t>NA</t>
        </is>
      </c>
      <c r="S1149" s="233" t="inlineStr">
        <is>
          <t>NA</t>
        </is>
      </c>
      <c r="T1149" s="313" t="inlineStr">
        <is>
          <t>ALPHA</t>
        </is>
      </c>
      <c r="U1149" s="237" t="inlineStr">
        <is>
          <t>NA</t>
        </is>
      </c>
      <c r="V1149" s="238" t="inlineStr">
        <is>
          <t>NA</t>
        </is>
      </c>
      <c r="W1149" s="257" t="n">
        <v>3</v>
      </c>
      <c r="X1149" s="945" t="inlineStr">
        <is>
          <t>NA</t>
        </is>
      </c>
      <c r="Y1149" s="237" t="n">
        <v>43</v>
      </c>
      <c r="Z1149" s="237" t="inlineStr">
        <is>
          <t>NA</t>
        </is>
      </c>
      <c r="AA1149" s="239" t="inlineStr">
        <is>
          <t>NA</t>
        </is>
      </c>
      <c r="AB1149" s="269" t="inlineStr">
        <is>
          <t>ANACREDIT</t>
        </is>
      </c>
      <c r="AC1149" s="231" t="inlineStr">
        <is>
          <t>ND</t>
        </is>
      </c>
      <c r="AD1149" s="257" t="inlineStr">
        <is>
          <t>N</t>
        </is>
      </c>
      <c r="AE1149" s="257" t="inlineStr">
        <is>
          <t>NA</t>
        </is>
      </c>
      <c r="AF1149" s="257" t="inlineStr">
        <is>
          <t>NA</t>
        </is>
      </c>
      <c r="AG1149" s="258" t="inlineStr">
        <is>
          <t>NA</t>
        </is>
      </c>
      <c r="AH1149" s="89" t="n"/>
      <c r="AI1149" s="316" t="inlineStr">
        <is>
          <t>La donnée est obligatoire si la donnée Montant des subventions [P2 29.3] est renseignée</t>
        </is>
      </c>
      <c r="AJ1149" s="317" t="inlineStr">
        <is>
          <t>The data is mandatory if the Data Grant Amount [P2 29.3] is filled</t>
        </is>
      </c>
      <c r="AK1149" s="257" t="n">
        <v>7</v>
      </c>
      <c r="AL1149" s="335" t="inlineStr">
        <is>
          <t>TPG0002</t>
        </is>
      </c>
      <c r="AM1149" s="452" t="inlineStr">
        <is>
          <t>Si elle est renseignée, la valeur doit être connue du Langage Commun associé</t>
        </is>
      </c>
      <c r="AN1149" s="377" t="inlineStr">
        <is>
          <t>If specified, the value must be known to the associated Common Language</t>
        </is>
      </c>
      <c r="AO1149" s="257" t="n">
        <v>7</v>
      </c>
      <c r="AP1149" s="212" t="inlineStr">
        <is>
          <t>TIG0001</t>
        </is>
      </c>
      <c r="AQ1149" s="318" t="n"/>
      <c r="AR1149" s="317" t="n"/>
      <c r="AS1149" s="257" t="n"/>
      <c r="AT1149" s="258" t="n"/>
      <c r="AU1149" s="318" t="n"/>
      <c r="AV1149" s="317" t="n"/>
      <c r="AW1149" s="257" t="n"/>
      <c r="AX1149" s="258" t="n"/>
      <c r="AY1149" s="318" t="n"/>
      <c r="AZ1149" s="317" t="n"/>
      <c r="BA1149" s="257" t="n"/>
      <c r="BB1149" s="258" t="n"/>
      <c r="BC1149" s="316" t="n"/>
      <c r="BD1149" s="317" t="n"/>
      <c r="BE1149" s="257" t="n"/>
      <c r="BF1149" s="258" t="n"/>
      <c r="BG1149" s="89" t="n"/>
      <c r="BH11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49">
        <f>_xlfn.LET(r,ROW(),oc,INDEX($A:$A,r),cv,TRIM(INDEX($Y:$Y,r)&amp;""),IF(oc&lt;&gt;"P1","",IF(cv="45","V45 - novo, nao alimentado pelo spool atual","V44 - alimentado pelo spool atual")))</f>
        <v/>
      </c>
    </row>
    <row r="1150" ht="54" customFormat="1" customHeight="1" s="90">
      <c r="A1150" s="306" t="inlineStr">
        <is>
          <t>P2</t>
        </is>
      </c>
      <c r="B1150" s="307" t="n">
        <v>253</v>
      </c>
      <c r="C1150" s="269" t="inlineStr">
        <is>
          <t>07 - Caractéristiques Crédit Bail</t>
        </is>
      </c>
      <c r="D1150" s="310" t="inlineStr">
        <is>
          <t>07 - Credit Lease characteristics</t>
        </is>
      </c>
      <c r="E1150" s="372" t="inlineStr">
        <is>
          <t>P2 29.5</t>
        </is>
      </c>
      <c r="F1150" s="308" t="inlineStr">
        <is>
          <t>Montant de l'avance preneur en crédit-bail</t>
        </is>
      </c>
      <c r="G1150" s="309" t="inlineStr">
        <is>
          <t>Amount of leasing down-payment</t>
        </is>
      </c>
      <c r="H1150" s="309" t="n"/>
      <c r="I1150" s="241" t="inlineStr">
        <is>
          <t>Montant de l'avance preneur versé par le client final à l'entité dans le cadre de l'opération de crédit-bail</t>
        </is>
      </c>
      <c r="J1150" s="309" t="inlineStr">
        <is>
          <t>Amount of the down-payment paid by the end customer to the entity as part of the leasing transaction</t>
        </is>
      </c>
      <c r="K1150" s="370" t="inlineStr">
        <is>
          <t>ND</t>
        </is>
      </c>
      <c r="L1150" s="371" t="inlineStr">
        <is>
          <t>ND</t>
        </is>
      </c>
      <c r="M1150" s="1420" t="inlineStr">
        <is>
          <t>mtAvCredBail</t>
        </is>
      </c>
      <c r="N1150" s="269" t="inlineStr">
        <is>
          <t>Obligatoire sous conditions</t>
        </is>
      </c>
      <c r="O1150" s="236" t="inlineStr">
        <is>
          <t>Mandatory under conditions</t>
        </is>
      </c>
      <c r="P1150" s="269" t="inlineStr">
        <is>
          <t>NA</t>
        </is>
      </c>
      <c r="Q1150" s="269" t="inlineStr">
        <is>
          <t>NA</t>
        </is>
      </c>
      <c r="R1150" s="241" t="inlineStr">
        <is>
          <t>NA</t>
        </is>
      </c>
      <c r="S1150" s="233" t="inlineStr">
        <is>
          <t>NA</t>
        </is>
      </c>
      <c r="T1150" s="313" t="inlineStr">
        <is>
          <t>NUM</t>
        </is>
      </c>
      <c r="U1150" s="237" t="inlineStr">
        <is>
          <t>19 dont signe et 2 décimales</t>
        </is>
      </c>
      <c r="V1150" s="238" t="inlineStr">
        <is>
          <t>19 including sign and 2 decimals</t>
        </is>
      </c>
      <c r="W1150" s="257" t="n">
        <v>19</v>
      </c>
      <c r="X1150" s="945" t="inlineStr">
        <is>
          <t>NA</t>
        </is>
      </c>
      <c r="Y1150" s="237" t="n">
        <v>43</v>
      </c>
      <c r="Z1150" s="237" t="inlineStr">
        <is>
          <t>NA</t>
        </is>
      </c>
      <c r="AA1150" s="239" t="inlineStr">
        <is>
          <t>NA</t>
        </is>
      </c>
      <c r="AB1150" s="269" t="inlineStr">
        <is>
          <t>ANACREDIT</t>
        </is>
      </c>
      <c r="AC1150" s="231" t="inlineStr">
        <is>
          <t>ND</t>
        </is>
      </c>
      <c r="AD1150" s="257" t="inlineStr">
        <is>
          <t>N</t>
        </is>
      </c>
      <c r="AE1150" s="257" t="inlineStr">
        <is>
          <t>NA</t>
        </is>
      </c>
      <c r="AF1150" s="257" t="inlineStr">
        <is>
          <t>NA</t>
        </is>
      </c>
      <c r="AG1150" s="258" t="inlineStr">
        <is>
          <t>NA</t>
        </is>
      </c>
      <c r="AH1150" s="89" t="n"/>
      <c r="AI1150" s="316" t="inlineStr">
        <is>
          <t>La donnée est obligatoire si le type de risque [P2 2.0] = 'TRE5xx'</t>
        </is>
      </c>
      <c r="AJ1150" s="317" t="inlineStr">
        <is>
          <t>The data is mandatory if risk type [P2 2.0] = 'TRE5xx'</t>
        </is>
      </c>
      <c r="AK1150" s="257" t="n">
        <v>5</v>
      </c>
      <c r="AL1150" s="366" t="inlineStr">
        <is>
          <t>TPS1758</t>
        </is>
      </c>
      <c r="AM1150" s="318" t="n"/>
      <c r="AN1150" s="317" t="n"/>
      <c r="AO1150" s="257" t="n"/>
      <c r="AP1150" s="258" t="n"/>
      <c r="AQ1150" s="322" t="inlineStr">
        <is>
          <t>Si renseignée, la donnée doit être positive (supérieure ou égale à 0)</t>
        </is>
      </c>
      <c r="AR1150" s="317" t="inlineStr">
        <is>
          <t xml:space="preserve">If filled, data must be positive (greater or equal to 0) </t>
        </is>
      </c>
      <c r="AS1150" s="257" t="n">
        <v>7</v>
      </c>
      <c r="AT1150" s="345" t="inlineStr">
        <is>
          <t>TVG0001</t>
        </is>
      </c>
      <c r="AU1150" s="318" t="n"/>
      <c r="AV1150" s="317" t="n"/>
      <c r="AW1150" s="257" t="n"/>
      <c r="AX1150" s="258" t="n"/>
      <c r="AY1150" s="318" t="n"/>
      <c r="AZ1150" s="317" t="n"/>
      <c r="BA1150" s="257" t="n"/>
      <c r="BB1150" s="258" t="n"/>
      <c r="BC1150" s="316" t="n"/>
      <c r="BD1150" s="317" t="n"/>
      <c r="BE1150" s="257" t="n"/>
      <c r="BF1150" s="258" t="n"/>
      <c r="BG1150" s="89" t="n"/>
      <c r="BH11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50">
        <f>_xlfn.LET(r,ROW(),oc,INDEX($A:$A,r),cv,TRIM(INDEX($Y:$Y,r)&amp;""),IF(oc&lt;&gt;"P1","",IF(cv="45","V45 - novo, nao alimentado pelo spool atual","V44 - alimentado pelo spool atual")))</f>
        <v/>
      </c>
    </row>
    <row r="1151" ht="54" customFormat="1" customHeight="1" s="90">
      <c r="A1151" s="306" t="inlineStr">
        <is>
          <t>P2</t>
        </is>
      </c>
      <c r="B1151" s="307" t="n">
        <v>254</v>
      </c>
      <c r="C1151" s="269" t="inlineStr">
        <is>
          <t>07 - Caractéristiques Crédit Bail</t>
        </is>
      </c>
      <c r="D1151" s="310" t="inlineStr">
        <is>
          <t>07 - Credit Lease characteristics</t>
        </is>
      </c>
      <c r="E1151" s="372" t="inlineStr">
        <is>
          <t>P2 29.6</t>
        </is>
      </c>
      <c r="F1151" s="308" t="inlineStr">
        <is>
          <t>Devise du montant de l'avance preneur en crédit-bail</t>
        </is>
      </c>
      <c r="G1151" s="309" t="inlineStr">
        <is>
          <t>Currency of amount of leasing down-payment</t>
        </is>
      </c>
      <c r="H1151" s="309" t="n"/>
      <c r="I1151" s="241" t="inlineStr">
        <is>
          <t>Devise d'expression du montant de de l'avance preneur en crédit-bail</t>
        </is>
      </c>
      <c r="J1151" s="309" t="inlineStr">
        <is>
          <t>Currency of amount of leasing down-payment</t>
        </is>
      </c>
      <c r="K1151" s="370" t="inlineStr">
        <is>
          <t>ND</t>
        </is>
      </c>
      <c r="L1151" s="371" t="inlineStr">
        <is>
          <t>ND</t>
        </is>
      </c>
      <c r="M1151" s="1420" t="inlineStr">
        <is>
          <t>cdDevAvCredBail</t>
        </is>
      </c>
      <c r="N1151" s="231" t="inlineStr">
        <is>
          <t>Obligatoire sous conditions</t>
        </is>
      </c>
      <c r="O1151" s="236" t="inlineStr">
        <is>
          <t>Mandatory under conditions</t>
        </is>
      </c>
      <c r="P1151" s="269" t="inlineStr">
        <is>
          <t>LC.0005</t>
        </is>
      </c>
      <c r="Q1151" s="269" t="inlineStr">
        <is>
          <t>TA NM253</t>
        </is>
      </c>
      <c r="R1151" s="241" t="inlineStr">
        <is>
          <t>NA</t>
        </is>
      </c>
      <c r="S1151" s="233" t="inlineStr">
        <is>
          <t>NA</t>
        </is>
      </c>
      <c r="T1151" s="313" t="inlineStr">
        <is>
          <t>ALPHA</t>
        </is>
      </c>
      <c r="U1151" s="237" t="inlineStr">
        <is>
          <t>NA</t>
        </is>
      </c>
      <c r="V1151" s="238" t="inlineStr">
        <is>
          <t>NA</t>
        </is>
      </c>
      <c r="W1151" s="257" t="n">
        <v>3</v>
      </c>
      <c r="X1151" s="945" t="inlineStr">
        <is>
          <t>NA</t>
        </is>
      </c>
      <c r="Y1151" s="237" t="n">
        <v>43</v>
      </c>
      <c r="Z1151" s="237" t="inlineStr">
        <is>
          <t>NA</t>
        </is>
      </c>
      <c r="AA1151" s="239" t="inlineStr">
        <is>
          <t>NA</t>
        </is>
      </c>
      <c r="AB1151" s="269" t="inlineStr">
        <is>
          <t>ANACREDIT</t>
        </is>
      </c>
      <c r="AC1151" s="231" t="inlineStr">
        <is>
          <t>ND</t>
        </is>
      </c>
      <c r="AD1151" s="257" t="inlineStr">
        <is>
          <t>N</t>
        </is>
      </c>
      <c r="AE1151" s="257" t="inlineStr">
        <is>
          <t>NA</t>
        </is>
      </c>
      <c r="AF1151" s="257" t="inlineStr">
        <is>
          <t>NA</t>
        </is>
      </c>
      <c r="AG1151" s="258" t="inlineStr">
        <is>
          <t>NA</t>
        </is>
      </c>
      <c r="AH1151" s="89" t="n"/>
      <c r="AI1151" s="316" t="inlineStr">
        <is>
          <t>La donnée est obligatoire si la donnée Montant de l'avance preneur en crédit-bail [P2 29.5] est renseignée</t>
        </is>
      </c>
      <c r="AJ1151" s="317" t="inlineStr">
        <is>
          <t>The data is mandatory if the data credit-leasehold advance amount [P2 29.5] is filled</t>
        </is>
      </c>
      <c r="AK1151" s="257" t="n">
        <v>7</v>
      </c>
      <c r="AL1151" s="335" t="inlineStr">
        <is>
          <t>TPG0002</t>
        </is>
      </c>
      <c r="AM1151" s="452" t="inlineStr">
        <is>
          <t>Si elle est renseignée, la valeur doit être connue du Langage Commun associé</t>
        </is>
      </c>
      <c r="AN1151" s="377" t="inlineStr">
        <is>
          <t>If specified, the value must be known to the associated Common Language</t>
        </is>
      </c>
      <c r="AO1151" s="257" t="n">
        <v>7</v>
      </c>
      <c r="AP1151" s="212" t="inlineStr">
        <is>
          <t>TIG0001</t>
        </is>
      </c>
      <c r="AQ1151" s="318" t="n"/>
      <c r="AR1151" s="317" t="n"/>
      <c r="AS1151" s="257" t="n"/>
      <c r="AT1151" s="258" t="n"/>
      <c r="AU1151" s="318" t="n"/>
      <c r="AV1151" s="317" t="n"/>
      <c r="AW1151" s="257" t="n"/>
      <c r="AX1151" s="258" t="n"/>
      <c r="AY1151" s="318" t="n"/>
      <c r="AZ1151" s="317" t="n"/>
      <c r="BA1151" s="257" t="n"/>
      <c r="BB1151" s="258" t="n"/>
      <c r="BC1151" s="316" t="n"/>
      <c r="BD1151" s="317" t="n"/>
      <c r="BE1151" s="257" t="n"/>
      <c r="BF1151" s="258" t="n"/>
      <c r="BG1151" s="89" t="n"/>
      <c r="BH11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51">
        <f>_xlfn.LET(r,ROW(),oc,INDEX($A:$A,r),cv,TRIM(INDEX($Y:$Y,r)&amp;""),IF(oc&lt;&gt;"P1","",IF(cv="45","V45 - novo, nao alimentado pelo spool atual","V44 - alimentado pelo spool atual")))</f>
        <v/>
      </c>
    </row>
    <row r="1152" ht="54" customFormat="1" customHeight="1" s="90">
      <c r="A1152" s="306" t="inlineStr">
        <is>
          <t>P2</t>
        </is>
      </c>
      <c r="B1152" s="307" t="n">
        <v>255</v>
      </c>
      <c r="C1152" s="269" t="inlineStr">
        <is>
          <t xml:space="preserve">08 - Caractéristiques d'arriérés et de restructuration </t>
        </is>
      </c>
      <c r="D1152" s="310" t="inlineStr">
        <is>
          <t>08 - Characteristics of overdues and restructuring</t>
        </is>
      </c>
      <c r="E1152" s="372" t="inlineStr">
        <is>
          <t>P2 21.20</t>
        </is>
      </c>
      <c r="F1152" s="308" t="inlineStr">
        <is>
          <t>Montant des passages en pertes cumulées</t>
        </is>
      </c>
      <c r="G1152" s="309" t="inlineStr">
        <is>
          <t>Amount of cumulative write-offs</t>
        </is>
      </c>
      <c r="H1152" s="309" t="n"/>
      <c r="I1152" s="308" t="inlineStr">
        <is>
          <t xml:space="preserve">Il s'agit du montant cumulé des pertes comptables associées à l'instrument à la date de référence.
Montant cumulé du principal et des intérêts de retard de tout instrument de créance que l'établissement ne comptabilise plus parce qu'il le juge irrécouvrable, quel que soit le portefeuille comptable dans lequel figure ce titre.
Les sorties du bilan peuvent être provoquées tant par des réductions de la valeur comptable des actifs financiers inscrits directement au compte de résultat que par des réductions des montants des comptes de correction pour pertes de crédit déduits de la valeur comptable de ces actifs financiers. </t>
        </is>
      </c>
      <c r="J1152" s="309" t="inlineStr">
        <is>
          <t>This is the cumulative amount of accounting losses associated with the instrument at the reference date.
The cumulative amount of principal and default interest on any debt instrument that the institution no longer recognizes because it is considered to be uncollectible, regardless of the accounting portfolio in which the instrument is held.
Balance sheet outflows may be caused both by reductions in the carrying amount of financial assets recorded directly in the income statement and by reductions in the amounts of credit loss adjustment accounts deducted from the carrying amount of those financial assets</t>
        </is>
      </c>
      <c r="K1152" s="370" t="inlineStr">
        <is>
          <t>ND</t>
        </is>
      </c>
      <c r="L1152" s="371" t="inlineStr">
        <is>
          <t>ND</t>
        </is>
      </c>
      <c r="M1152" s="1420" t="inlineStr">
        <is>
          <t>mtPassPertCum</t>
        </is>
      </c>
      <c r="N1152" s="231" t="inlineStr">
        <is>
          <t>Facultatif</t>
        </is>
      </c>
      <c r="O1152" s="236" t="inlineStr">
        <is>
          <t>Optional</t>
        </is>
      </c>
      <c r="P1152" s="269" t="inlineStr">
        <is>
          <t>NA</t>
        </is>
      </c>
      <c r="Q1152" s="269" t="inlineStr">
        <is>
          <t>NA</t>
        </is>
      </c>
      <c r="R1152" s="241" t="inlineStr">
        <is>
          <t>NA</t>
        </is>
      </c>
      <c r="S1152" s="233" t="inlineStr">
        <is>
          <t>NA</t>
        </is>
      </c>
      <c r="T1152" s="307" t="inlineStr">
        <is>
          <t>NUM</t>
        </is>
      </c>
      <c r="U1152" s="237" t="inlineStr">
        <is>
          <t>19 dont signe et 2 décimales</t>
        </is>
      </c>
      <c r="V1152" s="238" t="inlineStr">
        <is>
          <t>19 including sign and 2 decimals</t>
        </is>
      </c>
      <c r="W1152" s="257" t="n">
        <v>19</v>
      </c>
      <c r="X1152" s="945" t="inlineStr">
        <is>
          <t>NA</t>
        </is>
      </c>
      <c r="Y1152" s="237" t="n">
        <v>43</v>
      </c>
      <c r="Z1152" s="237" t="inlineStr">
        <is>
          <t>NA</t>
        </is>
      </c>
      <c r="AA1152" s="270" t="inlineStr">
        <is>
          <t>NA</t>
        </is>
      </c>
      <c r="AB1152" s="269" t="inlineStr">
        <is>
          <t>ANACREDIT, SRB VALUATION</t>
        </is>
      </c>
      <c r="AC1152" s="231" t="inlineStr">
        <is>
          <t>ND</t>
        </is>
      </c>
      <c r="AD1152" s="257" t="inlineStr">
        <is>
          <t>N</t>
        </is>
      </c>
      <c r="AE1152" s="257" t="inlineStr">
        <is>
          <t>NA</t>
        </is>
      </c>
      <c r="AF1152" s="257" t="inlineStr">
        <is>
          <t>NA</t>
        </is>
      </c>
      <c r="AG1152" s="258" t="inlineStr">
        <is>
          <t>NA</t>
        </is>
      </c>
      <c r="AH1152" s="89" t="n"/>
      <c r="AI1152" s="316" t="n"/>
      <c r="AJ1152" s="317" t="n"/>
      <c r="AK1152" s="257" t="n"/>
      <c r="AL1152" s="258" t="n"/>
      <c r="AM1152" s="318" t="n"/>
      <c r="AN1152" s="317" t="n"/>
      <c r="AO1152" s="257" t="n"/>
      <c r="AP1152" s="258" t="n"/>
      <c r="AQ1152" s="322" t="inlineStr">
        <is>
          <t>Si renseignée, la donnée doit être positive (supérieure ou égale à 0)</t>
        </is>
      </c>
      <c r="AR1152" s="317" t="inlineStr">
        <is>
          <t xml:space="preserve">If filled, data must be positive (greater or equal to 0) </t>
        </is>
      </c>
      <c r="AS1152" s="257" t="n">
        <v>7</v>
      </c>
      <c r="AT1152" s="345" t="inlineStr">
        <is>
          <t>TVG0001</t>
        </is>
      </c>
      <c r="AU1152" s="318" t="n"/>
      <c r="AV1152" s="317" t="n"/>
      <c r="AW1152" s="257" t="n"/>
      <c r="AX1152" s="258" t="n"/>
      <c r="AY1152" s="318" t="n"/>
      <c r="AZ1152" s="317" t="n"/>
      <c r="BA1152" s="257" t="n"/>
      <c r="BB1152" s="258" t="n"/>
      <c r="BC1152" s="316" t="n"/>
      <c r="BD1152" s="317" t="n"/>
      <c r="BE1152" s="257" t="n"/>
      <c r="BF1152" s="258" t="n"/>
      <c r="BG1152" s="89" t="n"/>
      <c r="BH11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52">
        <f>_xlfn.LET(r,ROW(),oc,INDEX($A:$A,r),cv,TRIM(INDEX($Y:$Y,r)&amp;""),IF(oc&lt;&gt;"P1","",IF(cv="45","V45 - novo, nao alimentado pelo spool atual","V44 - alimentado pelo spool atual")))</f>
        <v/>
      </c>
    </row>
    <row r="1153" ht="54" customFormat="1" customHeight="1" s="90">
      <c r="A1153" s="306" t="inlineStr">
        <is>
          <t>P2</t>
        </is>
      </c>
      <c r="B1153" s="307" t="n">
        <v>256</v>
      </c>
      <c r="C1153" s="269" t="inlineStr">
        <is>
          <t xml:space="preserve">08 - Caractéristiques d'arriérés et de restructuration </t>
        </is>
      </c>
      <c r="D1153" s="310" t="inlineStr">
        <is>
          <t>08 - Characteristics of overdues and restructuring</t>
        </is>
      </c>
      <c r="E1153" s="372" t="inlineStr">
        <is>
          <t>P2 21.21</t>
        </is>
      </c>
      <c r="F1153" s="308" t="inlineStr">
        <is>
          <t>Devise du montant des passages en pertes cumulées</t>
        </is>
      </c>
      <c r="G1153" s="309" t="inlineStr">
        <is>
          <t>Currency of amount of cumulative write-offs</t>
        </is>
      </c>
      <c r="H1153" s="309" t="n"/>
      <c r="I1153" s="308" t="inlineStr">
        <is>
          <t>Devise du montant des passages en pertes cumulées</t>
        </is>
      </c>
      <c r="J1153" s="309" t="inlineStr">
        <is>
          <t>Currency of amount of cumulative write-offs</t>
        </is>
      </c>
      <c r="K1153" s="370" t="inlineStr">
        <is>
          <t>ND</t>
        </is>
      </c>
      <c r="L1153" s="371" t="inlineStr">
        <is>
          <t>ND</t>
        </is>
      </c>
      <c r="M1153" s="1420" t="inlineStr">
        <is>
          <t>cdDevPassPertCum</t>
        </is>
      </c>
      <c r="N1153" s="257" t="inlineStr">
        <is>
          <t>Obligatoire sous conditions</t>
        </is>
      </c>
      <c r="O1153" s="236" t="inlineStr">
        <is>
          <t>Mandatory under conditions</t>
        </is>
      </c>
      <c r="P1153" s="269" t="inlineStr">
        <is>
          <t>LC.0005</t>
        </is>
      </c>
      <c r="Q1153" s="269" t="inlineStr">
        <is>
          <t>TA NM253</t>
        </is>
      </c>
      <c r="R1153" s="241" t="inlineStr">
        <is>
          <t>NA</t>
        </is>
      </c>
      <c r="S1153" s="233" t="inlineStr">
        <is>
          <t>NA</t>
        </is>
      </c>
      <c r="T1153" s="313" t="inlineStr">
        <is>
          <t>ALPHA</t>
        </is>
      </c>
      <c r="U1153" s="237" t="inlineStr">
        <is>
          <t>NA</t>
        </is>
      </c>
      <c r="V1153" s="238" t="inlineStr">
        <is>
          <t>NA</t>
        </is>
      </c>
      <c r="W1153" s="257" t="n">
        <v>3</v>
      </c>
      <c r="X1153" s="945" t="inlineStr">
        <is>
          <t>NA</t>
        </is>
      </c>
      <c r="Y1153" s="237" t="n">
        <v>43</v>
      </c>
      <c r="Z1153" s="237" t="inlineStr">
        <is>
          <t>NA</t>
        </is>
      </c>
      <c r="AA1153" s="270" t="inlineStr">
        <is>
          <t>NA</t>
        </is>
      </c>
      <c r="AB1153" s="269" t="inlineStr">
        <is>
          <t>ANACREDIT, SRB VALUATION</t>
        </is>
      </c>
      <c r="AC1153" s="231" t="inlineStr">
        <is>
          <t>ND</t>
        </is>
      </c>
      <c r="AD1153" s="257" t="inlineStr">
        <is>
          <t>N</t>
        </is>
      </c>
      <c r="AE1153" s="257" t="inlineStr">
        <is>
          <t>NA</t>
        </is>
      </c>
      <c r="AF1153" s="257" t="inlineStr">
        <is>
          <t>NA</t>
        </is>
      </c>
      <c r="AG1153" s="258" t="inlineStr">
        <is>
          <t>NA</t>
        </is>
      </c>
      <c r="AH1153" s="89" t="n"/>
      <c r="AI1153" s="316" t="inlineStr">
        <is>
          <t>La donnée est obligatoire si la donnée montant de la valeur sacrifiée dans la restructuration [P2 21.20] est renseignée</t>
        </is>
      </c>
      <c r="AJ1153" s="317" t="inlineStr">
        <is>
          <t>The data is mandatory if the value amount data in the restructuring [P2 21.20] is filled</t>
        </is>
      </c>
      <c r="AK1153" s="257" t="n">
        <v>7</v>
      </c>
      <c r="AL1153" s="335" t="inlineStr">
        <is>
          <t>TPG0002</t>
        </is>
      </c>
      <c r="AM1153" s="452" t="inlineStr">
        <is>
          <t>Si elle est renseignée, la valeur doit être connue du Langage Commun associé</t>
        </is>
      </c>
      <c r="AN1153" s="377" t="inlineStr">
        <is>
          <t>If specified, the value must be known to the associated Common Language</t>
        </is>
      </c>
      <c r="AO1153" s="257" t="n">
        <v>7</v>
      </c>
      <c r="AP1153" s="212" t="inlineStr">
        <is>
          <t>TIG0001</t>
        </is>
      </c>
      <c r="AQ1153" s="318" t="n"/>
      <c r="AR1153" s="317" t="n"/>
      <c r="AS1153" s="257" t="n"/>
      <c r="AT1153" s="258" t="n"/>
      <c r="AU1153" s="318" t="n"/>
      <c r="AV1153" s="317" t="n"/>
      <c r="AW1153" s="257" t="n"/>
      <c r="AX1153" s="258" t="n"/>
      <c r="AY1153" s="318" t="n"/>
      <c r="AZ1153" s="317" t="n"/>
      <c r="BA1153" s="257" t="n"/>
      <c r="BB1153" s="258" t="n"/>
      <c r="BC1153" s="316" t="n"/>
      <c r="BD1153" s="317" t="n"/>
      <c r="BE1153" s="257" t="n"/>
      <c r="BF1153" s="258" t="n"/>
      <c r="BG1153" s="89" t="n"/>
      <c r="BH11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53">
        <f>_xlfn.LET(r,ROW(),oc,INDEX($A:$A,r),cv,TRIM(INDEX($Y:$Y,r)&amp;""),IF(oc&lt;&gt;"P1","",IF(cv="45","V45 - novo, nao alimentado pelo spool atual","V44 - alimentado pelo spool atual")))</f>
        <v/>
      </c>
    </row>
    <row r="1154" ht="54" customFormat="1" customHeight="1" s="90">
      <c r="A1154" s="306" t="inlineStr">
        <is>
          <t>P2</t>
        </is>
      </c>
      <c r="B1154" s="307" t="n">
        <v>257</v>
      </c>
      <c r="C1154" s="269" t="inlineStr">
        <is>
          <t>18 - Caractéristiques Titrisation</t>
        </is>
      </c>
      <c r="D1154" s="310" t="inlineStr">
        <is>
          <t>18 - Securitization characteristics</t>
        </is>
      </c>
      <c r="E1154" s="307" t="inlineStr">
        <is>
          <t>P2 16.24</t>
        </is>
      </c>
      <c r="F1154" s="308" t="inlineStr">
        <is>
          <t>Méthode de titrisation</t>
        </is>
      </c>
      <c r="G1154" s="309" t="inlineStr">
        <is>
          <t>Securitisation method</t>
        </is>
      </c>
      <c r="H1154" s="309" t="n"/>
      <c r="I1154" s="241" t="inlineStr">
        <is>
          <t>Ce champ permet de préciser la méthode de titrisation appliquée à l'engagement titrisation</t>
        </is>
      </c>
      <c r="J1154" s="309" t="inlineStr">
        <is>
          <t>This field makes it possible to identify the weighting method used</t>
        </is>
      </c>
      <c r="K1154" s="370" t="inlineStr">
        <is>
          <t>ND</t>
        </is>
      </c>
      <c r="L1154" s="371" t="inlineStr">
        <is>
          <t>ND</t>
        </is>
      </c>
      <c r="M1154" s="1420" t="inlineStr">
        <is>
          <t>CdMethTitr</t>
        </is>
      </c>
      <c r="N1154" s="231" t="inlineStr">
        <is>
          <t>Obligatoire sous conditions</t>
        </is>
      </c>
      <c r="O1154" s="236" t="inlineStr">
        <is>
          <t>Mandatory under conditions</t>
        </is>
      </c>
      <c r="P1154" s="269" t="inlineStr">
        <is>
          <t>LC.0368</t>
        </is>
      </c>
      <c r="Q1154" s="269" t="inlineStr">
        <is>
          <t>RB KVMTITRI</t>
        </is>
      </c>
      <c r="R1154" s="241" t="inlineStr">
        <is>
          <t>NA</t>
        </is>
      </c>
      <c r="S1154" s="233" t="inlineStr">
        <is>
          <t>NA</t>
        </is>
      </c>
      <c r="T1154" s="313" t="inlineStr">
        <is>
          <t>ALPHA</t>
        </is>
      </c>
      <c r="U1154" s="237" t="inlineStr">
        <is>
          <t>NA</t>
        </is>
      </c>
      <c r="V1154" s="238" t="inlineStr">
        <is>
          <t>NA</t>
        </is>
      </c>
      <c r="W1154" s="257" t="n">
        <v>7</v>
      </c>
      <c r="X1154" s="945" t="inlineStr">
        <is>
          <t>NA</t>
        </is>
      </c>
      <c r="Y1154" s="237" t="n">
        <v>43</v>
      </c>
      <c r="Z1154" s="237" t="inlineStr">
        <is>
          <t>NA</t>
        </is>
      </c>
      <c r="AA1154" s="270" t="inlineStr">
        <is>
          <t>NA</t>
        </is>
      </c>
      <c r="AB1154" s="1286" t="inlineStr">
        <is>
          <t>CALCULS PRUDENTIELS</t>
        </is>
      </c>
      <c r="AC1154" s="231" t="inlineStr">
        <is>
          <t>ND</t>
        </is>
      </c>
      <c r="AD1154" s="257" t="inlineStr">
        <is>
          <t>N</t>
        </is>
      </c>
      <c r="AE1154" s="257" t="inlineStr">
        <is>
          <t>NA</t>
        </is>
      </c>
      <c r="AF1154" s="257" t="inlineStr">
        <is>
          <t>NA</t>
        </is>
      </c>
      <c r="AG1154" s="258" t="inlineStr">
        <is>
          <t>NA</t>
        </is>
      </c>
      <c r="AH1154" s="89" t="n"/>
      <c r="AI1154" s="353" t="inlineStr">
        <is>
          <t xml:space="preserve">La donnée est obligatoire si le Portefeuille Bâle Opération [P2 2.18] = ‘070' </t>
        </is>
      </c>
      <c r="AJ1154" s="317" t="inlineStr">
        <is>
          <t xml:space="preserve">The data is mandatory if Basel Transaction Portfolio [P2 2.18] = ‘070' </t>
        </is>
      </c>
      <c r="AK1154" s="257" t="n">
        <v>6</v>
      </c>
      <c r="AL1154" s="335" t="inlineStr">
        <is>
          <t>TPS1701</t>
        </is>
      </c>
      <c r="AM1154" s="452" t="inlineStr">
        <is>
          <t>Si elle est renseignée, la valeur doit être connue du Langage Commun associé</t>
        </is>
      </c>
      <c r="AN1154" s="377" t="inlineStr">
        <is>
          <t>If specified, the value must be known to the associated Common Language</t>
        </is>
      </c>
      <c r="AO1154" s="257" t="n">
        <v>7</v>
      </c>
      <c r="AP1154" s="212" t="inlineStr">
        <is>
          <t>TIG0001</t>
        </is>
      </c>
      <c r="AQ1154" s="318" t="n"/>
      <c r="AR1154" s="317" t="n"/>
      <c r="AS1154" s="257" t="n"/>
      <c r="AT1154" s="258" t="n"/>
      <c r="AU1154" s="318" t="n"/>
      <c r="AV1154" s="317" t="n"/>
      <c r="AW1154" s="257" t="n"/>
      <c r="AX1154" s="258" t="n"/>
      <c r="AY1154" s="318" t="n"/>
      <c r="AZ1154" s="317" t="n"/>
      <c r="BA1154" s="257" t="n"/>
      <c r="BB1154" s="258" t="n"/>
      <c r="BC1154" s="316" t="n"/>
      <c r="BD1154" s="317" t="n"/>
      <c r="BE1154" s="257" t="n"/>
      <c r="BF1154" s="258" t="n"/>
      <c r="BG1154" s="89" t="n"/>
      <c r="BH11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54">
        <f>_xlfn.LET(r,ROW(),oc,INDEX($A:$A,r),cv,TRIM(INDEX($Y:$Y,r)&amp;""),IF(oc&lt;&gt;"P1","",IF(cv="45","V45 - novo, nao alimentado pelo spool atual","V44 - alimentado pelo spool atual")))</f>
        <v/>
      </c>
    </row>
    <row r="1155" ht="54" customFormat="1" customHeight="1" s="1512">
      <c r="A1155" s="306" t="inlineStr">
        <is>
          <t>P2</t>
        </is>
      </c>
      <c r="B1155" s="307" t="n">
        <v>258</v>
      </c>
      <c r="C1155" s="269" t="inlineStr">
        <is>
          <t>18 - Caractéristiques Titrisation</t>
        </is>
      </c>
      <c r="D1155" s="310" t="inlineStr">
        <is>
          <t>18 - Securitization characteristics</t>
        </is>
      </c>
      <c r="E1155" s="307" t="inlineStr">
        <is>
          <t>P2 16.25</t>
        </is>
      </c>
      <c r="F1155" s="308" t="inlineStr">
        <is>
          <t>Echelon qualité de crédit de la tranche à date d'origine</t>
        </is>
      </c>
      <c r="G1155" s="1509" t="inlineStr">
        <is>
          <t>Credit quality step of the securitization tranche at origination date</t>
        </is>
      </c>
      <c r="H1155" s="1509" t="n"/>
      <c r="I1155" s="241" t="inlineStr">
        <is>
          <t>Echelon de qualité de crédit de la tranche à l'origine</t>
        </is>
      </c>
      <c r="J1155" s="1509" t="inlineStr">
        <is>
          <t>Credit quality step of the securitization tranche at origination date</t>
        </is>
      </c>
      <c r="K1155" s="1510" t="inlineStr">
        <is>
          <t>ND</t>
        </is>
      </c>
      <c r="L1155" s="1511" t="inlineStr">
        <is>
          <t>ND</t>
        </is>
      </c>
      <c r="M1155" s="1420" t="inlineStr">
        <is>
          <t>CdEchQualCreditTranOri</t>
        </is>
      </c>
      <c r="N1155" s="231" t="inlineStr">
        <is>
          <t>Obligatoire sous conditions</t>
        </is>
      </c>
      <c r="O1155" s="236" t="inlineStr">
        <is>
          <t>Mandatory under conditions</t>
        </is>
      </c>
      <c r="P1155" s="269" t="inlineStr">
        <is>
          <t>LC.0366</t>
        </is>
      </c>
      <c r="Q1155" s="269" t="inlineStr">
        <is>
          <t>TA Z8EQCTIT</t>
        </is>
      </c>
      <c r="R1155" s="241" t="inlineStr">
        <is>
          <t>NA</t>
        </is>
      </c>
      <c r="S1155" s="233" t="inlineStr">
        <is>
          <t>NA</t>
        </is>
      </c>
      <c r="T1155" s="313" t="inlineStr">
        <is>
          <t>ALPHA</t>
        </is>
      </c>
      <c r="U1155" s="237" t="inlineStr">
        <is>
          <t>NA</t>
        </is>
      </c>
      <c r="V1155" s="238" t="inlineStr">
        <is>
          <t>NA</t>
        </is>
      </c>
      <c r="W1155" s="257" t="n">
        <v>2</v>
      </c>
      <c r="X1155" s="945" t="inlineStr">
        <is>
          <t>NA</t>
        </is>
      </c>
      <c r="Y1155" s="237" t="n">
        <v>43</v>
      </c>
      <c r="Z1155" s="237" t="inlineStr">
        <is>
          <t>NA</t>
        </is>
      </c>
      <c r="AA1155" s="270" t="inlineStr">
        <is>
          <t>NA</t>
        </is>
      </c>
      <c r="AB1155" s="1286" t="inlineStr">
        <is>
          <t>CALCULS PRUDENTIELS</t>
        </is>
      </c>
      <c r="AC1155" s="231" t="inlineStr">
        <is>
          <t>ND</t>
        </is>
      </c>
      <c r="AD1155" s="257" t="inlineStr">
        <is>
          <t>N</t>
        </is>
      </c>
      <c r="AE1155" s="257" t="inlineStr">
        <is>
          <t>NA</t>
        </is>
      </c>
      <c r="AF1155" s="257" t="inlineStr">
        <is>
          <t>NA</t>
        </is>
      </c>
      <c r="AG1155" s="258" t="inlineStr">
        <is>
          <t>NA</t>
        </is>
      </c>
      <c r="AH1155" s="89" t="n"/>
      <c r="AI1155" s="353" t="inlineStr">
        <is>
          <t>La donnée est obligatoire si le Portefeuille Bâlois - Opération [P2 2.18] = '070' ET si la donnée type de cotation échelon de qualité de crédit de la tranche à date d'origine [P2 16.26] est renseignée</t>
        </is>
      </c>
      <c r="AJ1155" s="317" t="inlineStr">
        <is>
          <t>The data is mandatory if the Basel Portfolio - Transaction [P2 2.18] = '070' AND if the credit quality step quotation type data of the tranche at the original date [P2 16.26] is filled in</t>
        </is>
      </c>
      <c r="AK1155" s="257" t="n">
        <v>6</v>
      </c>
      <c r="AL1155" s="335" t="inlineStr">
        <is>
          <t>TPS1759</t>
        </is>
      </c>
      <c r="AM1155" s="452" t="inlineStr">
        <is>
          <t>Si elle est renseignée, la valeur doit être connue du Langage Commun associé</t>
        </is>
      </c>
      <c r="AN1155" s="377" t="inlineStr">
        <is>
          <t>If specified, the value must be known to the associated Common Language</t>
        </is>
      </c>
      <c r="AO1155" s="257" t="n">
        <v>7</v>
      </c>
      <c r="AP1155" s="212" t="inlineStr">
        <is>
          <t>TIG0001</t>
        </is>
      </c>
      <c r="AQ1155" s="318" t="n"/>
      <c r="AR1155" s="317" t="n"/>
      <c r="AS1155" s="257" t="n"/>
      <c r="AT1155" s="258" t="n"/>
      <c r="AU1155" s="318" t="n"/>
      <c r="AV1155" s="317" t="n"/>
      <c r="AW1155" s="257" t="n"/>
      <c r="AX1155" s="258" t="n"/>
      <c r="AY1155" s="318" t="n"/>
      <c r="AZ1155" s="317" t="n"/>
      <c r="BA1155" s="257" t="n"/>
      <c r="BB1155" s="258" t="n"/>
      <c r="BC1155" s="316" t="n"/>
      <c r="BD1155" s="317" t="n"/>
      <c r="BE1155" s="257" t="n"/>
      <c r="BF1155" s="258" t="n"/>
      <c r="BG1155" s="89" t="n"/>
      <c r="BH11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55">
        <f>_xlfn.LET(r,ROW(),oc,INDEX($A:$A,r),cv,TRIM(INDEX($Y:$Y,r)&amp;""),IF(oc&lt;&gt;"P1","",IF(cv="45","V45 - novo, nao alimentado pelo spool atual","V44 - alimentado pelo spool atual")))</f>
        <v/>
      </c>
    </row>
    <row r="1156" ht="54" customFormat="1" customHeight="1" s="1512">
      <c r="A1156" s="306" t="inlineStr">
        <is>
          <t>P2</t>
        </is>
      </c>
      <c r="B1156" s="307" t="n">
        <v>259</v>
      </c>
      <c r="C1156" s="269" t="inlineStr">
        <is>
          <t>18 - Caractéristiques Titrisation</t>
        </is>
      </c>
      <c r="D1156" s="310" t="inlineStr">
        <is>
          <t>18 - Securitization characteristics</t>
        </is>
      </c>
      <c r="E1156" s="307" t="inlineStr">
        <is>
          <t>P2 16.26</t>
        </is>
      </c>
      <c r="F1156" s="308" t="inlineStr">
        <is>
          <t>Type de cotation échelon de qualité de crédit de la tranche à date d'origine</t>
        </is>
      </c>
      <c r="G1156" s="1509" t="inlineStr">
        <is>
          <t>Type of rating of credit quality step of the securitization tranche at origination date</t>
        </is>
      </c>
      <c r="H1156" s="1509" t="n"/>
      <c r="I1156" s="308" t="inlineStr">
        <is>
          <t>Type de cotation échelon de qualité de crédit de la tranche à date d'origine (Long terme, Court terme)</t>
        </is>
      </c>
      <c r="J1156" s="1509" t="inlineStr">
        <is>
          <t>Type of rating of credit quality step of the securitization tranche at origination date (Long-term, short-term)</t>
        </is>
      </c>
      <c r="K1156" s="1510" t="inlineStr">
        <is>
          <t>ND</t>
        </is>
      </c>
      <c r="L1156" s="1511" t="inlineStr">
        <is>
          <t>ND</t>
        </is>
      </c>
      <c r="M1156" s="1420" t="inlineStr">
        <is>
          <t>TypCotEchCreditTranOri</t>
        </is>
      </c>
      <c r="N1156" s="231" t="inlineStr">
        <is>
          <t>Obligatoire sous conditions</t>
        </is>
      </c>
      <c r="O1156" s="236" t="inlineStr">
        <is>
          <t>Mandatory under conditions</t>
        </is>
      </c>
      <c r="P1156" s="269" t="inlineStr">
        <is>
          <t>LC.0181</t>
        </is>
      </c>
      <c r="Q1156" s="269" t="inlineStr">
        <is>
          <t>TA KVTCOTA</t>
        </is>
      </c>
      <c r="R1156" s="241" t="inlineStr">
        <is>
          <t>NA</t>
        </is>
      </c>
      <c r="S1156" s="233" t="inlineStr">
        <is>
          <t>NA</t>
        </is>
      </c>
      <c r="T1156" s="313" t="inlineStr">
        <is>
          <t>ALPHA</t>
        </is>
      </c>
      <c r="U1156" s="237" t="inlineStr">
        <is>
          <t>NA</t>
        </is>
      </c>
      <c r="V1156" s="238" t="inlineStr">
        <is>
          <t>NA</t>
        </is>
      </c>
      <c r="W1156" s="269" t="n">
        <v>2</v>
      </c>
      <c r="X1156" s="231" t="inlineStr">
        <is>
          <t>NA</t>
        </is>
      </c>
      <c r="Y1156" s="237" t="n">
        <v>43</v>
      </c>
      <c r="Z1156" s="237" t="inlineStr">
        <is>
          <t>NA</t>
        </is>
      </c>
      <c r="AA1156" s="270" t="inlineStr">
        <is>
          <t>NA</t>
        </is>
      </c>
      <c r="AB1156" s="1286" t="inlineStr">
        <is>
          <t>CALCULS PRUDENTIELS</t>
        </is>
      </c>
      <c r="AC1156" s="231" t="inlineStr">
        <is>
          <t>ND</t>
        </is>
      </c>
      <c r="AD1156" s="257" t="inlineStr">
        <is>
          <t>N</t>
        </is>
      </c>
      <c r="AE1156" s="257" t="inlineStr">
        <is>
          <t>NA</t>
        </is>
      </c>
      <c r="AF1156" s="257" t="inlineStr">
        <is>
          <t>NA</t>
        </is>
      </c>
      <c r="AG1156" s="258" t="inlineStr">
        <is>
          <t>NA</t>
        </is>
      </c>
      <c r="AH1156" s="89" t="n"/>
      <c r="AI1156" s="353" t="inlineStr">
        <is>
          <t>La donnée est obligatoire si le Portefeuille Bâlois - Opération [P2 2.18] = '070' ET si la donnée échelon de qualité de crédit de la tranche à date d'origine [P2 16.25] est renseignée</t>
        </is>
      </c>
      <c r="AJ1156" s="317" t="inlineStr">
        <is>
          <t>The data is mandatory if the Basel Portfolio - Transaction [P2 2.18] = '070' AND the Quality of credit step data of the tranche at the original date [P2 16.25] is filled in</t>
        </is>
      </c>
      <c r="AK1156" s="257" t="n">
        <v>6</v>
      </c>
      <c r="AL1156" s="335" t="inlineStr">
        <is>
          <t>TPS1760</t>
        </is>
      </c>
      <c r="AM1156" s="452" t="inlineStr">
        <is>
          <t>Si elle est renseignée, la valeur doit être connue du Langage Commun associé</t>
        </is>
      </c>
      <c r="AN1156" s="377" t="inlineStr">
        <is>
          <t>If specified, the value must be known to the associated Common Language</t>
        </is>
      </c>
      <c r="AO1156" s="257" t="n">
        <v>7</v>
      </c>
      <c r="AP1156" s="212" t="inlineStr">
        <is>
          <t>TIG0001</t>
        </is>
      </c>
      <c r="AQ1156" s="318" t="n"/>
      <c r="AR1156" s="317" t="n"/>
      <c r="AS1156" s="257" t="n"/>
      <c r="AT1156" s="258" t="n"/>
      <c r="AU1156" s="318" t="n"/>
      <c r="AV1156" s="317" t="n"/>
      <c r="AW1156" s="257" t="n"/>
      <c r="AX1156" s="258" t="n"/>
      <c r="AY1156" s="318" t="n"/>
      <c r="AZ1156" s="317" t="n"/>
      <c r="BA1156" s="257" t="n"/>
      <c r="BB1156" s="258" t="n"/>
      <c r="BC1156" s="316" t="n"/>
      <c r="BD1156" s="317" t="n"/>
      <c r="BE1156" s="257" t="n"/>
      <c r="BF1156" s="258" t="n"/>
      <c r="BG1156" s="89" t="n"/>
      <c r="BH11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56">
        <f>_xlfn.LET(r,ROW(),oc,INDEX($A:$A,r),cv,TRIM(INDEX($Y:$Y,r)&amp;""),IF(oc&lt;&gt;"P1","",IF(cv="45","V45 - novo, nao alimentado pelo spool atual","V44 - alimentado pelo spool atual")))</f>
        <v/>
      </c>
    </row>
    <row r="1157" ht="54" customFormat="1" customHeight="1" s="1512">
      <c r="A1157" s="306" t="inlineStr">
        <is>
          <t>P2</t>
        </is>
      </c>
      <c r="B1157" s="307" t="n">
        <v>260</v>
      </c>
      <c r="C1157" s="269" t="inlineStr">
        <is>
          <t>18 - Caractéristiques Titrisation</t>
        </is>
      </c>
      <c r="D1157" s="310" t="inlineStr">
        <is>
          <t>18 - Securitization characteristics</t>
        </is>
      </c>
      <c r="E1157" s="307" t="inlineStr">
        <is>
          <t>P2 16.27</t>
        </is>
      </c>
      <c r="F1157" s="308" t="inlineStr">
        <is>
          <t>Echelon qualité de crédit de la tranche à date d'arrêté</t>
        </is>
      </c>
      <c r="G1157" s="1509" t="inlineStr">
        <is>
          <t>Credit quality step of the securitization tranche at closing date</t>
        </is>
      </c>
      <c r="H1157" s="1509" t="n"/>
      <c r="I1157" s="241" t="inlineStr">
        <is>
          <t>Echelon de qualité de crédit de la tranche à date d'arrêté</t>
        </is>
      </c>
      <c r="J1157" s="1509" t="inlineStr">
        <is>
          <t>Credit quality step of the securitization tranche at closing date</t>
        </is>
      </c>
      <c r="K1157" s="1510" t="inlineStr">
        <is>
          <t>ND</t>
        </is>
      </c>
      <c r="L1157" s="1511" t="inlineStr">
        <is>
          <t>ND</t>
        </is>
      </c>
      <c r="M1157" s="1420" t="inlineStr">
        <is>
          <t>CdEchQualCreditTranArrDt</t>
        </is>
      </c>
      <c r="N1157" s="231" t="inlineStr">
        <is>
          <t>Obligatoire sous conditions</t>
        </is>
      </c>
      <c r="O1157" s="236" t="inlineStr">
        <is>
          <t>Mandatory under conditions</t>
        </is>
      </c>
      <c r="P1157" s="269" t="inlineStr">
        <is>
          <t>LC.0366</t>
        </is>
      </c>
      <c r="Q1157" s="269" t="inlineStr">
        <is>
          <t>TA Z8EQCTIT</t>
        </is>
      </c>
      <c r="R1157" s="241" t="inlineStr">
        <is>
          <t>NA</t>
        </is>
      </c>
      <c r="S1157" s="233" t="inlineStr">
        <is>
          <t>NA</t>
        </is>
      </c>
      <c r="T1157" s="313" t="inlineStr">
        <is>
          <t>ALPHA</t>
        </is>
      </c>
      <c r="U1157" s="237" t="inlineStr">
        <is>
          <t>NA</t>
        </is>
      </c>
      <c r="V1157" s="238" t="inlineStr">
        <is>
          <t>NA</t>
        </is>
      </c>
      <c r="W1157" s="257" t="n">
        <v>2</v>
      </c>
      <c r="X1157" s="945" t="inlineStr">
        <is>
          <t>NA</t>
        </is>
      </c>
      <c r="Y1157" s="237" t="n">
        <v>43</v>
      </c>
      <c r="Z1157" s="237" t="inlineStr">
        <is>
          <t>NA</t>
        </is>
      </c>
      <c r="AA1157" s="270" t="inlineStr">
        <is>
          <t>NA</t>
        </is>
      </c>
      <c r="AB1157" s="1286" t="inlineStr">
        <is>
          <t>CALCULS PRUDENTIELS</t>
        </is>
      </c>
      <c r="AC1157" s="231" t="inlineStr">
        <is>
          <t>ND</t>
        </is>
      </c>
      <c r="AD1157" s="257" t="inlineStr">
        <is>
          <t>N</t>
        </is>
      </c>
      <c r="AE1157" s="257" t="inlineStr">
        <is>
          <t>NA</t>
        </is>
      </c>
      <c r="AF1157" s="257" t="inlineStr">
        <is>
          <t>NA</t>
        </is>
      </c>
      <c r="AG1157" s="258" t="inlineStr">
        <is>
          <t>NA</t>
        </is>
      </c>
      <c r="AH1157" s="89" t="n"/>
      <c r="AI1157" s="353" t="inlineStr">
        <is>
          <t>La donnée est obligatoire, SI le Portefeuille Bâle Opération [P2 2.18] est égal à '070' ET SI [la méthode de titrisation [P2 16.24] est égale à 'ERBA' OU la Méthode de titrisation pour le calcul de l'Output Floor [P2 21.48] est égale à 'ERBA'] ET SI la donnée Type de cotation échelon de qualité de crédit de la tranche à date d'arrêté [P2 16.28] est renseignée.</t>
        </is>
      </c>
      <c r="AJ1157" s="317" t="inlineStr">
        <is>
          <t>The data is mandatory IF Basel Transaction Portfolio [P2 2.18] is equal to '070' AND IF [Securitisation method [P2 16.24] is equal to 'ERBA' OR Securitization method for the Output Floor calculation calculation [P2 21.48] is equal to 'ERBA'] AND IF Type of rating of credit quality step of the securitization tranche at closing date [P2 16.28] is filled</t>
        </is>
      </c>
      <c r="AK1157" s="257" t="n">
        <v>6</v>
      </c>
      <c r="AL1157" s="828" t="inlineStr">
        <is>
          <t>TPS1761</t>
        </is>
      </c>
      <c r="AM1157" s="452" t="inlineStr">
        <is>
          <t>Si elle est renseignée, la valeur doit être connue du Langage Commun associé</t>
        </is>
      </c>
      <c r="AN1157" s="377" t="inlineStr">
        <is>
          <t>If specified, the value must be known to the associated Common Language</t>
        </is>
      </c>
      <c r="AO1157" s="257" t="n">
        <v>7</v>
      </c>
      <c r="AP1157" s="212" t="inlineStr">
        <is>
          <t>TIG0001</t>
        </is>
      </c>
      <c r="AQ1157" s="318" t="n"/>
      <c r="AR1157" s="317" t="n"/>
      <c r="AS1157" s="257" t="n"/>
      <c r="AT1157" s="258" t="n"/>
      <c r="AU1157" s="318" t="n"/>
      <c r="AV1157" s="317" t="n"/>
      <c r="AW1157" s="257" t="n"/>
      <c r="AX1157" s="258" t="n"/>
      <c r="AY1157" s="318" t="n"/>
      <c r="AZ1157" s="317" t="n"/>
      <c r="BA1157" s="257" t="n"/>
      <c r="BB1157" s="258" t="n"/>
      <c r="BC1157" s="316" t="n"/>
      <c r="BD1157" s="317" t="n"/>
      <c r="BE1157" s="257" t="n"/>
      <c r="BF1157" s="258" t="n"/>
      <c r="BG1157" s="89" t="n"/>
      <c r="BH11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57">
        <f>_xlfn.LET(r,ROW(),oc,INDEX($A:$A,r),cv,TRIM(INDEX($Y:$Y,r)&amp;""),IF(oc&lt;&gt;"P1","",IF(cv="45","V45 - novo, nao alimentado pelo spool atual","V44 - alimentado pelo spool atual")))</f>
        <v/>
      </c>
    </row>
    <row r="1158" ht="54" customFormat="1" customHeight="1" s="1512">
      <c r="A1158" s="306" t="inlineStr">
        <is>
          <t>P2</t>
        </is>
      </c>
      <c r="B1158" s="307" t="n">
        <v>261</v>
      </c>
      <c r="C1158" s="269" t="inlineStr">
        <is>
          <t>18 - Caractéristiques Titrisation</t>
        </is>
      </c>
      <c r="D1158" s="310" t="inlineStr">
        <is>
          <t>18 - Securitization characteristics</t>
        </is>
      </c>
      <c r="E1158" s="307" t="inlineStr">
        <is>
          <t>P2 16.28</t>
        </is>
      </c>
      <c r="F1158" s="308" t="inlineStr">
        <is>
          <t>Type de cotation échelon de qualité de crédit de la tranche à date d'arrêté</t>
        </is>
      </c>
      <c r="G1158" s="1509" t="inlineStr">
        <is>
          <t xml:space="preserve">Type of rating of credit quality step of the securitization tranche at closing date </t>
        </is>
      </c>
      <c r="H1158" s="1509" t="n"/>
      <c r="I1158" s="308" t="inlineStr">
        <is>
          <t>Type de cotation échelon de qualité de crédit de la tranche à date d'arrêté (Long terme, Court terme)</t>
        </is>
      </c>
      <c r="J1158" s="1509" t="inlineStr">
        <is>
          <t>Type of rating of credit quality step of the securitization tranche at closing date (Long-term, short-term)</t>
        </is>
      </c>
      <c r="K1158" s="1510" t="inlineStr">
        <is>
          <t>ND</t>
        </is>
      </c>
      <c r="L1158" s="1511" t="inlineStr">
        <is>
          <t>ND</t>
        </is>
      </c>
      <c r="M1158" s="1420" t="inlineStr">
        <is>
          <t>TypCotEchQualCreditTranArrDt</t>
        </is>
      </c>
      <c r="N1158" s="231" t="inlineStr">
        <is>
          <t>Obligatoire sous conditions</t>
        </is>
      </c>
      <c r="O1158" s="236" t="inlineStr">
        <is>
          <t>Mandatory under conditions</t>
        </is>
      </c>
      <c r="P1158" s="269" t="inlineStr">
        <is>
          <t>LC.0181</t>
        </is>
      </c>
      <c r="Q1158" s="269" t="inlineStr">
        <is>
          <t>TA KVTCOTA</t>
        </is>
      </c>
      <c r="R1158" s="241" t="inlineStr">
        <is>
          <t>NA</t>
        </is>
      </c>
      <c r="S1158" s="233" t="inlineStr">
        <is>
          <t>NA</t>
        </is>
      </c>
      <c r="T1158" s="313" t="inlineStr">
        <is>
          <t>ALPHA</t>
        </is>
      </c>
      <c r="U1158" s="237" t="inlineStr">
        <is>
          <t>NA</t>
        </is>
      </c>
      <c r="V1158" s="238" t="inlineStr">
        <is>
          <t>NA</t>
        </is>
      </c>
      <c r="W1158" s="269" t="n">
        <v>2</v>
      </c>
      <c r="X1158" s="231" t="inlineStr">
        <is>
          <t>NA</t>
        </is>
      </c>
      <c r="Y1158" s="237" t="n">
        <v>43</v>
      </c>
      <c r="Z1158" s="237" t="inlineStr">
        <is>
          <t>NA</t>
        </is>
      </c>
      <c r="AA1158" s="270" t="inlineStr">
        <is>
          <t>NA</t>
        </is>
      </c>
      <c r="AB1158" s="1286" t="inlineStr">
        <is>
          <t>CALCULS PRUDENTIELS</t>
        </is>
      </c>
      <c r="AC1158" s="231" t="inlineStr">
        <is>
          <t>ND</t>
        </is>
      </c>
      <c r="AD1158" s="257" t="inlineStr">
        <is>
          <t>N</t>
        </is>
      </c>
      <c r="AE1158" s="257" t="inlineStr">
        <is>
          <t>NA</t>
        </is>
      </c>
      <c r="AF1158" s="257" t="inlineStr">
        <is>
          <t>NA</t>
        </is>
      </c>
      <c r="AG1158" s="258" t="inlineStr">
        <is>
          <t>NA</t>
        </is>
      </c>
      <c r="AH1158" s="89" t="n"/>
      <c r="AI1158" s="353" t="inlineStr">
        <is>
          <t>La donnée est obligatoire, SI le Portefeuille Bâle Opération [P2 2.18] est égal à '070' ET SI [la méthode de titrisation [P2 16.24] est égale à 'ERBA' OU la Méthode de titrisation pour le calcul de l'Output Floor [P2 21.48] est égale à 'ERBA'] ET SI la donnée Echelon de qualité de crédit de la tranche à date d'arrêté [P2 16.27] est renseignée.</t>
        </is>
      </c>
      <c r="AJ1158" s="317" t="inlineStr">
        <is>
          <t>The data is mandatory IF Basel Transaction Portfolio [P2 2.18] is equal to '070' AND IF [Securitisation method [P2 16.24] is equal to 'ERBA' OR Securitization method for the Output Floor calculation calculation [P2 21.48] is equal to 'ERBA'] AND IF Credit quality step of the securitization tranche at closing date [P2 16.27] is filled</t>
        </is>
      </c>
      <c r="AK1158" s="257" t="n">
        <v>6</v>
      </c>
      <c r="AL1158" s="828" t="inlineStr">
        <is>
          <t>TPS1762</t>
        </is>
      </c>
      <c r="AM1158" s="452" t="inlineStr">
        <is>
          <t>Si elle est renseignée, la valeur doit être connue du Langage Commun associé</t>
        </is>
      </c>
      <c r="AN1158" s="377" t="inlineStr">
        <is>
          <t>If specified, the value must be known to the associated Common Language</t>
        </is>
      </c>
      <c r="AO1158" s="257" t="n">
        <v>7</v>
      </c>
      <c r="AP1158" s="212" t="inlineStr">
        <is>
          <t>TIG0001</t>
        </is>
      </c>
      <c r="AQ1158" s="318" t="n"/>
      <c r="AR1158" s="317" t="n"/>
      <c r="AS1158" s="257" t="n"/>
      <c r="AT1158" s="258" t="n"/>
      <c r="AU1158" s="318" t="n"/>
      <c r="AV1158" s="317" t="n"/>
      <c r="AW1158" s="257" t="n"/>
      <c r="AX1158" s="258" t="n"/>
      <c r="AY1158" s="318" t="n"/>
      <c r="AZ1158" s="317" t="n"/>
      <c r="BA1158" s="257" t="n"/>
      <c r="BB1158" s="258" t="n"/>
      <c r="BC1158" s="316" t="n"/>
      <c r="BD1158" s="317" t="n"/>
      <c r="BE1158" s="257" t="n"/>
      <c r="BF1158" s="258" t="n"/>
      <c r="BG1158" s="89" t="n"/>
      <c r="BH11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58">
        <f>_xlfn.LET(r,ROW(),oc,INDEX($A:$A,r),cv,TRIM(INDEX($Y:$Y,r)&amp;""),IF(oc&lt;&gt;"P1","",IF(cv="45","V45 - novo, nao alimentado pelo spool atual","V44 - alimentado pelo spool atual")))</f>
        <v/>
      </c>
    </row>
    <row r="1159" ht="54" customFormat="1" customHeight="1" s="1512">
      <c r="A1159" s="306" t="inlineStr">
        <is>
          <t>P2</t>
        </is>
      </c>
      <c r="B1159" s="307" t="n">
        <v>262</v>
      </c>
      <c r="C1159" s="269" t="inlineStr">
        <is>
          <t>18 - Caractéristiques Titrisation</t>
        </is>
      </c>
      <c r="D1159" s="310" t="inlineStr">
        <is>
          <t>18 - Securitization characteristics</t>
        </is>
      </c>
      <c r="E1159" s="372" t="inlineStr">
        <is>
          <t>P2 16.29</t>
        </is>
      </c>
      <c r="F1159" s="308" t="inlineStr">
        <is>
          <t xml:space="preserve">Montant escompte d'achats non remboursables </t>
        </is>
      </c>
      <c r="G1159" s="309" t="inlineStr">
        <is>
          <t xml:space="preserve">Discount amount of non-refundable purchases </t>
        </is>
      </c>
      <c r="H1159" s="309" t="n"/>
      <c r="I1159" s="241" t="inlineStr">
        <is>
          <t xml:space="preserve">Montant d'escompte d'achats non remboursables (colonne 160 de l'état COREP Titrisation 13.1 « CR-SEC ») </t>
        </is>
      </c>
      <c r="J1159" s="1509" t="inlineStr">
        <is>
          <t>Discount amount of non-refundable purchases (column 160 of the COREP report Securitization 13.1 "CR-SEC")</t>
        </is>
      </c>
      <c r="K1159" s="1510" t="inlineStr">
        <is>
          <t>ND</t>
        </is>
      </c>
      <c r="L1159" s="1511" t="inlineStr">
        <is>
          <t>ND</t>
        </is>
      </c>
      <c r="M1159" s="1420" t="inlineStr">
        <is>
          <t>MtEscAchNonRemb</t>
        </is>
      </c>
      <c r="N1159" s="231" t="inlineStr">
        <is>
          <t>Obligatoire sous conditions</t>
        </is>
      </c>
      <c r="O1159" s="236" t="inlineStr">
        <is>
          <t>Mandatory under conditions</t>
        </is>
      </c>
      <c r="P1159" s="269" t="inlineStr">
        <is>
          <t>NA</t>
        </is>
      </c>
      <c r="Q1159" s="269" t="inlineStr">
        <is>
          <t>NA</t>
        </is>
      </c>
      <c r="R1159" s="241" t="inlineStr">
        <is>
          <t>Si pas de montants à déclarer, laisser à vide</t>
        </is>
      </c>
      <c r="S1159" s="233" t="inlineStr">
        <is>
          <t>If no amounts to report, leave empty</t>
        </is>
      </c>
      <c r="T1159" s="313" t="inlineStr">
        <is>
          <t>NUM</t>
        </is>
      </c>
      <c r="U1159" s="237" t="inlineStr">
        <is>
          <t>19 dont signe et 2 décimales</t>
        </is>
      </c>
      <c r="V1159" s="238" t="inlineStr">
        <is>
          <t>19 including sign and 2 decimals</t>
        </is>
      </c>
      <c r="W1159" s="257" t="n">
        <v>19</v>
      </c>
      <c r="X1159" s="945" t="inlineStr">
        <is>
          <t>NA</t>
        </is>
      </c>
      <c r="Y1159" s="237" t="n">
        <v>43</v>
      </c>
      <c r="Z1159" s="237" t="inlineStr">
        <is>
          <t>NA</t>
        </is>
      </c>
      <c r="AA1159" s="270" t="inlineStr">
        <is>
          <t>NA</t>
        </is>
      </c>
      <c r="AB1159" s="1286" t="inlineStr">
        <is>
          <t>CALCULS PRUDENTIELS</t>
        </is>
      </c>
      <c r="AC1159" s="231" t="inlineStr">
        <is>
          <t>ND</t>
        </is>
      </c>
      <c r="AD1159" s="257" t="inlineStr">
        <is>
          <t>N</t>
        </is>
      </c>
      <c r="AE1159" s="257" t="inlineStr">
        <is>
          <t>NA</t>
        </is>
      </c>
      <c r="AF1159" s="257" t="inlineStr">
        <is>
          <t>NA</t>
        </is>
      </c>
      <c r="AG1159" s="258" t="inlineStr">
        <is>
          <t>NA</t>
        </is>
      </c>
      <c r="AH1159" s="89" t="n"/>
      <c r="AI1159" s="353" t="inlineStr">
        <is>
          <t xml:space="preserve">La donnée est obligatoire si le Portefeuille Bâle Opération [P2 2.18] = ‘070' </t>
        </is>
      </c>
      <c r="AJ1159" s="317" t="inlineStr">
        <is>
          <t xml:space="preserve">The data is mandatory if Basel Transaction Portfolio [P2 2.18] = ‘070' </t>
        </is>
      </c>
      <c r="AK1159" s="257" t="n">
        <v>5</v>
      </c>
      <c r="AL1159" s="335" t="inlineStr">
        <is>
          <t>TPS1701</t>
        </is>
      </c>
      <c r="AM1159" s="318" t="n"/>
      <c r="AN1159" s="317" t="n"/>
      <c r="AO1159" s="257" t="n"/>
      <c r="AP1159" s="258" t="n"/>
      <c r="AQ1159" s="318" t="inlineStr">
        <is>
          <t>Si renseignée, la donnée doit être positive (supérieure ou égale à 0)</t>
        </is>
      </c>
      <c r="AR1159" s="317" t="inlineStr">
        <is>
          <t xml:space="preserve">If filled, data must be positive (greater or equal to 0) </t>
        </is>
      </c>
      <c r="AS1159" s="257" t="n">
        <v>7</v>
      </c>
      <c r="AT1159" s="345" t="inlineStr">
        <is>
          <t>TVG0001</t>
        </is>
      </c>
      <c r="AU1159" s="318" t="n"/>
      <c r="AV1159" s="317" t="n"/>
      <c r="AW1159" s="257" t="n"/>
      <c r="AX1159" s="258" t="n"/>
      <c r="AY1159" s="318" t="n"/>
      <c r="AZ1159" s="317" t="n"/>
      <c r="BA1159" s="257" t="n"/>
      <c r="BB1159" s="258" t="n"/>
      <c r="BC1159" s="316" t="n"/>
      <c r="BD1159" s="317" t="n"/>
      <c r="BE1159" s="257" t="n"/>
      <c r="BF1159" s="258" t="n"/>
      <c r="BG1159" s="89" t="n"/>
      <c r="BH11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59">
        <f>_xlfn.LET(r,ROW(),oc,INDEX($A:$A,r),cv,TRIM(INDEX($Y:$Y,r)&amp;""),IF(oc&lt;&gt;"P1","",IF(cv="45","V45 - novo, nao alimentado pelo spool atual","V44 - alimentado pelo spool atual")))</f>
        <v/>
      </c>
    </row>
    <row r="1160" ht="54" customFormat="1" customHeight="1" s="90">
      <c r="A1160" s="306" t="inlineStr">
        <is>
          <t>P2</t>
        </is>
      </c>
      <c r="B1160" s="307" t="n">
        <v>263</v>
      </c>
      <c r="C1160" s="269" t="inlineStr">
        <is>
          <t>18 - Caractéristiques Titrisation</t>
        </is>
      </c>
      <c r="D1160" s="310" t="inlineStr">
        <is>
          <t>18 - Securitization characteristics</t>
        </is>
      </c>
      <c r="E1160" s="372" t="inlineStr">
        <is>
          <t>P2 16.30</t>
        </is>
      </c>
      <c r="F1160" s="308" t="inlineStr">
        <is>
          <t xml:space="preserve">Devise du montant escompte d'achats non remboursables </t>
        </is>
      </c>
      <c r="G1160" s="309" t="inlineStr">
        <is>
          <t xml:space="preserve">Currency of the discount amount of non-refundable purchases </t>
        </is>
      </c>
      <c r="H1160" s="309" t="n"/>
      <c r="I1160" s="241" t="inlineStr">
        <is>
          <t>Devise d'expression du montant escompte d'achats non remboursables</t>
        </is>
      </c>
      <c r="J1160" s="309" t="inlineStr">
        <is>
          <t>Currency of the amount of discount amount of non-refundable purchases</t>
        </is>
      </c>
      <c r="K1160" s="370" t="inlineStr">
        <is>
          <t>ND</t>
        </is>
      </c>
      <c r="L1160" s="371" t="inlineStr">
        <is>
          <t>ND</t>
        </is>
      </c>
      <c r="M1160" s="1420" t="inlineStr">
        <is>
          <t>cdDevEscAchNonRemb</t>
        </is>
      </c>
      <c r="N1160" s="231" t="inlineStr">
        <is>
          <t>Obligatoire sous conditions</t>
        </is>
      </c>
      <c r="O1160" s="236" t="inlineStr">
        <is>
          <t>Mandatory under conditions</t>
        </is>
      </c>
      <c r="P1160" s="269" t="inlineStr">
        <is>
          <t>LC.0005</t>
        </is>
      </c>
      <c r="Q1160" s="269" t="inlineStr">
        <is>
          <t>TA NM253</t>
        </is>
      </c>
      <c r="R1160" s="241" t="inlineStr">
        <is>
          <t>NA</t>
        </is>
      </c>
      <c r="S1160" s="233" t="inlineStr">
        <is>
          <t>NA</t>
        </is>
      </c>
      <c r="T1160" s="313" t="inlineStr">
        <is>
          <t>ALPHA</t>
        </is>
      </c>
      <c r="U1160" s="237" t="inlineStr">
        <is>
          <t>NA</t>
        </is>
      </c>
      <c r="V1160" s="238" t="inlineStr">
        <is>
          <t>NA</t>
        </is>
      </c>
      <c r="W1160" s="257" t="n">
        <v>3</v>
      </c>
      <c r="X1160" s="945" t="inlineStr">
        <is>
          <t>NA</t>
        </is>
      </c>
      <c r="Y1160" s="237" t="n">
        <v>43</v>
      </c>
      <c r="Z1160" s="237" t="inlineStr">
        <is>
          <t>NA</t>
        </is>
      </c>
      <c r="AA1160" s="270" t="inlineStr">
        <is>
          <t>NA</t>
        </is>
      </c>
      <c r="AB1160" s="1286" t="inlineStr">
        <is>
          <t>CALCULS PRUDENTIELS</t>
        </is>
      </c>
      <c r="AC1160" s="231" t="inlineStr">
        <is>
          <t>ND</t>
        </is>
      </c>
      <c r="AD1160" s="257" t="inlineStr">
        <is>
          <t>N</t>
        </is>
      </c>
      <c r="AE1160" s="257" t="inlineStr">
        <is>
          <t>NA</t>
        </is>
      </c>
      <c r="AF1160" s="257" t="inlineStr">
        <is>
          <t>NA</t>
        </is>
      </c>
      <c r="AG1160" s="258" t="inlineStr">
        <is>
          <t>NA</t>
        </is>
      </c>
      <c r="AH1160" s="89" t="n"/>
      <c r="AI1160" s="316" t="inlineStr">
        <is>
          <t>La donnée est obligatoire si la donnée montant d'escompte achats non remboursables [P2 16.29] est renseignée</t>
        </is>
      </c>
      <c r="AJ1160" s="317" t="inlineStr">
        <is>
          <t>The data is mandatory if the non-refundable purchase discount amount [P2 16.29] data is filled</t>
        </is>
      </c>
      <c r="AK1160" s="257" t="n">
        <v>7</v>
      </c>
      <c r="AL1160" s="335" t="inlineStr">
        <is>
          <t>TPG0002</t>
        </is>
      </c>
      <c r="AM1160" s="452" t="inlineStr">
        <is>
          <t>Si elle est renseignée, la valeur doit être connue du Langage Commun associé</t>
        </is>
      </c>
      <c r="AN1160" s="377" t="inlineStr">
        <is>
          <t>If specified, the value must be known to the associated Common Language</t>
        </is>
      </c>
      <c r="AO1160" s="257" t="n">
        <v>7</v>
      </c>
      <c r="AP1160" s="212" t="inlineStr">
        <is>
          <t>TIG0001</t>
        </is>
      </c>
      <c r="AQ1160" s="318" t="n"/>
      <c r="AR1160" s="317" t="n"/>
      <c r="AS1160" s="257" t="n"/>
      <c r="AT1160" s="258" t="n"/>
      <c r="AU1160" s="318" t="n"/>
      <c r="AV1160" s="317" t="n"/>
      <c r="AW1160" s="257" t="n"/>
      <c r="AX1160" s="258" t="n"/>
      <c r="AY1160" s="318" t="n"/>
      <c r="AZ1160" s="317" t="n"/>
      <c r="BA1160" s="257" t="n"/>
      <c r="BB1160" s="258" t="n"/>
      <c r="BC1160" s="316" t="n"/>
      <c r="BD1160" s="317" t="n"/>
      <c r="BE1160" s="257" t="n"/>
      <c r="BF1160" s="258" t="n"/>
      <c r="BG1160" s="89" t="n"/>
      <c r="BH11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60">
        <f>_xlfn.LET(r,ROW(),oc,INDEX($A:$A,r),cv,TRIM(INDEX($Y:$Y,r)&amp;""),IF(oc&lt;&gt;"P1","",IF(cv="45","V45 - novo, nao alimentado pelo spool atual","V44 - alimentado pelo spool atual")))</f>
        <v/>
      </c>
    </row>
    <row r="1161" ht="54" customFormat="1" customHeight="1" s="90">
      <c r="A1161" s="306" t="inlineStr">
        <is>
          <t>P2</t>
        </is>
      </c>
      <c r="B1161" s="307" t="n">
        <v>264</v>
      </c>
      <c r="C1161" s="269" t="inlineStr">
        <is>
          <t>14 - Caractéristiques Sous-jacent</t>
        </is>
      </c>
      <c r="D1161" s="310" t="inlineStr">
        <is>
          <t>14 - Underlying characteristics</t>
        </is>
      </c>
      <c r="E1161" s="372" t="inlineStr">
        <is>
          <t>P2 16.31</t>
        </is>
      </c>
      <c r="F1161" s="524" t="inlineStr">
        <is>
          <t>Montant de l'ajustement spécifique du risque de crédit sur des expositions sous-jacentes</t>
        </is>
      </c>
      <c r="G1161" s="309" t="inlineStr">
        <is>
          <t>Amount of specific adjustment of credit risk on underlying exposures</t>
        </is>
      </c>
      <c r="H1161" s="309" t="n"/>
      <c r="I1161" s="241" t="inlineStr">
        <is>
          <t>L'ajustement spécifique du risque de crédit sur des expositions sous-jacentes (colonne 170 de l'état COREP Titrisation 13.1 « CR-SEC ») correspond au montant de provisions adossé aux créances titrisées (et pas aux provisions qui concernent la position de titrisation)</t>
        </is>
      </c>
      <c r="J1161" s="233" t="inlineStr">
        <is>
          <t>The specific adjustment of credit risk on underlying exposures (column 170 of statement COREP Securitization 13.1 "CR-SEC"). corresponds to the amount of provisions backing securitised loans (and not to provisions relating to the securitization position)</t>
        </is>
      </c>
      <c r="K1161" s="269" t="inlineStr">
        <is>
          <t>ND</t>
        </is>
      </c>
      <c r="L1161" s="310" t="inlineStr">
        <is>
          <t>ND</t>
        </is>
      </c>
      <c r="M1161" s="1420" t="inlineStr">
        <is>
          <t>mtAjustExpo</t>
        </is>
      </c>
      <c r="N1161" s="231" t="inlineStr">
        <is>
          <t>Obligatoire sous conditions</t>
        </is>
      </c>
      <c r="O1161" s="236" t="inlineStr">
        <is>
          <t>Mandatory under conditions</t>
        </is>
      </c>
      <c r="P1161" s="269" t="inlineStr">
        <is>
          <t>NA</t>
        </is>
      </c>
      <c r="Q1161" s="269" t="inlineStr">
        <is>
          <t>NA</t>
        </is>
      </c>
      <c r="R1161" s="241" t="inlineStr">
        <is>
          <t>Si pas de montants à déclarer, laisser à vide</t>
        </is>
      </c>
      <c r="S1161" s="233" t="inlineStr">
        <is>
          <t>If no amounts to report, leave empty</t>
        </is>
      </c>
      <c r="T1161" s="313" t="inlineStr">
        <is>
          <t>NUM</t>
        </is>
      </c>
      <c r="U1161" s="237" t="inlineStr">
        <is>
          <t>19 dont signe et 2 décimales</t>
        </is>
      </c>
      <c r="V1161" s="238" t="inlineStr">
        <is>
          <t>19 including sign and 2 decimals</t>
        </is>
      </c>
      <c r="W1161" s="257" t="n">
        <v>19</v>
      </c>
      <c r="X1161" s="945" t="inlineStr">
        <is>
          <t>NA</t>
        </is>
      </c>
      <c r="Y1161" s="237" t="n">
        <v>43</v>
      </c>
      <c r="Z1161" s="237" t="inlineStr">
        <is>
          <t>NA</t>
        </is>
      </c>
      <c r="AA1161" s="270" t="inlineStr">
        <is>
          <t>NA</t>
        </is>
      </c>
      <c r="AB1161" s="1286" t="inlineStr">
        <is>
          <t>CALCULS PRUDENTIELS</t>
        </is>
      </c>
      <c r="AC1161" s="231" t="inlineStr">
        <is>
          <t>ND</t>
        </is>
      </c>
      <c r="AD1161" s="257" t="inlineStr">
        <is>
          <t>N</t>
        </is>
      </c>
      <c r="AE1161" s="257" t="inlineStr">
        <is>
          <t>NA</t>
        </is>
      </c>
      <c r="AF1161" s="257" t="inlineStr">
        <is>
          <t>NA</t>
        </is>
      </c>
      <c r="AG1161" s="258" t="inlineStr">
        <is>
          <t>NA</t>
        </is>
      </c>
      <c r="AH1161" s="89" t="n"/>
      <c r="AI1161" s="353" t="inlineStr">
        <is>
          <t xml:space="preserve">La donnée est obligatoire si le Portefeuille Bâle Opération [P2 2.18] = ‘070' </t>
        </is>
      </c>
      <c r="AJ1161" s="317" t="inlineStr">
        <is>
          <t xml:space="preserve">The data is mandatory if Basel Transaction Portfolio [P2 2.18] = ‘070' </t>
        </is>
      </c>
      <c r="AK1161" s="257" t="n">
        <v>5</v>
      </c>
      <c r="AL1161" s="335" t="inlineStr">
        <is>
          <t>TPS1701</t>
        </is>
      </c>
      <c r="AM1161" s="318" t="n"/>
      <c r="AN1161" s="317" t="n"/>
      <c r="AO1161" s="257" t="n"/>
      <c r="AP1161" s="258" t="n"/>
      <c r="AQ1161" s="318" t="inlineStr">
        <is>
          <t>Si renseignée, la donnée doit être positive (supérieure ou égale à 0)</t>
        </is>
      </c>
      <c r="AR1161" s="317" t="inlineStr">
        <is>
          <t xml:space="preserve">If filled, data must be positive (greater or equal to 0) </t>
        </is>
      </c>
      <c r="AS1161" s="257" t="n">
        <v>7</v>
      </c>
      <c r="AT1161" s="345" t="inlineStr">
        <is>
          <t>TVG0001</t>
        </is>
      </c>
      <c r="AU1161" s="318" t="n"/>
      <c r="AV1161" s="317" t="n"/>
      <c r="AW1161" s="257" t="n"/>
      <c r="AX1161" s="258" t="n"/>
      <c r="AY1161" s="318" t="n"/>
      <c r="AZ1161" s="317" t="n"/>
      <c r="BA1161" s="257" t="n"/>
      <c r="BB1161" s="258" t="n"/>
      <c r="BC1161" s="316" t="n"/>
      <c r="BD1161" s="317" t="n"/>
      <c r="BE1161" s="257" t="n"/>
      <c r="BF1161" s="258" t="n"/>
      <c r="BG1161" s="89" t="n"/>
      <c r="BH11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61">
        <f>_xlfn.LET(r,ROW(),oc,INDEX($A:$A,r),cv,TRIM(INDEX($Y:$Y,r)&amp;""),IF(oc&lt;&gt;"P1","",IF(cv="45","V45 - novo, nao alimentado pelo spool atual","V44 - alimentado pelo spool atual")))</f>
        <v/>
      </c>
    </row>
    <row r="1162" ht="54" customFormat="1" customHeight="1" s="90">
      <c r="A1162" s="306" t="inlineStr">
        <is>
          <t>P2</t>
        </is>
      </c>
      <c r="B1162" s="307" t="n">
        <v>265</v>
      </c>
      <c r="C1162" s="269" t="inlineStr">
        <is>
          <t>14 - Caractéristiques Sous-jacent</t>
        </is>
      </c>
      <c r="D1162" s="310" t="inlineStr">
        <is>
          <t>14 - Underlying characteristics</t>
        </is>
      </c>
      <c r="E1162" s="372" t="inlineStr">
        <is>
          <t>P2 16.32</t>
        </is>
      </c>
      <c r="F1162" s="524" t="inlineStr">
        <is>
          <t>Devise du montant de l'ajustement spécifique du risque de crédit sur des expositions sous-jacentes</t>
        </is>
      </c>
      <c r="G1162" s="309" t="inlineStr">
        <is>
          <t>Currency of amount of specific adjustment of credit risk on underlying exposures</t>
        </is>
      </c>
      <c r="H1162" s="309" t="n"/>
      <c r="I1162" s="241" t="inlineStr">
        <is>
          <t>Devise d'expression de l'ajustement spécifique du risque de crédit sur des expositions sous-jacentes</t>
        </is>
      </c>
      <c r="J1162" s="309" t="inlineStr">
        <is>
          <t>Currency of the specific adjustment of credit risk on underlying exposures</t>
        </is>
      </c>
      <c r="K1162" s="370" t="inlineStr">
        <is>
          <t>ND</t>
        </is>
      </c>
      <c r="L1162" s="371" t="inlineStr">
        <is>
          <t>ND</t>
        </is>
      </c>
      <c r="M1162" s="1420" t="inlineStr">
        <is>
          <t>cdDevAjustExpo</t>
        </is>
      </c>
      <c r="N1162" s="231" t="inlineStr">
        <is>
          <t>Obligatoire sous conditions</t>
        </is>
      </c>
      <c r="O1162" s="236" t="inlineStr">
        <is>
          <t>Mandatory under conditions</t>
        </is>
      </c>
      <c r="P1162" s="269" t="inlineStr">
        <is>
          <t>LC.0005</t>
        </is>
      </c>
      <c r="Q1162" s="269" t="inlineStr">
        <is>
          <t>TA NM253</t>
        </is>
      </c>
      <c r="R1162" s="241" t="inlineStr">
        <is>
          <t>NA</t>
        </is>
      </c>
      <c r="S1162" s="233" t="inlineStr">
        <is>
          <t>NA</t>
        </is>
      </c>
      <c r="T1162" s="313" t="inlineStr">
        <is>
          <t>ALPHA</t>
        </is>
      </c>
      <c r="U1162" s="237" t="inlineStr">
        <is>
          <t>NA</t>
        </is>
      </c>
      <c r="V1162" s="238" t="inlineStr">
        <is>
          <t>NA</t>
        </is>
      </c>
      <c r="W1162" s="257" t="n">
        <v>3</v>
      </c>
      <c r="X1162" s="945" t="inlineStr">
        <is>
          <t>NA</t>
        </is>
      </c>
      <c r="Y1162" s="237" t="n">
        <v>43</v>
      </c>
      <c r="Z1162" s="237" t="inlineStr">
        <is>
          <t>NA</t>
        </is>
      </c>
      <c r="AA1162" s="270" t="inlineStr">
        <is>
          <t>NA</t>
        </is>
      </c>
      <c r="AB1162" s="1286" t="inlineStr">
        <is>
          <t>CALCULS PRUDENTIELS</t>
        </is>
      </c>
      <c r="AC1162" s="231" t="inlineStr">
        <is>
          <t>ND</t>
        </is>
      </c>
      <c r="AD1162" s="257" t="inlineStr">
        <is>
          <t>N</t>
        </is>
      </c>
      <c r="AE1162" s="257" t="inlineStr">
        <is>
          <t>NA</t>
        </is>
      </c>
      <c r="AF1162" s="257" t="inlineStr">
        <is>
          <t>NA</t>
        </is>
      </c>
      <c r="AG1162" s="258" t="inlineStr">
        <is>
          <t>NA</t>
        </is>
      </c>
      <c r="AH1162" s="89" t="n"/>
      <c r="AI1162" s="702" t="inlineStr">
        <is>
          <t>La donnée est obligatoire si la donnée Montant de l'ajustement spécifique du risque de crédit sur des expositions sous-jacentes [P2 16.31] est renseignée</t>
        </is>
      </c>
      <c r="AJ1162" s="317" t="inlineStr">
        <is>
          <t>The data is mandatory if the Amount of specific adjustment of credit risk on underlying exposures [P2 16.31] is filled</t>
        </is>
      </c>
      <c r="AK1162" s="257" t="n">
        <v>7</v>
      </c>
      <c r="AL1162" s="335" t="inlineStr">
        <is>
          <t>TPG0002</t>
        </is>
      </c>
      <c r="AM1162" s="452" t="inlineStr">
        <is>
          <t>Si elle est renseignée, la valeur doit être connue du Langage Commun associé</t>
        </is>
      </c>
      <c r="AN1162" s="377" t="inlineStr">
        <is>
          <t>If specified, the value must be known to the associated Common Language</t>
        </is>
      </c>
      <c r="AO1162" s="257" t="n">
        <v>7</v>
      </c>
      <c r="AP1162" s="212" t="inlineStr">
        <is>
          <t>TIG0001</t>
        </is>
      </c>
      <c r="AQ1162" s="318" t="n"/>
      <c r="AR1162" s="317" t="n"/>
      <c r="AS1162" s="257" t="n"/>
      <c r="AT1162" s="258" t="n"/>
      <c r="AU1162" s="318" t="n"/>
      <c r="AV1162" s="317" t="n"/>
      <c r="AW1162" s="257" t="n"/>
      <c r="AX1162" s="258" t="n"/>
      <c r="AY1162" s="318" t="n"/>
      <c r="AZ1162" s="317" t="n"/>
      <c r="BA1162" s="257" t="n"/>
      <c r="BB1162" s="258" t="n"/>
      <c r="BC1162" s="316" t="n"/>
      <c r="BD1162" s="317" t="n"/>
      <c r="BE1162" s="257" t="n"/>
      <c r="BF1162" s="258" t="n"/>
      <c r="BG1162" s="89" t="n"/>
      <c r="BH11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62">
        <f>_xlfn.LET(r,ROW(),oc,INDEX($A:$A,r),cv,TRIM(INDEX($Y:$Y,r)&amp;""),IF(oc&lt;&gt;"P1","",IF(cv="45","V45 - novo, nao alimentado pelo spool atual","V44 - alimentado pelo spool atual")))</f>
        <v/>
      </c>
    </row>
    <row r="1163" ht="54" customFormat="1" customHeight="1" s="90">
      <c r="A1163" s="306" t="inlineStr">
        <is>
          <t>P2</t>
        </is>
      </c>
      <c r="B1163" s="307" t="n">
        <v>266</v>
      </c>
      <c r="C1163" s="269" t="inlineStr">
        <is>
          <t>18 - Caractéristiques Titrisation</t>
        </is>
      </c>
      <c r="D1163" s="310" t="inlineStr">
        <is>
          <t>18 - Securitization characteristics</t>
        </is>
      </c>
      <c r="E1163" s="372" t="inlineStr">
        <is>
          <t>P2 16.33</t>
        </is>
      </c>
      <c r="F1163" s="308" t="inlineStr">
        <is>
          <t>Valeur exposée au risque des positions déduites des fonds propres</t>
        </is>
      </c>
      <c r="G1163" s="309" t="inlineStr">
        <is>
          <t xml:space="preserve">Exposure value of positions deducted from own funds </t>
        </is>
      </c>
      <c r="H1163" s="309" t="n"/>
      <c r="I1163" s="241" t="inlineStr">
        <is>
          <t>Valeur exposée au risque des positions déduites des fonds propres (colonne 190 de l'état COREP Titrisation 13.1 « CR-SEC »). Dans le cas d'une titrisation pondérée à 1250% on peut faire le choix de déduire ce montant des emplois pondérés</t>
        </is>
      </c>
      <c r="J1163" s="233" t="inlineStr">
        <is>
          <t>Exposure value of positions deducted from own funds (column 190 of COREP securitization statement 13.1 "CR-SEC"). In the case of a 1250% risk-weighted securitization, you can choose to deduct this amount from the risk-weighted assets</t>
        </is>
      </c>
      <c r="K1163" s="269" t="inlineStr">
        <is>
          <t>ND</t>
        </is>
      </c>
      <c r="L1163" s="310" t="inlineStr">
        <is>
          <t>ND</t>
        </is>
      </c>
      <c r="M1163" s="1420" t="inlineStr">
        <is>
          <t>MtValFondProp</t>
        </is>
      </c>
      <c r="N1163" s="231" t="inlineStr">
        <is>
          <t>Obligatoire sous conditions</t>
        </is>
      </c>
      <c r="O1163" s="236" t="inlineStr">
        <is>
          <t>Mandatory under conditions</t>
        </is>
      </c>
      <c r="P1163" s="269" t="inlineStr">
        <is>
          <t>NA</t>
        </is>
      </c>
      <c r="Q1163" s="269" t="inlineStr">
        <is>
          <t>NA</t>
        </is>
      </c>
      <c r="R1163" s="241" t="inlineStr">
        <is>
          <t>Si pas de montants à déclarer, laisser à vide</t>
        </is>
      </c>
      <c r="S1163" s="233" t="inlineStr">
        <is>
          <t>If no amounts to report, leave empty</t>
        </is>
      </c>
      <c r="T1163" s="313" t="inlineStr">
        <is>
          <t>NUM</t>
        </is>
      </c>
      <c r="U1163" s="237" t="inlineStr">
        <is>
          <t>19 dont signe et 2 décimales</t>
        </is>
      </c>
      <c r="V1163" s="238" t="inlineStr">
        <is>
          <t>19 including sign and 2 decimals</t>
        </is>
      </c>
      <c r="W1163" s="257" t="n">
        <v>19</v>
      </c>
      <c r="X1163" s="945" t="inlineStr">
        <is>
          <t>NA</t>
        </is>
      </c>
      <c r="Y1163" s="237" t="n">
        <v>43</v>
      </c>
      <c r="Z1163" s="237" t="inlineStr">
        <is>
          <t>NA</t>
        </is>
      </c>
      <c r="AA1163" s="270" t="inlineStr">
        <is>
          <t>NA</t>
        </is>
      </c>
      <c r="AB1163" s="1286" t="inlineStr">
        <is>
          <t>CALCULS PRUDENTIELS</t>
        </is>
      </c>
      <c r="AC1163" s="231" t="inlineStr">
        <is>
          <t>ND</t>
        </is>
      </c>
      <c r="AD1163" s="257" t="inlineStr">
        <is>
          <t>N</t>
        </is>
      </c>
      <c r="AE1163" s="257" t="inlineStr">
        <is>
          <t>NA</t>
        </is>
      </c>
      <c r="AF1163" s="257" t="inlineStr">
        <is>
          <t>NA</t>
        </is>
      </c>
      <c r="AG1163" s="258" t="inlineStr">
        <is>
          <t>NA</t>
        </is>
      </c>
      <c r="AH1163" s="89" t="n"/>
      <c r="AI1163" s="353" t="inlineStr">
        <is>
          <t xml:space="preserve">La donnée est obligatoire si le Portefeuille Bâle Opération [P2 2.18] = ‘070' </t>
        </is>
      </c>
      <c r="AJ1163" s="317" t="inlineStr">
        <is>
          <t xml:space="preserve">The data is mandatory if Basel Transaction Portfolio [P2 2.18] = ‘070' </t>
        </is>
      </c>
      <c r="AK1163" s="257" t="n">
        <v>5</v>
      </c>
      <c r="AL1163" s="335" t="inlineStr">
        <is>
          <t>TPS1701</t>
        </is>
      </c>
      <c r="AM1163" s="318" t="n"/>
      <c r="AN1163" s="317" t="n"/>
      <c r="AO1163" s="257" t="n"/>
      <c r="AP1163" s="258" t="n"/>
      <c r="AQ1163" s="318" t="inlineStr">
        <is>
          <t>Si renseignée, la donnée doit être positive (supérieure ou égale à 0)</t>
        </is>
      </c>
      <c r="AR1163" s="317" t="inlineStr">
        <is>
          <t xml:space="preserve">If filled, data must be positive (greater or equal to 0) </t>
        </is>
      </c>
      <c r="AS1163" s="257" t="n">
        <v>7</v>
      </c>
      <c r="AT1163" s="345" t="inlineStr">
        <is>
          <t>TVG0001</t>
        </is>
      </c>
      <c r="AU1163" s="318" t="n"/>
      <c r="AV1163" s="317" t="n"/>
      <c r="AW1163" s="257" t="n"/>
      <c r="AX1163" s="258" t="n"/>
      <c r="AY1163" s="318" t="n"/>
      <c r="AZ1163" s="317" t="n"/>
      <c r="BA1163" s="257" t="n"/>
      <c r="BB1163" s="258" t="n"/>
      <c r="BC1163" s="316" t="n"/>
      <c r="BD1163" s="317" t="n"/>
      <c r="BE1163" s="257" t="n"/>
      <c r="BF1163" s="258" t="n"/>
      <c r="BG1163" s="89" t="n"/>
      <c r="BH11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63">
        <f>_xlfn.LET(r,ROW(),oc,INDEX($A:$A,r),cv,TRIM(INDEX($Y:$Y,r)&amp;""),IF(oc&lt;&gt;"P1","",IF(cv="45","V45 - novo, nao alimentado pelo spool atual","V44 - alimentado pelo spool atual")))</f>
        <v/>
      </c>
    </row>
    <row r="1164" ht="54" customFormat="1" customHeight="1" s="1512">
      <c r="A1164" s="306" t="inlineStr">
        <is>
          <t>P2</t>
        </is>
      </c>
      <c r="B1164" s="307" t="n">
        <v>267</v>
      </c>
      <c r="C1164" s="269" t="inlineStr">
        <is>
          <t>18 - Caractéristiques Titrisation</t>
        </is>
      </c>
      <c r="D1164" s="310" t="inlineStr">
        <is>
          <t>18 - Securitization characteristics</t>
        </is>
      </c>
      <c r="E1164" s="372" t="inlineStr">
        <is>
          <t>P2 16.34</t>
        </is>
      </c>
      <c r="F1164" s="308" t="inlineStr">
        <is>
          <t>Devise de la valeur exposée au risque des positions déduites des fonds propres</t>
        </is>
      </c>
      <c r="G1164" s="1509" t="inlineStr">
        <is>
          <t xml:space="preserve">Currency of exposure value of positions deducted from own funds </t>
        </is>
      </c>
      <c r="H1164" s="1509" t="n"/>
      <c r="I1164" s="241" t="inlineStr">
        <is>
          <t>Devise d'expression de la valeur exposée au risque des positions déduites des fonds propres</t>
        </is>
      </c>
      <c r="J1164" s="233" t="inlineStr">
        <is>
          <t>Currency of the exposure value of positions deducted from own funds</t>
        </is>
      </c>
      <c r="K1164" s="269" t="inlineStr">
        <is>
          <t>ND</t>
        </is>
      </c>
      <c r="L1164" s="310" t="inlineStr">
        <is>
          <t>ND</t>
        </is>
      </c>
      <c r="M1164" s="1420" t="inlineStr">
        <is>
          <t>cdDevValFondProp</t>
        </is>
      </c>
      <c r="N1164" s="231" t="inlineStr">
        <is>
          <t>Obligatoire sous conditions</t>
        </is>
      </c>
      <c r="O1164" s="236" t="inlineStr">
        <is>
          <t>Mandatory under conditions</t>
        </is>
      </c>
      <c r="P1164" s="269" t="inlineStr">
        <is>
          <t>LC.0005</t>
        </is>
      </c>
      <c r="Q1164" s="269" t="inlineStr">
        <is>
          <t>TA NM253</t>
        </is>
      </c>
      <c r="R1164" s="241" t="inlineStr">
        <is>
          <t>NA</t>
        </is>
      </c>
      <c r="S1164" s="233" t="inlineStr">
        <is>
          <t>NA</t>
        </is>
      </c>
      <c r="T1164" s="313" t="inlineStr">
        <is>
          <t>ALPHA</t>
        </is>
      </c>
      <c r="U1164" s="237" t="inlineStr">
        <is>
          <t>NA</t>
        </is>
      </c>
      <c r="V1164" s="238" t="inlineStr">
        <is>
          <t>NA</t>
        </is>
      </c>
      <c r="W1164" s="257" t="n">
        <v>3</v>
      </c>
      <c r="X1164" s="945" t="inlineStr">
        <is>
          <t>NA</t>
        </is>
      </c>
      <c r="Y1164" s="237" t="n">
        <v>43</v>
      </c>
      <c r="Z1164" s="237" t="inlineStr">
        <is>
          <t>NA</t>
        </is>
      </c>
      <c r="AA1164" s="270" t="inlineStr">
        <is>
          <t>NA</t>
        </is>
      </c>
      <c r="AB1164" s="1286" t="inlineStr">
        <is>
          <t>CALCULS PRUDENTIELS</t>
        </is>
      </c>
      <c r="AC1164" s="231" t="inlineStr">
        <is>
          <t>ND</t>
        </is>
      </c>
      <c r="AD1164" s="257" t="inlineStr">
        <is>
          <t>N</t>
        </is>
      </c>
      <c r="AE1164" s="257" t="inlineStr">
        <is>
          <t>NA</t>
        </is>
      </c>
      <c r="AF1164" s="257" t="inlineStr">
        <is>
          <t>NA</t>
        </is>
      </c>
      <c r="AG1164" s="258" t="inlineStr">
        <is>
          <t>NA</t>
        </is>
      </c>
      <c r="AH1164" s="89" t="n"/>
      <c r="AI1164" s="353" t="inlineStr">
        <is>
          <t>La donnée est obligatoire si la donnée valeur exposée au risque des positions déduites des fonds propres [P2 16.33] est renseignée</t>
        </is>
      </c>
      <c r="AJ1164" s="317" t="inlineStr">
        <is>
          <t>The data is mandatory if the data risk exposure value of the positions derived from the equities [P2 16.33] is filled</t>
        </is>
      </c>
      <c r="AK1164" s="269" t="n">
        <v>7</v>
      </c>
      <c r="AL1164" s="335" t="inlineStr">
        <is>
          <t>TPG0002</t>
        </is>
      </c>
      <c r="AM1164" s="452" t="inlineStr">
        <is>
          <t>Si elle est renseignée, la valeur doit être connue du Langage Commun associé</t>
        </is>
      </c>
      <c r="AN1164" s="377" t="inlineStr">
        <is>
          <t>If specified, the value must be known to the associated Common Language</t>
        </is>
      </c>
      <c r="AO1164" s="257" t="n">
        <v>7</v>
      </c>
      <c r="AP1164" s="212" t="inlineStr">
        <is>
          <t>TIG0001</t>
        </is>
      </c>
      <c r="AQ1164" s="318" t="n"/>
      <c r="AR1164" s="317" t="n"/>
      <c r="AS1164" s="257" t="n"/>
      <c r="AT1164" s="258" t="n"/>
      <c r="AU1164" s="318" t="n"/>
      <c r="AV1164" s="317" t="n"/>
      <c r="AW1164" s="257" t="n"/>
      <c r="AX1164" s="258" t="n"/>
      <c r="AY1164" s="318" t="n"/>
      <c r="AZ1164" s="317" t="n"/>
      <c r="BA1164" s="257" t="n"/>
      <c r="BB1164" s="258" t="n"/>
      <c r="BC1164" s="316" t="n"/>
      <c r="BD1164" s="317" t="n"/>
      <c r="BE1164" s="257" t="n"/>
      <c r="BF1164" s="258" t="n"/>
      <c r="BG1164" s="89" t="n"/>
      <c r="BH11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64">
        <f>_xlfn.LET(r,ROW(),oc,INDEX($A:$A,r),cv,TRIM(INDEX($Y:$Y,r)&amp;""),IF(oc&lt;&gt;"P1","",IF(cv="45","V45 - novo, nao alimentado pelo spool atual","V44 - alimentado pelo spool atual")))</f>
        <v/>
      </c>
    </row>
    <row r="1165" ht="54" customFormat="1" customHeight="1" s="1512">
      <c r="A1165" s="306" t="inlineStr">
        <is>
          <t>P2</t>
        </is>
      </c>
      <c r="B1165" s="307" t="n">
        <v>268</v>
      </c>
      <c r="C1165" s="269" t="inlineStr">
        <is>
          <t>18 - Caractéristiques Titrisation</t>
        </is>
      </c>
      <c r="D1165" s="310" t="inlineStr">
        <is>
          <t>18 - Securitization characteristics</t>
        </is>
      </c>
      <c r="E1165" s="372" t="inlineStr">
        <is>
          <t>P2 16.35</t>
        </is>
      </c>
      <c r="F1165" s="524" t="inlineStr">
        <is>
          <t xml:space="preserve">Montant de l'ajustement des risques pondérés lié à décote d'asymétrie d'échéance </t>
        </is>
      </c>
      <c r="G1165" s="309" t="inlineStr">
        <is>
          <t>Amount of adjustment of risk-weighted assets linked to discount for maturity mismatch</t>
        </is>
      </c>
      <c r="H1165" s="309" t="n"/>
      <c r="I1165" s="241" t="inlineStr">
        <is>
          <t>Montant des ajustements des risques pondérés liés aux décalages d'échéances (colonne 870 l'état COREP Titrisation 13.1 « CR-SEC »). Il s'agit du montant de RWA lié à une décote d'asymétrie d'échéance
Concerne uniquement les titrisations synthétiques</t>
        </is>
      </c>
      <c r="J1165" s="233" t="inlineStr">
        <is>
          <t>Amount of risk-weighted adjustments related to maturity mismatches (column 870 of the COREP securitization statement 13.1 "CR-SEC"). This is the amount of RWA linked to a discount for maturity mismatch
Covers only synthetic securitizations</t>
        </is>
      </c>
      <c r="K1165" s="269" t="inlineStr">
        <is>
          <t>ND</t>
        </is>
      </c>
      <c r="L1165" s="310" t="inlineStr">
        <is>
          <t>ND</t>
        </is>
      </c>
      <c r="M1165" s="1420" t="inlineStr">
        <is>
          <t>mtAjustDec</t>
        </is>
      </c>
      <c r="N1165" s="231" t="inlineStr">
        <is>
          <t>Obligatoire sous conditions</t>
        </is>
      </c>
      <c r="O1165" s="236" t="inlineStr">
        <is>
          <t>Mandatory under conditions</t>
        </is>
      </c>
      <c r="P1165" s="269" t="inlineStr">
        <is>
          <t>NA</t>
        </is>
      </c>
      <c r="Q1165" s="269" t="inlineStr">
        <is>
          <t>NA</t>
        </is>
      </c>
      <c r="R1165" s="241" t="inlineStr">
        <is>
          <t>Si pas de montants à déclarer, laisser à vide</t>
        </is>
      </c>
      <c r="S1165" s="233" t="inlineStr">
        <is>
          <t>If no amounts to report, leave empty</t>
        </is>
      </c>
      <c r="T1165" s="313" t="inlineStr">
        <is>
          <t>NUM</t>
        </is>
      </c>
      <c r="U1165" s="237" t="inlineStr">
        <is>
          <t>19 dont signe et 2 décimales</t>
        </is>
      </c>
      <c r="V1165" s="238" t="inlineStr">
        <is>
          <t>19 including sign and 2 decimals</t>
        </is>
      </c>
      <c r="W1165" s="257" t="n">
        <v>19</v>
      </c>
      <c r="X1165" s="945" t="inlineStr">
        <is>
          <t>NA</t>
        </is>
      </c>
      <c r="Y1165" s="237" t="n">
        <v>43</v>
      </c>
      <c r="Z1165" s="237" t="inlineStr">
        <is>
          <t>NA</t>
        </is>
      </c>
      <c r="AA1165" s="270" t="inlineStr">
        <is>
          <t>NA</t>
        </is>
      </c>
      <c r="AB1165" s="1286" t="inlineStr">
        <is>
          <t>CALCULS PRUDENTIELS</t>
        </is>
      </c>
      <c r="AC1165" s="231" t="inlineStr">
        <is>
          <t>ND</t>
        </is>
      </c>
      <c r="AD1165" s="257" t="inlineStr">
        <is>
          <t>N</t>
        </is>
      </c>
      <c r="AE1165" s="257" t="inlineStr">
        <is>
          <t>NA</t>
        </is>
      </c>
      <c r="AF1165" s="257" t="inlineStr">
        <is>
          <t>NA</t>
        </is>
      </c>
      <c r="AG1165" s="258" t="inlineStr">
        <is>
          <t>NA</t>
        </is>
      </c>
      <c r="AH1165" s="89" t="n"/>
      <c r="AI1165" s="353" t="inlineStr">
        <is>
          <t xml:space="preserve">La donnée est obligatoire si le Portefeuille Bâle Opération [P2 2.18] = ‘070' </t>
        </is>
      </c>
      <c r="AJ1165" s="317" t="inlineStr">
        <is>
          <t xml:space="preserve">The data is mandatory if Basel Transaction Portfolio [P2 2.18] = ‘070' </t>
        </is>
      </c>
      <c r="AK1165" s="257" t="n">
        <v>5</v>
      </c>
      <c r="AL1165" s="335" t="inlineStr">
        <is>
          <t>TPS1701</t>
        </is>
      </c>
      <c r="AM1165" s="318" t="n"/>
      <c r="AN1165" s="317" t="n"/>
      <c r="AO1165" s="257" t="n"/>
      <c r="AP1165" s="258" t="n"/>
      <c r="AQ1165" s="318" t="inlineStr">
        <is>
          <t>Si renseignée, la donnée doit être positive (supérieure ou égale à 0)</t>
        </is>
      </c>
      <c r="AR1165" s="317" t="inlineStr">
        <is>
          <t xml:space="preserve">If filled, data must be positive (greater or equal to 0) </t>
        </is>
      </c>
      <c r="AS1165" s="257" t="n">
        <v>7</v>
      </c>
      <c r="AT1165" s="345" t="inlineStr">
        <is>
          <t>TVG0001</t>
        </is>
      </c>
      <c r="AU1165" s="318" t="n"/>
      <c r="AV1165" s="317" t="n"/>
      <c r="AW1165" s="257" t="n"/>
      <c r="AX1165" s="258" t="n"/>
      <c r="AY1165" s="318" t="n"/>
      <c r="AZ1165" s="317" t="n"/>
      <c r="BA1165" s="257" t="n"/>
      <c r="BB1165" s="258" t="n"/>
      <c r="BC1165" s="316" t="n"/>
      <c r="BD1165" s="317" t="n"/>
      <c r="BE1165" s="257" t="n"/>
      <c r="BF1165" s="258" t="n"/>
      <c r="BG1165" s="89" t="n"/>
      <c r="BH11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65">
        <f>_xlfn.LET(r,ROW(),oc,INDEX($A:$A,r),cv,TRIM(INDEX($Y:$Y,r)&amp;""),IF(oc&lt;&gt;"P1","",IF(cv="45","V45 - novo, nao alimentado pelo spool atual","V44 - alimentado pelo spool atual")))</f>
        <v/>
      </c>
    </row>
    <row r="1166" ht="54" customFormat="1" customHeight="1" s="1512">
      <c r="A1166" s="306" t="inlineStr">
        <is>
          <t>P2</t>
        </is>
      </c>
      <c r="B1166" s="307" t="n">
        <v>269</v>
      </c>
      <c r="C1166" s="269" t="inlineStr">
        <is>
          <t>18 - Caractéristiques Titrisation</t>
        </is>
      </c>
      <c r="D1166" s="310" t="inlineStr">
        <is>
          <t>18 - Securitization characteristics</t>
        </is>
      </c>
      <c r="E1166" s="372" t="inlineStr">
        <is>
          <t>P2 16.36</t>
        </is>
      </c>
      <c r="F1166" s="524" t="inlineStr">
        <is>
          <t>Devise du montant de l'ajustement des risques pondérés lié à décote d'asymétrie d'échéance</t>
        </is>
      </c>
      <c r="G1166" s="1509" t="inlineStr">
        <is>
          <t>Currency of amount of adjustment of risk-weighted assets linked to discount for maturity mismatch</t>
        </is>
      </c>
      <c r="H1166" s="1509" t="n"/>
      <c r="I1166" s="241" t="inlineStr">
        <is>
          <t>Devise d'expression de l'ajustement des risques pondérés lié à décote d'asymétrie d'échéance</t>
        </is>
      </c>
      <c r="J1166" s="1509" t="inlineStr">
        <is>
          <t>Currency of adjustment of risk-weighted assets linked to discount for maturity mismatch</t>
        </is>
      </c>
      <c r="K1166" s="1510" t="inlineStr">
        <is>
          <t>ND</t>
        </is>
      </c>
      <c r="L1166" s="1511" t="inlineStr">
        <is>
          <t>ND</t>
        </is>
      </c>
      <c r="M1166" s="1420" t="inlineStr">
        <is>
          <t>cdDevAjustDec</t>
        </is>
      </c>
      <c r="N1166" s="231" t="inlineStr">
        <is>
          <t>Obligatoire sous conditions</t>
        </is>
      </c>
      <c r="O1166" s="236" t="inlineStr">
        <is>
          <t>Mandatory under conditions</t>
        </is>
      </c>
      <c r="P1166" s="269" t="inlineStr">
        <is>
          <t>LC.0005</t>
        </is>
      </c>
      <c r="Q1166" s="269" t="inlineStr">
        <is>
          <t>TA NM253</t>
        </is>
      </c>
      <c r="R1166" s="241" t="inlineStr">
        <is>
          <t>NA</t>
        </is>
      </c>
      <c r="S1166" s="233" t="inlineStr">
        <is>
          <t>NA</t>
        </is>
      </c>
      <c r="T1166" s="313" t="inlineStr">
        <is>
          <t>ALPHA</t>
        </is>
      </c>
      <c r="U1166" s="237" t="inlineStr">
        <is>
          <t>NA</t>
        </is>
      </c>
      <c r="V1166" s="238" t="inlineStr">
        <is>
          <t>NA</t>
        </is>
      </c>
      <c r="W1166" s="257" t="n">
        <v>3</v>
      </c>
      <c r="X1166" s="945" t="inlineStr">
        <is>
          <t>NA</t>
        </is>
      </c>
      <c r="Y1166" s="237" t="n">
        <v>43</v>
      </c>
      <c r="Z1166" s="237" t="inlineStr">
        <is>
          <t>NA</t>
        </is>
      </c>
      <c r="AA1166" s="270" t="inlineStr">
        <is>
          <t>NA</t>
        </is>
      </c>
      <c r="AB1166" s="1286" t="inlineStr">
        <is>
          <t>CALCULS PRUDENTIELS</t>
        </is>
      </c>
      <c r="AC1166" s="231" t="inlineStr">
        <is>
          <t>ND</t>
        </is>
      </c>
      <c r="AD1166" s="257" t="inlineStr">
        <is>
          <t>N</t>
        </is>
      </c>
      <c r="AE1166" s="257" t="inlineStr">
        <is>
          <t>NA</t>
        </is>
      </c>
      <c r="AF1166" s="257" t="inlineStr">
        <is>
          <t>NA</t>
        </is>
      </c>
      <c r="AG1166" s="258" t="inlineStr">
        <is>
          <t>NA</t>
        </is>
      </c>
      <c r="AH1166" s="89" t="n"/>
      <c r="AI1166" s="353" t="inlineStr">
        <is>
          <t>La donnée est obligatoire si la donnée Montant de l'ajustement des risques pondérés lié à décote d'asymétrie d'échéance [P2 16.35] est renseignée</t>
        </is>
      </c>
      <c r="AJ1166" s="317" t="inlineStr">
        <is>
          <t>The data is mandatory if the Amount of adjustment of risk-weighted assets linked to discount for maturity mismatch [P2 16.35] is filled</t>
        </is>
      </c>
      <c r="AK1166" s="257" t="n">
        <v>7</v>
      </c>
      <c r="AL1166" s="335" t="inlineStr">
        <is>
          <t>TPG0002</t>
        </is>
      </c>
      <c r="AM1166" s="452" t="inlineStr">
        <is>
          <t>Si elle est renseignée, la valeur doit être connue du Langage Commun associé</t>
        </is>
      </c>
      <c r="AN1166" s="377" t="inlineStr">
        <is>
          <t>If specified, the value must be known to the associated Common Language</t>
        </is>
      </c>
      <c r="AO1166" s="257" t="n">
        <v>7</v>
      </c>
      <c r="AP1166" s="212" t="inlineStr">
        <is>
          <t>TIG0001</t>
        </is>
      </c>
      <c r="AQ1166" s="318" t="n"/>
      <c r="AR1166" s="317" t="n"/>
      <c r="AS1166" s="257" t="n"/>
      <c r="AT1166" s="258" t="n"/>
      <c r="AU1166" s="318" t="n"/>
      <c r="AV1166" s="317" t="n"/>
      <c r="AW1166" s="257" t="n"/>
      <c r="AX1166" s="258" t="n"/>
      <c r="AY1166" s="318" t="n"/>
      <c r="AZ1166" s="317" t="n"/>
      <c r="BA1166" s="257" t="n"/>
      <c r="BB1166" s="258" t="n"/>
      <c r="BC1166" s="316" t="n"/>
      <c r="BD1166" s="317" t="n"/>
      <c r="BE1166" s="257" t="n"/>
      <c r="BF1166" s="258" t="n"/>
      <c r="BG1166" s="89" t="n"/>
      <c r="BH11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66">
        <f>_xlfn.LET(r,ROW(),oc,INDEX($A:$A,r),cv,TRIM(INDEX($Y:$Y,r)&amp;""),IF(oc&lt;&gt;"P1","",IF(cv="45","V45 - novo, nao alimentado pelo spool atual","V44 - alimentado pelo spool atual")))</f>
        <v/>
      </c>
    </row>
    <row r="1167" ht="54" customFormat="1" customHeight="1" s="90">
      <c r="A1167" s="306" t="inlineStr">
        <is>
          <t>P2</t>
        </is>
      </c>
      <c r="B1167" s="307" t="n">
        <v>270</v>
      </c>
      <c r="C1167" s="269" t="inlineStr">
        <is>
          <t>31 - Paramètres bâlois</t>
        </is>
      </c>
      <c r="D1167" s="310" t="inlineStr">
        <is>
          <t>31 - Basel settings</t>
        </is>
      </c>
      <c r="E1167" s="372" t="inlineStr">
        <is>
          <t>P2 16.37</t>
        </is>
      </c>
      <c r="F1167" s="308" t="inlineStr">
        <is>
          <t xml:space="preserve">Montant de RWA supplémentaire pour non-conformité aux exigences prévues </t>
        </is>
      </c>
      <c r="G1167" s="309" t="inlineStr">
        <is>
          <t>Additional RWA amount for non-compliance with planned requirements</t>
        </is>
      </c>
      <c r="H1167" s="309" t="n"/>
      <c r="I1167" s="241" t="inlineStr">
        <is>
          <t>Effet global (ajustement) lié au manquements aux dispositions du chapitre 2 du règlement (UE) 2017
2402 -&gt; montant de RWA supplémentaire à déclarer (article 270.bis)</t>
        </is>
      </c>
      <c r="J1167" s="233" t="inlineStr">
        <is>
          <t>Overall effect (adjustment) related to the non-compliance with the provisions of Chapter 2 of Regulation (EU) 2017
2402 -&gt; additional RWA to be reported (Article 270.a)</t>
        </is>
      </c>
      <c r="K1167" s="269" t="inlineStr">
        <is>
          <t>ND</t>
        </is>
      </c>
      <c r="L1167" s="310" t="inlineStr">
        <is>
          <t>ND</t>
        </is>
      </c>
      <c r="M1167" s="1420" t="inlineStr">
        <is>
          <t>mtRWASup</t>
        </is>
      </c>
      <c r="N1167" s="231" t="inlineStr">
        <is>
          <t>Obligatoire sous conditions</t>
        </is>
      </c>
      <c r="O1167" s="236" t="inlineStr">
        <is>
          <t>Mandatory under conditions</t>
        </is>
      </c>
      <c r="P1167" s="269" t="inlineStr">
        <is>
          <t>NA</t>
        </is>
      </c>
      <c r="Q1167" s="269" t="inlineStr">
        <is>
          <t>NA</t>
        </is>
      </c>
      <c r="R1167" s="241" t="inlineStr">
        <is>
          <t>Si pas de montants à déclarer, laisser à vide</t>
        </is>
      </c>
      <c r="S1167" s="233" t="inlineStr">
        <is>
          <t>If no amounts to report, leave empty</t>
        </is>
      </c>
      <c r="T1167" s="313" t="inlineStr">
        <is>
          <t>NUM</t>
        </is>
      </c>
      <c r="U1167" s="237" t="inlineStr">
        <is>
          <t>19 dont signe et 2 décimales</t>
        </is>
      </c>
      <c r="V1167" s="238" t="inlineStr">
        <is>
          <t>19 including sign and 2 decimals</t>
        </is>
      </c>
      <c r="W1167" s="257" t="n">
        <v>19</v>
      </c>
      <c r="X1167" s="945" t="inlineStr">
        <is>
          <t>NA</t>
        </is>
      </c>
      <c r="Y1167" s="237" t="n">
        <v>43</v>
      </c>
      <c r="Z1167" s="237" t="inlineStr">
        <is>
          <t>NA</t>
        </is>
      </c>
      <c r="AA1167" s="270" t="inlineStr">
        <is>
          <t>NA</t>
        </is>
      </c>
      <c r="AB1167" s="1286" t="inlineStr">
        <is>
          <t>CALCULS PRUDENTIELS</t>
        </is>
      </c>
      <c r="AC1167" s="231" t="inlineStr">
        <is>
          <t>ND</t>
        </is>
      </c>
      <c r="AD1167" s="257" t="inlineStr">
        <is>
          <t>N</t>
        </is>
      </c>
      <c r="AE1167" s="257" t="inlineStr">
        <is>
          <t>NA</t>
        </is>
      </c>
      <c r="AF1167" s="257" t="inlineStr">
        <is>
          <t>NA</t>
        </is>
      </c>
      <c r="AG1167" s="258" t="inlineStr">
        <is>
          <t>NA</t>
        </is>
      </c>
      <c r="AH1167" s="89" t="n"/>
      <c r="AI1167" s="353" t="inlineStr">
        <is>
          <t xml:space="preserve">La donnée est obligatoire si le Portefeuille Bâle Opération [P2 2.18] = ‘070' </t>
        </is>
      </c>
      <c r="AJ1167" s="317" t="inlineStr">
        <is>
          <t xml:space="preserve">The data is mandatory if Basel Transaction Portfolio [P2 2.18] = ‘070' </t>
        </is>
      </c>
      <c r="AK1167" s="257" t="n">
        <v>5</v>
      </c>
      <c r="AL1167" s="335" t="inlineStr">
        <is>
          <t>TPS1701</t>
        </is>
      </c>
      <c r="AM1167" s="318" t="n"/>
      <c r="AN1167" s="317" t="n"/>
      <c r="AO1167" s="257" t="n"/>
      <c r="AP1167" s="258" t="n"/>
      <c r="AQ1167" s="318" t="inlineStr">
        <is>
          <t>Si renseignée, la donnée doit être positive (supérieure ou égale à 0)</t>
        </is>
      </c>
      <c r="AR1167" s="317" t="inlineStr">
        <is>
          <t xml:space="preserve">If filled, data must be positive (greater or equal to 0) </t>
        </is>
      </c>
      <c r="AS1167" s="257" t="n">
        <v>7</v>
      </c>
      <c r="AT1167" s="345" t="inlineStr">
        <is>
          <t>TVG0001</t>
        </is>
      </c>
      <c r="AU1167" s="318" t="n"/>
      <c r="AV1167" s="317" t="n"/>
      <c r="AW1167" s="257" t="n"/>
      <c r="AX1167" s="258" t="n"/>
      <c r="AY1167" s="318" t="n"/>
      <c r="AZ1167" s="317" t="n"/>
      <c r="BA1167" s="257" t="n"/>
      <c r="BB1167" s="258" t="n"/>
      <c r="BC1167" s="316" t="n"/>
      <c r="BD1167" s="317" t="n"/>
      <c r="BE1167" s="257" t="n"/>
      <c r="BF1167" s="258" t="n"/>
      <c r="BG1167" s="89" t="n"/>
      <c r="BH11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67">
        <f>_xlfn.LET(r,ROW(),oc,INDEX($A:$A,r),cv,TRIM(INDEX($Y:$Y,r)&amp;""),IF(oc&lt;&gt;"P1","",IF(cv="45","V45 - novo, nao alimentado pelo spool atual","V44 - alimentado pelo spool atual")))</f>
        <v/>
      </c>
    </row>
    <row r="1168" ht="54" customFormat="1" customHeight="1" s="90">
      <c r="A1168" s="306" t="inlineStr">
        <is>
          <t>P2</t>
        </is>
      </c>
      <c r="B1168" s="307" t="n">
        <v>271</v>
      </c>
      <c r="C1168" s="269" t="inlineStr">
        <is>
          <t>31 - Paramètres bâlois</t>
        </is>
      </c>
      <c r="D1168" s="310" t="inlineStr">
        <is>
          <t>31 - Basel settings</t>
        </is>
      </c>
      <c r="E1168" s="372" t="inlineStr">
        <is>
          <t>P2 16.38</t>
        </is>
      </c>
      <c r="F1168" s="308" t="inlineStr">
        <is>
          <t>Devise du montant de RWA supplémentaire pour non-conformité aux exigences prévues</t>
        </is>
      </c>
      <c r="G1168" s="309" t="inlineStr">
        <is>
          <t>Currency of additional RWA amount for non-compliance with planned requirements</t>
        </is>
      </c>
      <c r="H1168" s="309" t="n"/>
      <c r="I1168" s="241" t="inlineStr">
        <is>
          <t>Devise d'expression du montant de RWA supplémentaire pour non-conformité aux exigences prévues</t>
        </is>
      </c>
      <c r="J1168" s="309" t="inlineStr">
        <is>
          <t>Currency of additional RWA amount for non-compliance with planned requirements</t>
        </is>
      </c>
      <c r="K1168" s="370" t="inlineStr">
        <is>
          <t>ND</t>
        </is>
      </c>
      <c r="L1168" s="371" t="inlineStr">
        <is>
          <t>ND</t>
        </is>
      </c>
      <c r="M1168" s="1420" t="inlineStr">
        <is>
          <t>cdDevRWASup</t>
        </is>
      </c>
      <c r="N1168" s="231" t="inlineStr">
        <is>
          <t>Obligatoire sous conditions</t>
        </is>
      </c>
      <c r="O1168" s="236" t="inlineStr">
        <is>
          <t>Mandatory under conditions</t>
        </is>
      </c>
      <c r="P1168" s="269" t="inlineStr">
        <is>
          <t>LC.0005</t>
        </is>
      </c>
      <c r="Q1168" s="269" t="inlineStr">
        <is>
          <t>TA NM253</t>
        </is>
      </c>
      <c r="R1168" s="241" t="inlineStr">
        <is>
          <t>NA</t>
        </is>
      </c>
      <c r="S1168" s="233" t="inlineStr">
        <is>
          <t>NA</t>
        </is>
      </c>
      <c r="T1168" s="313" t="inlineStr">
        <is>
          <t>ALPHA</t>
        </is>
      </c>
      <c r="U1168" s="237" t="inlineStr">
        <is>
          <t>NA</t>
        </is>
      </c>
      <c r="V1168" s="238" t="inlineStr">
        <is>
          <t>NA</t>
        </is>
      </c>
      <c r="W1168" s="257" t="n">
        <v>3</v>
      </c>
      <c r="X1168" s="945" t="inlineStr">
        <is>
          <t>NA</t>
        </is>
      </c>
      <c r="Y1168" s="237" t="n">
        <v>43</v>
      </c>
      <c r="Z1168" s="237" t="inlineStr">
        <is>
          <t>NA</t>
        </is>
      </c>
      <c r="AA1168" s="270" t="inlineStr">
        <is>
          <t>NA</t>
        </is>
      </c>
      <c r="AB1168" s="1286" t="inlineStr">
        <is>
          <t>CALCULS PRUDENTIELS</t>
        </is>
      </c>
      <c r="AC1168" s="231" t="inlineStr">
        <is>
          <t>ND</t>
        </is>
      </c>
      <c r="AD1168" s="257" t="inlineStr">
        <is>
          <t>N</t>
        </is>
      </c>
      <c r="AE1168" s="257" t="inlineStr">
        <is>
          <t>NA</t>
        </is>
      </c>
      <c r="AF1168" s="257" t="inlineStr">
        <is>
          <t>NA</t>
        </is>
      </c>
      <c r="AG1168" s="258" t="inlineStr">
        <is>
          <t>NA</t>
        </is>
      </c>
      <c r="AH1168" s="89" t="n"/>
      <c r="AI1168" s="353" t="inlineStr">
        <is>
          <t>La donnée est obligatoire si la donnée montant de RWA supplémentaire pour non-conformité aux exigences prévues [P2 16.37] est renseignée</t>
        </is>
      </c>
      <c r="AJ1168" s="317" t="inlineStr">
        <is>
          <t>The data is mandatory if the additional RWA amount data for non-compliance of the prescribed requirements [P2 16.37] is filled</t>
        </is>
      </c>
      <c r="AK1168" s="257" t="n">
        <v>7</v>
      </c>
      <c r="AL1168" s="335" t="inlineStr">
        <is>
          <t>TPG0002</t>
        </is>
      </c>
      <c r="AM1168" s="452" t="inlineStr">
        <is>
          <t>Si elle est renseignée, la valeur doit être connue du Langage Commun associé</t>
        </is>
      </c>
      <c r="AN1168" s="377" t="inlineStr">
        <is>
          <t>If specified, the value must be known to the associated Common Language</t>
        </is>
      </c>
      <c r="AO1168" s="257" t="n">
        <v>7</v>
      </c>
      <c r="AP1168" s="212" t="inlineStr">
        <is>
          <t>TIG0001</t>
        </is>
      </c>
      <c r="AQ1168" s="318" t="n"/>
      <c r="AR1168" s="317" t="n"/>
      <c r="AS1168" s="257" t="n"/>
      <c r="AT1168" s="258" t="n"/>
      <c r="AU1168" s="318" t="n"/>
      <c r="AV1168" s="317" t="n"/>
      <c r="AW1168" s="257" t="n"/>
      <c r="AX1168" s="258" t="n"/>
      <c r="AY1168" s="318" t="n"/>
      <c r="AZ1168" s="317" t="n"/>
      <c r="BA1168" s="257" t="n"/>
      <c r="BB1168" s="258" t="n"/>
      <c r="BC1168" s="316" t="n"/>
      <c r="BD1168" s="317" t="n"/>
      <c r="BE1168" s="257" t="n"/>
      <c r="BF1168" s="258" t="n"/>
      <c r="BG1168" s="89" t="n"/>
      <c r="BH11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68">
        <f>_xlfn.LET(r,ROW(),oc,INDEX($A:$A,r),cv,TRIM(INDEX($Y:$Y,r)&amp;""),IF(oc&lt;&gt;"P1","",IF(cv="45","V45 - novo, nao alimentado pelo spool atual","V44 - alimentado pelo spool atual")))</f>
        <v/>
      </c>
    </row>
    <row r="1169" ht="54" customFormat="1" customHeight="1" s="90">
      <c r="A1169" s="306" t="inlineStr">
        <is>
          <t>P2</t>
        </is>
      </c>
      <c r="B1169" s="307" t="n">
        <v>272</v>
      </c>
      <c r="C1169" s="269" t="inlineStr">
        <is>
          <t>31 - Paramètres bâlois</t>
        </is>
      </c>
      <c r="D1169" s="310" t="inlineStr">
        <is>
          <t>31 - Basel settings</t>
        </is>
      </c>
      <c r="E1169" s="372" t="inlineStr">
        <is>
          <t>P2 16.39</t>
        </is>
      </c>
      <c r="F1169" s="524" t="inlineStr">
        <is>
          <t>Montant du gain RWA obtenu par le CAP sur la pondération</t>
        </is>
      </c>
      <c r="G1169" s="309" t="inlineStr">
        <is>
          <t>Amount of RWA gain obtained by CAP on risk weight</t>
        </is>
      </c>
      <c r="H1169" s="309" t="n"/>
      <c r="I1169" s="241" t="inlineStr">
        <is>
          <t>Réduction due à l'application d'un plafond des exposition pondérées (colonne 900 état COREP Titrisation 13.1 « CR-SEC »). Il s'agit du montant de RWA à déduire dans le cadre d'un « CAP » qui répond à l'article 267 du règlement (UE) 2017
2401</t>
        </is>
      </c>
      <c r="J1169" s="233" t="inlineStr">
        <is>
          <t>Reduction due to the application of a risk-weighted exposure ceiling (column 900 COREP securitization statement 13.1 "CR-SEC"). This is the amount of RWA to be deducted in the context of a "CAP" which complies with Article 267 of Regulation (EU) 2017 2401</t>
        </is>
      </c>
      <c r="K1169" s="269" t="inlineStr">
        <is>
          <t>ND</t>
        </is>
      </c>
      <c r="L1169" s="310" t="inlineStr">
        <is>
          <t>ND</t>
        </is>
      </c>
      <c r="M1169" s="1420" t="inlineStr">
        <is>
          <t>mtRWACAPPond</t>
        </is>
      </c>
      <c r="N1169" s="231" t="inlineStr">
        <is>
          <t>Obligatoire sous conditions</t>
        </is>
      </c>
      <c r="O1169" s="236" t="inlineStr">
        <is>
          <t>Mandatory under conditions</t>
        </is>
      </c>
      <c r="P1169" s="269" t="inlineStr">
        <is>
          <t>NA</t>
        </is>
      </c>
      <c r="Q1169" s="269" t="inlineStr">
        <is>
          <t>NA</t>
        </is>
      </c>
      <c r="R1169" s="241" t="inlineStr">
        <is>
          <t>Si pas de montants à déclarer, laisser à vide</t>
        </is>
      </c>
      <c r="S1169" s="233" t="inlineStr">
        <is>
          <t>If no amounts to report, leave empty</t>
        </is>
      </c>
      <c r="T1169" s="313" t="inlineStr">
        <is>
          <t>NUM</t>
        </is>
      </c>
      <c r="U1169" s="237" t="inlineStr">
        <is>
          <t>19 dont signe et 2 décimales</t>
        </is>
      </c>
      <c r="V1169" s="238" t="inlineStr">
        <is>
          <t>19 including sign and 2 decimals</t>
        </is>
      </c>
      <c r="W1169" s="257" t="n">
        <v>19</v>
      </c>
      <c r="X1169" s="945" t="inlineStr">
        <is>
          <t>NA</t>
        </is>
      </c>
      <c r="Y1169" s="237" t="n">
        <v>43</v>
      </c>
      <c r="Z1169" s="237" t="inlineStr">
        <is>
          <t>NA</t>
        </is>
      </c>
      <c r="AA1169" s="270" t="inlineStr">
        <is>
          <t>NA</t>
        </is>
      </c>
      <c r="AB1169" s="1286" t="inlineStr">
        <is>
          <t>CALCULS PRUDENTIELS</t>
        </is>
      </c>
      <c r="AC1169" s="231" t="inlineStr">
        <is>
          <t>ND</t>
        </is>
      </c>
      <c r="AD1169" s="257" t="inlineStr">
        <is>
          <t>N</t>
        </is>
      </c>
      <c r="AE1169" s="257" t="inlineStr">
        <is>
          <t>NA</t>
        </is>
      </c>
      <c r="AF1169" s="257" t="inlineStr">
        <is>
          <t>NA</t>
        </is>
      </c>
      <c r="AG1169" s="258" t="inlineStr">
        <is>
          <t>NA</t>
        </is>
      </c>
      <c r="AH1169" s="89" t="n"/>
      <c r="AI1169" s="353" t="inlineStr">
        <is>
          <t xml:space="preserve">La donnée est obligatoire si le Portefeuille Bâle Opération [P2 2.18] = ‘070' </t>
        </is>
      </c>
      <c r="AJ1169" s="317" t="inlineStr">
        <is>
          <t xml:space="preserve">The data is mandatory if Basel Transaction Portfolio [P2 2.18] = ‘070' </t>
        </is>
      </c>
      <c r="AK1169" s="257" t="n">
        <v>5</v>
      </c>
      <c r="AL1169" s="335" t="inlineStr">
        <is>
          <t>TPS1701</t>
        </is>
      </c>
      <c r="AM1169" s="318" t="n"/>
      <c r="AN1169" s="317" t="n"/>
      <c r="AO1169" s="257" t="n"/>
      <c r="AP1169" s="258" t="n"/>
      <c r="AQ1169" s="318" t="inlineStr">
        <is>
          <t>Si renseignée, la donnée doit être positive (supérieure ou égale à 0)</t>
        </is>
      </c>
      <c r="AR1169" s="317" t="inlineStr">
        <is>
          <t xml:space="preserve">If filled, data must be positive (greater or equal to 0) </t>
        </is>
      </c>
      <c r="AS1169" s="257" t="n">
        <v>7</v>
      </c>
      <c r="AT1169" s="345" t="inlineStr">
        <is>
          <t>TVG0001</t>
        </is>
      </c>
      <c r="AU1169" s="318" t="n"/>
      <c r="AV1169" s="317" t="n"/>
      <c r="AW1169" s="257" t="n"/>
      <c r="AX1169" s="258" t="n"/>
      <c r="AY1169" s="318" t="n"/>
      <c r="AZ1169" s="317" t="n"/>
      <c r="BA1169" s="257" t="n"/>
      <c r="BB1169" s="258" t="n"/>
      <c r="BC1169" s="316" t="n"/>
      <c r="BD1169" s="317" t="n"/>
      <c r="BE1169" s="257" t="n"/>
      <c r="BF1169" s="258" t="n"/>
      <c r="BG1169" s="89" t="n"/>
      <c r="BH11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69">
        <f>_xlfn.LET(r,ROW(),oc,INDEX($A:$A,r),cv,TRIM(INDEX($Y:$Y,r)&amp;""),IF(oc&lt;&gt;"P1","",IF(cv="45","V45 - novo, nao alimentado pelo spool atual","V44 - alimentado pelo spool atual")))</f>
        <v/>
      </c>
    </row>
    <row r="1170" ht="54" customFormat="1" customHeight="1" s="90">
      <c r="A1170" s="306" t="inlineStr">
        <is>
          <t>P2</t>
        </is>
      </c>
      <c r="B1170" s="307" t="n">
        <v>273</v>
      </c>
      <c r="C1170" s="269" t="inlineStr">
        <is>
          <t>31 - Paramètres bâlois</t>
        </is>
      </c>
      <c r="D1170" s="310" t="inlineStr">
        <is>
          <t>31 - Basel settings</t>
        </is>
      </c>
      <c r="E1170" s="372" t="inlineStr">
        <is>
          <t>P2 16.40</t>
        </is>
      </c>
      <c r="F1170" s="1248" t="inlineStr">
        <is>
          <t>Devise du montant du gain RWA obtenu par le CAP sur la pondération</t>
        </is>
      </c>
      <c r="G1170" s="309" t="inlineStr">
        <is>
          <t>Currency of the amount of RWA gain obtained by CAP on risk weight</t>
        </is>
      </c>
      <c r="H1170" s="309" t="n"/>
      <c r="I1170" s="241" t="inlineStr">
        <is>
          <t>Devise d'expression gain RWA obtenu par le CAP sur la pondération</t>
        </is>
      </c>
      <c r="J1170" s="309" t="inlineStr">
        <is>
          <t>Currency of RWA gain obtained by CAP on risk weight</t>
        </is>
      </c>
      <c r="K1170" s="370" t="inlineStr">
        <is>
          <t>ND</t>
        </is>
      </c>
      <c r="L1170" s="371" t="inlineStr">
        <is>
          <t>ND</t>
        </is>
      </c>
      <c r="M1170" s="1420" t="inlineStr">
        <is>
          <t>cdDevRWACAPPond</t>
        </is>
      </c>
      <c r="N1170" s="231" t="inlineStr">
        <is>
          <t>Obligatoire sous conditions</t>
        </is>
      </c>
      <c r="O1170" s="236" t="inlineStr">
        <is>
          <t>Mandatory under conditions</t>
        </is>
      </c>
      <c r="P1170" s="269" t="inlineStr">
        <is>
          <t>LC.0005</t>
        </is>
      </c>
      <c r="Q1170" s="269" t="inlineStr">
        <is>
          <t>TA NM253</t>
        </is>
      </c>
      <c r="R1170" s="241" t="inlineStr">
        <is>
          <t>NA</t>
        </is>
      </c>
      <c r="S1170" s="233" t="inlineStr">
        <is>
          <t>NA</t>
        </is>
      </c>
      <c r="T1170" s="313" t="inlineStr">
        <is>
          <t>ALPHA</t>
        </is>
      </c>
      <c r="U1170" s="237" t="inlineStr">
        <is>
          <t>NA</t>
        </is>
      </c>
      <c r="V1170" s="238" t="inlineStr">
        <is>
          <t>NA</t>
        </is>
      </c>
      <c r="W1170" s="257" t="n">
        <v>3</v>
      </c>
      <c r="X1170" s="945" t="inlineStr">
        <is>
          <t>NA</t>
        </is>
      </c>
      <c r="Y1170" s="237" t="n">
        <v>43</v>
      </c>
      <c r="Z1170" s="237" t="inlineStr">
        <is>
          <t>NA</t>
        </is>
      </c>
      <c r="AA1170" s="270" t="inlineStr">
        <is>
          <t>NA</t>
        </is>
      </c>
      <c r="AB1170" s="1286" t="inlineStr">
        <is>
          <t>CALCULS PRUDENTIELS</t>
        </is>
      </c>
      <c r="AC1170" s="231" t="inlineStr">
        <is>
          <t>ND</t>
        </is>
      </c>
      <c r="AD1170" s="257" t="inlineStr">
        <is>
          <t>N</t>
        </is>
      </c>
      <c r="AE1170" s="257" t="inlineStr">
        <is>
          <t>NA</t>
        </is>
      </c>
      <c r="AF1170" s="257" t="inlineStr">
        <is>
          <t>NA</t>
        </is>
      </c>
      <c r="AG1170" s="258" t="inlineStr">
        <is>
          <t>NA</t>
        </is>
      </c>
      <c r="AH1170" s="89" t="n"/>
      <c r="AI1170" s="353" t="inlineStr">
        <is>
          <t>La donnée est obligatoire si la donnée Montant du gain RWA obtenu par le CAP sur la pondération [P2 16.39] est renseignée</t>
        </is>
      </c>
      <c r="AJ1170" s="317" t="inlineStr">
        <is>
          <t>The data is mandatory if the Amount of RWA gain obtained by CAP on risk weight [P2 16.39] is filled</t>
        </is>
      </c>
      <c r="AK1170" s="257" t="n">
        <v>7</v>
      </c>
      <c r="AL1170" s="335" t="inlineStr">
        <is>
          <t>TPG0002</t>
        </is>
      </c>
      <c r="AM1170" s="452" t="inlineStr">
        <is>
          <t>Si elle est renseignée, la valeur doit être connue du Langage Commun associé</t>
        </is>
      </c>
      <c r="AN1170" s="377" t="inlineStr">
        <is>
          <t>If specified, the value must be known to the associated Common Language</t>
        </is>
      </c>
      <c r="AO1170" s="257" t="n">
        <v>7</v>
      </c>
      <c r="AP1170" s="212" t="inlineStr">
        <is>
          <t>TIG0001</t>
        </is>
      </c>
      <c r="AQ1170" s="318" t="n"/>
      <c r="AR1170" s="317" t="n"/>
      <c r="AS1170" s="257" t="n"/>
      <c r="AT1170" s="258" t="n"/>
      <c r="AU1170" s="318" t="n"/>
      <c r="AV1170" s="317" t="n"/>
      <c r="AW1170" s="257" t="n"/>
      <c r="AX1170" s="258" t="n"/>
      <c r="AY1170" s="318" t="n"/>
      <c r="AZ1170" s="317" t="n"/>
      <c r="BA1170" s="257" t="n"/>
      <c r="BB1170" s="258" t="n"/>
      <c r="BC1170" s="316" t="n"/>
      <c r="BD1170" s="317" t="n"/>
      <c r="BE1170" s="257" t="n"/>
      <c r="BF1170" s="258" t="n"/>
      <c r="BG1170" s="89" t="n"/>
      <c r="BH11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70">
        <f>_xlfn.LET(r,ROW(),oc,INDEX($A:$A,r),cv,TRIM(INDEX($Y:$Y,r)&amp;""),IF(oc&lt;&gt;"P1","",IF(cv="45","V45 - novo, nao alimentado pelo spool atual","V44 - alimentado pelo spool atual")))</f>
        <v/>
      </c>
    </row>
    <row r="1171" ht="54" customFormat="1" customHeight="1" s="1512">
      <c r="A1171" s="306" t="inlineStr">
        <is>
          <t>P2</t>
        </is>
      </c>
      <c r="B1171" s="307" t="n">
        <v>274</v>
      </c>
      <c r="C1171" s="269" t="inlineStr">
        <is>
          <t>31 - Paramètres bâlois</t>
        </is>
      </c>
      <c r="D1171" s="310" t="inlineStr">
        <is>
          <t>31 - Basel settings</t>
        </is>
      </c>
      <c r="E1171" s="372" t="inlineStr">
        <is>
          <t>P2 16.41</t>
        </is>
      </c>
      <c r="F1171" s="524" t="inlineStr">
        <is>
          <t xml:space="preserve">Montant du gain RWA obtenu par le CAP sur les exigences en fonds propres
</t>
        </is>
      </c>
      <c r="G1171" s="309" t="inlineStr">
        <is>
          <t>Amount of RWA gain obtained by CAP on capital requirements</t>
        </is>
      </c>
      <c r="H1171" s="309" t="n"/>
      <c r="I1171" s="241" t="inlineStr">
        <is>
          <t>Réduction due à l'application d'un plafond des exposition pondérées (colonne 910 état COREP Titrisation 13.1 « CR-SEC »). Il s'agit du montant de RWA à déduire dans le cadre d'un "CAP" qui répond à l'article 268 du règlement (UE) 2017 2401</t>
        </is>
      </c>
      <c r="J1171" s="233" t="inlineStr">
        <is>
          <t>Reduction due to the application of a risk-weighted exposure ceiling (column 910 statement COREP Securitization 13.1 "CR-SEC"). This is the amount of RWA to be deducted in the context of a "CAP" which complies with Article 268 of Regulation (EU) 2017 2401</t>
        </is>
      </c>
      <c r="K1171" s="269" t="inlineStr">
        <is>
          <t>ND</t>
        </is>
      </c>
      <c r="L1171" s="310" t="inlineStr">
        <is>
          <t>ND</t>
        </is>
      </c>
      <c r="M1171" s="1420" t="inlineStr">
        <is>
          <t>mtRWACAPFondProp</t>
        </is>
      </c>
      <c r="N1171" s="231" t="inlineStr">
        <is>
          <t>Obligatoire sous conditions</t>
        </is>
      </c>
      <c r="O1171" s="236" t="inlineStr">
        <is>
          <t>Mandatory under conditions</t>
        </is>
      </c>
      <c r="P1171" s="269" t="inlineStr">
        <is>
          <t>NA</t>
        </is>
      </c>
      <c r="Q1171" s="269" t="inlineStr">
        <is>
          <t>NA</t>
        </is>
      </c>
      <c r="R1171" s="241" t="inlineStr">
        <is>
          <t>Si pas de montants à déclarer, laisser à vide</t>
        </is>
      </c>
      <c r="S1171" s="233" t="inlineStr">
        <is>
          <t>If no amounts to report, leave empty</t>
        </is>
      </c>
      <c r="T1171" s="313" t="inlineStr">
        <is>
          <t>NUM</t>
        </is>
      </c>
      <c r="U1171" s="237" t="inlineStr">
        <is>
          <t>19 dont signe et 2 décimales</t>
        </is>
      </c>
      <c r="V1171" s="238" t="inlineStr">
        <is>
          <t>19 including sign and 2 decimals</t>
        </is>
      </c>
      <c r="W1171" s="257" t="n">
        <v>19</v>
      </c>
      <c r="X1171" s="945" t="inlineStr">
        <is>
          <t>NA</t>
        </is>
      </c>
      <c r="Y1171" s="237" t="n">
        <v>43</v>
      </c>
      <c r="Z1171" s="237" t="inlineStr">
        <is>
          <t>NA</t>
        </is>
      </c>
      <c r="AA1171" s="270" t="inlineStr">
        <is>
          <t>NA</t>
        </is>
      </c>
      <c r="AB1171" s="1286" t="inlineStr">
        <is>
          <t>CALCULS PRUDENTIELS</t>
        </is>
      </c>
      <c r="AC1171" s="231" t="inlineStr">
        <is>
          <t>ND</t>
        </is>
      </c>
      <c r="AD1171" s="257" t="inlineStr">
        <is>
          <t>N</t>
        </is>
      </c>
      <c r="AE1171" s="257" t="inlineStr">
        <is>
          <t>NA</t>
        </is>
      </c>
      <c r="AF1171" s="257" t="inlineStr">
        <is>
          <t>NA</t>
        </is>
      </c>
      <c r="AG1171" s="258" t="inlineStr">
        <is>
          <t>NA</t>
        </is>
      </c>
      <c r="AH1171" s="89" t="n"/>
      <c r="AI1171" s="353" t="inlineStr">
        <is>
          <t xml:space="preserve">La donnée est obligatoire si le Portefeuille Bâle Opération [P2 2.18] = ‘070' </t>
        </is>
      </c>
      <c r="AJ1171" s="317" t="inlineStr">
        <is>
          <t xml:space="preserve">The data is mandatory if Basel Transaction Portfolio [P2 2.18] = ‘070' </t>
        </is>
      </c>
      <c r="AK1171" s="257" t="n">
        <v>5</v>
      </c>
      <c r="AL1171" s="335" t="inlineStr">
        <is>
          <t>TPS1701</t>
        </is>
      </c>
      <c r="AM1171" s="318" t="n"/>
      <c r="AN1171" s="317" t="n"/>
      <c r="AO1171" s="257" t="n"/>
      <c r="AP1171" s="258" t="n"/>
      <c r="AQ1171" s="318" t="inlineStr">
        <is>
          <t>Si renseignée, la donnée doit être positive (supérieure ou égale à 0)</t>
        </is>
      </c>
      <c r="AR1171" s="317" t="inlineStr">
        <is>
          <t xml:space="preserve">If filled, data must be positive (greater or equal to 0) </t>
        </is>
      </c>
      <c r="AS1171" s="257" t="n">
        <v>7</v>
      </c>
      <c r="AT1171" s="345" t="inlineStr">
        <is>
          <t>TVG0001</t>
        </is>
      </c>
      <c r="AU1171" s="318" t="n"/>
      <c r="AV1171" s="317" t="n"/>
      <c r="AW1171" s="257" t="n"/>
      <c r="AX1171" s="258" t="n"/>
      <c r="AY1171" s="318" t="n"/>
      <c r="AZ1171" s="317" t="n"/>
      <c r="BA1171" s="257" t="n"/>
      <c r="BB1171" s="258" t="n"/>
      <c r="BC1171" s="316" t="n"/>
      <c r="BD1171" s="317" t="n"/>
      <c r="BE1171" s="257" t="n"/>
      <c r="BF1171" s="258" t="n"/>
      <c r="BG1171" s="89" t="n"/>
      <c r="BH11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71">
        <f>_xlfn.LET(r,ROW(),oc,INDEX($A:$A,r),cv,TRIM(INDEX($Y:$Y,r)&amp;""),IF(oc&lt;&gt;"P1","",IF(cv="45","V45 - novo, nao alimentado pelo spool atual","V44 - alimentado pelo spool atual")))</f>
        <v/>
      </c>
    </row>
    <row r="1172" ht="54" customFormat="1" customHeight="1" s="90">
      <c r="A1172" s="306" t="inlineStr">
        <is>
          <t>P2</t>
        </is>
      </c>
      <c r="B1172" s="307" t="n">
        <v>275</v>
      </c>
      <c r="C1172" s="269" t="inlineStr">
        <is>
          <t>31 - Paramètres bâlois</t>
        </is>
      </c>
      <c r="D1172" s="310" t="inlineStr">
        <is>
          <t>31 - Basel settings</t>
        </is>
      </c>
      <c r="E1172" s="372" t="inlineStr">
        <is>
          <t>P2 16.42</t>
        </is>
      </c>
      <c r="F1172" s="1248" t="inlineStr">
        <is>
          <t>Devise du montant du gain RWA obtenu par le CAP sur les exigences en fonds propres</t>
        </is>
      </c>
      <c r="G1172" s="309" t="inlineStr">
        <is>
          <t>Currency of the amount of RWA gain obtained by CAP on capital requirements</t>
        </is>
      </c>
      <c r="H1172" s="309" t="n"/>
      <c r="I1172" s="241" t="inlineStr">
        <is>
          <t>Devise d'expression gain RWA obtenu par le CAP sur les exigences en fonds propres</t>
        </is>
      </c>
      <c r="J1172" s="309" t="inlineStr">
        <is>
          <t>Currency of RWA gain obtained by CAP on capital requirements</t>
        </is>
      </c>
      <c r="K1172" s="370" t="inlineStr">
        <is>
          <t>ND</t>
        </is>
      </c>
      <c r="L1172" s="371" t="inlineStr">
        <is>
          <t>ND</t>
        </is>
      </c>
      <c r="M1172" s="1420" t="inlineStr">
        <is>
          <t>cdDevRWACAPFondProp</t>
        </is>
      </c>
      <c r="N1172" s="231" t="inlineStr">
        <is>
          <t>Obligatoire sous conditions</t>
        </is>
      </c>
      <c r="O1172" s="236" t="inlineStr">
        <is>
          <t>Mandatory under conditions</t>
        </is>
      </c>
      <c r="P1172" s="269" t="inlineStr">
        <is>
          <t>LC.0005</t>
        </is>
      </c>
      <c r="Q1172" s="269" t="inlineStr">
        <is>
          <t>TA NM253</t>
        </is>
      </c>
      <c r="R1172" s="241" t="inlineStr">
        <is>
          <t>NA</t>
        </is>
      </c>
      <c r="S1172" s="233" t="inlineStr">
        <is>
          <t>NA</t>
        </is>
      </c>
      <c r="T1172" s="313" t="inlineStr">
        <is>
          <t>ALPHA</t>
        </is>
      </c>
      <c r="U1172" s="237" t="inlineStr">
        <is>
          <t>NA</t>
        </is>
      </c>
      <c r="V1172" s="238" t="inlineStr">
        <is>
          <t>NA</t>
        </is>
      </c>
      <c r="W1172" s="257" t="n">
        <v>3</v>
      </c>
      <c r="X1172" s="945" t="inlineStr">
        <is>
          <t>NA</t>
        </is>
      </c>
      <c r="Y1172" s="237" t="n">
        <v>43</v>
      </c>
      <c r="Z1172" s="237" t="inlineStr">
        <is>
          <t>NA</t>
        </is>
      </c>
      <c r="AA1172" s="270" t="inlineStr">
        <is>
          <t>NA</t>
        </is>
      </c>
      <c r="AB1172" s="1286" t="inlineStr">
        <is>
          <t>CALCULS PRUDENTIELS</t>
        </is>
      </c>
      <c r="AC1172" s="231" t="inlineStr">
        <is>
          <t>ND</t>
        </is>
      </c>
      <c r="AD1172" s="257" t="inlineStr">
        <is>
          <t>N</t>
        </is>
      </c>
      <c r="AE1172" s="257" t="inlineStr">
        <is>
          <t>NA</t>
        </is>
      </c>
      <c r="AF1172" s="257" t="inlineStr">
        <is>
          <t>NA</t>
        </is>
      </c>
      <c r="AG1172" s="258" t="inlineStr">
        <is>
          <t>NA</t>
        </is>
      </c>
      <c r="AH1172" s="89" t="n"/>
      <c r="AI1172" s="353" t="inlineStr">
        <is>
          <t>La donnée est obligatoire si la donnée Montant du gain RWA obtenu par le CAP sur les exigences en fonds propres [P2 16.41] est renseignée</t>
        </is>
      </c>
      <c r="AJ1172" s="317" t="inlineStr">
        <is>
          <t>The data is mandatory if the Amount of RWA gain obtained by CAP on capital requirements [P2 16.41] is filled</t>
        </is>
      </c>
      <c r="AK1172" s="257" t="n">
        <v>7</v>
      </c>
      <c r="AL1172" s="335" t="inlineStr">
        <is>
          <t>TPG0002</t>
        </is>
      </c>
      <c r="AM1172" s="452" t="inlineStr">
        <is>
          <t>Si elle est renseignée, la valeur doit être connue du Langage Commun associé</t>
        </is>
      </c>
      <c r="AN1172" s="377" t="inlineStr">
        <is>
          <t>If specified, the value must be known to the associated Common Language</t>
        </is>
      </c>
      <c r="AO1172" s="257" t="n">
        <v>7</v>
      </c>
      <c r="AP1172" s="212" t="inlineStr">
        <is>
          <t>TIG0001</t>
        </is>
      </c>
      <c r="AQ1172" s="318" t="n"/>
      <c r="AR1172" s="317" t="n"/>
      <c r="AS1172" s="257" t="n"/>
      <c r="AT1172" s="258" t="n"/>
      <c r="AU1172" s="318" t="n"/>
      <c r="AV1172" s="317" t="n"/>
      <c r="AW1172" s="257" t="n"/>
      <c r="AX1172" s="258" t="n"/>
      <c r="AY1172" s="318" t="n"/>
      <c r="AZ1172" s="317" t="n"/>
      <c r="BA1172" s="257" t="n"/>
      <c r="BB1172" s="258" t="n"/>
      <c r="BC1172" s="316" t="n"/>
      <c r="BD1172" s="317" t="n"/>
      <c r="BE1172" s="257" t="n"/>
      <c r="BF1172" s="258" t="n"/>
      <c r="BG1172" s="89" t="n"/>
      <c r="BH11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72">
        <f>_xlfn.LET(r,ROW(),oc,INDEX($A:$A,r),cv,TRIM(INDEX($Y:$Y,r)&amp;""),IF(oc&lt;&gt;"P1","",IF(cv="45","V45 - novo, nao alimentado pelo spool atual","V44 - alimentado pelo spool atual")))</f>
        <v/>
      </c>
    </row>
    <row r="1173" ht="54" customFormat="1" customHeight="1" s="90">
      <c r="A1173" s="306" t="inlineStr">
        <is>
          <t>P2</t>
        </is>
      </c>
      <c r="B1173" s="307" t="n">
        <v>276</v>
      </c>
      <c r="C1173" s="269" t="inlineStr">
        <is>
          <t>11 - Caractéristiques Opérations à effet de levier</t>
        </is>
      </c>
      <c r="D1173" s="310" t="inlineStr">
        <is>
          <t>11 - Leveraged Operations characteristics</t>
        </is>
      </c>
      <c r="E1173" s="372" t="inlineStr">
        <is>
          <t>P2 28.3</t>
        </is>
      </c>
      <c r="F1173" s="308" t="inlineStr">
        <is>
          <t>Nature du financement</t>
        </is>
      </c>
      <c r="G1173" s="309" t="inlineStr">
        <is>
          <t xml:space="preserve">Nature of funding </t>
        </is>
      </c>
      <c r="H1173" s="309" t="n"/>
      <c r="I1173" s="241" t="inlineStr">
        <is>
          <t>Nature du financement accordé dans le cadre du financement d'une opération à effet de levier</t>
        </is>
      </c>
      <c r="J1173" s="363" t="inlineStr">
        <is>
          <t>Nature of funding granted in the context of financing of a leveraged transaction</t>
        </is>
      </c>
      <c r="K1173" s="516" t="inlineStr">
        <is>
          <t>ND</t>
        </is>
      </c>
      <c r="L1173" s="517" t="inlineStr">
        <is>
          <t>ND</t>
        </is>
      </c>
      <c r="M1173" s="1420" t="inlineStr">
        <is>
          <t>cdNatFin</t>
        </is>
      </c>
      <c r="N1173" s="257" t="inlineStr">
        <is>
          <t>Obligatoire sous conditions</t>
        </is>
      </c>
      <c r="O1173" s="236" t="inlineStr">
        <is>
          <t>Mandatory under conditions</t>
        </is>
      </c>
      <c r="P1173" s="269" t="inlineStr">
        <is>
          <t>LC.0347</t>
        </is>
      </c>
      <c r="Q1173" s="269" t="inlineStr">
        <is>
          <t>TA Z8NATFIN</t>
        </is>
      </c>
      <c r="R1173" s="241" t="inlineStr">
        <is>
          <t>NA</t>
        </is>
      </c>
      <c r="S1173" s="233" t="inlineStr">
        <is>
          <t>NA</t>
        </is>
      </c>
      <c r="T1173" s="313" t="inlineStr">
        <is>
          <t>ALPHA</t>
        </is>
      </c>
      <c r="U1173" s="237" t="inlineStr">
        <is>
          <t>NA</t>
        </is>
      </c>
      <c r="V1173" s="238" t="inlineStr">
        <is>
          <t>NA</t>
        </is>
      </c>
      <c r="W1173" s="257" t="n">
        <v>2</v>
      </c>
      <c r="X1173" s="945" t="inlineStr">
        <is>
          <t>NA</t>
        </is>
      </c>
      <c r="Y1173" s="237" t="n">
        <v>43</v>
      </c>
      <c r="Z1173" s="237" t="inlineStr">
        <is>
          <t>NA</t>
        </is>
      </c>
      <c r="AA1173" s="239" t="inlineStr">
        <is>
          <t>NA</t>
        </is>
      </c>
      <c r="AB1173" s="269" t="inlineStr">
        <is>
          <t>FEL</t>
        </is>
      </c>
      <c r="AC1173" s="231" t="inlineStr">
        <is>
          <t>ND</t>
        </is>
      </c>
      <c r="AD1173" s="257" t="inlineStr">
        <is>
          <t>N</t>
        </is>
      </c>
      <c r="AE1173" s="257" t="inlineStr">
        <is>
          <t>NA</t>
        </is>
      </c>
      <c r="AF1173" s="257" t="inlineStr">
        <is>
          <t>NA</t>
        </is>
      </c>
      <c r="AG1173" s="258" t="inlineStr">
        <is>
          <t>NA</t>
        </is>
      </c>
      <c r="AH1173" s="89" t="n"/>
      <c r="AI1173" s="316" t="inlineStr">
        <is>
          <t>La donnée est obligatoire si le type de risque [P2 2.0] = 'TRExxx' hors (TRE3xx et TRE5xx) et 'SIGxx' hors (SIG1xx, SIG202, SIG203, SIG205) et si la donnée indicateur opération effet de levier [P2 28.1] est renseignée et est &lt;&gt; '0'</t>
        </is>
      </c>
      <c r="AJ1173" s="317" t="inlineStr">
        <is>
          <t>The data is mandatory if Risk type [P2 2.0] = 'TRExxx' out (TRE3xx and TRE5xx) and 'SIGxx' out (SIG1xx, SIG202, SIG203, SIG205) and the leverage operation indicator data [P2 28.1] is filled in and is &lt;&gt; '0'</t>
        </is>
      </c>
      <c r="AK1173" s="257" t="n">
        <v>6</v>
      </c>
      <c r="AL1173" s="424" t="inlineStr">
        <is>
          <t>TPS1750</t>
        </is>
      </c>
      <c r="AM1173" s="452" t="inlineStr">
        <is>
          <t>Si elle est renseignée, la valeur doit être connue du Langage Commun associé</t>
        </is>
      </c>
      <c r="AN1173" s="377" t="inlineStr">
        <is>
          <t>If specified, the value must be known to the associated Common Language</t>
        </is>
      </c>
      <c r="AO1173" s="257" t="n">
        <v>7</v>
      </c>
      <c r="AP1173" s="212" t="inlineStr">
        <is>
          <t>TIG0001</t>
        </is>
      </c>
      <c r="AQ1173" s="318" t="n"/>
      <c r="AR1173" s="317" t="n"/>
      <c r="AS1173" s="257" t="n"/>
      <c r="AT1173" s="258" t="n"/>
      <c r="AU1173" s="318" t="n"/>
      <c r="AV1173" s="317" t="n"/>
      <c r="AW1173" s="257" t="n"/>
      <c r="AX1173" s="258" t="n"/>
      <c r="AY1173" s="318" t="n"/>
      <c r="AZ1173" s="317" t="n"/>
      <c r="BA1173" s="257" t="n"/>
      <c r="BB1173" s="258" t="n"/>
      <c r="BC1173" s="316" t="n"/>
      <c r="BD1173" s="317" t="n"/>
      <c r="BE1173" s="257" t="n"/>
      <c r="BF1173" s="258" t="n"/>
      <c r="BG1173" s="89" t="n"/>
      <c r="BH11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73">
        <f>_xlfn.LET(r,ROW(),oc,INDEX($A:$A,r),cv,TRIM(INDEX($Y:$Y,r)&amp;""),IF(oc&lt;&gt;"P1","",IF(cv="45","V45 - novo, nao alimentado pelo spool atual","V44 - alimentado pelo spool atual")))</f>
        <v/>
      </c>
    </row>
    <row r="1174" ht="54" customFormat="1" customHeight="1" s="90">
      <c r="A1174" s="306" t="inlineStr">
        <is>
          <t>P2</t>
        </is>
      </c>
      <c r="B1174" s="307" t="n">
        <v>277</v>
      </c>
      <c r="C1174" s="269" t="inlineStr">
        <is>
          <t>11 - Caractéristiques Opérations à effet de levier</t>
        </is>
      </c>
      <c r="D1174" s="310" t="inlineStr">
        <is>
          <t>11 - Leveraged Operations characteristics</t>
        </is>
      </c>
      <c r="E1174" s="372" t="inlineStr">
        <is>
          <t>P2 28.4</t>
        </is>
      </c>
      <c r="F1174" s="308" t="inlineStr">
        <is>
          <t>Type d'origination opération à effet de levier</t>
        </is>
      </c>
      <c r="G1174" s="309" t="inlineStr">
        <is>
          <t>Origination type of leveraged transaction</t>
        </is>
      </c>
      <c r="H1174" s="309" t="n"/>
      <c r="I1174" s="241" t="inlineStr">
        <is>
          <t>Type d'origination de l'opération à effet de levier</t>
        </is>
      </c>
      <c r="J1174" s="363" t="inlineStr">
        <is>
          <t>Origination type of leveraged transaction</t>
        </is>
      </c>
      <c r="K1174" s="516" t="inlineStr">
        <is>
          <t>ND</t>
        </is>
      </c>
      <c r="L1174" s="517" t="inlineStr">
        <is>
          <t>ND</t>
        </is>
      </c>
      <c r="M1174" s="1420" t="inlineStr">
        <is>
          <t>cdTypOpLev</t>
        </is>
      </c>
      <c r="N1174" s="257" t="inlineStr">
        <is>
          <t>Obligatoire sous conditions</t>
        </is>
      </c>
      <c r="O1174" s="236" t="inlineStr">
        <is>
          <t>Mandatory under conditions</t>
        </is>
      </c>
      <c r="P1174" s="269" t="inlineStr">
        <is>
          <t>LC.0348</t>
        </is>
      </c>
      <c r="Q1174" s="269" t="inlineStr">
        <is>
          <t>TA Z8TYOFEL</t>
        </is>
      </c>
      <c r="R1174" s="241" t="inlineStr">
        <is>
          <t>NA</t>
        </is>
      </c>
      <c r="S1174" s="233" t="inlineStr">
        <is>
          <t>NA</t>
        </is>
      </c>
      <c r="T1174" s="313" t="inlineStr">
        <is>
          <t>ALPHA</t>
        </is>
      </c>
      <c r="U1174" s="237" t="inlineStr">
        <is>
          <t>NA</t>
        </is>
      </c>
      <c r="V1174" s="238" t="inlineStr">
        <is>
          <t>NA</t>
        </is>
      </c>
      <c r="W1174" s="257" t="n">
        <v>2</v>
      </c>
      <c r="X1174" s="945" t="inlineStr">
        <is>
          <t>NA</t>
        </is>
      </c>
      <c r="Y1174" s="237" t="n">
        <v>43</v>
      </c>
      <c r="Z1174" s="237" t="inlineStr">
        <is>
          <t>NA</t>
        </is>
      </c>
      <c r="AA1174" s="239" t="inlineStr">
        <is>
          <t>NA</t>
        </is>
      </c>
      <c r="AB1174" s="269" t="inlineStr">
        <is>
          <t>FEL</t>
        </is>
      </c>
      <c r="AC1174" s="231" t="inlineStr">
        <is>
          <t>ND</t>
        </is>
      </c>
      <c r="AD1174" s="257" t="inlineStr">
        <is>
          <t>N</t>
        </is>
      </c>
      <c r="AE1174" s="257" t="inlineStr">
        <is>
          <t>NA</t>
        </is>
      </c>
      <c r="AF1174" s="257" t="inlineStr">
        <is>
          <t>NA</t>
        </is>
      </c>
      <c r="AG1174" s="258" t="inlineStr">
        <is>
          <t>NA</t>
        </is>
      </c>
      <c r="AH1174" s="89" t="n"/>
      <c r="AI1174" s="316" t="inlineStr">
        <is>
          <t>La donnée est obligatoire si le type de risque [P2 2.0] = 'TRExxx' hors (TRE3xx et TRE5xx) et 'SIGxx' hors (SIG1xx, SIG202, SIG203, SIG205) et si la donnée indicateur opération effet de levier [P2 28.1] est renseignée et est &lt;&gt; '0'</t>
        </is>
      </c>
      <c r="AJ1174" s="317" t="inlineStr">
        <is>
          <t>The data is mandatory if Risk type [P2 2.0] = 'TRExxx' out (TRE3xx and TRE5xx) and 'SIGxx' out (SIG1xx, SIG202, SIG203, SIG205) and the leverage operation indicator data [P2 28.1] is filled in and is &lt;&gt; '0'</t>
        </is>
      </c>
      <c r="AK1174" s="257" t="n">
        <v>6</v>
      </c>
      <c r="AL1174" s="424" t="inlineStr">
        <is>
          <t>TPS1750</t>
        </is>
      </c>
      <c r="AM1174" s="452" t="inlineStr">
        <is>
          <t>Si elle est renseignée, la valeur doit être connue du Langage Commun associé</t>
        </is>
      </c>
      <c r="AN1174" s="377" t="inlineStr">
        <is>
          <t>If specified, the value must be known to the associated Common Language</t>
        </is>
      </c>
      <c r="AO1174" s="257" t="n">
        <v>7</v>
      </c>
      <c r="AP1174" s="212" t="inlineStr">
        <is>
          <t>TIG0001</t>
        </is>
      </c>
      <c r="AQ1174" s="318" t="n"/>
      <c r="AR1174" s="317" t="n"/>
      <c r="AS1174" s="257" t="n"/>
      <c r="AT1174" s="258" t="n"/>
      <c r="AU1174" s="318" t="n"/>
      <c r="AV1174" s="317" t="n"/>
      <c r="AW1174" s="257" t="n"/>
      <c r="AX1174" s="258" t="n"/>
      <c r="AY1174" s="318" t="n"/>
      <c r="AZ1174" s="317" t="n"/>
      <c r="BA1174" s="257" t="n"/>
      <c r="BB1174" s="258" t="n"/>
      <c r="BC1174" s="316" t="n"/>
      <c r="BD1174" s="317" t="n"/>
      <c r="BE1174" s="257" t="n"/>
      <c r="BF1174" s="258" t="n"/>
      <c r="BG1174" s="89" t="n"/>
      <c r="BH11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74">
        <f>_xlfn.LET(r,ROW(),oc,INDEX($A:$A,r),cv,TRIM(INDEX($Y:$Y,r)&amp;""),IF(oc&lt;&gt;"P1","",IF(cv="45","V45 - novo, nao alimentado pelo spool atual","V44 - alimentado pelo spool atual")))</f>
        <v/>
      </c>
    </row>
    <row r="1175" ht="54" customFormat="1" customHeight="1" s="90">
      <c r="A1175" s="306" t="inlineStr">
        <is>
          <t>P2</t>
        </is>
      </c>
      <c r="B1175" s="307" t="n">
        <v>278</v>
      </c>
      <c r="C1175" s="269" t="inlineStr">
        <is>
          <t>11 - Caractéristiques Opérations à effet de levier</t>
        </is>
      </c>
      <c r="D1175" s="310" t="inlineStr">
        <is>
          <t>11 - Leveraged Operations characteristics</t>
        </is>
      </c>
      <c r="E1175" s="372" t="inlineStr">
        <is>
          <t>P2 28.5</t>
        </is>
      </c>
      <c r="F1175" s="308" t="inlineStr">
        <is>
          <t>Type clause contrat covenant</t>
        </is>
      </c>
      <c r="G1175" s="309" t="inlineStr">
        <is>
          <t>Covenant contract clause type</t>
        </is>
      </c>
      <c r="H1175" s="309" t="n"/>
      <c r="I1175" s="241" t="inlineStr">
        <is>
          <t>Type de clause du contrat covenant</t>
        </is>
      </c>
      <c r="J1175" s="363" t="inlineStr">
        <is>
          <t>Clause type of "COVENANT" contracts</t>
        </is>
      </c>
      <c r="K1175" s="516" t="inlineStr">
        <is>
          <t>ND</t>
        </is>
      </c>
      <c r="L1175" s="517" t="inlineStr">
        <is>
          <t>ND</t>
        </is>
      </c>
      <c r="M1175" s="1420" t="inlineStr">
        <is>
          <t>cdTypCntCov</t>
        </is>
      </c>
      <c r="N1175" s="257" t="inlineStr">
        <is>
          <t>Obligatoire sous conditions</t>
        </is>
      </c>
      <c r="O1175" s="236" t="inlineStr">
        <is>
          <t>Mandatory under conditions</t>
        </is>
      </c>
      <c r="P1175" s="269" t="inlineStr">
        <is>
          <t>LC.0349</t>
        </is>
      </c>
      <c r="Q1175" s="269" t="inlineStr">
        <is>
          <t>TA Z8TCLAUS</t>
        </is>
      </c>
      <c r="R1175" s="241" t="inlineStr">
        <is>
          <t>NA</t>
        </is>
      </c>
      <c r="S1175" s="233" t="inlineStr">
        <is>
          <t>NA</t>
        </is>
      </c>
      <c r="T1175" s="313" t="inlineStr">
        <is>
          <t>ALPHA</t>
        </is>
      </c>
      <c r="U1175" s="237" t="inlineStr">
        <is>
          <t>NA</t>
        </is>
      </c>
      <c r="V1175" s="238" t="inlineStr">
        <is>
          <t>NA</t>
        </is>
      </c>
      <c r="W1175" s="257" t="n">
        <v>2</v>
      </c>
      <c r="X1175" s="945" t="inlineStr">
        <is>
          <t>NA</t>
        </is>
      </c>
      <c r="Y1175" s="237" t="n">
        <v>43</v>
      </c>
      <c r="Z1175" s="237" t="inlineStr">
        <is>
          <t>NA</t>
        </is>
      </c>
      <c r="AA1175" s="239" t="inlineStr">
        <is>
          <t>NA</t>
        </is>
      </c>
      <c r="AB1175" s="269" t="inlineStr">
        <is>
          <t>FEL</t>
        </is>
      </c>
      <c r="AC1175" s="231" t="inlineStr">
        <is>
          <t>ND</t>
        </is>
      </c>
      <c r="AD1175" s="257" t="inlineStr">
        <is>
          <t>N</t>
        </is>
      </c>
      <c r="AE1175" s="257" t="inlineStr">
        <is>
          <t>NA</t>
        </is>
      </c>
      <c r="AF1175" s="257" t="inlineStr">
        <is>
          <t>NA</t>
        </is>
      </c>
      <c r="AG1175" s="258" t="inlineStr">
        <is>
          <t>NA</t>
        </is>
      </c>
      <c r="AH1175" s="89" t="n"/>
      <c r="AI1175" s="316" t="inlineStr">
        <is>
          <t>La donnée est obligatoire si le type de risque [P2 2.0] = 'TRExxx' hors (TRE3xx et TRE5xx) et 'SIGxx' hors (SIG1xx, SIG202, SIG203, SIG205) et si la donnée indicateur opération effet de levier [P2 28.1] est renseignée et est &lt;&gt; '0'</t>
        </is>
      </c>
      <c r="AJ1175" s="317" t="inlineStr">
        <is>
          <t>The data is mandatory if Risk type [P2 2.0] = 'TRExxx' out (TRE3xx and TRE5xx) and 'SIGxx' out (SIG1xx, SIG202, SIG203, SIG205) and the leverage operation indicator data [P2 28.1] is filled in and is &lt;&gt; '0'</t>
        </is>
      </c>
      <c r="AK1175" s="257" t="n">
        <v>6</v>
      </c>
      <c r="AL1175" s="424" t="inlineStr">
        <is>
          <t>TPS1750</t>
        </is>
      </c>
      <c r="AM1175" s="452" t="inlineStr">
        <is>
          <t>Si elle est renseignée, la valeur doit être connue du Langage Commun associé</t>
        </is>
      </c>
      <c r="AN1175" s="377" t="inlineStr">
        <is>
          <t>If specified, the value must be known to the associated Common Language</t>
        </is>
      </c>
      <c r="AO1175" s="257" t="n">
        <v>7</v>
      </c>
      <c r="AP1175" s="212" t="inlineStr">
        <is>
          <t>TIG0001</t>
        </is>
      </c>
      <c r="AQ1175" s="318" t="n"/>
      <c r="AR1175" s="317" t="n"/>
      <c r="AS1175" s="257" t="n"/>
      <c r="AT1175" s="258" t="n"/>
      <c r="AU1175" s="318" t="n"/>
      <c r="AV1175" s="317" t="n"/>
      <c r="AW1175" s="257" t="n"/>
      <c r="AX1175" s="258" t="n"/>
      <c r="AY1175" s="318" t="n"/>
      <c r="AZ1175" s="317" t="n"/>
      <c r="BA1175" s="257" t="n"/>
      <c r="BB1175" s="258" t="n"/>
      <c r="BC1175" s="316" t="n"/>
      <c r="BD1175" s="317" t="n"/>
      <c r="BE1175" s="257" t="n"/>
      <c r="BF1175" s="258" t="n"/>
      <c r="BG1175" s="89" t="n"/>
      <c r="BH11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75">
        <f>_xlfn.LET(r,ROW(),oc,INDEX($A:$A,r),cv,TRIM(INDEX($Y:$Y,r)&amp;""),IF(oc&lt;&gt;"P1","",IF(cv="45","V45 - novo, nao alimentado pelo spool atual","V44 - alimentado pelo spool atual")))</f>
        <v/>
      </c>
    </row>
    <row r="1176" ht="54" customFormat="1" customHeight="1" s="90">
      <c r="A1176" s="306" t="inlineStr">
        <is>
          <t>P2</t>
        </is>
      </c>
      <c r="B1176" s="307" t="n">
        <v>279</v>
      </c>
      <c r="C1176" s="269" t="inlineStr">
        <is>
          <t>11 - Caractéristiques Opérations à effet de levier</t>
        </is>
      </c>
      <c r="D1176" s="310" t="inlineStr">
        <is>
          <t>11 - Leveraged Operations characteristics</t>
        </is>
      </c>
      <c r="E1176" s="372" t="inlineStr">
        <is>
          <t>P2 28.6</t>
        </is>
      </c>
      <c r="F1176" s="308" t="inlineStr">
        <is>
          <t>Identifiant local du tiers sponsor financier</t>
        </is>
      </c>
      <c r="G1176" s="309" t="inlineStr">
        <is>
          <t>Local identifier of the financial sponsor</t>
        </is>
      </c>
      <c r="H1176" s="309" t="n"/>
      <c r="I1176" s="241" t="inlineStr">
        <is>
          <t>Identifiant du tiers sponsor financier dans le système local utilisé pour générer le flux</t>
        </is>
      </c>
      <c r="J1176" s="233" t="inlineStr">
        <is>
          <t>Identifier of the financial sponsor in the local system used to generate the flow</t>
        </is>
      </c>
      <c r="K1176" s="269" t="inlineStr">
        <is>
          <t>ND</t>
        </is>
      </c>
      <c r="L1176" s="310" t="inlineStr">
        <is>
          <t>ND</t>
        </is>
      </c>
      <c r="M1176" s="1420" t="inlineStr">
        <is>
          <t>idLocalTiersSponsor</t>
        </is>
      </c>
      <c r="N1176" s="257" t="inlineStr">
        <is>
          <t>Obligatoire sous conditions</t>
        </is>
      </c>
      <c r="O1176" s="236" t="inlineStr">
        <is>
          <t>Mandatory under conditions</t>
        </is>
      </c>
      <c r="P1176" s="269" t="inlineStr">
        <is>
          <t>NA</t>
        </is>
      </c>
      <c r="Q1176" s="269" t="inlineStr">
        <is>
          <t>NA</t>
        </is>
      </c>
      <c r="R1176" s="241" t="inlineStr">
        <is>
          <t>NA</t>
        </is>
      </c>
      <c r="S1176" s="233" t="inlineStr">
        <is>
          <t>NA</t>
        </is>
      </c>
      <c r="T1176" s="313" t="inlineStr">
        <is>
          <t>ALPHA</t>
        </is>
      </c>
      <c r="U1176" s="237" t="inlineStr">
        <is>
          <t>NA</t>
        </is>
      </c>
      <c r="V1176" s="238" t="inlineStr">
        <is>
          <t>NA</t>
        </is>
      </c>
      <c r="W1176" s="257" t="n">
        <v>20</v>
      </c>
      <c r="X1176" s="945" t="inlineStr">
        <is>
          <t>NA</t>
        </is>
      </c>
      <c r="Y1176" s="237" t="n">
        <v>43</v>
      </c>
      <c r="Z1176" s="237" t="inlineStr">
        <is>
          <t>NA</t>
        </is>
      </c>
      <c r="AA1176" s="283" t="inlineStr">
        <is>
          <t>NA</t>
        </is>
      </c>
      <c r="AB1176" s="269" t="inlineStr">
        <is>
          <t>FEL</t>
        </is>
      </c>
      <c r="AC1176" s="231" t="inlineStr">
        <is>
          <t>ND</t>
        </is>
      </c>
      <c r="AD1176" s="257" t="inlineStr">
        <is>
          <t>N</t>
        </is>
      </c>
      <c r="AE1176" s="257" t="inlineStr">
        <is>
          <t>NA</t>
        </is>
      </c>
      <c r="AF1176" s="257" t="inlineStr">
        <is>
          <t>NA</t>
        </is>
      </c>
      <c r="AG1176" s="258" t="inlineStr">
        <is>
          <t>NA</t>
        </is>
      </c>
      <c r="AH1176" s="89" t="n"/>
      <c r="AI1176" s="705" t="inlineStr">
        <is>
          <t>La donnée est obligatoire si le type de risque [P2 2.0] = ('TRE*', 'SIG*') hors ('TRE3*', 'TRE5*', 'SIG1*', SIG202, SIG203, SIG205) et l'indicateur opération effet de levier [P2 28.1] est renseigné et différent de '0' ou '3'</t>
        </is>
      </c>
      <c r="AJ1176" s="317" t="inlineStr">
        <is>
          <t>The data is mandatory if Risk type [P2 2.0] = ('TRE*', 'SIG*') except ('TRE3*', 'TRE5*', 'SIG1*', SIG202, SIG203, SIG205) and leveraged transaction indicator [P2 28.1] is filled and different from '0' or '3'</t>
        </is>
      </c>
      <c r="AK1176" s="257" t="n">
        <v>6</v>
      </c>
      <c r="AL1176" s="829" t="inlineStr">
        <is>
          <t>TPS1763</t>
        </is>
      </c>
      <c r="AM1176" s="318" t="n"/>
      <c r="AN1176" s="317" t="n"/>
      <c r="AO1176" s="257" t="n"/>
      <c r="AP1176" s="258" t="n"/>
      <c r="AQ1176" s="318" t="n"/>
      <c r="AR1176" s="317" t="n"/>
      <c r="AS1176" s="257" t="n"/>
      <c r="AT1176" s="258" t="n"/>
      <c r="AU1176" s="318" t="n"/>
      <c r="AV1176" s="317" t="n"/>
      <c r="AW1176" s="257" t="n"/>
      <c r="AX1176" s="258" t="n"/>
      <c r="AY1176" s="337" t="inlineStr">
        <is>
          <t>Le tiers doit exister (présence du tiers dans TIGRE)</t>
        </is>
      </c>
      <c r="AZ1176" s="317" t="inlineStr">
        <is>
          <t>The third-party must exist (presence of the third-party in TIGRE)</t>
        </is>
      </c>
      <c r="BA1176" s="257" t="n">
        <v>7</v>
      </c>
      <c r="BB1176" s="338" t="inlineStr">
        <is>
          <t>TIG0002</t>
        </is>
      </c>
      <c r="BC1176" s="316" t="n"/>
      <c r="BD1176" s="317" t="n"/>
      <c r="BE1176" s="257" t="n"/>
      <c r="BF1176" s="258" t="n"/>
      <c r="BG1176" s="89" t="n"/>
      <c r="BH11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76">
        <f>_xlfn.LET(r,ROW(),oc,INDEX($A:$A,r),cv,TRIM(INDEX($Y:$Y,r)&amp;""),IF(oc&lt;&gt;"P1","",IF(cv="45","V45 - novo, nao alimentado pelo spool atual","V44 - alimentado pelo spool atual")))</f>
        <v/>
      </c>
    </row>
    <row r="1177" ht="54" customFormat="1" customHeight="1" s="90">
      <c r="A1177" s="306" t="inlineStr">
        <is>
          <t>P2</t>
        </is>
      </c>
      <c r="B1177" s="307" t="n">
        <v>280</v>
      </c>
      <c r="C1177" s="269" t="inlineStr">
        <is>
          <t>11 - Caractéristiques Opérations à effet de levier</t>
        </is>
      </c>
      <c r="D1177" s="310" t="inlineStr">
        <is>
          <t>11 - Leveraged Operations characteristics</t>
        </is>
      </c>
      <c r="E1177" s="372" t="inlineStr">
        <is>
          <t>P2 28.7</t>
        </is>
      </c>
      <c r="F1177" s="308" t="inlineStr">
        <is>
          <t>Identifiant central du tiers sponsor financier</t>
        </is>
      </c>
      <c r="G1177" s="309" t="inlineStr">
        <is>
          <t>Central identifier of the financial sponsor</t>
        </is>
      </c>
      <c r="H1177" s="309" t="n"/>
      <c r="I1177" s="241" t="inlineStr">
        <is>
          <t>Identifiant du tiers sponsor financier dans le système central DRG (i.e Identifiant central de la base Tiers TIGRE)</t>
        </is>
      </c>
      <c r="J1177" s="309" t="inlineStr">
        <is>
          <t>Identifier of the financial sponsor in the central DRG system (i.e. Central identifier of the TIGRE Third Party database)</t>
        </is>
      </c>
      <c r="K1177" s="370" t="inlineStr">
        <is>
          <t>ND</t>
        </is>
      </c>
      <c r="L1177" s="371" t="inlineStr">
        <is>
          <t>ND</t>
        </is>
      </c>
      <c r="M1177" s="1420" t="inlineStr">
        <is>
          <t>idCentralTiersSponsor</t>
        </is>
      </c>
      <c r="N1177" s="231" t="inlineStr">
        <is>
          <t>Facultatif</t>
        </is>
      </c>
      <c r="O1177" s="236" t="inlineStr">
        <is>
          <t>Optional</t>
        </is>
      </c>
      <c r="P1177" s="269" t="inlineStr">
        <is>
          <t>NA</t>
        </is>
      </c>
      <c r="Q1177" s="269" t="inlineStr">
        <is>
          <t>NA</t>
        </is>
      </c>
      <c r="R1177" s="241" t="inlineStr">
        <is>
          <t>Obligatoire si indicateur opération effet de levier (P2 28.1) différent de '0' (Opération sans effet de levier)</t>
        </is>
      </c>
      <c r="S1177" s="233" t="inlineStr">
        <is>
          <t>Mandatory where leveraged transaction Indicator (P2 28.1) différent de '0' (Operation without leverage)</t>
        </is>
      </c>
      <c r="T1177" s="313" t="inlineStr">
        <is>
          <t>ALPHA</t>
        </is>
      </c>
      <c r="U1177" s="237" t="inlineStr">
        <is>
          <t>NA</t>
        </is>
      </c>
      <c r="V1177" s="238" t="inlineStr">
        <is>
          <t>NA</t>
        </is>
      </c>
      <c r="W1177" s="257" t="n">
        <v>10</v>
      </c>
      <c r="X1177" s="945" t="inlineStr">
        <is>
          <t>NA</t>
        </is>
      </c>
      <c r="Y1177" s="237" t="n">
        <v>43</v>
      </c>
      <c r="Z1177" s="237" t="inlineStr">
        <is>
          <t>NA</t>
        </is>
      </c>
      <c r="AA1177" s="237" t="inlineStr">
        <is>
          <t>45.00</t>
        </is>
      </c>
      <c r="AB1177" s="269" t="inlineStr">
        <is>
          <t>ASTRE, FEL</t>
        </is>
      </c>
      <c r="AC1177" s="231" t="inlineStr">
        <is>
          <t>ND</t>
        </is>
      </c>
      <c r="AD1177" s="257" t="inlineStr">
        <is>
          <t>N</t>
        </is>
      </c>
      <c r="AE1177" s="257" t="inlineStr">
        <is>
          <t>NA</t>
        </is>
      </c>
      <c r="AF1177" s="257" t="inlineStr">
        <is>
          <t>NA</t>
        </is>
      </c>
      <c r="AG1177" s="258" t="inlineStr">
        <is>
          <t>NA</t>
        </is>
      </c>
      <c r="AH1177" s="89" t="n"/>
      <c r="AI1177" s="316" t="n"/>
      <c r="AJ1177" s="317" t="n"/>
      <c r="AK1177" s="257" t="n"/>
      <c r="AL1177" s="258" t="n"/>
      <c r="AM1177" s="318" t="n"/>
      <c r="AN1177" s="317" t="n"/>
      <c r="AO1177" s="257" t="n"/>
      <c r="AP1177" s="258" t="n"/>
      <c r="AQ1177" s="318" t="n"/>
      <c r="AR1177" s="317" t="n"/>
      <c r="AS1177" s="257" t="n"/>
      <c r="AT1177" s="258" t="n"/>
      <c r="AU1177" s="318" t="n"/>
      <c r="AV1177" s="317" t="n"/>
      <c r="AW1177" s="257" t="n"/>
      <c r="AX1177" s="258" t="n"/>
      <c r="AY1177" s="1240" t="inlineStr">
        <is>
          <t>S'il est renseigné, l'identifiant doit correspondre à un enregistrement dans l'objet associé, indépendamment de l'entité
---
Le tiers doit exister (présence du tiers dans TIGRE)
---
Le couple identifiant local / central (P2 28.6 et P2 28.7) doit exister dans TIGRE</t>
        </is>
      </c>
      <c r="AZ1177" s="931" t="inlineStr">
        <is>
          <t>If it is filled in, the identifier must correspond to a record in the associated object, regardless of the entity
---
Data must be present in TIGRE
---
The local/central identifier pair (P2 28.6 and P2 28.7) must exist in TIGRE</t>
        </is>
      </c>
      <c r="BA1177" s="1181" t="inlineStr">
        <is>
          <t>7
6
6</t>
        </is>
      </c>
      <c r="BB1177" s="1182" t="inlineStr">
        <is>
          <t>TI0003
TIG0002
TIG0004</t>
        </is>
      </c>
      <c r="BC1177" s="316" t="n"/>
      <c r="BD1177" s="317" t="n"/>
      <c r="BE1177" s="257" t="n"/>
      <c r="BF1177" s="258" t="n"/>
      <c r="BG1177" s="89" t="n"/>
      <c r="BH11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77">
        <f>_xlfn.LET(r,ROW(),oc,INDEX($A:$A,r),cv,TRIM(INDEX($Y:$Y,r)&amp;""),IF(oc&lt;&gt;"P1","",IF(cv="45","V45 - novo, nao alimentado pelo spool atual","V44 - alimentado pelo spool atual")))</f>
        <v/>
      </c>
    </row>
    <row r="1178" ht="54" customFormat="1" customHeight="1" s="90">
      <c r="A1178" s="306" t="inlineStr">
        <is>
          <t>P2</t>
        </is>
      </c>
      <c r="B1178" s="307" t="n">
        <v>281</v>
      </c>
      <c r="C1178" s="269" t="inlineStr">
        <is>
          <t>11 - Caractéristiques Opérations à effet de levier</t>
        </is>
      </c>
      <c r="D1178" s="310" t="inlineStr">
        <is>
          <t>11 - Leveraged Operations characteristics</t>
        </is>
      </c>
      <c r="E1178" s="372" t="inlineStr">
        <is>
          <t>P2 28.8</t>
        </is>
      </c>
      <c r="F1178" s="308" t="inlineStr">
        <is>
          <t>Ratio de levier de l'opération à l'origination</t>
        </is>
      </c>
      <c r="G1178" s="309" t="inlineStr">
        <is>
          <t>Leverage ratio of the original transaction</t>
        </is>
      </c>
      <c r="H1178" s="309" t="n"/>
      <c r="I1178" s="308" t="inlineStr">
        <is>
          <t>Date de la signature du contrat
Ratio de levier brut BCE (endettement brut / EBITDA) : 
- Toutes les dettes connues non tirées, y compris la nouvelle dette au closing pour les LBO/FSA et financements conséquents CEL ou date de renouvellement pour les CEL (revue annuelle sans mise en place de nouveaux financements)
- Toute amélioration de l'EBITDA doit être dûment justifié et examiné par une fonction indépendante de la fonction de front office</t>
        </is>
      </c>
      <c r="J1178" s="309" t="inlineStr">
        <is>
          <t>Date of contract signature.
ECB gross leverage ratio (gross debt/EBITDA):
- All known undrawn debts, including the new closing debt for LBO/FSA and significant CEL financing or renewal date for CEL (annual review without new financing)
- Any improvement in the EBITDA must be duly justified and examined by a function independent of the front office function</t>
        </is>
      </c>
      <c r="K1178" s="370" t="inlineStr">
        <is>
          <t>ND</t>
        </is>
      </c>
      <c r="L1178" s="371" t="inlineStr">
        <is>
          <t>ND</t>
        </is>
      </c>
      <c r="M1178" s="1420" t="inlineStr">
        <is>
          <t>AmtOpeEffetLevier</t>
        </is>
      </c>
      <c r="N1178" s="257" t="inlineStr">
        <is>
          <t>Obligatoire sous conditions</t>
        </is>
      </c>
      <c r="O1178" s="236" t="inlineStr">
        <is>
          <t>Mandatory under conditions</t>
        </is>
      </c>
      <c r="P1178" s="269" t="inlineStr">
        <is>
          <t>NA</t>
        </is>
      </c>
      <c r="Q1178" s="269" t="inlineStr">
        <is>
          <t>NA</t>
        </is>
      </c>
      <c r="R1178" s="241" t="inlineStr">
        <is>
          <t>NA</t>
        </is>
      </c>
      <c r="S1178" s="233" t="inlineStr">
        <is>
          <t>NA</t>
        </is>
      </c>
      <c r="T1178" s="313" t="inlineStr">
        <is>
          <t>NUM</t>
        </is>
      </c>
      <c r="U1178" s="237" t="inlineStr">
        <is>
          <t>15 dont signe et 9 décimales</t>
        </is>
      </c>
      <c r="V1178" s="238" t="inlineStr">
        <is>
          <t>15 including sign and 9 decimals</t>
        </is>
      </c>
      <c r="W1178" s="257" t="n">
        <v>15</v>
      </c>
      <c r="X1178" s="945" t="inlineStr">
        <is>
          <t>NA</t>
        </is>
      </c>
      <c r="Y1178" s="237" t="n">
        <v>43</v>
      </c>
      <c r="Z1178" s="237" t="inlineStr">
        <is>
          <t>NA</t>
        </is>
      </c>
      <c r="AA1178" s="239" t="inlineStr">
        <is>
          <t>NA</t>
        </is>
      </c>
      <c r="AB1178" s="269" t="inlineStr">
        <is>
          <t>FEL</t>
        </is>
      </c>
      <c r="AC1178" s="231" t="inlineStr">
        <is>
          <t>ND</t>
        </is>
      </c>
      <c r="AD1178" s="257" t="inlineStr">
        <is>
          <t>N</t>
        </is>
      </c>
      <c r="AE1178" s="257" t="inlineStr">
        <is>
          <t>NA</t>
        </is>
      </c>
      <c r="AF1178" s="257" t="inlineStr">
        <is>
          <t>NA</t>
        </is>
      </c>
      <c r="AG1178" s="258" t="inlineStr">
        <is>
          <t>NA</t>
        </is>
      </c>
      <c r="AH1178" s="89" t="n"/>
      <c r="AI1178" s="316" t="inlineStr">
        <is>
          <t>La donnée est obligatoire si le type de risque [P2 2.0] = 'TRExxx' hors (TRE3xx et TRE5xx) et 'SIGxx' hors (SIG1xx, SIG202, SIG203, SIG205) et si la donnée indicateur opération effet de levier [P2 28.1] est renseignée et est &lt;&gt; '0'</t>
        </is>
      </c>
      <c r="AJ1178" s="317" t="inlineStr">
        <is>
          <t>The data is mandatory if Risk type [P2 2.0] = 'TRExxx' out (TRE3xx and TRE5xx) and 'SIGxx' out (SIG1xx, SIG202, SIG203, SIG205) and the leverage operation indicator data [P2 28.1] is filled in and is &lt;&gt; '0'</t>
        </is>
      </c>
      <c r="AK1178" s="257" t="n">
        <v>6</v>
      </c>
      <c r="AL1178" s="424" t="inlineStr">
        <is>
          <t>TPS1750</t>
        </is>
      </c>
      <c r="AM1178" s="318" t="n"/>
      <c r="AN1178" s="317" t="n"/>
      <c r="AO1178" s="257" t="n"/>
      <c r="AP1178" s="258" t="n"/>
      <c r="AQ1178" s="318" t="n"/>
      <c r="AR1178" s="317" t="n"/>
      <c r="AS1178" s="257" t="n"/>
      <c r="AT1178" s="258" t="n"/>
      <c r="AU1178" s="318" t="n"/>
      <c r="AV1178" s="317" t="n"/>
      <c r="AW1178" s="257" t="n"/>
      <c r="AX1178" s="258" t="n"/>
      <c r="AY1178" s="318" t="n"/>
      <c r="AZ1178" s="317" t="n"/>
      <c r="BA1178" s="257" t="n"/>
      <c r="BB1178" s="258" t="n"/>
      <c r="BC1178" s="316" t="n"/>
      <c r="BD1178" s="317" t="n"/>
      <c r="BE1178" s="257" t="n"/>
      <c r="BF1178" s="258" t="n"/>
      <c r="BG1178" s="89" t="n"/>
      <c r="BH11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78">
        <f>_xlfn.LET(r,ROW(),oc,INDEX($A:$A,r),cv,TRIM(INDEX($Y:$Y,r)&amp;""),IF(oc&lt;&gt;"P1","",IF(cv="45","V45 - novo, nao alimentado pelo spool atual","V44 - alimentado pelo spool atual")))</f>
        <v/>
      </c>
    </row>
    <row r="1179" ht="54" customFormat="1" customHeight="1" s="90">
      <c r="A1179" s="306" t="inlineStr">
        <is>
          <t>P2</t>
        </is>
      </c>
      <c r="B1179" s="307" t="n">
        <v>282</v>
      </c>
      <c r="C1179" s="269" t="inlineStr">
        <is>
          <t>11 - Caractéristiques Opérations à effet de levier</t>
        </is>
      </c>
      <c r="D1179" s="310" t="inlineStr">
        <is>
          <t>11 - Leveraged Operations characteristics</t>
        </is>
      </c>
      <c r="E1179" s="372" t="inlineStr">
        <is>
          <t>P2 28.9</t>
        </is>
      </c>
      <c r="F1179" s="524" t="inlineStr">
        <is>
          <t>Montant de la part de la prise ferme du montant du contrat à l'origine</t>
        </is>
      </c>
      <c r="G1179" s="309" t="inlineStr">
        <is>
          <t>Amount of the underwriting of the original contract amount</t>
        </is>
      </c>
      <c r="H1179" s="309" t="n"/>
      <c r="I1179" s="241" t="inlineStr">
        <is>
          <t>Part (en montant) de la prise ferme du montant du contrat à l'origine par la Banque</t>
        </is>
      </c>
      <c r="J1179" s="1509" t="inlineStr">
        <is>
          <t>Amount of the underwriting of the original contract amount by the Bank</t>
        </is>
      </c>
      <c r="K1179" s="1510" t="inlineStr">
        <is>
          <t>ND</t>
        </is>
      </c>
      <c r="L1179" s="1511" t="inlineStr">
        <is>
          <t>ND</t>
        </is>
      </c>
      <c r="M1179" s="1420" t="inlineStr">
        <is>
          <t>MtPriseFerme</t>
        </is>
      </c>
      <c r="N1179" s="257" t="inlineStr">
        <is>
          <t>Obligatoire sous conditions</t>
        </is>
      </c>
      <c r="O1179" s="236" t="inlineStr">
        <is>
          <t>Mandatory under conditions</t>
        </is>
      </c>
      <c r="P1179" s="269" t="inlineStr">
        <is>
          <t>NA</t>
        </is>
      </c>
      <c r="Q1179" s="269" t="inlineStr">
        <is>
          <t>NA</t>
        </is>
      </c>
      <c r="R1179" s="241" t="inlineStr">
        <is>
          <t>NA</t>
        </is>
      </c>
      <c r="S1179" s="233" t="inlineStr">
        <is>
          <t>NA</t>
        </is>
      </c>
      <c r="T1179" s="313" t="inlineStr">
        <is>
          <t>NUM</t>
        </is>
      </c>
      <c r="U1179" s="237" t="inlineStr">
        <is>
          <t>19 dont signe et 2 décimales</t>
        </is>
      </c>
      <c r="V1179" s="238" t="inlineStr">
        <is>
          <t>19 including sign and 2 decimals</t>
        </is>
      </c>
      <c r="W1179" s="257" t="n">
        <v>19</v>
      </c>
      <c r="X1179" s="945" t="inlineStr">
        <is>
          <t>NA</t>
        </is>
      </c>
      <c r="Y1179" s="237" t="n">
        <v>43</v>
      </c>
      <c r="Z1179" s="237" t="inlineStr">
        <is>
          <t>NA</t>
        </is>
      </c>
      <c r="AA1179" s="239" t="inlineStr">
        <is>
          <t>NA</t>
        </is>
      </c>
      <c r="AB1179" s="269" t="inlineStr">
        <is>
          <t>FEL</t>
        </is>
      </c>
      <c r="AC1179" s="231" t="inlineStr">
        <is>
          <t>ND</t>
        </is>
      </c>
      <c r="AD1179" s="257" t="inlineStr">
        <is>
          <t>N</t>
        </is>
      </c>
      <c r="AE1179" s="257" t="inlineStr">
        <is>
          <t>NA</t>
        </is>
      </c>
      <c r="AF1179" s="257" t="inlineStr">
        <is>
          <t>NA</t>
        </is>
      </c>
      <c r="AG1179" s="258" t="inlineStr">
        <is>
          <t>NA</t>
        </is>
      </c>
      <c r="AH1179" s="89" t="n"/>
      <c r="AI1179" s="316" t="inlineStr">
        <is>
          <t>La donnée est obligatoire si le type de risque [P2 2.0] = 'TRExxx' hors (TRE3xx et TRE5xx) et 'SIGxx' hors (SIG1xx, SIG202, SIG203, SIG205) et si la donnée indicateur opération effet de levier [P2 28.1] est renseignée et est &lt;&gt; '0'</t>
        </is>
      </c>
      <c r="AJ1179" s="317" t="inlineStr">
        <is>
          <t>The data is mandatory if Risk type [P2 2.0] = 'TRExxx' out (TRE3xx and TRE5xx) and 'SIGxx' out (SIG1xx, SIG202, SIG203, SIG205) and the leverage operation indicator data [P2 28.1] is filled in and is &lt;&gt; '0'</t>
        </is>
      </c>
      <c r="AK1179" s="257" t="n">
        <v>6</v>
      </c>
      <c r="AL1179" s="424" t="inlineStr">
        <is>
          <t>TPS1750</t>
        </is>
      </c>
      <c r="AM1179" s="318" t="n"/>
      <c r="AN1179" s="317" t="n"/>
      <c r="AO1179" s="257" t="n"/>
      <c r="AP1179" s="258" t="n"/>
      <c r="AQ1179" s="707" t="inlineStr">
        <is>
          <t>Si renseignée, la donnée doit être strictement supérieure à 0</t>
        </is>
      </c>
      <c r="AR1179" s="317" t="inlineStr">
        <is>
          <t>If filled, data must strictly be greater than 0</t>
        </is>
      </c>
      <c r="AS1179" s="257" t="n">
        <v>7</v>
      </c>
      <c r="AT1179" s="530" t="inlineStr">
        <is>
          <t>TVG0003</t>
        </is>
      </c>
      <c r="AU1179" s="318" t="n"/>
      <c r="AV1179" s="317" t="n"/>
      <c r="AW1179" s="257" t="n"/>
      <c r="AX1179" s="258" t="n"/>
      <c r="AY1179" s="318" t="n"/>
      <c r="AZ1179" s="317" t="n"/>
      <c r="BA1179" s="257" t="n"/>
      <c r="BB1179" s="258" t="n"/>
      <c r="BC1179" s="316" t="n"/>
      <c r="BD1179" s="317" t="n"/>
      <c r="BE1179" s="257" t="n"/>
      <c r="BF1179" s="258" t="n"/>
      <c r="BG1179" s="89" t="n"/>
      <c r="BH11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79">
        <f>_xlfn.LET(r,ROW(),oc,INDEX($A:$A,r),cv,TRIM(INDEX($Y:$Y,r)&amp;""),IF(oc&lt;&gt;"P1","",IF(cv="45","V45 - novo, nao alimentado pelo spool atual","V44 - alimentado pelo spool atual")))</f>
        <v/>
      </c>
    </row>
    <row r="1180" ht="54" customFormat="1" customHeight="1" s="90">
      <c r="A1180" s="306" t="inlineStr">
        <is>
          <t>P2</t>
        </is>
      </c>
      <c r="B1180" s="307" t="n">
        <v>283</v>
      </c>
      <c r="C1180" s="269" t="inlineStr">
        <is>
          <t>11 - Caractéristiques Opérations à effet de levier</t>
        </is>
      </c>
      <c r="D1180" s="310" t="inlineStr">
        <is>
          <t>11 - Leveraged Operations characteristics</t>
        </is>
      </c>
      <c r="E1180" s="372" t="inlineStr">
        <is>
          <t>P2 28.10</t>
        </is>
      </c>
      <c r="F1180" s="524" t="inlineStr">
        <is>
          <t>Devise du montant de la part de la prise ferme du montant du contrat à l'origine</t>
        </is>
      </c>
      <c r="G1180" s="309" t="inlineStr">
        <is>
          <t>Currency of amount of the underwriting of the original contract amount</t>
        </is>
      </c>
      <c r="H1180" s="309" t="n"/>
      <c r="I1180" s="525" t="inlineStr">
        <is>
          <t>Devise d'expression du montant de la part de la prise ferme du montant du contrat à l'origine</t>
        </is>
      </c>
      <c r="J1180" s="309" t="inlineStr">
        <is>
          <t>Currency of amount of the underwriting of the original contract amount</t>
        </is>
      </c>
      <c r="K1180" s="370" t="inlineStr">
        <is>
          <t>ND</t>
        </is>
      </c>
      <c r="L1180" s="371" t="inlineStr">
        <is>
          <t>ND</t>
        </is>
      </c>
      <c r="M1180" s="1420" t="inlineStr">
        <is>
          <t>cdDevPriseFerme</t>
        </is>
      </c>
      <c r="N1180" s="257" t="inlineStr">
        <is>
          <t>Obligatoire sous conditions</t>
        </is>
      </c>
      <c r="O1180" s="236" t="inlineStr">
        <is>
          <t>Mandatory under conditions</t>
        </is>
      </c>
      <c r="P1180" s="269" t="inlineStr">
        <is>
          <t>LC.0005</t>
        </is>
      </c>
      <c r="Q1180" s="269" t="inlineStr">
        <is>
          <t>TA NM253</t>
        </is>
      </c>
      <c r="R1180" s="241" t="inlineStr">
        <is>
          <t>NA</t>
        </is>
      </c>
      <c r="S1180" s="233" t="inlineStr">
        <is>
          <t>NA</t>
        </is>
      </c>
      <c r="T1180" s="313" t="inlineStr">
        <is>
          <t>ALPHA</t>
        </is>
      </c>
      <c r="U1180" s="237" t="inlineStr">
        <is>
          <t>NA</t>
        </is>
      </c>
      <c r="V1180" s="238" t="inlineStr">
        <is>
          <t>NA</t>
        </is>
      </c>
      <c r="W1180" s="257" t="n">
        <v>3</v>
      </c>
      <c r="X1180" s="945" t="inlineStr">
        <is>
          <t>NA</t>
        </is>
      </c>
      <c r="Y1180" s="237" t="n">
        <v>43</v>
      </c>
      <c r="Z1180" s="237" t="inlineStr">
        <is>
          <t>NA</t>
        </is>
      </c>
      <c r="AA1180" s="239" t="inlineStr">
        <is>
          <t>NA</t>
        </is>
      </c>
      <c r="AB1180" s="269" t="inlineStr">
        <is>
          <t>FEL</t>
        </is>
      </c>
      <c r="AC1180" s="231" t="inlineStr">
        <is>
          <t>ND</t>
        </is>
      </c>
      <c r="AD1180" s="257" t="inlineStr">
        <is>
          <t>N</t>
        </is>
      </c>
      <c r="AE1180" s="257" t="inlineStr">
        <is>
          <t>NA</t>
        </is>
      </c>
      <c r="AF1180" s="257" t="inlineStr">
        <is>
          <t>NA</t>
        </is>
      </c>
      <c r="AG1180" s="258" t="inlineStr">
        <is>
          <t>NA</t>
        </is>
      </c>
      <c r="AH1180" s="89" t="n"/>
      <c r="AI1180" s="316" t="inlineStr">
        <is>
          <t>La donnée est obligatoire si la donnée part de la prise ferme du montant du contrat à l'origine [P2 28.9] est renseignée</t>
        </is>
      </c>
      <c r="AJ1180" s="317" t="inlineStr">
        <is>
          <t>The data is mandatory if the Amount of the underwriting of the original contract amount [P2 28.9] is filled</t>
        </is>
      </c>
      <c r="AK1180" s="257" t="n">
        <v>7</v>
      </c>
      <c r="AL1180" s="335" t="inlineStr">
        <is>
          <t>TPG0002</t>
        </is>
      </c>
      <c r="AM1180" s="452" t="inlineStr">
        <is>
          <t>Si elle est renseignée, la valeur doit être connue du Langage Commun associé</t>
        </is>
      </c>
      <c r="AN1180" s="377" t="inlineStr">
        <is>
          <t>If specified, the value must be known to the associated Common Language</t>
        </is>
      </c>
      <c r="AO1180" s="257" t="n">
        <v>7</v>
      </c>
      <c r="AP1180" s="212" t="inlineStr">
        <is>
          <t>TIG0001</t>
        </is>
      </c>
      <c r="AQ1180" s="318" t="n"/>
      <c r="AR1180" s="317" t="n"/>
      <c r="AS1180" s="257" t="n"/>
      <c r="AT1180" s="258" t="n"/>
      <c r="AU1180" s="318" t="n"/>
      <c r="AV1180" s="317" t="n"/>
      <c r="AW1180" s="257" t="n"/>
      <c r="AX1180" s="258" t="n"/>
      <c r="AY1180" s="318" t="n"/>
      <c r="AZ1180" s="317" t="n"/>
      <c r="BA1180" s="257" t="n"/>
      <c r="BB1180" s="258" t="n"/>
      <c r="BC1180" s="316" t="n"/>
      <c r="BD1180" s="317" t="n"/>
      <c r="BE1180" s="257" t="n"/>
      <c r="BF1180" s="258" t="n"/>
      <c r="BG1180" s="89" t="n"/>
      <c r="BH11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80">
        <f>_xlfn.LET(r,ROW(),oc,INDEX($A:$A,r),cv,TRIM(INDEX($Y:$Y,r)&amp;""),IF(oc&lt;&gt;"P1","",IF(cv="45","V45 - novo, nao alimentado pelo spool atual","V44 - alimentado pelo spool atual")))</f>
        <v/>
      </c>
    </row>
    <row r="1181" ht="54" customFormat="1" customHeight="1" s="90">
      <c r="A1181" s="306" t="inlineStr">
        <is>
          <t>P2</t>
        </is>
      </c>
      <c r="B1181" s="307" t="n">
        <v>284</v>
      </c>
      <c r="C1181" s="269" t="inlineStr">
        <is>
          <t>11 - Caractéristiques Opérations à effet de levier</t>
        </is>
      </c>
      <c r="D1181" s="310" t="inlineStr">
        <is>
          <t>11 - Leveraged Operations characteristics</t>
        </is>
      </c>
      <c r="E1181" s="372" t="inlineStr">
        <is>
          <t>P2 28.11</t>
        </is>
      </c>
      <c r="F1181" s="524" t="inlineStr">
        <is>
          <t>Montant de la part à syndiquer du montant du contrat à l'origine</t>
        </is>
      </c>
      <c r="G1181" s="309" t="inlineStr">
        <is>
          <t>Amount to syndicate of the original contract amount</t>
        </is>
      </c>
      <c r="H1181" s="309" t="n"/>
      <c r="I1181" s="241" t="inlineStr">
        <is>
          <t>Part à syndiquer du contrat, à céder dans les 90 jours suivant la signature du contrat</t>
        </is>
      </c>
      <c r="J1181" s="1509" t="inlineStr">
        <is>
          <t>Amount of the part to be syndicated of the contract, to be sold within 90 days of contract signing date</t>
        </is>
      </c>
      <c r="K1181" s="1510" t="inlineStr">
        <is>
          <t>ND</t>
        </is>
      </c>
      <c r="L1181" s="1511" t="inlineStr">
        <is>
          <t>ND</t>
        </is>
      </c>
      <c r="M1181" s="1420" t="inlineStr">
        <is>
          <t>MtPartSynd</t>
        </is>
      </c>
      <c r="N1181" s="257" t="inlineStr">
        <is>
          <t>Obligatoire sous conditions</t>
        </is>
      </c>
      <c r="O1181" s="236" t="inlineStr">
        <is>
          <t>Mandatory under conditions</t>
        </is>
      </c>
      <c r="P1181" s="269" t="inlineStr">
        <is>
          <t>NA</t>
        </is>
      </c>
      <c r="Q1181" s="269" t="inlineStr">
        <is>
          <t>NA</t>
        </is>
      </c>
      <c r="R1181" s="241" t="inlineStr">
        <is>
          <t>NA</t>
        </is>
      </c>
      <c r="S1181" s="233" t="inlineStr">
        <is>
          <t>NA</t>
        </is>
      </c>
      <c r="T1181" s="313" t="inlineStr">
        <is>
          <t>NUM</t>
        </is>
      </c>
      <c r="U1181" s="237" t="inlineStr">
        <is>
          <t>19 dont signe et 2 décimales</t>
        </is>
      </c>
      <c r="V1181" s="238" t="inlineStr">
        <is>
          <t>19 including sign and 2 decimals</t>
        </is>
      </c>
      <c r="W1181" s="257" t="n">
        <v>19</v>
      </c>
      <c r="X1181" s="945" t="inlineStr">
        <is>
          <t>NA</t>
        </is>
      </c>
      <c r="Y1181" s="237" t="n">
        <v>43</v>
      </c>
      <c r="Z1181" s="237" t="inlineStr">
        <is>
          <t>NA</t>
        </is>
      </c>
      <c r="AA1181" s="239" t="inlineStr">
        <is>
          <t>NA</t>
        </is>
      </c>
      <c r="AB1181" s="269" t="inlineStr">
        <is>
          <t>FEL</t>
        </is>
      </c>
      <c r="AC1181" s="231" t="inlineStr">
        <is>
          <t>ND</t>
        </is>
      </c>
      <c r="AD1181" s="257" t="inlineStr">
        <is>
          <t>N</t>
        </is>
      </c>
      <c r="AE1181" s="257" t="inlineStr">
        <is>
          <t>NA</t>
        </is>
      </c>
      <c r="AF1181" s="257" t="inlineStr">
        <is>
          <t>NA</t>
        </is>
      </c>
      <c r="AG1181" s="258" t="inlineStr">
        <is>
          <t>NA</t>
        </is>
      </c>
      <c r="AH1181" s="89" t="n"/>
      <c r="AI1181" s="316" t="inlineStr">
        <is>
          <t>La donnée est obligatoire si le type de risque [P2 2.0] = 'TRExxx' hors (TRE3xx et TRE5xx) et 'SIGxx' hors (SIG1xx, SIG202, SIG203, SIG205) et si la donnée indicateur opération effet de levier [P2 28.1] est renseignée et est &lt;&gt; '0'</t>
        </is>
      </c>
      <c r="AJ1181" s="317" t="inlineStr">
        <is>
          <t>The data is mandatory if Risk type [P2 2.0] = 'TRExxx' out (TRE3xx and TRE5xx) and 'SIGxx' out (SIG1xx, SIG202, SIG203, SIG205) and the leverage operation indicator data [P2 28.1] is filled in and is &lt;&gt; '0'</t>
        </is>
      </c>
      <c r="AK1181" s="257" t="n">
        <v>6</v>
      </c>
      <c r="AL1181" s="424" t="inlineStr">
        <is>
          <t>TPS1750</t>
        </is>
      </c>
      <c r="AM1181" s="318" t="n"/>
      <c r="AN1181" s="317" t="n"/>
      <c r="AO1181" s="257" t="n"/>
      <c r="AP1181" s="258" t="n"/>
      <c r="AQ1181" s="322" t="inlineStr">
        <is>
          <t>Si renseignée, la donnée doit être positive (supérieure ou égale à 0)</t>
        </is>
      </c>
      <c r="AR1181" s="317" t="inlineStr">
        <is>
          <t xml:space="preserve">If filled, data must be positive (greater or equal to 0) </t>
        </is>
      </c>
      <c r="AS1181" s="257" t="n">
        <v>7</v>
      </c>
      <c r="AT1181" s="345" t="inlineStr">
        <is>
          <t>TVG0001</t>
        </is>
      </c>
      <c r="AU1181" s="318" t="n"/>
      <c r="AV1181" s="317" t="n"/>
      <c r="AW1181" s="257" t="n"/>
      <c r="AX1181" s="258" t="n"/>
      <c r="AY1181" s="318" t="n"/>
      <c r="AZ1181" s="317" t="n"/>
      <c r="BA1181" s="257" t="n"/>
      <c r="BB1181" s="258" t="n"/>
      <c r="BC1181" s="316" t="n"/>
      <c r="BD1181" s="317" t="n"/>
      <c r="BE1181" s="257" t="n"/>
      <c r="BF1181" s="258" t="n"/>
      <c r="BG1181" s="89" t="n"/>
      <c r="BH11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81">
        <f>_xlfn.LET(r,ROW(),oc,INDEX($A:$A,r),cv,TRIM(INDEX($Y:$Y,r)&amp;""),IF(oc&lt;&gt;"P1","",IF(cv="45","V45 - novo, nao alimentado pelo spool atual","V44 - alimentado pelo spool atual")))</f>
        <v/>
      </c>
    </row>
    <row r="1182" ht="54" customFormat="1" customHeight="1" s="90">
      <c r="A1182" s="306" t="inlineStr">
        <is>
          <t>P2</t>
        </is>
      </c>
      <c r="B1182" s="307" t="n">
        <v>285</v>
      </c>
      <c r="C1182" s="269" t="inlineStr">
        <is>
          <t>11 - Caractéristiques Opérations à effet de levier</t>
        </is>
      </c>
      <c r="D1182" s="310" t="inlineStr">
        <is>
          <t>11 - Leveraged Operations characteristics</t>
        </is>
      </c>
      <c r="E1182" s="372" t="inlineStr">
        <is>
          <t>P2 28.12</t>
        </is>
      </c>
      <c r="F1182" s="524" t="inlineStr">
        <is>
          <t>Devise du montant de la part à syndiquer du montant du contrat à l'origine</t>
        </is>
      </c>
      <c r="G1182" s="309" t="inlineStr">
        <is>
          <t>Currency of amount to syndicate of the original contract amount</t>
        </is>
      </c>
      <c r="H1182" s="309" t="n"/>
      <c r="I1182" s="525" t="inlineStr">
        <is>
          <t>Devise d'expression du montant de la part à syndiquer du montant du contrat à l'origine</t>
        </is>
      </c>
      <c r="J1182" s="309" t="inlineStr">
        <is>
          <t>Currency of amount to syndicate of the original contract amount</t>
        </is>
      </c>
      <c r="K1182" s="370" t="inlineStr">
        <is>
          <t>ND</t>
        </is>
      </c>
      <c r="L1182" s="371" t="inlineStr">
        <is>
          <t>ND</t>
        </is>
      </c>
      <c r="M1182" s="1420" t="inlineStr">
        <is>
          <t>cdDevPartSynd</t>
        </is>
      </c>
      <c r="N1182" s="257" t="inlineStr">
        <is>
          <t>Obligatoire sous conditions</t>
        </is>
      </c>
      <c r="O1182" s="236" t="inlineStr">
        <is>
          <t>Mandatory under conditions</t>
        </is>
      </c>
      <c r="P1182" s="269" t="inlineStr">
        <is>
          <t>LC.0005</t>
        </is>
      </c>
      <c r="Q1182" s="269" t="inlineStr">
        <is>
          <t>TA NM253</t>
        </is>
      </c>
      <c r="R1182" s="241" t="inlineStr">
        <is>
          <t>NA</t>
        </is>
      </c>
      <c r="S1182" s="233" t="inlineStr">
        <is>
          <t>NA</t>
        </is>
      </c>
      <c r="T1182" s="313" t="inlineStr">
        <is>
          <t>ALPHA</t>
        </is>
      </c>
      <c r="U1182" s="237" t="inlineStr">
        <is>
          <t>NA</t>
        </is>
      </c>
      <c r="V1182" s="238" t="inlineStr">
        <is>
          <t>NA</t>
        </is>
      </c>
      <c r="W1182" s="257" t="n">
        <v>3</v>
      </c>
      <c r="X1182" s="945" t="inlineStr">
        <is>
          <t>NA</t>
        </is>
      </c>
      <c r="Y1182" s="237" t="n">
        <v>43</v>
      </c>
      <c r="Z1182" s="237" t="inlineStr">
        <is>
          <t>NA</t>
        </is>
      </c>
      <c r="AA1182" s="239" t="inlineStr">
        <is>
          <t>NA</t>
        </is>
      </c>
      <c r="AB1182" s="269" t="inlineStr">
        <is>
          <t>FEL</t>
        </is>
      </c>
      <c r="AC1182" s="231" t="inlineStr">
        <is>
          <t>ND</t>
        </is>
      </c>
      <c r="AD1182" s="257" t="inlineStr">
        <is>
          <t>N</t>
        </is>
      </c>
      <c r="AE1182" s="257" t="inlineStr">
        <is>
          <t>NA</t>
        </is>
      </c>
      <c r="AF1182" s="257" t="inlineStr">
        <is>
          <t>NA</t>
        </is>
      </c>
      <c r="AG1182" s="258" t="inlineStr">
        <is>
          <t>NA</t>
        </is>
      </c>
      <c r="AH1182" s="89" t="n"/>
      <c r="AI1182" s="702" t="inlineStr">
        <is>
          <t>La donnée est obligatoire si la donnée Montant de la part à syndiquer du montant du contrat à l'origine [P2 28.11] est renseignée</t>
        </is>
      </c>
      <c r="AJ1182" s="317" t="inlineStr">
        <is>
          <t>The data is mandatory if the Amount to syndicate of the original contract amount [P2 28.11] is filled</t>
        </is>
      </c>
      <c r="AK1182" s="257" t="n">
        <v>7</v>
      </c>
      <c r="AL1182" s="335" t="inlineStr">
        <is>
          <t>TPG0002</t>
        </is>
      </c>
      <c r="AM1182" s="452" t="inlineStr">
        <is>
          <t>Si elle est renseignée, la valeur doit être connue du Langage Commun associé</t>
        </is>
      </c>
      <c r="AN1182" s="377" t="inlineStr">
        <is>
          <t>If specified, the value must be known to the associated Common Language</t>
        </is>
      </c>
      <c r="AO1182" s="257" t="n">
        <v>7</v>
      </c>
      <c r="AP1182" s="212" t="inlineStr">
        <is>
          <t>TIG0001</t>
        </is>
      </c>
      <c r="AQ1182" s="318" t="n"/>
      <c r="AR1182" s="317" t="n"/>
      <c r="AS1182" s="257" t="n"/>
      <c r="AT1182" s="258" t="n"/>
      <c r="AU1182" s="318" t="n"/>
      <c r="AV1182" s="317" t="n"/>
      <c r="AW1182" s="257" t="n"/>
      <c r="AX1182" s="258" t="n"/>
      <c r="AY1182" s="318" t="n"/>
      <c r="AZ1182" s="317" t="n"/>
      <c r="BA1182" s="257" t="n"/>
      <c r="BB1182" s="258" t="n"/>
      <c r="BC1182" s="316" t="n"/>
      <c r="BD1182" s="317" t="n"/>
      <c r="BE1182" s="257" t="n"/>
      <c r="BF1182" s="258" t="n"/>
      <c r="BG1182" s="89" t="n"/>
      <c r="BH11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82">
        <f>_xlfn.LET(r,ROW(),oc,INDEX($A:$A,r),cv,TRIM(INDEX($Y:$Y,r)&amp;""),IF(oc&lt;&gt;"P1","",IF(cv="45","V45 - novo, nao alimentado pelo spool atual","V44 - alimentado pelo spool atual")))</f>
        <v/>
      </c>
    </row>
    <row r="1183" ht="54" customFormat="1" customHeight="1" s="90">
      <c r="A1183" s="306" t="inlineStr">
        <is>
          <t>P2</t>
        </is>
      </c>
      <c r="B1183" s="307" t="n">
        <v>286</v>
      </c>
      <c r="C1183" s="269" t="inlineStr">
        <is>
          <t>11 - Caractéristiques Opérations à effet de levier</t>
        </is>
      </c>
      <c r="D1183" s="310" t="inlineStr">
        <is>
          <t>11 - Leveraged Operations characteristics</t>
        </is>
      </c>
      <c r="E1183" s="372" t="inlineStr">
        <is>
          <t>P2 28.13</t>
        </is>
      </c>
      <c r="F1183" s="308" t="inlineStr">
        <is>
          <t>Montant de la part à syndiquer non cédé</t>
        </is>
      </c>
      <c r="G1183" s="309" t="inlineStr">
        <is>
          <t>Amount to be syndicated not transferred</t>
        </is>
      </c>
      <c r="H1183" s="309" t="n"/>
      <c r="I1183" s="241" t="inlineStr">
        <is>
          <t>Montant de la part à syndiquer non cédé après le délai de 90 jours (délai norme Groupe pour la syndication)</t>
        </is>
      </c>
      <c r="J1183" s="1509" t="inlineStr">
        <is>
          <t>Amount of the part to be syndicated not transferred after the 90-day period (Group standard time limit for syndication)</t>
        </is>
      </c>
      <c r="K1183" s="1510" t="inlineStr">
        <is>
          <t>ND</t>
        </is>
      </c>
      <c r="L1183" s="1511" t="inlineStr">
        <is>
          <t>ND</t>
        </is>
      </c>
      <c r="M1183" s="1420" t="inlineStr">
        <is>
          <t>MtPartSyndNonCede</t>
        </is>
      </c>
      <c r="N1183" s="257" t="inlineStr">
        <is>
          <t>Obligatoire sous conditions</t>
        </is>
      </c>
      <c r="O1183" s="236" t="inlineStr">
        <is>
          <t>Mandatory under conditions</t>
        </is>
      </c>
      <c r="P1183" s="269" t="inlineStr">
        <is>
          <t>NA</t>
        </is>
      </c>
      <c r="Q1183" s="269" t="inlineStr">
        <is>
          <t>NA</t>
        </is>
      </c>
      <c r="R1183" s="241" t="inlineStr">
        <is>
          <t>NA</t>
        </is>
      </c>
      <c r="S1183" s="233" t="inlineStr">
        <is>
          <t>NA</t>
        </is>
      </c>
      <c r="T1183" s="313" t="inlineStr">
        <is>
          <t>NUM</t>
        </is>
      </c>
      <c r="U1183" s="237" t="inlineStr">
        <is>
          <t>19 dont signe et 2 décimales</t>
        </is>
      </c>
      <c r="V1183" s="238" t="inlineStr">
        <is>
          <t>19 including sign and 2 decimals</t>
        </is>
      </c>
      <c r="W1183" s="257" t="n">
        <v>19</v>
      </c>
      <c r="X1183" s="945" t="inlineStr">
        <is>
          <t>NA</t>
        </is>
      </c>
      <c r="Y1183" s="237" t="n">
        <v>43</v>
      </c>
      <c r="Z1183" s="237" t="inlineStr">
        <is>
          <t>NA</t>
        </is>
      </c>
      <c r="AA1183" s="239" t="inlineStr">
        <is>
          <t>NA</t>
        </is>
      </c>
      <c r="AB1183" s="269" t="inlineStr">
        <is>
          <t>FEL</t>
        </is>
      </c>
      <c r="AC1183" s="231" t="inlineStr">
        <is>
          <t>ND</t>
        </is>
      </c>
      <c r="AD1183" s="257" t="inlineStr">
        <is>
          <t>N</t>
        </is>
      </c>
      <c r="AE1183" s="257" t="inlineStr">
        <is>
          <t>NA</t>
        </is>
      </c>
      <c r="AF1183" s="257" t="inlineStr">
        <is>
          <t>NA</t>
        </is>
      </c>
      <c r="AG1183" s="258" t="inlineStr">
        <is>
          <t>NA</t>
        </is>
      </c>
      <c r="AH1183" s="89" t="n"/>
      <c r="AI1183" s="316" t="inlineStr">
        <is>
          <t>La donnée est obligatoire si le type de risque [P2 2.0] = 'TRExxx' hors (TRE3xx et TRE5xx) et 'SIGxx' hors (SIG1xx, SIG202, SIG203, SIG205) et si la donnée indicateur opération effet de levier [P2 28.1] est renseignée et est &lt;&gt; '0'</t>
        </is>
      </c>
      <c r="AJ1183" s="317" t="inlineStr">
        <is>
          <t>The data is mandatory if Risk type [P2 2.0] = 'TRExxx' out (TRE3xx and TRE5xx) and 'SIGxx' out (SIG1xx, SIG202, SIG203, SIG205) and the leverage operation indicator data [P2 28.1] is filled in and is &lt;&gt; '0'</t>
        </is>
      </c>
      <c r="AK1183" s="257" t="n">
        <v>6</v>
      </c>
      <c r="AL1183" s="424" t="inlineStr">
        <is>
          <t>TPS1750</t>
        </is>
      </c>
      <c r="AM1183" s="318" t="n"/>
      <c r="AN1183" s="317" t="n"/>
      <c r="AO1183" s="257" t="n"/>
      <c r="AP1183" s="258" t="n"/>
      <c r="AQ1183" s="322" t="inlineStr">
        <is>
          <t>Si renseignée, la donnée doit être positive (supérieure ou égale à 0)</t>
        </is>
      </c>
      <c r="AR1183" s="317" t="inlineStr">
        <is>
          <t xml:space="preserve">If filled, data must be positive (greater or equal to 0) </t>
        </is>
      </c>
      <c r="AS1183" s="257" t="n">
        <v>7</v>
      </c>
      <c r="AT1183" s="345" t="inlineStr">
        <is>
          <t>TVG0001</t>
        </is>
      </c>
      <c r="AU1183" s="318" t="n"/>
      <c r="AV1183" s="317" t="n"/>
      <c r="AW1183" s="257" t="n"/>
      <c r="AX1183" s="258" t="n"/>
      <c r="AY1183" s="318" t="n"/>
      <c r="AZ1183" s="317" t="n"/>
      <c r="BA1183" s="257" t="n"/>
      <c r="BB1183" s="258" t="n"/>
      <c r="BC1183" s="316" t="n"/>
      <c r="BD1183" s="317" t="n"/>
      <c r="BE1183" s="257" t="n"/>
      <c r="BF1183" s="258" t="n"/>
      <c r="BG1183" s="89" t="n"/>
      <c r="BH11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83">
        <f>_xlfn.LET(r,ROW(),oc,INDEX($A:$A,r),cv,TRIM(INDEX($Y:$Y,r)&amp;""),IF(oc&lt;&gt;"P1","",IF(cv="45","V45 - novo, nao alimentado pelo spool atual","V44 - alimentado pelo spool atual")))</f>
        <v/>
      </c>
    </row>
    <row r="1184" ht="54" customFormat="1" customHeight="1" s="90">
      <c r="A1184" s="306" t="inlineStr">
        <is>
          <t>P2</t>
        </is>
      </c>
      <c r="B1184" s="307" t="n">
        <v>287</v>
      </c>
      <c r="C1184" s="269" t="inlineStr">
        <is>
          <t>11 - Caractéristiques Opérations à effet de levier</t>
        </is>
      </c>
      <c r="D1184" s="310" t="inlineStr">
        <is>
          <t>11 - Leveraged Operations characteristics</t>
        </is>
      </c>
      <c r="E1184" s="372" t="inlineStr">
        <is>
          <t>P2 28.14</t>
        </is>
      </c>
      <c r="F1184" s="308" t="inlineStr">
        <is>
          <t>Devise du montant de la part à syndiquer non cédé</t>
        </is>
      </c>
      <c r="G1184" s="309" t="inlineStr">
        <is>
          <t>Currency of amount to be syndicated not transferred</t>
        </is>
      </c>
      <c r="H1184" s="309" t="n"/>
      <c r="I1184" s="241" t="inlineStr">
        <is>
          <t xml:space="preserve">Devise d'expression du montant de la part à syndiquer non cédé </t>
        </is>
      </c>
      <c r="J1184" s="309" t="inlineStr">
        <is>
          <t>Currency of amount to be syndicated not transferred</t>
        </is>
      </c>
      <c r="K1184" s="370" t="inlineStr">
        <is>
          <t>ND</t>
        </is>
      </c>
      <c r="L1184" s="371" t="inlineStr">
        <is>
          <t>ND</t>
        </is>
      </c>
      <c r="M1184" s="1420" t="inlineStr">
        <is>
          <t>cdDevPartSyndNonCede</t>
        </is>
      </c>
      <c r="N1184" s="231" t="inlineStr">
        <is>
          <t>Obligatoire sous conditions</t>
        </is>
      </c>
      <c r="O1184" s="236" t="inlineStr">
        <is>
          <t>Mandatory under conditions</t>
        </is>
      </c>
      <c r="P1184" s="269" t="inlineStr">
        <is>
          <t>LC.0005</t>
        </is>
      </c>
      <c r="Q1184" s="269" t="inlineStr">
        <is>
          <t>TA NM253</t>
        </is>
      </c>
      <c r="R1184" s="241" t="inlineStr">
        <is>
          <t>NA</t>
        </is>
      </c>
      <c r="S1184" s="233" t="inlineStr">
        <is>
          <t>NA</t>
        </is>
      </c>
      <c r="T1184" s="313" t="inlineStr">
        <is>
          <t>ALPHA</t>
        </is>
      </c>
      <c r="U1184" s="237" t="inlineStr">
        <is>
          <t>NA</t>
        </is>
      </c>
      <c r="V1184" s="238" t="inlineStr">
        <is>
          <t>NA</t>
        </is>
      </c>
      <c r="W1184" s="257" t="n">
        <v>3</v>
      </c>
      <c r="X1184" s="945" t="inlineStr">
        <is>
          <t>NA</t>
        </is>
      </c>
      <c r="Y1184" s="237" t="n">
        <v>43</v>
      </c>
      <c r="Z1184" s="237" t="inlineStr">
        <is>
          <t>NA</t>
        </is>
      </c>
      <c r="AA1184" s="239" t="inlineStr">
        <is>
          <t>NA</t>
        </is>
      </c>
      <c r="AB1184" s="269" t="inlineStr">
        <is>
          <t>FEL</t>
        </is>
      </c>
      <c r="AC1184" s="231" t="inlineStr">
        <is>
          <t>ND</t>
        </is>
      </c>
      <c r="AD1184" s="257" t="inlineStr">
        <is>
          <t>N</t>
        </is>
      </c>
      <c r="AE1184" s="257" t="inlineStr">
        <is>
          <t>NA</t>
        </is>
      </c>
      <c r="AF1184" s="257" t="inlineStr">
        <is>
          <t>NA</t>
        </is>
      </c>
      <c r="AG1184" s="258" t="inlineStr">
        <is>
          <t>NA</t>
        </is>
      </c>
      <c r="AH1184" s="89" t="n"/>
      <c r="AI1184" s="316" t="inlineStr">
        <is>
          <t>La donnée est obligatoire si la donnée montant de la part à syndiquer non cédé [P2 28.13] est renseignée</t>
        </is>
      </c>
      <c r="AJ1184" s="317" t="inlineStr">
        <is>
          <t>The data is mandatory if the data amount of the share to be unionized not assigned [P2 28.13] is filled</t>
        </is>
      </c>
      <c r="AK1184" s="257" t="n">
        <v>7</v>
      </c>
      <c r="AL1184" s="335" t="inlineStr">
        <is>
          <t>TPG0002</t>
        </is>
      </c>
      <c r="AM1184" s="452" t="inlineStr">
        <is>
          <t>Si elle est renseignée, la valeur doit être connue du Langage Commun associé</t>
        </is>
      </c>
      <c r="AN1184" s="377" t="inlineStr">
        <is>
          <t>If specified, the value must be known to the associated Common Language</t>
        </is>
      </c>
      <c r="AO1184" s="257" t="n">
        <v>7</v>
      </c>
      <c r="AP1184" s="212" t="inlineStr">
        <is>
          <t>TIG0001</t>
        </is>
      </c>
      <c r="AQ1184" s="318" t="n"/>
      <c r="AR1184" s="317" t="n"/>
      <c r="AS1184" s="257" t="n"/>
      <c r="AT1184" s="258" t="n"/>
      <c r="AU1184" s="318" t="n"/>
      <c r="AV1184" s="317" t="n"/>
      <c r="AW1184" s="257" t="n"/>
      <c r="AX1184" s="258" t="n"/>
      <c r="AY1184" s="318" t="n"/>
      <c r="AZ1184" s="317" t="n"/>
      <c r="BA1184" s="257" t="n"/>
      <c r="BB1184" s="258" t="n"/>
      <c r="BC1184" s="316" t="n"/>
      <c r="BD1184" s="317" t="n"/>
      <c r="BE1184" s="257" t="n"/>
      <c r="BF1184" s="258" t="n"/>
      <c r="BG1184" s="89" t="n"/>
      <c r="BH11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84">
        <f>_xlfn.LET(r,ROW(),oc,INDEX($A:$A,r),cv,TRIM(INDEX($Y:$Y,r)&amp;""),IF(oc&lt;&gt;"P1","",IF(cv="45","V45 - novo, nao alimentado pelo spool atual","V44 - alimentado pelo spool atual")))</f>
        <v/>
      </c>
    </row>
    <row r="1185" ht="54" customFormat="1" customHeight="1" s="90">
      <c r="A1185" s="306" t="inlineStr">
        <is>
          <t>P2</t>
        </is>
      </c>
      <c r="B1185" s="307" t="n">
        <v>288</v>
      </c>
      <c r="C1185" s="269" t="inlineStr">
        <is>
          <t xml:space="preserve">19 - Données comptables </t>
        </is>
      </c>
      <c r="D1185" s="236" t="inlineStr">
        <is>
          <t>19 - Accounting data</t>
        </is>
      </c>
      <c r="E1185" s="307" t="inlineStr">
        <is>
          <t>P2 50.1</t>
        </is>
      </c>
      <c r="F1185" s="308" t="inlineStr">
        <is>
          <t>Devise de liasse de l'entité</t>
        </is>
      </c>
      <c r="G1185" s="309" t="inlineStr">
        <is>
          <t>Package currency of the risk bearing entity</t>
        </is>
      </c>
      <c r="H1185" s="309" t="n"/>
      <c r="I1185" s="308" t="inlineStr">
        <is>
          <t>Devise de liasse comptable de l'entité porteuse de risque à la date d'arrêté</t>
        </is>
      </c>
      <c r="J1185" s="309" t="inlineStr">
        <is>
          <t>Accounting package currency of the risk bearing entity at closing date</t>
        </is>
      </c>
      <c r="K1185" s="370" t="inlineStr">
        <is>
          <t>ND</t>
        </is>
      </c>
      <c r="L1185" s="371" t="inlineStr">
        <is>
          <t>ND</t>
        </is>
      </c>
      <c r="M1185" s="1420" t="inlineStr">
        <is>
          <t>cdDevEntCmpt</t>
        </is>
      </c>
      <c r="N1185" s="231" t="inlineStr">
        <is>
          <t>Obligatoire</t>
        </is>
      </c>
      <c r="O1185" s="236" t="inlineStr">
        <is>
          <t>Mandatory</t>
        </is>
      </c>
      <c r="P1185" s="269" t="inlineStr">
        <is>
          <t>LC.0005</t>
        </is>
      </c>
      <c r="Q1185" s="269" t="inlineStr">
        <is>
          <t>TA NM253</t>
        </is>
      </c>
      <c r="R1185" s="241" t="inlineStr">
        <is>
          <t>NA</t>
        </is>
      </c>
      <c r="S1185" s="233" t="inlineStr">
        <is>
          <t>NA</t>
        </is>
      </c>
      <c r="T1185" s="313" t="inlineStr">
        <is>
          <t>ALPHA</t>
        </is>
      </c>
      <c r="U1185" s="237" t="inlineStr">
        <is>
          <t>NA</t>
        </is>
      </c>
      <c r="V1185" s="238" t="inlineStr">
        <is>
          <t>NA</t>
        </is>
      </c>
      <c r="W1185" s="257" t="n">
        <v>3</v>
      </c>
      <c r="X1185" s="945" t="inlineStr">
        <is>
          <t>NA</t>
        </is>
      </c>
      <c r="Y1185" s="237" t="n">
        <v>43</v>
      </c>
      <c r="Z1185" s="237" t="inlineStr">
        <is>
          <t>NA</t>
        </is>
      </c>
      <c r="AA1185" s="239" t="inlineStr">
        <is>
          <t>NA</t>
        </is>
      </c>
      <c r="AB1185" s="269" t="inlineStr">
        <is>
          <t>USAGE ZP</t>
        </is>
      </c>
      <c r="AC1185" s="231" t="inlineStr">
        <is>
          <t>ND</t>
        </is>
      </c>
      <c r="AD1185" s="257" t="inlineStr">
        <is>
          <t>N</t>
        </is>
      </c>
      <c r="AE1185" s="257" t="inlineStr">
        <is>
          <t>NA</t>
        </is>
      </c>
      <c r="AF1185" s="257" t="inlineStr">
        <is>
          <t>NA</t>
        </is>
      </c>
      <c r="AG1185" s="258" t="inlineStr">
        <is>
          <t>NA</t>
        </is>
      </c>
      <c r="AH1185" s="89" t="n"/>
      <c r="AI1185" s="316" t="inlineStr">
        <is>
          <t>La donnée est obligatoire</t>
        </is>
      </c>
      <c r="AJ1185" s="317" t="inlineStr">
        <is>
          <t>The data is mandatory</t>
        </is>
      </c>
      <c r="AK1185" s="257" t="n">
        <v>7</v>
      </c>
      <c r="AL1185" s="335" t="inlineStr">
        <is>
          <t>TPG0001</t>
        </is>
      </c>
      <c r="AM1185" s="452" t="inlineStr">
        <is>
          <t>Si elle est renseignée, la valeur doit être connue du Langage Commun associé</t>
        </is>
      </c>
      <c r="AN1185" s="377" t="inlineStr">
        <is>
          <t>If specified, the value must be known to the associated Common Language</t>
        </is>
      </c>
      <c r="AO1185" s="257" t="n">
        <v>7</v>
      </c>
      <c r="AP1185" s="212" t="inlineStr">
        <is>
          <t>TIG0001</t>
        </is>
      </c>
      <c r="AQ1185" s="318" t="n"/>
      <c r="AR1185" s="317" t="n"/>
      <c r="AS1185" s="257" t="n"/>
      <c r="AT1185" s="258" t="n"/>
      <c r="AU1185" s="318" t="n"/>
      <c r="AV1185" s="317" t="n"/>
      <c r="AW1185" s="257" t="n"/>
      <c r="AX1185" s="258" t="n"/>
      <c r="AY1185" s="318" t="n"/>
      <c r="AZ1185" s="317" t="n"/>
      <c r="BA1185" s="257" t="n"/>
      <c r="BB1185" s="258" t="n"/>
      <c r="BC1185" s="316" t="n"/>
      <c r="BD1185" s="317" t="n"/>
      <c r="BE1185" s="257" t="n"/>
      <c r="BF1185" s="258" t="n"/>
      <c r="BG1185" s="89" t="n"/>
      <c r="BH11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85">
        <f>_xlfn.LET(r,ROW(),oc,INDEX($A:$A,r),cv,TRIM(INDEX($Y:$Y,r)&amp;""),IF(oc&lt;&gt;"P1","",IF(cv="45","V45 - novo, nao alimentado pelo spool atual","V44 - alimentado pelo spool atual")))</f>
        <v/>
      </c>
    </row>
    <row r="1186" ht="54" customFormat="1" customHeight="1" s="55">
      <c r="A1186" s="325" t="inlineStr">
        <is>
          <t>P2</t>
        </is>
      </c>
      <c r="B1186" s="326" t="n">
        <v>289</v>
      </c>
      <c r="C1186" s="284" t="inlineStr">
        <is>
          <t xml:space="preserve">19 - Données comptables </t>
        </is>
      </c>
      <c r="D1186" s="244" t="inlineStr">
        <is>
          <t>19 - Accounting data</t>
        </is>
      </c>
      <c r="E1186" s="326" t="inlineStr">
        <is>
          <t>P2 50.2</t>
        </is>
      </c>
      <c r="F1186" s="327" t="inlineStr">
        <is>
          <t>PCCO - Valeur du principal 1</t>
        </is>
      </c>
      <c r="G1186" s="327" t="inlineStr">
        <is>
          <t xml:space="preserve">PCCO - Value of principal 1 </t>
        </is>
      </c>
      <c r="H1186" s="327" t="n"/>
      <c r="I1186" s="245" t="inlineStr">
        <is>
          <t>Code du compte dans le Plan de comptes consolidé prudentiel
Le compte "PCCO - Valeur du principal 1" correspond : 
 - au compte de l'actif comptabilisé au bilan (en juste valeur ou en coût amorti selon sa classification comptable), classé en nature d'opération NAT01 (Opérations de trésorerie et interbancaires), NAT02 (Opérations avec la clientèle) or NAT03 (Opérations sur titres hors repos),
- au compte comptabilisé au hors-bilan, classé en nature d'opération NAT06 (Engagements de garanties donnés), NAT07 (Engagements de financement donnés) ou en NAT08 (Engagements de garanties reçus), 
- au compte de l'actif comptabilisant au bilan la juste valeur comptable du dérivé, classé en nature d'opération NAT10B (Instruments financiers à terme (Bilan)),
- au compte de l'actif comptabilisant la valeur des titres pour les cessions temporaires de titres classé en nature d'opération NAT04 (Pensions)</t>
        </is>
      </c>
      <c r="J1186" s="327" t="inlineStr">
        <is>
          <t>Account code in the prudential consolidated chart of accounts
The "PCCO - Principal value 1" account corresponds of :
 - the asset account recognized in the balance sheet (at fair value or amortized cost according to its accounting classification), classified as transaction type NAT01 (Treasury and interbank operations), NAT02 (Customer operations) or NAT03 (Securities transactions (excluded repos)),
- the account of the assets recognized on the off-balance sheet, classified as a transaction type NAT06 (Guarantee commitments given) and NAT07 (Funding commitments given) or NAT08 (Guarantee commitments received),
- the asset account recognized in the balance sheet the accounting fair value of derivative, classified as transaction type NAT10B (Financial futures instruments (Balance sheet)),
- the account accounting for the value of the securities for temporary securities sales, classified as transaction type NAT04 (Repos)</t>
        </is>
      </c>
      <c r="K1186" s="388" t="inlineStr">
        <is>
          <t>NA</t>
        </is>
      </c>
      <c r="L1186" s="388" t="inlineStr">
        <is>
          <t>NA</t>
        </is>
      </c>
      <c r="M1186" s="1421" t="inlineStr">
        <is>
          <t>noPCCO1</t>
        </is>
      </c>
      <c r="N1186" s="244" t="inlineStr">
        <is>
          <t>NA</t>
        </is>
      </c>
      <c r="O1186" s="244" t="inlineStr">
        <is>
          <t>NA</t>
        </is>
      </c>
      <c r="P1186" s="284" t="inlineStr">
        <is>
          <t>LC.0111</t>
        </is>
      </c>
      <c r="Q1186" s="284" t="inlineStr">
        <is>
          <t>TA H8PCCO</t>
        </is>
      </c>
      <c r="R1186" s="247" t="inlineStr">
        <is>
          <t>Laisser à vide</t>
        </is>
      </c>
      <c r="S1186" s="247" t="inlineStr">
        <is>
          <t>Leave empty</t>
        </is>
      </c>
      <c r="T1186" s="326" t="inlineStr">
        <is>
          <t>ALPHA</t>
        </is>
      </c>
      <c r="U1186" s="248" t="inlineStr">
        <is>
          <t>NA</t>
        </is>
      </c>
      <c r="V1186" s="248" t="inlineStr">
        <is>
          <t>NA</t>
        </is>
      </c>
      <c r="W1186" s="284" t="n">
        <v>12</v>
      </c>
      <c r="X1186" s="244" t="inlineStr">
        <is>
          <t>NA</t>
        </is>
      </c>
      <c r="Y1186" s="248" t="n">
        <v>43</v>
      </c>
      <c r="Z1186" s="248" t="n">
        <v>43</v>
      </c>
      <c r="AA1186" s="249" t="inlineStr">
        <is>
          <t>NA</t>
        </is>
      </c>
      <c r="AB1186" s="284" t="inlineStr">
        <is>
          <t>CONGLOMERATS</t>
        </is>
      </c>
      <c r="AC1186" s="244" t="inlineStr">
        <is>
          <t>NA</t>
        </is>
      </c>
      <c r="AD1186" s="284" t="inlineStr">
        <is>
          <t>N</t>
        </is>
      </c>
      <c r="AE1186" s="284" t="inlineStr">
        <is>
          <t>NA</t>
        </is>
      </c>
      <c r="AF1186" s="284" t="inlineStr">
        <is>
          <t>NA</t>
        </is>
      </c>
      <c r="AG1186" s="285" t="inlineStr">
        <is>
          <t>NA</t>
        </is>
      </c>
      <c r="AH1186" s="89" t="n"/>
      <c r="AI1186" s="330" t="n"/>
      <c r="AJ1186" s="331" t="n"/>
      <c r="AK1186" s="284" t="n"/>
      <c r="AL1186" s="285" t="n"/>
      <c r="AM1186" s="331" t="n"/>
      <c r="AN1186" s="331" t="n"/>
      <c r="AO1186" s="284" t="n"/>
      <c r="AP1186" s="285" t="n"/>
      <c r="AQ1186" s="331" t="n"/>
      <c r="AR1186" s="331" t="n"/>
      <c r="AS1186" s="284" t="n"/>
      <c r="AT1186" s="285" t="n"/>
      <c r="AU1186" s="331" t="n"/>
      <c r="AV1186" s="331" t="n"/>
      <c r="AW1186" s="284" t="n"/>
      <c r="AX1186" s="285" t="n"/>
      <c r="AY1186" s="331" t="n"/>
      <c r="AZ1186" s="331" t="n"/>
      <c r="BA1186" s="284" t="n"/>
      <c r="BB1186" s="285" t="n"/>
      <c r="BC1186" s="330" t="n"/>
      <c r="BD1186" s="331" t="n"/>
      <c r="BE1186" s="284" t="n"/>
      <c r="BF1186" s="285" t="n"/>
      <c r="BG1186" s="89" t="n"/>
      <c r="BH11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86">
        <f>_xlfn.LET(r,ROW(),oc,INDEX($A:$A,r),cv,TRIM(INDEX($Y:$Y,r)&amp;""),IF(oc&lt;&gt;"P1","",IF(cv="45","V45 - novo, nao alimentado pelo spool atual","V44 - alimentado pelo spool atual")))</f>
        <v/>
      </c>
    </row>
    <row r="1187" ht="54" customFormat="1" customHeight="1" s="55">
      <c r="A1187" s="325" t="inlineStr">
        <is>
          <t>P2</t>
        </is>
      </c>
      <c r="B1187" s="326" t="n">
        <v>290</v>
      </c>
      <c r="C1187" s="284" t="inlineStr">
        <is>
          <t>NA</t>
        </is>
      </c>
      <c r="D1187" s="244" t="inlineStr">
        <is>
          <t>NA</t>
        </is>
      </c>
      <c r="E1187" s="326" t="inlineStr">
        <is>
          <t>P2 50.3</t>
        </is>
      </c>
      <c r="F1187" s="327" t="inlineStr">
        <is>
          <t xml:space="preserve">Valeur du principal 1 </t>
        </is>
      </c>
      <c r="G1187" s="327" t="inlineStr">
        <is>
          <t xml:space="preserve">Value of principal 1 </t>
        </is>
      </c>
      <c r="H1187" s="327" t="n"/>
      <c r="I1187" s="327" t="inlineStr">
        <is>
          <t>Il s'agit du solde du compte déclaré dans le champ "PCCO Valeur du principal 1", en devise de liasse comptable de l'entité porteuse de risques, à la date d'arrêté</t>
        </is>
      </c>
      <c r="J1187" s="327" t="inlineStr">
        <is>
          <t>This is the account balance declared in the "PCCO Principal value 1" field, in the accounting package currency of the risk-bearing entity, on the closing date</t>
        </is>
      </c>
      <c r="K1187" s="388" t="inlineStr">
        <is>
          <t>NA</t>
        </is>
      </c>
      <c r="L1187" s="388" t="inlineStr">
        <is>
          <t>NA</t>
        </is>
      </c>
      <c r="M1187" s="1421" t="inlineStr">
        <is>
          <t>mtPCCO1</t>
        </is>
      </c>
      <c r="N1187" s="244" t="inlineStr">
        <is>
          <t>NA</t>
        </is>
      </c>
      <c r="O1187" s="244" t="inlineStr">
        <is>
          <t>NA</t>
        </is>
      </c>
      <c r="P1187" s="284" t="inlineStr">
        <is>
          <t>NA</t>
        </is>
      </c>
      <c r="Q1187" s="284" t="inlineStr">
        <is>
          <t>NA</t>
        </is>
      </c>
      <c r="R1187" s="247" t="inlineStr">
        <is>
          <t>Laisser à vide</t>
        </is>
      </c>
      <c r="S1187" s="247" t="inlineStr">
        <is>
          <t>Leave empty</t>
        </is>
      </c>
      <c r="T1187" s="326" t="inlineStr">
        <is>
          <t>NUM</t>
        </is>
      </c>
      <c r="U1187" s="248" t="inlineStr">
        <is>
          <t>19 dont signe et 2 décimales</t>
        </is>
      </c>
      <c r="V1187" s="248" t="inlineStr">
        <is>
          <t>19 including sign and 2 decimals</t>
        </is>
      </c>
      <c r="W1187" s="284" t="n">
        <v>19</v>
      </c>
      <c r="X1187" s="244" t="inlineStr">
        <is>
          <t>NA</t>
        </is>
      </c>
      <c r="Y1187" s="248" t="n">
        <v>43</v>
      </c>
      <c r="Z1187" s="248" t="n">
        <v>43</v>
      </c>
      <c r="AA1187" s="249" t="inlineStr">
        <is>
          <t>NA</t>
        </is>
      </c>
      <c r="AB1187" s="284" t="inlineStr">
        <is>
          <t>NA</t>
        </is>
      </c>
      <c r="AC1187" s="244" t="inlineStr">
        <is>
          <t>NA</t>
        </is>
      </c>
      <c r="AD1187" s="284" t="inlineStr">
        <is>
          <t>N</t>
        </is>
      </c>
      <c r="AE1187" s="284" t="inlineStr">
        <is>
          <t>NA</t>
        </is>
      </c>
      <c r="AF1187" s="284" t="inlineStr">
        <is>
          <t>NA</t>
        </is>
      </c>
      <c r="AG1187" s="285" t="inlineStr">
        <is>
          <t>NA</t>
        </is>
      </c>
      <c r="AH1187" s="89" t="n"/>
      <c r="AI1187" s="330" t="n"/>
      <c r="AJ1187" s="331" t="n"/>
      <c r="AK1187" s="284" t="n"/>
      <c r="AL1187" s="285" t="n"/>
      <c r="AM1187" s="331" t="n"/>
      <c r="AN1187" s="331" t="n"/>
      <c r="AO1187" s="284" t="n"/>
      <c r="AP1187" s="285" t="n"/>
      <c r="AQ1187" s="331" t="n"/>
      <c r="AR1187" s="331" t="n"/>
      <c r="AS1187" s="284" t="n"/>
      <c r="AT1187" s="285" t="n"/>
      <c r="AU1187" s="331" t="n"/>
      <c r="AV1187" s="331" t="n"/>
      <c r="AW1187" s="284" t="n"/>
      <c r="AX1187" s="285" t="n"/>
      <c r="AY1187" s="331" t="n"/>
      <c r="AZ1187" s="331" t="n"/>
      <c r="BA1187" s="284" t="n"/>
      <c r="BB1187" s="285" t="n"/>
      <c r="BC1187" s="330" t="n"/>
      <c r="BD1187" s="331" t="n"/>
      <c r="BE1187" s="284" t="n"/>
      <c r="BF1187" s="285" t="n"/>
      <c r="BG1187" s="89" t="n"/>
      <c r="BH11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87">
        <f>_xlfn.LET(r,ROW(),oc,INDEX($A:$A,r),cv,TRIM(INDEX($Y:$Y,r)&amp;""),IF(oc&lt;&gt;"P1","",IF(cv="45","V45 - novo, nao alimentado pelo spool atual","V44 - alimentado pelo spool atual")))</f>
        <v/>
      </c>
    </row>
    <row r="1188" ht="54" customFormat="1" customHeight="1" s="90">
      <c r="A1188" s="306" t="inlineStr">
        <is>
          <t>P2</t>
        </is>
      </c>
      <c r="B1188" s="307" t="n">
        <v>291</v>
      </c>
      <c r="C1188" s="269" t="inlineStr">
        <is>
          <t xml:space="preserve">19 - Données comptables </t>
        </is>
      </c>
      <c r="D1188" s="236" t="inlineStr">
        <is>
          <t>19 - Accounting data</t>
        </is>
      </c>
      <c r="E1188" s="307" t="inlineStr">
        <is>
          <t>P2 50.4</t>
        </is>
      </c>
      <c r="F1188" s="460" t="inlineStr">
        <is>
          <t>PCCO - Montant du principal 2</t>
        </is>
      </c>
      <c r="G1188" s="309" t="inlineStr">
        <is>
          <t>PCCO - Amount of principal 2</t>
        </is>
      </c>
      <c r="H1188" s="309" t="n"/>
      <c r="I1188" s="232" t="inlineStr">
        <is>
          <t>Code du compte dans le Plan de comptes consolidé prudentiel
Le compte "PCCO - Montant du principal 2" correspond : 
- au compte comptabilisé au hors-bilan, classé en nature d'opération NAT07 (Part non utilisée des engagements confirmés), 
- au compte comptabilisant la valeur du cash pour les cessions temporaires de titres classé en nature d'opération NAT04 (Pensions),
- au compte hors bilan comptabilisant la valeur nominale du dérivé, classé en nature d'opération NAT10H (Instruments financiers à terme (Hors bilan))</t>
        </is>
      </c>
      <c r="J1188" s="309" t="inlineStr">
        <is>
          <t>Account code in the prudential consolidated chart of accounts
The "PCCO - Amount of Principal 2" corresponds of :
 - the account of the assets recognized on the off-balance sheet, classified as a transaction type NAT07 (Undrawn portion of confirmed commitments),
- the account recording the cash value for temporary securities sales NAT04 (Repos),
- the account n the off-balance sheet recording the notional amount of derivative, classified as transaction type NAT10H (Financial futures instruments (Off-Balance sheet))</t>
        </is>
      </c>
      <c r="K1188" s="370" t="inlineStr">
        <is>
          <t>ND</t>
        </is>
      </c>
      <c r="L1188" s="371" t="inlineStr">
        <is>
          <t>ND</t>
        </is>
      </c>
      <c r="M1188" s="1420" t="inlineStr">
        <is>
          <t>noPCCO2</t>
        </is>
      </c>
      <c r="N1188" s="231" t="inlineStr">
        <is>
          <t>Obligatoire</t>
        </is>
      </c>
      <c r="O1188" s="236" t="inlineStr">
        <is>
          <t>Mandatory</t>
        </is>
      </c>
      <c r="P1188" s="269" t="inlineStr">
        <is>
          <t>LC.0111</t>
        </is>
      </c>
      <c r="Q1188" s="269" t="inlineStr">
        <is>
          <t>TA H8PCCO</t>
        </is>
      </c>
      <c r="R1188" s="241" t="inlineStr">
        <is>
          <t>NA</t>
        </is>
      </c>
      <c r="S1188" s="233" t="inlineStr">
        <is>
          <t>NA</t>
        </is>
      </c>
      <c r="T1188" s="313" t="inlineStr">
        <is>
          <t>ALPHA</t>
        </is>
      </c>
      <c r="U1188" s="237" t="inlineStr">
        <is>
          <t>NA</t>
        </is>
      </c>
      <c r="V1188" s="238" t="inlineStr">
        <is>
          <t>NA</t>
        </is>
      </c>
      <c r="W1188" s="257" t="n">
        <v>12</v>
      </c>
      <c r="X1188" s="945" t="inlineStr">
        <is>
          <t>NA</t>
        </is>
      </c>
      <c r="Y1188" s="237" t="n">
        <v>43</v>
      </c>
      <c r="Z1188" s="237" t="inlineStr">
        <is>
          <t>NA</t>
        </is>
      </c>
      <c r="AA1188" s="239" t="inlineStr">
        <is>
          <t>NA</t>
        </is>
      </c>
      <c r="AB1188" s="269" t="inlineStr">
        <is>
          <t>USAGE ZP</t>
        </is>
      </c>
      <c r="AC1188" s="231" t="inlineStr">
        <is>
          <t>ND</t>
        </is>
      </c>
      <c r="AD1188" s="257" t="inlineStr">
        <is>
          <t>N</t>
        </is>
      </c>
      <c r="AE1188" s="257" t="inlineStr">
        <is>
          <t>NA</t>
        </is>
      </c>
      <c r="AF1188" s="257" t="inlineStr">
        <is>
          <t>NA</t>
        </is>
      </c>
      <c r="AG1188" s="258" t="inlineStr">
        <is>
          <t>NA</t>
        </is>
      </c>
      <c r="AH1188" s="89" t="n"/>
      <c r="AI1188" s="316" t="inlineStr">
        <is>
          <t>La donnée est obligatoire</t>
        </is>
      </c>
      <c r="AJ1188" s="317" t="inlineStr">
        <is>
          <t>The data is mandatory</t>
        </is>
      </c>
      <c r="AK1188" s="257" t="n">
        <v>7</v>
      </c>
      <c r="AL1188" s="335" t="inlineStr">
        <is>
          <t>TPG0001</t>
        </is>
      </c>
      <c r="AM1188" s="452" t="inlineStr">
        <is>
          <t>Si elle est renseignée, la valeur doit être connue du Langage Commun associé</t>
        </is>
      </c>
      <c r="AN1188" s="377" t="inlineStr">
        <is>
          <t>If specified, the value must be known to the associated Common Language</t>
        </is>
      </c>
      <c r="AO1188" s="257" t="n">
        <v>7</v>
      </c>
      <c r="AP1188" s="212" t="inlineStr">
        <is>
          <t>TIG0001</t>
        </is>
      </c>
      <c r="AQ1188" s="318" t="n"/>
      <c r="AR1188" s="317" t="n"/>
      <c r="AS1188" s="257" t="n"/>
      <c r="AT1188" s="258" t="n"/>
      <c r="AU1188" s="318" t="n"/>
      <c r="AV1188" s="317" t="n"/>
      <c r="AW1188" s="257" t="n"/>
      <c r="AX1188" s="258" t="n"/>
      <c r="AY1188" s="318" t="n"/>
      <c r="AZ1188" s="317" t="n"/>
      <c r="BA1188" s="257" t="n"/>
      <c r="BB1188" s="258" t="n"/>
      <c r="BC1188" s="316" t="n"/>
      <c r="BD1188" s="317" t="n"/>
      <c r="BE1188" s="257" t="n"/>
      <c r="BF1188" s="258" t="n"/>
      <c r="BG1188" s="89" t="n"/>
      <c r="BH11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88">
        <f>_xlfn.LET(r,ROW(),oc,INDEX($A:$A,r),cv,TRIM(INDEX($Y:$Y,r)&amp;""),IF(oc&lt;&gt;"P1","",IF(cv="45","V45 - novo, nao alimentado pelo spool atual","V44 - alimentado pelo spool atual")))</f>
        <v/>
      </c>
    </row>
    <row r="1189" ht="54" customFormat="1" customHeight="1" s="90">
      <c r="A1189" s="306" t="inlineStr">
        <is>
          <t>P2</t>
        </is>
      </c>
      <c r="B1189" s="307" t="n">
        <v>292</v>
      </c>
      <c r="C1189" s="269" t="inlineStr">
        <is>
          <t xml:space="preserve">19 - Données comptables </t>
        </is>
      </c>
      <c r="D1189" s="236" t="inlineStr">
        <is>
          <t>19 - Accounting data</t>
        </is>
      </c>
      <c r="E1189" s="307" t="inlineStr">
        <is>
          <t>P2 50.5</t>
        </is>
      </c>
      <c r="F1189" s="460" t="inlineStr">
        <is>
          <t>Montant du principal 2</t>
        </is>
      </c>
      <c r="G1189" s="309" t="inlineStr">
        <is>
          <t>Amount of principal 2</t>
        </is>
      </c>
      <c r="H1189" s="309" t="n"/>
      <c r="I1189" s="460" t="inlineStr">
        <is>
          <t>Il s'agit du solde du compte déclaré dans le champ "PCCO Montant du principal 2", en devise de liasse comptable de l'entité porteuse de risques, à la date d'arrêté</t>
        </is>
      </c>
      <c r="J1189" s="309" t="inlineStr">
        <is>
          <t>This is the account balance declared in the "PCCO Amount of Principal 2" field, in the accounting package currency of the risk-bearing entity, on the closing date</t>
        </is>
      </c>
      <c r="K1189" s="370" t="inlineStr">
        <is>
          <t>ND</t>
        </is>
      </c>
      <c r="L1189" s="371" t="inlineStr">
        <is>
          <t>ND</t>
        </is>
      </c>
      <c r="M1189" s="1420" t="inlineStr">
        <is>
          <t>mtPCCO2</t>
        </is>
      </c>
      <c r="N1189" s="231" t="inlineStr">
        <is>
          <t>Obligatoire sous conditions</t>
        </is>
      </c>
      <c r="O1189" s="236" t="inlineStr">
        <is>
          <t>Mandatory under conditions</t>
        </is>
      </c>
      <c r="P1189" s="269" t="inlineStr">
        <is>
          <t>NA</t>
        </is>
      </c>
      <c r="Q1189" s="269" t="inlineStr">
        <is>
          <t>NA</t>
        </is>
      </c>
      <c r="R1189" s="241" t="inlineStr">
        <is>
          <t>NA</t>
        </is>
      </c>
      <c r="S1189" s="233" t="inlineStr">
        <is>
          <t>NA</t>
        </is>
      </c>
      <c r="T1189" s="313" t="inlineStr">
        <is>
          <t>NUM</t>
        </is>
      </c>
      <c r="U1189" s="237" t="inlineStr">
        <is>
          <t>19 dont signe et 2 décimales</t>
        </is>
      </c>
      <c r="V1189" s="238" t="inlineStr">
        <is>
          <t>19 including sign and 2 decimals</t>
        </is>
      </c>
      <c r="W1189" s="257" t="n">
        <v>19</v>
      </c>
      <c r="X1189" s="945" t="inlineStr">
        <is>
          <t>NA</t>
        </is>
      </c>
      <c r="Y1189" s="237" t="n">
        <v>43</v>
      </c>
      <c r="Z1189" s="237" t="inlineStr">
        <is>
          <t>NA</t>
        </is>
      </c>
      <c r="AA1189" s="239" t="inlineStr">
        <is>
          <t>NA</t>
        </is>
      </c>
      <c r="AB1189" s="269" t="inlineStr">
        <is>
          <t>USAGE ZP</t>
        </is>
      </c>
      <c r="AC1189" s="231" t="inlineStr">
        <is>
          <t>ND</t>
        </is>
      </c>
      <c r="AD1189" s="257" t="inlineStr">
        <is>
          <t>N</t>
        </is>
      </c>
      <c r="AE1189" s="257" t="inlineStr">
        <is>
          <t>NA</t>
        </is>
      </c>
      <c r="AF1189" s="257" t="inlineStr">
        <is>
          <t>NA</t>
        </is>
      </c>
      <c r="AG1189" s="258" t="inlineStr">
        <is>
          <t>NA</t>
        </is>
      </c>
      <c r="AH1189" s="89" t="n"/>
      <c r="AI1189" s="500" t="inlineStr">
        <is>
          <t>La donnée est obligatoire si la donnée PCCO - Montant du principal 2 [P2 50.4] est renseignée</t>
        </is>
      </c>
      <c r="AJ1189" s="317" t="inlineStr">
        <is>
          <t>The data is mandatory if the PCCO - Amount of principal 2 [P2 50.4] data is filled</t>
        </is>
      </c>
      <c r="AK1189" s="257" t="n">
        <v>7</v>
      </c>
      <c r="AL1189" s="345" t="inlineStr">
        <is>
          <t>TPS1764</t>
        </is>
      </c>
      <c r="AM1189" s="318" t="n"/>
      <c r="AN1189" s="317" t="n"/>
      <c r="AO1189" s="257" t="n"/>
      <c r="AP1189" s="258" t="n"/>
      <c r="AQ1189" s="318" t="n"/>
      <c r="AR1189" s="317" t="n"/>
      <c r="AS1189" s="257" t="n"/>
      <c r="AT1189" s="258" t="n"/>
      <c r="AU1189" s="318" t="n"/>
      <c r="AV1189" s="317" t="n"/>
      <c r="AW1189" s="257" t="n"/>
      <c r="AX1189" s="258" t="n"/>
      <c r="AY1189" s="318" t="n"/>
      <c r="AZ1189" s="317" t="n"/>
      <c r="BA1189" s="257" t="n"/>
      <c r="BB1189" s="258" t="n"/>
      <c r="BC1189" s="316" t="n"/>
      <c r="BD1189" s="317" t="n"/>
      <c r="BE1189" s="257" t="n"/>
      <c r="BF1189" s="258" t="n"/>
      <c r="BG1189" s="89" t="n"/>
      <c r="BH11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89">
        <f>_xlfn.LET(r,ROW(),oc,INDEX($A:$A,r),cv,TRIM(INDEX($Y:$Y,r)&amp;""),IF(oc&lt;&gt;"P1","",IF(cv="45","V45 - novo, nao alimentado pelo spool atual","V44 - alimentado pelo spool atual")))</f>
        <v/>
      </c>
    </row>
    <row r="1190" ht="54" customFormat="1" customHeight="1" s="55">
      <c r="A1190" s="325" t="inlineStr">
        <is>
          <t>P2</t>
        </is>
      </c>
      <c r="B1190" s="326" t="n">
        <v>293</v>
      </c>
      <c r="C1190" s="284" t="inlineStr">
        <is>
          <t xml:space="preserve">19 - Données comptables </t>
        </is>
      </c>
      <c r="D1190" s="244" t="inlineStr">
        <is>
          <t>19 - Accounting data</t>
        </is>
      </c>
      <c r="E1190" s="326" t="inlineStr">
        <is>
          <t>P2 50.8</t>
        </is>
      </c>
      <c r="F1190" s="327" t="inlineStr">
        <is>
          <t>PCCO - Dettes et créances rattachées</t>
        </is>
      </c>
      <c r="G1190" s="327" t="inlineStr">
        <is>
          <t>PCCO - related Debts and receivables</t>
        </is>
      </c>
      <c r="H1190" s="327" t="n"/>
      <c r="I1190" s="327" t="inlineStr">
        <is>
          <t>Code du compte dans le plan de comptes consolidé prudentiel
Le compte "PCCO - Dettes et créances rattachées" correspond au compte comptabilisant les intérêts courus au bilan</t>
        </is>
      </c>
      <c r="J1190" s="327" t="inlineStr">
        <is>
          <t>Account code in the prudential consolidated chart of accounts
The "PCCO - related Debts and receivables" account corresponds to the account recording accrued interests in the balance sheet</t>
        </is>
      </c>
      <c r="K1190" s="388" t="inlineStr">
        <is>
          <t>NA</t>
        </is>
      </c>
      <c r="L1190" s="388" t="inlineStr">
        <is>
          <t>NA</t>
        </is>
      </c>
      <c r="M1190" s="1421" t="inlineStr">
        <is>
          <t>noPCCOCreances</t>
        </is>
      </c>
      <c r="N1190" s="244" t="inlineStr">
        <is>
          <t>NA</t>
        </is>
      </c>
      <c r="O1190" s="244" t="inlineStr">
        <is>
          <t>NA</t>
        </is>
      </c>
      <c r="P1190" s="284" t="inlineStr">
        <is>
          <t>LC.0111</t>
        </is>
      </c>
      <c r="Q1190" s="284" t="inlineStr">
        <is>
          <t>TA H8PCCO</t>
        </is>
      </c>
      <c r="R1190" s="247" t="inlineStr">
        <is>
          <t>Laisser à vide</t>
        </is>
      </c>
      <c r="S1190" s="247" t="inlineStr">
        <is>
          <t>Leave empty</t>
        </is>
      </c>
      <c r="T1190" s="326" t="inlineStr">
        <is>
          <t>ALPHA</t>
        </is>
      </c>
      <c r="U1190" s="248" t="inlineStr">
        <is>
          <t>NA</t>
        </is>
      </c>
      <c r="V1190" s="248" t="inlineStr">
        <is>
          <t>NA</t>
        </is>
      </c>
      <c r="W1190" s="284" t="n">
        <v>12</v>
      </c>
      <c r="X1190" s="244" t="inlineStr">
        <is>
          <t>NA</t>
        </is>
      </c>
      <c r="Y1190" s="248" t="n">
        <v>43</v>
      </c>
      <c r="Z1190" s="248" t="n">
        <v>43</v>
      </c>
      <c r="AA1190" s="249" t="inlineStr">
        <is>
          <t>NA</t>
        </is>
      </c>
      <c r="AB1190" s="244" t="inlineStr">
        <is>
          <t>NA</t>
        </is>
      </c>
      <c r="AC1190" s="244" t="inlineStr">
        <is>
          <t>NA</t>
        </is>
      </c>
      <c r="AD1190" s="284" t="inlineStr">
        <is>
          <t>N</t>
        </is>
      </c>
      <c r="AE1190" s="284" t="inlineStr">
        <is>
          <t>NA</t>
        </is>
      </c>
      <c r="AF1190" s="284" t="inlineStr">
        <is>
          <t>NA</t>
        </is>
      </c>
      <c r="AG1190" s="285" t="inlineStr">
        <is>
          <t>NA</t>
        </is>
      </c>
      <c r="AH1190" s="89" t="n"/>
      <c r="AI1190" s="330" t="n"/>
      <c r="AJ1190" s="331" t="n"/>
      <c r="AK1190" s="284" t="n"/>
      <c r="AL1190" s="285" t="n"/>
      <c r="AM1190" s="331" t="n"/>
      <c r="AN1190" s="331" t="n"/>
      <c r="AO1190" s="284" t="n"/>
      <c r="AP1190" s="285" t="n"/>
      <c r="AQ1190" s="331" t="n"/>
      <c r="AR1190" s="331" t="n"/>
      <c r="AS1190" s="284" t="n"/>
      <c r="AT1190" s="285" t="n"/>
      <c r="AU1190" s="331" t="n"/>
      <c r="AV1190" s="331" t="n"/>
      <c r="AW1190" s="284" t="n"/>
      <c r="AX1190" s="285" t="n"/>
      <c r="AY1190" s="331" t="n"/>
      <c r="AZ1190" s="331" t="n"/>
      <c r="BA1190" s="284" t="n"/>
      <c r="BB1190" s="285" t="n"/>
      <c r="BC1190" s="330" t="n"/>
      <c r="BD1190" s="331" t="n"/>
      <c r="BE1190" s="284" t="n"/>
      <c r="BF1190" s="285" t="n"/>
      <c r="BG1190" s="89" t="n"/>
      <c r="BH11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90">
        <f>_xlfn.LET(r,ROW(),oc,INDEX($A:$A,r),cv,TRIM(INDEX($Y:$Y,r)&amp;""),IF(oc&lt;&gt;"P1","",IF(cv="45","V45 - novo, nao alimentado pelo spool atual","V44 - alimentado pelo spool atual")))</f>
        <v/>
      </c>
    </row>
    <row r="1191" ht="54" customFormat="1" customHeight="1" s="55">
      <c r="A1191" s="325" t="inlineStr">
        <is>
          <t>P2</t>
        </is>
      </c>
      <c r="B1191" s="326" t="n">
        <v>294</v>
      </c>
      <c r="C1191" s="284" t="inlineStr">
        <is>
          <t>NA</t>
        </is>
      </c>
      <c r="D1191" s="244" t="inlineStr">
        <is>
          <t>NA</t>
        </is>
      </c>
      <c r="E1191" s="326" t="inlineStr">
        <is>
          <t>P2 50.9</t>
        </is>
      </c>
      <c r="F1191" s="327" t="inlineStr">
        <is>
          <t>Montant des Dettes et créances rattachées</t>
        </is>
      </c>
      <c r="G1191" s="327" t="inlineStr">
        <is>
          <t>Amount of related Debts and receivables</t>
        </is>
      </c>
      <c r="H1191" s="327" t="n"/>
      <c r="I1191" s="327" t="inlineStr">
        <is>
          <t>Il s'agit du solde du compte déclaré dans le champ "PCCO - Dettes et créances rattachées" en devise de liasse comptable de l'entité porteuse de risques, à la date d'arrêté</t>
        </is>
      </c>
      <c r="J1191" s="327" t="inlineStr">
        <is>
          <t>This is the account balance declared in the "PCCO - related Debts and receivables" field, in the accounting package currency of the risk-bearing entity, on the closing date</t>
        </is>
      </c>
      <c r="K1191" s="388" t="inlineStr">
        <is>
          <t>NA</t>
        </is>
      </c>
      <c r="L1191" s="388" t="inlineStr">
        <is>
          <t>NA</t>
        </is>
      </c>
      <c r="M1191" s="1421" t="inlineStr">
        <is>
          <t>mtPCCOCreances</t>
        </is>
      </c>
      <c r="N1191" s="244" t="inlineStr">
        <is>
          <t>NA</t>
        </is>
      </c>
      <c r="O1191" s="244" t="inlineStr">
        <is>
          <t>NA</t>
        </is>
      </c>
      <c r="P1191" s="284" t="inlineStr">
        <is>
          <t>NA</t>
        </is>
      </c>
      <c r="Q1191" s="284" t="inlineStr">
        <is>
          <t>NA</t>
        </is>
      </c>
      <c r="R1191" s="247" t="inlineStr">
        <is>
          <t>Laisser à vide</t>
        </is>
      </c>
      <c r="S1191" s="247" t="inlineStr">
        <is>
          <t>Leave empty</t>
        </is>
      </c>
      <c r="T1191" s="326" t="inlineStr">
        <is>
          <t>NUM</t>
        </is>
      </c>
      <c r="U1191" s="248" t="inlineStr">
        <is>
          <t>19 dont signe et 2 décimales</t>
        </is>
      </c>
      <c r="V1191" s="248" t="inlineStr">
        <is>
          <t>19 including sign and 2 decimals</t>
        </is>
      </c>
      <c r="W1191" s="284" t="n">
        <v>19</v>
      </c>
      <c r="X1191" s="244" t="inlineStr">
        <is>
          <t>NA</t>
        </is>
      </c>
      <c r="Y1191" s="248" t="n">
        <v>43</v>
      </c>
      <c r="Z1191" s="248" t="n">
        <v>43</v>
      </c>
      <c r="AA1191" s="249" t="inlineStr">
        <is>
          <t>NA</t>
        </is>
      </c>
      <c r="AB1191" s="244" t="inlineStr">
        <is>
          <t>NA</t>
        </is>
      </c>
      <c r="AC1191" s="244" t="inlineStr">
        <is>
          <t>NA</t>
        </is>
      </c>
      <c r="AD1191" s="284" t="inlineStr">
        <is>
          <t>N</t>
        </is>
      </c>
      <c r="AE1191" s="284" t="inlineStr">
        <is>
          <t>NA</t>
        </is>
      </c>
      <c r="AF1191" s="284" t="inlineStr">
        <is>
          <t>NA</t>
        </is>
      </c>
      <c r="AG1191" s="285" t="inlineStr">
        <is>
          <t>NA</t>
        </is>
      </c>
      <c r="AH1191" s="89" t="n"/>
      <c r="AI1191" s="330" t="n"/>
      <c r="AJ1191" s="331" t="n"/>
      <c r="AK1191" s="284" t="n"/>
      <c r="AL1191" s="285" t="n"/>
      <c r="AM1191" s="331" t="n"/>
      <c r="AN1191" s="331" t="n"/>
      <c r="AO1191" s="284" t="n"/>
      <c r="AP1191" s="285" t="n"/>
      <c r="AQ1191" s="331" t="n"/>
      <c r="AR1191" s="331" t="n"/>
      <c r="AS1191" s="284" t="n"/>
      <c r="AT1191" s="285" t="n"/>
      <c r="AU1191" s="331" t="n"/>
      <c r="AV1191" s="331" t="n"/>
      <c r="AW1191" s="284" t="n"/>
      <c r="AX1191" s="285" t="n"/>
      <c r="AY1191" s="331" t="n"/>
      <c r="AZ1191" s="331" t="n"/>
      <c r="BA1191" s="284" t="n"/>
      <c r="BB1191" s="285" t="n"/>
      <c r="BC1191" s="330" t="n"/>
      <c r="BD1191" s="331" t="n"/>
      <c r="BE1191" s="284" t="n"/>
      <c r="BF1191" s="285" t="n"/>
      <c r="BG1191" s="89" t="n"/>
      <c r="BH11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91">
        <f>_xlfn.LET(r,ROW(),oc,INDEX($A:$A,r),cv,TRIM(INDEX($Y:$Y,r)&amp;""),IF(oc&lt;&gt;"P1","",IF(cv="45","V45 - novo, nao alimentado pelo spool atual","V44 - alimentado pelo spool atual")))</f>
        <v/>
      </c>
    </row>
    <row r="1192" ht="54" customFormat="1" customHeight="1" s="55">
      <c r="A1192" s="325" t="inlineStr">
        <is>
          <t>P2</t>
        </is>
      </c>
      <c r="B1192" s="326" t="n">
        <v>295</v>
      </c>
      <c r="C1192" s="284" t="inlineStr">
        <is>
          <t xml:space="preserve">19 - Données comptables </t>
        </is>
      </c>
      <c r="D1192" s="244" t="inlineStr">
        <is>
          <t>19 - Accounting data</t>
        </is>
      </c>
      <c r="E1192" s="326" t="inlineStr">
        <is>
          <t>P2 50.14</t>
        </is>
      </c>
      <c r="F1192" s="327" t="inlineStr">
        <is>
          <t>PCCO - Marge initiale</t>
        </is>
      </c>
      <c r="G1192" s="327" t="inlineStr">
        <is>
          <t>PCCO - Initial margin</t>
        </is>
      </c>
      <c r="H1192" s="327" t="n"/>
      <c r="I1192" s="327" t="inlineStr">
        <is>
          <t>Code du compte dans le plan de comptes consolidé prudentiel
Le compte "PCCO - Marge initiale" correspond aux comptes comptabilisant les marges intiales versées (avec ou sans CCP) lors d'opérations sur dérivés ou d'opérations sur pensions</t>
        </is>
      </c>
      <c r="J1192" s="327" t="inlineStr">
        <is>
          <t>Account code in the prudential consolidated chart of accounts
The "PCCO - Initial margin" account corresponds of the accounts recording the amount of Initial margins paid (with or not CCP) during operations of derivatives or repos</t>
        </is>
      </c>
      <c r="K1192" s="388" t="inlineStr">
        <is>
          <t>NA</t>
        </is>
      </c>
      <c r="L1192" s="388" t="inlineStr">
        <is>
          <t>NA</t>
        </is>
      </c>
      <c r="M1192" s="1421" t="inlineStr">
        <is>
          <t>cdPCCOMargeIni</t>
        </is>
      </c>
      <c r="N1192" s="244" t="inlineStr">
        <is>
          <t>NA</t>
        </is>
      </c>
      <c r="O1192" s="244" t="inlineStr">
        <is>
          <t>NA</t>
        </is>
      </c>
      <c r="P1192" s="284" t="inlineStr">
        <is>
          <t>LC.0111</t>
        </is>
      </c>
      <c r="Q1192" s="284" t="inlineStr">
        <is>
          <t>TA H8PCCO</t>
        </is>
      </c>
      <c r="R1192" s="247" t="inlineStr">
        <is>
          <t>Laisser à vide</t>
        </is>
      </c>
      <c r="S1192" s="247" t="inlineStr">
        <is>
          <t>Leave empty</t>
        </is>
      </c>
      <c r="T1192" s="326" t="inlineStr">
        <is>
          <t>ALPHA</t>
        </is>
      </c>
      <c r="U1192" s="248" t="inlineStr">
        <is>
          <t>NA</t>
        </is>
      </c>
      <c r="V1192" s="248" t="inlineStr">
        <is>
          <t>NA</t>
        </is>
      </c>
      <c r="W1192" s="284" t="n">
        <v>12</v>
      </c>
      <c r="X1192" s="244" t="inlineStr">
        <is>
          <t>NA</t>
        </is>
      </c>
      <c r="Y1192" s="248" t="n">
        <v>43</v>
      </c>
      <c r="Z1192" s="248" t="n">
        <v>43</v>
      </c>
      <c r="AA1192" s="249" t="inlineStr">
        <is>
          <t>NA</t>
        </is>
      </c>
      <c r="AB1192" s="244" t="inlineStr">
        <is>
          <t>NA</t>
        </is>
      </c>
      <c r="AC1192" s="244" t="inlineStr">
        <is>
          <t>NA</t>
        </is>
      </c>
      <c r="AD1192" s="284" t="inlineStr">
        <is>
          <t>N</t>
        </is>
      </c>
      <c r="AE1192" s="284" t="inlineStr">
        <is>
          <t>NA</t>
        </is>
      </c>
      <c r="AF1192" s="284" t="inlineStr">
        <is>
          <t>NA</t>
        </is>
      </c>
      <c r="AG1192" s="285" t="inlineStr">
        <is>
          <t>NA</t>
        </is>
      </c>
      <c r="AH1192" s="89" t="n"/>
      <c r="AI1192" s="330" t="n"/>
      <c r="AJ1192" s="331" t="n"/>
      <c r="AK1192" s="284" t="n"/>
      <c r="AL1192" s="285" t="n"/>
      <c r="AM1192" s="331" t="n"/>
      <c r="AN1192" s="331" t="n"/>
      <c r="AO1192" s="284" t="n"/>
      <c r="AP1192" s="285" t="n"/>
      <c r="AQ1192" s="331" t="n"/>
      <c r="AR1192" s="331" t="n"/>
      <c r="AS1192" s="284" t="n"/>
      <c r="AT1192" s="285" t="n"/>
      <c r="AU1192" s="331" t="n"/>
      <c r="AV1192" s="331" t="n"/>
      <c r="AW1192" s="284" t="n"/>
      <c r="AX1192" s="285" t="n"/>
      <c r="AY1192" s="331" t="n"/>
      <c r="AZ1192" s="331" t="n"/>
      <c r="BA1192" s="284" t="n"/>
      <c r="BB1192" s="285" t="n"/>
      <c r="BC1192" s="330" t="n"/>
      <c r="BD1192" s="331" t="n"/>
      <c r="BE1192" s="284" t="n"/>
      <c r="BF1192" s="285" t="n"/>
      <c r="BG1192" s="89" t="n"/>
      <c r="BH11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92">
        <f>_xlfn.LET(r,ROW(),oc,INDEX($A:$A,r),cv,TRIM(INDEX($Y:$Y,r)&amp;""),IF(oc&lt;&gt;"P1","",IF(cv="45","V45 - novo, nao alimentado pelo spool atual","V44 - alimentado pelo spool atual")))</f>
        <v/>
      </c>
    </row>
    <row r="1193" ht="54" customFormat="1" customHeight="1" s="55">
      <c r="A1193" s="325" t="inlineStr">
        <is>
          <t>P2</t>
        </is>
      </c>
      <c r="B1193" s="326" t="n">
        <v>296</v>
      </c>
      <c r="C1193" s="284" t="inlineStr">
        <is>
          <t>NA</t>
        </is>
      </c>
      <c r="D1193" s="244" t="inlineStr">
        <is>
          <t>NA</t>
        </is>
      </c>
      <c r="E1193" s="326" t="inlineStr">
        <is>
          <t>P2 50.15</t>
        </is>
      </c>
      <c r="F1193" s="327" t="inlineStr">
        <is>
          <t>Montant Marge initiale</t>
        </is>
      </c>
      <c r="G1193" s="327" t="inlineStr">
        <is>
          <t>Amount of initial margin</t>
        </is>
      </c>
      <c r="H1193" s="327" t="n"/>
      <c r="I1193" s="327" t="inlineStr">
        <is>
          <t>Il s'agit du solde du compte déclaré dans le champ "PCCO - Marge initiale", en devise de liasse comptable de l'entité porteuse de risques, à la date d'arrêté</t>
        </is>
      </c>
      <c r="J1193" s="327" t="inlineStr">
        <is>
          <t>This is the account balance declared in the "of initial margin" field, in the accounting package currency of the risk-bearing entity, on the closing date</t>
        </is>
      </c>
      <c r="K1193" s="388" t="inlineStr">
        <is>
          <t>NA</t>
        </is>
      </c>
      <c r="L1193" s="388" t="inlineStr">
        <is>
          <t>NA</t>
        </is>
      </c>
      <c r="M1193" s="1421" t="inlineStr">
        <is>
          <t>MonNtNAtiale</t>
        </is>
      </c>
      <c r="N1193" s="244" t="inlineStr">
        <is>
          <t>NA</t>
        </is>
      </c>
      <c r="O1193" s="244" t="inlineStr">
        <is>
          <t>NA</t>
        </is>
      </c>
      <c r="P1193" s="284" t="inlineStr">
        <is>
          <t>NA</t>
        </is>
      </c>
      <c r="Q1193" s="284" t="inlineStr">
        <is>
          <t>NA</t>
        </is>
      </c>
      <c r="R1193" s="247" t="inlineStr">
        <is>
          <t>Laisser à vide</t>
        </is>
      </c>
      <c r="S1193" s="247" t="inlineStr">
        <is>
          <t>Leave empty</t>
        </is>
      </c>
      <c r="T1193" s="326" t="inlineStr">
        <is>
          <t>NUM</t>
        </is>
      </c>
      <c r="U1193" s="248" t="inlineStr">
        <is>
          <t>19 dont signe et 2 décimales</t>
        </is>
      </c>
      <c r="V1193" s="248" t="inlineStr">
        <is>
          <t>19 including sign and 2 decimals</t>
        </is>
      </c>
      <c r="W1193" s="284" t="n">
        <v>19</v>
      </c>
      <c r="X1193" s="244" t="inlineStr">
        <is>
          <t>NA</t>
        </is>
      </c>
      <c r="Y1193" s="248" t="n">
        <v>43</v>
      </c>
      <c r="Z1193" s="248" t="n">
        <v>43</v>
      </c>
      <c r="AA1193" s="249" t="inlineStr">
        <is>
          <t>NA</t>
        </is>
      </c>
      <c r="AB1193" s="244" t="inlineStr">
        <is>
          <t>NA</t>
        </is>
      </c>
      <c r="AC1193" s="244" t="inlineStr">
        <is>
          <t>NA</t>
        </is>
      </c>
      <c r="AD1193" s="284" t="inlineStr">
        <is>
          <t>N</t>
        </is>
      </c>
      <c r="AE1193" s="284" t="inlineStr">
        <is>
          <t>NA</t>
        </is>
      </c>
      <c r="AF1193" s="284" t="inlineStr">
        <is>
          <t>NA</t>
        </is>
      </c>
      <c r="AG1193" s="285" t="inlineStr">
        <is>
          <t>NA</t>
        </is>
      </c>
      <c r="AH1193" s="89" t="n"/>
      <c r="AI1193" s="330" t="n"/>
      <c r="AJ1193" s="331" t="n"/>
      <c r="AK1193" s="284" t="n"/>
      <c r="AL1193" s="285" t="n"/>
      <c r="AM1193" s="331" t="n"/>
      <c r="AN1193" s="331" t="n"/>
      <c r="AO1193" s="284" t="n"/>
      <c r="AP1193" s="285" t="n"/>
      <c r="AQ1193" s="331" t="n"/>
      <c r="AR1193" s="331" t="n"/>
      <c r="AS1193" s="284" t="n"/>
      <c r="AT1193" s="285" t="n"/>
      <c r="AU1193" s="331" t="n"/>
      <c r="AV1193" s="331" t="n"/>
      <c r="AW1193" s="284" t="n"/>
      <c r="AX1193" s="285" t="n"/>
      <c r="AY1193" s="331" t="n"/>
      <c r="AZ1193" s="331" t="n"/>
      <c r="BA1193" s="284" t="n"/>
      <c r="BB1193" s="285" t="n"/>
      <c r="BC1193" s="330" t="n"/>
      <c r="BD1193" s="331" t="n"/>
      <c r="BE1193" s="284" t="n"/>
      <c r="BF1193" s="285" t="n"/>
      <c r="BG1193" s="89" t="n"/>
      <c r="BH11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93">
        <f>_xlfn.LET(r,ROW(),oc,INDEX($A:$A,r),cv,TRIM(INDEX($Y:$Y,r)&amp;""),IF(oc&lt;&gt;"P1","",IF(cv="45","V45 - novo, nao alimentado pelo spool atual","V44 - alimentado pelo spool atual")))</f>
        <v/>
      </c>
    </row>
    <row r="1194" ht="54" customFormat="1" customHeight="1" s="55">
      <c r="A1194" s="325" t="inlineStr">
        <is>
          <t>P2</t>
        </is>
      </c>
      <c r="B1194" s="326" t="n">
        <v>297</v>
      </c>
      <c r="C1194" s="284" t="inlineStr">
        <is>
          <t xml:space="preserve">19 - Données comptables </t>
        </is>
      </c>
      <c r="D1194" s="244" t="inlineStr">
        <is>
          <t>19 - Accounting data</t>
        </is>
      </c>
      <c r="E1194" s="326" t="inlineStr">
        <is>
          <t>P2 50.16</t>
        </is>
      </c>
      <c r="F1194" s="327" t="inlineStr">
        <is>
          <t>PCCO - Marge variable</t>
        </is>
      </c>
      <c r="G1194" s="327" t="inlineStr">
        <is>
          <t>PCCO - Variable margin</t>
        </is>
      </c>
      <c r="H1194" s="327" t="n"/>
      <c r="I1194" s="327" t="inlineStr">
        <is>
          <t>Code du compte dans le plan de comptes consolidé prudentiel
Le compte "PCCO - Marge variable" correspond aux comptes comptabilisant les marges variables versées (avec ou sans CCP) lors d'opérations sur dérivés ou d'opérations sur pensions</t>
        </is>
      </c>
      <c r="J1194" s="327" t="inlineStr">
        <is>
          <t>Account code in the prudential consolidated chart of accounts
The "PCCO - Variable margin" account corresponds of the accounts recording the amount of variable margins paid (with or not CCP) during operations of derivatives or repos</t>
        </is>
      </c>
      <c r="K1194" s="388" t="inlineStr">
        <is>
          <t>NA</t>
        </is>
      </c>
      <c r="L1194" s="388" t="inlineStr">
        <is>
          <t>NA</t>
        </is>
      </c>
      <c r="M1194" s="1421" t="inlineStr">
        <is>
          <t>cdPCCOMargeVar</t>
        </is>
      </c>
      <c r="N1194" s="244" t="inlineStr">
        <is>
          <t>NA</t>
        </is>
      </c>
      <c r="O1194" s="244" t="inlineStr">
        <is>
          <t>NA</t>
        </is>
      </c>
      <c r="P1194" s="284" t="inlineStr">
        <is>
          <t>LC.0111</t>
        </is>
      </c>
      <c r="Q1194" s="284" t="inlineStr">
        <is>
          <t>TA H8PCCO</t>
        </is>
      </c>
      <c r="R1194" s="247" t="inlineStr">
        <is>
          <t>Laisser à vide</t>
        </is>
      </c>
      <c r="S1194" s="247" t="inlineStr">
        <is>
          <t>Leave empty</t>
        </is>
      </c>
      <c r="T1194" s="326" t="inlineStr">
        <is>
          <t>ALPHA</t>
        </is>
      </c>
      <c r="U1194" s="248" t="inlineStr">
        <is>
          <t>NA</t>
        </is>
      </c>
      <c r="V1194" s="248" t="inlineStr">
        <is>
          <t>NA</t>
        </is>
      </c>
      <c r="W1194" s="284" t="n">
        <v>12</v>
      </c>
      <c r="X1194" s="244" t="inlineStr">
        <is>
          <t>NA</t>
        </is>
      </c>
      <c r="Y1194" s="248" t="n">
        <v>43</v>
      </c>
      <c r="Z1194" s="248" t="n">
        <v>43</v>
      </c>
      <c r="AA1194" s="249" t="inlineStr">
        <is>
          <t>NA</t>
        </is>
      </c>
      <c r="AB1194" s="244" t="inlineStr">
        <is>
          <t>NA</t>
        </is>
      </c>
      <c r="AC1194" s="244" t="inlineStr">
        <is>
          <t>NA</t>
        </is>
      </c>
      <c r="AD1194" s="284" t="inlineStr">
        <is>
          <t>N</t>
        </is>
      </c>
      <c r="AE1194" s="284" t="inlineStr">
        <is>
          <t>NA</t>
        </is>
      </c>
      <c r="AF1194" s="284" t="inlineStr">
        <is>
          <t>NA</t>
        </is>
      </c>
      <c r="AG1194" s="285" t="inlineStr">
        <is>
          <t>NA</t>
        </is>
      </c>
      <c r="AH1194" s="89" t="n"/>
      <c r="AI1194" s="330" t="n"/>
      <c r="AJ1194" s="331" t="n"/>
      <c r="AK1194" s="284" t="n"/>
      <c r="AL1194" s="285" t="n"/>
      <c r="AM1194" s="331" t="n"/>
      <c r="AN1194" s="331" t="n"/>
      <c r="AO1194" s="284" t="n"/>
      <c r="AP1194" s="285" t="n"/>
      <c r="AQ1194" s="331" t="n"/>
      <c r="AR1194" s="331" t="n"/>
      <c r="AS1194" s="284" t="n"/>
      <c r="AT1194" s="285" t="n"/>
      <c r="AU1194" s="331" t="n"/>
      <c r="AV1194" s="331" t="n"/>
      <c r="AW1194" s="284" t="n"/>
      <c r="AX1194" s="285" t="n"/>
      <c r="AY1194" s="331" t="n"/>
      <c r="AZ1194" s="331" t="n"/>
      <c r="BA1194" s="284" t="n"/>
      <c r="BB1194" s="285" t="n"/>
      <c r="BC1194" s="330" t="n"/>
      <c r="BD1194" s="331" t="n"/>
      <c r="BE1194" s="284" t="n"/>
      <c r="BF1194" s="285" t="n"/>
      <c r="BG1194" s="89" t="n"/>
      <c r="BH11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94">
        <f>_xlfn.LET(r,ROW(),oc,INDEX($A:$A,r),cv,TRIM(INDEX($Y:$Y,r)&amp;""),IF(oc&lt;&gt;"P1","",IF(cv="45","V45 - novo, nao alimentado pelo spool atual","V44 - alimentado pelo spool atual")))</f>
        <v/>
      </c>
    </row>
    <row r="1195" ht="54" customFormat="1" customHeight="1" s="55">
      <c r="A1195" s="325" t="inlineStr">
        <is>
          <t>P2</t>
        </is>
      </c>
      <c r="B1195" s="326" t="n">
        <v>298</v>
      </c>
      <c r="C1195" s="284" t="inlineStr">
        <is>
          <t>NA</t>
        </is>
      </c>
      <c r="D1195" s="244" t="inlineStr">
        <is>
          <t>NA</t>
        </is>
      </c>
      <c r="E1195" s="326" t="inlineStr">
        <is>
          <t>P2 50.17</t>
        </is>
      </c>
      <c r="F1195" s="327" t="inlineStr">
        <is>
          <t>Montant Marge variable</t>
        </is>
      </c>
      <c r="G1195" s="327" t="inlineStr">
        <is>
          <t>Amount of Variable margin</t>
        </is>
      </c>
      <c r="H1195" s="327" t="n"/>
      <c r="I1195" s="327" t="inlineStr">
        <is>
          <t>Il s'agit du solde du compte déclaré dans le champ "PCCO - Marge variable", en devise de liasse comptable de l'entité porteuse de risques, à la date d'arrêté</t>
        </is>
      </c>
      <c r="J1195" s="327" t="inlineStr">
        <is>
          <t>This is the account balance declared in the "PCCO - Variable margin" field, in the accounting package currency of the risk-bearing entity, on the closing date</t>
        </is>
      </c>
      <c r="K1195" s="388" t="inlineStr">
        <is>
          <t>NA</t>
        </is>
      </c>
      <c r="L1195" s="388" t="inlineStr">
        <is>
          <t>NA</t>
        </is>
      </c>
      <c r="M1195" s="1421" t="inlineStr">
        <is>
          <t>MonNtNAiable</t>
        </is>
      </c>
      <c r="N1195" s="244" t="inlineStr">
        <is>
          <t>NA</t>
        </is>
      </c>
      <c r="O1195" s="244" t="inlineStr">
        <is>
          <t>NA</t>
        </is>
      </c>
      <c r="P1195" s="284" t="inlineStr">
        <is>
          <t>NA</t>
        </is>
      </c>
      <c r="Q1195" s="284" t="inlineStr">
        <is>
          <t>NA</t>
        </is>
      </c>
      <c r="R1195" s="247" t="inlineStr">
        <is>
          <t>Laisser à vide</t>
        </is>
      </c>
      <c r="S1195" s="247" t="inlineStr">
        <is>
          <t>Leave empty</t>
        </is>
      </c>
      <c r="T1195" s="326" t="inlineStr">
        <is>
          <t>NUM</t>
        </is>
      </c>
      <c r="U1195" s="248" t="inlineStr">
        <is>
          <t>19 dont signe et 2 décimales</t>
        </is>
      </c>
      <c r="V1195" s="248" t="inlineStr">
        <is>
          <t>19 including sign and 2 decimals</t>
        </is>
      </c>
      <c r="W1195" s="284" t="n">
        <v>19</v>
      </c>
      <c r="X1195" s="244" t="inlineStr">
        <is>
          <t>NA</t>
        </is>
      </c>
      <c r="Y1195" s="248" t="n">
        <v>43</v>
      </c>
      <c r="Z1195" s="248" t="n">
        <v>43</v>
      </c>
      <c r="AA1195" s="249" t="inlineStr">
        <is>
          <t>NA</t>
        </is>
      </c>
      <c r="AB1195" s="244" t="inlineStr">
        <is>
          <t>NA</t>
        </is>
      </c>
      <c r="AC1195" s="244" t="inlineStr">
        <is>
          <t>NA</t>
        </is>
      </c>
      <c r="AD1195" s="284" t="inlineStr">
        <is>
          <t>N</t>
        </is>
      </c>
      <c r="AE1195" s="284" t="inlineStr">
        <is>
          <t>NA</t>
        </is>
      </c>
      <c r="AF1195" s="284" t="inlineStr">
        <is>
          <t>NA</t>
        </is>
      </c>
      <c r="AG1195" s="285" t="inlineStr">
        <is>
          <t>NA</t>
        </is>
      </c>
      <c r="AH1195" s="89" t="n"/>
      <c r="AI1195" s="330" t="n"/>
      <c r="AJ1195" s="331" t="n"/>
      <c r="AK1195" s="284" t="n"/>
      <c r="AL1195" s="285" t="n"/>
      <c r="AM1195" s="331" t="n"/>
      <c r="AN1195" s="331" t="n"/>
      <c r="AO1195" s="284" t="n"/>
      <c r="AP1195" s="285" t="n"/>
      <c r="AQ1195" s="331" t="n"/>
      <c r="AR1195" s="331" t="n"/>
      <c r="AS1195" s="284" t="n"/>
      <c r="AT1195" s="285" t="n"/>
      <c r="AU1195" s="331" t="n"/>
      <c r="AV1195" s="331" t="n"/>
      <c r="AW1195" s="284" t="n"/>
      <c r="AX1195" s="285" t="n"/>
      <c r="AY1195" s="331" t="n"/>
      <c r="AZ1195" s="331" t="n"/>
      <c r="BA1195" s="284" t="n"/>
      <c r="BB1195" s="285" t="n"/>
      <c r="BC1195" s="330" t="n"/>
      <c r="BD1195" s="331" t="n"/>
      <c r="BE1195" s="284" t="n"/>
      <c r="BF1195" s="285" t="n"/>
      <c r="BG1195" s="89" t="n"/>
      <c r="BH11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95">
        <f>_xlfn.LET(r,ROW(),oc,INDEX($A:$A,r),cv,TRIM(INDEX($Y:$Y,r)&amp;""),IF(oc&lt;&gt;"P1","",IF(cv="45","V45 - novo, nao alimentado pelo spool atual","V44 - alimentado pelo spool atual")))</f>
        <v/>
      </c>
    </row>
    <row r="1196" ht="54" customFormat="1" customHeight="1" s="55">
      <c r="A1196" s="325" t="inlineStr">
        <is>
          <t>P2</t>
        </is>
      </c>
      <c r="B1196" s="326" t="n">
        <v>299</v>
      </c>
      <c r="C1196" s="284" t="inlineStr">
        <is>
          <t xml:space="preserve">19 - Données comptables </t>
        </is>
      </c>
      <c r="D1196" s="244" t="inlineStr">
        <is>
          <t>19 - Accounting data</t>
        </is>
      </c>
      <c r="E1196" s="326" t="inlineStr">
        <is>
          <t>P2 50.18</t>
        </is>
      </c>
      <c r="F1196" s="327" t="inlineStr">
        <is>
          <t>PCCO - Impacts JV</t>
        </is>
      </c>
      <c r="G1196" s="327" t="inlineStr">
        <is>
          <t>PCCO - Impacts FV</t>
        </is>
      </c>
      <c r="H1196" s="327" t="n"/>
      <c r="I1196" s="327" t="inlineStr">
        <is>
          <t>Code du compte dans le plan de comptes consolidé prudentiel
Le compte "PCCO - Impacts JV" correspond au compte comptabilisant le montant de l'impact en juste valeur des instruments en coût amorti micro couverts</t>
        </is>
      </c>
      <c r="J1196" s="327" t="inlineStr">
        <is>
          <t>Account code in the prudential consolidated chart of accounts
The "PCCO - Impacts FV" account corresponds to the account recording the amount of the impact in fair value of micro hedged instruments at amortized cost</t>
        </is>
      </c>
      <c r="K1196" s="388" t="inlineStr">
        <is>
          <t>NA</t>
        </is>
      </c>
      <c r="L1196" s="388" t="inlineStr">
        <is>
          <t>NA</t>
        </is>
      </c>
      <c r="M1196" s="1421" t="inlineStr">
        <is>
          <t>noPCCOJV</t>
        </is>
      </c>
      <c r="N1196" s="244" t="inlineStr">
        <is>
          <t>NA</t>
        </is>
      </c>
      <c r="O1196" s="244" t="inlineStr">
        <is>
          <t>NA</t>
        </is>
      </c>
      <c r="P1196" s="284" t="inlineStr">
        <is>
          <t>LC.0111</t>
        </is>
      </c>
      <c r="Q1196" s="284" t="inlineStr">
        <is>
          <t>TA H8PCCO</t>
        </is>
      </c>
      <c r="R1196" s="247" t="inlineStr">
        <is>
          <t>Laisser à vide</t>
        </is>
      </c>
      <c r="S1196" s="247" t="inlineStr">
        <is>
          <t>Leave empty</t>
        </is>
      </c>
      <c r="T1196" s="326" t="inlineStr">
        <is>
          <t>ALPHA</t>
        </is>
      </c>
      <c r="U1196" s="248" t="inlineStr">
        <is>
          <t>NA</t>
        </is>
      </c>
      <c r="V1196" s="248" t="inlineStr">
        <is>
          <t>NA</t>
        </is>
      </c>
      <c r="W1196" s="284" t="n">
        <v>12</v>
      </c>
      <c r="X1196" s="244" t="inlineStr">
        <is>
          <t>NA</t>
        </is>
      </c>
      <c r="Y1196" s="248" t="n">
        <v>43</v>
      </c>
      <c r="Z1196" s="248" t="n">
        <v>43</v>
      </c>
      <c r="AA1196" s="249" t="inlineStr">
        <is>
          <t>NA</t>
        </is>
      </c>
      <c r="AB1196" s="244" t="inlineStr">
        <is>
          <t>NA</t>
        </is>
      </c>
      <c r="AC1196" s="244" t="inlineStr">
        <is>
          <t>NA</t>
        </is>
      </c>
      <c r="AD1196" s="284" t="inlineStr">
        <is>
          <t>N</t>
        </is>
      </c>
      <c r="AE1196" s="284" t="inlineStr">
        <is>
          <t>NA</t>
        </is>
      </c>
      <c r="AF1196" s="284" t="inlineStr">
        <is>
          <t>NA</t>
        </is>
      </c>
      <c r="AG1196" s="285" t="inlineStr">
        <is>
          <t>NA</t>
        </is>
      </c>
      <c r="AH1196" s="89" t="n"/>
      <c r="AI1196" s="330" t="n"/>
      <c r="AJ1196" s="331" t="n"/>
      <c r="AK1196" s="284" t="n"/>
      <c r="AL1196" s="285" t="n"/>
      <c r="AM1196" s="331" t="n"/>
      <c r="AN1196" s="331" t="n"/>
      <c r="AO1196" s="284" t="n"/>
      <c r="AP1196" s="285" t="n"/>
      <c r="AQ1196" s="331" t="n"/>
      <c r="AR1196" s="331" t="n"/>
      <c r="AS1196" s="284" t="n"/>
      <c r="AT1196" s="285" t="n"/>
      <c r="AU1196" s="331" t="n"/>
      <c r="AV1196" s="331" t="n"/>
      <c r="AW1196" s="284" t="n"/>
      <c r="AX1196" s="285" t="n"/>
      <c r="AY1196" s="331" t="n"/>
      <c r="AZ1196" s="331" t="n"/>
      <c r="BA1196" s="284" t="n"/>
      <c r="BB1196" s="285" t="n"/>
      <c r="BC1196" s="330" t="n"/>
      <c r="BD1196" s="331" t="n"/>
      <c r="BE1196" s="284" t="n"/>
      <c r="BF1196" s="285" t="n"/>
      <c r="BG1196" s="89" t="n"/>
      <c r="BH11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96">
        <f>_xlfn.LET(r,ROW(),oc,INDEX($A:$A,r),cv,TRIM(INDEX($Y:$Y,r)&amp;""),IF(oc&lt;&gt;"P1","",IF(cv="45","V45 - novo, nao alimentado pelo spool atual","V44 - alimentado pelo spool atual")))</f>
        <v/>
      </c>
    </row>
    <row r="1197" ht="54" customFormat="1" customHeight="1" s="55">
      <c r="A1197" s="325" t="inlineStr">
        <is>
          <t>P2</t>
        </is>
      </c>
      <c r="B1197" s="326" t="n">
        <v>300</v>
      </c>
      <c r="C1197" s="284" t="inlineStr">
        <is>
          <t>NA</t>
        </is>
      </c>
      <c r="D1197" s="244" t="inlineStr">
        <is>
          <t>NA</t>
        </is>
      </c>
      <c r="E1197" s="326" t="inlineStr">
        <is>
          <t>P2 50.19</t>
        </is>
      </c>
      <c r="F1197" s="327" t="inlineStr">
        <is>
          <t>Montant Impact JV</t>
        </is>
      </c>
      <c r="G1197" s="327" t="inlineStr">
        <is>
          <t>Amount of impacts FV</t>
        </is>
      </c>
      <c r="H1197" s="327" t="n"/>
      <c r="I1197" s="327" t="inlineStr">
        <is>
          <t>Il s'agit du solde du compte déclaré dans le champ "PCCO - Impacts JV", en devise de liasse comptable de l'entité porteuse de risques, à la date d'arrêté</t>
        </is>
      </c>
      <c r="J1197" s="327" t="inlineStr">
        <is>
          <t>This is the account balance declared in the "PCCO - Impacts FV" field, in the accounting package currency of the risk-bearing entity, on the closing date</t>
        </is>
      </c>
      <c r="K1197" s="388" t="inlineStr">
        <is>
          <t>NA</t>
        </is>
      </c>
      <c r="L1197" s="388" t="inlineStr">
        <is>
          <t>NA</t>
        </is>
      </c>
      <c r="M1197" s="1421" t="inlineStr">
        <is>
          <t>mtPCCOJV</t>
        </is>
      </c>
      <c r="N1197" s="244" t="inlineStr">
        <is>
          <t>NA</t>
        </is>
      </c>
      <c r="O1197" s="244" t="inlineStr">
        <is>
          <t>NA</t>
        </is>
      </c>
      <c r="P1197" s="284" t="inlineStr">
        <is>
          <t>NA</t>
        </is>
      </c>
      <c r="Q1197" s="284" t="inlineStr">
        <is>
          <t>NA</t>
        </is>
      </c>
      <c r="R1197" s="247" t="inlineStr">
        <is>
          <t>Laisser à vide</t>
        </is>
      </c>
      <c r="S1197" s="247" t="inlineStr">
        <is>
          <t>Leave empty</t>
        </is>
      </c>
      <c r="T1197" s="326" t="inlineStr">
        <is>
          <t>NUM</t>
        </is>
      </c>
      <c r="U1197" s="248" t="inlineStr">
        <is>
          <t>19 dont signe et 2 décimales</t>
        </is>
      </c>
      <c r="V1197" s="248" t="inlineStr">
        <is>
          <t>19 including sign and 2 decimals</t>
        </is>
      </c>
      <c r="W1197" s="284" t="n">
        <v>19</v>
      </c>
      <c r="X1197" s="244" t="inlineStr">
        <is>
          <t>NA</t>
        </is>
      </c>
      <c r="Y1197" s="248" t="n">
        <v>43</v>
      </c>
      <c r="Z1197" s="248" t="n">
        <v>43</v>
      </c>
      <c r="AA1197" s="249" t="inlineStr">
        <is>
          <t>NA</t>
        </is>
      </c>
      <c r="AB1197" s="244" t="inlineStr">
        <is>
          <t>NA</t>
        </is>
      </c>
      <c r="AC1197" s="244" t="inlineStr">
        <is>
          <t>NA</t>
        </is>
      </c>
      <c r="AD1197" s="284" t="inlineStr">
        <is>
          <t>N</t>
        </is>
      </c>
      <c r="AE1197" s="284" t="inlineStr">
        <is>
          <t>NA</t>
        </is>
      </c>
      <c r="AF1197" s="284" t="inlineStr">
        <is>
          <t>NA</t>
        </is>
      </c>
      <c r="AG1197" s="285" t="inlineStr">
        <is>
          <t>NA</t>
        </is>
      </c>
      <c r="AH1197" s="89" t="n"/>
      <c r="AI1197" s="330" t="n"/>
      <c r="AJ1197" s="331" t="n"/>
      <c r="AK1197" s="284" t="n"/>
      <c r="AL1197" s="285" t="n"/>
      <c r="AM1197" s="331" t="n"/>
      <c r="AN1197" s="331" t="n"/>
      <c r="AO1197" s="284" t="n"/>
      <c r="AP1197" s="285" t="n"/>
      <c r="AQ1197" s="331" t="n"/>
      <c r="AR1197" s="331" t="n"/>
      <c r="AS1197" s="284" t="n"/>
      <c r="AT1197" s="285" t="n"/>
      <c r="AU1197" s="331" t="n"/>
      <c r="AV1197" s="331" t="n"/>
      <c r="AW1197" s="284" t="n"/>
      <c r="AX1197" s="285" t="n"/>
      <c r="AY1197" s="331" t="n"/>
      <c r="AZ1197" s="331" t="n"/>
      <c r="BA1197" s="284" t="n"/>
      <c r="BB1197" s="285" t="n"/>
      <c r="BC1197" s="330" t="n"/>
      <c r="BD1197" s="331" t="n"/>
      <c r="BE1197" s="284" t="n"/>
      <c r="BF1197" s="285" t="n"/>
      <c r="BG1197" s="89" t="n"/>
      <c r="BH11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97">
        <f>_xlfn.LET(r,ROW(),oc,INDEX($A:$A,r),cv,TRIM(INDEX($Y:$Y,r)&amp;""),IF(oc&lt;&gt;"P1","",IF(cv="45","V45 - novo, nao alimentado pelo spool atual","V44 - alimentado pelo spool atual")))</f>
        <v/>
      </c>
    </row>
    <row r="1198" ht="54" customFormat="1" customHeight="1" s="57">
      <c r="A1198" s="325" t="inlineStr">
        <is>
          <t>P2</t>
        </is>
      </c>
      <c r="B1198" s="326" t="n">
        <v>301</v>
      </c>
      <c r="C1198" s="284" t="inlineStr">
        <is>
          <t xml:space="preserve">19 - Données comptables </t>
        </is>
      </c>
      <c r="D1198" s="284" t="inlineStr">
        <is>
          <t>19 - Accounting data</t>
        </is>
      </c>
      <c r="E1198" s="326" t="inlineStr">
        <is>
          <t>P2 15</t>
        </is>
      </c>
      <c r="F1198" s="327" t="inlineStr">
        <is>
          <t>Numéro de compte local (PCI) de l'encours</t>
        </is>
      </c>
      <c r="G1198" s="327" t="inlineStr">
        <is>
          <t>Account number in local norms (in French or Local norms)</t>
        </is>
      </c>
      <c r="H1198" s="327" t="n"/>
      <c r="I1198" s="245" t="inlineStr">
        <is>
          <t>Compte comptable local de l'encours (NF ou locale)</t>
        </is>
      </c>
      <c r="J1198" s="327" t="inlineStr">
        <is>
          <t>Account number in local norms (in French or Local norms)</t>
        </is>
      </c>
      <c r="K1198" s="284" t="inlineStr">
        <is>
          <t>NA</t>
        </is>
      </c>
      <c r="L1198" s="388" t="inlineStr">
        <is>
          <t>NA</t>
        </is>
      </c>
      <c r="M1198" s="1421" t="inlineStr">
        <is>
          <t>noPCIEnc</t>
        </is>
      </c>
      <c r="N1198" s="284" t="inlineStr">
        <is>
          <t>NA</t>
        </is>
      </c>
      <c r="O1198" s="388" t="inlineStr">
        <is>
          <t>NA</t>
        </is>
      </c>
      <c r="P1198" s="284" t="inlineStr">
        <is>
          <t>NA</t>
        </is>
      </c>
      <c r="Q1198" s="284" t="inlineStr">
        <is>
          <t>NA</t>
        </is>
      </c>
      <c r="R1198" s="245" t="inlineStr">
        <is>
          <t>Renseigner le PCI relatif au PCCO - Valeur du principal 2</t>
        </is>
      </c>
      <c r="S1198" s="245" t="inlineStr">
        <is>
          <t>Must be completed with the PCI related to the PCCO - Value of principal 2</t>
        </is>
      </c>
      <c r="T1198" s="326" t="inlineStr">
        <is>
          <t>ALPHA</t>
        </is>
      </c>
      <c r="U1198" s="248" t="inlineStr">
        <is>
          <t>NA</t>
        </is>
      </c>
      <c r="V1198" s="248" t="inlineStr">
        <is>
          <t>NA</t>
        </is>
      </c>
      <c r="W1198" s="284" t="n">
        <v>12</v>
      </c>
      <c r="X1198" s="244" t="inlineStr">
        <is>
          <t>NA</t>
        </is>
      </c>
      <c r="Y1198" s="248" t="n">
        <v>44</v>
      </c>
      <c r="Z1198" s="782" t="inlineStr">
        <is>
          <t>45</t>
        </is>
      </c>
      <c r="AA1198" s="782" t="inlineStr">
        <is>
          <t>45.00</t>
        </is>
      </c>
      <c r="AB1198" s="284" t="inlineStr">
        <is>
          <t>USAGE ZP</t>
        </is>
      </c>
      <c r="AC1198" s="244" t="inlineStr">
        <is>
          <t>NA</t>
        </is>
      </c>
      <c r="AD1198" s="284" t="inlineStr">
        <is>
          <t>N</t>
        </is>
      </c>
      <c r="AE1198" s="284" t="inlineStr">
        <is>
          <t>NA</t>
        </is>
      </c>
      <c r="AF1198" s="284" t="inlineStr">
        <is>
          <t>NA</t>
        </is>
      </c>
      <c r="AG1198" s="285" t="inlineStr">
        <is>
          <t>NA</t>
        </is>
      </c>
      <c r="AH1198" s="1362" t="n"/>
      <c r="AI1198" s="1022" t="n"/>
      <c r="AJ1198" s="1023" t="n"/>
      <c r="AK1198" s="975" t="n"/>
      <c r="AL1198" s="1024" t="n"/>
      <c r="AM1198" s="1023" t="n"/>
      <c r="AN1198" s="1023" t="n"/>
      <c r="AO1198" s="975" t="n"/>
      <c r="AP1198" s="1025" t="n"/>
      <c r="AQ1198" s="1023" t="n"/>
      <c r="AR1198" s="1023" t="n"/>
      <c r="AS1198" s="975" t="n"/>
      <c r="AT1198" s="1024" t="n"/>
      <c r="AU1198" s="1023" t="n"/>
      <c r="AV1198" s="1023" t="n"/>
      <c r="AW1198" s="975" t="n"/>
      <c r="AX1198" s="1024" t="n"/>
      <c r="AY1198" s="331" t="n"/>
      <c r="AZ1198" s="331" t="n"/>
      <c r="BA1198" s="284" t="n"/>
      <c r="BB1198" s="285" t="n"/>
      <c r="BC1198" s="330" t="n"/>
      <c r="BD1198" s="331" t="n"/>
      <c r="BE1198" s="284" t="n"/>
      <c r="BF1198" s="285" t="n"/>
      <c r="BG1198" s="89" t="n"/>
      <c r="BH11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98">
        <f>_xlfn.LET(r,ROW(),oc,INDEX($A:$A,r),cv,TRIM(INDEX($Y:$Y,r)&amp;""),IF(oc&lt;&gt;"P1","",IF(cv="45","V45 - novo, nao alimentado pelo spool atual","V44 - alimentado pelo spool atual")))</f>
        <v/>
      </c>
    </row>
    <row r="1199" ht="54" customFormat="1" customHeight="1" s="90">
      <c r="A1199" s="325" t="inlineStr">
        <is>
          <t>P2</t>
        </is>
      </c>
      <c r="B1199" s="326" t="n">
        <v>302</v>
      </c>
      <c r="C1199" s="284" t="inlineStr">
        <is>
          <t xml:space="preserve">19 - Données comptables </t>
        </is>
      </c>
      <c r="D1199" s="244" t="inlineStr">
        <is>
          <t>19 - Accounting data</t>
        </is>
      </c>
      <c r="E1199" s="326" t="inlineStr">
        <is>
          <t>P2 16</t>
        </is>
      </c>
      <c r="F1199" s="327" t="inlineStr">
        <is>
          <t>Numéro de compte PCCA de l'encours en norme IFRS</t>
        </is>
      </c>
      <c r="G1199" s="327" t="inlineStr">
        <is>
          <t>Account number PCCA of outstanding amount in IFRS norms</t>
        </is>
      </c>
      <c r="H1199" s="327" t="n"/>
      <c r="I1199" s="327" t="inlineStr">
        <is>
          <t>Numéro de compte PCCA de l'encours en norme IFRS</t>
        </is>
      </c>
      <c r="J1199" s="327" t="inlineStr">
        <is>
          <t>Account number PCCA of outstanding amount in IFRS norms</t>
        </is>
      </c>
      <c r="K1199" s="388" t="inlineStr">
        <is>
          <t>NA</t>
        </is>
      </c>
      <c r="L1199" s="388" t="inlineStr">
        <is>
          <t>NA</t>
        </is>
      </c>
      <c r="M1199" s="1421" t="inlineStr">
        <is>
          <t>noPCCAEncIAS
noPCCAEncIFRS</t>
        </is>
      </c>
      <c r="N1199" s="244" t="inlineStr">
        <is>
          <t>NA</t>
        </is>
      </c>
      <c r="O1199" s="244" t="inlineStr">
        <is>
          <t>NA</t>
        </is>
      </c>
      <c r="P1199" s="284" t="inlineStr">
        <is>
          <t>NA</t>
        </is>
      </c>
      <c r="Q1199" s="284" t="inlineStr">
        <is>
          <t>NA</t>
        </is>
      </c>
      <c r="R1199" s="245" t="inlineStr">
        <is>
          <t>NA</t>
        </is>
      </c>
      <c r="S1199" s="245" t="inlineStr">
        <is>
          <t>NA</t>
        </is>
      </c>
      <c r="T1199" s="326" t="inlineStr">
        <is>
          <t>ALPHA</t>
        </is>
      </c>
      <c r="U1199" s="248" t="inlineStr">
        <is>
          <t>NA</t>
        </is>
      </c>
      <c r="V1199" s="248" t="inlineStr">
        <is>
          <t>NA</t>
        </is>
      </c>
      <c r="W1199" s="284" t="n">
        <v>12</v>
      </c>
      <c r="X1199" s="284" t="inlineStr">
        <is>
          <t>NA</t>
        </is>
      </c>
      <c r="Y1199" s="248" t="n">
        <v>44</v>
      </c>
      <c r="Z1199" s="248" t="n">
        <v>44</v>
      </c>
      <c r="AA1199" s="249" t="inlineStr">
        <is>
          <t>NA</t>
        </is>
      </c>
      <c r="AB1199" s="284" t="inlineStr">
        <is>
          <t>USAGE ZP</t>
        </is>
      </c>
      <c r="AC1199" s="244" t="inlineStr">
        <is>
          <t>NA</t>
        </is>
      </c>
      <c r="AD1199" s="284" t="inlineStr">
        <is>
          <t>N</t>
        </is>
      </c>
      <c r="AE1199" s="284" t="inlineStr">
        <is>
          <t>NA</t>
        </is>
      </c>
      <c r="AF1199" s="284" t="inlineStr">
        <is>
          <t>NA</t>
        </is>
      </c>
      <c r="AG1199" s="285" t="inlineStr">
        <is>
          <t>NA</t>
        </is>
      </c>
      <c r="AH1199" s="1362" t="n"/>
      <c r="AI1199" s="330" t="n"/>
      <c r="AJ1199" s="331" t="n"/>
      <c r="AK1199" s="284" t="n"/>
      <c r="AL1199" s="285" t="n"/>
      <c r="AM1199" s="331" t="n"/>
      <c r="AN1199" s="331" t="n"/>
      <c r="AO1199" s="284" t="n"/>
      <c r="AP1199" s="285" t="n"/>
      <c r="AQ1199" s="331" t="n"/>
      <c r="AR1199" s="331" t="n"/>
      <c r="AS1199" s="284" t="n"/>
      <c r="AT1199" s="285" t="n"/>
      <c r="AU1199" s="331" t="n"/>
      <c r="AV1199" s="331" t="n"/>
      <c r="AW1199" s="284" t="n"/>
      <c r="AX1199" s="285" t="n"/>
      <c r="AY1199" s="331" t="n"/>
      <c r="AZ1199" s="331" t="n"/>
      <c r="BA1199" s="284" t="n"/>
      <c r="BB1199" s="285" t="n"/>
      <c r="BC1199" s="330" t="n"/>
      <c r="BD1199" s="331" t="n"/>
      <c r="BE1199" s="284" t="n"/>
      <c r="BF1199" s="285" t="n"/>
      <c r="BG1199" s="89" t="n"/>
      <c r="BH11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199">
        <f>_xlfn.LET(r,ROW(),oc,INDEX($A:$A,r),cv,TRIM(INDEX($Y:$Y,r)&amp;""),IF(oc&lt;&gt;"P1","",IF(cv="45","V45 - novo, nao alimentado pelo spool atual","V44 - alimentado pelo spool atual")))</f>
        <v/>
      </c>
    </row>
    <row r="1200" ht="54" customFormat="1" customHeight="1" s="55">
      <c r="A1200" s="325" t="inlineStr">
        <is>
          <t>P2</t>
        </is>
      </c>
      <c r="B1200" s="326" t="n">
        <v>303</v>
      </c>
      <c r="C1200" s="284" t="inlineStr">
        <is>
          <t xml:space="preserve">19 - Données comptables </t>
        </is>
      </c>
      <c r="D1200" s="244" t="inlineStr">
        <is>
          <t>19 - Accounting data</t>
        </is>
      </c>
      <c r="E1200" s="326" t="inlineStr">
        <is>
          <t>P2 14</t>
        </is>
      </c>
      <c r="F1200" s="327" t="inlineStr">
        <is>
          <t>Numéro de compte PCCA de l'encours en NF</t>
        </is>
      </c>
      <c r="G1200" s="327" t="inlineStr">
        <is>
          <t xml:space="preserve">PCCA account number of outstanding amount in French Norms </t>
        </is>
      </c>
      <c r="H1200" s="327" t="n"/>
      <c r="I1200" s="327" t="inlineStr">
        <is>
          <t>Numéro de compte PCCA de l'encours en NF</t>
        </is>
      </c>
      <c r="J1200" s="327" t="inlineStr">
        <is>
          <t xml:space="preserve">Account number PCCA of outstanding amount in French Norms </t>
        </is>
      </c>
      <c r="K1200" s="388" t="inlineStr">
        <is>
          <t>NA</t>
        </is>
      </c>
      <c r="L1200" s="388" t="inlineStr">
        <is>
          <t>NA</t>
        </is>
      </c>
      <c r="M1200" s="1421" t="inlineStr">
        <is>
          <t>noPCCAEncNF</t>
        </is>
      </c>
      <c r="N1200" s="284" t="inlineStr">
        <is>
          <t>NA</t>
        </is>
      </c>
      <c r="O1200" s="244" t="inlineStr">
        <is>
          <t>NA</t>
        </is>
      </c>
      <c r="P1200" s="284" t="inlineStr">
        <is>
          <t>NA</t>
        </is>
      </c>
      <c r="Q1200" s="284" t="inlineStr">
        <is>
          <t>NA</t>
        </is>
      </c>
      <c r="R1200" s="245" t="inlineStr">
        <is>
          <t>Le plan de comptes Crédit Agricole PCCA est utilisé exclusivement par Crédit Agricole SA entité sociale, LCL et les Caisses régionales.</t>
        </is>
      </c>
      <c r="S1200" s="245" t="inlineStr">
        <is>
          <t>The Crédit Agricole PCCA account plan is used exclusively by Crédit Agricole SA social entity, LCL and the Regional Banks.</t>
        </is>
      </c>
      <c r="T1200" s="326" t="inlineStr">
        <is>
          <t>ALPHA</t>
        </is>
      </c>
      <c r="U1200" s="248" t="inlineStr">
        <is>
          <t>NA</t>
        </is>
      </c>
      <c r="V1200" s="248" t="inlineStr">
        <is>
          <t>NA</t>
        </is>
      </c>
      <c r="W1200" s="284" t="n">
        <v>12</v>
      </c>
      <c r="X1200" s="975" t="inlineStr">
        <is>
          <t>NA</t>
        </is>
      </c>
      <c r="Y1200" s="248" t="n">
        <v>44</v>
      </c>
      <c r="Z1200" s="782" t="inlineStr">
        <is>
          <t>45</t>
        </is>
      </c>
      <c r="AA1200" s="782" t="inlineStr">
        <is>
          <t>45.00</t>
        </is>
      </c>
      <c r="AB1200" s="284" t="inlineStr">
        <is>
          <t>ACTIF PASSIF DURABLE</t>
        </is>
      </c>
      <c r="AC1200" s="244" t="inlineStr">
        <is>
          <t>NA</t>
        </is>
      </c>
      <c r="AD1200" s="284" t="inlineStr">
        <is>
          <t>N</t>
        </is>
      </c>
      <c r="AE1200" s="284" t="inlineStr">
        <is>
          <t>NA</t>
        </is>
      </c>
      <c r="AF1200" s="284" t="inlineStr">
        <is>
          <t>NA</t>
        </is>
      </c>
      <c r="AG1200" s="285" t="inlineStr">
        <is>
          <t>NA</t>
        </is>
      </c>
      <c r="AH1200" s="1362" t="n"/>
      <c r="AI1200" s="951" t="n"/>
      <c r="AJ1200" s="952" t="n"/>
      <c r="AK1200" s="953" t="n"/>
      <c r="AL1200" s="1405" t="n"/>
      <c r="AM1200" s="331" t="n"/>
      <c r="AN1200" s="331" t="n"/>
      <c r="AO1200" s="284" t="n"/>
      <c r="AP1200" s="285" t="n"/>
      <c r="AQ1200" s="331" t="n"/>
      <c r="AR1200" s="331" t="n"/>
      <c r="AS1200" s="284" t="n"/>
      <c r="AT1200" s="285" t="n"/>
      <c r="AU1200" s="331" t="n"/>
      <c r="AV1200" s="331" t="n"/>
      <c r="AW1200" s="284" t="n"/>
      <c r="AX1200" s="285" t="n"/>
      <c r="AY1200" s="331" t="n"/>
      <c r="AZ1200" s="331" t="n"/>
      <c r="BA1200" s="284" t="n"/>
      <c r="BB1200" s="285" t="n"/>
      <c r="BC1200" s="330" t="n"/>
      <c r="BD1200" s="331" t="n"/>
      <c r="BE1200" s="284" t="n"/>
      <c r="BF1200" s="285" t="n"/>
      <c r="BG1200" s="1362" t="n"/>
      <c r="BH12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00">
        <f>_xlfn.LET(r,ROW(),oc,INDEX($A:$A,r),cv,TRIM(INDEX($Y:$Y,r)&amp;""),IF(oc&lt;&gt;"P1","",IF(cv="45","V45 - novo, nao alimentado pelo spool atual","V44 - alimentado pelo spool atual")))</f>
        <v/>
      </c>
    </row>
    <row r="1201" ht="54" customFormat="1" customHeight="1" s="90">
      <c r="A1201" s="306" t="inlineStr">
        <is>
          <t>P2</t>
        </is>
      </c>
      <c r="B1201" s="307" t="n">
        <v>304</v>
      </c>
      <c r="C1201" s="269" t="inlineStr">
        <is>
          <t>18 - Caractéristiques Titrisation</t>
        </is>
      </c>
      <c r="D1201" s="236" t="inlineStr">
        <is>
          <t>18 - Securitization characteristics</t>
        </is>
      </c>
      <c r="E1201" s="307" t="inlineStr">
        <is>
          <t>P2 21.48</t>
        </is>
      </c>
      <c r="F1201" s="308" t="inlineStr">
        <is>
          <t>Méthode de titrisation pour le calcul de l'Output Floor</t>
        </is>
      </c>
      <c r="G1201" s="309" t="inlineStr">
        <is>
          <t>Securitization method for the Output Floor calculation calculation</t>
        </is>
      </c>
      <c r="H1201" s="309" t="n"/>
      <c r="I1201" s="308" t="inlineStr">
        <is>
          <t>Ce champ permet de préciser la méthode de titrisation appliquée à l'engagement titrisation pour le calcul de l'outputfloor.
L'Output Floor pour les exigences de fonds propres fondés sur le risque est introduit dans le CRR3, il fixe une limite inférieure aux exigences de fonds propres produites par les modèles internes des banques, à 72,5% des exigences de fonds propres qui s'appliqueraient sur la base des approches standard.</t>
        </is>
      </c>
      <c r="J1201" s="309" t="inlineStr">
        <is>
          <t>This field makes it possible to identify the securization method used for outputfloor calculation.
The Output Floor for risk-based capital requirements is introduced in CRR3, setting a lower limit on the capital requirements produced by banks' internal models, at 72.5% of the capital requirements that would apply based on the standard approaches.</t>
        </is>
      </c>
      <c r="K1201" s="370" t="inlineStr">
        <is>
          <t>ND</t>
        </is>
      </c>
      <c r="L1201" s="371" t="inlineStr">
        <is>
          <t>ND</t>
        </is>
      </c>
      <c r="M1201" s="1420" t="inlineStr">
        <is>
          <t>cdMethTitriOutFloor</t>
        </is>
      </c>
      <c r="N1201" s="231" t="inlineStr">
        <is>
          <t>Obligatoire sous conditions</t>
        </is>
      </c>
      <c r="O1201" s="236" t="inlineStr">
        <is>
          <t>Mandatory under conditions</t>
        </is>
      </c>
      <c r="P1201" s="269" t="inlineStr">
        <is>
          <t>LC.0368</t>
        </is>
      </c>
      <c r="Q1201" s="269" t="inlineStr">
        <is>
          <t>RB KVMTITRI</t>
        </is>
      </c>
      <c r="R1201" s="1249" t="inlineStr">
        <is>
          <t>Concerne uniquement les titrisations</t>
        </is>
      </c>
      <c r="S1201" s="233" t="inlineStr">
        <is>
          <t>Covers only securizations</t>
        </is>
      </c>
      <c r="T1201" s="313" t="inlineStr">
        <is>
          <t>ALPHA</t>
        </is>
      </c>
      <c r="U1201" s="237" t="inlineStr">
        <is>
          <t>NA</t>
        </is>
      </c>
      <c r="V1201" s="238" t="inlineStr">
        <is>
          <t>NA</t>
        </is>
      </c>
      <c r="W1201" s="257" t="n">
        <v>7</v>
      </c>
      <c r="X1201" s="994" t="inlineStr">
        <is>
          <t>NA</t>
        </is>
      </c>
      <c r="Y1201" s="237" t="n">
        <v>44</v>
      </c>
      <c r="Z1201" s="237" t="inlineStr">
        <is>
          <t>NA</t>
        </is>
      </c>
      <c r="AA1201" s="270" t="inlineStr">
        <is>
          <t>NA</t>
        </is>
      </c>
      <c r="AB1201" s="1286" t="inlineStr">
        <is>
          <t>CALCULS PRUDENTIELS</t>
        </is>
      </c>
      <c r="AC1201" s="231" t="inlineStr">
        <is>
          <t>ND</t>
        </is>
      </c>
      <c r="AD1201" s="257" t="inlineStr">
        <is>
          <t>N</t>
        </is>
      </c>
      <c r="AE1201" s="257" t="inlineStr">
        <is>
          <t>NA</t>
        </is>
      </c>
      <c r="AF1201" s="257" t="inlineStr">
        <is>
          <t>NA</t>
        </is>
      </c>
      <c r="AG1201" s="258" t="inlineStr">
        <is>
          <t>NA</t>
        </is>
      </c>
      <c r="AH1201" s="89" t="n"/>
      <c r="AI1201" s="830" t="inlineStr">
        <is>
          <t xml:space="preserve">La donnée est obligatoire si le Portefeuille Bâle Opération [P2 2.18] = ‘070' </t>
        </is>
      </c>
      <c r="AJ1201" s="434" t="inlineStr">
        <is>
          <t xml:space="preserve">The data is mandatory if Basel Transaction Portfolio [P2 2.18] = ‘070' </t>
        </is>
      </c>
      <c r="AK1201" s="257" t="n">
        <v>6</v>
      </c>
      <c r="AL1201" s="473" t="inlineStr">
        <is>
          <t>TPS1701</t>
        </is>
      </c>
      <c r="AM1201" s="318" t="inlineStr">
        <is>
          <t>Si elle est renseignée, la valeur doit être connue du Langage Commun associé</t>
        </is>
      </c>
      <c r="AN1201" s="317" t="inlineStr">
        <is>
          <t>If specified, the value must be known to the associated Common Language</t>
        </is>
      </c>
      <c r="AO1201" s="257" t="n">
        <v>7</v>
      </c>
      <c r="AP1201" s="212" t="inlineStr">
        <is>
          <t>TIG0001</t>
        </is>
      </c>
      <c r="AQ1201" s="318" t="n"/>
      <c r="AR1201" s="317" t="n"/>
      <c r="AS1201" s="257" t="n"/>
      <c r="AT1201" s="258" t="n"/>
      <c r="AU1201" s="318" t="n"/>
      <c r="AV1201" s="317" t="n"/>
      <c r="AW1201" s="257" t="n"/>
      <c r="AX1201" s="258" t="n"/>
      <c r="AY1201" s="318" t="n"/>
      <c r="AZ1201" s="317" t="n"/>
      <c r="BA1201" s="257" t="n"/>
      <c r="BB1201" s="258" t="n"/>
      <c r="BC1201" s="316" t="n"/>
      <c r="BD1201" s="317" t="n"/>
      <c r="BE1201" s="257" t="n"/>
      <c r="BF1201" s="258" t="n"/>
      <c r="BG1201" s="89" t="n"/>
      <c r="BH12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01">
        <f>_xlfn.LET(r,ROW(),oc,INDEX($A:$A,r),cv,TRIM(INDEX($Y:$Y,r)&amp;""),IF(oc&lt;&gt;"P1","",IF(cv="45","V45 - novo, nao alimentado pelo spool atual","V44 - alimentado pelo spool atual")))</f>
        <v/>
      </c>
    </row>
    <row r="1202" ht="54" customFormat="1" customHeight="1" s="90">
      <c r="A1202" s="306" t="inlineStr">
        <is>
          <t>P2</t>
        </is>
      </c>
      <c r="B1202" s="307" t="n">
        <v>305</v>
      </c>
      <c r="C1202" s="269" t="inlineStr">
        <is>
          <t>31 - Paramètres bâlois</t>
        </is>
      </c>
      <c r="D1202" s="236" t="inlineStr">
        <is>
          <t>31 - Basel settings</t>
        </is>
      </c>
      <c r="E1202" s="307" t="inlineStr">
        <is>
          <t>P2 21.49</t>
        </is>
      </c>
      <c r="F1202" s="618" t="inlineStr">
        <is>
          <t>Montant des ajustements de risques pondérés lié à décote d'asymétrie d'échéance pour le calcul de l'Output Floor</t>
        </is>
      </c>
      <c r="G1202" s="309" t="inlineStr">
        <is>
          <t>Amount of adjustment of risk-weighted assets linked to discount for maturity mismatch for the Output Floor calculation</t>
        </is>
      </c>
      <c r="H1202" s="309" t="n"/>
      <c r="I1202" s="308" t="inlineStr">
        <is>
          <t>Montant des ajustements des risques pondérés liés aux décalages d'échéances recalculé en SA ou ERBA pour le calcul de l'outputfloor.
Il s'agit du montant de RWA lié à une décote d'asymétrie d'échéance. 
Concerne uniquement les titrisations synthétiques.</t>
        </is>
      </c>
      <c r="J1202" s="309" t="inlineStr">
        <is>
          <t>Amount of risk-weighted adjustments related to maturity mismatches recalculated in SA or ERBA method for outputfloor calculation.
This is the amount of RWA linked to a discount for maturity mismatch. 
Covers only synthetic securitizations.</t>
        </is>
      </c>
      <c r="K1202" s="370" t="inlineStr">
        <is>
          <t>ND</t>
        </is>
      </c>
      <c r="L1202" s="371" t="inlineStr">
        <is>
          <t>ND</t>
        </is>
      </c>
      <c r="M1202" s="1420" t="inlineStr">
        <is>
          <t>mtAjustDecOutFloor</t>
        </is>
      </c>
      <c r="N1202" s="231" t="inlineStr">
        <is>
          <t>Obligatoire sous conditions</t>
        </is>
      </c>
      <c r="O1202" s="236" t="inlineStr">
        <is>
          <t>Mandatory under conditions</t>
        </is>
      </c>
      <c r="P1202" s="269" t="inlineStr">
        <is>
          <t>NA</t>
        </is>
      </c>
      <c r="Q1202" s="269" t="inlineStr">
        <is>
          <t>NA</t>
        </is>
      </c>
      <c r="R1202" s="1249" t="inlineStr">
        <is>
          <t>Concerne uniquement les titrisations</t>
        </is>
      </c>
      <c r="S1202" s="233" t="inlineStr">
        <is>
          <t>Covers only securizations</t>
        </is>
      </c>
      <c r="T1202" s="313" t="inlineStr">
        <is>
          <t>NUM</t>
        </is>
      </c>
      <c r="U1202" s="237" t="inlineStr">
        <is>
          <t>19 dont signe et 2 décimales</t>
        </is>
      </c>
      <c r="V1202" s="238" t="inlineStr">
        <is>
          <t>19 including sign and 2 decimals</t>
        </is>
      </c>
      <c r="W1202" s="257" t="n">
        <v>19</v>
      </c>
      <c r="X1202" s="994" t="inlineStr">
        <is>
          <t>NA</t>
        </is>
      </c>
      <c r="Y1202" s="237" t="n">
        <v>44</v>
      </c>
      <c r="Z1202" s="237" t="inlineStr">
        <is>
          <t>NA</t>
        </is>
      </c>
      <c r="AA1202" s="270" t="inlineStr">
        <is>
          <t>NA</t>
        </is>
      </c>
      <c r="AB1202" s="1286" t="inlineStr">
        <is>
          <t>CALCULS PRUDENTIELS</t>
        </is>
      </c>
      <c r="AC1202" s="231" t="inlineStr">
        <is>
          <t>ND</t>
        </is>
      </c>
      <c r="AD1202" s="257" t="inlineStr">
        <is>
          <t>N</t>
        </is>
      </c>
      <c r="AE1202" s="257" t="inlineStr">
        <is>
          <t>NA</t>
        </is>
      </c>
      <c r="AF1202" s="257" t="inlineStr">
        <is>
          <t>NA</t>
        </is>
      </c>
      <c r="AG1202" s="258" t="inlineStr">
        <is>
          <t>NA</t>
        </is>
      </c>
      <c r="AH1202" s="89" t="n"/>
      <c r="AI1202" s="830" t="inlineStr">
        <is>
          <t xml:space="preserve">La donnée est obligatoire si le Portefeuille Bâle Opération [P2 2.18] = ‘070' </t>
        </is>
      </c>
      <c r="AJ1202" s="434" t="inlineStr">
        <is>
          <t xml:space="preserve">The data is mandatory if Basel Transaction Portfolio [P2 2.18] = ‘070' </t>
        </is>
      </c>
      <c r="AK1202" s="257" t="n">
        <v>6</v>
      </c>
      <c r="AL1202" s="473" t="inlineStr">
        <is>
          <t>TPS1701</t>
        </is>
      </c>
      <c r="AM1202" s="318" t="n"/>
      <c r="AN1202" s="317" t="n"/>
      <c r="AO1202" s="257" t="n"/>
      <c r="AP1202" s="258" t="n"/>
      <c r="AQ1202" s="318" t="n"/>
      <c r="AR1202" s="317" t="n"/>
      <c r="AS1202" s="257" t="n"/>
      <c r="AT1202" s="258" t="n"/>
      <c r="AU1202" s="318" t="n"/>
      <c r="AV1202" s="317" t="n"/>
      <c r="AW1202" s="257" t="n"/>
      <c r="AX1202" s="258" t="n"/>
      <c r="AY1202" s="318" t="n"/>
      <c r="AZ1202" s="317" t="n"/>
      <c r="BA1202" s="257" t="n"/>
      <c r="BB1202" s="258" t="n"/>
      <c r="BC1202" s="316" t="n"/>
      <c r="BD1202" s="317" t="n"/>
      <c r="BE1202" s="257" t="n"/>
      <c r="BF1202" s="258" t="n"/>
      <c r="BG1202" s="89" t="n"/>
      <c r="BH12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02">
        <f>_xlfn.LET(r,ROW(),oc,INDEX($A:$A,r),cv,TRIM(INDEX($Y:$Y,r)&amp;""),IF(oc&lt;&gt;"P1","",IF(cv="45","V45 - novo, nao alimentado pelo spool atual","V44 - alimentado pelo spool atual")))</f>
        <v/>
      </c>
    </row>
    <row r="1203" ht="54" customFormat="1" customHeight="1" s="90">
      <c r="A1203" s="306" t="inlineStr">
        <is>
          <t>P2</t>
        </is>
      </c>
      <c r="B1203" s="307" t="n">
        <v>306</v>
      </c>
      <c r="C1203" s="269" t="inlineStr">
        <is>
          <t>31 - Paramètres bâlois</t>
        </is>
      </c>
      <c r="D1203" s="236" t="inlineStr">
        <is>
          <t>31 - Basel settings</t>
        </is>
      </c>
      <c r="E1203" s="307" t="inlineStr">
        <is>
          <t>P2 21.50</t>
        </is>
      </c>
      <c r="F1203" s="308" t="inlineStr">
        <is>
          <t>Devise du montant des ajustements de risques pondérés lié à décote d'asymétrie d'échéance pour le calcul de l'Output Floor</t>
        </is>
      </c>
      <c r="G1203" s="309" t="inlineStr">
        <is>
          <t>Currency of the amount of adjustment of risk-weighted assets linked to discount for maturity mismatch for the Output Floor calculation</t>
        </is>
      </c>
      <c r="H1203" s="309" t="n"/>
      <c r="I1203" s="308" t="inlineStr">
        <is>
          <t>Devise du montant des ajustements des risques pondérés liés aux décalages d'échéances recalculé en SA ou ERBA pour le calcul de l'outputfloor (colonne 870 l'état COREP Titrisation 13.1 « CR-SEC »). Il s'agit du montant de RWA lié à une décote d'asymétrie d'échéance. 
Concerne uniquement les titrisations synthétiques.</t>
        </is>
      </c>
      <c r="J1203" s="309" t="inlineStr">
        <is>
          <t>Currency of themount of risk-weighted adjustments related to maturity mismatches for outputfloor calculation (column 870 of the COREP securitization statement 13.1 "CR-SEC"). This is the amount of RWA linked to a discount for maturity mismatch. 
Covers only synthetic securitizations.</t>
        </is>
      </c>
      <c r="K1203" s="370" t="inlineStr">
        <is>
          <t>ND</t>
        </is>
      </c>
      <c r="L1203" s="371" t="inlineStr">
        <is>
          <t>ND</t>
        </is>
      </c>
      <c r="M1203" s="1420" t="inlineStr">
        <is>
          <t>cdDevMtAjustDecOutFloor</t>
        </is>
      </c>
      <c r="N1203" s="231" t="inlineStr">
        <is>
          <t>Obligatoire sous conditions</t>
        </is>
      </c>
      <c r="O1203" s="236" t="inlineStr">
        <is>
          <t>Mandatory under conditions</t>
        </is>
      </c>
      <c r="P1203" s="269" t="inlineStr">
        <is>
          <t>LC.0005</t>
        </is>
      </c>
      <c r="Q1203" s="269" t="inlineStr">
        <is>
          <t>TA NM253</t>
        </is>
      </c>
      <c r="R1203" s="1249" t="inlineStr">
        <is>
          <t>Concerne uniquement les titrisations</t>
        </is>
      </c>
      <c r="S1203" s="233" t="inlineStr">
        <is>
          <t>Covers only securizations</t>
        </is>
      </c>
      <c r="T1203" s="313" t="inlineStr">
        <is>
          <t>ALPHA</t>
        </is>
      </c>
      <c r="U1203" s="237" t="inlineStr">
        <is>
          <t>NA</t>
        </is>
      </c>
      <c r="V1203" s="238" t="inlineStr">
        <is>
          <t>NA</t>
        </is>
      </c>
      <c r="W1203" s="257" t="n">
        <v>3</v>
      </c>
      <c r="X1203" s="994" t="inlineStr">
        <is>
          <t>NA</t>
        </is>
      </c>
      <c r="Y1203" s="237" t="n">
        <v>44</v>
      </c>
      <c r="Z1203" s="237" t="inlineStr">
        <is>
          <t>NA</t>
        </is>
      </c>
      <c r="AA1203" s="270" t="inlineStr">
        <is>
          <t>NA</t>
        </is>
      </c>
      <c r="AB1203" s="1286" t="inlineStr">
        <is>
          <t>CALCULS PRUDENTIELS</t>
        </is>
      </c>
      <c r="AC1203" s="231" t="inlineStr">
        <is>
          <t>ND</t>
        </is>
      </c>
      <c r="AD1203" s="257" t="inlineStr">
        <is>
          <t>N</t>
        </is>
      </c>
      <c r="AE1203" s="257" t="inlineStr">
        <is>
          <t>NA</t>
        </is>
      </c>
      <c r="AF1203" s="257" t="inlineStr">
        <is>
          <t>NA</t>
        </is>
      </c>
      <c r="AG1203" s="258" t="inlineStr">
        <is>
          <t>NA</t>
        </is>
      </c>
      <c r="AH1203" s="89" t="n"/>
      <c r="AI1203" s="711" t="inlineStr">
        <is>
          <t>La donnée est obligatoire si le Montant des ajustements de risques pondérés lié à décote d'asymétrie d'échéance pour le calcul de l'Output Floor [P2 21.49] est renseigné</t>
        </is>
      </c>
      <c r="AJ1203" s="434" t="inlineStr">
        <is>
          <t>The data is mandatory if the Amount of adjustment of risk-weighted assets linked to discount for maturity mismatch for the Output Floor calculation [P2 21.49] is filled</t>
        </is>
      </c>
      <c r="AK1203" s="588" t="n">
        <v>7</v>
      </c>
      <c r="AL1203" s="831" t="inlineStr">
        <is>
          <t>TPG0002</t>
        </is>
      </c>
      <c r="AM1203" s="318" t="inlineStr">
        <is>
          <t>Si elle est renseignée, la valeur doit être connue du Langage Commun associé</t>
        </is>
      </c>
      <c r="AN1203" s="317" t="inlineStr">
        <is>
          <t>If specified, the value must be known to the associated Common Language</t>
        </is>
      </c>
      <c r="AO1203" s="257" t="n">
        <v>7</v>
      </c>
      <c r="AP1203" s="212" t="inlineStr">
        <is>
          <t>TIG0001</t>
        </is>
      </c>
      <c r="AQ1203" s="318" t="n"/>
      <c r="AR1203" s="317" t="n"/>
      <c r="AS1203" s="257" t="n"/>
      <c r="AT1203" s="258" t="n"/>
      <c r="AU1203" s="318" t="n"/>
      <c r="AV1203" s="317" t="n"/>
      <c r="AW1203" s="257" t="n"/>
      <c r="AX1203" s="258" t="n"/>
      <c r="AY1203" s="318" t="n"/>
      <c r="AZ1203" s="317" t="n"/>
      <c r="BA1203" s="257" t="n"/>
      <c r="BB1203" s="258" t="n"/>
      <c r="BC1203" s="316" t="n"/>
      <c r="BD1203" s="317" t="n"/>
      <c r="BE1203" s="257" t="n"/>
      <c r="BF1203" s="258" t="n"/>
      <c r="BG1203" s="89" t="n"/>
      <c r="BH12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03">
        <f>_xlfn.LET(r,ROW(),oc,INDEX($A:$A,r),cv,TRIM(INDEX($Y:$Y,r)&amp;""),IF(oc&lt;&gt;"P1","",IF(cv="45","V45 - novo, nao alimentado pelo spool atual","V44 - alimentado pelo spool atual")))</f>
        <v/>
      </c>
    </row>
    <row r="1204" ht="54" customFormat="1" customHeight="1" s="90">
      <c r="A1204" s="306" t="inlineStr">
        <is>
          <t>P2</t>
        </is>
      </c>
      <c r="B1204" s="307" t="n">
        <v>307</v>
      </c>
      <c r="C1204" s="269" t="inlineStr">
        <is>
          <t>31 - Paramètres bâlois</t>
        </is>
      </c>
      <c r="D1204" s="236" t="inlineStr">
        <is>
          <t>31 - Basel settings</t>
        </is>
      </c>
      <c r="E1204" s="307" t="inlineStr">
        <is>
          <t>P2 21.51</t>
        </is>
      </c>
      <c r="F1204" s="618" t="inlineStr">
        <is>
          <t>Montant de RWA supplémentaire pour non-conformité aux exigences prévues pour le calcul de l'Output Floor</t>
        </is>
      </c>
      <c r="G1204" s="309" t="inlineStr">
        <is>
          <t>Additional RWA amount for non-compliance with planned requirements for the Output Floor calculation</t>
        </is>
      </c>
      <c r="H1204" s="309" t="n"/>
      <c r="I1204" s="1248" t="inlineStr">
        <is>
          <t>Effet global (ajustement) lié aux manquements aux dispositions de l'article 270bis de PACT calculé pour l'outputfloor (calcul en méthode SA ou ERBA)
Montant de RWA supplémentaire à déclarer.</t>
        </is>
      </c>
      <c r="J1204" s="309" t="inlineStr">
        <is>
          <t>Overall effect (adjustment) related to the non-compliance with the provisions of Chapter 2 of Regulation (EU) 2017 calculated for the outputfloor
2402 -&gt; additional RWA to be reported (Article 270.a).</t>
        </is>
      </c>
      <c r="K1204" s="370" t="inlineStr">
        <is>
          <t>ND</t>
        </is>
      </c>
      <c r="L1204" s="371" t="inlineStr">
        <is>
          <t>ND</t>
        </is>
      </c>
      <c r="M1204" s="1420" t="inlineStr">
        <is>
          <t>mtRWASupOutFloor</t>
        </is>
      </c>
      <c r="N1204" s="231" t="inlineStr">
        <is>
          <t>Obligatoire sous conditions</t>
        </is>
      </c>
      <c r="O1204" s="236" t="inlineStr">
        <is>
          <t>Mandatory under conditions</t>
        </is>
      </c>
      <c r="P1204" s="269" t="inlineStr">
        <is>
          <t>NA</t>
        </is>
      </c>
      <c r="Q1204" s="269" t="inlineStr">
        <is>
          <t>NA</t>
        </is>
      </c>
      <c r="R1204" s="1249" t="inlineStr">
        <is>
          <t>Concerne uniquement les titrisations</t>
        </is>
      </c>
      <c r="S1204" s="233" t="inlineStr">
        <is>
          <t>Covers only securizations</t>
        </is>
      </c>
      <c r="T1204" s="313" t="inlineStr">
        <is>
          <t>NUM</t>
        </is>
      </c>
      <c r="U1204" s="237" t="inlineStr">
        <is>
          <t>19 dont signe et 2 décimales</t>
        </is>
      </c>
      <c r="V1204" s="238" t="inlineStr">
        <is>
          <t>19 including sign and 2 decimals</t>
        </is>
      </c>
      <c r="W1204" s="257" t="n">
        <v>19</v>
      </c>
      <c r="X1204" s="994" t="inlineStr">
        <is>
          <t>NA</t>
        </is>
      </c>
      <c r="Y1204" s="237" t="n">
        <v>44</v>
      </c>
      <c r="Z1204" s="237" t="inlineStr">
        <is>
          <t>NA</t>
        </is>
      </c>
      <c r="AA1204" s="270" t="inlineStr">
        <is>
          <t>NA</t>
        </is>
      </c>
      <c r="AB1204" s="1286" t="inlineStr">
        <is>
          <t>CALCULS PRUDENTIELS</t>
        </is>
      </c>
      <c r="AC1204" s="231" t="inlineStr">
        <is>
          <t>ND</t>
        </is>
      </c>
      <c r="AD1204" s="257" t="inlineStr">
        <is>
          <t>N</t>
        </is>
      </c>
      <c r="AE1204" s="257" t="inlineStr">
        <is>
          <t>NA</t>
        </is>
      </c>
      <c r="AF1204" s="257" t="inlineStr">
        <is>
          <t>NA</t>
        </is>
      </c>
      <c r="AG1204" s="258" t="inlineStr">
        <is>
          <t>NA</t>
        </is>
      </c>
      <c r="AH1204" s="89" t="n"/>
      <c r="AI1204" s="830" t="inlineStr">
        <is>
          <t xml:space="preserve">La donnée est obligatoire si le Portefeuille Bâle Opération [P2 2.18] = ‘070' </t>
        </is>
      </c>
      <c r="AJ1204" s="434" t="inlineStr">
        <is>
          <t xml:space="preserve">The data is mandatory if Basel Transaction Portfolio [P2 2.18] = ‘070' </t>
        </is>
      </c>
      <c r="AK1204" s="257" t="n">
        <v>6</v>
      </c>
      <c r="AL1204" s="473" t="inlineStr">
        <is>
          <t>TPS1701</t>
        </is>
      </c>
      <c r="AM1204" s="318" t="n"/>
      <c r="AN1204" s="317" t="n"/>
      <c r="AO1204" s="257" t="n"/>
      <c r="AP1204" s="258" t="n"/>
      <c r="AQ1204" s="318" t="n"/>
      <c r="AR1204" s="317" t="n"/>
      <c r="AS1204" s="257" t="n"/>
      <c r="AT1204" s="258" t="n"/>
      <c r="AU1204" s="318" t="n"/>
      <c r="AV1204" s="317" t="n"/>
      <c r="AW1204" s="257" t="n"/>
      <c r="AX1204" s="258" t="n"/>
      <c r="AY1204" s="318" t="n"/>
      <c r="AZ1204" s="317" t="n"/>
      <c r="BA1204" s="257" t="n"/>
      <c r="BB1204" s="258" t="n"/>
      <c r="BC1204" s="316" t="n"/>
      <c r="BD1204" s="317" t="n"/>
      <c r="BE1204" s="257" t="n"/>
      <c r="BF1204" s="258" t="n"/>
      <c r="BG1204" s="89" t="n"/>
      <c r="BH12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04">
        <f>_xlfn.LET(r,ROW(),oc,INDEX($A:$A,r),cv,TRIM(INDEX($Y:$Y,r)&amp;""),IF(oc&lt;&gt;"P1","",IF(cv="45","V45 - novo, nao alimentado pelo spool atual","V44 - alimentado pelo spool atual")))</f>
        <v/>
      </c>
    </row>
    <row r="1205" ht="54" customFormat="1" customHeight="1" s="90">
      <c r="A1205" s="306" t="inlineStr">
        <is>
          <t>P2</t>
        </is>
      </c>
      <c r="B1205" s="307" t="n">
        <v>308</v>
      </c>
      <c r="C1205" s="269" t="inlineStr">
        <is>
          <t>31 - Paramètres bâlois</t>
        </is>
      </c>
      <c r="D1205" s="236" t="inlineStr">
        <is>
          <t>31 - Basel settings</t>
        </is>
      </c>
      <c r="E1205" s="307" t="inlineStr">
        <is>
          <t>P2 21.52</t>
        </is>
      </c>
      <c r="F1205" s="308" t="inlineStr">
        <is>
          <t>Devise du montant de RWA supplémentaire pour non-conformité aux exigences prévues pour le calcul de l'Output Floor</t>
        </is>
      </c>
      <c r="G1205" s="309" t="inlineStr">
        <is>
          <t>Currency of the additional RWA amount for non-compliance with planned requirements for the Output Floor calculation</t>
        </is>
      </c>
      <c r="H1205" s="309" t="n"/>
      <c r="I1205" s="308" t="inlineStr">
        <is>
          <t>Devise de l'effet global (ajustement) lié au manquements aux dispositions du chapitre 2 du règlement (UE) 2017 calculé pour l'outputfloor
2402 -&gt; montant de RWA supplémentaire à déclarer (article 270.bis).</t>
        </is>
      </c>
      <c r="J1205" s="309" t="inlineStr">
        <is>
          <t>Currency of the overall effect (adjustment) related to the non-compliance with the provisions of Chapter 2 of Regulation (EU) 2017 calculated for the outputfloor
2402 -&gt; additional RWA to be reported (Article 270.a).</t>
        </is>
      </c>
      <c r="K1205" s="370" t="inlineStr">
        <is>
          <t>ND</t>
        </is>
      </c>
      <c r="L1205" s="371" t="inlineStr">
        <is>
          <t>ND</t>
        </is>
      </c>
      <c r="M1205" s="1420" t="inlineStr">
        <is>
          <t>cdDevMtRWASupOutFloor</t>
        </is>
      </c>
      <c r="N1205" s="231" t="inlineStr">
        <is>
          <t>Obligatoire sous conditions</t>
        </is>
      </c>
      <c r="O1205" s="236" t="inlineStr">
        <is>
          <t>Mandatory under conditions</t>
        </is>
      </c>
      <c r="P1205" s="269" t="inlineStr">
        <is>
          <t>LC.0005</t>
        </is>
      </c>
      <c r="Q1205" s="269" t="inlineStr">
        <is>
          <t>TA NM253</t>
        </is>
      </c>
      <c r="R1205" s="1249" t="inlineStr">
        <is>
          <t>Concerne uniquement les titrisations</t>
        </is>
      </c>
      <c r="S1205" s="233" t="inlineStr">
        <is>
          <t>Covers only securizations</t>
        </is>
      </c>
      <c r="T1205" s="313" t="inlineStr">
        <is>
          <t>ALPHA</t>
        </is>
      </c>
      <c r="U1205" s="237" t="inlineStr">
        <is>
          <t>NA</t>
        </is>
      </c>
      <c r="V1205" s="238" t="inlineStr">
        <is>
          <t>NA</t>
        </is>
      </c>
      <c r="W1205" s="257" t="n">
        <v>3</v>
      </c>
      <c r="X1205" s="994" t="inlineStr">
        <is>
          <t>NA</t>
        </is>
      </c>
      <c r="Y1205" s="237" t="n">
        <v>44</v>
      </c>
      <c r="Z1205" s="237" t="inlineStr">
        <is>
          <t>NA</t>
        </is>
      </c>
      <c r="AA1205" s="270" t="inlineStr">
        <is>
          <t>NA</t>
        </is>
      </c>
      <c r="AB1205" s="1286" t="inlineStr">
        <is>
          <t>CALCULS PRUDENTIELS</t>
        </is>
      </c>
      <c r="AC1205" s="231" t="inlineStr">
        <is>
          <t>ND</t>
        </is>
      </c>
      <c r="AD1205" s="257" t="inlineStr">
        <is>
          <t>N</t>
        </is>
      </c>
      <c r="AE1205" s="257" t="inlineStr">
        <is>
          <t>NA</t>
        </is>
      </c>
      <c r="AF1205" s="257" t="inlineStr">
        <is>
          <t>NA</t>
        </is>
      </c>
      <c r="AG1205" s="258" t="inlineStr">
        <is>
          <t>NA</t>
        </is>
      </c>
      <c r="AH1205" s="89" t="n"/>
      <c r="AI1205" s="711" t="inlineStr">
        <is>
          <t>La donnée est obligatoire si le Montant de RWA supplémentaire pour non-conformité aux exigences prévues pour le calcul de l'Output Floor [P2 21.51] est renseigné</t>
        </is>
      </c>
      <c r="AJ1205" s="434" t="inlineStr">
        <is>
          <t>The data is mandatory if the Additional RWA amount for non-compliance with planned requirements for the Output Floor calculation [P2 21.51] is filled</t>
        </is>
      </c>
      <c r="AK1205" s="588" t="n">
        <v>7</v>
      </c>
      <c r="AL1205" s="831" t="inlineStr">
        <is>
          <t>TPG0002</t>
        </is>
      </c>
      <c r="AM1205" s="318" t="inlineStr">
        <is>
          <t>Si elle est renseignée, la valeur doit être connue du Langage Commun associé</t>
        </is>
      </c>
      <c r="AN1205" s="317" t="inlineStr">
        <is>
          <t>If specified, the value must be known to the associated Common Language</t>
        </is>
      </c>
      <c r="AO1205" s="257" t="n">
        <v>7</v>
      </c>
      <c r="AP1205" s="212" t="inlineStr">
        <is>
          <t>TIG0001</t>
        </is>
      </c>
      <c r="AQ1205" s="318" t="n"/>
      <c r="AR1205" s="317" t="n"/>
      <c r="AS1205" s="257" t="n"/>
      <c r="AT1205" s="258" t="n"/>
      <c r="AU1205" s="318" t="n"/>
      <c r="AV1205" s="317" t="n"/>
      <c r="AW1205" s="257" t="n"/>
      <c r="AX1205" s="258" t="n"/>
      <c r="AY1205" s="318" t="n"/>
      <c r="AZ1205" s="317" t="n"/>
      <c r="BA1205" s="257" t="n"/>
      <c r="BB1205" s="258" t="n"/>
      <c r="BC1205" s="316" t="n"/>
      <c r="BD1205" s="317" t="n"/>
      <c r="BE1205" s="257" t="n"/>
      <c r="BF1205" s="258" t="n"/>
      <c r="BG1205" s="89" t="n"/>
      <c r="BH12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05">
        <f>_xlfn.LET(r,ROW(),oc,INDEX($A:$A,r),cv,TRIM(INDEX($Y:$Y,r)&amp;""),IF(oc&lt;&gt;"P1","",IF(cv="45","V45 - novo, nao alimentado pelo spool atual","V44 - alimentado pelo spool atual")))</f>
        <v/>
      </c>
    </row>
    <row r="1206" ht="54" customFormat="1" customHeight="1" s="90">
      <c r="A1206" s="306" t="inlineStr">
        <is>
          <t>P2</t>
        </is>
      </c>
      <c r="B1206" s="307" t="n">
        <v>309</v>
      </c>
      <c r="C1206" s="269" t="inlineStr">
        <is>
          <t>31 - Paramètres bâlois</t>
        </is>
      </c>
      <c r="D1206" s="236" t="inlineStr">
        <is>
          <t>31 - Basel settings</t>
        </is>
      </c>
      <c r="E1206" s="307" t="inlineStr">
        <is>
          <t>P2 21.53</t>
        </is>
      </c>
      <c r="F1206" s="618" t="inlineStr">
        <is>
          <t>Montant du gain RWA obtenu par le CAP sur la pondération pour le calcul de l'Output Floor</t>
        </is>
      </c>
      <c r="G1206" s="309" t="inlineStr">
        <is>
          <t>Amount of RWA gain obtained by CAP on risk weight for the Output Floor calculation</t>
        </is>
      </c>
      <c r="H1206" s="309" t="n"/>
      <c r="I1206" s="1248" t="inlineStr">
        <is>
          <t>Réduction due à l'application d'un plafond des exposition pondérées calculé pour l'outputfloor (calcul en méthode SA ou ERBA).
Il s'agit du montant de RWA à déduire dans le cadre d'un « CAP » qui répond à l'article 267 du règlement PACT</t>
        </is>
      </c>
      <c r="J1206" s="309" t="inlineStr">
        <is>
          <t>Reduction due to the application of a risk-weighted exposure ceiling for outputfloor calculation (calculated with "SA" or "ERBA" method). 
This is the amount of RWA to be deducted in the context of a "CAP" which complies with Article 267 of PACT Regulation</t>
        </is>
      </c>
      <c r="K1206" s="370" t="inlineStr">
        <is>
          <t>ND</t>
        </is>
      </c>
      <c r="L1206" s="371" t="inlineStr">
        <is>
          <t>ND</t>
        </is>
      </c>
      <c r="M1206" s="1420" t="inlineStr">
        <is>
          <t>mtRWACAPPondOutFloor</t>
        </is>
      </c>
      <c r="N1206" s="231" t="inlineStr">
        <is>
          <t>Obligatoire sous conditions</t>
        </is>
      </c>
      <c r="O1206" s="236" t="inlineStr">
        <is>
          <t>Mandatory under conditions</t>
        </is>
      </c>
      <c r="P1206" s="269" t="inlineStr">
        <is>
          <t>NA</t>
        </is>
      </c>
      <c r="Q1206" s="269" t="inlineStr">
        <is>
          <t>NA</t>
        </is>
      </c>
      <c r="R1206" s="1249" t="inlineStr">
        <is>
          <t>Concerne uniquement les titrisations</t>
        </is>
      </c>
      <c r="S1206" s="233" t="inlineStr">
        <is>
          <t>Covers only securizations</t>
        </is>
      </c>
      <c r="T1206" s="313" t="inlineStr">
        <is>
          <t>NUM</t>
        </is>
      </c>
      <c r="U1206" s="237" t="inlineStr">
        <is>
          <t>19 dont signe et 2 décimales</t>
        </is>
      </c>
      <c r="V1206" s="238" t="inlineStr">
        <is>
          <t>19 including sign and 2 decimals</t>
        </is>
      </c>
      <c r="W1206" s="257" t="n">
        <v>19</v>
      </c>
      <c r="X1206" s="994" t="inlineStr">
        <is>
          <t>NA</t>
        </is>
      </c>
      <c r="Y1206" s="237" t="n">
        <v>44</v>
      </c>
      <c r="Z1206" s="237" t="inlineStr">
        <is>
          <t>NA</t>
        </is>
      </c>
      <c r="AA1206" s="270" t="inlineStr">
        <is>
          <t>NA</t>
        </is>
      </c>
      <c r="AB1206" s="1286" t="inlineStr">
        <is>
          <t>CALCULS PRUDENTIELS</t>
        </is>
      </c>
      <c r="AC1206" s="231" t="inlineStr">
        <is>
          <t>ND</t>
        </is>
      </c>
      <c r="AD1206" s="257" t="inlineStr">
        <is>
          <t>N</t>
        </is>
      </c>
      <c r="AE1206" s="257" t="inlineStr">
        <is>
          <t>NA</t>
        </is>
      </c>
      <c r="AF1206" s="257" t="inlineStr">
        <is>
          <t>NA</t>
        </is>
      </c>
      <c r="AG1206" s="258" t="inlineStr">
        <is>
          <t>NA</t>
        </is>
      </c>
      <c r="AH1206" s="89" t="n"/>
      <c r="AI1206" s="830" t="inlineStr">
        <is>
          <t xml:space="preserve">La donnée est obligatoire si le Portefeuille Bâle Opération [P2 2.18] = ‘070' </t>
        </is>
      </c>
      <c r="AJ1206" s="434" t="inlineStr">
        <is>
          <t xml:space="preserve">The data is mandatory if Basel Transaction Portfolio [P2 2.18] = ‘070' </t>
        </is>
      </c>
      <c r="AK1206" s="257" t="n">
        <v>6</v>
      </c>
      <c r="AL1206" s="473" t="inlineStr">
        <is>
          <t>TPS1701</t>
        </is>
      </c>
      <c r="AM1206" s="318" t="n"/>
      <c r="AN1206" s="317" t="n"/>
      <c r="AO1206" s="257" t="n"/>
      <c r="AP1206" s="258" t="n"/>
      <c r="AQ1206" s="318" t="n"/>
      <c r="AR1206" s="317" t="n"/>
      <c r="AS1206" s="257" t="n"/>
      <c r="AT1206" s="258" t="n"/>
      <c r="AU1206" s="318" t="n"/>
      <c r="AV1206" s="317" t="n"/>
      <c r="AW1206" s="257" t="n"/>
      <c r="AX1206" s="258" t="n"/>
      <c r="AY1206" s="318" t="n"/>
      <c r="AZ1206" s="317" t="n"/>
      <c r="BA1206" s="257" t="n"/>
      <c r="BB1206" s="258" t="n"/>
      <c r="BC1206" s="316" t="n"/>
      <c r="BD1206" s="317" t="n"/>
      <c r="BE1206" s="257" t="n"/>
      <c r="BF1206" s="258" t="n"/>
      <c r="BG1206" s="89" t="n"/>
      <c r="BH12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06">
        <f>_xlfn.LET(r,ROW(),oc,INDEX($A:$A,r),cv,TRIM(INDEX($Y:$Y,r)&amp;""),IF(oc&lt;&gt;"P1","",IF(cv="45","V45 - novo, nao alimentado pelo spool atual","V44 - alimentado pelo spool atual")))</f>
        <v/>
      </c>
    </row>
    <row r="1207" ht="54" customFormat="1" customHeight="1" s="90">
      <c r="A1207" s="306" t="inlineStr">
        <is>
          <t>P2</t>
        </is>
      </c>
      <c r="B1207" s="307" t="n">
        <v>310</v>
      </c>
      <c r="C1207" s="269" t="inlineStr">
        <is>
          <t>31 - Paramètres bâlois</t>
        </is>
      </c>
      <c r="D1207" s="236" t="inlineStr">
        <is>
          <t>31 - Basel settings</t>
        </is>
      </c>
      <c r="E1207" s="307" t="inlineStr">
        <is>
          <t>P2 21.54</t>
        </is>
      </c>
      <c r="F1207" s="308" t="inlineStr">
        <is>
          <t>Devise du gain RWA obtenu par le CAP sur la pondération pour le calcul de l'Output Floor</t>
        </is>
      </c>
      <c r="G1207" s="309" t="inlineStr">
        <is>
          <t>Currency of the RWA gain obtained by CAP on risk weight for the Output Floor calculation</t>
        </is>
      </c>
      <c r="H1207" s="309" t="n"/>
      <c r="I1207" s="308" t="inlineStr">
        <is>
          <t>Devise du gain RWA obtenu par le CAP sur la pondération pour le calcul de l'Output Floor</t>
        </is>
      </c>
      <c r="J1207" s="309" t="inlineStr">
        <is>
          <t>Currency of the RWA gain obtained by CAP on risk weight for the Output Floor calculation</t>
        </is>
      </c>
      <c r="K1207" s="370" t="inlineStr">
        <is>
          <t>ND</t>
        </is>
      </c>
      <c r="L1207" s="371" t="inlineStr">
        <is>
          <t>ND</t>
        </is>
      </c>
      <c r="M1207" s="1420" t="inlineStr">
        <is>
          <t>cdDevMtRWACAPPondOutFloor</t>
        </is>
      </c>
      <c r="N1207" s="231" t="inlineStr">
        <is>
          <t>Obligatoire sous conditions</t>
        </is>
      </c>
      <c r="O1207" s="236" t="inlineStr">
        <is>
          <t>Mandatory under conditions</t>
        </is>
      </c>
      <c r="P1207" s="269" t="inlineStr">
        <is>
          <t>LC.0005</t>
        </is>
      </c>
      <c r="Q1207" s="269" t="inlineStr">
        <is>
          <t>TA NM253</t>
        </is>
      </c>
      <c r="R1207" s="1249" t="inlineStr">
        <is>
          <t>Concerne uniquement les titrisations</t>
        </is>
      </c>
      <c r="S1207" s="233" t="inlineStr">
        <is>
          <t>Covers only securizations</t>
        </is>
      </c>
      <c r="T1207" s="313" t="inlineStr">
        <is>
          <t>ALPHA</t>
        </is>
      </c>
      <c r="U1207" s="237" t="inlineStr">
        <is>
          <t>NA</t>
        </is>
      </c>
      <c r="V1207" s="238" t="inlineStr">
        <is>
          <t>NA</t>
        </is>
      </c>
      <c r="W1207" s="257" t="n">
        <v>3</v>
      </c>
      <c r="X1207" s="994" t="inlineStr">
        <is>
          <t>NA</t>
        </is>
      </c>
      <c r="Y1207" s="237" t="n">
        <v>44</v>
      </c>
      <c r="Z1207" s="237" t="inlineStr">
        <is>
          <t>NA</t>
        </is>
      </c>
      <c r="AA1207" s="270" t="inlineStr">
        <is>
          <t>NA</t>
        </is>
      </c>
      <c r="AB1207" s="1286" t="inlineStr">
        <is>
          <t>CALCULS PRUDENTIELS</t>
        </is>
      </c>
      <c r="AC1207" s="231" t="inlineStr">
        <is>
          <t>ND</t>
        </is>
      </c>
      <c r="AD1207" s="257" t="inlineStr">
        <is>
          <t>N</t>
        </is>
      </c>
      <c r="AE1207" s="257" t="inlineStr">
        <is>
          <t>NA</t>
        </is>
      </c>
      <c r="AF1207" s="257" t="inlineStr">
        <is>
          <t>NA</t>
        </is>
      </c>
      <c r="AG1207" s="258" t="inlineStr">
        <is>
          <t>NA</t>
        </is>
      </c>
      <c r="AH1207" s="89" t="n"/>
      <c r="AI1207" s="711" t="inlineStr">
        <is>
          <t>La donnée est obligatoire si le Montant du gain RWA obtenu par le CAP sur la pondération pour le calcul de l'Output Floor [P2 21.53] est renseigné</t>
        </is>
      </c>
      <c r="AJ1207" s="434" t="inlineStr">
        <is>
          <t>The data is mandatory if the Amount of RWA gain obtained by CAP on risk weight for the Output Floor calculation [P2 21.53] is filled</t>
        </is>
      </c>
      <c r="AK1207" s="588" t="n">
        <v>7</v>
      </c>
      <c r="AL1207" s="831" t="inlineStr">
        <is>
          <t>TPG0002</t>
        </is>
      </c>
      <c r="AM1207" s="712" t="inlineStr">
        <is>
          <t>Si elle est renseignée, la valeur doit être connue du Langage Commun associé</t>
        </is>
      </c>
      <c r="AN1207" s="434" t="inlineStr">
        <is>
          <t>If specified, the value must be known to the associated Common Language</t>
        </is>
      </c>
      <c r="AO1207" s="588" t="n">
        <v>7</v>
      </c>
      <c r="AP1207" s="212" t="inlineStr">
        <is>
          <t>TIG0001</t>
        </is>
      </c>
      <c r="AQ1207" s="318" t="n"/>
      <c r="AR1207" s="317" t="n"/>
      <c r="AS1207" s="257" t="n"/>
      <c r="AT1207" s="258" t="n"/>
      <c r="AU1207" s="318" t="n"/>
      <c r="AV1207" s="317" t="n"/>
      <c r="AW1207" s="257" t="n"/>
      <c r="AX1207" s="258" t="n"/>
      <c r="AY1207" s="318" t="n"/>
      <c r="AZ1207" s="317" t="n"/>
      <c r="BA1207" s="257" t="n"/>
      <c r="BB1207" s="258" t="n"/>
      <c r="BC1207" s="316" t="n"/>
      <c r="BD1207" s="317" t="n"/>
      <c r="BE1207" s="257" t="n"/>
      <c r="BF1207" s="258" t="n"/>
      <c r="BG1207" s="89" t="n"/>
      <c r="BH12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07">
        <f>_xlfn.LET(r,ROW(),oc,INDEX($A:$A,r),cv,TRIM(INDEX($Y:$Y,r)&amp;""),IF(oc&lt;&gt;"P1","",IF(cv="45","V45 - novo, nao alimentado pelo spool atual","V44 - alimentado pelo spool atual")))</f>
        <v/>
      </c>
    </row>
    <row r="1208" ht="54" customFormat="1" customHeight="1" s="90">
      <c r="A1208" s="306" t="inlineStr">
        <is>
          <t>P2</t>
        </is>
      </c>
      <c r="B1208" s="307" t="n">
        <v>311</v>
      </c>
      <c r="C1208" s="269" t="inlineStr">
        <is>
          <t>03 - Caractéristiques Générales</t>
        </is>
      </c>
      <c r="D1208" s="236" t="inlineStr">
        <is>
          <t>03 - General characteristics</t>
        </is>
      </c>
      <c r="E1208" s="307" t="inlineStr">
        <is>
          <t>P2 21.66</t>
        </is>
      </c>
      <c r="F1208" s="308" t="inlineStr">
        <is>
          <t>Indicateur d'engagement hors bilan annulable sans conditions (UCC)</t>
        </is>
      </c>
      <c r="G1208" s="309" t="inlineStr">
        <is>
          <t>Indicator of an off balance-sheet commitment unconditionally cancellable (UCC)</t>
        </is>
      </c>
      <c r="H1208" s="309" t="n"/>
      <c r="I1208" s="308" t="inlineStr">
        <is>
          <t>Permet d'identifier un encours hors-bilan UCC afin de lui appliquer le CCF adéquat et l'identifier dans les reportings réglementaires</t>
        </is>
      </c>
      <c r="J1208" s="309" t="inlineStr">
        <is>
          <t>Allows to identify an off-balance UCC exposure in order to apply the appropriate CCF and identify it in the regulatory reporting</t>
        </is>
      </c>
      <c r="K1208" s="370" t="inlineStr">
        <is>
          <t>ND</t>
        </is>
      </c>
      <c r="L1208" s="371" t="inlineStr">
        <is>
          <t>ND</t>
        </is>
      </c>
      <c r="M1208" s="1420" t="inlineStr">
        <is>
          <t>indHbUCC</t>
        </is>
      </c>
      <c r="N1208" s="231" t="inlineStr">
        <is>
          <t>Facultatif</t>
        </is>
      </c>
      <c r="O1208" s="236" t="inlineStr">
        <is>
          <t>Optional</t>
        </is>
      </c>
      <c r="P1208" s="269" t="inlineStr">
        <is>
          <t>LC.0495</t>
        </is>
      </c>
      <c r="Q1208" s="269" t="inlineStr">
        <is>
          <t>TA Z8IHBUCC</t>
        </is>
      </c>
      <c r="R1208" s="1249" t="inlineStr">
        <is>
          <t>Pour le cas des expositions en méthode IRBA, le top UCC ne doit pas être renseigné si l'exposition fait partie du périmètre de calibrage du modèle. Dans ce cas, le CCF à prendre en compte est celui du modèle IRBA</t>
        </is>
      </c>
      <c r="S1208" s="233" t="inlineStr">
        <is>
          <t>For IRBA exposures, the top UCC does not need to be entered if the exposure is part of the model's calibration perimeter. In this case, the CCF to be taken into account is that of the IRBA model</t>
        </is>
      </c>
      <c r="T1208" s="313" t="inlineStr">
        <is>
          <t>ALPHA</t>
        </is>
      </c>
      <c r="U1208" s="237" t="inlineStr">
        <is>
          <t>NA</t>
        </is>
      </c>
      <c r="V1208" s="238" t="inlineStr">
        <is>
          <t>NA</t>
        </is>
      </c>
      <c r="W1208" s="257" t="n">
        <v>1</v>
      </c>
      <c r="X1208" s="994" t="inlineStr">
        <is>
          <t>NA</t>
        </is>
      </c>
      <c r="Y1208" s="237" t="n">
        <v>44</v>
      </c>
      <c r="Z1208" s="237" t="inlineStr">
        <is>
          <t>NA</t>
        </is>
      </c>
      <c r="AA1208" s="270" t="inlineStr">
        <is>
          <t>NA</t>
        </is>
      </c>
      <c r="AB1208" s="1286" t="inlineStr">
        <is>
          <t>CALCULS PRUDENTIELS</t>
        </is>
      </c>
      <c r="AC1208" s="231" t="inlineStr">
        <is>
          <t>ND</t>
        </is>
      </c>
      <c r="AD1208" s="257" t="inlineStr">
        <is>
          <t>N</t>
        </is>
      </c>
      <c r="AE1208" s="257" t="inlineStr">
        <is>
          <t>NA</t>
        </is>
      </c>
      <c r="AF1208" s="257" t="inlineStr">
        <is>
          <t>NA</t>
        </is>
      </c>
      <c r="AG1208" s="258" t="inlineStr">
        <is>
          <t>NA</t>
        </is>
      </c>
      <c r="AH1208" s="89" t="n"/>
      <c r="AI1208" s="316" t="n"/>
      <c r="AJ1208" s="317" t="n"/>
      <c r="AK1208" s="257" t="n"/>
      <c r="AL1208" s="258" t="n"/>
      <c r="AM1208" s="318" t="inlineStr">
        <is>
          <t>Si elle est renseignée, la valeur doit être connue du Langage Commun associé</t>
        </is>
      </c>
      <c r="AN1208" s="317" t="inlineStr">
        <is>
          <t>If specified, the value must be known to the associated Common Language</t>
        </is>
      </c>
      <c r="AO1208" s="257" t="n">
        <v>7</v>
      </c>
      <c r="AP1208" s="212" t="inlineStr">
        <is>
          <t>TIG0001</t>
        </is>
      </c>
      <c r="AQ1208" s="318" t="n"/>
      <c r="AR1208" s="317" t="n"/>
      <c r="AS1208" s="257" t="n"/>
      <c r="AT1208" s="258" t="n"/>
      <c r="AU1208" s="318" t="n"/>
      <c r="AV1208" s="317" t="n"/>
      <c r="AW1208" s="257" t="n"/>
      <c r="AX1208" s="258" t="n"/>
      <c r="AY1208" s="318" t="n"/>
      <c r="AZ1208" s="317" t="n"/>
      <c r="BA1208" s="257" t="n"/>
      <c r="BB1208" s="258" t="n"/>
      <c r="BC1208" s="316" t="n"/>
      <c r="BD1208" s="317" t="n"/>
      <c r="BE1208" s="257" t="n"/>
      <c r="BF1208" s="258" t="n"/>
      <c r="BG1208" s="89" t="n"/>
      <c r="BH12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08">
        <f>_xlfn.LET(r,ROW(),oc,INDEX($A:$A,r),cv,TRIM(INDEX($Y:$Y,r)&amp;""),IF(oc&lt;&gt;"P1","",IF(cv="45","V45 - novo, nao alimentado pelo spool atual","V44 - alimentado pelo spool atual")))</f>
        <v/>
      </c>
    </row>
    <row r="1209" ht="54" customFormat="1" customHeight="1" s="90">
      <c r="A1209" s="306" t="inlineStr">
        <is>
          <t>P2</t>
        </is>
      </c>
      <c r="B1209" s="307" t="n">
        <v>312</v>
      </c>
      <c r="C1209" s="269" t="inlineStr">
        <is>
          <t>31 - Paramètres bâlois</t>
        </is>
      </c>
      <c r="D1209" s="236" t="inlineStr">
        <is>
          <t>31 - Basel settings</t>
        </is>
      </c>
      <c r="E1209" s="307" t="inlineStr">
        <is>
          <t>P2 21.61</t>
        </is>
      </c>
      <c r="F1209" s="308" t="inlineStr">
        <is>
          <t>Perte en cas de défaut (LGD) de la part d'encours couverte par des sûretés réelles</t>
        </is>
      </c>
      <c r="G1209" s="309" t="inlineStr">
        <is>
          <t>LGD of secured part (in %)</t>
        </is>
      </c>
      <c r="H1209" s="309" t="n"/>
      <c r="I1209" s="308" t="inlineStr">
        <is>
          <t>Correspond à la LGD moyenne de la part de l'encours couverte par des sûretés réelles
Exprimée en pourcentage</t>
        </is>
      </c>
      <c r="J1209" s="309" t="inlineStr">
        <is>
          <t>LGD in percentage calculated by the entity
Corresponds to the average LGD of the part of outstandings covered by collateral</t>
        </is>
      </c>
      <c r="K1209" s="370" t="inlineStr">
        <is>
          <t>ND</t>
        </is>
      </c>
      <c r="L1209" s="371" t="inlineStr">
        <is>
          <t>ND</t>
        </is>
      </c>
      <c r="M1209" s="1420" t="inlineStr">
        <is>
          <t>txLDGCouvSur</t>
        </is>
      </c>
      <c r="N1209" s="231" t="inlineStr">
        <is>
          <t>Obligatoire sous conditions</t>
        </is>
      </c>
      <c r="O1209" s="236" t="inlineStr">
        <is>
          <t>Mandatory under conditions</t>
        </is>
      </c>
      <c r="P1209" s="269" t="inlineStr">
        <is>
          <t>NA</t>
        </is>
      </c>
      <c r="Q1209" s="269" t="inlineStr">
        <is>
          <t>NA</t>
        </is>
      </c>
      <c r="R1209" s="241" t="inlineStr">
        <is>
          <t>Donnée utilisée par le moteur IRB A et utilisée pour les engagements de certaines activités du groupe.
A ne pas renseigner pour les Dérivés et Repos car par convention, on la renseignera sur le champ 'LGD partie non couverte'</t>
        </is>
      </c>
      <c r="S1209" s="235" t="inlineStr">
        <is>
          <t>Data used by the IRB A engine and used for the funds in use of certain group activities.
Not to be reported for Derivatives and Rest because by convention, it will be reported on the field 'LGD part not covered'</t>
        </is>
      </c>
      <c r="T1209" s="313" t="inlineStr">
        <is>
          <t>NUM</t>
        </is>
      </c>
      <c r="U1209" s="237" t="inlineStr">
        <is>
          <t>10 dont signe et 5 décimales</t>
        </is>
      </c>
      <c r="V1209" s="238" t="inlineStr">
        <is>
          <t>10 including sign and 5 decimals</t>
        </is>
      </c>
      <c r="W1209" s="257" t="n">
        <v>10</v>
      </c>
      <c r="X1209" s="994" t="inlineStr">
        <is>
          <t>NA</t>
        </is>
      </c>
      <c r="Y1209" s="237" t="n">
        <v>44</v>
      </c>
      <c r="Z1209" s="237" t="inlineStr">
        <is>
          <t>NA</t>
        </is>
      </c>
      <c r="AA1209" s="270" t="inlineStr">
        <is>
          <t>NA</t>
        </is>
      </c>
      <c r="AB1209" s="1286" t="inlineStr">
        <is>
          <t>CALCULS PRUDENTIELS</t>
        </is>
      </c>
      <c r="AC1209" s="231" t="inlineStr">
        <is>
          <t>ND</t>
        </is>
      </c>
      <c r="AD1209" s="257" t="inlineStr">
        <is>
          <t>N</t>
        </is>
      </c>
      <c r="AE1209" s="257" t="inlineStr">
        <is>
          <t>NA</t>
        </is>
      </c>
      <c r="AF1209" s="257" t="inlineStr">
        <is>
          <t>NA</t>
        </is>
      </c>
      <c r="AG1209" s="258" t="inlineStr">
        <is>
          <t>NA</t>
        </is>
      </c>
      <c r="AH1209" s="89" t="n"/>
      <c r="AI1209" s="711" t="inlineStr">
        <is>
          <t>La donnée est obligatoire si la Méthodologie Bâloise [P2 1.1] est égale à ‘IRB A' et si le Montant d'encours pour la partie couverte des sûretés réelles [P2 21.63] est renseigné et différent de '0'</t>
        </is>
      </c>
      <c r="AJ1209" s="434" t="inlineStr">
        <is>
          <t>The data is mandatory if the Basel methodology [P2 1.1] is equal to ‘IRB A' and if the Secured part exposure amount [P2 21.63] is filled and different from '0'</t>
        </is>
      </c>
      <c r="AK1209" s="588" t="n">
        <v>6</v>
      </c>
      <c r="AL1209" s="469" t="inlineStr">
        <is>
          <t>TPS1765</t>
        </is>
      </c>
      <c r="AM1209" s="318" t="n"/>
      <c r="AN1209" s="317" t="n"/>
      <c r="AO1209" s="257" t="n"/>
      <c r="AP1209" s="258" t="n"/>
      <c r="AQ1209" s="318" t="n"/>
      <c r="AR1209" s="317" t="n"/>
      <c r="AS1209" s="257" t="n"/>
      <c r="AT1209" s="258" t="n"/>
      <c r="AU1209" s="318" t="n"/>
      <c r="AV1209" s="317" t="n"/>
      <c r="AW1209" s="257" t="n"/>
      <c r="AX1209" s="258" t="n"/>
      <c r="AY1209" s="318" t="n"/>
      <c r="AZ1209" s="317" t="n"/>
      <c r="BA1209" s="257" t="n"/>
      <c r="BB1209" s="258" t="n"/>
      <c r="BC1209" s="316" t="n"/>
      <c r="BD1209" s="317" t="n"/>
      <c r="BE1209" s="257" t="n"/>
      <c r="BF1209" s="258" t="n"/>
      <c r="BG1209" s="89" t="n"/>
      <c r="BH12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09">
        <f>_xlfn.LET(r,ROW(),oc,INDEX($A:$A,r),cv,TRIM(INDEX($Y:$Y,r)&amp;""),IF(oc&lt;&gt;"P1","",IF(cv="45","V45 - novo, nao alimentado pelo spool atual","V44 - alimentado pelo spool atual")))</f>
        <v/>
      </c>
    </row>
    <row r="1210" ht="54" customFormat="1" customHeight="1" s="90">
      <c r="A1210" s="306" t="inlineStr">
        <is>
          <t>P2</t>
        </is>
      </c>
      <c r="B1210" s="307" t="n">
        <v>313</v>
      </c>
      <c r="C1210" s="269" t="inlineStr">
        <is>
          <t>31 - Paramètres bâlois</t>
        </is>
      </c>
      <c r="D1210" s="236" t="inlineStr">
        <is>
          <t>31 - Basel settings</t>
        </is>
      </c>
      <c r="E1210" s="307" t="inlineStr">
        <is>
          <t>P2 21.62</t>
        </is>
      </c>
      <c r="F1210" s="308" t="inlineStr">
        <is>
          <t>Perte en cas de défaut (LGD) de la part d'encours non couverte par des sûretés réelles</t>
        </is>
      </c>
      <c r="G1210" s="309" t="inlineStr">
        <is>
          <t>LGD of unsecured part (in %)</t>
        </is>
      </c>
      <c r="H1210" s="309" t="n"/>
      <c r="I1210" s="308" t="inlineStr">
        <is>
          <t>Correspond à la LGD de la part de l'encours non couverte par des sûretés réelles
Exprimée en %</t>
        </is>
      </c>
      <c r="J1210" s="309" t="inlineStr">
        <is>
          <t>Corresponds to the LGD of the unsecured part of outstandings
Expressed in %</t>
        </is>
      </c>
      <c r="K1210" s="370" t="inlineStr">
        <is>
          <t>ND</t>
        </is>
      </c>
      <c r="L1210" s="371" t="inlineStr">
        <is>
          <t>ND</t>
        </is>
      </c>
      <c r="M1210" s="1420" t="inlineStr">
        <is>
          <t>txLGDnonCouvSur</t>
        </is>
      </c>
      <c r="N1210" s="231" t="inlineStr">
        <is>
          <t>Obligatoire sous conditions</t>
        </is>
      </c>
      <c r="O1210" s="236" t="inlineStr">
        <is>
          <t>Mandatory under conditions</t>
        </is>
      </c>
      <c r="P1210" s="269" t="inlineStr">
        <is>
          <t>NA</t>
        </is>
      </c>
      <c r="Q1210" s="269" t="inlineStr">
        <is>
          <t>NA</t>
        </is>
      </c>
      <c r="R1210" s="1249" t="inlineStr">
        <is>
          <t>Donnée utilisée par le moteur IRB A et utilisée pour les engagements de certaines activités du groupe</t>
        </is>
      </c>
      <c r="S1210" s="235" t="inlineStr">
        <is>
          <t>Data used by the IRB A engine and used for the commitments of some group activities</t>
        </is>
      </c>
      <c r="T1210" s="313" t="inlineStr">
        <is>
          <t>NUM</t>
        </is>
      </c>
      <c r="U1210" s="237" t="inlineStr">
        <is>
          <t>10 dont signe et 5 décimales</t>
        </is>
      </c>
      <c r="V1210" s="238" t="inlineStr">
        <is>
          <t>10 including sign and 5 decimals</t>
        </is>
      </c>
      <c r="W1210" s="257" t="n">
        <v>10</v>
      </c>
      <c r="X1210" s="994" t="inlineStr">
        <is>
          <t>NA</t>
        </is>
      </c>
      <c r="Y1210" s="237" t="n">
        <v>44</v>
      </c>
      <c r="Z1210" s="237" t="inlineStr">
        <is>
          <t>NA</t>
        </is>
      </c>
      <c r="AA1210" s="270" t="inlineStr">
        <is>
          <t>NA</t>
        </is>
      </c>
      <c r="AB1210" s="1286" t="inlineStr">
        <is>
          <t>CALCULS PRUDENTIELS</t>
        </is>
      </c>
      <c r="AC1210" s="231" t="inlineStr">
        <is>
          <t>ND</t>
        </is>
      </c>
      <c r="AD1210" s="257" t="inlineStr">
        <is>
          <t>N</t>
        </is>
      </c>
      <c r="AE1210" s="257" t="inlineStr">
        <is>
          <t>NA</t>
        </is>
      </c>
      <c r="AF1210" s="257" t="inlineStr">
        <is>
          <t>NA</t>
        </is>
      </c>
      <c r="AG1210" s="258" t="inlineStr">
        <is>
          <t>NA</t>
        </is>
      </c>
      <c r="AH1210" s="89" t="n"/>
      <c r="AI1210" s="711" t="inlineStr">
        <is>
          <t>La donnée est obligatoire si la Méthodologie Bâloise [P2 1.1] est égale à ‘IRB A' et si le Montant d'encours pour la partie couverte des sûretés réelles [P2 21.63] est égal à '0' ou vide</t>
        </is>
      </c>
      <c r="AJ1210" s="434" t="inlineStr">
        <is>
          <t>The data is mandatory if the Basel methodology [P2 1.1] is equal to ‘IRB A' and if the Secured part exposure amount [P2 21.63] is equal to '0' or empty</t>
        </is>
      </c>
      <c r="AK1210" s="588" t="n">
        <v>6</v>
      </c>
      <c r="AL1210" s="469" t="inlineStr">
        <is>
          <t>TPS1766</t>
        </is>
      </c>
      <c r="AM1210" s="318" t="n"/>
      <c r="AN1210" s="317" t="n"/>
      <c r="AO1210" s="257" t="n"/>
      <c r="AP1210" s="258" t="n"/>
      <c r="AQ1210" s="318" t="n"/>
      <c r="AR1210" s="317" t="n"/>
      <c r="AS1210" s="257" t="n"/>
      <c r="AT1210" s="258" t="n"/>
      <c r="AU1210" s="318" t="n"/>
      <c r="AV1210" s="317" t="n"/>
      <c r="AW1210" s="257" t="n"/>
      <c r="AX1210" s="258" t="n"/>
      <c r="AY1210" s="318" t="n"/>
      <c r="AZ1210" s="317" t="n"/>
      <c r="BA1210" s="257" t="n"/>
      <c r="BB1210" s="258" t="n"/>
      <c r="BC1210" s="316" t="n"/>
      <c r="BD1210" s="317" t="n"/>
      <c r="BE1210" s="257" t="n"/>
      <c r="BF1210" s="258" t="n"/>
      <c r="BG1210" s="89" t="n"/>
      <c r="BH12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10">
        <f>_xlfn.LET(r,ROW(),oc,INDEX($A:$A,r),cv,TRIM(INDEX($Y:$Y,r)&amp;""),IF(oc&lt;&gt;"P1","",IF(cv="45","V45 - novo, nao alimentado pelo spool atual","V44 - alimentado pelo spool atual")))</f>
        <v/>
      </c>
    </row>
    <row r="1211" ht="54" customFormat="1" customHeight="1" s="90">
      <c r="A1211" s="306" t="inlineStr">
        <is>
          <t>P2</t>
        </is>
      </c>
      <c r="B1211" s="307" t="n">
        <v>314</v>
      </c>
      <c r="C1211" s="269" t="inlineStr">
        <is>
          <t>15 - Caractéristiques Sureté</t>
        </is>
      </c>
      <c r="D1211" s="236" t="inlineStr">
        <is>
          <t>15 - Safety characteristics</t>
        </is>
      </c>
      <c r="E1211" s="307" t="inlineStr">
        <is>
          <t>P2 21.63</t>
        </is>
      </c>
      <c r="F1211" s="832" t="inlineStr">
        <is>
          <t>Montant d'encours pour la partie couverte par des sûretés réelles</t>
        </is>
      </c>
      <c r="G1211" s="309" t="inlineStr">
        <is>
          <t>Secured part exposure amount</t>
        </is>
      </c>
      <c r="H1211" s="309" t="n"/>
      <c r="I1211" s="308" t="inlineStr">
        <is>
          <t>Correspond au montant de la part de l'encours couverte par des sûretés réelles</t>
        </is>
      </c>
      <c r="J1211" s="309" t="inlineStr">
        <is>
          <t>Corresponds to the amount of the secured part of the outstanding</t>
        </is>
      </c>
      <c r="K1211" s="370" t="inlineStr">
        <is>
          <t>ND</t>
        </is>
      </c>
      <c r="L1211" s="371" t="inlineStr">
        <is>
          <t>ND</t>
        </is>
      </c>
      <c r="M1211" s="1420" t="inlineStr">
        <is>
          <t>mntEncCouvSur</t>
        </is>
      </c>
      <c r="N1211" s="599" t="inlineStr">
        <is>
          <t>Obligatoire (SC)</t>
        </is>
      </c>
      <c r="O1211" s="236" t="inlineStr">
        <is>
          <t>Mandatory (SC)</t>
        </is>
      </c>
      <c r="P1211" s="269" t="inlineStr">
        <is>
          <t>NA</t>
        </is>
      </c>
      <c r="Q1211" s="269" t="inlineStr">
        <is>
          <t>NA</t>
        </is>
      </c>
      <c r="R1211" s="1249" t="inlineStr">
        <is>
          <t>La donnée est obligatoire si la Méthodologie Bâloise [P1 1.1] est égale à ‘IRB A' et si le contrat est garanti par une sûreté réelle.
Pour les types de risque 'VAR***' (Dérivés et Repos), cette donnée ne doit pas être renseignée</t>
        </is>
      </c>
      <c r="S1211" s="235" t="inlineStr">
        <is>
          <t>The data is mandatory if the Basel methodology [P1 1.1] is equal to ‘IRB A' and if the contract is secured by a security interest.
For risk types 'VAR***' (Derivatives and Repos), this data must not be filled</t>
        </is>
      </c>
      <c r="T1211" s="313" t="inlineStr">
        <is>
          <t>NUM</t>
        </is>
      </c>
      <c r="U1211" s="237" t="inlineStr">
        <is>
          <t>19 dont signe et 2 décimales</t>
        </is>
      </c>
      <c r="V1211" s="238" t="inlineStr">
        <is>
          <t>19 including sign and 2 decimals</t>
        </is>
      </c>
      <c r="W1211" s="257" t="n">
        <v>19</v>
      </c>
      <c r="X1211" s="994" t="inlineStr">
        <is>
          <t>NA</t>
        </is>
      </c>
      <c r="Y1211" s="237" t="n">
        <v>44</v>
      </c>
      <c r="Z1211" s="237" t="inlineStr">
        <is>
          <t>NA</t>
        </is>
      </c>
      <c r="AA1211" s="270" t="inlineStr">
        <is>
          <t>NA</t>
        </is>
      </c>
      <c r="AB1211" s="1286" t="inlineStr">
        <is>
          <t>CALCULS PRUDENTIELS</t>
        </is>
      </c>
      <c r="AC1211" s="231" t="inlineStr">
        <is>
          <t>ND</t>
        </is>
      </c>
      <c r="AD1211" s="257" t="inlineStr">
        <is>
          <t>N</t>
        </is>
      </c>
      <c r="AE1211" s="257" t="inlineStr">
        <is>
          <t>NA</t>
        </is>
      </c>
      <c r="AF1211" s="257" t="inlineStr">
        <is>
          <t>NA</t>
        </is>
      </c>
      <c r="AG1211" s="258" t="inlineStr">
        <is>
          <t>NA</t>
        </is>
      </c>
      <c r="AH1211" s="89" t="n"/>
      <c r="AI1211" s="711" t="n"/>
      <c r="AJ1211" s="434" t="n"/>
      <c r="AK1211" s="588" t="n"/>
      <c r="AL1211" s="713" t="n"/>
      <c r="AM1211" s="318" t="n"/>
      <c r="AN1211" s="317" t="n"/>
      <c r="AO1211" s="257" t="n"/>
      <c r="AP1211" s="258" t="n"/>
      <c r="AQ1211" s="318" t="n"/>
      <c r="AR1211" s="317" t="n"/>
      <c r="AS1211" s="257" t="n"/>
      <c r="AT1211" s="258" t="n"/>
      <c r="AU1211" s="743" t="inlineStr">
        <is>
          <t>Si le type de risque [P2 2.0] est égal à 'VARxxx', la donnée ne doit pas être renseignée.</t>
        </is>
      </c>
      <c r="AV1211" s="434" t="inlineStr">
        <is>
          <t>If the risk type [P2 2.0] is equal to 'VARxxx', the data must be not filled</t>
        </is>
      </c>
      <c r="AW1211" s="588" t="n">
        <v>6</v>
      </c>
      <c r="AX1211" s="833" t="inlineStr">
        <is>
          <t>TCS0759</t>
        </is>
      </c>
      <c r="AY1211" s="318" t="n"/>
      <c r="AZ1211" s="317" t="n"/>
      <c r="BA1211" s="257" t="n"/>
      <c r="BB1211" s="258" t="n"/>
      <c r="BC1211" s="316" t="n"/>
      <c r="BD1211" s="317" t="n"/>
      <c r="BE1211" s="257" t="n"/>
      <c r="BF1211" s="258" t="n"/>
      <c r="BG1211" s="89" t="n"/>
      <c r="BH12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11">
        <f>_xlfn.LET(r,ROW(),oc,INDEX($A:$A,r),cv,TRIM(INDEX($Y:$Y,r)&amp;""),IF(oc&lt;&gt;"P1","",IF(cv="45","V45 - novo, nao alimentado pelo spool atual","V44 - alimentado pelo spool atual")))</f>
        <v/>
      </c>
    </row>
    <row r="1212" ht="54" customFormat="1" customHeight="1" s="90">
      <c r="A1212" s="306" t="inlineStr">
        <is>
          <t>P2</t>
        </is>
      </c>
      <c r="B1212" s="307" t="n">
        <v>315</v>
      </c>
      <c r="C1212" s="269" t="inlineStr">
        <is>
          <t>15 - Caractéristiques Sureté</t>
        </is>
      </c>
      <c r="D1212" s="236" t="inlineStr">
        <is>
          <t>15 - Safety characteristics</t>
        </is>
      </c>
      <c r="E1212" s="307" t="inlineStr">
        <is>
          <t>P2 21.64</t>
        </is>
      </c>
      <c r="F1212" s="308" t="inlineStr">
        <is>
          <t>Devise du montant d'encours pour la partie couverte des sûretés réelles</t>
        </is>
      </c>
      <c r="G1212" s="309" t="inlineStr">
        <is>
          <t>Currency of the exposure amount secured part</t>
        </is>
      </c>
      <c r="H1212" s="309" t="n"/>
      <c r="I1212" s="308" t="inlineStr">
        <is>
          <t>Devise du montant encours partie couverte</t>
        </is>
      </c>
      <c r="J1212" s="309" t="inlineStr">
        <is>
          <t>Currency of the exposure amount secured part</t>
        </is>
      </c>
      <c r="K1212" s="370" t="inlineStr">
        <is>
          <t>ND</t>
        </is>
      </c>
      <c r="L1212" s="371" t="inlineStr">
        <is>
          <t>ND</t>
        </is>
      </c>
      <c r="M1212" s="1420" t="inlineStr">
        <is>
          <t>cdDevMntEncCouvSur</t>
        </is>
      </c>
      <c r="N1212" s="231" t="inlineStr">
        <is>
          <t>Obligatoire sous conditions</t>
        </is>
      </c>
      <c r="O1212" s="236" t="inlineStr">
        <is>
          <t>Mandatory under conditions</t>
        </is>
      </c>
      <c r="P1212" s="269" t="inlineStr">
        <is>
          <t>LC.0005</t>
        </is>
      </c>
      <c r="Q1212" s="269" t="inlineStr">
        <is>
          <t>TA NM253</t>
        </is>
      </c>
      <c r="R1212" s="241" t="inlineStr">
        <is>
          <t>NA</t>
        </is>
      </c>
      <c r="S1212" s="233" t="inlineStr">
        <is>
          <t>NA</t>
        </is>
      </c>
      <c r="T1212" s="313" t="inlineStr">
        <is>
          <t>ALPHA</t>
        </is>
      </c>
      <c r="U1212" s="237" t="inlineStr">
        <is>
          <t>NA</t>
        </is>
      </c>
      <c r="V1212" s="238" t="inlineStr">
        <is>
          <t>NA</t>
        </is>
      </c>
      <c r="W1212" s="257" t="n">
        <v>3</v>
      </c>
      <c r="X1212" s="994" t="inlineStr">
        <is>
          <t>NA</t>
        </is>
      </c>
      <c r="Y1212" s="237" t="n">
        <v>44</v>
      </c>
      <c r="Z1212" s="237" t="inlineStr">
        <is>
          <t>NA</t>
        </is>
      </c>
      <c r="AA1212" s="270" t="inlineStr">
        <is>
          <t>NA</t>
        </is>
      </c>
      <c r="AB1212" s="1286" t="inlineStr">
        <is>
          <t>CALCULS PRUDENTIELS</t>
        </is>
      </c>
      <c r="AC1212" s="231" t="inlineStr">
        <is>
          <t>ND</t>
        </is>
      </c>
      <c r="AD1212" s="257" t="inlineStr">
        <is>
          <t>N</t>
        </is>
      </c>
      <c r="AE1212" s="257" t="inlineStr">
        <is>
          <t>NA</t>
        </is>
      </c>
      <c r="AF1212" s="257" t="inlineStr">
        <is>
          <t>NA</t>
        </is>
      </c>
      <c r="AG1212" s="258" t="inlineStr">
        <is>
          <t>NA</t>
        </is>
      </c>
      <c r="AH1212" s="89" t="n"/>
      <c r="AI1212" s="830" t="inlineStr">
        <is>
          <t>La donnée est obligatoire si le Montant d'encours pour la partie couverte des sûretés réelles [P2 21.63] est renseigné</t>
        </is>
      </c>
      <c r="AJ1212" s="434" t="inlineStr">
        <is>
          <t>The data is mandatory if the Secured part exposure amount [P2 21.63] is filled</t>
        </is>
      </c>
      <c r="AK1212" s="257" t="n">
        <v>7</v>
      </c>
      <c r="AL1212" s="831" t="inlineStr">
        <is>
          <t>TPG0002</t>
        </is>
      </c>
      <c r="AM1212" s="318" t="inlineStr">
        <is>
          <t>Si elle est renseignée, la valeur doit être connue du Langage Commun associé</t>
        </is>
      </c>
      <c r="AN1212" s="317" t="inlineStr">
        <is>
          <t>If specified, the value must be known to the associated Common Language</t>
        </is>
      </c>
      <c r="AO1212" s="257" t="n">
        <v>7</v>
      </c>
      <c r="AP1212" s="212" t="inlineStr">
        <is>
          <t>TIG0001</t>
        </is>
      </c>
      <c r="AQ1212" s="318" t="n"/>
      <c r="AR1212" s="317" t="n"/>
      <c r="AS1212" s="257" t="n"/>
      <c r="AT1212" s="258" t="n"/>
      <c r="AU1212" s="318" t="n"/>
      <c r="AV1212" s="317" t="n"/>
      <c r="AW1212" s="257" t="n"/>
      <c r="AX1212" s="258" t="n"/>
      <c r="AY1212" s="318" t="n"/>
      <c r="AZ1212" s="317" t="n"/>
      <c r="BA1212" s="257" t="n"/>
      <c r="BB1212" s="258" t="n"/>
      <c r="BC1212" s="316" t="n"/>
      <c r="BD1212" s="317" t="n"/>
      <c r="BE1212" s="257" t="n"/>
      <c r="BF1212" s="258" t="n"/>
      <c r="BG1212" s="89" t="n"/>
      <c r="BH12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12">
        <f>_xlfn.LET(r,ROW(),oc,INDEX($A:$A,r),cv,TRIM(INDEX($Y:$Y,r)&amp;""),IF(oc&lt;&gt;"P1","",IF(cv="45","V45 - novo, nao alimentado pelo spool atual","V44 - alimentado pelo spool atual")))</f>
        <v/>
      </c>
    </row>
    <row r="1213" ht="54" customFormat="1" customHeight="1" s="90">
      <c r="A1213" s="306" t="inlineStr">
        <is>
          <t>P2</t>
        </is>
      </c>
      <c r="B1213" s="307" t="n">
        <v>316</v>
      </c>
      <c r="C1213" s="269" t="inlineStr">
        <is>
          <t>32 - Financement spécialisé</t>
        </is>
      </c>
      <c r="D1213" s="236" t="inlineStr">
        <is>
          <t>32 - Dedicated funding</t>
        </is>
      </c>
      <c r="E1213" s="307" t="inlineStr">
        <is>
          <t>P2 21.44</t>
        </is>
      </c>
      <c r="F1213" s="308" t="inlineStr">
        <is>
          <t xml:space="preserve">Indicateur d'exposition de qualité élevée </t>
        </is>
      </c>
      <c r="G1213" s="309" t="inlineStr">
        <is>
          <t xml:space="preserve">Indicator of High Quality Exposure </t>
        </is>
      </c>
      <c r="H1213" s="309" t="n"/>
      <c r="I1213" s="308" t="inlineStr">
        <is>
          <t>Indique si l'exposition est réputée être de qualité élevée compte tenu de l'ensemble des critères vérifiés dans l'article 122bis-3-a du CRR3.</t>
        </is>
      </c>
      <c r="J1213" s="309" t="inlineStr">
        <is>
          <t>Indicates if the exposure is deemed to be of high quality taking into account all the criteria verified in article 122bis-3 a of CRR3.</t>
        </is>
      </c>
      <c r="K1213" s="370" t="inlineStr">
        <is>
          <t>ND</t>
        </is>
      </c>
      <c r="L1213" s="371" t="inlineStr">
        <is>
          <t>ND</t>
        </is>
      </c>
      <c r="M1213" s="1420" t="inlineStr">
        <is>
          <t>indExpoQualElev</t>
        </is>
      </c>
      <c r="N1213" s="231" t="inlineStr">
        <is>
          <t>Obligatoire sous conditions</t>
        </is>
      </c>
      <c r="O1213" s="236" t="inlineStr">
        <is>
          <t>Mandatory under conditions</t>
        </is>
      </c>
      <c r="P1213" s="269" t="inlineStr">
        <is>
          <t>LC.0496</t>
        </is>
      </c>
      <c r="Q1213" s="269" t="inlineStr">
        <is>
          <t>TA Z8IEXQEL</t>
        </is>
      </c>
      <c r="R1213" s="1249" t="inlineStr">
        <is>
          <t>Concerne uniquement les financements spécialisés</t>
        </is>
      </c>
      <c r="S1213" s="233" t="inlineStr">
        <is>
          <t>Covers only specialized funding</t>
        </is>
      </c>
      <c r="T1213" s="313" t="inlineStr">
        <is>
          <t>ALPHA</t>
        </is>
      </c>
      <c r="U1213" s="237" t="inlineStr">
        <is>
          <t>NA</t>
        </is>
      </c>
      <c r="V1213" s="238" t="inlineStr">
        <is>
          <t>NA</t>
        </is>
      </c>
      <c r="W1213" s="257" t="n">
        <v>1</v>
      </c>
      <c r="X1213" s="994" t="inlineStr">
        <is>
          <t>NA</t>
        </is>
      </c>
      <c r="Y1213" s="237" t="n">
        <v>44</v>
      </c>
      <c r="Z1213" s="237" t="inlineStr">
        <is>
          <t>NA</t>
        </is>
      </c>
      <c r="AA1213" s="270" t="inlineStr">
        <is>
          <t>NA</t>
        </is>
      </c>
      <c r="AB1213" s="1286" t="inlineStr">
        <is>
          <t>CALCULS PRUDENTIELS</t>
        </is>
      </c>
      <c r="AC1213" s="231" t="inlineStr">
        <is>
          <t>ND</t>
        </is>
      </c>
      <c r="AD1213" s="257" t="inlineStr">
        <is>
          <t>N</t>
        </is>
      </c>
      <c r="AE1213" s="257" t="inlineStr">
        <is>
          <t>NA</t>
        </is>
      </c>
      <c r="AF1213" s="257" t="inlineStr">
        <is>
          <t>NA</t>
        </is>
      </c>
      <c r="AG1213" s="258" t="inlineStr">
        <is>
          <t>NA</t>
        </is>
      </c>
      <c r="AH1213" s="89" t="n"/>
      <c r="AI1213" s="830" t="inlineStr">
        <is>
          <t>La donnée est obligatoire si le Portefeuille Bâle Opération [P2 2.18] = '062'</t>
        </is>
      </c>
      <c r="AJ1213" s="434" t="inlineStr">
        <is>
          <t>The data is mandatory if the Basel Transaction Portfolio [P2 2.18] = '062'</t>
        </is>
      </c>
      <c r="AK1213" s="257" t="n">
        <v>6</v>
      </c>
      <c r="AL1213" s="469" t="inlineStr">
        <is>
          <t>TPS1767</t>
        </is>
      </c>
      <c r="AM1213" s="318" t="inlineStr">
        <is>
          <t>Si elle est renseignée, la valeur doit être connue du Langage Commun associé</t>
        </is>
      </c>
      <c r="AN1213" s="317" t="inlineStr">
        <is>
          <t>If specified, the value must be known to the associated Common Language</t>
        </is>
      </c>
      <c r="AO1213" s="257" t="n">
        <v>7</v>
      </c>
      <c r="AP1213" s="212" t="inlineStr">
        <is>
          <t>TIG0001</t>
        </is>
      </c>
      <c r="AQ1213" s="318" t="n"/>
      <c r="AR1213" s="317" t="n"/>
      <c r="AS1213" s="257" t="n"/>
      <c r="AT1213" s="258" t="n"/>
      <c r="AU1213" s="318" t="n"/>
      <c r="AV1213" s="317" t="n"/>
      <c r="AW1213" s="257" t="n"/>
      <c r="AX1213" s="258" t="n"/>
      <c r="AY1213" s="318" t="n"/>
      <c r="AZ1213" s="317" t="n"/>
      <c r="BA1213" s="257" t="n"/>
      <c r="BB1213" s="258" t="n"/>
      <c r="BC1213" s="316" t="n"/>
      <c r="BD1213" s="317" t="n"/>
      <c r="BE1213" s="257" t="n"/>
      <c r="BF1213" s="258" t="n"/>
      <c r="BG1213" s="89" t="n"/>
      <c r="BH12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13">
        <f>_xlfn.LET(r,ROW(),oc,INDEX($A:$A,r),cv,TRIM(INDEX($Y:$Y,r)&amp;""),IF(oc&lt;&gt;"P1","",IF(cv="45","V45 - novo, nao alimentado pelo spool atual","V44 - alimentado pelo spool atual")))</f>
        <v/>
      </c>
    </row>
    <row r="1214" ht="54" customFormat="1" customHeight="1" s="90">
      <c r="A1214" s="306" t="inlineStr">
        <is>
          <t>P2</t>
        </is>
      </c>
      <c r="B1214" s="307" t="n">
        <v>317</v>
      </c>
      <c r="C1214" s="269" t="inlineStr">
        <is>
          <t>32 - Financement spécialisé</t>
        </is>
      </c>
      <c r="D1214" s="236" t="inlineStr">
        <is>
          <t>32 - Dedicated funding</t>
        </is>
      </c>
      <c r="E1214" s="307" t="inlineStr">
        <is>
          <t>P2 21.45</t>
        </is>
      </c>
      <c r="F1214" s="308" t="inlineStr">
        <is>
          <t>Indicateur de la phase opérationnelle du projet financé</t>
        </is>
      </c>
      <c r="G1214" s="309" t="inlineStr">
        <is>
          <t>Indicator of the operational phase of the financed project</t>
        </is>
      </c>
      <c r="H1214" s="309" t="n"/>
      <c r="I1214" s="308" t="inlineStr">
        <is>
          <t>Indique si le projet financé est en phase opérationnelle (Projet finalisé et en cours d'exploitation).</t>
        </is>
      </c>
      <c r="J1214" s="309" t="inlineStr">
        <is>
          <t>Indicates whether the financed project is in the operational phase (Finalized projet and in operation).</t>
        </is>
      </c>
      <c r="K1214" s="370" t="inlineStr">
        <is>
          <t>ND</t>
        </is>
      </c>
      <c r="L1214" s="371" t="inlineStr">
        <is>
          <t>ND</t>
        </is>
      </c>
      <c r="M1214" s="1420" t="inlineStr">
        <is>
          <t>indPhaseOpe</t>
        </is>
      </c>
      <c r="N1214" s="231" t="inlineStr">
        <is>
          <t>Obligatoire sous conditions</t>
        </is>
      </c>
      <c r="O1214" s="236" t="inlineStr">
        <is>
          <t>Mandatory under conditions</t>
        </is>
      </c>
      <c r="P1214" s="269" t="inlineStr">
        <is>
          <t>LC.0492</t>
        </is>
      </c>
      <c r="Q1214" s="269" t="inlineStr">
        <is>
          <t>TA Z8IPOPFI</t>
        </is>
      </c>
      <c r="R1214" s="1249" t="inlineStr">
        <is>
          <t>Concerne uniquement les financements spécialisés.
Se référer à l'article 122 bis- 3C de la réglementation CRR3</t>
        </is>
      </c>
      <c r="S1214" s="235" t="inlineStr">
        <is>
          <t>Covers only specialized funding.
Refer to Article 122a- 3C of Regulation CRR3</t>
        </is>
      </c>
      <c r="T1214" s="313" t="inlineStr">
        <is>
          <t>ALPHA</t>
        </is>
      </c>
      <c r="U1214" s="237" t="inlineStr">
        <is>
          <t>NA</t>
        </is>
      </c>
      <c r="V1214" s="238" t="inlineStr">
        <is>
          <t>NA</t>
        </is>
      </c>
      <c r="W1214" s="257" t="n">
        <v>1</v>
      </c>
      <c r="X1214" s="994" t="inlineStr">
        <is>
          <t>NA</t>
        </is>
      </c>
      <c r="Y1214" s="237" t="n">
        <v>44</v>
      </c>
      <c r="Z1214" s="237" t="inlineStr">
        <is>
          <t>NA</t>
        </is>
      </c>
      <c r="AA1214" s="270" t="inlineStr">
        <is>
          <t>NA</t>
        </is>
      </c>
      <c r="AB1214" s="1286" t="inlineStr">
        <is>
          <t>CALCULS PRUDENTIELS</t>
        </is>
      </c>
      <c r="AC1214" s="231" t="inlineStr">
        <is>
          <t>ND</t>
        </is>
      </c>
      <c r="AD1214" s="257" t="inlineStr">
        <is>
          <t>N</t>
        </is>
      </c>
      <c r="AE1214" s="257" t="inlineStr">
        <is>
          <t>NA</t>
        </is>
      </c>
      <c r="AF1214" s="257" t="inlineStr">
        <is>
          <t>NA</t>
        </is>
      </c>
      <c r="AG1214" s="258" t="inlineStr">
        <is>
          <t>NA</t>
        </is>
      </c>
      <c r="AH1214" s="89" t="n"/>
      <c r="AI1214" s="830" t="inlineStr">
        <is>
          <t>La donnée est obligatoire si le Portefeuille Bâle Opération [P2 2.18] = '061'</t>
        </is>
      </c>
      <c r="AJ1214" s="434" t="inlineStr">
        <is>
          <t>The data is mandatory if the Basel Transaction Portfolio [P2 2.18] = '061'</t>
        </is>
      </c>
      <c r="AK1214" s="257" t="n">
        <v>6</v>
      </c>
      <c r="AL1214" s="469" t="inlineStr">
        <is>
          <t>TPS1768</t>
        </is>
      </c>
      <c r="AM1214" s="318" t="inlineStr">
        <is>
          <t>Si elle est renseignée, la valeur doit être connue du Langage Commun associé</t>
        </is>
      </c>
      <c r="AN1214" s="317" t="inlineStr">
        <is>
          <t>If specified, the value must be known to the associated Common Language</t>
        </is>
      </c>
      <c r="AO1214" s="257" t="n">
        <v>7</v>
      </c>
      <c r="AP1214" s="212" t="inlineStr">
        <is>
          <t>TIG0001</t>
        </is>
      </c>
      <c r="AQ1214" s="318" t="n"/>
      <c r="AR1214" s="317" t="n"/>
      <c r="AS1214" s="257" t="n"/>
      <c r="AT1214" s="258" t="n"/>
      <c r="AU1214" s="318" t="n"/>
      <c r="AV1214" s="317" t="n"/>
      <c r="AW1214" s="257" t="n"/>
      <c r="AX1214" s="258" t="n"/>
      <c r="AY1214" s="318" t="n"/>
      <c r="AZ1214" s="317" t="n"/>
      <c r="BA1214" s="257" t="n"/>
      <c r="BB1214" s="258" t="n"/>
      <c r="BC1214" s="316" t="n"/>
      <c r="BD1214" s="317" t="n"/>
      <c r="BE1214" s="257" t="n"/>
      <c r="BF1214" s="258" t="n"/>
      <c r="BG1214" s="89" t="n"/>
      <c r="BH12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14">
        <f>_xlfn.LET(r,ROW(),oc,INDEX($A:$A,r),cv,TRIM(INDEX($Y:$Y,r)&amp;""),IF(oc&lt;&gt;"P1","",IF(cv="45","V45 - novo, nao alimentado pelo spool atual","V44 - alimentado pelo spool atual")))</f>
        <v/>
      </c>
    </row>
    <row r="1215" ht="54" customFormat="1" customHeight="1" s="90">
      <c r="A1215" s="306" t="inlineStr">
        <is>
          <t>P2</t>
        </is>
      </c>
      <c r="B1215" s="307" t="n">
        <v>318</v>
      </c>
      <c r="C1215" s="269" t="inlineStr">
        <is>
          <t>32 - Financement spécialisé</t>
        </is>
      </c>
      <c r="D1215" s="236" t="inlineStr">
        <is>
          <t>32 - Dedicated funding</t>
        </is>
      </c>
      <c r="E1215" s="307" t="inlineStr">
        <is>
          <t>P2 21.46</t>
        </is>
      </c>
      <c r="F1215" s="308" t="inlineStr">
        <is>
          <t xml:space="preserve">Indicateur de conformité des critères Opérationnels du projet </t>
        </is>
      </c>
      <c r="G1215" s="309" t="inlineStr">
        <is>
          <t xml:space="preserve">Indicator of conformity of the operational criteria of the project </t>
        </is>
      </c>
      <c r="H1215" s="309" t="n"/>
      <c r="I1215" s="308" t="inlineStr">
        <is>
          <t>Indique si tous les critères opérationnels du projet listés dans l'article "122bis-3-c-ii " du CRR3 sont vérifiés</t>
        </is>
      </c>
      <c r="J1215" s="309" t="inlineStr">
        <is>
          <t>Indicates whether all the operational criteria of the project listed in article "122bis-3-c-ii" of the CRR3 are verified</t>
        </is>
      </c>
      <c r="K1215" s="370" t="inlineStr">
        <is>
          <t>ND</t>
        </is>
      </c>
      <c r="L1215" s="371" t="inlineStr">
        <is>
          <t>ND</t>
        </is>
      </c>
      <c r="M1215" s="1420" t="inlineStr">
        <is>
          <t>indConformCritOpe</t>
        </is>
      </c>
      <c r="N1215" s="231" t="inlineStr">
        <is>
          <t>Obligatoire sous conditions</t>
        </is>
      </c>
      <c r="O1215" s="236" t="inlineStr">
        <is>
          <t>Mandatory under conditions</t>
        </is>
      </c>
      <c r="P1215" s="269" t="inlineStr">
        <is>
          <t>LC.0487</t>
        </is>
      </c>
      <c r="Q1215" s="269" t="inlineStr">
        <is>
          <t>TA Z8ICDCOP</t>
        </is>
      </c>
      <c r="R1215" s="1249" t="inlineStr">
        <is>
          <t>Concerne uniquement les financements spécialisés</t>
        </is>
      </c>
      <c r="S1215" s="233" t="inlineStr">
        <is>
          <t>Covers only specialized funding</t>
        </is>
      </c>
      <c r="T1215" s="313" t="inlineStr">
        <is>
          <t>ALPHA</t>
        </is>
      </c>
      <c r="U1215" s="237" t="inlineStr">
        <is>
          <t>NA</t>
        </is>
      </c>
      <c r="V1215" s="238" t="inlineStr">
        <is>
          <t>NA</t>
        </is>
      </c>
      <c r="W1215" s="257" t="n">
        <v>1</v>
      </c>
      <c r="X1215" s="994" t="inlineStr">
        <is>
          <t>NA</t>
        </is>
      </c>
      <c r="Y1215" s="237" t="n">
        <v>44</v>
      </c>
      <c r="Z1215" s="237" t="inlineStr">
        <is>
          <t>NA</t>
        </is>
      </c>
      <c r="AA1215" s="270" t="inlineStr">
        <is>
          <t>NA</t>
        </is>
      </c>
      <c r="AB1215" s="1286" t="inlineStr">
        <is>
          <t>CALCULS PRUDENTIELS</t>
        </is>
      </c>
      <c r="AC1215" s="231" t="inlineStr">
        <is>
          <t>ND</t>
        </is>
      </c>
      <c r="AD1215" s="257" t="inlineStr">
        <is>
          <t>N</t>
        </is>
      </c>
      <c r="AE1215" s="257" t="inlineStr">
        <is>
          <t>NA</t>
        </is>
      </c>
      <c r="AF1215" s="257" t="inlineStr">
        <is>
          <t>NA</t>
        </is>
      </c>
      <c r="AG1215" s="258" t="inlineStr">
        <is>
          <t>NA</t>
        </is>
      </c>
      <c r="AH1215" s="89" t="n"/>
      <c r="AI1215" s="830" t="inlineStr">
        <is>
          <t>La donnée est obligatoire si le Portefeuille Bâle Opération [P2 2.18] = '061'</t>
        </is>
      </c>
      <c r="AJ1215" s="434" t="inlineStr">
        <is>
          <t>The data is mandatory if the Basel Transaction Portfolio [P2 2.18] = '061'</t>
        </is>
      </c>
      <c r="AK1215" s="257" t="n">
        <v>6</v>
      </c>
      <c r="AL1215" s="469" t="inlineStr">
        <is>
          <t>TPS1768</t>
        </is>
      </c>
      <c r="AM1215" s="318" t="inlineStr">
        <is>
          <t>Si elle est renseignée, la valeur doit être connue du Langage Commun associé</t>
        </is>
      </c>
      <c r="AN1215" s="317" t="inlineStr">
        <is>
          <t>If specified, the value must be known to the associated Common Language</t>
        </is>
      </c>
      <c r="AO1215" s="257" t="n">
        <v>7</v>
      </c>
      <c r="AP1215" s="212" t="inlineStr">
        <is>
          <t>TIG0001</t>
        </is>
      </c>
      <c r="AQ1215" s="318" t="n"/>
      <c r="AR1215" s="317" t="n"/>
      <c r="AS1215" s="257" t="n"/>
      <c r="AT1215" s="258" t="n"/>
      <c r="AU1215" s="318" t="n"/>
      <c r="AV1215" s="317" t="n"/>
      <c r="AW1215" s="257" t="n"/>
      <c r="AX1215" s="258" t="n"/>
      <c r="AY1215" s="318" t="n"/>
      <c r="AZ1215" s="317" t="n"/>
      <c r="BA1215" s="257" t="n"/>
      <c r="BB1215" s="258" t="n"/>
      <c r="BC1215" s="316" t="n"/>
      <c r="BD1215" s="317" t="n"/>
      <c r="BE1215" s="257" t="n"/>
      <c r="BF1215" s="258" t="n"/>
      <c r="BG1215" s="89" t="n"/>
      <c r="BH12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15">
        <f>_xlfn.LET(r,ROW(),oc,INDEX($A:$A,r),cv,TRIM(INDEX($Y:$Y,r)&amp;""),IF(oc&lt;&gt;"P1","",IF(cv="45","V45 - novo, nao alimentado pelo spool atual","V44 - alimentado pelo spool atual")))</f>
        <v/>
      </c>
    </row>
    <row r="1216" ht="54" customFormat="1" customHeight="1" s="90">
      <c r="A1216" s="306" t="inlineStr">
        <is>
          <t>P2</t>
        </is>
      </c>
      <c r="B1216" s="307" t="n">
        <v>319</v>
      </c>
      <c r="C1216" s="269" t="inlineStr">
        <is>
          <t>31 - Paramètres bâlois</t>
        </is>
      </c>
      <c r="D1216" s="236" t="inlineStr">
        <is>
          <t>31 - Basel settings</t>
        </is>
      </c>
      <c r="E1216" s="307" t="inlineStr">
        <is>
          <t>P2 21.67</t>
        </is>
      </c>
      <c r="F1216" s="308" t="inlineStr">
        <is>
          <t xml:space="preserve">Indicateur de l'application de l'approche par mandat </t>
        </is>
      </c>
      <c r="G1216" s="309" t="inlineStr">
        <is>
          <t>Mandate-based approach indicator</t>
        </is>
      </c>
      <c r="H1216" s="309" t="n"/>
      <c r="I1216" s="308" t="inlineStr">
        <is>
          <t>Indicateur permettant de préciser si l'exposition sous forme de parts ou d'actions d'OPC est à pondérer selon l'approche par mandat ou selon l'approche alternative, soit 1250%.</t>
        </is>
      </c>
      <c r="J1216" s="309" t="inlineStr">
        <is>
          <t>Allows to indicate that the exposure in the form of UCITS units or shares is to be weighted according to mandate-based approach.
If not, the exposure will be weighted using the alternative approach, i.e. 1250%
Perimeter: External UCI</t>
        </is>
      </c>
      <c r="K1216" s="370" t="inlineStr">
        <is>
          <t>ND</t>
        </is>
      </c>
      <c r="L1216" s="371" t="inlineStr">
        <is>
          <t>ND</t>
        </is>
      </c>
      <c r="M1216" s="1420" t="inlineStr">
        <is>
          <t>indMandatApproch</t>
        </is>
      </c>
      <c r="N1216" s="599" t="inlineStr">
        <is>
          <t>Obligatoire (SC)</t>
        </is>
      </c>
      <c r="O1216" s="236" t="inlineStr">
        <is>
          <t>Mandatory (SC)</t>
        </is>
      </c>
      <c r="P1216" s="269" t="inlineStr">
        <is>
          <t>LC.0493</t>
        </is>
      </c>
      <c r="Q1216" s="269" t="inlineStr">
        <is>
          <t>TA Z8IAPPMA</t>
        </is>
      </c>
      <c r="R1216" s="1249" t="inlineStr">
        <is>
          <t>Champ à renseigner pour les OPCVM externes</t>
        </is>
      </c>
      <c r="S1216" s="235" t="inlineStr">
        <is>
          <t>Field to be completed for external UCITS</t>
        </is>
      </c>
      <c r="T1216" s="313" t="inlineStr">
        <is>
          <t>ALPHA</t>
        </is>
      </c>
      <c r="U1216" s="237" t="inlineStr">
        <is>
          <t>NA</t>
        </is>
      </c>
      <c r="V1216" s="238" t="inlineStr">
        <is>
          <t>NA</t>
        </is>
      </c>
      <c r="W1216" s="257" t="n">
        <v>1</v>
      </c>
      <c r="X1216" s="994" t="inlineStr">
        <is>
          <t>NA</t>
        </is>
      </c>
      <c r="Y1216" s="237" t="n">
        <v>44</v>
      </c>
      <c r="Z1216" s="237" t="inlineStr">
        <is>
          <t>NA</t>
        </is>
      </c>
      <c r="AA1216" s="270" t="inlineStr">
        <is>
          <t>NA</t>
        </is>
      </c>
      <c r="AB1216" s="1286" t="inlineStr">
        <is>
          <t>CALCULS PRUDENTIELS</t>
        </is>
      </c>
      <c r="AC1216" s="231" t="inlineStr">
        <is>
          <t>ND</t>
        </is>
      </c>
      <c r="AD1216" s="257" t="inlineStr">
        <is>
          <t>N</t>
        </is>
      </c>
      <c r="AE1216" s="257" t="inlineStr">
        <is>
          <t>NA</t>
        </is>
      </c>
      <c r="AF1216" s="257" t="inlineStr">
        <is>
          <t>NA</t>
        </is>
      </c>
      <c r="AG1216" s="258" t="inlineStr">
        <is>
          <t>NA</t>
        </is>
      </c>
      <c r="AH1216" s="89" t="n"/>
      <c r="AI1216" s="316" t="n"/>
      <c r="AJ1216" s="317" t="n"/>
      <c r="AK1216" s="257" t="n"/>
      <c r="AL1216" s="258" t="n"/>
      <c r="AM1216" s="318" t="inlineStr">
        <is>
          <t>Si elle est renseignée, la valeur doit être connue du Langage Commun associé</t>
        </is>
      </c>
      <c r="AN1216" s="317" t="inlineStr">
        <is>
          <t>If specified, the value must be known to the associated Common Language</t>
        </is>
      </c>
      <c r="AO1216" s="257" t="n">
        <v>7</v>
      </c>
      <c r="AP1216" s="212" t="inlineStr">
        <is>
          <t>TIG0001</t>
        </is>
      </c>
      <c r="AQ1216" s="318" t="n"/>
      <c r="AR1216" s="317" t="n"/>
      <c r="AS1216" s="257" t="n"/>
      <c r="AT1216" s="258" t="n"/>
      <c r="AU1216" s="318" t="n"/>
      <c r="AV1216" s="317" t="n"/>
      <c r="AW1216" s="257" t="n"/>
      <c r="AX1216" s="258" t="n"/>
      <c r="AY1216" s="318" t="n"/>
      <c r="AZ1216" s="317" t="n"/>
      <c r="BA1216" s="257" t="n"/>
      <c r="BB1216" s="258" t="n"/>
      <c r="BC1216" s="316" t="n"/>
      <c r="BD1216" s="317" t="n"/>
      <c r="BE1216" s="257" t="n"/>
      <c r="BF1216" s="258" t="n"/>
      <c r="BG1216" s="89" t="n"/>
      <c r="BH12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16">
        <f>_xlfn.LET(r,ROW(),oc,INDEX($A:$A,r),cv,TRIM(INDEX($Y:$Y,r)&amp;""),IF(oc&lt;&gt;"P1","",IF(cv="45","V45 - novo, nao alimentado pelo spool atual","V44 - alimentado pelo spool atual")))</f>
        <v/>
      </c>
    </row>
    <row r="1217" ht="54" customFormat="1" customHeight="1" s="90">
      <c r="A1217" s="306" t="inlineStr">
        <is>
          <t>P2</t>
        </is>
      </c>
      <c r="B1217" s="307" t="n">
        <v>320</v>
      </c>
      <c r="C1217" s="269" t="inlineStr">
        <is>
          <t>31 - Paramètres bâlois</t>
        </is>
      </c>
      <c r="D1217" s="236" t="inlineStr">
        <is>
          <t>31 - Basel settings</t>
        </is>
      </c>
      <c r="E1217" s="307" t="inlineStr">
        <is>
          <t>P2 21.68</t>
        </is>
      </c>
      <c r="F1217" s="308" t="inlineStr">
        <is>
          <t>Niveau de risque CRR3</t>
        </is>
      </c>
      <c r="G1217" s="309" t="inlineStr">
        <is>
          <t>Risk level (CRR3)</t>
        </is>
      </c>
      <c r="H1217" s="309" t="n"/>
      <c r="I1217" s="308" t="inlineStr">
        <is>
          <t>Permet de préciser le niveau de risque associé à l'engagement et de forcer le taux de CCF à appliquer.
Si ce champ n'est pas renseigné, alors le CCF sera déterminé en fonction des différents paramètres (type de risque, maturité, …)
Ce champ respecte les définitions de la réglementation CRR3 - Annexe 1</t>
        </is>
      </c>
      <c r="J1217" s="309" t="inlineStr">
        <is>
          <t>Allows you to specify the level of risk associated with the commitment and to force the CCF rate to be applied.
If this field is not filled in, then the CCF will be determined according to the different parameters (type of risk, maturity, etc.)
It follows CRR3 - Appendix 1 Regulation definitions</t>
        </is>
      </c>
      <c r="K1217" s="370" t="inlineStr">
        <is>
          <t>ND</t>
        </is>
      </c>
      <c r="L1217" s="371" t="inlineStr">
        <is>
          <t>ND</t>
        </is>
      </c>
      <c r="M1217" s="1420" t="inlineStr">
        <is>
          <t>NivRisqCRR3</t>
        </is>
      </c>
      <c r="N1217" s="231" t="inlineStr">
        <is>
          <t>Facultatif</t>
        </is>
      </c>
      <c r="O1217" s="236" t="inlineStr">
        <is>
          <t>Optional</t>
        </is>
      </c>
      <c r="P1217" s="269" t="inlineStr">
        <is>
          <t>LC.0511</t>
        </is>
      </c>
      <c r="Q1217" s="269" t="inlineStr">
        <is>
          <t>TA Z8NRCRR3</t>
        </is>
      </c>
      <c r="R1217" s="1249" t="inlineStr">
        <is>
          <t>Si renseigné, le CCF associé à ce niveau de risque sera pris en compte dans le calcul de la valeur exposée au risque EAD, sinon le CCF est déterminé en central à partir du type de risque et de la maturité de l'engagement</t>
        </is>
      </c>
      <c r="S1217" s="235" t="inlineStr">
        <is>
          <t>If completed, the CCF associated with this risk level will be considered in the calculation of the EAD risk exposure value, otherwise the CCF is determined centrally based on the risk type and maturity of the funds in use</t>
        </is>
      </c>
      <c r="T1217" s="313" t="inlineStr">
        <is>
          <t>ALPHA</t>
        </is>
      </c>
      <c r="U1217" s="237" t="inlineStr">
        <is>
          <t>NA</t>
        </is>
      </c>
      <c r="V1217" s="238" t="inlineStr">
        <is>
          <t>NA</t>
        </is>
      </c>
      <c r="W1217" s="257" t="n">
        <v>1</v>
      </c>
      <c r="X1217" s="994" t="inlineStr">
        <is>
          <t>NA</t>
        </is>
      </c>
      <c r="Y1217" s="237" t="n">
        <v>44</v>
      </c>
      <c r="Z1217" s="237" t="inlineStr">
        <is>
          <t>NA</t>
        </is>
      </c>
      <c r="AA1217" s="270" t="inlineStr">
        <is>
          <t>NA</t>
        </is>
      </c>
      <c r="AB1217" s="1286" t="inlineStr">
        <is>
          <t>CALCULS PRUDENTIELS</t>
        </is>
      </c>
      <c r="AC1217" s="231" t="inlineStr">
        <is>
          <t>ND</t>
        </is>
      </c>
      <c r="AD1217" s="257" t="inlineStr">
        <is>
          <t>N</t>
        </is>
      </c>
      <c r="AE1217" s="257" t="inlineStr">
        <is>
          <t>NA</t>
        </is>
      </c>
      <c r="AF1217" s="257" t="inlineStr">
        <is>
          <t>NA</t>
        </is>
      </c>
      <c r="AG1217" s="258" t="inlineStr">
        <is>
          <t>NA</t>
        </is>
      </c>
      <c r="AH1217" s="89" t="n"/>
      <c r="AI1217" s="316" t="n"/>
      <c r="AJ1217" s="317" t="n"/>
      <c r="AK1217" s="257" t="n"/>
      <c r="AL1217" s="258" t="n"/>
      <c r="AM1217" s="318" t="inlineStr">
        <is>
          <t>Si elle est renseignée, la valeur doit être connue du Langage Commun associé</t>
        </is>
      </c>
      <c r="AN1217" s="317" t="inlineStr">
        <is>
          <t>If specified, the value must be known to the associated Common Language</t>
        </is>
      </c>
      <c r="AO1217" s="257" t="n">
        <v>7</v>
      </c>
      <c r="AP1217" s="212" t="inlineStr">
        <is>
          <t>TIG0001</t>
        </is>
      </c>
      <c r="AQ1217" s="318" t="n"/>
      <c r="AR1217" s="317" t="n"/>
      <c r="AS1217" s="257" t="n"/>
      <c r="AT1217" s="258" t="n"/>
      <c r="AU1217" s="318" t="n"/>
      <c r="AV1217" s="317" t="n"/>
      <c r="AW1217" s="257" t="n"/>
      <c r="AX1217" s="258" t="n"/>
      <c r="AY1217" s="318" t="n"/>
      <c r="AZ1217" s="317" t="n"/>
      <c r="BA1217" s="257" t="n"/>
      <c r="BB1217" s="258" t="n"/>
      <c r="BC1217" s="316" t="n"/>
      <c r="BD1217" s="317" t="n"/>
      <c r="BE1217" s="257" t="n"/>
      <c r="BF1217" s="258" t="n"/>
      <c r="BG1217" s="89" t="n"/>
      <c r="BH12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17">
        <f>_xlfn.LET(r,ROW(),oc,INDEX($A:$A,r),cv,TRIM(INDEX($Y:$Y,r)&amp;""),IF(oc&lt;&gt;"P1","",IF(cv="45","V45 - novo, nao alimentado pelo spool atual","V44 - alimentado pelo spool atual")))</f>
        <v/>
      </c>
    </row>
    <row r="1218" ht="54" customFormat="1" customHeight="1" s="90">
      <c r="A1218" s="306" t="inlineStr">
        <is>
          <t>P2</t>
        </is>
      </c>
      <c r="B1218" s="307" t="n">
        <v>321</v>
      </c>
      <c r="C1218" s="269" t="inlineStr">
        <is>
          <t>03 - Caractéristiques Générales</t>
        </is>
      </c>
      <c r="D1218" s="236" t="inlineStr">
        <is>
          <t>03 - General characteristics</t>
        </is>
      </c>
      <c r="E1218" s="307" t="inlineStr">
        <is>
          <t>P2 21.55</t>
        </is>
      </c>
      <c r="F1218" s="308" t="inlineStr">
        <is>
          <t>NATure d'Opération de l'engagement pour le calcul Output floor</t>
        </is>
      </c>
      <c r="G1218" s="309" t="inlineStr">
        <is>
          <t>Commitment Transaction Nature for Output floor calculation</t>
        </is>
      </c>
      <c r="H1218" s="309" t="n"/>
      <c r="I1218" s="308" t="inlineStr">
        <is>
          <t>Correspond à la classification de l'encours pour le calcul en Output Floor selon la nomenclature Groupe CA "NATO" commune aux Risques et à la Comptabilité.</t>
        </is>
      </c>
      <c r="J1218" s="309" t="inlineStr">
        <is>
          <t>Represents the classification of outstanding amounts for Output floor calculation on the basis of the CA Group shared Risk and Accounting "NATO" (transaction nature) nomenclature</t>
        </is>
      </c>
      <c r="K1218" s="370" t="inlineStr">
        <is>
          <t>ND</t>
        </is>
      </c>
      <c r="L1218" s="371" t="inlineStr">
        <is>
          <t>ND</t>
        </is>
      </c>
      <c r="M1218" s="1420" t="inlineStr">
        <is>
          <t>cdNatOpCalcOutFloor</t>
        </is>
      </c>
      <c r="N1218" s="231" t="inlineStr">
        <is>
          <t>Obligatoire</t>
        </is>
      </c>
      <c r="O1218" s="236" t="inlineStr">
        <is>
          <t>Mandatory</t>
        </is>
      </c>
      <c r="P1218" s="269" t="inlineStr">
        <is>
          <t>LC.0064</t>
        </is>
      </c>
      <c r="Q1218" s="269" t="inlineStr">
        <is>
          <t xml:space="preserve">TA H8NATOPE
</t>
        </is>
      </c>
      <c r="R1218" s="241" t="inlineStr">
        <is>
          <t>Il s'agit ici de la NATure d'Opération telle que déterminée et employée par l'entité pour la déclaration de l'outputfloor</t>
        </is>
      </c>
      <c r="S1218" s="235" t="inlineStr">
        <is>
          <t>This is the Operation NATure as determined and used by the entity for the outputfloor reporting</t>
        </is>
      </c>
      <c r="T1218" s="313" t="inlineStr">
        <is>
          <t>ALPHA</t>
        </is>
      </c>
      <c r="U1218" s="237" t="inlineStr">
        <is>
          <t>NA</t>
        </is>
      </c>
      <c r="V1218" s="238" t="inlineStr">
        <is>
          <t>NA</t>
        </is>
      </c>
      <c r="W1218" s="257" t="n">
        <v>12</v>
      </c>
      <c r="X1218" s="994" t="inlineStr">
        <is>
          <t>NA</t>
        </is>
      </c>
      <c r="Y1218" s="237" t="n">
        <v>44</v>
      </c>
      <c r="Z1218" s="237" t="inlineStr">
        <is>
          <t>NA</t>
        </is>
      </c>
      <c r="AA1218" s="270" t="inlineStr">
        <is>
          <t>NA</t>
        </is>
      </c>
      <c r="AB1218" s="1286" t="inlineStr">
        <is>
          <t>CALCULS PRUDENTIELS</t>
        </is>
      </c>
      <c r="AC1218" s="231" t="inlineStr">
        <is>
          <t>ND</t>
        </is>
      </c>
      <c r="AD1218" s="257" t="inlineStr">
        <is>
          <t>N</t>
        </is>
      </c>
      <c r="AE1218" s="257" t="inlineStr">
        <is>
          <t>NA</t>
        </is>
      </c>
      <c r="AF1218" s="257" t="inlineStr">
        <is>
          <t>NA</t>
        </is>
      </c>
      <c r="AG1218" s="258" t="inlineStr">
        <is>
          <t>NA</t>
        </is>
      </c>
      <c r="AH1218" s="89" t="n"/>
      <c r="AI1218" s="316" t="inlineStr">
        <is>
          <t>La donnée est obligatoire</t>
        </is>
      </c>
      <c r="AJ1218" s="434" t="inlineStr">
        <is>
          <t>The data is mandatory</t>
        </is>
      </c>
      <c r="AK1218" s="257" t="n">
        <v>7</v>
      </c>
      <c r="AL1218" s="258" t="inlineStr">
        <is>
          <t>TPG0001</t>
        </is>
      </c>
      <c r="AM1218" s="318" t="inlineStr">
        <is>
          <t>Si elle est renseignée, la valeur doit être connue du Langage Commun associé</t>
        </is>
      </c>
      <c r="AN1218" s="317" t="inlineStr">
        <is>
          <t>If specified, the value must be known to the associated Common Language</t>
        </is>
      </c>
      <c r="AO1218" s="257" t="n">
        <v>7</v>
      </c>
      <c r="AP1218" s="212" t="inlineStr">
        <is>
          <t>TIG0001</t>
        </is>
      </c>
      <c r="AQ1218" s="318" t="n"/>
      <c r="AR1218" s="317" t="n"/>
      <c r="AS1218" s="257" t="n"/>
      <c r="AT1218" s="258" t="n"/>
      <c r="AU1218" s="318" t="n"/>
      <c r="AV1218" s="317" t="n"/>
      <c r="AW1218" s="257" t="n"/>
      <c r="AX1218" s="258" t="n"/>
      <c r="AY1218" s="318" t="n"/>
      <c r="AZ1218" s="317" t="n"/>
      <c r="BA1218" s="257" t="n"/>
      <c r="BB1218" s="258" t="n"/>
      <c r="BC1218" s="316" t="n"/>
      <c r="BD1218" s="317" t="n"/>
      <c r="BE1218" s="257" t="n"/>
      <c r="BF1218" s="258" t="n"/>
      <c r="BG1218" s="89" t="n"/>
      <c r="BH12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18">
        <f>_xlfn.LET(r,ROW(),oc,INDEX($A:$A,r),cv,TRIM(INDEX($Y:$Y,r)&amp;""),IF(oc&lt;&gt;"P1","",IF(cv="45","V45 - novo, nao alimentado pelo spool atual","V44 - alimentado pelo spool atual")))</f>
        <v/>
      </c>
    </row>
    <row r="1219" ht="54" customFormat="1" customHeight="1" s="90">
      <c r="A1219" s="325" t="inlineStr">
        <is>
          <t>P2</t>
        </is>
      </c>
      <c r="B1219" s="326" t="n">
        <v>322</v>
      </c>
      <c r="C1219" s="284" t="inlineStr">
        <is>
          <t>16 - Identification Tiers</t>
        </is>
      </c>
      <c r="D1219" s="244" t="inlineStr">
        <is>
          <t>16 - Third party identification</t>
        </is>
      </c>
      <c r="E1219" s="326" t="inlineStr">
        <is>
          <t>P2 21.89</t>
        </is>
      </c>
      <c r="F1219" s="327" t="inlineStr">
        <is>
          <t>Identifiant local du client de l'intermédiaire compensateur</t>
        </is>
      </c>
      <c r="G1219" s="327" t="inlineStr">
        <is>
          <t>Local identifier of the clearing intermediary's customer</t>
        </is>
      </c>
      <c r="H1219" s="327" t="n"/>
      <c r="I1219" s="327" t="inlineStr">
        <is>
          <t>Identifiant du client de l'intermédiaire compensateur dans le système local utilisé pour générer le flux.
Identifiant local du client intragroupe pour le compte duquel l'intermédiaire (entité déclarante) réalise la compensation via CCP sans garantie de bonne fin.
Ce champ est à renseigner sur les opérations entre l'intermédiaire et la CCP.</t>
        </is>
      </c>
      <c r="J1219" s="327" t="inlineStr">
        <is>
          <t>Identifier of the clearing intermediary's customer in the local system used to generate the flow.
The local identifier of the intra-group customer on whose behalf the intermediary (reporting entity) makes the compensation via CCP without a completion guarantee.
This field is to be filled on declared transactions between the intermediary and the CCP.</t>
        </is>
      </c>
      <c r="K1219" s="388" t="inlineStr">
        <is>
          <t>NA</t>
        </is>
      </c>
      <c r="L1219" s="388" t="inlineStr">
        <is>
          <t>NA</t>
        </is>
      </c>
      <c r="M1219" s="1421" t="inlineStr">
        <is>
          <t>idLocalCliCompens</t>
        </is>
      </c>
      <c r="N1219" s="284" t="inlineStr">
        <is>
          <t>NA</t>
        </is>
      </c>
      <c r="O1219" s="244" t="inlineStr">
        <is>
          <t>NA</t>
        </is>
      </c>
      <c r="P1219" s="284" t="inlineStr">
        <is>
          <t>NA</t>
        </is>
      </c>
      <c r="Q1219" s="284" t="inlineStr">
        <is>
          <t>NA</t>
        </is>
      </c>
      <c r="R1219" s="245" t="inlineStr">
        <is>
          <t>Ce champ est à renseigner sur les opérations entre l'intermédiaire et la CCP. Il ne devrait être renseigné que lorsque le client fait partie du groupe Crédit Agricole.
Champ réservé à CACEIS</t>
        </is>
      </c>
      <c r="S1219" s="247" t="inlineStr">
        <is>
          <t>This field is for information on the transactions between the intermediary and the CCP. It should only be provided when the customer Credit Agricole Group is part of the
Field reserved for CACEIS</t>
        </is>
      </c>
      <c r="T1219" s="326" t="inlineStr">
        <is>
          <t>ALPHA</t>
        </is>
      </c>
      <c r="U1219" s="248" t="inlineStr">
        <is>
          <t>NA</t>
        </is>
      </c>
      <c r="V1219" s="248" t="inlineStr">
        <is>
          <t>NA</t>
        </is>
      </c>
      <c r="W1219" s="284" t="n">
        <v>20</v>
      </c>
      <c r="X1219" s="284" t="inlineStr">
        <is>
          <t>NA</t>
        </is>
      </c>
      <c r="Y1219" s="248" t="n">
        <v>44</v>
      </c>
      <c r="Z1219" s="248" t="n">
        <v>44</v>
      </c>
      <c r="AA1219" s="249" t="inlineStr">
        <is>
          <t>NA</t>
        </is>
      </c>
      <c r="AB1219" s="284" t="inlineStr">
        <is>
          <t>CRR3</t>
        </is>
      </c>
      <c r="AC1219" s="244" t="inlineStr">
        <is>
          <t>NA</t>
        </is>
      </c>
      <c r="AD1219" s="284" t="inlineStr">
        <is>
          <t>N</t>
        </is>
      </c>
      <c r="AE1219" s="284" t="inlineStr">
        <is>
          <t>NA</t>
        </is>
      </c>
      <c r="AF1219" s="284" t="inlineStr">
        <is>
          <t>NA</t>
        </is>
      </c>
      <c r="AG1219" s="285" t="inlineStr">
        <is>
          <t>NA</t>
        </is>
      </c>
      <c r="AH1219" s="89" t="n"/>
      <c r="AI1219" s="720" t="n"/>
      <c r="AJ1219" s="721" t="n"/>
      <c r="AK1219" s="722" t="n"/>
      <c r="AL1219" s="723" t="n"/>
      <c r="AM1219" s="721" t="n"/>
      <c r="AN1219" s="721" t="n"/>
      <c r="AO1219" s="722" t="n"/>
      <c r="AP1219" s="723" t="n"/>
      <c r="AQ1219" s="721" t="n"/>
      <c r="AR1219" s="721" t="n"/>
      <c r="AS1219" s="722" t="n"/>
      <c r="AT1219" s="723" t="n"/>
      <c r="AU1219" s="721" t="n"/>
      <c r="AV1219" s="721" t="n"/>
      <c r="AW1219" s="722" t="n"/>
      <c r="AX1219" s="723" t="n"/>
      <c r="AY1219" s="834" t="n"/>
      <c r="AZ1219" s="834" t="n"/>
      <c r="BA1219" s="835" t="n"/>
      <c r="BB1219" s="836" t="n"/>
      <c r="BC1219" s="720" t="n"/>
      <c r="BD1219" s="721" t="n"/>
      <c r="BE1219" s="722" t="n"/>
      <c r="BF1219" s="723" t="n"/>
      <c r="BG1219" s="89" t="n"/>
      <c r="BH12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19">
        <f>_xlfn.LET(r,ROW(),oc,INDEX($A:$A,r),cv,TRIM(INDEX($Y:$Y,r)&amp;""),IF(oc&lt;&gt;"P1","",IF(cv="45","V45 - novo, nao alimentado pelo spool atual","V44 - alimentado pelo spool atual")))</f>
        <v/>
      </c>
    </row>
    <row r="1220" ht="54" customFormat="1" customHeight="1" s="90">
      <c r="A1220" s="325" t="inlineStr">
        <is>
          <t>P2</t>
        </is>
      </c>
      <c r="B1220" s="326" t="n">
        <v>323</v>
      </c>
      <c r="C1220" s="284" t="inlineStr">
        <is>
          <t>16 - Identification Tiers</t>
        </is>
      </c>
      <c r="D1220" s="244" t="inlineStr">
        <is>
          <t>16 - Third party identification</t>
        </is>
      </c>
      <c r="E1220" s="326" t="inlineStr">
        <is>
          <t>P2 21.90</t>
        </is>
      </c>
      <c r="F1220" s="327" t="inlineStr">
        <is>
          <t>Identifiant tiers central du client de l'intermédiaire compensateur</t>
        </is>
      </c>
      <c r="G1220" s="327" t="inlineStr">
        <is>
          <t>Central identifier of the clearing intermediary's customer</t>
        </is>
      </c>
      <c r="H1220" s="327" t="n"/>
      <c r="I1220" s="327" t="inlineStr">
        <is>
          <t>Identifiant tiers central du client intragroupe pour le compte duquel l'intermédiaire (entité déclarante) réalise la compensation via CCP sans garantie de bonne fin.
Ce champ est à renseigner sur les opérations entre l'intermédiaire et la CCP.</t>
        </is>
      </c>
      <c r="J1220" s="327" t="inlineStr">
        <is>
          <t>The central identifier of the intra-group customer on whose behalf the intermediary (reporting entity) makes the compensation via CCP without a completion guarantee.
This field is to be filled on declared transactions between the intermediary and the CCP.</t>
        </is>
      </c>
      <c r="K1220" s="388" t="inlineStr">
        <is>
          <t>NA</t>
        </is>
      </c>
      <c r="L1220" s="388" t="inlineStr">
        <is>
          <t>NA</t>
        </is>
      </c>
      <c r="M1220" s="1421" t="inlineStr">
        <is>
          <t>idCentralCliCompens</t>
        </is>
      </c>
      <c r="N1220" s="244" t="inlineStr">
        <is>
          <t>NA</t>
        </is>
      </c>
      <c r="O1220" s="244" t="inlineStr">
        <is>
          <t>NA</t>
        </is>
      </c>
      <c r="P1220" s="284" t="inlineStr">
        <is>
          <t>NA</t>
        </is>
      </c>
      <c r="Q1220" s="284" t="inlineStr">
        <is>
          <t>NA</t>
        </is>
      </c>
      <c r="R1220" s="245" t="inlineStr">
        <is>
          <t>Ce champ est à renseigner sur les opérations entre l'intermédiaire et la CCP. Il ne devrait être renseigné que lorsque le client fait partie du groupe Crédit Agricole.
Champ réservé à CACEIS</t>
        </is>
      </c>
      <c r="S1220" s="247" t="inlineStr">
        <is>
          <t>This field is for information on the transactions between the intermediary and the CCP. It should only be provided when the customer Credit Agricole Group is part of the
Field reserved for CACEIS</t>
        </is>
      </c>
      <c r="T1220" s="326" t="inlineStr">
        <is>
          <t>ALPHA</t>
        </is>
      </c>
      <c r="U1220" s="248" t="inlineStr">
        <is>
          <t>NA</t>
        </is>
      </c>
      <c r="V1220" s="248" t="inlineStr">
        <is>
          <t>NA</t>
        </is>
      </c>
      <c r="W1220" s="284" t="n">
        <v>10</v>
      </c>
      <c r="X1220" s="284" t="inlineStr">
        <is>
          <t>NA</t>
        </is>
      </c>
      <c r="Y1220" s="248" t="n">
        <v>44</v>
      </c>
      <c r="Z1220" s="248" t="n">
        <v>44</v>
      </c>
      <c r="AA1220" s="249" t="inlineStr">
        <is>
          <t>NA</t>
        </is>
      </c>
      <c r="AB1220" s="284" t="inlineStr">
        <is>
          <t>CRR3</t>
        </is>
      </c>
      <c r="AC1220" s="244" t="inlineStr">
        <is>
          <t>NA</t>
        </is>
      </c>
      <c r="AD1220" s="284" t="inlineStr">
        <is>
          <t>N</t>
        </is>
      </c>
      <c r="AE1220" s="284" t="inlineStr">
        <is>
          <t>NA</t>
        </is>
      </c>
      <c r="AF1220" s="284" t="inlineStr">
        <is>
          <t>NA</t>
        </is>
      </c>
      <c r="AG1220" s="285" t="inlineStr">
        <is>
          <t>NA</t>
        </is>
      </c>
      <c r="AH1220" s="89" t="n"/>
      <c r="AI1220" s="330" t="n"/>
      <c r="AJ1220" s="331" t="n"/>
      <c r="AK1220" s="284" t="n"/>
      <c r="AL1220" s="285" t="n"/>
      <c r="AM1220" s="331" t="n"/>
      <c r="AN1220" s="331" t="n"/>
      <c r="AO1220" s="284" t="n"/>
      <c r="AP1220" s="285" t="n"/>
      <c r="AQ1220" s="331" t="n"/>
      <c r="AR1220" s="331" t="n"/>
      <c r="AS1220" s="284" t="n"/>
      <c r="AT1220" s="285" t="n"/>
      <c r="AU1220" s="331" t="n"/>
      <c r="AV1220" s="331" t="n"/>
      <c r="AW1220" s="284" t="n"/>
      <c r="AX1220" s="285" t="n"/>
      <c r="AY1220" s="834" t="n"/>
      <c r="AZ1220" s="834" t="n"/>
      <c r="BA1220" s="835" t="n"/>
      <c r="BB1220" s="836" t="n"/>
      <c r="BC1220" s="330" t="n"/>
      <c r="BD1220" s="331" t="n"/>
      <c r="BE1220" s="284" t="n"/>
      <c r="BF1220" s="285" t="n"/>
      <c r="BG1220" s="89" t="n"/>
      <c r="BH12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20">
        <f>_xlfn.LET(r,ROW(),oc,INDEX($A:$A,r),cv,TRIM(INDEX($Y:$Y,r)&amp;""),IF(oc&lt;&gt;"P1","",IF(cv="45","V45 - novo, nao alimentado pelo spool atual","V44 - alimentado pelo spool atual")))</f>
        <v/>
      </c>
    </row>
    <row r="1221" ht="54" customFormat="1" customHeight="1" s="90">
      <c r="A1221" s="306" t="inlineStr">
        <is>
          <t>P2</t>
        </is>
      </c>
      <c r="B1221" s="307" t="n">
        <v>324</v>
      </c>
      <c r="C1221" s="269" t="inlineStr">
        <is>
          <t>31 - Paramètres bâlois</t>
        </is>
      </c>
      <c r="D1221" s="236" t="inlineStr">
        <is>
          <t>31 - Basel settings</t>
        </is>
      </c>
      <c r="E1221" s="307" t="inlineStr">
        <is>
          <t>P2 21.47</t>
        </is>
      </c>
      <c r="F1221" s="308" t="inlineStr">
        <is>
          <t>Pondération Bâloise de l'engagement pour le calcul de l'Output Floor</t>
        </is>
      </c>
      <c r="G1221" s="309" t="inlineStr">
        <is>
          <t>Basel weighting of commitment for the Output Floor calculation</t>
        </is>
      </c>
      <c r="H1221" s="309" t="n"/>
      <c r="I1221" s="308" t="inlineStr">
        <is>
          <t>Correspond à la pondération bâloise calculée pour l'encours en méthodes SA ou ERBA pour les besoins du calcul de l'outputfloor.
Exprimée en pourcentage.</t>
        </is>
      </c>
      <c r="J1221" s="309" t="inlineStr">
        <is>
          <t>Corresponds to the Basel weighting calculated for the outstanding amount in SA or ERBA methods for the purpose of calculating the outputfloor.
Expressed in percentage.</t>
        </is>
      </c>
      <c r="K1221" s="370" t="inlineStr">
        <is>
          <t>ND</t>
        </is>
      </c>
      <c r="L1221" s="371" t="inlineStr">
        <is>
          <t>ND</t>
        </is>
      </c>
      <c r="M1221" s="1420" t="inlineStr">
        <is>
          <t>txPondBalOutFloor</t>
        </is>
      </c>
      <c r="N1221" s="231" t="inlineStr">
        <is>
          <t>Obligatoire sous conditions</t>
        </is>
      </c>
      <c r="O1221" s="236" t="inlineStr">
        <is>
          <t>Mandatory under conditions</t>
        </is>
      </c>
      <c r="P1221" s="269" t="inlineStr">
        <is>
          <t>NA</t>
        </is>
      </c>
      <c r="Q1221" s="269" t="inlineStr">
        <is>
          <t>NA</t>
        </is>
      </c>
      <c r="R1221" s="1249" t="inlineStr">
        <is>
          <t>Concerne uniquement les titrisations</t>
        </is>
      </c>
      <c r="S1221" s="233" t="inlineStr">
        <is>
          <t>Covers only securizations</t>
        </is>
      </c>
      <c r="T1221" s="313" t="inlineStr">
        <is>
          <t>NUM</t>
        </is>
      </c>
      <c r="U1221" s="237" t="inlineStr">
        <is>
          <t>10 dont signe et 5 décimales</t>
        </is>
      </c>
      <c r="V1221" s="238" t="inlineStr">
        <is>
          <t>10 including sign and 5 decimals</t>
        </is>
      </c>
      <c r="W1221" s="257" t="n">
        <v>10</v>
      </c>
      <c r="X1221" s="994" t="inlineStr">
        <is>
          <t>NA</t>
        </is>
      </c>
      <c r="Y1221" s="237" t="n">
        <v>44</v>
      </c>
      <c r="Z1221" s="237" t="inlineStr">
        <is>
          <t>NA</t>
        </is>
      </c>
      <c r="AA1221" s="270" t="inlineStr">
        <is>
          <t>NA</t>
        </is>
      </c>
      <c r="AB1221" s="1286" t="inlineStr">
        <is>
          <t>CALCULS PRUDENTIELS</t>
        </is>
      </c>
      <c r="AC1221" s="231" t="inlineStr">
        <is>
          <t>ND</t>
        </is>
      </c>
      <c r="AD1221" s="257" t="inlineStr">
        <is>
          <t>N</t>
        </is>
      </c>
      <c r="AE1221" s="257" t="inlineStr">
        <is>
          <t>NA</t>
        </is>
      </c>
      <c r="AF1221" s="257" t="inlineStr">
        <is>
          <t>NA</t>
        </is>
      </c>
      <c r="AG1221" s="258" t="inlineStr">
        <is>
          <t>NA</t>
        </is>
      </c>
      <c r="AH1221" s="89" t="n"/>
      <c r="AI1221" s="353" t="inlineStr">
        <is>
          <t xml:space="preserve">La donnée est obligatoire si le Portefeuille Bâle Opération [P2 2.18] = ‘070' </t>
        </is>
      </c>
      <c r="AJ1221" s="434" t="inlineStr">
        <is>
          <t xml:space="preserve">The data is mandatory if Basel Transaction Portfolio [P2 2.18] = ‘070' </t>
        </is>
      </c>
      <c r="AK1221" s="257" t="n">
        <v>6</v>
      </c>
      <c r="AL1221" s="473" t="inlineStr">
        <is>
          <t>TPS1701</t>
        </is>
      </c>
      <c r="AM1221" s="318" t="n"/>
      <c r="AN1221" s="317" t="n"/>
      <c r="AO1221" s="257" t="n"/>
      <c r="AP1221" s="258" t="n"/>
      <c r="AQ1221" s="318" t="n"/>
      <c r="AR1221" s="317" t="n"/>
      <c r="AS1221" s="257" t="n"/>
      <c r="AT1221" s="258" t="n"/>
      <c r="AU1221" s="318" t="n"/>
      <c r="AV1221" s="317" t="n"/>
      <c r="AW1221" s="257" t="n"/>
      <c r="AX1221" s="258" t="n"/>
      <c r="AY1221" s="318" t="n"/>
      <c r="AZ1221" s="317" t="n"/>
      <c r="BA1221" s="257" t="n"/>
      <c r="BB1221" s="258" t="n"/>
      <c r="BC1221" s="316" t="n"/>
      <c r="BD1221" s="317" t="n"/>
      <c r="BE1221" s="257" t="n"/>
      <c r="BF1221" s="258" t="n"/>
      <c r="BG1221" s="89" t="n"/>
      <c r="BH12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21">
        <f>_xlfn.LET(r,ROW(),oc,INDEX($A:$A,r),cv,TRIM(INDEX($Y:$Y,r)&amp;""),IF(oc&lt;&gt;"P1","",IF(cv="45","V45 - novo, nao alimentado pelo spool atual","V44 - alimentado pelo spool atual")))</f>
        <v/>
      </c>
    </row>
    <row r="1222" ht="54" customFormat="1" customHeight="1" s="90">
      <c r="A1222" s="306" t="inlineStr">
        <is>
          <t>P2</t>
        </is>
      </c>
      <c r="B1222" s="307" t="n">
        <v>325</v>
      </c>
      <c r="C1222" s="269" t="inlineStr">
        <is>
          <t>17 - Caractéristiques Titres</t>
        </is>
      </c>
      <c r="D1222" s="236" t="inlineStr">
        <is>
          <t>17 - Securities characteristics</t>
        </is>
      </c>
      <c r="E1222" s="307" t="inlineStr">
        <is>
          <t>P2 21.56</t>
        </is>
      </c>
      <c r="F1222" s="308" t="inlineStr">
        <is>
          <t xml:space="preserve">Indicateur Intention de revente à court terme </t>
        </is>
      </c>
      <c r="G1222" s="309" t="inlineStr">
        <is>
          <t>Short-term resale intention indicator</t>
        </is>
      </c>
      <c r="H1222" s="309" t="n"/>
      <c r="I1222" s="308" t="inlineStr">
        <is>
          <t>indique que l'investissement est à des fins de revente à court terme - valable uniquement pour les actions non cotées.
se référer à l'Article 133-4-a du réglement CRR3</t>
        </is>
      </c>
      <c r="J1222" s="309" t="inlineStr">
        <is>
          <t>indicates that the investment is for short-term resale purposes - only for unlisted share.
More details in Article 133-4-a of CRR3 regulation</t>
        </is>
      </c>
      <c r="K1222" s="370" t="inlineStr">
        <is>
          <t>ND</t>
        </is>
      </c>
      <c r="L1222" s="371" t="inlineStr">
        <is>
          <t>ND</t>
        </is>
      </c>
      <c r="M1222" s="1420" t="inlineStr">
        <is>
          <t>indReventeCT</t>
        </is>
      </c>
      <c r="N1222" s="257" t="inlineStr">
        <is>
          <t>Obligatoire sous conditions</t>
        </is>
      </c>
      <c r="O1222" s="236" t="inlineStr">
        <is>
          <t>Mandatory under conditions</t>
        </is>
      </c>
      <c r="P1222" s="269" t="inlineStr">
        <is>
          <t>LC.0504</t>
        </is>
      </c>
      <c r="Q1222" s="269" t="inlineStr">
        <is>
          <t>TA Z8INTRCT</t>
        </is>
      </c>
      <c r="R1222" s="241" t="inlineStr">
        <is>
          <t>NA</t>
        </is>
      </c>
      <c r="S1222" s="233" t="inlineStr">
        <is>
          <t>NA</t>
        </is>
      </c>
      <c r="T1222" s="313" t="inlineStr">
        <is>
          <t>ALPHA</t>
        </is>
      </c>
      <c r="U1222" s="237" t="inlineStr">
        <is>
          <t>NA</t>
        </is>
      </c>
      <c r="V1222" s="238" t="inlineStr">
        <is>
          <t>NA</t>
        </is>
      </c>
      <c r="W1222" s="257" t="n">
        <v>1</v>
      </c>
      <c r="X1222" s="994" t="inlineStr">
        <is>
          <t>NA</t>
        </is>
      </c>
      <c r="Y1222" s="237" t="n">
        <v>44</v>
      </c>
      <c r="Z1222" s="237" t="inlineStr">
        <is>
          <t>NA</t>
        </is>
      </c>
      <c r="AA1222" s="270" t="inlineStr">
        <is>
          <t>NA</t>
        </is>
      </c>
      <c r="AB1222" s="1286" t="inlineStr">
        <is>
          <t>CALCULS PRUDENTIELS</t>
        </is>
      </c>
      <c r="AC1222" s="231" t="inlineStr">
        <is>
          <t>ND</t>
        </is>
      </c>
      <c r="AD1222" s="257" t="inlineStr">
        <is>
          <t>N</t>
        </is>
      </c>
      <c r="AE1222" s="257" t="inlineStr">
        <is>
          <t>NA</t>
        </is>
      </c>
      <c r="AF1222" s="257" t="inlineStr">
        <is>
          <t>NA</t>
        </is>
      </c>
      <c r="AG1222" s="258" t="inlineStr">
        <is>
          <t>NA</t>
        </is>
      </c>
      <c r="AH1222" s="89" t="n"/>
      <c r="AI1222" s="353" t="inlineStr">
        <is>
          <t>La donnée est obligatoire si le type de risque [P2 2.0] est égal à EQU* ou ISS200 ou TRE405 ou TRE406</t>
        </is>
      </c>
      <c r="AJ1222" s="434" t="inlineStr">
        <is>
          <t>The data is mandatory if Risk type [P2 2.0] is equal to EQU* or ISS200 or TRE405 or TRE406</t>
        </is>
      </c>
      <c r="AK1222" s="257" t="n">
        <v>6</v>
      </c>
      <c r="AL1222" s="469" t="inlineStr">
        <is>
          <t>TPS1769</t>
        </is>
      </c>
      <c r="AM1222" s="318" t="inlineStr">
        <is>
          <t>Si elle est renseignée, la valeur doit être connue du Langage Commun associé</t>
        </is>
      </c>
      <c r="AN1222" s="317" t="inlineStr">
        <is>
          <t>If specified, the value must be known to the associated Common Language</t>
        </is>
      </c>
      <c r="AO1222" s="257" t="n">
        <v>7</v>
      </c>
      <c r="AP1222" s="212" t="inlineStr">
        <is>
          <t>TIG0001</t>
        </is>
      </c>
      <c r="AQ1222" s="318" t="n"/>
      <c r="AR1222" s="317" t="n"/>
      <c r="AS1222" s="257" t="n"/>
      <c r="AT1222" s="258" t="n"/>
      <c r="AU1222" s="318" t="n"/>
      <c r="AV1222" s="317" t="n"/>
      <c r="AW1222" s="257" t="n"/>
      <c r="AX1222" s="258" t="n"/>
      <c r="AY1222" s="318" t="n"/>
      <c r="AZ1222" s="317" t="n"/>
      <c r="BA1222" s="257" t="n"/>
      <c r="BB1222" s="258" t="n"/>
      <c r="BC1222" s="316" t="n"/>
      <c r="BD1222" s="317" t="n"/>
      <c r="BE1222" s="257" t="n"/>
      <c r="BF1222" s="258" t="n"/>
      <c r="BG1222" s="89" t="n"/>
      <c r="BH12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22">
        <f>_xlfn.LET(r,ROW(),oc,INDEX($A:$A,r),cv,TRIM(INDEX($Y:$Y,r)&amp;""),IF(oc&lt;&gt;"P1","",IF(cv="45","V45 - novo, nao alimentado pelo spool atual","V44 - alimentado pelo spool atual")))</f>
        <v/>
      </c>
    </row>
    <row r="1223" ht="54" customFormat="1" customHeight="1" s="90">
      <c r="A1223" s="306" t="inlineStr">
        <is>
          <t>P2</t>
        </is>
      </c>
      <c r="B1223" s="307" t="n">
        <v>326</v>
      </c>
      <c r="C1223" s="269" t="inlineStr">
        <is>
          <t>17 - Caractéristiques Titres</t>
        </is>
      </c>
      <c r="D1223" s="236" t="inlineStr">
        <is>
          <t>17 - Securities characteristics</t>
        </is>
      </c>
      <c r="E1223" s="307" t="inlineStr">
        <is>
          <t>P2 21.57</t>
        </is>
      </c>
      <c r="F1223" s="308" t="inlineStr">
        <is>
          <t xml:space="preserve">Indicateur d'investissement en Capital Risque </t>
        </is>
      </c>
      <c r="G1223" s="309" t="inlineStr">
        <is>
          <t xml:space="preserve">Venture Capital investment Indicator </t>
        </is>
      </c>
      <c r="H1223" s="309" t="n"/>
      <c r="I1223" s="737" t="inlineStr">
        <is>
          <t xml:space="preserve">Indique que c'est un investissement dans des entreprises de capital-risque ou investissement similaire qui est acquis en vue de réaliser d'importantes plus-values à court terme - valable uniquement pour les actions non cotées
</t>
        </is>
      </c>
      <c r="J1223" s="309" t="inlineStr">
        <is>
          <t>Indicates that it is an investment in venture capital firms or similar investment which is acquired with a view to making significant short-term capital gains - only for unlisted share</t>
        </is>
      </c>
      <c r="K1223" s="370" t="inlineStr">
        <is>
          <t>ND</t>
        </is>
      </c>
      <c r="L1223" s="371" t="inlineStr">
        <is>
          <t>ND</t>
        </is>
      </c>
      <c r="M1223" s="1420" t="inlineStr">
        <is>
          <t>indInvestCapRisq</t>
        </is>
      </c>
      <c r="N1223" s="257" t="inlineStr">
        <is>
          <t>Obligatoire sous conditions</t>
        </is>
      </c>
      <c r="O1223" s="236" t="inlineStr">
        <is>
          <t>Mandatory under conditions</t>
        </is>
      </c>
      <c r="P1223" s="269" t="inlineStr">
        <is>
          <t>LC.0500</t>
        </is>
      </c>
      <c r="Q1223" s="269" t="inlineStr">
        <is>
          <t>TA Z8INCRIS</t>
        </is>
      </c>
      <c r="R1223" s="241" t="inlineStr">
        <is>
          <t>Se référer à l'Article 133-4-b du réglement CRR3</t>
        </is>
      </c>
      <c r="S1223" s="233" t="inlineStr">
        <is>
          <t>Refer to article 133-4-b of regulation CRR3</t>
        </is>
      </c>
      <c r="T1223" s="313" t="inlineStr">
        <is>
          <t>ALPHA</t>
        </is>
      </c>
      <c r="U1223" s="237" t="inlineStr">
        <is>
          <t>NA</t>
        </is>
      </c>
      <c r="V1223" s="238" t="inlineStr">
        <is>
          <t>NA</t>
        </is>
      </c>
      <c r="W1223" s="257" t="n">
        <v>1</v>
      </c>
      <c r="X1223" s="994" t="inlineStr">
        <is>
          <t>NA</t>
        </is>
      </c>
      <c r="Y1223" s="237" t="n">
        <v>44</v>
      </c>
      <c r="Z1223" s="237" t="inlineStr">
        <is>
          <t>NA</t>
        </is>
      </c>
      <c r="AA1223" s="270" t="inlineStr">
        <is>
          <t>NA</t>
        </is>
      </c>
      <c r="AB1223" s="1286" t="inlineStr">
        <is>
          <t>CALCULS PRUDENTIELS</t>
        </is>
      </c>
      <c r="AC1223" s="231" t="inlineStr">
        <is>
          <t>ND</t>
        </is>
      </c>
      <c r="AD1223" s="257" t="inlineStr">
        <is>
          <t>N</t>
        </is>
      </c>
      <c r="AE1223" s="257" t="inlineStr">
        <is>
          <t>NA</t>
        </is>
      </c>
      <c r="AF1223" s="257" t="inlineStr">
        <is>
          <t>NA</t>
        </is>
      </c>
      <c r="AG1223" s="258" t="inlineStr">
        <is>
          <t>NA</t>
        </is>
      </c>
      <c r="AH1223" s="89" t="n"/>
      <c r="AI1223" s="353" t="inlineStr">
        <is>
          <t>La donnée est obligatoire si le type de risque [P2 2.0] est égal à EQU* ou ISS200 ou TRE405 ou TRE406</t>
        </is>
      </c>
      <c r="AJ1223" s="434" t="inlineStr">
        <is>
          <t>The data is mandatory if Risk type [P2 2.0] is equal to EQU* or ISS200 or TRE405 or TRE406</t>
        </is>
      </c>
      <c r="AK1223" s="257" t="n">
        <v>6</v>
      </c>
      <c r="AL1223" s="469" t="inlineStr">
        <is>
          <t>TPS1769</t>
        </is>
      </c>
      <c r="AM1223" s="318" t="inlineStr">
        <is>
          <t>Si elle est renseignée, la valeur doit être connue du Langage Commun associé</t>
        </is>
      </c>
      <c r="AN1223" s="317" t="inlineStr">
        <is>
          <t>If specified, the value must be known to the associated Common Language</t>
        </is>
      </c>
      <c r="AO1223" s="257" t="n">
        <v>7</v>
      </c>
      <c r="AP1223" s="212" t="inlineStr">
        <is>
          <t>TIG0001</t>
        </is>
      </c>
      <c r="AQ1223" s="318" t="n"/>
      <c r="AR1223" s="317" t="n"/>
      <c r="AS1223" s="257" t="n"/>
      <c r="AT1223" s="258" t="n"/>
      <c r="AU1223" s="318" t="n"/>
      <c r="AV1223" s="317" t="n"/>
      <c r="AW1223" s="257" t="n"/>
      <c r="AX1223" s="258" t="n"/>
      <c r="AY1223" s="318" t="n"/>
      <c r="AZ1223" s="317" t="n"/>
      <c r="BA1223" s="257" t="n"/>
      <c r="BB1223" s="258" t="n"/>
      <c r="BC1223" s="316" t="n"/>
      <c r="BD1223" s="317" t="n"/>
      <c r="BE1223" s="257" t="n"/>
      <c r="BF1223" s="258" t="n"/>
      <c r="BG1223" s="89" t="n"/>
      <c r="BH12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23">
        <f>_xlfn.LET(r,ROW(),oc,INDEX($A:$A,r),cv,TRIM(INDEX($Y:$Y,r)&amp;""),IF(oc&lt;&gt;"P1","",IF(cv="45","V45 - novo, nao alimentado pelo spool atual","V44 - alimentado pelo spool atual")))</f>
        <v/>
      </c>
    </row>
    <row r="1224" ht="54" customFormat="1" customHeight="1" s="90">
      <c r="A1224" s="306" t="inlineStr">
        <is>
          <t>P2</t>
        </is>
      </c>
      <c r="B1224" s="307" t="n">
        <v>327</v>
      </c>
      <c r="C1224" s="269" t="inlineStr">
        <is>
          <t>17 - Caractéristiques Titres</t>
        </is>
      </c>
      <c r="D1224" s="236" t="inlineStr">
        <is>
          <t>17 - Securities characteristics</t>
        </is>
      </c>
      <c r="E1224" s="307" t="inlineStr">
        <is>
          <t>P2 21.58</t>
        </is>
      </c>
      <c r="F1224" s="308" t="inlineStr">
        <is>
          <t xml:space="preserve">Indicateur d'investissement dans un programme législatif </t>
        </is>
      </c>
      <c r="G1224" s="309" t="inlineStr">
        <is>
          <t>Legislative program investment indicator</t>
        </is>
      </c>
      <c r="H1224" s="309" t="n"/>
      <c r="I1224" s="611" t="inlineStr">
        <is>
          <t>Indique s'il s'agit d'un investissement dans un programme législatif</t>
        </is>
      </c>
      <c r="J1224" s="309" t="inlineStr">
        <is>
          <t>Indicates whether this is an investment in a legislative program</t>
        </is>
      </c>
      <c r="K1224" s="370" t="inlineStr">
        <is>
          <t>ND</t>
        </is>
      </c>
      <c r="L1224" s="371" t="inlineStr">
        <is>
          <t>ND</t>
        </is>
      </c>
      <c r="M1224" s="1420" t="inlineStr">
        <is>
          <t>indInvestProgLeg</t>
        </is>
      </c>
      <c r="N1224" s="257" t="inlineStr">
        <is>
          <t>Obligatoire sous conditions</t>
        </is>
      </c>
      <c r="O1224" s="236" t="inlineStr">
        <is>
          <t>Mandatory under conditions</t>
        </is>
      </c>
      <c r="P1224" s="269" t="inlineStr">
        <is>
          <t>LC.0505</t>
        </is>
      </c>
      <c r="Q1224" s="269" t="inlineStr">
        <is>
          <t>TA Z8IPRLEG</t>
        </is>
      </c>
      <c r="R1224" s="241" t="inlineStr">
        <is>
          <t>Se référer à l'Article 133-5 du réglement CRR3</t>
        </is>
      </c>
      <c r="S1224" s="233" t="inlineStr">
        <is>
          <t>Refer to article 133-5 of regulation CRR3</t>
        </is>
      </c>
      <c r="T1224" s="313" t="inlineStr">
        <is>
          <t>ALPHA</t>
        </is>
      </c>
      <c r="U1224" s="237" t="inlineStr">
        <is>
          <t>NA</t>
        </is>
      </c>
      <c r="V1224" s="238" t="inlineStr">
        <is>
          <t>NA</t>
        </is>
      </c>
      <c r="W1224" s="257" t="n">
        <v>1</v>
      </c>
      <c r="X1224" s="994" t="inlineStr">
        <is>
          <t>NA</t>
        </is>
      </c>
      <c r="Y1224" s="237" t="n">
        <v>44</v>
      </c>
      <c r="Z1224" s="237" t="inlineStr">
        <is>
          <t>NA</t>
        </is>
      </c>
      <c r="AA1224" s="270" t="inlineStr">
        <is>
          <t>NA</t>
        </is>
      </c>
      <c r="AB1224" s="1286" t="inlineStr">
        <is>
          <t>CALCULS PRUDENTIELS</t>
        </is>
      </c>
      <c r="AC1224" s="231" t="inlineStr">
        <is>
          <t>ND</t>
        </is>
      </c>
      <c r="AD1224" s="257" t="inlineStr">
        <is>
          <t>N</t>
        </is>
      </c>
      <c r="AE1224" s="257" t="inlineStr">
        <is>
          <t>NA</t>
        </is>
      </c>
      <c r="AF1224" s="257" t="inlineStr">
        <is>
          <t>NA</t>
        </is>
      </c>
      <c r="AG1224" s="258" t="inlineStr">
        <is>
          <t>NA</t>
        </is>
      </c>
      <c r="AH1224" s="89" t="n"/>
      <c r="AI1224" s="353" t="inlineStr">
        <is>
          <t>La donnée est obligatoire si le type de risque [P2 2.0] est égal à EQU* ou ISS200 ou TRE405 ou TRE406</t>
        </is>
      </c>
      <c r="AJ1224" s="434" t="inlineStr">
        <is>
          <t>The data is mandatory if Risk type [P2 2.0] is equal to EQU* or ISS200 or TRE405 or TRE406</t>
        </is>
      </c>
      <c r="AK1224" s="257" t="n">
        <v>6</v>
      </c>
      <c r="AL1224" s="469" t="inlineStr">
        <is>
          <t>TPS1769</t>
        </is>
      </c>
      <c r="AM1224" s="318" t="inlineStr">
        <is>
          <t>Si elle est renseignée, la valeur doit être connue du Langage Commun associé</t>
        </is>
      </c>
      <c r="AN1224" s="317" t="inlineStr">
        <is>
          <t>If specified, the value must be known to the associated Common Language</t>
        </is>
      </c>
      <c r="AO1224" s="257" t="n">
        <v>7</v>
      </c>
      <c r="AP1224" s="212" t="inlineStr">
        <is>
          <t>TIG0001</t>
        </is>
      </c>
      <c r="AQ1224" s="318" t="n"/>
      <c r="AR1224" s="317" t="n"/>
      <c r="AS1224" s="257" t="n"/>
      <c r="AT1224" s="258" t="n"/>
      <c r="AU1224" s="318" t="n"/>
      <c r="AV1224" s="317" t="n"/>
      <c r="AW1224" s="257" t="n"/>
      <c r="AX1224" s="258" t="n"/>
      <c r="AY1224" s="318" t="n"/>
      <c r="AZ1224" s="317" t="n"/>
      <c r="BA1224" s="257" t="n"/>
      <c r="BB1224" s="258" t="n"/>
      <c r="BC1224" s="316" t="n"/>
      <c r="BD1224" s="317" t="n"/>
      <c r="BE1224" s="257" t="n"/>
      <c r="BF1224" s="258" t="n"/>
      <c r="BG1224" s="89" t="n"/>
      <c r="BH12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24">
        <f>_xlfn.LET(r,ROW(),oc,INDEX($A:$A,r),cv,TRIM(INDEX($Y:$Y,r)&amp;""),IF(oc&lt;&gt;"P1","",IF(cv="45","V45 - novo, nao alimentado pelo spool atual","V44 - alimentado pelo spool atual")))</f>
        <v/>
      </c>
    </row>
    <row r="1225" ht="54" customFormat="1" customHeight="1" s="90">
      <c r="A1225" s="306" t="inlineStr">
        <is>
          <t>P2</t>
        </is>
      </c>
      <c r="B1225" s="307" t="n">
        <v>328</v>
      </c>
      <c r="C1225" s="269" t="inlineStr">
        <is>
          <t>12 - Caractéristiques Prêts - Emprunts</t>
        </is>
      </c>
      <c r="D1225" s="236" t="inlineStr">
        <is>
          <t>12 - Loans - Borrowings characteristics</t>
        </is>
      </c>
      <c r="E1225" s="307" t="inlineStr">
        <is>
          <t>P2 21.38</t>
        </is>
      </c>
      <c r="F1225" s="308" t="inlineStr">
        <is>
          <t xml:space="preserve">Indicateur d'exposition garantie par un bien immobilier générateur de revenu (IPRE) </t>
        </is>
      </c>
      <c r="G1225" s="309" t="inlineStr">
        <is>
          <t xml:space="preserve">Exposure guaranteed by an Income Producing Real Estate (IPRE) indicator </t>
        </is>
      </c>
      <c r="H1225" s="309" t="n"/>
      <c r="I1225" s="308" t="inlineStr">
        <is>
          <t>Indique si l'exposition est garantie par un ou plusieurs biens immobiliers résidentiels ou commerciaux lorsque le respect des obligations de crédit liées à l'exposition dépend significativement des flux de trésorerie générés par ces biens immobiliers garantissant cette exposition, plutôt que de la capacité du débiteur à remplir ses obligations de crédit à partir d'autres sources</t>
        </is>
      </c>
      <c r="J1225" s="309" t="inlineStr">
        <is>
          <t>Indicates whether it is an IPRE exposure (Income producing Real Estate);
income-producing real estate exposure" means an exposure secured by one or more residential or commercial properties where satisfaction of the credit obligations associated with the exposure is significantly dependent on the cash flows generated by the properties securing that exposure, rather than on the obligor's ability to meet its credit obligations from other sources</t>
        </is>
      </c>
      <c r="K1225" s="370" t="inlineStr">
        <is>
          <t>ND</t>
        </is>
      </c>
      <c r="L1225" s="371" t="inlineStr">
        <is>
          <t>ND</t>
        </is>
      </c>
      <c r="M1225" s="1420" t="inlineStr">
        <is>
          <t>indExpoGarIPRE</t>
        </is>
      </c>
      <c r="N1225" s="231" t="inlineStr">
        <is>
          <t>Obligatoire sous conditions</t>
        </is>
      </c>
      <c r="O1225" s="236" t="inlineStr">
        <is>
          <t>Mandatory under conditions</t>
        </is>
      </c>
      <c r="P1225" s="269" t="inlineStr">
        <is>
          <t>LC.0497</t>
        </is>
      </c>
      <c r="Q1225" s="269" t="inlineStr">
        <is>
          <t>TA Z8IEIPRE</t>
        </is>
      </c>
      <c r="R1225" s="241" t="inlineStr">
        <is>
          <t>A renseigner s'il s'agit d'un prêt garanti par un bien immobilier</t>
        </is>
      </c>
      <c r="S1225" s="235" t="inlineStr">
        <is>
          <t>To be filled if the loan is secured by real estate</t>
        </is>
      </c>
      <c r="T1225" s="313" t="inlineStr">
        <is>
          <t>ALPHA</t>
        </is>
      </c>
      <c r="U1225" s="237" t="inlineStr">
        <is>
          <t>NA</t>
        </is>
      </c>
      <c r="V1225" s="238" t="inlineStr">
        <is>
          <t>NA</t>
        </is>
      </c>
      <c r="W1225" s="257" t="n">
        <v>1</v>
      </c>
      <c r="X1225" s="994" t="inlineStr">
        <is>
          <t>NA</t>
        </is>
      </c>
      <c r="Y1225" s="237" t="n">
        <v>44</v>
      </c>
      <c r="Z1225" s="237" t="inlineStr">
        <is>
          <t>NA</t>
        </is>
      </c>
      <c r="AA1225" s="270" t="inlineStr">
        <is>
          <t>NA</t>
        </is>
      </c>
      <c r="AB1225" s="1286" t="inlineStr">
        <is>
          <t>CALCULS PRUDENTIELS</t>
        </is>
      </c>
      <c r="AC1225" s="231" t="inlineStr">
        <is>
          <t>ND</t>
        </is>
      </c>
      <c r="AD1225" s="257" t="inlineStr">
        <is>
          <t>N</t>
        </is>
      </c>
      <c r="AE1225" s="257" t="inlineStr">
        <is>
          <t>NA</t>
        </is>
      </c>
      <c r="AF1225" s="257" t="inlineStr">
        <is>
          <t>NA</t>
        </is>
      </c>
      <c r="AG1225" s="258" t="inlineStr">
        <is>
          <t>NA</t>
        </is>
      </c>
      <c r="AH1225" s="89" t="n"/>
      <c r="AI1225" s="837" t="inlineStr">
        <is>
          <t>La donnée est obligatoire si l'Usage du bien immobilier apporté en garantie [P2 3.46] est égal à '1' ou '2' ET l'Indicateur d'exposition sur acquisition, développement et construction (ADC) [P2 21.39] = 'N' ou vide</t>
        </is>
      </c>
      <c r="AJ1225" s="434" t="inlineStr">
        <is>
          <t>The data is mandatory if the Use of real-estate brought into guarantee [P2 3.46] is equal to '1' or '2' AND the Acquisition, Development and Construction (ADC) Exposure Indicator [P2 21.39] = 'N' or empty</t>
        </is>
      </c>
      <c r="AK1225" s="588" t="n">
        <v>6</v>
      </c>
      <c r="AL1225" s="762" t="inlineStr">
        <is>
          <t>TPS1770</t>
        </is>
      </c>
      <c r="AM1225" s="318" t="inlineStr">
        <is>
          <t>Si elle est renseignée, la valeur doit être connue du Langage Commun associé</t>
        </is>
      </c>
      <c r="AN1225" s="317" t="inlineStr">
        <is>
          <t>If specified, the value must be known to the associated Common Language</t>
        </is>
      </c>
      <c r="AO1225" s="257" t="n">
        <v>7</v>
      </c>
      <c r="AP1225" s="212" t="inlineStr">
        <is>
          <t>TIG0001</t>
        </is>
      </c>
      <c r="AQ1225" s="318" t="n"/>
      <c r="AR1225" s="317" t="n"/>
      <c r="AS1225" s="257" t="n"/>
      <c r="AT1225" s="258" t="n"/>
      <c r="AU1225" s="318" t="n"/>
      <c r="AV1225" s="317" t="n"/>
      <c r="AW1225" s="257" t="n"/>
      <c r="AX1225" s="258" t="n"/>
      <c r="AY1225" s="318" t="n"/>
      <c r="AZ1225" s="317" t="n"/>
      <c r="BA1225" s="257" t="n"/>
      <c r="BB1225" s="258" t="n"/>
      <c r="BC1225" s="316" t="n"/>
      <c r="BD1225" s="317" t="n"/>
      <c r="BE1225" s="257" t="n"/>
      <c r="BF1225" s="258" t="n"/>
      <c r="BG1225" s="89" t="n"/>
      <c r="BH12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25">
        <f>_xlfn.LET(r,ROW(),oc,INDEX($A:$A,r),cv,TRIM(INDEX($Y:$Y,r)&amp;""),IF(oc&lt;&gt;"P1","",IF(cv="45","V45 - novo, nao alimentado pelo spool atual","V44 - alimentado pelo spool atual")))</f>
        <v/>
      </c>
    </row>
    <row r="1226" ht="54" customFormat="1" customHeight="1" s="90">
      <c r="A1226" s="306" t="inlineStr">
        <is>
          <t>P2</t>
        </is>
      </c>
      <c r="B1226" s="307" t="n">
        <v>329</v>
      </c>
      <c r="C1226" s="269" t="inlineStr">
        <is>
          <t>12 - Caractéristiques Prêts - Emprunts</t>
        </is>
      </c>
      <c r="D1226" s="236" t="inlineStr">
        <is>
          <t>12 - Loans - Borrowings characteristics</t>
        </is>
      </c>
      <c r="E1226" s="307" t="inlineStr">
        <is>
          <t>P2 21.39</t>
        </is>
      </c>
      <c r="F1226" s="308" t="inlineStr">
        <is>
          <t>Indicateur d'exposition sur acquisition, développement et construction (ADC)</t>
        </is>
      </c>
      <c r="G1226" s="309" t="inlineStr">
        <is>
          <t xml:space="preserve">Acquisition, Development and Construction (ADC) Exposure Indicator </t>
        </is>
      </c>
      <c r="H1226" s="309" t="n"/>
      <c r="I1226" s="308" t="inlineStr">
        <is>
          <t>Indique si l'exposition est sur des entreprises ou des entités ad hoc qui financent toute acquisition de terrains à des fins de promotion et de construction, ou qui financent la promotion et la construction de tout bien immobilier résidentiel ou commercial;</t>
        </is>
      </c>
      <c r="J1226" s="309" t="inlineStr">
        <is>
          <t>Indicates whether it is an ADC exposure (acquisition, development and construction).
Exposures to companies or special purpose entities that finance any acquisition of land for development and construction purposes, or that finance the development and construction of any residential or commercial real estate</t>
        </is>
      </c>
      <c r="K1226" s="370" t="inlineStr">
        <is>
          <t>ND</t>
        </is>
      </c>
      <c r="L1226" s="371" t="inlineStr">
        <is>
          <t>ND</t>
        </is>
      </c>
      <c r="M1226" s="1420" t="inlineStr">
        <is>
          <t>indExpoADC</t>
        </is>
      </c>
      <c r="N1226" s="231" t="inlineStr">
        <is>
          <t>Obligatoire sous conditions</t>
        </is>
      </c>
      <c r="O1226" s="236" t="inlineStr">
        <is>
          <t>Mandatory under conditions</t>
        </is>
      </c>
      <c r="P1226" s="269" t="inlineStr">
        <is>
          <t>LC.0498</t>
        </is>
      </c>
      <c r="Q1226" s="269" t="inlineStr">
        <is>
          <t>TA Z8IESADC</t>
        </is>
      </c>
      <c r="R1226" s="241" t="inlineStr">
        <is>
          <t>A renseigner s'il s'agit d'un prêt garanti par un bien immobilier</t>
        </is>
      </c>
      <c r="S1226" s="235" t="inlineStr">
        <is>
          <t>To be filled if the loan is secured by real estate</t>
        </is>
      </c>
      <c r="T1226" s="313" t="inlineStr">
        <is>
          <t>ALPHA</t>
        </is>
      </c>
      <c r="U1226" s="237" t="inlineStr">
        <is>
          <t>NA</t>
        </is>
      </c>
      <c r="V1226" s="238" t="inlineStr">
        <is>
          <t>NA</t>
        </is>
      </c>
      <c r="W1226" s="257" t="n">
        <v>1</v>
      </c>
      <c r="X1226" s="994" t="inlineStr">
        <is>
          <t>NA</t>
        </is>
      </c>
      <c r="Y1226" s="237" t="n">
        <v>44</v>
      </c>
      <c r="Z1226" s="237" t="inlineStr">
        <is>
          <t>NA</t>
        </is>
      </c>
      <c r="AA1226" s="270" t="inlineStr">
        <is>
          <t>45.00</t>
        </is>
      </c>
      <c r="AB1226" s="1286" t="inlineStr">
        <is>
          <t>CALCULS PRUDENTIELS</t>
        </is>
      </c>
      <c r="AC1226" s="231" t="inlineStr">
        <is>
          <t>ND</t>
        </is>
      </c>
      <c r="AD1226" s="257" t="inlineStr">
        <is>
          <t>N</t>
        </is>
      </c>
      <c r="AE1226" s="257" t="inlineStr">
        <is>
          <t>NA</t>
        </is>
      </c>
      <c r="AF1226" s="257" t="inlineStr">
        <is>
          <t>NA</t>
        </is>
      </c>
      <c r="AG1226" s="258" t="inlineStr">
        <is>
          <t>NA</t>
        </is>
      </c>
      <c r="AH1226" s="89" t="n"/>
      <c r="AI1226" s="830" t="inlineStr">
        <is>
          <t>La donnée est obligatoire si l'Usage du bien immobilier apporté en garantie [P2 3.46] est égal à '1' ou '2'</t>
        </is>
      </c>
      <c r="AJ1226" s="434" t="inlineStr">
        <is>
          <t>The data is mandatory if the Use of real-estate brought into guarantee [P2 3.46] is equal to '1' or '2'</t>
        </is>
      </c>
      <c r="AK1226" s="588" t="n">
        <v>6</v>
      </c>
      <c r="AL1226" s="762" t="inlineStr">
        <is>
          <t>TPS1771</t>
        </is>
      </c>
      <c r="AM1226" s="318" t="inlineStr">
        <is>
          <t>Si elle est renseignée, la valeur doit être connue du Langage Commun associé</t>
        </is>
      </c>
      <c r="AN1226" s="317" t="inlineStr">
        <is>
          <t>If specified, the value must be known to the associated Common Language</t>
        </is>
      </c>
      <c r="AO1226" s="257" t="n">
        <v>7</v>
      </c>
      <c r="AP1226" s="212" t="inlineStr">
        <is>
          <t>TIG0001</t>
        </is>
      </c>
      <c r="AQ1226" s="318" t="n"/>
      <c r="AR1226" s="317" t="n"/>
      <c r="AS1226" s="257" t="n"/>
      <c r="AT1226" s="258" t="n"/>
      <c r="AU1226" s="1283" t="inlineStr">
        <is>
          <t>Si type de risque [P2 2.0] = 'PRI*' OU si Portefeuille Bâle Opération [P2 2.18] = '011, 014', alors la donnée doit être différente de 'Y'</t>
        </is>
      </c>
      <c r="AV1226" s="1001" t="inlineStr">
        <is>
          <t>If Risk type [P2 2.0] = 'PRI*' OR if Basel Transaction Portfolio [P2 2.18] = '011, 014', then the data must be different from 'Y'</t>
        </is>
      </c>
      <c r="AW1226" s="1002" t="n">
        <v>6</v>
      </c>
      <c r="AX1226" s="1284" t="inlineStr">
        <is>
          <t>TCSxxxx</t>
        </is>
      </c>
      <c r="AY1226" s="318" t="n"/>
      <c r="AZ1226" s="317" t="n"/>
      <c r="BA1226" s="257" t="n"/>
      <c r="BB1226" s="258" t="n"/>
      <c r="BC1226" s="316" t="n"/>
      <c r="BD1226" s="317" t="n"/>
      <c r="BE1226" s="257" t="n"/>
      <c r="BF1226" s="258" t="n"/>
      <c r="BG1226" s="89" t="n"/>
      <c r="BH12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26">
        <f>_xlfn.LET(r,ROW(),oc,INDEX($A:$A,r),cv,TRIM(INDEX($Y:$Y,r)&amp;""),IF(oc&lt;&gt;"P1","",IF(cv="45","V45 - novo, nao alimentado pelo spool atual","V44 - alimentado pelo spool atual")))</f>
        <v/>
      </c>
    </row>
    <row r="1227" ht="54" customFormat="1" customHeight="1" s="90">
      <c r="A1227" s="306" t="inlineStr">
        <is>
          <t>P2</t>
        </is>
      </c>
      <c r="B1227" s="307" t="n">
        <v>330</v>
      </c>
      <c r="C1227" s="269" t="inlineStr">
        <is>
          <t>12 - Caractéristiques Prêts - Emprunts</t>
        </is>
      </c>
      <c r="D1227" s="236" t="inlineStr">
        <is>
          <t>12 - Loans - Borrowings characteristics</t>
        </is>
      </c>
      <c r="E1227" s="307" t="inlineStr">
        <is>
          <t>P2 21.40</t>
        </is>
      </c>
      <c r="F1227" s="308" t="inlineStr">
        <is>
          <t>Réalisation des conditions de pondération préférentielle</t>
        </is>
      </c>
      <c r="G1227" s="309" t="inlineStr">
        <is>
          <t>Realization of preferential weighting conditions</t>
        </is>
      </c>
      <c r="H1227" s="1492" t="n"/>
      <c r="I1227" s="1246" t="inlineStr">
        <is>
          <t>indique le respect des conditions des articles 124-3 et 124-2-a du règlement CRR3.
'Pour qu'une exposition garantie par un bien immobilier puisse recevoir le traitement préférentiel pour les pondérations de RWA, les conditions suivantes doivent être réunies:
* si le bien donné en garantie est un bien immobilier commercial =&gt; alors il faut vérifier les conditions de l'article 124-3 de CRR3 et l'exposition doit être NON-IPRE
* si le bien donné en garantie est un bien immobilier résidentiel =&gt; alors il faut vérifier les conditions de l'article 124-3 de CRR3 et l'exposition doit être soit NON-IPRE sans aucune autre condition, soit IPRE mais en respectant en plus les conditions de l'article 124-2-a de CRR3</t>
        </is>
      </c>
      <c r="J1227" s="779" t="inlineStr">
        <is>
          <t>Indicates whether the conditions of articles 124-3 and 124-2-a of the CRR3 regulation are respected.
To have preferred RWA weighting rate, the following conditions must be met:
* if the collateral is commercial real estate =&gt; then the conditions of Article 124-3 of CRR3 must be verified and the exposure must be NON-IPRE
* if the collateral is residential real estate =&gt; then the conditions of Article 124-3 of CRR3 and the exposure must be either NON-IPRE without any other conditions, or IPRE but in addition respecting the conditions of Article 124-2-a of CRR3</t>
        </is>
      </c>
      <c r="K1227" s="370" t="inlineStr">
        <is>
          <t>ND</t>
        </is>
      </c>
      <c r="L1227" s="371" t="inlineStr">
        <is>
          <t>ND</t>
        </is>
      </c>
      <c r="M1227" s="1420" t="inlineStr">
        <is>
          <t>indRealPondePref</t>
        </is>
      </c>
      <c r="N1227" s="231" t="inlineStr">
        <is>
          <t>Obligatoire sous conditions</t>
        </is>
      </c>
      <c r="O1227" s="236" t="inlineStr">
        <is>
          <t>Mandatory under conditions</t>
        </is>
      </c>
      <c r="P1227" s="269" t="inlineStr">
        <is>
          <t>LC.0517</t>
        </is>
      </c>
      <c r="Q1227" s="269" t="inlineStr">
        <is>
          <t>TA Z8RCONPP</t>
        </is>
      </c>
      <c r="R1227" s="241" t="inlineStr">
        <is>
          <t>A renseigner s'il s'agit d'un prêt garanti par un bien immobilier</t>
        </is>
      </c>
      <c r="S1227" s="235" t="inlineStr">
        <is>
          <t>To be filled if the loan is secured by real estate</t>
        </is>
      </c>
      <c r="T1227" s="313" t="inlineStr">
        <is>
          <t>ALPHA</t>
        </is>
      </c>
      <c r="U1227" s="237" t="inlineStr">
        <is>
          <t>NA</t>
        </is>
      </c>
      <c r="V1227" s="238" t="inlineStr">
        <is>
          <t>NA</t>
        </is>
      </c>
      <c r="W1227" s="257" t="n">
        <v>1</v>
      </c>
      <c r="X1227" s="994" t="inlineStr">
        <is>
          <t>NA</t>
        </is>
      </c>
      <c r="Y1227" s="237" t="n">
        <v>44</v>
      </c>
      <c r="Z1227" s="237" t="inlineStr">
        <is>
          <t>NA</t>
        </is>
      </c>
      <c r="AA1227" s="270" t="inlineStr">
        <is>
          <t>NA</t>
        </is>
      </c>
      <c r="AB1227" s="1286" t="inlineStr">
        <is>
          <t>CALCULS PRUDENTIELS</t>
        </is>
      </c>
      <c r="AC1227" s="231" t="inlineStr">
        <is>
          <t>ND</t>
        </is>
      </c>
      <c r="AD1227" s="257" t="inlineStr">
        <is>
          <t>N</t>
        </is>
      </c>
      <c r="AE1227" s="257" t="inlineStr">
        <is>
          <t>NA</t>
        </is>
      </c>
      <c r="AF1227" s="257" t="inlineStr">
        <is>
          <t>NA</t>
        </is>
      </c>
      <c r="AG1227" s="258" t="inlineStr">
        <is>
          <t>NA</t>
        </is>
      </c>
      <c r="AH1227" s="89" t="n"/>
      <c r="AI1227" s="837" t="inlineStr">
        <is>
          <t>La donnée est obligatoire si l'Usage du bien immobilier apporté en garantie [P2 3.46] est égal à '1' ou '2' ET l'Indicateur d'exposition sur acquisition, développement et construction (ADC) [P2 21.39] = 'N' ou vide</t>
        </is>
      </c>
      <c r="AJ1227" s="434" t="inlineStr">
        <is>
          <t>The data is mandatory if the Use of real-estate brought into guarantee [P2 3.46] is equal to '1' or '2' AND the Acquisition, Development and Construction (ADC) Exposure Indicator [P2 21.39] = 'N' or empty</t>
        </is>
      </c>
      <c r="AK1227" s="588" t="n">
        <v>6</v>
      </c>
      <c r="AL1227" s="833" t="inlineStr">
        <is>
          <t>TPS1770</t>
        </is>
      </c>
      <c r="AM1227" s="712" t="inlineStr">
        <is>
          <t>Si elle est renseignée, la valeur doit être connue du Langage Commun associé</t>
        </is>
      </c>
      <c r="AN1227" s="434" t="inlineStr">
        <is>
          <t>If specified, the value must be known to the associated Common Language</t>
        </is>
      </c>
      <c r="AO1227" s="588" t="n">
        <v>7</v>
      </c>
      <c r="AP1227" s="212" t="inlineStr">
        <is>
          <t>TIG0001</t>
        </is>
      </c>
      <c r="AQ1227" s="318" t="n"/>
      <c r="AR1227" s="317" t="n"/>
      <c r="AS1227" s="257" t="n"/>
      <c r="AT1227" s="258" t="n"/>
      <c r="AU1227" s="318" t="n"/>
      <c r="AV1227" s="317" t="n"/>
      <c r="AW1227" s="257" t="n"/>
      <c r="AX1227" s="258" t="n"/>
      <c r="AY1227" s="318" t="n"/>
      <c r="AZ1227" s="317" t="n"/>
      <c r="BA1227" s="257" t="n"/>
      <c r="BB1227" s="258" t="n"/>
      <c r="BC1227" s="316" t="n"/>
      <c r="BD1227" s="317" t="n"/>
      <c r="BE1227" s="257" t="n"/>
      <c r="BF1227" s="258" t="n"/>
      <c r="BG1227" s="89" t="n"/>
      <c r="BH12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27">
        <f>_xlfn.LET(r,ROW(),oc,INDEX($A:$A,r),cv,TRIM(INDEX($Y:$Y,r)&amp;""),IF(oc&lt;&gt;"P1","",IF(cv="45","V45 - novo, nao alimentado pelo spool atual","V44 - alimentado pelo spool atual")))</f>
        <v/>
      </c>
    </row>
    <row r="1228" ht="54" customFormat="1" customHeight="1" s="90">
      <c r="A1228" s="306" t="inlineStr">
        <is>
          <t>P2</t>
        </is>
      </c>
      <c r="B1228" s="307" t="n">
        <v>331</v>
      </c>
      <c r="C1228" s="269" t="inlineStr">
        <is>
          <t>12 - Caractéristiques Prêts - Emprunts</t>
        </is>
      </c>
      <c r="D1228" s="236" t="inlineStr">
        <is>
          <t>12 - Loans - Borrowings characteristics</t>
        </is>
      </c>
      <c r="E1228" s="307" t="inlineStr">
        <is>
          <t>P2 21.41</t>
        </is>
      </c>
      <c r="F1228" s="308" t="inlineStr">
        <is>
          <t xml:space="preserve">Indicateur de dépôt en espèces substantiel </t>
        </is>
      </c>
      <c r="G1228" s="309" t="inlineStr">
        <is>
          <t xml:space="preserve">Indicator of substantial cash deposit </t>
        </is>
      </c>
      <c r="H1228" s="309" t="n"/>
      <c r="I1228" s="737" t="inlineStr">
        <is>
          <t>Pour les expositions sur acquisition, développement et construction (ADC) sur des biens immobiliers résidentiels, indique s'il y a eu un dépôt en espèces substantiel par les acheteurs ou locataires du bien financé.
Le dépôt doit représenter une part importante du total des contrats juridiquement contraignants de prévente ou de prélocation. Ce dépôt sera retenu en cas de résiliation de contrat</t>
        </is>
      </c>
      <c r="J1228" s="309" t="inlineStr">
        <is>
          <t>For residential property exposures on acquisition, devlopment and construction (ADC), indicates whether there has been a substantial cash deposit (which will be withheld in the event of contract termination) by buyers or tenants representing a significant portion of the total legally binding pre-sale or pre-rental contracts</t>
        </is>
      </c>
      <c r="K1228" s="370" t="inlineStr">
        <is>
          <t>ND</t>
        </is>
      </c>
      <c r="L1228" s="371" t="inlineStr">
        <is>
          <t>ND</t>
        </is>
      </c>
      <c r="M1228" s="1420" t="inlineStr">
        <is>
          <t>indDepoEspSubst</t>
        </is>
      </c>
      <c r="N1228" s="231" t="inlineStr">
        <is>
          <t>Obligatoire sous conditions</t>
        </is>
      </c>
      <c r="O1228" s="236" t="inlineStr">
        <is>
          <t>Mandatory under conditions</t>
        </is>
      </c>
      <c r="P1228" s="269" t="inlineStr">
        <is>
          <t>LC.0490</t>
        </is>
      </c>
      <c r="Q1228" s="269" t="inlineStr">
        <is>
          <t>TA Z8IDESUB</t>
        </is>
      </c>
      <c r="R1228" s="241" t="inlineStr">
        <is>
          <t>A renseigner s'il s'agit d'un prêt garanti par un bien immobilier
se référer à l'Article 126bis-2-a du réglement CRR3</t>
        </is>
      </c>
      <c r="S1228" s="235" t="inlineStr">
        <is>
          <t>to be filled if the loan is secured by real estate
refer to Article 126bis-2-a of CRR3</t>
        </is>
      </c>
      <c r="T1228" s="313" t="inlineStr">
        <is>
          <t>ALPHA</t>
        </is>
      </c>
      <c r="U1228" s="237" t="inlineStr">
        <is>
          <t>NA</t>
        </is>
      </c>
      <c r="V1228" s="238" t="inlineStr">
        <is>
          <t>NA</t>
        </is>
      </c>
      <c r="W1228" s="257" t="n">
        <v>1</v>
      </c>
      <c r="X1228" s="994" t="inlineStr">
        <is>
          <t>NA</t>
        </is>
      </c>
      <c r="Y1228" s="237" t="n">
        <v>44</v>
      </c>
      <c r="Z1228" s="237" t="inlineStr">
        <is>
          <t>NA</t>
        </is>
      </c>
      <c r="AA1228" s="270" t="inlineStr">
        <is>
          <t>NA</t>
        </is>
      </c>
      <c r="AB1228" s="1286" t="inlineStr">
        <is>
          <t>CALCULS PRUDENTIELS</t>
        </is>
      </c>
      <c r="AC1228" s="231" t="inlineStr">
        <is>
          <t>ND</t>
        </is>
      </c>
      <c r="AD1228" s="257" t="inlineStr">
        <is>
          <t>N</t>
        </is>
      </c>
      <c r="AE1228" s="257" t="inlineStr">
        <is>
          <t>NA</t>
        </is>
      </c>
      <c r="AF1228" s="257" t="inlineStr">
        <is>
          <t>NA</t>
        </is>
      </c>
      <c r="AG1228" s="258" t="inlineStr">
        <is>
          <t>NA</t>
        </is>
      </c>
      <c r="AH1228" s="89" t="n"/>
      <c r="AI1228" s="838" t="inlineStr">
        <is>
          <t>La donnée est obligatoire si l'Usage du bien immobilier apporté en garantie [P2 3.46] est égal à '1' ET l'Indicateur d'exposition sur acquisition, développement et construction (ADC) [P2 21.39] égal à 'Y'</t>
        </is>
      </c>
      <c r="AJ1228" s="434" t="inlineStr">
        <is>
          <t>The data is mandatory if the Use of real-estate brought into guarantee [P2 3.46] is equal to '1' AND the Acquisition, Development and Construction (ADC) Exposure Indicator [P2 21.39] equal to 'Y'</t>
        </is>
      </c>
      <c r="AK1228" s="588" t="n">
        <v>6</v>
      </c>
      <c r="AL1228" s="831" t="inlineStr">
        <is>
          <t>TPS1772</t>
        </is>
      </c>
      <c r="AM1228" s="318" t="inlineStr">
        <is>
          <t>Si elle est renseignée, la valeur doit être connue du Langage Commun associé</t>
        </is>
      </c>
      <c r="AN1228" s="317" t="inlineStr">
        <is>
          <t>If specified, the value must be known to the associated Common Language</t>
        </is>
      </c>
      <c r="AO1228" s="257" t="n">
        <v>7</v>
      </c>
      <c r="AP1228" s="212" t="inlineStr">
        <is>
          <t>TIG0001</t>
        </is>
      </c>
      <c r="AQ1228" s="318" t="n"/>
      <c r="AR1228" s="317" t="n"/>
      <c r="AS1228" s="257" t="n"/>
      <c r="AT1228" s="258" t="n"/>
      <c r="AU1228" s="318" t="n"/>
      <c r="AV1228" s="317" t="n"/>
      <c r="AW1228" s="257" t="n"/>
      <c r="AX1228" s="258" t="n"/>
      <c r="AY1228" s="318" t="n"/>
      <c r="AZ1228" s="317" t="n"/>
      <c r="BA1228" s="257" t="n"/>
      <c r="BB1228" s="258" t="n"/>
      <c r="BC1228" s="316" t="n"/>
      <c r="BD1228" s="317" t="n"/>
      <c r="BE1228" s="257" t="n"/>
      <c r="BF1228" s="258" t="n"/>
      <c r="BG1228" s="89" t="n"/>
      <c r="BH12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28">
        <f>_xlfn.LET(r,ROW(),oc,INDEX($A:$A,r),cv,TRIM(INDEX($Y:$Y,r)&amp;""),IF(oc&lt;&gt;"P1","",IF(cv="45","V45 - novo, nao alimentado pelo spool atual","V44 - alimentado pelo spool atual")))</f>
        <v/>
      </c>
    </row>
    <row r="1229" ht="54" customFormat="1" customHeight="1" s="90">
      <c r="A1229" s="306" t="inlineStr">
        <is>
          <t>P2</t>
        </is>
      </c>
      <c r="B1229" s="307" t="n">
        <v>332</v>
      </c>
      <c r="C1229" s="269" t="inlineStr">
        <is>
          <t>12 - Caractéristiques Prêts - Emprunts</t>
        </is>
      </c>
      <c r="D1229" s="236" t="inlineStr">
        <is>
          <t>12 - Loans - Borrowings characteristics</t>
        </is>
      </c>
      <c r="E1229" s="307" t="inlineStr">
        <is>
          <t>P2 21.42</t>
        </is>
      </c>
      <c r="F1229" s="308" t="inlineStr">
        <is>
          <t>Indicateur d'apport en fonds propres substantiels</t>
        </is>
      </c>
      <c r="G1229" s="309" t="inlineStr">
        <is>
          <t>Indicator of substancial equity contribution</t>
        </is>
      </c>
      <c r="H1229" s="309" t="n"/>
      <c r="I1229" s="308" t="inlineStr">
        <is>
          <t>Indique si le débiteur a apporté une contribution substantielle au capital total du projet financé. L'apport de cette contribution en capital est d'un montant approprié par rapport à la valeur estimée du bien immobilier résidentiel finalisé.</t>
        </is>
      </c>
      <c r="J1229" s="309" t="inlineStr">
        <is>
          <t>Indicates whether the debtor has made a substantial contribution to the total capital of the financed project. 
The contribution of this capital contribution is of an appropriate amount in relation to the estimated value of the finalized residential property.</t>
        </is>
      </c>
      <c r="K1229" s="370" t="inlineStr">
        <is>
          <t>ND</t>
        </is>
      </c>
      <c r="L1229" s="371" t="inlineStr">
        <is>
          <t>ND</t>
        </is>
      </c>
      <c r="M1229" s="1420" t="inlineStr">
        <is>
          <t>indFondPropSubst</t>
        </is>
      </c>
      <c r="N1229" s="231" t="inlineStr">
        <is>
          <t>Obligatoire sous conditions</t>
        </is>
      </c>
      <c r="O1229" s="236" t="inlineStr">
        <is>
          <t>Mandatory under conditions</t>
        </is>
      </c>
      <c r="P1229" s="269" t="inlineStr">
        <is>
          <t>LC.0486</t>
        </is>
      </c>
      <c r="Q1229" s="269" t="inlineStr">
        <is>
          <t>TA Z8IAEFPS</t>
        </is>
      </c>
      <c r="R1229" s="241" t="inlineStr">
        <is>
          <t>A renseigner s'il s'agit d'un prêt garanti par un bien immobilier.
Lorsque l'établissement a plusieurs expositions garanties par le même bien immobilier il faut les traiter comme une seule exposition combinée et les montants d'exposition bruts pour chacune des expositions sont additionnés pour calculer le montant d'exposition brut de l'exposition combinée.
La valeur du bien immobilier ne dépasse pas la valeur moyenne mesurée pour ce bien ou pour un bien comparable au cours des trois dernières années dans le cas d'un bien immobilier commercial, et au cours des six dernières années dans le cas d'un bien immobilier résidentiel. 
se référer à l'Article 126bis-2-b du réglement CRR3</t>
        </is>
      </c>
      <c r="S1229" s="235" t="inlineStr">
        <is>
          <t>to be filled if it is the loan is secured by real estate.
Where the institution has more than one exposure guaranteed by the same real estate, it shall be treated as one combined exposure and the gross exposure amounts for each of the exposures shall be summed to calculate the gross exposure amount of the combined exposure.
The value of the property does not exceed the average value measured for that property or for a comparable property in the last three years in the case of commercial real estate and in the last six years in the case of residential real estate. 
refer to Article 126a-2-b of CRR3</t>
        </is>
      </c>
      <c r="T1229" s="313" t="inlineStr">
        <is>
          <t>ALPHA</t>
        </is>
      </c>
      <c r="U1229" s="237" t="inlineStr">
        <is>
          <t>NA</t>
        </is>
      </c>
      <c r="V1229" s="238" t="inlineStr">
        <is>
          <t>NA</t>
        </is>
      </c>
      <c r="W1229" s="257" t="n">
        <v>1</v>
      </c>
      <c r="X1229" s="994" t="inlineStr">
        <is>
          <t>NA</t>
        </is>
      </c>
      <c r="Y1229" s="237" t="n">
        <v>44</v>
      </c>
      <c r="Z1229" s="237" t="inlineStr">
        <is>
          <t>NA</t>
        </is>
      </c>
      <c r="AA1229" s="270" t="inlineStr">
        <is>
          <t>NA</t>
        </is>
      </c>
      <c r="AB1229" s="1286" t="inlineStr">
        <is>
          <t>CALCULS PRUDENTIELS</t>
        </is>
      </c>
      <c r="AC1229" s="231" t="inlineStr">
        <is>
          <t>ND</t>
        </is>
      </c>
      <c r="AD1229" s="257" t="inlineStr">
        <is>
          <t>N</t>
        </is>
      </c>
      <c r="AE1229" s="257" t="inlineStr">
        <is>
          <t>NA</t>
        </is>
      </c>
      <c r="AF1229" s="257" t="inlineStr">
        <is>
          <t>NA</t>
        </is>
      </c>
      <c r="AG1229" s="258" t="inlineStr">
        <is>
          <t>NA</t>
        </is>
      </c>
      <c r="AH1229" s="89" t="n"/>
      <c r="AI1229" s="830" t="inlineStr">
        <is>
          <t>La donnée est obligatoire si l'Usage du bien immobilier apporté en garantie [P2 3.46] est égal à '1' ou '2' ET l'Indicateur d'exposition sur acquisition, développement et construction (ADC) [P2 21.39] égal à 'Y'</t>
        </is>
      </c>
      <c r="AJ1229" s="434" t="inlineStr">
        <is>
          <t>The data is mandatory if the Use of real-estate brought into guarantee [P2 3.46] is equal to '1' or '2' AND the Acquisition, Development and Construction (ADC) Exposure Indicator [P2 21.39] equal to 'Y'</t>
        </is>
      </c>
      <c r="AK1229" s="588" t="n">
        <v>6</v>
      </c>
      <c r="AL1229" s="762" t="inlineStr">
        <is>
          <t>TPS1773</t>
        </is>
      </c>
      <c r="AM1229" s="318" t="inlineStr">
        <is>
          <t>Si elle est renseignée, la valeur doit être connue du Langage Commun associé</t>
        </is>
      </c>
      <c r="AN1229" s="317" t="inlineStr">
        <is>
          <t>If specified, the value must be known to the associated Common Language</t>
        </is>
      </c>
      <c r="AO1229" s="257" t="n">
        <v>7</v>
      </c>
      <c r="AP1229" s="212" t="inlineStr">
        <is>
          <t>TIG0001</t>
        </is>
      </c>
      <c r="AQ1229" s="318" t="n"/>
      <c r="AR1229" s="317" t="n"/>
      <c r="AS1229" s="257" t="n"/>
      <c r="AT1229" s="258" t="n"/>
      <c r="AU1229" s="318" t="n"/>
      <c r="AV1229" s="317" t="n"/>
      <c r="AW1229" s="257" t="n"/>
      <c r="AX1229" s="258" t="n"/>
      <c r="AY1229" s="318" t="n"/>
      <c r="AZ1229" s="317" t="n"/>
      <c r="BA1229" s="257" t="n"/>
      <c r="BB1229" s="258" t="n"/>
      <c r="BC1229" s="316" t="n"/>
      <c r="BD1229" s="317" t="n"/>
      <c r="BE1229" s="257" t="n"/>
      <c r="BF1229" s="258" t="n"/>
      <c r="BG1229" s="89" t="n"/>
      <c r="BH12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29">
        <f>_xlfn.LET(r,ROW(),oc,INDEX($A:$A,r),cv,TRIM(INDEX($Y:$Y,r)&amp;""),IF(oc&lt;&gt;"P1","",IF(cv="45","V45 - novo, nao alimentado pelo spool atual","V44 - alimentado pelo spool atual")))</f>
        <v/>
      </c>
    </row>
    <row r="1230" ht="54" customFormat="1" customHeight="1" s="90">
      <c r="A1230" s="306" t="inlineStr">
        <is>
          <t>P2</t>
        </is>
      </c>
      <c r="B1230" s="307" t="n">
        <v>333</v>
      </c>
      <c r="C1230" s="269" t="inlineStr">
        <is>
          <t>29 - Ratio</t>
        </is>
      </c>
      <c r="D1230" s="236" t="inlineStr">
        <is>
          <t>29 - Ratio</t>
        </is>
      </c>
      <c r="E1230" s="307" t="inlineStr">
        <is>
          <t>P2 21.43</t>
        </is>
      </c>
      <c r="F1230" s="308" t="inlineStr">
        <is>
          <t xml:space="preserve">Ratio prudentiel d'Exposition/valeur (ETV) </t>
        </is>
      </c>
      <c r="G1230" s="309" t="inlineStr">
        <is>
          <t>Prudential ratio Exposure To Value (ETV)</t>
        </is>
      </c>
      <c r="H1230" s="309" t="n"/>
      <c r="I1230" s="308" t="inlineStr">
        <is>
          <t>Ce ratio représente la part du montant de l'exposition à date par rapport à la valeur prudente du bien financé
Exprimée en pourcentage</t>
        </is>
      </c>
      <c r="J1230" s="309" t="inlineStr">
        <is>
          <t>Dividing the Exposure Amount revalorised by the prudent Value of the Financed Property
Expressed in percentage</t>
        </is>
      </c>
      <c r="K1230" s="370" t="inlineStr">
        <is>
          <t>ND</t>
        </is>
      </c>
      <c r="L1230" s="371" t="inlineStr">
        <is>
          <t>ND</t>
        </is>
      </c>
      <c r="M1230" s="1420" t="inlineStr">
        <is>
          <t>ratioPrudETV</t>
        </is>
      </c>
      <c r="N1230" s="231" t="inlineStr">
        <is>
          <t>Obligatoire sous conditions</t>
        </is>
      </c>
      <c r="O1230" s="236" t="inlineStr">
        <is>
          <t>Mandatory under conditions</t>
        </is>
      </c>
      <c r="P1230" s="269" t="inlineStr">
        <is>
          <t>NA</t>
        </is>
      </c>
      <c r="Q1230" s="269" t="inlineStr">
        <is>
          <t>NA</t>
        </is>
      </c>
      <c r="R1230" s="241" t="inlineStr">
        <is>
          <t>A renseigner s'il s'agit d'un prêt garanti par un bien immobilier.
Se référer à l'Article 124-5-a du réglement CRR3</t>
        </is>
      </c>
      <c r="S1230" s="235" t="inlineStr">
        <is>
          <t>To be filled if it is the loan is secured by real estate.
Refer to Article 124-5-a of CRR3</t>
        </is>
      </c>
      <c r="T1230" s="313" t="inlineStr">
        <is>
          <t>NUM</t>
        </is>
      </c>
      <c r="U1230" s="237" t="inlineStr">
        <is>
          <t>15 dont signe et 9 décimales</t>
        </is>
      </c>
      <c r="V1230" s="238" t="inlineStr">
        <is>
          <t>15 including sign and 9 decimals</t>
        </is>
      </c>
      <c r="W1230" s="257" t="n">
        <v>15</v>
      </c>
      <c r="X1230" s="994" t="inlineStr">
        <is>
          <t>NA</t>
        </is>
      </c>
      <c r="Y1230" s="237" t="n">
        <v>44</v>
      </c>
      <c r="Z1230" s="237" t="inlineStr">
        <is>
          <t>NA</t>
        </is>
      </c>
      <c r="AA1230" s="270" t="inlineStr">
        <is>
          <t>NA</t>
        </is>
      </c>
      <c r="AB1230" s="1286" t="inlineStr">
        <is>
          <t>CALCULS PRUDENTIELS</t>
        </is>
      </c>
      <c r="AC1230" s="231" t="inlineStr">
        <is>
          <t>ND</t>
        </is>
      </c>
      <c r="AD1230" s="257" t="inlineStr">
        <is>
          <t>N</t>
        </is>
      </c>
      <c r="AE1230" s="257" t="inlineStr">
        <is>
          <t>NA</t>
        </is>
      </c>
      <c r="AF1230" s="257" t="inlineStr">
        <is>
          <t>NA</t>
        </is>
      </c>
      <c r="AG1230" s="258" t="inlineStr">
        <is>
          <t>NA</t>
        </is>
      </c>
      <c r="AH1230" s="89" t="n"/>
      <c r="AI1230" s="837" t="inlineStr">
        <is>
          <t>La donnée est obligatoire si l'Usage du bien immobilier apporté en garantie [P2 3.46] est égal à '1' ou '2' ET l'Indicateur d'exposition sur acquisition, développement et construction (ADC) [P2 21.39] = 'N' ou vide</t>
        </is>
      </c>
      <c r="AJ1230" s="434" t="inlineStr">
        <is>
          <t>The data is mandatory if the Use of real-estate brought into guarantee [P2 3.46] is equal to '1' or '2' AND the Acquisition, Development and Construction (ADC) Exposure Indicator [P2 21.39] = 'N' or empty</t>
        </is>
      </c>
      <c r="AK1230" s="588" t="n">
        <v>6</v>
      </c>
      <c r="AL1230" s="762" t="inlineStr">
        <is>
          <t>TPS1770</t>
        </is>
      </c>
      <c r="AM1230" s="318" t="n"/>
      <c r="AN1230" s="317" t="n"/>
      <c r="AO1230" s="257" t="n"/>
      <c r="AP1230" s="258" t="n"/>
      <c r="AQ1230" s="318" t="n"/>
      <c r="AR1230" s="317" t="n"/>
      <c r="AS1230" s="257" t="n"/>
      <c r="AT1230" s="258" t="n"/>
      <c r="AU1230" s="318" t="n"/>
      <c r="AV1230" s="317" t="n"/>
      <c r="AW1230" s="257" t="n"/>
      <c r="AX1230" s="258" t="n"/>
      <c r="AY1230" s="318" t="n"/>
      <c r="AZ1230" s="317" t="n"/>
      <c r="BA1230" s="257" t="n"/>
      <c r="BB1230" s="258" t="n"/>
      <c r="BC1230" s="316" t="n"/>
      <c r="BD1230" s="317" t="n"/>
      <c r="BE1230" s="257" t="n"/>
      <c r="BF1230" s="258" t="n"/>
      <c r="BG1230" s="89" t="n"/>
      <c r="BH12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30">
        <f>_xlfn.LET(r,ROW(),oc,INDEX($A:$A,r),cv,TRIM(INDEX($Y:$Y,r)&amp;""),IF(oc&lt;&gt;"P1","",IF(cv="45","V45 - novo, nao alimentado pelo spool atual","V44 - alimentado pelo spool atual")))</f>
        <v/>
      </c>
    </row>
    <row r="1231" ht="54" customFormat="1" customHeight="1" s="90">
      <c r="A1231" s="306" t="inlineStr">
        <is>
          <t>P2</t>
        </is>
      </c>
      <c r="B1231" s="307" t="n">
        <v>334</v>
      </c>
      <c r="C1231" s="269" t="inlineStr">
        <is>
          <t>12 - Caractéristiques Prêts - Emprunts</t>
        </is>
      </c>
      <c r="D1231" s="236" t="inlineStr">
        <is>
          <t>12 - Loans - Borrowings characteristics</t>
        </is>
      </c>
      <c r="E1231" s="307" t="inlineStr">
        <is>
          <t>P2 8.13</t>
        </is>
      </c>
      <c r="F1231" s="308" t="inlineStr">
        <is>
          <t>Usage du bien immobilier financé</t>
        </is>
      </c>
      <c r="G1231" s="309" t="inlineStr">
        <is>
          <t>Use of financed property</t>
        </is>
      </c>
      <c r="H1231" s="309" t="n"/>
      <c r="I1231" s="308" t="inlineStr">
        <is>
          <t>Permet de préciser si le bien financé est à usage résidentiel ou à usage commercial</t>
        </is>
      </c>
      <c r="J1231" s="309" t="inlineStr">
        <is>
          <t>Specifies whether the funded property is for residential or commercial use</t>
        </is>
      </c>
      <c r="K1231" s="370" t="inlineStr">
        <is>
          <t>ND</t>
        </is>
      </c>
      <c r="L1231" s="371" t="inlineStr">
        <is>
          <t>ND</t>
        </is>
      </c>
      <c r="M1231" s="1420" t="inlineStr">
        <is>
          <t>cdUSBienFin</t>
        </is>
      </c>
      <c r="N1231" s="599" t="inlineStr">
        <is>
          <t>Obligatoire sous conditions</t>
        </is>
      </c>
      <c r="O1231" s="236" t="inlineStr">
        <is>
          <t>Mandatory under conditions</t>
        </is>
      </c>
      <c r="P1231" s="269" t="inlineStr">
        <is>
          <t>LC.0166</t>
        </is>
      </c>
      <c r="Q1231" s="269" t="inlineStr">
        <is>
          <t>TA KVUSGBI</t>
        </is>
      </c>
      <c r="R1231" s="839" t="inlineStr">
        <is>
          <t>Il s'agit du bien financé (et non du bien apporté en garantie)
Si le bien financé n'est pas un bien immobilier, mettre '0'</t>
        </is>
      </c>
      <c r="S1231" s="233" t="inlineStr">
        <is>
          <t>It is the financed property (not the property assigned as collateral)
If the financed property is not real estate, put '0'</t>
        </is>
      </c>
      <c r="T1231" s="313" t="inlineStr">
        <is>
          <t>ALPHA</t>
        </is>
      </c>
      <c r="U1231" s="237" t="inlineStr">
        <is>
          <t>NA</t>
        </is>
      </c>
      <c r="V1231" s="238" t="inlineStr">
        <is>
          <t>NA</t>
        </is>
      </c>
      <c r="W1231" s="257" t="n">
        <v>1</v>
      </c>
      <c r="X1231" s="994" t="inlineStr">
        <is>
          <t>NA</t>
        </is>
      </c>
      <c r="Y1231" s="237" t="n">
        <v>44</v>
      </c>
      <c r="Z1231" s="237" t="inlineStr">
        <is>
          <t>NA</t>
        </is>
      </c>
      <c r="AA1231" s="270" t="inlineStr">
        <is>
          <t>NA</t>
        </is>
      </c>
      <c r="AB1231" s="269" t="inlineStr">
        <is>
          <t>ESG PILIER 3, NZBA, RISQUE PHYSIQUE</t>
        </is>
      </c>
      <c r="AC1231" s="231" t="inlineStr">
        <is>
          <t>ND</t>
        </is>
      </c>
      <c r="AD1231" s="257" t="inlineStr">
        <is>
          <t>N</t>
        </is>
      </c>
      <c r="AE1231" s="257" t="inlineStr">
        <is>
          <t>NA</t>
        </is>
      </c>
      <c r="AF1231" s="257" t="inlineStr">
        <is>
          <t>NA</t>
        </is>
      </c>
      <c r="AG1231" s="258" t="inlineStr">
        <is>
          <t>NA</t>
        </is>
      </c>
      <c r="AH1231" s="89" t="n"/>
      <c r="AI1231" s="708" t="inlineStr">
        <is>
          <t>La donnée est obligatoire si le type de risque [P2 2.0] = 'TRE2xx' à 'TRE5xx', hors (TRE201, TRE203, TRE205, TRE206, TRE207)</t>
        </is>
      </c>
      <c r="AJ1231" s="317" t="inlineStr">
        <is>
          <t>The data is mandatory if Risk type [P2 2.0] = 'TRE2xx' to 'TRE5xx', out (TRE201, TRE203, TRE205, TRE206, TRE207)</t>
        </is>
      </c>
      <c r="AK1231" s="257" t="n">
        <v>6</v>
      </c>
      <c r="AL1231" s="258" t="inlineStr">
        <is>
          <t>TPS1774</t>
        </is>
      </c>
      <c r="AM1231" s="318" t="inlineStr">
        <is>
          <t>Si elle est renseignée, la valeur doit être connue du Langage Commun associé</t>
        </is>
      </c>
      <c r="AN1231" s="317" t="inlineStr">
        <is>
          <t>If specified, the value must be known to the associated Common Language</t>
        </is>
      </c>
      <c r="AO1231" s="257" t="n">
        <v>7</v>
      </c>
      <c r="AP1231" s="212" t="inlineStr">
        <is>
          <t>TIG0001</t>
        </is>
      </c>
      <c r="AQ1231" s="318" t="n"/>
      <c r="AR1231" s="317" t="n"/>
      <c r="AS1231" s="257" t="n"/>
      <c r="AT1231" s="258" t="n"/>
      <c r="AU1231" s="318" t="n"/>
      <c r="AV1231" s="317" t="n"/>
      <c r="AW1231" s="257" t="n"/>
      <c r="AX1231" s="258" t="n"/>
      <c r="AY1231" s="318" t="n"/>
      <c r="AZ1231" s="317" t="n"/>
      <c r="BA1231" s="257" t="n"/>
      <c r="BB1231" s="258" t="n"/>
      <c r="BC1231" s="316" t="n"/>
      <c r="BD1231" s="317" t="n"/>
      <c r="BE1231" s="257" t="n"/>
      <c r="BF1231" s="258" t="n"/>
      <c r="BG1231" s="89" t="n"/>
      <c r="BH12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31">
        <f>_xlfn.LET(r,ROW(),oc,INDEX($A:$A,r),cv,TRIM(INDEX($Y:$Y,r)&amp;""),IF(oc&lt;&gt;"P1","",IF(cv="45","V45 - novo, nao alimentado pelo spool atual","V44 - alimentado pelo spool atual")))</f>
        <v/>
      </c>
    </row>
    <row r="1232" ht="54" customFormat="1" customHeight="1" s="90">
      <c r="A1232" s="306" t="inlineStr">
        <is>
          <t>P2</t>
        </is>
      </c>
      <c r="B1232" s="307" t="n">
        <v>335</v>
      </c>
      <c r="C1232" s="269" t="inlineStr">
        <is>
          <t>27 - Caractéristiques extra-financière</t>
        </is>
      </c>
      <c r="D1232" s="236" t="inlineStr">
        <is>
          <t>27 - Extra-financial caracteristics</t>
        </is>
      </c>
      <c r="E1232" s="307" t="inlineStr">
        <is>
          <t>P2 21.71</t>
        </is>
      </c>
      <c r="F1232" s="683" t="inlineStr">
        <is>
          <t>Lieu d'investissement du bien principal financé : Nom commune</t>
        </is>
      </c>
      <c r="G1232" s="309" t="inlineStr">
        <is>
          <t>Investment location of the principal asset financed: Commune name</t>
        </is>
      </c>
      <c r="H1232" s="309" t="n"/>
      <c r="I1232" s="308" t="inlineStr">
        <is>
          <t>Lieu d'investissement du bien financé : Nom de la commune</t>
        </is>
      </c>
      <c r="J1232" s="309" t="inlineStr">
        <is>
          <t>Investment location of the financed asset: Name of the commune</t>
        </is>
      </c>
      <c r="K1232" s="370" t="inlineStr">
        <is>
          <t>ND</t>
        </is>
      </c>
      <c r="L1232" s="371" t="inlineStr">
        <is>
          <t>ND</t>
        </is>
      </c>
      <c r="M1232" s="1420" t="inlineStr">
        <is>
          <t>NomCommBienFin</t>
        </is>
      </c>
      <c r="N1232" s="257" t="inlineStr">
        <is>
          <t>Facultatif</t>
        </is>
      </c>
      <c r="O1232" s="236" t="inlineStr">
        <is>
          <t>Optional</t>
        </is>
      </c>
      <c r="P1232" s="269" t="inlineStr">
        <is>
          <t>LC.0369</t>
        </is>
      </c>
      <c r="Q1232" s="269" t="inlineStr">
        <is>
          <t>TA COMU0001 à COMU0098</t>
        </is>
      </c>
      <c r="R1232" s="241" t="inlineStr">
        <is>
          <t>NA</t>
        </is>
      </c>
      <c r="S1232" s="233" t="inlineStr">
        <is>
          <t>NA</t>
        </is>
      </c>
      <c r="T1232" s="313" t="inlineStr">
        <is>
          <t>ALPHA</t>
        </is>
      </c>
      <c r="U1232" s="237" t="inlineStr">
        <is>
          <t>NA</t>
        </is>
      </c>
      <c r="V1232" s="238" t="inlineStr">
        <is>
          <t>NA</t>
        </is>
      </c>
      <c r="W1232" s="257" t="n">
        <v>40</v>
      </c>
      <c r="X1232" s="994" t="inlineStr">
        <is>
          <t>NA</t>
        </is>
      </c>
      <c r="Y1232" s="237" t="n">
        <v>44</v>
      </c>
      <c r="Z1232" s="237" t="inlineStr">
        <is>
          <t>NA</t>
        </is>
      </c>
      <c r="AA1232" s="239" t="inlineStr">
        <is>
          <t>NA</t>
        </is>
      </c>
      <c r="AB1232" s="269" t="inlineStr">
        <is>
          <t>NZBA, RISQUE PHYSIQUE</t>
        </is>
      </c>
      <c r="AC1232" s="231" t="inlineStr">
        <is>
          <t>ND</t>
        </is>
      </c>
      <c r="AD1232" s="257" t="inlineStr">
        <is>
          <t>N</t>
        </is>
      </c>
      <c r="AE1232" s="257" t="inlineStr">
        <is>
          <t>NA</t>
        </is>
      </c>
      <c r="AF1232" s="257" t="inlineStr">
        <is>
          <t>NA</t>
        </is>
      </c>
      <c r="AG1232" s="258" t="inlineStr">
        <is>
          <t>NA</t>
        </is>
      </c>
      <c r="AH1232" s="89" t="n"/>
      <c r="AI1232" s="826" t="n"/>
      <c r="AJ1232" s="434" t="n"/>
      <c r="AK1232" s="257" t="n"/>
      <c r="AL1232" s="285" t="n"/>
      <c r="AM1232" s="331" t="n"/>
      <c r="AN1232" s="434" t="n"/>
      <c r="AO1232" s="588" t="n"/>
      <c r="AP1232" s="753" t="n"/>
      <c r="AQ1232" s="318" t="n"/>
      <c r="AR1232" s="317" t="n"/>
      <c r="AS1232" s="257" t="n"/>
      <c r="AT1232" s="258" t="n"/>
      <c r="AU1232" s="318" t="n"/>
      <c r="AV1232" s="317" t="n"/>
      <c r="AW1232" s="257" t="n"/>
      <c r="AX1232" s="258" t="n"/>
      <c r="AY1232" s="318" t="n"/>
      <c r="AZ1232" s="317" t="n"/>
      <c r="BA1232" s="257" t="n"/>
      <c r="BB1232" s="258" t="n"/>
      <c r="BC1232" s="316" t="n"/>
      <c r="BD1232" s="317" t="n"/>
      <c r="BE1232" s="257" t="n"/>
      <c r="BF1232" s="258" t="n"/>
      <c r="BG1232" s="89" t="n"/>
      <c r="BH12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32">
        <f>_xlfn.LET(r,ROW(),oc,INDEX($A:$A,r),cv,TRIM(INDEX($Y:$Y,r)&amp;""),IF(oc&lt;&gt;"P1","",IF(cv="45","V45 - novo, nao alimentado pelo spool atual","V44 - alimentado pelo spool atual")))</f>
        <v/>
      </c>
    </row>
    <row r="1233" ht="54" customFormat="1" customHeight="1" s="90">
      <c r="A1233" s="306" t="inlineStr">
        <is>
          <t>P2</t>
        </is>
      </c>
      <c r="B1233" s="307" t="n">
        <v>336</v>
      </c>
      <c r="C1233" s="269" t="inlineStr">
        <is>
          <t>27 - Caractéristiques extra-financière</t>
        </is>
      </c>
      <c r="D1233" s="236" t="inlineStr">
        <is>
          <t>27 - Extra-financial caracteristics</t>
        </is>
      </c>
      <c r="E1233" s="307" t="inlineStr">
        <is>
          <t>P2 21.72</t>
        </is>
      </c>
      <c r="F1233" s="683" t="inlineStr">
        <is>
          <t>Lieu d'investissement du bien principal financé : numéro dans la voie</t>
        </is>
      </c>
      <c r="G1233" s="309" t="inlineStr">
        <is>
          <t>Investment location of the principal asset financed: number in the road/street</t>
        </is>
      </c>
      <c r="H1233" s="309" t="n"/>
      <c r="I1233" s="308" t="inlineStr">
        <is>
          <t>Lieu d'investissement du bien financé : numéro dans la voie</t>
        </is>
      </c>
      <c r="J1233" s="309" t="inlineStr">
        <is>
          <t>Investment location of the financed asset: number in the road name</t>
        </is>
      </c>
      <c r="K1233" s="370" t="inlineStr">
        <is>
          <t>ND</t>
        </is>
      </c>
      <c r="L1233" s="371" t="inlineStr">
        <is>
          <t>ND</t>
        </is>
      </c>
      <c r="M1233" s="1420" t="inlineStr">
        <is>
          <t>NumVoieBienFin</t>
        </is>
      </c>
      <c r="N1233" s="257" t="inlineStr">
        <is>
          <t>Facultatif</t>
        </is>
      </c>
      <c r="O1233" s="236" t="inlineStr">
        <is>
          <t>Optional</t>
        </is>
      </c>
      <c r="P1233" s="269" t="inlineStr">
        <is>
          <t>NA</t>
        </is>
      </c>
      <c r="Q1233" s="269" t="inlineStr">
        <is>
          <t>NA</t>
        </is>
      </c>
      <c r="R1233" s="241" t="inlineStr">
        <is>
          <t>NA</t>
        </is>
      </c>
      <c r="S1233" s="233" t="inlineStr">
        <is>
          <t>NA</t>
        </is>
      </c>
      <c r="T1233" s="313" t="inlineStr">
        <is>
          <t>ALPHA</t>
        </is>
      </c>
      <c r="U1233" s="237" t="inlineStr">
        <is>
          <t>NA</t>
        </is>
      </c>
      <c r="V1233" s="238" t="inlineStr">
        <is>
          <t>NA</t>
        </is>
      </c>
      <c r="W1233" s="257" t="n">
        <v>40</v>
      </c>
      <c r="X1233" s="994" t="inlineStr">
        <is>
          <t>NA</t>
        </is>
      </c>
      <c r="Y1233" s="237" t="n">
        <v>44</v>
      </c>
      <c r="Z1233" s="237" t="inlineStr">
        <is>
          <t>NA</t>
        </is>
      </c>
      <c r="AA1233" s="239" t="inlineStr">
        <is>
          <t>NA</t>
        </is>
      </c>
      <c r="AB1233" s="269" t="inlineStr">
        <is>
          <t>NZBA, RISQUE PHYSIQUE</t>
        </is>
      </c>
      <c r="AC1233" s="231" t="inlineStr">
        <is>
          <t>ND</t>
        </is>
      </c>
      <c r="AD1233" s="257" t="inlineStr">
        <is>
          <t>N</t>
        </is>
      </c>
      <c r="AE1233" s="257" t="inlineStr">
        <is>
          <t>NA</t>
        </is>
      </c>
      <c r="AF1233" s="257" t="inlineStr">
        <is>
          <t>NA</t>
        </is>
      </c>
      <c r="AG1233" s="258" t="inlineStr">
        <is>
          <t>NA</t>
        </is>
      </c>
      <c r="AH1233" s="89" t="n"/>
      <c r="AI1233" s="826" t="n"/>
      <c r="AJ1233" s="434" t="n"/>
      <c r="AK1233" s="257" t="n"/>
      <c r="AL1233" s="257" t="n"/>
      <c r="AM1233" s="318" t="n"/>
      <c r="AN1233" s="317" t="n"/>
      <c r="AO1233" s="257" t="n"/>
      <c r="AP1233" s="258" t="n"/>
      <c r="AQ1233" s="318" t="n"/>
      <c r="AR1233" s="317" t="n"/>
      <c r="AS1233" s="257" t="n"/>
      <c r="AT1233" s="258" t="n"/>
      <c r="AU1233" s="318" t="n"/>
      <c r="AV1233" s="317" t="n"/>
      <c r="AW1233" s="257" t="n"/>
      <c r="AX1233" s="258" t="n"/>
      <c r="AY1233" s="318" t="n"/>
      <c r="AZ1233" s="317" t="n"/>
      <c r="BA1233" s="257" t="n"/>
      <c r="BB1233" s="258" t="n"/>
      <c r="BC1233" s="316" t="n"/>
      <c r="BD1233" s="317" t="n"/>
      <c r="BE1233" s="257" t="n"/>
      <c r="BF1233" s="258" t="n"/>
      <c r="BG1233" s="89" t="n"/>
      <c r="BH12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33">
        <f>_xlfn.LET(r,ROW(),oc,INDEX($A:$A,r),cv,TRIM(INDEX($Y:$Y,r)&amp;""),IF(oc&lt;&gt;"P1","",IF(cv="45","V45 - novo, nao alimentado pelo spool atual","V44 - alimentado pelo spool atual")))</f>
        <v/>
      </c>
    </row>
    <row r="1234" ht="54" customFormat="1" customHeight="1" s="90">
      <c r="A1234" s="306" t="inlineStr">
        <is>
          <t>P2</t>
        </is>
      </c>
      <c r="B1234" s="307" t="n">
        <v>337</v>
      </c>
      <c r="C1234" s="269" t="inlineStr">
        <is>
          <t>27 - Caractéristiques extra-financière</t>
        </is>
      </c>
      <c r="D1234" s="236" t="inlineStr">
        <is>
          <t>27 - Extra-financial caracteristics</t>
        </is>
      </c>
      <c r="E1234" s="307" t="inlineStr">
        <is>
          <t>P2 21.73</t>
        </is>
      </c>
      <c r="F1234" s="683" t="inlineStr">
        <is>
          <t>Lieu d'investissement du bien principal financé : extension</t>
        </is>
      </c>
      <c r="G1234" s="309" t="inlineStr">
        <is>
          <t>Investment location of the principal asset financed: Extension to the number</t>
        </is>
      </c>
      <c r="H1234" s="309" t="n"/>
      <c r="I1234" s="308" t="inlineStr">
        <is>
          <t>Lieu d'investissement du bien financé : extension (bis, ter…)</t>
        </is>
      </c>
      <c r="J1234" s="309" t="inlineStr">
        <is>
          <t>Investment location of the financed asset: Extension to the number</t>
        </is>
      </c>
      <c r="K1234" s="370" t="inlineStr">
        <is>
          <t>ND</t>
        </is>
      </c>
      <c r="L1234" s="371" t="inlineStr">
        <is>
          <t>ND</t>
        </is>
      </c>
      <c r="M1234" s="1420" t="inlineStr">
        <is>
          <t>ExtNumBienFin</t>
        </is>
      </c>
      <c r="N1234" s="231" t="inlineStr">
        <is>
          <t>Facultatif</t>
        </is>
      </c>
      <c r="O1234" s="236" t="inlineStr">
        <is>
          <t>Optional</t>
        </is>
      </c>
      <c r="P1234" s="269" t="inlineStr">
        <is>
          <t>NA</t>
        </is>
      </c>
      <c r="Q1234" s="269" t="inlineStr">
        <is>
          <t>NA</t>
        </is>
      </c>
      <c r="R1234" s="241" t="inlineStr">
        <is>
          <t>NA</t>
        </is>
      </c>
      <c r="S1234" s="233" t="inlineStr">
        <is>
          <t>NA</t>
        </is>
      </c>
      <c r="T1234" s="313" t="inlineStr">
        <is>
          <t>ALPHA</t>
        </is>
      </c>
      <c r="U1234" s="237" t="inlineStr">
        <is>
          <t>NA</t>
        </is>
      </c>
      <c r="V1234" s="238" t="inlineStr">
        <is>
          <t>NA</t>
        </is>
      </c>
      <c r="W1234" s="257" t="n">
        <v>40</v>
      </c>
      <c r="X1234" s="994" t="inlineStr">
        <is>
          <t>NA</t>
        </is>
      </c>
      <c r="Y1234" s="237" t="n">
        <v>44</v>
      </c>
      <c r="Z1234" s="237" t="inlineStr">
        <is>
          <t>NA</t>
        </is>
      </c>
      <c r="AA1234" s="239" t="inlineStr">
        <is>
          <t>NA</t>
        </is>
      </c>
      <c r="AB1234" s="269" t="inlineStr">
        <is>
          <t>RISQUE PHYSIQUE</t>
        </is>
      </c>
      <c r="AC1234" s="231" t="inlineStr">
        <is>
          <t>ND</t>
        </is>
      </c>
      <c r="AD1234" s="257" t="inlineStr">
        <is>
          <t>N</t>
        </is>
      </c>
      <c r="AE1234" s="257" t="inlineStr">
        <is>
          <t>NA</t>
        </is>
      </c>
      <c r="AF1234" s="257" t="inlineStr">
        <is>
          <t>NA</t>
        </is>
      </c>
      <c r="AG1234" s="258" t="inlineStr">
        <is>
          <t>NA</t>
        </is>
      </c>
      <c r="AH1234" s="89" t="n"/>
      <c r="AI1234" s="316" t="n"/>
      <c r="AJ1234" s="317" t="n"/>
      <c r="AK1234" s="257" t="n"/>
      <c r="AL1234" s="257" t="n"/>
      <c r="AM1234" s="318" t="n"/>
      <c r="AN1234" s="317" t="n"/>
      <c r="AO1234" s="257" t="n"/>
      <c r="AP1234" s="258" t="n"/>
      <c r="AQ1234" s="318" t="n"/>
      <c r="AR1234" s="317" t="n"/>
      <c r="AS1234" s="257" t="n"/>
      <c r="AT1234" s="258" t="n"/>
      <c r="AU1234" s="318" t="n"/>
      <c r="AV1234" s="317" t="n"/>
      <c r="AW1234" s="257" t="n"/>
      <c r="AX1234" s="258" t="n"/>
      <c r="AY1234" s="318" t="n"/>
      <c r="AZ1234" s="317" t="n"/>
      <c r="BA1234" s="257" t="n"/>
      <c r="BB1234" s="258" t="n"/>
      <c r="BC1234" s="316" t="n"/>
      <c r="BD1234" s="317" t="n"/>
      <c r="BE1234" s="257" t="n"/>
      <c r="BF1234" s="258" t="n"/>
      <c r="BG1234" s="89" t="n"/>
      <c r="BH12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34">
        <f>_xlfn.LET(r,ROW(),oc,INDEX($A:$A,r),cv,TRIM(INDEX($Y:$Y,r)&amp;""),IF(oc&lt;&gt;"P1","",IF(cv="45","V45 - novo, nao alimentado pelo spool atual","V44 - alimentado pelo spool atual")))</f>
        <v/>
      </c>
    </row>
    <row r="1235" ht="54" customFormat="1" customHeight="1" s="90">
      <c r="A1235" s="306" t="inlineStr">
        <is>
          <t>P2</t>
        </is>
      </c>
      <c r="B1235" s="307" t="n">
        <v>338</v>
      </c>
      <c r="C1235" s="269" t="inlineStr">
        <is>
          <t>27 - Caractéristiques extra-financière</t>
        </is>
      </c>
      <c r="D1235" s="236" t="inlineStr">
        <is>
          <t>27 - Extra-financial caracteristics</t>
        </is>
      </c>
      <c r="E1235" s="307" t="inlineStr">
        <is>
          <t>P2 21.74</t>
        </is>
      </c>
      <c r="F1235" s="683" t="inlineStr">
        <is>
          <t>Lieu d'investissement du bien principal financé : type de voie</t>
        </is>
      </c>
      <c r="G1235" s="309" t="inlineStr">
        <is>
          <t>Investment location of the principal asset financed: type of road</t>
        </is>
      </c>
      <c r="H1235" s="309" t="n"/>
      <c r="I1235" s="308" t="inlineStr">
        <is>
          <t>Lieu d'investissement du bien financé : type de voie (rue, avenue, allée, boulevard etc…)</t>
        </is>
      </c>
      <c r="J1235" s="309" t="inlineStr">
        <is>
          <t>Investment location of the financed asset: type of road</t>
        </is>
      </c>
      <c r="K1235" s="370" t="inlineStr">
        <is>
          <t>ND</t>
        </is>
      </c>
      <c r="L1235" s="371" t="inlineStr">
        <is>
          <t>ND</t>
        </is>
      </c>
      <c r="M1235" s="1420" t="inlineStr">
        <is>
          <t>TypVoieBienFin</t>
        </is>
      </c>
      <c r="N1235" s="231" t="inlineStr">
        <is>
          <t>Facultatif</t>
        </is>
      </c>
      <c r="O1235" s="236" t="inlineStr">
        <is>
          <t>Optional</t>
        </is>
      </c>
      <c r="P1235" s="269" t="inlineStr">
        <is>
          <t>NA</t>
        </is>
      </c>
      <c r="Q1235" s="269" t="inlineStr">
        <is>
          <t>NA</t>
        </is>
      </c>
      <c r="R1235" s="241" t="inlineStr">
        <is>
          <t>NA</t>
        </is>
      </c>
      <c r="S1235" s="233" t="inlineStr">
        <is>
          <t>NA</t>
        </is>
      </c>
      <c r="T1235" s="313" t="inlineStr">
        <is>
          <t>ALPHA</t>
        </is>
      </c>
      <c r="U1235" s="237" t="inlineStr">
        <is>
          <t>NA</t>
        </is>
      </c>
      <c r="V1235" s="238" t="inlineStr">
        <is>
          <t>NA</t>
        </is>
      </c>
      <c r="W1235" s="257" t="n">
        <v>40</v>
      </c>
      <c r="X1235" s="994" t="inlineStr">
        <is>
          <t>NA</t>
        </is>
      </c>
      <c r="Y1235" s="237" t="n">
        <v>44</v>
      </c>
      <c r="Z1235" s="237" t="inlineStr">
        <is>
          <t>NA</t>
        </is>
      </c>
      <c r="AA1235" s="239" t="inlineStr">
        <is>
          <t>NA</t>
        </is>
      </c>
      <c r="AB1235" s="269" t="inlineStr">
        <is>
          <t>NZBA, RISQUE PHYSIQUE</t>
        </is>
      </c>
      <c r="AC1235" s="231" t="inlineStr">
        <is>
          <t>ND</t>
        </is>
      </c>
      <c r="AD1235" s="257" t="inlineStr">
        <is>
          <t>N</t>
        </is>
      </c>
      <c r="AE1235" s="257" t="inlineStr">
        <is>
          <t>NA</t>
        </is>
      </c>
      <c r="AF1235" s="257" t="inlineStr">
        <is>
          <t>NA</t>
        </is>
      </c>
      <c r="AG1235" s="258" t="inlineStr">
        <is>
          <t>NA</t>
        </is>
      </c>
      <c r="AH1235" s="89" t="n"/>
      <c r="AI1235" s="826" t="n"/>
      <c r="AJ1235" s="434" t="n"/>
      <c r="AK1235" s="257" t="n"/>
      <c r="AL1235" s="257" t="n"/>
      <c r="AM1235" s="318" t="n"/>
      <c r="AN1235" s="317" t="n"/>
      <c r="AO1235" s="257" t="n"/>
      <c r="AP1235" s="258" t="n"/>
      <c r="AQ1235" s="318" t="n"/>
      <c r="AR1235" s="317" t="n"/>
      <c r="AS1235" s="257" t="n"/>
      <c r="AT1235" s="258" t="n"/>
      <c r="AU1235" s="318" t="n"/>
      <c r="AV1235" s="317" t="n"/>
      <c r="AW1235" s="257" t="n"/>
      <c r="AX1235" s="258" t="n"/>
      <c r="AY1235" s="318" t="n"/>
      <c r="AZ1235" s="317" t="n"/>
      <c r="BA1235" s="257" t="n"/>
      <c r="BB1235" s="258" t="n"/>
      <c r="BC1235" s="316" t="n"/>
      <c r="BD1235" s="317" t="n"/>
      <c r="BE1235" s="257" t="n"/>
      <c r="BF1235" s="258" t="n"/>
      <c r="BG1235" s="89" t="n"/>
      <c r="BH12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35">
        <f>_xlfn.LET(r,ROW(),oc,INDEX($A:$A,r),cv,TRIM(INDEX($Y:$Y,r)&amp;""),IF(oc&lt;&gt;"P1","",IF(cv="45","V45 - novo, nao alimentado pelo spool atual","V44 - alimentado pelo spool atual")))</f>
        <v/>
      </c>
    </row>
    <row r="1236" ht="54" customFormat="1" customHeight="1" s="90">
      <c r="A1236" s="306" t="inlineStr">
        <is>
          <t>P2</t>
        </is>
      </c>
      <c r="B1236" s="307" t="n">
        <v>339</v>
      </c>
      <c r="C1236" s="269" t="inlineStr">
        <is>
          <t>27 - Caractéristiques extra-financière</t>
        </is>
      </c>
      <c r="D1236" s="236" t="inlineStr">
        <is>
          <t>27 - Extra-financial caracteristics</t>
        </is>
      </c>
      <c r="E1236" s="307" t="inlineStr">
        <is>
          <t>P2 21.75</t>
        </is>
      </c>
      <c r="F1236" s="683" t="inlineStr">
        <is>
          <t>Lieu d'investissement du bien principal financé : libellé de la voie</t>
        </is>
      </c>
      <c r="G1236" s="309" t="inlineStr">
        <is>
          <t>Investment location of the principal asset financed: road name</t>
        </is>
      </c>
      <c r="H1236" s="309" t="n"/>
      <c r="I1236" s="308" t="inlineStr">
        <is>
          <t>Lieu d'investissement du bien financé : libellé de la voie</t>
        </is>
      </c>
      <c r="J1236" s="309" t="inlineStr">
        <is>
          <t>Investment location of the financed asset: road name</t>
        </is>
      </c>
      <c r="K1236" s="370" t="inlineStr">
        <is>
          <t>ND</t>
        </is>
      </c>
      <c r="L1236" s="371" t="inlineStr">
        <is>
          <t>ND</t>
        </is>
      </c>
      <c r="M1236" s="1420" t="inlineStr">
        <is>
          <t>LibVoieBienFin</t>
        </is>
      </c>
      <c r="N1236" s="257" t="inlineStr">
        <is>
          <t>Facultatif</t>
        </is>
      </c>
      <c r="O1236" s="236" t="inlineStr">
        <is>
          <t>Optional</t>
        </is>
      </c>
      <c r="P1236" s="269" t="inlineStr">
        <is>
          <t>NA</t>
        </is>
      </c>
      <c r="Q1236" s="269" t="inlineStr">
        <is>
          <t>NA</t>
        </is>
      </c>
      <c r="R1236" s="241" t="inlineStr">
        <is>
          <t>NA</t>
        </is>
      </c>
      <c r="S1236" s="233" t="inlineStr">
        <is>
          <t>NA</t>
        </is>
      </c>
      <c r="T1236" s="313" t="inlineStr">
        <is>
          <t>ALPHA</t>
        </is>
      </c>
      <c r="U1236" s="237" t="inlineStr">
        <is>
          <t>NA</t>
        </is>
      </c>
      <c r="V1236" s="238" t="inlineStr">
        <is>
          <t>NA</t>
        </is>
      </c>
      <c r="W1236" s="257" t="n">
        <v>40</v>
      </c>
      <c r="X1236" s="994" t="inlineStr">
        <is>
          <t>NA</t>
        </is>
      </c>
      <c r="Y1236" s="237" t="n">
        <v>44</v>
      </c>
      <c r="Z1236" s="237" t="inlineStr">
        <is>
          <t>NA</t>
        </is>
      </c>
      <c r="AA1236" s="239" t="inlineStr">
        <is>
          <t>NA</t>
        </is>
      </c>
      <c r="AB1236" s="269" t="inlineStr">
        <is>
          <t>NZBA, RISQUE PHYSIQUE</t>
        </is>
      </c>
      <c r="AC1236" s="231" t="inlineStr">
        <is>
          <t>ND</t>
        </is>
      </c>
      <c r="AD1236" s="257" t="inlineStr">
        <is>
          <t>N</t>
        </is>
      </c>
      <c r="AE1236" s="257" t="inlineStr">
        <is>
          <t>NA</t>
        </is>
      </c>
      <c r="AF1236" s="257" t="inlineStr">
        <is>
          <t>NA</t>
        </is>
      </c>
      <c r="AG1236" s="258" t="inlineStr">
        <is>
          <t>NA</t>
        </is>
      </c>
      <c r="AH1236" s="89" t="n"/>
      <c r="AI1236" s="826" t="n"/>
      <c r="AJ1236" s="434" t="n"/>
      <c r="AK1236" s="257" t="n"/>
      <c r="AL1236" s="257" t="n"/>
      <c r="AM1236" s="318" t="n"/>
      <c r="AN1236" s="317" t="n"/>
      <c r="AO1236" s="257" t="n"/>
      <c r="AP1236" s="258" t="n"/>
      <c r="AQ1236" s="318" t="n"/>
      <c r="AR1236" s="317" t="n"/>
      <c r="AS1236" s="257" t="n"/>
      <c r="AT1236" s="258" t="n"/>
      <c r="AU1236" s="318" t="n"/>
      <c r="AV1236" s="317" t="n"/>
      <c r="AW1236" s="257" t="n"/>
      <c r="AX1236" s="258" t="n"/>
      <c r="AY1236" s="318" t="n"/>
      <c r="AZ1236" s="317" t="n"/>
      <c r="BA1236" s="257" t="n"/>
      <c r="BB1236" s="258" t="n"/>
      <c r="BC1236" s="316" t="n"/>
      <c r="BD1236" s="317" t="n"/>
      <c r="BE1236" s="257" t="n"/>
      <c r="BF1236" s="258" t="n"/>
      <c r="BG1236" s="89" t="n"/>
      <c r="BH12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36">
        <f>_xlfn.LET(r,ROW(),oc,INDEX($A:$A,r),cv,TRIM(INDEX($Y:$Y,r)&amp;""),IF(oc&lt;&gt;"P1","",IF(cv="45","V45 - novo, nao alimentado pelo spool atual","V44 - alimentado pelo spool atual")))</f>
        <v/>
      </c>
    </row>
    <row r="1237" ht="54" customFormat="1" customHeight="1" s="90">
      <c r="A1237" s="306" t="inlineStr">
        <is>
          <t>P2</t>
        </is>
      </c>
      <c r="B1237" s="307" t="n">
        <v>340</v>
      </c>
      <c r="C1237" s="269" t="inlineStr">
        <is>
          <t>27 - Caractéristiques extra-financière</t>
        </is>
      </c>
      <c r="D1237" s="236" t="inlineStr">
        <is>
          <t>27 - Extra-financial caracteristics</t>
        </is>
      </c>
      <c r="E1237" s="307" t="inlineStr">
        <is>
          <t>P2 21.76</t>
        </is>
      </c>
      <c r="F1237" s="683" t="inlineStr">
        <is>
          <t>Lieu d'investissement du bien principal financé : lieu dit / service particulier de distribution</t>
        </is>
      </c>
      <c r="G1237" s="309" t="inlineStr">
        <is>
          <t>Investment location of the principal asset financed: Locality / special delivery service</t>
        </is>
      </c>
      <c r="H1237" s="309" t="n"/>
      <c r="I1237" s="308" t="inlineStr">
        <is>
          <t>Lieu d'investissement du bien financé : lieu dit / service particulier de distribution</t>
        </is>
      </c>
      <c r="J1237" s="309" t="inlineStr">
        <is>
          <t>Investment location of the financed asset: Locality / special delivery service</t>
        </is>
      </c>
      <c r="K1237" s="370" t="inlineStr">
        <is>
          <t>ND</t>
        </is>
      </c>
      <c r="L1237" s="371" t="inlineStr">
        <is>
          <t>ND</t>
        </is>
      </c>
      <c r="M1237" s="1420" t="inlineStr">
        <is>
          <t>LieuDitBienFin</t>
        </is>
      </c>
      <c r="N1237" s="754" t="inlineStr">
        <is>
          <t>Facultatif</t>
        </is>
      </c>
      <c r="O1237" s="236" t="inlineStr">
        <is>
          <t>Optional</t>
        </is>
      </c>
      <c r="P1237" s="269" t="inlineStr">
        <is>
          <t>NA</t>
        </is>
      </c>
      <c r="Q1237" s="269" t="inlineStr">
        <is>
          <t>NA</t>
        </is>
      </c>
      <c r="R1237" s="241" t="inlineStr">
        <is>
          <t>NA</t>
        </is>
      </c>
      <c r="S1237" s="233" t="inlineStr">
        <is>
          <t>NA</t>
        </is>
      </c>
      <c r="T1237" s="313" t="inlineStr">
        <is>
          <t>ALPHA</t>
        </is>
      </c>
      <c r="U1237" s="237" t="inlineStr">
        <is>
          <t>NA</t>
        </is>
      </c>
      <c r="V1237" s="238" t="inlineStr">
        <is>
          <t>NA</t>
        </is>
      </c>
      <c r="W1237" s="257" t="n">
        <v>40</v>
      </c>
      <c r="X1237" s="994" t="inlineStr">
        <is>
          <t>NA</t>
        </is>
      </c>
      <c r="Y1237" s="237" t="n">
        <v>44</v>
      </c>
      <c r="Z1237" s="237" t="inlineStr">
        <is>
          <t>NA</t>
        </is>
      </c>
      <c r="AA1237" s="239" t="inlineStr">
        <is>
          <t>NA</t>
        </is>
      </c>
      <c r="AB1237" s="269" t="inlineStr">
        <is>
          <t>RISQUE PHYSIQUE</t>
        </is>
      </c>
      <c r="AC1237" s="231" t="inlineStr">
        <is>
          <t>ND</t>
        </is>
      </c>
      <c r="AD1237" s="257" t="inlineStr">
        <is>
          <t>N</t>
        </is>
      </c>
      <c r="AE1237" s="257" t="inlineStr">
        <is>
          <t>NA</t>
        </is>
      </c>
      <c r="AF1237" s="257" t="inlineStr">
        <is>
          <t>NA</t>
        </is>
      </c>
      <c r="AG1237" s="258" t="inlineStr">
        <is>
          <t>NA</t>
        </is>
      </c>
      <c r="AH1237" s="89" t="n"/>
      <c r="AI1237" s="830" t="n"/>
      <c r="AJ1237" s="434" t="n"/>
      <c r="AK1237" s="257" t="n"/>
      <c r="AL1237" s="258" t="n"/>
      <c r="AM1237" s="318" t="n"/>
      <c r="AN1237" s="317" t="n"/>
      <c r="AO1237" s="257" t="n"/>
      <c r="AP1237" s="258" t="n"/>
      <c r="AQ1237" s="318" t="n"/>
      <c r="AR1237" s="317" t="n"/>
      <c r="AS1237" s="257" t="n"/>
      <c r="AT1237" s="258" t="n"/>
      <c r="AU1237" s="318" t="n"/>
      <c r="AV1237" s="317" t="n"/>
      <c r="AW1237" s="257" t="n"/>
      <c r="AX1237" s="258" t="n"/>
      <c r="AY1237" s="318" t="n"/>
      <c r="AZ1237" s="317" t="n"/>
      <c r="BA1237" s="257" t="n"/>
      <c r="BB1237" s="258" t="n"/>
      <c r="BC1237" s="316" t="n"/>
      <c r="BD1237" s="317" t="n"/>
      <c r="BE1237" s="257" t="n"/>
      <c r="BF1237" s="258" t="n"/>
      <c r="BG1237" s="89" t="n"/>
      <c r="BH12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37">
        <f>_xlfn.LET(r,ROW(),oc,INDEX($A:$A,r),cv,TRIM(INDEX($Y:$Y,r)&amp;""),IF(oc&lt;&gt;"P1","",IF(cv="45","V45 - novo, nao alimentado pelo spool atual","V44 - alimentado pelo spool atual")))</f>
        <v/>
      </c>
    </row>
    <row r="1238" ht="54" customFormat="1" customHeight="1" s="90">
      <c r="A1238" s="306" t="inlineStr">
        <is>
          <t>P2</t>
        </is>
      </c>
      <c r="B1238" s="307" t="n">
        <v>341</v>
      </c>
      <c r="C1238" s="269" t="inlineStr">
        <is>
          <t>27 - Caractéristiques extra-financière</t>
        </is>
      </c>
      <c r="D1238" s="236" t="inlineStr">
        <is>
          <t>27 - Extra-financial caracteristics</t>
        </is>
      </c>
      <c r="E1238" s="307" t="inlineStr">
        <is>
          <t>P2 21.77</t>
        </is>
      </c>
      <c r="F1238" s="683" t="inlineStr">
        <is>
          <t>Lieu d'investissement du bien principal financé : coordonnées GPS - Latitude</t>
        </is>
      </c>
      <c r="G1238" s="309" t="inlineStr">
        <is>
          <t>Investment location of the principal asset financed: Coordinates GPS - Latitude</t>
        </is>
      </c>
      <c r="H1238" s="309" t="n"/>
      <c r="I1238" s="755" t="inlineStr">
        <is>
          <t>Latitude de la localisation géographique (GPS) exprimée en degrés décimaux (DD) du bien immobilier financé</t>
        </is>
      </c>
      <c r="J1238" s="309" t="inlineStr">
        <is>
          <t>Latitude of the geographical location (GPS) expressed in decimal degrees (DD) of the funded property</t>
        </is>
      </c>
      <c r="K1238" s="370" t="inlineStr">
        <is>
          <t>ND</t>
        </is>
      </c>
      <c r="L1238" s="371" t="inlineStr">
        <is>
          <t>ND</t>
        </is>
      </c>
      <c r="M1238" s="1420" t="inlineStr">
        <is>
          <t>GPSLatBienFin</t>
        </is>
      </c>
      <c r="N1238" s="257" t="inlineStr">
        <is>
          <t>Facultatif</t>
        </is>
      </c>
      <c r="O1238" s="236" t="inlineStr">
        <is>
          <t>Optional</t>
        </is>
      </c>
      <c r="P1238" s="269" t="inlineStr">
        <is>
          <t>NA</t>
        </is>
      </c>
      <c r="Q1238" s="269" t="inlineStr">
        <is>
          <t>NA</t>
        </is>
      </c>
      <c r="R1238" s="1249" t="inlineStr">
        <is>
          <t>Format : +-NN.DDDDDDD avec NN situé entre -90 et +90, selon la norme WGS84.
Les coordonnées GPS sont utilisées pour déterminer les sensibilités aux risques physiques à cette position.
Les coordonnées GPS sont requises si l'adresse du bien immobilier financé n'est pas renseignée</t>
        </is>
      </c>
      <c r="S1238" s="233" t="inlineStr">
        <is>
          <t>Format: +-NN.DDDDD with NN between -90 and +90, in accordance with WGS84.
GPS coordinates are used to determine sensitivity to physical risks at this position.
GPS coordinates are required if the address of the property financed is not provided</t>
        </is>
      </c>
      <c r="T1238" s="756" t="inlineStr">
        <is>
          <t>NUM</t>
        </is>
      </c>
      <c r="U1238" s="237" t="inlineStr">
        <is>
          <t>11 dont signe, séparateur et 7 décimales</t>
        </is>
      </c>
      <c r="V1238" s="238" t="inlineStr">
        <is>
          <t>11 including sign, separator and 7 decimals</t>
        </is>
      </c>
      <c r="W1238" s="257" t="n">
        <v>11</v>
      </c>
      <c r="X1238" s="994" t="inlineStr">
        <is>
          <t>NA</t>
        </is>
      </c>
      <c r="Y1238" s="237" t="n">
        <v>44</v>
      </c>
      <c r="Z1238" s="237" t="inlineStr">
        <is>
          <t>NA</t>
        </is>
      </c>
      <c r="AA1238" s="270" t="inlineStr">
        <is>
          <t>NA</t>
        </is>
      </c>
      <c r="AB1238" s="269" t="inlineStr">
        <is>
          <t>RISQUE PHYSIQUE</t>
        </is>
      </c>
      <c r="AC1238" s="231" t="inlineStr">
        <is>
          <t>ND</t>
        </is>
      </c>
      <c r="AD1238" s="257" t="inlineStr">
        <is>
          <t>N</t>
        </is>
      </c>
      <c r="AE1238" s="257" t="inlineStr">
        <is>
          <t>NA</t>
        </is>
      </c>
      <c r="AF1238" s="257" t="inlineStr">
        <is>
          <t>NA</t>
        </is>
      </c>
      <c r="AG1238" s="258" t="inlineStr">
        <is>
          <t>NA</t>
        </is>
      </c>
      <c r="AH1238" s="89" t="n"/>
      <c r="AI1238" s="757" t="n"/>
      <c r="AJ1238" s="317" t="n"/>
      <c r="AK1238" s="257" t="n"/>
      <c r="AL1238" s="473" t="n"/>
      <c r="AM1238" s="318" t="n"/>
      <c r="AN1238" s="317" t="n"/>
      <c r="AO1238" s="257" t="n"/>
      <c r="AP1238" s="258" t="n"/>
      <c r="AQ1238" s="318" t="n"/>
      <c r="AR1238" s="317" t="n"/>
      <c r="AS1238" s="257" t="n"/>
      <c r="AT1238" s="258" t="n"/>
      <c r="AU1238" s="318" t="n"/>
      <c r="AV1238" s="317" t="n"/>
      <c r="AW1238" s="257" t="n"/>
      <c r="AX1238" s="258" t="n"/>
      <c r="AY1238" s="318" t="n"/>
      <c r="AZ1238" s="317" t="n"/>
      <c r="BA1238" s="257" t="n"/>
      <c r="BB1238" s="258" t="n"/>
      <c r="BC1238" s="316" t="n"/>
      <c r="BD1238" s="317" t="n"/>
      <c r="BE1238" s="257" t="n"/>
      <c r="BF1238" s="258" t="n"/>
      <c r="BG1238" s="89" t="n"/>
      <c r="BH12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38">
        <f>_xlfn.LET(r,ROW(),oc,INDEX($A:$A,r),cv,TRIM(INDEX($Y:$Y,r)&amp;""),IF(oc&lt;&gt;"P1","",IF(cv="45","V45 - novo, nao alimentado pelo spool atual","V44 - alimentado pelo spool atual")))</f>
        <v/>
      </c>
    </row>
    <row r="1239" ht="54" customFormat="1" customHeight="1" s="90">
      <c r="A1239" s="306" t="inlineStr">
        <is>
          <t>P2</t>
        </is>
      </c>
      <c r="B1239" s="307" t="n">
        <v>342</v>
      </c>
      <c r="C1239" s="269" t="inlineStr">
        <is>
          <t>27 - Caractéristiques extra-financière</t>
        </is>
      </c>
      <c r="D1239" s="236" t="inlineStr">
        <is>
          <t>27 - Extra-financial caracteristics</t>
        </is>
      </c>
      <c r="E1239" s="307" t="inlineStr">
        <is>
          <t>P2 21.78</t>
        </is>
      </c>
      <c r="F1239" s="683" t="inlineStr">
        <is>
          <t>Lieu d'investissement du bien principal financé : coordonnées GPS - Longitude</t>
        </is>
      </c>
      <c r="G1239" s="309" t="inlineStr">
        <is>
          <t>Investment location of the principal asset financed: Coordinates GPS - Longitude</t>
        </is>
      </c>
      <c r="H1239" s="309" t="n"/>
      <c r="I1239" s="755" t="inlineStr">
        <is>
          <t>Longitude de la localisation géographique (GPS) exprimée en degrés décimaux (DD) du bien immobilier financé</t>
        </is>
      </c>
      <c r="J1239" s="309" t="inlineStr">
        <is>
          <t>Longitude of the geographical location (GPS) expressed in decimal degrees (DD) of the funded property</t>
        </is>
      </c>
      <c r="K1239" s="370" t="inlineStr">
        <is>
          <t>ND</t>
        </is>
      </c>
      <c r="L1239" s="371" t="inlineStr">
        <is>
          <t>ND</t>
        </is>
      </c>
      <c r="M1239" s="1420" t="inlineStr">
        <is>
          <t>GPSLongBienFin</t>
        </is>
      </c>
      <c r="N1239" s="257" t="inlineStr">
        <is>
          <t>Facultatif</t>
        </is>
      </c>
      <c r="O1239" s="236" t="inlineStr">
        <is>
          <t>Optional</t>
        </is>
      </c>
      <c r="P1239" s="269" t="inlineStr">
        <is>
          <t>NA</t>
        </is>
      </c>
      <c r="Q1239" s="269" t="inlineStr">
        <is>
          <t>NA</t>
        </is>
      </c>
      <c r="R1239" s="1249" t="inlineStr">
        <is>
          <t>Format : +-NNN.DDDDDDD avec NNN situé entre -180 et +180, selon la norme WGS84.
Les coordonnées GPS sont utilisées pour déterminer les sensibilités aux risques physiques à cette position.
Les coordonnées GPS sont requises si l'adresse du bien immobilier financé n'est pas renseignée</t>
        </is>
      </c>
      <c r="S1239" s="233" t="inlineStr">
        <is>
          <t>Format: +-NNN.DDDDDD with NNN between -180 and +180, in accordance with WGS84.
GPS coordinates are used to determine sensitivity to physical risks at this position.
GPS coordinates are required if the address of the property financed is not provided</t>
        </is>
      </c>
      <c r="T1239" s="756" t="inlineStr">
        <is>
          <t>NUM</t>
        </is>
      </c>
      <c r="U1239" s="237" t="inlineStr">
        <is>
          <t>12 dont signe, séparateur et 7 décimales</t>
        </is>
      </c>
      <c r="V1239" s="238" t="inlineStr">
        <is>
          <t>12 including sign, separator and 7 decimals</t>
        </is>
      </c>
      <c r="W1239" s="257" t="n">
        <v>12</v>
      </c>
      <c r="X1239" s="994" t="inlineStr">
        <is>
          <t>NA</t>
        </is>
      </c>
      <c r="Y1239" s="237" t="n">
        <v>44</v>
      </c>
      <c r="Z1239" s="237" t="inlineStr">
        <is>
          <t>NA</t>
        </is>
      </c>
      <c r="AA1239" s="270" t="inlineStr">
        <is>
          <t>NA</t>
        </is>
      </c>
      <c r="AB1239" s="269" t="inlineStr">
        <is>
          <t>RISQUE PHYSIQUE</t>
        </is>
      </c>
      <c r="AC1239" s="231" t="inlineStr">
        <is>
          <t>ND</t>
        </is>
      </c>
      <c r="AD1239" s="257" t="inlineStr">
        <is>
          <t>N</t>
        </is>
      </c>
      <c r="AE1239" s="257" t="inlineStr">
        <is>
          <t>NA</t>
        </is>
      </c>
      <c r="AF1239" s="257" t="inlineStr">
        <is>
          <t>NA</t>
        </is>
      </c>
      <c r="AG1239" s="258" t="inlineStr">
        <is>
          <t>NA</t>
        </is>
      </c>
      <c r="AH1239" s="89" t="n"/>
      <c r="AI1239" s="757" t="n"/>
      <c r="AJ1239" s="317" t="n"/>
      <c r="AK1239" s="257" t="n"/>
      <c r="AL1239" s="473" t="n"/>
      <c r="AM1239" s="318" t="n"/>
      <c r="AN1239" s="317" t="n"/>
      <c r="AO1239" s="257" t="n"/>
      <c r="AP1239" s="258" t="n"/>
      <c r="AQ1239" s="318" t="n"/>
      <c r="AR1239" s="317" t="n"/>
      <c r="AS1239" s="257" t="n"/>
      <c r="AT1239" s="258" t="n"/>
      <c r="AU1239" s="318" t="n"/>
      <c r="AV1239" s="317" t="n"/>
      <c r="AW1239" s="257" t="n"/>
      <c r="AX1239" s="258" t="n"/>
      <c r="AY1239" s="318" t="n"/>
      <c r="AZ1239" s="317" t="n"/>
      <c r="BA1239" s="257" t="n"/>
      <c r="BB1239" s="258" t="n"/>
      <c r="BC1239" s="316" t="n"/>
      <c r="BD1239" s="317" t="n"/>
      <c r="BE1239" s="257" t="n"/>
      <c r="BF1239" s="258" t="n"/>
      <c r="BG1239" s="89" t="n"/>
      <c r="BH12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39">
        <f>_xlfn.LET(r,ROW(),oc,INDEX($A:$A,r),cv,TRIM(INDEX($Y:$Y,r)&amp;""),IF(oc&lt;&gt;"P1","",IF(cv="45","V45 - novo, nao alimentado pelo spool atual","V44 - alimentado pelo spool atual")))</f>
        <v/>
      </c>
    </row>
    <row r="1240" ht="54" customFormat="1" customHeight="1" s="90">
      <c r="A1240" s="325" t="inlineStr">
        <is>
          <t>P2</t>
        </is>
      </c>
      <c r="B1240" s="326" t="n">
        <v>343</v>
      </c>
      <c r="C1240" s="284" t="inlineStr">
        <is>
          <t>17 - Caractéristiques Titres</t>
        </is>
      </c>
      <c r="D1240" s="244" t="inlineStr">
        <is>
          <t>17 - Securities characteristics</t>
        </is>
      </c>
      <c r="E1240" s="326" t="inlineStr">
        <is>
          <t>P2 21.94</t>
        </is>
      </c>
      <c r="F1240" s="327" t="inlineStr">
        <is>
          <t>Indicateur HQLA</t>
        </is>
      </c>
      <c r="G1240" s="327" t="inlineStr">
        <is>
          <t>HQLA indicator</t>
        </is>
      </c>
      <c r="H1240" s="327" t="n"/>
      <c r="I1240" s="327" t="inlineStr">
        <is>
          <t>Indicateur précisant si l'actif est considéré liquide de haute qualité</t>
        </is>
      </c>
      <c r="J1240" s="327" t="inlineStr">
        <is>
          <t>Indicator of whether the asset is considered high quality liquid (or not)</t>
        </is>
      </c>
      <c r="K1240" s="388" t="inlineStr">
        <is>
          <t>NA</t>
        </is>
      </c>
      <c r="L1240" s="388" t="inlineStr">
        <is>
          <t>NA</t>
        </is>
      </c>
      <c r="M1240" s="1421" t="inlineStr">
        <is>
          <t>indHQLA</t>
        </is>
      </c>
      <c r="N1240" s="244" t="inlineStr">
        <is>
          <t>NA</t>
        </is>
      </c>
      <c r="O1240" s="244" t="inlineStr">
        <is>
          <t>NA</t>
        </is>
      </c>
      <c r="P1240" s="284" t="inlineStr">
        <is>
          <t>LC.0502</t>
        </is>
      </c>
      <c r="Q1240" s="284" t="inlineStr">
        <is>
          <t>TA Z8INHQLA</t>
        </is>
      </c>
      <c r="R1240" s="245" t="inlineStr">
        <is>
          <t>NA</t>
        </is>
      </c>
      <c r="S1240" s="245" t="inlineStr">
        <is>
          <t>NA</t>
        </is>
      </c>
      <c r="T1240" s="326" t="inlineStr">
        <is>
          <t>ALPHA</t>
        </is>
      </c>
      <c r="U1240" s="248" t="inlineStr">
        <is>
          <t>NA</t>
        </is>
      </c>
      <c r="V1240" s="248" t="inlineStr">
        <is>
          <t>NA</t>
        </is>
      </c>
      <c r="W1240" s="284" t="n">
        <v>1</v>
      </c>
      <c r="X1240" s="284" t="inlineStr">
        <is>
          <t>NA</t>
        </is>
      </c>
      <c r="Y1240" s="248" t="n">
        <v>44</v>
      </c>
      <c r="Z1240" s="248" t="n">
        <v>44</v>
      </c>
      <c r="AA1240" s="249" t="inlineStr">
        <is>
          <t>NA</t>
        </is>
      </c>
      <c r="AB1240" s="284" t="inlineStr">
        <is>
          <t>CORFOU</t>
        </is>
      </c>
      <c r="AC1240" s="244" t="inlineStr">
        <is>
          <t>NA</t>
        </is>
      </c>
      <c r="AD1240" s="284" t="inlineStr">
        <is>
          <t>N</t>
        </is>
      </c>
      <c r="AE1240" s="284" t="inlineStr">
        <is>
          <t>NA</t>
        </is>
      </c>
      <c r="AF1240" s="284" t="inlineStr">
        <is>
          <t>NA</t>
        </is>
      </c>
      <c r="AG1240" s="285" t="inlineStr">
        <is>
          <t>NA</t>
        </is>
      </c>
      <c r="AH1240" s="1362" t="n"/>
      <c r="AI1240" s="506" t="n"/>
      <c r="AJ1240" s="834" t="n"/>
      <c r="AK1240" s="508" t="n"/>
      <c r="AL1240" s="836" t="n"/>
      <c r="AM1240" s="507" t="n"/>
      <c r="AN1240" s="507" t="n"/>
      <c r="AO1240" s="508" t="n"/>
      <c r="AP1240" s="836" t="n"/>
      <c r="AQ1240" s="507" t="n"/>
      <c r="AR1240" s="507" t="n"/>
      <c r="AS1240" s="508" t="n"/>
      <c r="AT1240" s="509" t="n"/>
      <c r="AU1240" s="507" t="n"/>
      <c r="AV1240" s="507" t="n"/>
      <c r="AW1240" s="508" t="n"/>
      <c r="AX1240" s="509" t="n"/>
      <c r="AY1240" s="507" t="n"/>
      <c r="AZ1240" s="507" t="n"/>
      <c r="BA1240" s="508" t="n"/>
      <c r="BB1240" s="509" t="n"/>
      <c r="BC1240" s="506" t="n"/>
      <c r="BD1240" s="507" t="n"/>
      <c r="BE1240" s="508" t="n"/>
      <c r="BF1240" s="509" t="n"/>
      <c r="BG1240" s="89" t="n"/>
      <c r="BH12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40">
        <f>_xlfn.LET(r,ROW(),oc,INDEX($A:$A,r),cv,TRIM(INDEX($Y:$Y,r)&amp;""),IF(oc&lt;&gt;"P1","",IF(cv="45","V45 - novo, nao alimentado pelo spool atual","V44 - alimentado pelo spool atual")))</f>
        <v/>
      </c>
    </row>
    <row r="1241" ht="54" customFormat="1" customHeight="1" s="90">
      <c r="A1241" s="325" t="inlineStr">
        <is>
          <t>P2</t>
        </is>
      </c>
      <c r="B1241" s="326" t="n">
        <v>344</v>
      </c>
      <c r="C1241" s="284" t="inlineStr">
        <is>
          <t>17 - Caractéristiques Titres</t>
        </is>
      </c>
      <c r="D1241" s="244" t="inlineStr">
        <is>
          <t>17 - Securities characteristics</t>
        </is>
      </c>
      <c r="E1241" s="326" t="inlineStr">
        <is>
          <t>P2 21.95</t>
        </is>
      </c>
      <c r="F1241" s="327" t="inlineStr">
        <is>
          <t>Niveau HQLA</t>
        </is>
      </c>
      <c r="G1241" s="327" t="inlineStr">
        <is>
          <t>HQLA level</t>
        </is>
      </c>
      <c r="H1241" s="327" t="n"/>
      <c r="I1241" s="327" t="inlineStr">
        <is>
          <t>Niveau HQLA de l'actif</t>
        </is>
      </c>
      <c r="J1241" s="327" t="inlineStr">
        <is>
          <t>HQLA level of the asset</t>
        </is>
      </c>
      <c r="K1241" s="388" t="inlineStr">
        <is>
          <t>NA</t>
        </is>
      </c>
      <c r="L1241" s="388" t="inlineStr">
        <is>
          <t>NA</t>
        </is>
      </c>
      <c r="M1241" s="1421" t="inlineStr">
        <is>
          <t>NivHQLA</t>
        </is>
      </c>
      <c r="N1241" s="244" t="inlineStr">
        <is>
          <t>NA</t>
        </is>
      </c>
      <c r="O1241" s="244" t="inlineStr">
        <is>
          <t>NA</t>
        </is>
      </c>
      <c r="P1241" s="284" t="inlineStr">
        <is>
          <t>LC.0512</t>
        </is>
      </c>
      <c r="Q1241" s="284" t="inlineStr">
        <is>
          <t>TA Z8NIHQLA</t>
        </is>
      </c>
      <c r="R1241" s="245" t="inlineStr">
        <is>
          <t>NA</t>
        </is>
      </c>
      <c r="S1241" s="245" t="inlineStr">
        <is>
          <t>NA</t>
        </is>
      </c>
      <c r="T1241" s="326" t="inlineStr">
        <is>
          <t>ALPHA</t>
        </is>
      </c>
      <c r="U1241" s="248" t="inlineStr">
        <is>
          <t>NA</t>
        </is>
      </c>
      <c r="V1241" s="248" t="inlineStr">
        <is>
          <t>NA</t>
        </is>
      </c>
      <c r="W1241" s="284" t="n">
        <v>2</v>
      </c>
      <c r="X1241" s="284" t="inlineStr">
        <is>
          <t>NA</t>
        </is>
      </c>
      <c r="Y1241" s="248" t="n">
        <v>44</v>
      </c>
      <c r="Z1241" s="248" t="n">
        <v>44</v>
      </c>
      <c r="AA1241" s="249" t="inlineStr">
        <is>
          <t>NA</t>
        </is>
      </c>
      <c r="AB1241" s="284" t="inlineStr">
        <is>
          <t>CORFOU</t>
        </is>
      </c>
      <c r="AC1241" s="244" t="inlineStr">
        <is>
          <t>NA</t>
        </is>
      </c>
      <c r="AD1241" s="284" t="inlineStr">
        <is>
          <t>N</t>
        </is>
      </c>
      <c r="AE1241" s="284" t="inlineStr">
        <is>
          <t>NA</t>
        </is>
      </c>
      <c r="AF1241" s="284" t="inlineStr">
        <is>
          <t>NA</t>
        </is>
      </c>
      <c r="AG1241" s="285" t="inlineStr">
        <is>
          <t>NA</t>
        </is>
      </c>
      <c r="AH1241" s="1362" t="n"/>
      <c r="AI1241" s="506" t="n"/>
      <c r="AJ1241" s="507" t="n"/>
      <c r="AK1241" s="508" t="n"/>
      <c r="AL1241" s="509" t="n"/>
      <c r="AM1241" s="507" t="n"/>
      <c r="AN1241" s="507" t="n"/>
      <c r="AO1241" s="508" t="n"/>
      <c r="AP1241" s="836" t="n"/>
      <c r="AQ1241" s="507" t="n"/>
      <c r="AR1241" s="507" t="n"/>
      <c r="AS1241" s="508" t="n"/>
      <c r="AT1241" s="509" t="n"/>
      <c r="AU1241" s="507" t="n"/>
      <c r="AV1241" s="507" t="n"/>
      <c r="AW1241" s="508" t="n"/>
      <c r="AX1241" s="509" t="n"/>
      <c r="AY1241" s="507" t="n"/>
      <c r="AZ1241" s="507" t="n"/>
      <c r="BA1241" s="508" t="n"/>
      <c r="BB1241" s="509" t="n"/>
      <c r="BC1241" s="506" t="n"/>
      <c r="BD1241" s="507" t="n"/>
      <c r="BE1241" s="508" t="n"/>
      <c r="BF1241" s="509" t="n"/>
      <c r="BG1241" s="89" t="n"/>
      <c r="BH12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41">
        <f>_xlfn.LET(r,ROW(),oc,INDEX($A:$A,r),cv,TRIM(INDEX($Y:$Y,r)&amp;""),IF(oc&lt;&gt;"P1","",IF(cv="45","V45 - novo, nao alimentado pelo spool atual","V44 - alimentado pelo spool atual")))</f>
        <v/>
      </c>
    </row>
    <row r="1242" ht="54" customFormat="1" customHeight="1" s="90">
      <c r="A1242" s="306" t="inlineStr">
        <is>
          <t>P2</t>
        </is>
      </c>
      <c r="B1242" s="307" t="n">
        <v>345</v>
      </c>
      <c r="C1242" s="269" t="inlineStr">
        <is>
          <t>29 - Ratio</t>
        </is>
      </c>
      <c r="D1242" s="236" t="inlineStr">
        <is>
          <t>29 - Ratio</t>
        </is>
      </c>
      <c r="E1242" s="307" t="inlineStr">
        <is>
          <t>P2 21.81</t>
        </is>
      </c>
      <c r="F1242" s="308" t="inlineStr">
        <is>
          <t>DSCR (ratio de couverture des charges d'emprunt) à l'octroi</t>
        </is>
      </c>
      <c r="G1242" s="309" t="inlineStr">
        <is>
          <t>Local DSCR ratio at the origin</t>
        </is>
      </c>
      <c r="H1242" s="309" t="n"/>
      <c r="I1242" s="308" t="inlineStr">
        <is>
          <t>DSCR local à l'octroi
Correspond aux revenus annuels produits par l'usage du bien commercial sur la valeur des charges liées au prêt garanti par le bien immobilier commercial
Exprimée en pourcentage</t>
        </is>
      </c>
      <c r="J1242" s="309" t="inlineStr">
        <is>
          <t>Local DSCR ratio upon origination
Corresponds to the annual income generated by the use of the commercial property over the value of the charges related to the loan secured by the commercial property
Expressed in percentage</t>
        </is>
      </c>
      <c r="K1242" s="370" t="inlineStr">
        <is>
          <t>ND</t>
        </is>
      </c>
      <c r="L1242" s="371" t="inlineStr">
        <is>
          <t>ND</t>
        </is>
      </c>
      <c r="M1242" s="1420" t="inlineStr">
        <is>
          <t>txDSCRoctroi</t>
        </is>
      </c>
      <c r="N1242" s="231" t="inlineStr">
        <is>
          <t>Obligatoire sous conditions</t>
        </is>
      </c>
      <c r="O1242" s="236" t="inlineStr">
        <is>
          <t>Mandatory under conditions</t>
        </is>
      </c>
      <c r="P1242" s="269" t="inlineStr">
        <is>
          <t>NA</t>
        </is>
      </c>
      <c r="Q1242" s="269" t="inlineStr">
        <is>
          <t>NA</t>
        </is>
      </c>
      <c r="R1242" s="241" t="inlineStr">
        <is>
          <t>NA</t>
        </is>
      </c>
      <c r="S1242" s="233" t="inlineStr">
        <is>
          <t>NA</t>
        </is>
      </c>
      <c r="T1242" s="313" t="inlineStr">
        <is>
          <t>NUM</t>
        </is>
      </c>
      <c r="U1242" s="237" t="inlineStr">
        <is>
          <t>10 dont signe et 5 décimales</t>
        </is>
      </c>
      <c r="V1242" s="238" t="inlineStr">
        <is>
          <t>10 including sign and 5 decimals</t>
        </is>
      </c>
      <c r="W1242" s="257" t="n">
        <v>10</v>
      </c>
      <c r="X1242" s="994" t="inlineStr">
        <is>
          <t>NA</t>
        </is>
      </c>
      <c r="Y1242" s="237" t="n">
        <v>44</v>
      </c>
      <c r="Z1242" s="237" t="inlineStr">
        <is>
          <t>NA</t>
        </is>
      </c>
      <c r="AA1242" s="239" t="inlineStr">
        <is>
          <t>NA</t>
        </is>
      </c>
      <c r="AB1242" s="269" t="inlineStr">
        <is>
          <t>OCTROI DE CREDIT</t>
        </is>
      </c>
      <c r="AC1242" s="231" t="inlineStr">
        <is>
          <t>ND</t>
        </is>
      </c>
      <c r="AD1242" s="257" t="inlineStr">
        <is>
          <t>N</t>
        </is>
      </c>
      <c r="AE1242" s="257" t="inlineStr">
        <is>
          <t>NA</t>
        </is>
      </c>
      <c r="AF1242" s="257" t="inlineStr">
        <is>
          <t>NA</t>
        </is>
      </c>
      <c r="AG1242" s="258" t="inlineStr">
        <is>
          <t>NA</t>
        </is>
      </c>
      <c r="AH1242" s="89" t="n"/>
      <c r="AI1242" s="711" t="inlineStr">
        <is>
          <t>La donnée est obligatoire, si le type de risque [P2 2.0] = 'TRExx' (hors 'TRE203, TRE205, TRE206, TRE207'), 'SIGxx' ET si l'Usage du bien immobilier financé [P2 8.13] ='2'</t>
        </is>
      </c>
      <c r="AJ1242" s="434" t="inlineStr">
        <is>
          <t>The data is mandatory, if the Risk type [P2 2.0] = 'TRExx' (except 'TRE203, TRE205, TRE206, TRE207'), 'SIGxx' AND if Use of financed property [P2 8.13] ='2'</t>
        </is>
      </c>
      <c r="AK1242" s="257" t="n">
        <v>6</v>
      </c>
      <c r="AL1242" s="762" t="inlineStr">
        <is>
          <t>TPS1744</t>
        </is>
      </c>
      <c r="AM1242" s="318" t="n"/>
      <c r="AN1242" s="317" t="n"/>
      <c r="AO1242" s="257" t="n"/>
      <c r="AP1242" s="258" t="n"/>
      <c r="AQ1242" s="318" t="n"/>
      <c r="AR1242" s="317" t="n"/>
      <c r="AS1242" s="257" t="n"/>
      <c r="AT1242" s="258" t="n"/>
      <c r="AU1242" s="318" t="n"/>
      <c r="AV1242" s="317" t="n"/>
      <c r="AW1242" s="257" t="n"/>
      <c r="AX1242" s="258" t="n"/>
      <c r="AY1242" s="318" t="n"/>
      <c r="AZ1242" s="317" t="n"/>
      <c r="BA1242" s="257" t="n"/>
      <c r="BB1242" s="258" t="n"/>
      <c r="BC1242" s="316" t="n"/>
      <c r="BD1242" s="317" t="n"/>
      <c r="BE1242" s="257" t="n"/>
      <c r="BF1242" s="258" t="n"/>
      <c r="BG1242" s="89" t="n"/>
      <c r="BH12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42">
        <f>_xlfn.LET(r,ROW(),oc,INDEX($A:$A,r),cv,TRIM(INDEX($Y:$Y,r)&amp;""),IF(oc&lt;&gt;"P1","",IF(cv="45","V45 - novo, nao alimentado pelo spool atual","V44 - alimentado pelo spool atual")))</f>
        <v/>
      </c>
    </row>
    <row r="1243" ht="54" customFormat="1" customHeight="1" s="90">
      <c r="A1243" s="306" t="inlineStr">
        <is>
          <t>P2</t>
        </is>
      </c>
      <c r="B1243" s="307" t="n">
        <v>346</v>
      </c>
      <c r="C1243" s="269" t="inlineStr">
        <is>
          <t>29 - Ratio</t>
        </is>
      </c>
      <c r="D1243" s="236" t="inlineStr">
        <is>
          <t>29 - Ratio</t>
        </is>
      </c>
      <c r="E1243" s="307" t="inlineStr">
        <is>
          <t>P2 21.82</t>
        </is>
      </c>
      <c r="F1243" s="308" t="inlineStr">
        <is>
          <t>DSCR (ratio de couverture des charges d'emprunt) revalorisé</t>
        </is>
      </c>
      <c r="G1243" s="309" t="inlineStr">
        <is>
          <t>Recalculated DSCR ratio</t>
        </is>
      </c>
      <c r="H1243" s="309" t="n"/>
      <c r="I1243" s="678" t="inlineStr">
        <is>
          <t>DSCR local revalorisé
Correspond aux revenus annuels roduits par l'usage du bien commercial sur la valeur des charges liées au prêt garanti par le bien immobilier commercial
Exprimée en pourcentage</t>
        </is>
      </c>
      <c r="J1243" s="309" t="inlineStr">
        <is>
          <t>Recalculated Local DSCR ratio
Corresponds to the annual income generated by the use of the commercial property over the value of the charges related to the loan secured by the commercial property
Expressed in percentage</t>
        </is>
      </c>
      <c r="K1243" s="370" t="inlineStr">
        <is>
          <t>ND</t>
        </is>
      </c>
      <c r="L1243" s="371" t="inlineStr">
        <is>
          <t>ND</t>
        </is>
      </c>
      <c r="M1243" s="1420" t="inlineStr">
        <is>
          <t>txDSCRreval</t>
        </is>
      </c>
      <c r="N1243" s="231" t="inlineStr">
        <is>
          <t>Obligatoire sous conditions</t>
        </is>
      </c>
      <c r="O1243" s="236" t="inlineStr">
        <is>
          <t>Mandatory under conditions</t>
        </is>
      </c>
      <c r="P1243" s="269" t="inlineStr">
        <is>
          <t>NA</t>
        </is>
      </c>
      <c r="Q1243" s="269" t="inlineStr">
        <is>
          <t>NA</t>
        </is>
      </c>
      <c r="R1243" s="241" t="inlineStr">
        <is>
          <t>NA</t>
        </is>
      </c>
      <c r="S1243" s="233" t="inlineStr">
        <is>
          <t>NA</t>
        </is>
      </c>
      <c r="T1243" s="313" t="inlineStr">
        <is>
          <t>NUM</t>
        </is>
      </c>
      <c r="U1243" s="237" t="inlineStr">
        <is>
          <t>10 dont signe et 5 décimales</t>
        </is>
      </c>
      <c r="V1243" s="238" t="inlineStr">
        <is>
          <t>10 including sign and 5 decimals</t>
        </is>
      </c>
      <c r="W1243" s="257" t="n">
        <v>10</v>
      </c>
      <c r="X1243" s="994" t="inlineStr">
        <is>
          <t>NA</t>
        </is>
      </c>
      <c r="Y1243" s="237" t="n">
        <v>44</v>
      </c>
      <c r="Z1243" s="237" t="inlineStr">
        <is>
          <t>NA</t>
        </is>
      </c>
      <c r="AA1243" s="239" t="inlineStr">
        <is>
          <t>NA</t>
        </is>
      </c>
      <c r="AB1243" s="269" t="inlineStr">
        <is>
          <t>OCTROI DE CREDIT</t>
        </is>
      </c>
      <c r="AC1243" s="231" t="inlineStr">
        <is>
          <t>ND</t>
        </is>
      </c>
      <c r="AD1243" s="257" t="inlineStr">
        <is>
          <t>N</t>
        </is>
      </c>
      <c r="AE1243" s="257" t="inlineStr">
        <is>
          <t>NA</t>
        </is>
      </c>
      <c r="AF1243" s="257" t="inlineStr">
        <is>
          <t>NA</t>
        </is>
      </c>
      <c r="AG1243" s="258" t="inlineStr">
        <is>
          <t>NA</t>
        </is>
      </c>
      <c r="AH1243" s="89" t="n"/>
      <c r="AI1243" s="711" t="inlineStr">
        <is>
          <t>La donnée est obligatoire, si le type de risque [P2 2.0] = 'TRExx' (hors 'TRE203, TRE205, TRE206, TRE207'), 'SIGxx' ET si l'usage du bien immobilier financé [P2 8.13] = '2' ET si la Date de revalorisation [P2 22.46] renseignée</t>
        </is>
      </c>
      <c r="AJ1243" s="434" t="inlineStr">
        <is>
          <t>The data is mandatory if the Risk type [P2 2.0] = 'TRExx' (except 'TRE203, TRE205, TRE206, TRE207'), 'SIGxx' AND if the use of financed property [P2 8.13] = '2' and if revaluation date [P2 22.46] is filled</t>
        </is>
      </c>
      <c r="AK1243" s="257" t="n">
        <v>6</v>
      </c>
      <c r="AL1243" s="762" t="inlineStr">
        <is>
          <t>TPS1775</t>
        </is>
      </c>
      <c r="AM1243" s="318" t="n"/>
      <c r="AN1243" s="317" t="n"/>
      <c r="AO1243" s="257" t="n"/>
      <c r="AP1243" s="258" t="n"/>
      <c r="AQ1243" s="318" t="n"/>
      <c r="AR1243" s="317" t="n"/>
      <c r="AS1243" s="257" t="n"/>
      <c r="AT1243" s="258" t="n"/>
      <c r="AU1243" s="318" t="n"/>
      <c r="AV1243" s="317" t="n"/>
      <c r="AW1243" s="257" t="n"/>
      <c r="AX1243" s="258" t="n"/>
      <c r="AY1243" s="318" t="n"/>
      <c r="AZ1243" s="317" t="n"/>
      <c r="BA1243" s="257" t="n"/>
      <c r="BB1243" s="258" t="n"/>
      <c r="BC1243" s="316" t="n"/>
      <c r="BD1243" s="317" t="n"/>
      <c r="BE1243" s="257" t="n"/>
      <c r="BF1243" s="258" t="n"/>
      <c r="BG1243" s="89" t="n"/>
      <c r="BH12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43">
        <f>_xlfn.LET(r,ROW(),oc,INDEX($A:$A,r),cv,TRIM(INDEX($Y:$Y,r)&amp;""),IF(oc&lt;&gt;"P1","",IF(cv="45","V45 - novo, nao alimentado pelo spool atual","V44 - alimentado pelo spool atual")))</f>
        <v/>
      </c>
    </row>
    <row r="1244" ht="54" customFormat="1" customHeight="1" s="90">
      <c r="A1244" s="306" t="inlineStr">
        <is>
          <t>P2</t>
        </is>
      </c>
      <c r="B1244" s="307" t="n">
        <v>347</v>
      </c>
      <c r="C1244" s="269" t="inlineStr">
        <is>
          <t>29 - Ratio</t>
        </is>
      </c>
      <c r="D1244" s="236" t="inlineStr">
        <is>
          <t>29 - Ratio</t>
        </is>
      </c>
      <c r="E1244" s="307" t="inlineStr">
        <is>
          <t>P2 21.83</t>
        </is>
      </c>
      <c r="F1244" s="308" t="inlineStr">
        <is>
          <t>Ratio de couverture des intérêts (ICR) revalorisé</t>
        </is>
      </c>
      <c r="G1244" s="309" t="inlineStr">
        <is>
          <t>Recalculated ICR ratio</t>
        </is>
      </c>
      <c r="H1244" s="309" t="n"/>
      <c r="I1244" s="308" t="inlineStr">
        <is>
          <t>Le ratio ICR (Interest Coverage Ratio) revalorisé correspond au rapport entre l'excédent brut d'exploitation (EBE) de l'emprunteur et le coût annuel des intérêts du service total de la dette au moment du montage du prêt.</t>
        </is>
      </c>
      <c r="J1244" s="309" t="inlineStr">
        <is>
          <t>The Recalculated Interest Coverage Ratio (ICR) corresponds to the ratio between the borrower's gross operating surplus (GOS) and the annual interest cost of the total debt service at the time of the loan.</t>
        </is>
      </c>
      <c r="K1244" s="370" t="inlineStr">
        <is>
          <t>ND</t>
        </is>
      </c>
      <c r="L1244" s="371" t="inlineStr">
        <is>
          <t>ND</t>
        </is>
      </c>
      <c r="M1244" s="1420" t="inlineStr">
        <is>
          <t>txICRreval</t>
        </is>
      </c>
      <c r="N1244" s="231" t="inlineStr">
        <is>
          <t>Obligatoire sous conditions</t>
        </is>
      </c>
      <c r="O1244" s="236" t="inlineStr">
        <is>
          <t>Mandatory under conditions</t>
        </is>
      </c>
      <c r="P1244" s="269" t="inlineStr">
        <is>
          <t>NA</t>
        </is>
      </c>
      <c r="Q1244" s="269" t="inlineStr">
        <is>
          <t>NA</t>
        </is>
      </c>
      <c r="R1244" s="241" t="inlineStr">
        <is>
          <t>NA</t>
        </is>
      </c>
      <c r="S1244" s="233" t="inlineStr">
        <is>
          <t>NA</t>
        </is>
      </c>
      <c r="T1244" s="313" t="inlineStr">
        <is>
          <t>NUM</t>
        </is>
      </c>
      <c r="U1244" s="237" t="inlineStr">
        <is>
          <t>15 dont signe et 9 décimales</t>
        </is>
      </c>
      <c r="V1244" s="238" t="inlineStr">
        <is>
          <t>15 including sign and 9 decimals</t>
        </is>
      </c>
      <c r="W1244" s="257" t="n">
        <v>15</v>
      </c>
      <c r="X1244" s="994" t="inlineStr">
        <is>
          <t>NA</t>
        </is>
      </c>
      <c r="Y1244" s="237" t="n">
        <v>44</v>
      </c>
      <c r="Z1244" s="237" t="inlineStr">
        <is>
          <t>NA</t>
        </is>
      </c>
      <c r="AA1244" s="239" t="inlineStr">
        <is>
          <t>NA</t>
        </is>
      </c>
      <c r="AB1244" s="269" t="inlineStr">
        <is>
          <t>OCTROI DE CREDIT</t>
        </is>
      </c>
      <c r="AC1244" s="231" t="inlineStr">
        <is>
          <t>ND</t>
        </is>
      </c>
      <c r="AD1244" s="257" t="inlineStr">
        <is>
          <t>N</t>
        </is>
      </c>
      <c r="AE1244" s="257" t="inlineStr">
        <is>
          <t>NA</t>
        </is>
      </c>
      <c r="AF1244" s="257" t="inlineStr">
        <is>
          <t>NA</t>
        </is>
      </c>
      <c r="AG1244" s="258" t="inlineStr">
        <is>
          <t>NA</t>
        </is>
      </c>
      <c r="AH1244" s="89" t="n"/>
      <c r="AI1244" s="711" t="inlineStr">
        <is>
          <t xml:space="preserve">La donnée est obligatoire si le type de risque [P2 2.0] est égal à 'TRE2xx' à 'TRE4xx', 'TRE502' hors (TRE201, TRE203, TRE205, TRE206, TRE207) ET si la donnée objet financé [P2 22.7] est égale à '03' ET si la donnée méthodologie de notation [C1 4.3] du tiers en risque est égale à 'M1 ', 'M2', 'M41', 'M43' ou 'M44' ET si la date revalorisation du bien [P2 22.46] est renseignée </t>
        </is>
      </c>
      <c r="AJ1244" s="434" t="inlineStr">
        <is>
          <t>The data is mandatory if Risk type [P2 2.0] is equal to 'TRE2xx' to 'TRE4xx', 'TRE502' except (TRE201, TRE203, TRE205, TRE206, TRE207) AND if the data Object financed [P2 22.7] is equal to '03' AND if the data Rating methodology [C1 4.3] of third-party in risk is equal to 'M1 ', 'M2', 'M41', 'M43' or 'M44' AND if the Property's revaluation date [P2 22.46] is filled</t>
        </is>
      </c>
      <c r="AK1244" s="257" t="n">
        <v>6</v>
      </c>
      <c r="AL1244" s="840" t="inlineStr">
        <is>
          <t>TP2037</t>
        </is>
      </c>
      <c r="AM1244" s="318" t="n"/>
      <c r="AN1244" s="317" t="n"/>
      <c r="AO1244" s="257" t="n"/>
      <c r="AP1244" s="258" t="n"/>
      <c r="AQ1244" s="318" t="n"/>
      <c r="AR1244" s="317" t="n"/>
      <c r="AS1244" s="257" t="n"/>
      <c r="AT1244" s="258" t="n"/>
      <c r="AU1244" s="318" t="n"/>
      <c r="AV1244" s="317" t="n"/>
      <c r="AW1244" s="257" t="n"/>
      <c r="AX1244" s="258" t="n"/>
      <c r="AY1244" s="318" t="n"/>
      <c r="AZ1244" s="317" t="n"/>
      <c r="BA1244" s="257" t="n"/>
      <c r="BB1244" s="258" t="n"/>
      <c r="BC1244" s="316" t="n"/>
      <c r="BD1244" s="317" t="n"/>
      <c r="BE1244" s="257" t="n"/>
      <c r="BF1244" s="258" t="n"/>
      <c r="BG1244" s="89" t="n"/>
      <c r="BH12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44">
        <f>_xlfn.LET(r,ROW(),oc,INDEX($A:$A,r),cv,TRIM(INDEX($Y:$Y,r)&amp;""),IF(oc&lt;&gt;"P1","",IF(cv="45","V45 - novo, nao alimentado pelo spool atual","V44 - alimentado pelo spool atual")))</f>
        <v/>
      </c>
    </row>
    <row r="1245" ht="54" customFormat="1" customHeight="1" s="90">
      <c r="A1245" s="306" t="inlineStr">
        <is>
          <t>P2</t>
        </is>
      </c>
      <c r="B1245" s="307" t="n">
        <v>348</v>
      </c>
      <c r="C1245" s="269" t="inlineStr">
        <is>
          <t>29 - Ratio</t>
        </is>
      </c>
      <c r="D1245" s="236" t="inlineStr">
        <is>
          <t>29 - Ratio</t>
        </is>
      </c>
      <c r="E1245" s="307" t="inlineStr">
        <is>
          <t>P2 21.84</t>
        </is>
      </c>
      <c r="F1245" s="308" t="inlineStr">
        <is>
          <t>Ratio prêts-coûts (LTC) à l'octroi</t>
        </is>
      </c>
      <c r="G1245" s="309" t="inlineStr">
        <is>
          <t>LTC (Loan to Cost) at the origin</t>
        </is>
      </c>
      <c r="H1245" s="309" t="n"/>
      <c r="I1245" s="308" t="inlineStr">
        <is>
          <t>Le ratio LTC (Loan To Cost) représente le montant initial de l'ensemble des prêts accordés par rapport aux coûts liés à la construction d'un bien immobilier jusqu'à son achèvement</t>
        </is>
      </c>
      <c r="J1245" s="309" t="inlineStr">
        <is>
          <t>The Loan To Cost (LTC) ratio represents the initial amount of all loans granted relative to the costs of the property construction until its completion</t>
        </is>
      </c>
      <c r="K1245" s="370" t="inlineStr">
        <is>
          <t>ND</t>
        </is>
      </c>
      <c r="L1245" s="371" t="inlineStr">
        <is>
          <t>ND</t>
        </is>
      </c>
      <c r="M1245" s="1420" t="inlineStr">
        <is>
          <t>txLTCoctroi</t>
        </is>
      </c>
      <c r="N1245" s="231" t="inlineStr">
        <is>
          <t>Obligatoire sous conditions</t>
        </is>
      </c>
      <c r="O1245" s="236" t="inlineStr">
        <is>
          <t>Mandatory under conditions</t>
        </is>
      </c>
      <c r="P1245" s="269" t="inlineStr">
        <is>
          <t>NA</t>
        </is>
      </c>
      <c r="Q1245" s="269" t="inlineStr">
        <is>
          <t>NA</t>
        </is>
      </c>
      <c r="R1245" s="241" t="inlineStr">
        <is>
          <t>NA</t>
        </is>
      </c>
      <c r="S1245" s="233" t="inlineStr">
        <is>
          <t>NA</t>
        </is>
      </c>
      <c r="T1245" s="313" t="inlineStr">
        <is>
          <t>NUM</t>
        </is>
      </c>
      <c r="U1245" s="237" t="inlineStr">
        <is>
          <t>15 dont signe et 9 décimales</t>
        </is>
      </c>
      <c r="V1245" s="238" t="inlineStr">
        <is>
          <t>15 including sign and 9 decimals</t>
        </is>
      </c>
      <c r="W1245" s="257" t="n">
        <v>15</v>
      </c>
      <c r="X1245" s="994" t="inlineStr">
        <is>
          <t>NA</t>
        </is>
      </c>
      <c r="Y1245" s="237" t="n">
        <v>44</v>
      </c>
      <c r="Z1245" s="237" t="inlineStr">
        <is>
          <t>NA</t>
        </is>
      </c>
      <c r="AA1245" s="239" t="inlineStr">
        <is>
          <t>NA</t>
        </is>
      </c>
      <c r="AB1245" s="269" t="inlineStr">
        <is>
          <t>OCTROI DE CREDIT</t>
        </is>
      </c>
      <c r="AC1245" s="231" t="inlineStr">
        <is>
          <t>ND</t>
        </is>
      </c>
      <c r="AD1245" s="257" t="inlineStr">
        <is>
          <t>N</t>
        </is>
      </c>
      <c r="AE1245" s="257" t="inlineStr">
        <is>
          <t>NA</t>
        </is>
      </c>
      <c r="AF1245" s="257" t="inlineStr">
        <is>
          <t>NA</t>
        </is>
      </c>
      <c r="AG1245" s="258" t="inlineStr">
        <is>
          <t>NA</t>
        </is>
      </c>
      <c r="AH1245" s="89" t="n"/>
      <c r="AI1245" s="711" t="inlineStr">
        <is>
          <t xml:space="preserve">La donnée est obligatoire si le type de risque [P2 2.0] est égal à 'TRE2xx' à 'TRE4xx', 'TRE502' hors (TRE201, TRE203, TRE205, TRE206, TRE207) ET si la donnée objet financé [P2 22.7] est égale à '03' ET si la donnée méthodologie de notation [C1 4.3] du tiers en risque est égale à 'M1 ', 'M2', 'M41', 'M43' ou 'M44' ET si la date revalorisation du bien [P2 22.46] est renseignée </t>
        </is>
      </c>
      <c r="AJ1245" s="434" t="inlineStr">
        <is>
          <t>The data is mandatory if Risk type [P2 2.0] is equal to 'TRE2xx' to 'TRE4xx', 'TRE502' except (TRE201, TRE203, TRE205, TRE206, TRE207) AND if the data Object financed [P2 22.7] is equal to '03' AND if the data Rating methodology [C1 4.3] of third-party in risk is equal to 'M1 ', 'M2', 'M41', 'M43' or 'M44' AND if the Property's revaluation date [P2 22.46] is filled</t>
        </is>
      </c>
      <c r="AK1245" s="257" t="n">
        <v>6</v>
      </c>
      <c r="AL1245" s="762" t="inlineStr">
        <is>
          <t>TP2037</t>
        </is>
      </c>
      <c r="AM1245" s="318" t="n"/>
      <c r="AN1245" s="317" t="n"/>
      <c r="AO1245" s="257" t="n"/>
      <c r="AP1245" s="258" t="n"/>
      <c r="AQ1245" s="318" t="n"/>
      <c r="AR1245" s="317" t="n"/>
      <c r="AS1245" s="257" t="n"/>
      <c r="AT1245" s="258" t="n"/>
      <c r="AU1245" s="318" t="n"/>
      <c r="AV1245" s="317" t="n"/>
      <c r="AW1245" s="257" t="n"/>
      <c r="AX1245" s="258" t="n"/>
      <c r="AY1245" s="318" t="n"/>
      <c r="AZ1245" s="317" t="n"/>
      <c r="BA1245" s="257" t="n"/>
      <c r="BB1245" s="258" t="n"/>
      <c r="BC1245" s="316" t="n"/>
      <c r="BD1245" s="317" t="n"/>
      <c r="BE1245" s="257" t="n"/>
      <c r="BF1245" s="258" t="n"/>
      <c r="BG1245" s="89" t="n"/>
      <c r="BH12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45">
        <f>_xlfn.LET(r,ROW(),oc,INDEX($A:$A,r),cv,TRIM(INDEX($Y:$Y,r)&amp;""),IF(oc&lt;&gt;"P1","",IF(cv="45","V45 - novo, nao alimentado pelo spool atual","V44 - alimentado pelo spool atual")))</f>
        <v/>
      </c>
    </row>
    <row r="1246" ht="54" customFormat="1" customHeight="1" s="90">
      <c r="A1246" s="306" t="inlineStr">
        <is>
          <t>P2</t>
        </is>
      </c>
      <c r="B1246" s="307" t="n">
        <v>349</v>
      </c>
      <c r="C1246" s="269" t="inlineStr">
        <is>
          <t>12 - Caractéristiques Prêts - Emprunts</t>
        </is>
      </c>
      <c r="D1246" s="236" t="inlineStr">
        <is>
          <t>12 - Loans - Borrowings characteristics</t>
        </is>
      </c>
      <c r="E1246" s="307" t="inlineStr">
        <is>
          <t>P2 21.85</t>
        </is>
      </c>
      <c r="F1246" s="308" t="inlineStr">
        <is>
          <t>Taux de précommercialisation / prélocation à l'octroi</t>
        </is>
      </c>
      <c r="G1246" s="309" t="inlineStr">
        <is>
          <t>Pre-market/pre-grant rate at the origin</t>
        </is>
      </c>
      <c r="H1246" s="309" t="n"/>
      <c r="I1246" s="1248" t="inlineStr">
        <is>
          <t>Correspond à la surface pré-réservée (location ou vente) au moment de l'accord de prêt / surface totale après achèvement du bien
Exprimé en %</t>
        </is>
      </c>
      <c r="J1246" s="309" t="inlineStr">
        <is>
          <t>Corresponds to the pre-reserved area (renting or sale) at the time of the loan agreement / total area after completion of the property
Expressed as %</t>
        </is>
      </c>
      <c r="K1246" s="370" t="inlineStr">
        <is>
          <t>ND</t>
        </is>
      </c>
      <c r="L1246" s="371" t="inlineStr">
        <is>
          <t>ND</t>
        </is>
      </c>
      <c r="M1246" s="1420" t="inlineStr">
        <is>
          <t>txPreOctroi</t>
        </is>
      </c>
      <c r="N1246" s="231" t="inlineStr">
        <is>
          <t>Obligatoire sous conditions</t>
        </is>
      </c>
      <c r="O1246" s="236" t="inlineStr">
        <is>
          <t>Mandatory under conditions</t>
        </is>
      </c>
      <c r="P1246" s="269" t="inlineStr">
        <is>
          <t>NA</t>
        </is>
      </c>
      <c r="Q1246" s="269" t="inlineStr">
        <is>
          <t>NA</t>
        </is>
      </c>
      <c r="R1246" s="241" t="inlineStr">
        <is>
          <t>NA</t>
        </is>
      </c>
      <c r="S1246" s="233" t="inlineStr">
        <is>
          <t>NA</t>
        </is>
      </c>
      <c r="T1246" s="313" t="inlineStr">
        <is>
          <t>NUM</t>
        </is>
      </c>
      <c r="U1246" s="237" t="inlineStr">
        <is>
          <t>15 dont signe et 9 décimales</t>
        </is>
      </c>
      <c r="V1246" s="238" t="inlineStr">
        <is>
          <t>15 including sign and 9 decimals</t>
        </is>
      </c>
      <c r="W1246" s="257" t="n">
        <v>15</v>
      </c>
      <c r="X1246" s="994" t="inlineStr">
        <is>
          <t>NA</t>
        </is>
      </c>
      <c r="Y1246" s="237" t="n">
        <v>44</v>
      </c>
      <c r="Z1246" s="237" t="inlineStr">
        <is>
          <t>NA</t>
        </is>
      </c>
      <c r="AA1246" s="239" t="inlineStr">
        <is>
          <t>NA</t>
        </is>
      </c>
      <c r="AB1246" s="269" t="inlineStr">
        <is>
          <t>OCTROI DE CREDIT</t>
        </is>
      </c>
      <c r="AC1246" s="231" t="inlineStr">
        <is>
          <t>ND</t>
        </is>
      </c>
      <c r="AD1246" s="257" t="inlineStr">
        <is>
          <t>N</t>
        </is>
      </c>
      <c r="AE1246" s="257" t="inlineStr">
        <is>
          <t>NA</t>
        </is>
      </c>
      <c r="AF1246" s="257" t="inlineStr">
        <is>
          <t>NA</t>
        </is>
      </c>
      <c r="AG1246" s="258" t="inlineStr">
        <is>
          <t>NA</t>
        </is>
      </c>
      <c r="AH1246" s="89" t="n"/>
      <c r="AI1246" s="711" t="inlineStr">
        <is>
          <t xml:space="preserve">La donnée est obligatoire si le type de risque [P2 2.0] est égal à 'TRE2xx' à 'TRE4xx', 'TRE502' hors (TRE201, TRE203, TRE205, TRE206, TRE207) ET si la donnée objet financé [P2 22.7] est égale à '03' ET si la donnée méthodologie de notation [C1 4.3] du tiers en risque est égale à 'M1 ', 'M2', 'M41', 'M43' ou 'M44' ET si la date revalorisation du bien [P2 22.46] est renseignée </t>
        </is>
      </c>
      <c r="AJ1246" s="434" t="inlineStr">
        <is>
          <t>The data is mandatory if Risk type [P2 2.0] is equal to 'TRE2xx' to 'TRE4xx', 'TRE502' except (TRE201, TRE203, TRE205, TRE206, TRE207) AND if the data Object financed [P2 22.7] is equal to '03' AND if the data Rating methodology [C1 4.3] of third-party in risk is equal to 'M1 ', 'M2', 'M41', 'M43' or 'M44' AND if the Property's revaluation date [P2 22.46] is filled</t>
        </is>
      </c>
      <c r="AK1246" s="257" t="n">
        <v>6</v>
      </c>
      <c r="AL1246" s="762" t="inlineStr">
        <is>
          <t>TP2037</t>
        </is>
      </c>
      <c r="AM1246" s="318" t="n"/>
      <c r="AN1246" s="317" t="n"/>
      <c r="AO1246" s="257" t="n"/>
      <c r="AP1246" s="258" t="n"/>
      <c r="AQ1246" s="318" t="n"/>
      <c r="AR1246" s="317" t="n"/>
      <c r="AS1246" s="257" t="n"/>
      <c r="AT1246" s="258" t="n"/>
      <c r="AU1246" s="318" t="n"/>
      <c r="AV1246" s="317" t="n"/>
      <c r="AW1246" s="257" t="n"/>
      <c r="AX1246" s="258" t="n"/>
      <c r="AY1246" s="318" t="n"/>
      <c r="AZ1246" s="317" t="n"/>
      <c r="BA1246" s="257" t="n"/>
      <c r="BB1246" s="258" t="n"/>
      <c r="BC1246" s="316" t="n"/>
      <c r="BD1246" s="317" t="n"/>
      <c r="BE1246" s="257" t="n"/>
      <c r="BF1246" s="258" t="n"/>
      <c r="BG1246" s="89" t="n"/>
      <c r="BH12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46">
        <f>_xlfn.LET(r,ROW(),oc,INDEX($A:$A,r),cv,TRIM(INDEX($Y:$Y,r)&amp;""),IF(oc&lt;&gt;"P1","",IF(cv="45","V45 - novo, nao alimentado pelo spool atual","V44 - alimentado pelo spool atual")))</f>
        <v/>
      </c>
    </row>
    <row r="1247" ht="54" customFormat="1" customHeight="1" s="90">
      <c r="A1247" s="306" t="inlineStr">
        <is>
          <t>P2</t>
        </is>
      </c>
      <c r="B1247" s="307" t="n">
        <v>350</v>
      </c>
      <c r="C1247" s="269" t="inlineStr">
        <is>
          <t>12 - Caractéristiques Prêts - Emprunts</t>
        </is>
      </c>
      <c r="D1247" s="236" t="inlineStr">
        <is>
          <t>12 - Loans - Borrowings characteristics</t>
        </is>
      </c>
      <c r="E1247" s="307" t="inlineStr">
        <is>
          <t>P2 21.86</t>
        </is>
      </c>
      <c r="F1247" s="764" t="inlineStr">
        <is>
          <t>Type de bien commercial</t>
        </is>
      </c>
      <c r="G1247" s="309" t="inlineStr">
        <is>
          <t>Type of commercial property</t>
        </is>
      </c>
      <c r="H1247" s="309" t="n"/>
      <c r="I1247" s="765" t="inlineStr">
        <is>
          <t>Correspond à l'usage principal du bien immobilier commercial</t>
        </is>
      </c>
      <c r="J1247" s="309" t="inlineStr">
        <is>
          <t>Corresponds to the principle use of the commercial real estate property</t>
        </is>
      </c>
      <c r="K1247" s="370" t="inlineStr">
        <is>
          <t>ND</t>
        </is>
      </c>
      <c r="L1247" s="371" t="inlineStr">
        <is>
          <t>ND</t>
        </is>
      </c>
      <c r="M1247" s="1420" t="inlineStr">
        <is>
          <t>TypBienCcial</t>
        </is>
      </c>
      <c r="N1247" s="597" t="inlineStr">
        <is>
          <t>Facultatif</t>
        </is>
      </c>
      <c r="O1247" s="236" t="inlineStr">
        <is>
          <t>Optional</t>
        </is>
      </c>
      <c r="P1247" s="269" t="inlineStr">
        <is>
          <t>LC.0513</t>
        </is>
      </c>
      <c r="Q1247" s="269" t="inlineStr">
        <is>
          <t>TA Z8TYPBCO</t>
        </is>
      </c>
      <c r="R1247" s="241" t="inlineStr">
        <is>
          <t>NA</t>
        </is>
      </c>
      <c r="S1247" s="233" t="inlineStr">
        <is>
          <t>NA</t>
        </is>
      </c>
      <c r="T1247" s="313" t="inlineStr">
        <is>
          <t>ALPHA</t>
        </is>
      </c>
      <c r="U1247" s="237" t="inlineStr">
        <is>
          <t>NA</t>
        </is>
      </c>
      <c r="V1247" s="238" t="inlineStr">
        <is>
          <t>NA</t>
        </is>
      </c>
      <c r="W1247" s="257" t="n">
        <v>1</v>
      </c>
      <c r="X1247" s="994" t="inlineStr">
        <is>
          <t>NA</t>
        </is>
      </c>
      <c r="Y1247" s="237" t="n">
        <v>44</v>
      </c>
      <c r="Z1247" s="237" t="inlineStr">
        <is>
          <t>NA</t>
        </is>
      </c>
      <c r="AA1247" s="283" t="inlineStr">
        <is>
          <t>NA</t>
        </is>
      </c>
      <c r="AB1247" s="269" t="inlineStr">
        <is>
          <t>OCTROI DE CREDIT</t>
        </is>
      </c>
      <c r="AC1247" s="231" t="inlineStr">
        <is>
          <t>ND</t>
        </is>
      </c>
      <c r="AD1247" s="257" t="inlineStr">
        <is>
          <t>N</t>
        </is>
      </c>
      <c r="AE1247" s="257" t="inlineStr">
        <is>
          <t>NA</t>
        </is>
      </c>
      <c r="AF1247" s="257" t="inlineStr">
        <is>
          <t>NA</t>
        </is>
      </c>
      <c r="AG1247" s="258" t="inlineStr">
        <is>
          <t>NA</t>
        </is>
      </c>
      <c r="AH1247" s="89" t="n"/>
      <c r="AI1247" s="711" t="n"/>
      <c r="AJ1247" s="434" t="n"/>
      <c r="AK1247" s="257" t="n"/>
      <c r="AL1247" s="762" t="n"/>
      <c r="AM1247" s="318" t="inlineStr">
        <is>
          <t>Si elle est renseignée, la valeur doit être connue du Langage Commun associé</t>
        </is>
      </c>
      <c r="AN1247" s="317" t="inlineStr">
        <is>
          <t>If specified, the value must be known to the associated Common Language</t>
        </is>
      </c>
      <c r="AO1247" s="257" t="n">
        <v>7</v>
      </c>
      <c r="AP1247" s="212" t="inlineStr">
        <is>
          <t>TIG0001</t>
        </is>
      </c>
      <c r="AQ1247" s="318" t="n"/>
      <c r="AR1247" s="317" t="n"/>
      <c r="AS1247" s="257" t="n"/>
      <c r="AT1247" s="258" t="n"/>
      <c r="AU1247" s="318" t="n"/>
      <c r="AV1247" s="317" t="n"/>
      <c r="AW1247" s="257" t="n"/>
      <c r="AX1247" s="258" t="n"/>
      <c r="AY1247" s="318" t="n"/>
      <c r="AZ1247" s="317" t="n"/>
      <c r="BA1247" s="257" t="n"/>
      <c r="BB1247" s="258" t="n"/>
      <c r="BC1247" s="316" t="n"/>
      <c r="BD1247" s="317" t="n"/>
      <c r="BE1247" s="257" t="n"/>
      <c r="BF1247" s="258" t="n"/>
      <c r="BG1247" s="89" t="n"/>
      <c r="BH12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47">
        <f>_xlfn.LET(r,ROW(),oc,INDEX($A:$A,r),cv,TRIM(INDEX($Y:$Y,r)&amp;""),IF(oc&lt;&gt;"P1","",IF(cv="45","V45 - novo, nao alimentado pelo spool atual","V44 - alimentado pelo spool atual")))</f>
        <v/>
      </c>
    </row>
    <row r="1248" ht="54" customFormat="1" customHeight="1" s="90">
      <c r="A1248" s="306" t="inlineStr">
        <is>
          <t>P2</t>
        </is>
      </c>
      <c r="B1248" s="307" t="n">
        <v>351</v>
      </c>
      <c r="C1248" s="269" t="inlineStr">
        <is>
          <t>12 - Caractéristiques Prêts - Emprunts</t>
        </is>
      </c>
      <c r="D1248" s="236" t="inlineStr">
        <is>
          <t>12 - Loans - Borrowings characteristics</t>
        </is>
      </c>
      <c r="E1248" s="307" t="inlineStr">
        <is>
          <t>P2 21.87</t>
        </is>
      </c>
      <c r="F1248" s="765" t="inlineStr">
        <is>
          <t>Emplacement du bien immobilier commercial</t>
        </is>
      </c>
      <c r="G1248" s="309" t="inlineStr">
        <is>
          <t>Location of the commercial real estate property</t>
        </is>
      </c>
      <c r="H1248" s="309" t="n"/>
      <c r="I1248" s="308" t="inlineStr">
        <is>
          <t>Fait référence à la répartition géographique ou aux sous-marchés immobiliers.
Comprend les emplacements privilégiés et les emplacements non-privilégiés (cf. le langage commun pour une définition d'un emplacement privilégié).</t>
        </is>
      </c>
      <c r="J1248" s="309" t="inlineStr">
        <is>
          <t>Refers to geographical distribution or real-estate submarkets.
Includes preferred and non-preferred locations (see the common language for a definition of a preferred location)</t>
        </is>
      </c>
      <c r="K1248" s="370" t="inlineStr">
        <is>
          <t>ND</t>
        </is>
      </c>
      <c r="L1248" s="371" t="inlineStr">
        <is>
          <t>ND</t>
        </is>
      </c>
      <c r="M1248" s="1420" t="inlineStr">
        <is>
          <t>EmplBienCcial</t>
        </is>
      </c>
      <c r="N1248" s="597" t="inlineStr">
        <is>
          <t>Facultatif</t>
        </is>
      </c>
      <c r="O1248" s="236" t="inlineStr">
        <is>
          <t>Optional</t>
        </is>
      </c>
      <c r="P1248" s="269" t="inlineStr">
        <is>
          <t>LC.0516</t>
        </is>
      </c>
      <c r="Q1248" s="269" t="inlineStr">
        <is>
          <t>TA Z8EMPBCO</t>
        </is>
      </c>
      <c r="R1248" s="241" t="inlineStr">
        <is>
          <t>NA</t>
        </is>
      </c>
      <c r="S1248" s="233" t="inlineStr">
        <is>
          <t>NA</t>
        </is>
      </c>
      <c r="T1248" s="313" t="inlineStr">
        <is>
          <t>ALPHA</t>
        </is>
      </c>
      <c r="U1248" s="237" t="inlineStr">
        <is>
          <t>NA</t>
        </is>
      </c>
      <c r="V1248" s="238" t="inlineStr">
        <is>
          <t>NA</t>
        </is>
      </c>
      <c r="W1248" s="257" t="n">
        <v>1</v>
      </c>
      <c r="X1248" s="994" t="inlineStr">
        <is>
          <t>NA</t>
        </is>
      </c>
      <c r="Y1248" s="237" t="n">
        <v>44</v>
      </c>
      <c r="Z1248" s="237" t="inlineStr">
        <is>
          <t>NA</t>
        </is>
      </c>
      <c r="AA1248" s="239" t="inlineStr">
        <is>
          <t>NA</t>
        </is>
      </c>
      <c r="AB1248" s="269" t="inlineStr">
        <is>
          <t>OCTROI DE CREDIT</t>
        </is>
      </c>
      <c r="AC1248" s="231" t="inlineStr">
        <is>
          <t>ND</t>
        </is>
      </c>
      <c r="AD1248" s="257" t="inlineStr">
        <is>
          <t>N</t>
        </is>
      </c>
      <c r="AE1248" s="257" t="inlineStr">
        <is>
          <t>NA</t>
        </is>
      </c>
      <c r="AF1248" s="257" t="inlineStr">
        <is>
          <t>NA</t>
        </is>
      </c>
      <c r="AG1248" s="258" t="inlineStr">
        <is>
          <t>NA</t>
        </is>
      </c>
      <c r="AH1248" s="89" t="n"/>
      <c r="AI1248" s="711" t="n"/>
      <c r="AJ1248" s="434" t="n"/>
      <c r="AK1248" s="257" t="n"/>
      <c r="AL1248" s="762" t="n"/>
      <c r="AM1248" s="318" t="inlineStr">
        <is>
          <t>Si elle est renseignée, la valeur doit être connue du Langage Commun associé</t>
        </is>
      </c>
      <c r="AN1248" s="317" t="inlineStr">
        <is>
          <t>If specified, the value must be known to the associated Common Language</t>
        </is>
      </c>
      <c r="AO1248" s="257" t="n">
        <v>7</v>
      </c>
      <c r="AP1248" s="212" t="inlineStr">
        <is>
          <t>TIG0001</t>
        </is>
      </c>
      <c r="AQ1248" s="318" t="n"/>
      <c r="AR1248" s="317" t="n"/>
      <c r="AS1248" s="257" t="n"/>
      <c r="AT1248" s="258" t="n"/>
      <c r="AU1248" s="318" t="n"/>
      <c r="AV1248" s="317" t="n"/>
      <c r="AW1248" s="257" t="n"/>
      <c r="AX1248" s="258" t="n"/>
      <c r="AY1248" s="318" t="n"/>
      <c r="AZ1248" s="317" t="n"/>
      <c r="BA1248" s="257" t="n"/>
      <c r="BB1248" s="258" t="n"/>
      <c r="BC1248" s="316" t="n"/>
      <c r="BD1248" s="317" t="n"/>
      <c r="BE1248" s="257" t="n"/>
      <c r="BF1248" s="258" t="n"/>
      <c r="BG1248" s="89" t="n"/>
      <c r="BH12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48">
        <f>_xlfn.LET(r,ROW(),oc,INDEX($A:$A,r),cv,TRIM(INDEX($Y:$Y,r)&amp;""),IF(oc&lt;&gt;"P1","",IF(cv="45","V45 - novo, nao alimentado pelo spool atual","V44 - alimentado pelo spool atual")))</f>
        <v/>
      </c>
    </row>
    <row r="1249" ht="54" customFormat="1" customHeight="1" s="90">
      <c r="A1249" s="306" t="inlineStr">
        <is>
          <t>P2</t>
        </is>
      </c>
      <c r="B1249" s="307" t="n">
        <v>352</v>
      </c>
      <c r="C1249" s="269" t="inlineStr">
        <is>
          <t xml:space="preserve">08 - Caractéristiques d'arriérés et de restructuration </t>
        </is>
      </c>
      <c r="D1249" s="236" t="inlineStr">
        <is>
          <t>08 - Characteristics of overdues and restructuring</t>
        </is>
      </c>
      <c r="E1249" s="307" t="inlineStr">
        <is>
          <t>P2 21.88</t>
        </is>
      </c>
      <c r="F1249" s="308" t="inlineStr">
        <is>
          <t>Indicateur d'opération avec recours</t>
        </is>
      </c>
      <c r="G1249" s="309" t="inlineStr">
        <is>
          <t>Operation with recourse indicator</t>
        </is>
      </c>
      <c r="H1249" s="309" t="n"/>
      <c r="I1249" s="766" t="inlineStr">
        <is>
          <t>Classification des opérations en fonction des droits qu'a le créancier de saisir des actifs ne constituant pas une protection nantie pour garantir l'opération.
Dans le cas de créances commerciales, il s'agit du droit de recouvrer la dette auprès de l'entité ayant vendu ces créances au créancier.</t>
        </is>
      </c>
      <c r="J1249" s="309" t="inlineStr">
        <is>
          <t>Classification of operation according to the creditor's rights to seize assets not pledged as security for the operation.
In the case of trade receivables, it is the right to collect the debt from the entity that sold the receivables to the creditor.</t>
        </is>
      </c>
      <c r="K1249" s="370" t="inlineStr">
        <is>
          <t>ND</t>
        </is>
      </c>
      <c r="L1249" s="371" t="inlineStr">
        <is>
          <t>ND</t>
        </is>
      </c>
      <c r="M1249" s="1420" t="inlineStr">
        <is>
          <t>indOpeAvcRecours</t>
        </is>
      </c>
      <c r="N1249" s="758" t="inlineStr">
        <is>
          <t>Facultatif</t>
        </is>
      </c>
      <c r="O1249" s="236" t="inlineStr">
        <is>
          <t>Optional</t>
        </is>
      </c>
      <c r="P1249" s="269" t="inlineStr">
        <is>
          <t>LC.0503</t>
        </is>
      </c>
      <c r="Q1249" s="269" t="inlineStr">
        <is>
          <t>TA Z8INSARE</t>
        </is>
      </c>
      <c r="R1249" s="241" t="inlineStr">
        <is>
          <t>NA</t>
        </is>
      </c>
      <c r="S1249" s="233" t="inlineStr">
        <is>
          <t>NA</t>
        </is>
      </c>
      <c r="T1249" s="313" t="inlineStr">
        <is>
          <t>ALPHA</t>
        </is>
      </c>
      <c r="U1249" s="237" t="inlineStr">
        <is>
          <t>NA</t>
        </is>
      </c>
      <c r="V1249" s="238" t="inlineStr">
        <is>
          <t>NA</t>
        </is>
      </c>
      <c r="W1249" s="257" t="n">
        <v>1</v>
      </c>
      <c r="X1249" s="994" t="inlineStr">
        <is>
          <t>NA</t>
        </is>
      </c>
      <c r="Y1249" s="237" t="n">
        <v>44</v>
      </c>
      <c r="Z1249" s="237" t="inlineStr">
        <is>
          <t>NA</t>
        </is>
      </c>
      <c r="AA1249" s="283" t="inlineStr">
        <is>
          <t>NA</t>
        </is>
      </c>
      <c r="AB1249" s="269" t="inlineStr">
        <is>
          <t>ANACREDIT</t>
        </is>
      </c>
      <c r="AC1249" s="231" t="inlineStr">
        <is>
          <t>ND</t>
        </is>
      </c>
      <c r="AD1249" s="257" t="inlineStr">
        <is>
          <t>N</t>
        </is>
      </c>
      <c r="AE1249" s="257" t="inlineStr">
        <is>
          <t>NA</t>
        </is>
      </c>
      <c r="AF1249" s="257" t="inlineStr">
        <is>
          <t>NA</t>
        </is>
      </c>
      <c r="AG1249" s="258" t="inlineStr">
        <is>
          <t>NA</t>
        </is>
      </c>
      <c r="AH1249" s="89" t="n"/>
      <c r="AI1249" s="316" t="n"/>
      <c r="AJ1249" s="317" t="n"/>
      <c r="AK1249" s="257" t="n"/>
      <c r="AL1249" s="258" t="n"/>
      <c r="AM1249" s="318" t="inlineStr">
        <is>
          <t>Si elle est renseignée, la valeur doit être connue du Langage Commun associé</t>
        </is>
      </c>
      <c r="AN1249" s="317" t="inlineStr">
        <is>
          <t>If specified, the value must be known to the associated Common Language</t>
        </is>
      </c>
      <c r="AO1249" s="257" t="n">
        <v>7</v>
      </c>
      <c r="AP1249" s="212" t="inlineStr">
        <is>
          <t>TIG0001</t>
        </is>
      </c>
      <c r="AQ1249" s="318" t="n"/>
      <c r="AR1249" s="317" t="n"/>
      <c r="AS1249" s="257" t="n"/>
      <c r="AT1249" s="258" t="n"/>
      <c r="AU1249" s="318" t="n"/>
      <c r="AV1249" s="317" t="n"/>
      <c r="AW1249" s="257" t="n"/>
      <c r="AX1249" s="258" t="n"/>
      <c r="AY1249" s="318" t="n"/>
      <c r="AZ1249" s="317" t="n"/>
      <c r="BA1249" s="257" t="n"/>
      <c r="BB1249" s="258" t="n"/>
      <c r="BC1249" s="316" t="n"/>
      <c r="BD1249" s="317" t="n"/>
      <c r="BE1249" s="257" t="n"/>
      <c r="BF1249" s="258" t="n"/>
      <c r="BG1249" s="89" t="n"/>
      <c r="BH12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49">
        <f>_xlfn.LET(r,ROW(),oc,INDEX($A:$A,r),cv,TRIM(INDEX($Y:$Y,r)&amp;""),IF(oc&lt;&gt;"P1","",IF(cv="45","V45 - novo, nao alimentado pelo spool atual","V44 - alimentado pelo spool atual")))</f>
        <v/>
      </c>
    </row>
    <row r="1250" ht="54" customFormat="1" customHeight="1" s="90">
      <c r="A1250" s="325" t="inlineStr">
        <is>
          <t>P2</t>
        </is>
      </c>
      <c r="B1250" s="326" t="n">
        <v>353</v>
      </c>
      <c r="C1250" s="284" t="inlineStr">
        <is>
          <t>03 - Caractéristiques Générales</t>
        </is>
      </c>
      <c r="D1250" s="244" t="inlineStr">
        <is>
          <t>03 - General characteristics</t>
        </is>
      </c>
      <c r="E1250" s="326" t="inlineStr">
        <is>
          <t>P2 31.51</t>
        </is>
      </c>
      <c r="F1250" s="327" t="inlineStr">
        <is>
          <t>Identifiant du contrat maître en responsabilité solidaire</t>
        </is>
      </c>
      <c r="G1250" s="327" t="inlineStr">
        <is>
          <t>Master contract in joint liability identifier</t>
        </is>
      </c>
      <c r="H1250" s="327" t="n"/>
      <c r="I1250" s="327" t="inlineStr">
        <is>
          <t>Identifiant du contrat maître en responsabilité solidaire</t>
        </is>
      </c>
      <c r="J1250" s="327" t="inlineStr">
        <is>
          <t>Master contract in joint liability identifier</t>
        </is>
      </c>
      <c r="K1250" s="388" t="inlineStr">
        <is>
          <t>NA</t>
        </is>
      </c>
      <c r="L1250" s="388" t="inlineStr">
        <is>
          <t>NA</t>
        </is>
      </c>
      <c r="M1250" s="1421" t="inlineStr">
        <is>
          <t>idEngRespSolid</t>
        </is>
      </c>
      <c r="N1250" s="284" t="inlineStr">
        <is>
          <t>NA</t>
        </is>
      </c>
      <c r="O1250" s="284" t="inlineStr">
        <is>
          <t>NA</t>
        </is>
      </c>
      <c r="P1250" s="284" t="inlineStr">
        <is>
          <t>NA</t>
        </is>
      </c>
      <c r="Q1250" s="284" t="inlineStr">
        <is>
          <t>NA</t>
        </is>
      </c>
      <c r="R1250" s="245" t="inlineStr">
        <is>
          <t>NA</t>
        </is>
      </c>
      <c r="S1250" s="245" t="inlineStr">
        <is>
          <t>NA</t>
        </is>
      </c>
      <c r="T1250" s="326" t="inlineStr">
        <is>
          <t>ALPHA</t>
        </is>
      </c>
      <c r="U1250" s="248" t="inlineStr">
        <is>
          <t>NA</t>
        </is>
      </c>
      <c r="V1250" s="248" t="inlineStr">
        <is>
          <t>NA</t>
        </is>
      </c>
      <c r="W1250" s="284" t="n">
        <v>20</v>
      </c>
      <c r="X1250" s="284" t="inlineStr">
        <is>
          <t>NA</t>
        </is>
      </c>
      <c r="Y1250" s="248" t="n">
        <v>44</v>
      </c>
      <c r="Z1250" s="782" t="inlineStr">
        <is>
          <t>44</t>
        </is>
      </c>
      <c r="AA1250" s="249" t="inlineStr">
        <is>
          <t>NA</t>
        </is>
      </c>
      <c r="AB1250" s="284" t="inlineStr">
        <is>
          <t>ANACREDIT, SRB VALUATION</t>
        </is>
      </c>
      <c r="AC1250" s="244" t="inlineStr">
        <is>
          <t>NA</t>
        </is>
      </c>
      <c r="AD1250" s="284" t="inlineStr">
        <is>
          <t>N</t>
        </is>
      </c>
      <c r="AE1250" s="284" t="inlineStr">
        <is>
          <t>NA</t>
        </is>
      </c>
      <c r="AF1250" s="284" t="inlineStr">
        <is>
          <t>NA</t>
        </is>
      </c>
      <c r="AG1250" s="285" t="inlineStr">
        <is>
          <t>NA</t>
        </is>
      </c>
      <c r="AH1250" s="89" t="n"/>
      <c r="AI1250" s="711" t="n"/>
      <c r="AJ1250" s="434" t="n"/>
      <c r="AK1250" s="257" t="n"/>
      <c r="AL1250" s="258" t="n"/>
      <c r="AM1250" s="318" t="n"/>
      <c r="AN1250" s="317" t="n"/>
      <c r="AO1250" s="257" t="n"/>
      <c r="AP1250" s="258" t="n"/>
      <c r="AQ1250" s="318" t="n"/>
      <c r="AR1250" s="317" t="n"/>
      <c r="AS1250" s="257" t="n"/>
      <c r="AT1250" s="258" t="n"/>
      <c r="AU1250" s="318" t="n"/>
      <c r="AV1250" s="317" t="n"/>
      <c r="AW1250" s="257" t="n"/>
      <c r="AX1250" s="258" t="n"/>
      <c r="AY1250" s="318" t="n"/>
      <c r="AZ1250" s="317" t="n"/>
      <c r="BA1250" s="257" t="n"/>
      <c r="BB1250" s="258" t="n"/>
      <c r="BC1250" s="316" t="n"/>
      <c r="BD1250" s="317" t="n"/>
      <c r="BE1250" s="257" t="n"/>
      <c r="BF1250" s="258" t="n"/>
      <c r="BG1250" s="89" t="n"/>
      <c r="BH12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50">
        <f>_xlfn.LET(r,ROW(),oc,INDEX($A:$A,r),cv,TRIM(INDEX($Y:$Y,r)&amp;""),IF(oc&lt;&gt;"P1","",IF(cv="45","V45 - novo, nao alimentado pelo spool atual","V44 - alimentado pelo spool atual")))</f>
        <v/>
      </c>
    </row>
    <row r="1251" ht="54" customFormat="1" customHeight="1" s="90">
      <c r="A1251" s="325" t="inlineStr">
        <is>
          <t>P2</t>
        </is>
      </c>
      <c r="B1251" s="326" t="n">
        <v>354</v>
      </c>
      <c r="C1251" s="284" t="inlineStr">
        <is>
          <t>03 - Caractéristiques Générales</t>
        </is>
      </c>
      <c r="D1251" s="244" t="inlineStr">
        <is>
          <t>03 - General characteristics</t>
        </is>
      </c>
      <c r="E1251" s="326" t="inlineStr">
        <is>
          <t>P2 31.52</t>
        </is>
      </c>
      <c r="F1251" s="327" t="inlineStr">
        <is>
          <t>Montant en responsabilité solidaire</t>
        </is>
      </c>
      <c r="G1251" s="327" t="inlineStr">
        <is>
          <t>Joint liability amount</t>
        </is>
      </c>
      <c r="H1251" s="327" t="n"/>
      <c r="I1251" s="327" t="inlineStr">
        <is>
          <t>Montant en responsabilité solidaire</t>
        </is>
      </c>
      <c r="J1251" s="327" t="inlineStr">
        <is>
          <t>Joint liability amount</t>
        </is>
      </c>
      <c r="K1251" s="388" t="inlineStr">
        <is>
          <t>NA</t>
        </is>
      </c>
      <c r="L1251" s="388" t="inlineStr">
        <is>
          <t>NA</t>
        </is>
      </c>
      <c r="M1251" s="1421" t="inlineStr">
        <is>
          <t>mtRespSolid</t>
        </is>
      </c>
      <c r="N1251" s="284" t="inlineStr">
        <is>
          <t>NA</t>
        </is>
      </c>
      <c r="O1251" s="284" t="inlineStr">
        <is>
          <t>NA</t>
        </is>
      </c>
      <c r="P1251" s="284" t="inlineStr">
        <is>
          <t>NA</t>
        </is>
      </c>
      <c r="Q1251" s="284" t="inlineStr">
        <is>
          <t>NA</t>
        </is>
      </c>
      <c r="R1251" s="245" t="inlineStr">
        <is>
          <t>NA</t>
        </is>
      </c>
      <c r="S1251" s="245" t="inlineStr">
        <is>
          <t>NA</t>
        </is>
      </c>
      <c r="T1251" s="326" t="inlineStr">
        <is>
          <t>NUM</t>
        </is>
      </c>
      <c r="U1251" s="248" t="inlineStr">
        <is>
          <t>19 dont signe et 2 décimales</t>
        </is>
      </c>
      <c r="V1251" s="248" t="inlineStr">
        <is>
          <t>19 including sign and 2 decimals</t>
        </is>
      </c>
      <c r="W1251" s="284" t="n">
        <v>19</v>
      </c>
      <c r="X1251" s="284" t="inlineStr">
        <is>
          <t>NA</t>
        </is>
      </c>
      <c r="Y1251" s="248" t="n">
        <v>44</v>
      </c>
      <c r="Z1251" s="782" t="inlineStr">
        <is>
          <t>44</t>
        </is>
      </c>
      <c r="AA1251" s="249" t="inlineStr">
        <is>
          <t>NA</t>
        </is>
      </c>
      <c r="AB1251" s="284" t="inlineStr">
        <is>
          <t>ANACREDIT, SRB VALUATION</t>
        </is>
      </c>
      <c r="AC1251" s="244" t="inlineStr">
        <is>
          <t>NA</t>
        </is>
      </c>
      <c r="AD1251" s="284" t="inlineStr">
        <is>
          <t>N</t>
        </is>
      </c>
      <c r="AE1251" s="284" t="inlineStr">
        <is>
          <t>NA</t>
        </is>
      </c>
      <c r="AF1251" s="284" t="inlineStr">
        <is>
          <t>NA</t>
        </is>
      </c>
      <c r="AG1251" s="285" t="inlineStr">
        <is>
          <t>NA</t>
        </is>
      </c>
      <c r="AH1251" s="89" t="n"/>
      <c r="AI1251" s="711" t="n"/>
      <c r="AJ1251" s="434" t="n"/>
      <c r="AK1251" s="257" t="n"/>
      <c r="AL1251" s="258" t="n"/>
      <c r="AM1251" s="318" t="n"/>
      <c r="AN1251" s="317" t="n"/>
      <c r="AO1251" s="257" t="n"/>
      <c r="AP1251" s="258" t="n"/>
      <c r="AQ1251" s="318" t="n"/>
      <c r="AR1251" s="317" t="n"/>
      <c r="AS1251" s="257" t="n"/>
      <c r="AT1251" s="258" t="n"/>
      <c r="AU1251" s="318" t="n"/>
      <c r="AV1251" s="317" t="n"/>
      <c r="AW1251" s="257" t="n"/>
      <c r="AX1251" s="258" t="n"/>
      <c r="AY1251" s="318" t="n"/>
      <c r="AZ1251" s="317" t="n"/>
      <c r="BA1251" s="257" t="n"/>
      <c r="BB1251" s="258" t="n"/>
      <c r="BC1251" s="316" t="n"/>
      <c r="BD1251" s="317" t="n"/>
      <c r="BE1251" s="257" t="n"/>
      <c r="BF1251" s="258" t="n"/>
      <c r="BG1251" s="89" t="n"/>
      <c r="BH12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51">
        <f>_xlfn.LET(r,ROW(),oc,INDEX($A:$A,r),cv,TRIM(INDEX($Y:$Y,r)&amp;""),IF(oc&lt;&gt;"P1","",IF(cv="45","V45 - novo, nao alimentado pelo spool atual","V44 - alimentado pelo spool atual")))</f>
        <v/>
      </c>
    </row>
    <row r="1252" ht="54" customFormat="1" customHeight="1" s="90">
      <c r="A1252" s="325" t="inlineStr">
        <is>
          <t>P2</t>
        </is>
      </c>
      <c r="B1252" s="326" t="n">
        <v>355</v>
      </c>
      <c r="C1252" s="284" t="inlineStr">
        <is>
          <t>03 - Caractéristiques Générales</t>
        </is>
      </c>
      <c r="D1252" s="244" t="inlineStr">
        <is>
          <t>03 - General characteristics</t>
        </is>
      </c>
      <c r="E1252" s="326" t="inlineStr">
        <is>
          <t>P2 31.53</t>
        </is>
      </c>
      <c r="F1252" s="327" t="inlineStr">
        <is>
          <t>Devise du montant en responsabilité solidaire</t>
        </is>
      </c>
      <c r="G1252" s="327" t="inlineStr">
        <is>
          <t>Currency of the joint liability amount</t>
        </is>
      </c>
      <c r="H1252" s="327" t="n"/>
      <c r="I1252" s="327" t="inlineStr">
        <is>
          <t>Devise du montant en responsabilité solidaire</t>
        </is>
      </c>
      <c r="J1252" s="327" t="inlineStr">
        <is>
          <t>Currency of the joint liability amount</t>
        </is>
      </c>
      <c r="K1252" s="388" t="inlineStr">
        <is>
          <t>NA</t>
        </is>
      </c>
      <c r="L1252" s="388" t="inlineStr">
        <is>
          <t>NA</t>
        </is>
      </c>
      <c r="M1252" s="1421" t="inlineStr">
        <is>
          <t>cdDevMtRespSolid</t>
        </is>
      </c>
      <c r="N1252" s="284" t="inlineStr">
        <is>
          <t>NA</t>
        </is>
      </c>
      <c r="O1252" s="284" t="inlineStr">
        <is>
          <t>NA</t>
        </is>
      </c>
      <c r="P1252" s="284" t="inlineStr">
        <is>
          <t>LC.0005</t>
        </is>
      </c>
      <c r="Q1252" s="284" t="inlineStr">
        <is>
          <t>TA NM253</t>
        </is>
      </c>
      <c r="R1252" s="245" t="inlineStr">
        <is>
          <t>NA</t>
        </is>
      </c>
      <c r="S1252" s="245" t="inlineStr">
        <is>
          <t>NA</t>
        </is>
      </c>
      <c r="T1252" s="326" t="inlineStr">
        <is>
          <t>ALPHA</t>
        </is>
      </c>
      <c r="U1252" s="248" t="inlineStr">
        <is>
          <t>NA</t>
        </is>
      </c>
      <c r="V1252" s="248" t="inlineStr">
        <is>
          <t>NA</t>
        </is>
      </c>
      <c r="W1252" s="284" t="n">
        <v>3</v>
      </c>
      <c r="X1252" s="284" t="inlineStr">
        <is>
          <t>NA</t>
        </is>
      </c>
      <c r="Y1252" s="248" t="n">
        <v>44</v>
      </c>
      <c r="Z1252" s="782" t="inlineStr">
        <is>
          <t>44</t>
        </is>
      </c>
      <c r="AA1252" s="249" t="inlineStr">
        <is>
          <t>NA</t>
        </is>
      </c>
      <c r="AB1252" s="284" t="inlineStr">
        <is>
          <t>ANACREDIT, SRB VALUATION</t>
        </is>
      </c>
      <c r="AC1252" s="244" t="inlineStr">
        <is>
          <t>NA</t>
        </is>
      </c>
      <c r="AD1252" s="284" t="inlineStr">
        <is>
          <t>N</t>
        </is>
      </c>
      <c r="AE1252" s="284" t="inlineStr">
        <is>
          <t>NA</t>
        </is>
      </c>
      <c r="AF1252" s="284" t="inlineStr">
        <is>
          <t>NA</t>
        </is>
      </c>
      <c r="AG1252" s="285" t="inlineStr">
        <is>
          <t>NA</t>
        </is>
      </c>
      <c r="AH1252" s="89" t="n"/>
      <c r="AI1252" s="830" t="n"/>
      <c r="AJ1252" s="317" t="n"/>
      <c r="AK1252" s="257" t="n"/>
      <c r="AL1252" s="841" t="n"/>
      <c r="AM1252" s="712" t="n"/>
      <c r="AN1252" s="434" t="n"/>
      <c r="AO1252" s="588" t="n"/>
      <c r="AP1252" s="713" t="n"/>
      <c r="AQ1252" s="318" t="n"/>
      <c r="AR1252" s="317" t="n"/>
      <c r="AS1252" s="257" t="n"/>
      <c r="AT1252" s="258" t="n"/>
      <c r="AU1252" s="318" t="n"/>
      <c r="AV1252" s="317" t="n"/>
      <c r="AW1252" s="257" t="n"/>
      <c r="AX1252" s="258" t="n"/>
      <c r="AY1252" s="318" t="n"/>
      <c r="AZ1252" s="317" t="n"/>
      <c r="BA1252" s="257" t="n"/>
      <c r="BB1252" s="258" t="n"/>
      <c r="BC1252" s="316" t="n"/>
      <c r="BD1252" s="317" t="n"/>
      <c r="BE1252" s="257" t="n"/>
      <c r="BF1252" s="258" t="n"/>
      <c r="BG1252" s="89" t="n"/>
      <c r="BH12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52">
        <f>_xlfn.LET(r,ROW(),oc,INDEX($A:$A,r),cv,TRIM(INDEX($Y:$Y,r)&amp;""),IF(oc&lt;&gt;"P1","",IF(cv="45","V45 - novo, nao alimentado pelo spool atual","V44 - alimentado pelo spool atual")))</f>
        <v/>
      </c>
    </row>
    <row r="1253" ht="54" customFormat="1" customHeight="1" s="90">
      <c r="A1253" s="1290" t="inlineStr">
        <is>
          <t>P2</t>
        </is>
      </c>
      <c r="B1253" s="1290" t="n">
        <v>356</v>
      </c>
      <c r="C1253" s="1291" t="inlineStr">
        <is>
          <t>03 - Caractéristiques Générales</t>
        </is>
      </c>
      <c r="D1253" s="1292" t="inlineStr">
        <is>
          <t>03 - General characteristics</t>
        </is>
      </c>
      <c r="E1253" s="1290" t="inlineStr">
        <is>
          <t>P2 1001</t>
        </is>
      </c>
      <c r="F1253" s="1293" t="inlineStr">
        <is>
          <t>Date de réalisation du tirage</t>
        </is>
      </c>
      <c r="G1253" s="1294" t="inlineStr">
        <is>
          <t>Date of drawing</t>
        </is>
      </c>
      <c r="H1253" s="1294" t="n"/>
      <c r="I1253" s="1293" t="inlineStr">
        <is>
          <t>Date de mise à disposition des fonds au client</t>
        </is>
      </c>
      <c r="J1253" s="1294" t="inlineStr">
        <is>
          <t>Date funds are made available to the client</t>
        </is>
      </c>
      <c r="K1253" s="1290" t="inlineStr">
        <is>
          <t>ND</t>
        </is>
      </c>
      <c r="L1253" s="1295" t="inlineStr">
        <is>
          <t>ND</t>
        </is>
      </c>
      <c r="M1253" s="1326" t="inlineStr">
        <is>
          <t>TBD</t>
        </is>
      </c>
      <c r="N1253" s="1291" t="inlineStr">
        <is>
          <t>Obligatoire sous conditions</t>
        </is>
      </c>
      <c r="O1253" s="1292" t="inlineStr">
        <is>
          <t>Mandatory under conditions</t>
        </is>
      </c>
      <c r="P1253" s="1290" t="inlineStr">
        <is>
          <t>NA</t>
        </is>
      </c>
      <c r="Q1253" s="1290" t="inlineStr">
        <is>
          <t>NA</t>
        </is>
      </c>
      <c r="R1253" s="1293" t="inlineStr">
        <is>
          <t>Concerne les billets périodiques et apériodiques des Caisses régionales</t>
        </is>
      </c>
      <c r="S1253" s="1294" t="inlineStr">
        <is>
          <t>Concerns the periodic and aperiodic notes of the Regional Banks</t>
        </is>
      </c>
      <c r="T1253" s="1290" t="inlineStr">
        <is>
          <t>DATE</t>
        </is>
      </c>
      <c r="U1253" s="1290" t="inlineStr">
        <is>
          <t>AAAAMMJJ</t>
        </is>
      </c>
      <c r="V1253" s="1295" t="inlineStr">
        <is>
          <t>YYYYMMDD</t>
        </is>
      </c>
      <c r="W1253" s="1290" t="n">
        <v>8</v>
      </c>
      <c r="X1253" s="1290" t="inlineStr">
        <is>
          <t>NA</t>
        </is>
      </c>
      <c r="Y1253" s="1296" t="inlineStr">
        <is>
          <t>45</t>
        </is>
      </c>
      <c r="Z1253" s="1290" t="inlineStr">
        <is>
          <t>NA</t>
        </is>
      </c>
      <c r="AA1253" s="1296" t="inlineStr">
        <is>
          <t>NA</t>
        </is>
      </c>
      <c r="AB1253" s="1291" t="inlineStr">
        <is>
          <t>ANACREDIT</t>
        </is>
      </c>
      <c r="AC1253" s="1291" t="inlineStr">
        <is>
          <t>ND</t>
        </is>
      </c>
      <c r="AD1253" s="1290" t="inlineStr">
        <is>
          <t>N</t>
        </is>
      </c>
      <c r="AE1253" s="1291" t="inlineStr">
        <is>
          <t>CRED13
CRED14</t>
        </is>
      </c>
      <c r="AF1253" s="1290" t="inlineStr">
        <is>
          <t>NA</t>
        </is>
      </c>
      <c r="AG1253" s="1297" t="inlineStr">
        <is>
          <t>NA</t>
        </is>
      </c>
      <c r="AH1253" s="49" t="n"/>
      <c r="AI1253" s="1298" t="inlineStr">
        <is>
          <t>La donnée est obligatoire, si Type de produit bancaire [P2 4.42] = 'CRED13, CRED14'</t>
        </is>
      </c>
      <c r="AJ1253" s="1294" t="inlineStr">
        <is>
          <t>The data is mandatory, if Type of banking product [P2 4.42] = 'CRED13, CRED14'</t>
        </is>
      </c>
      <c r="AK1253" s="1290" t="n">
        <v>6</v>
      </c>
      <c r="AL1253" s="1299" t="inlineStr">
        <is>
          <t>TPSXXXX</t>
        </is>
      </c>
      <c r="AM1253" s="1300" t="n"/>
      <c r="AN1253" s="1294" t="n"/>
      <c r="AO1253" s="1290" t="n"/>
      <c r="AP1253" s="1297" t="n"/>
      <c r="AQ1253" s="1301" t="inlineStr">
        <is>
          <t>Si renseignée, la donnée doit être supérieure ou égale à '19000101'</t>
        </is>
      </c>
      <c r="AR1253" s="1302" t="inlineStr">
        <is>
          <t>If filled, data must be greater or equal to '19000101'</t>
        </is>
      </c>
      <c r="AS1253" s="1303" t="n">
        <v>7</v>
      </c>
      <c r="AT1253" s="1304" t="inlineStr">
        <is>
          <t>TVG0005</t>
        </is>
      </c>
      <c r="AU1253" s="1301" t="n"/>
      <c r="AV1253" s="1302" t="n"/>
      <c r="AW1253" s="1303" t="n"/>
      <c r="AX1253" s="1304" t="n"/>
      <c r="AY1253" s="1300" t="n"/>
      <c r="AZ1253" s="1294" t="n"/>
      <c r="BA1253" s="1290" t="n"/>
      <c r="BB1253" s="1297" t="n"/>
      <c r="BC1253" s="1300" t="n"/>
      <c r="BD1253" s="1294" t="n"/>
      <c r="BE1253" s="1290" t="n"/>
      <c r="BF1253" s="1297" t="n"/>
      <c r="BG1253" s="89" t="n"/>
      <c r="BH12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53">
        <f>_xlfn.LET(r,ROW(),oc,INDEX($A:$A,r),cv,TRIM(INDEX($Y:$Y,r)&amp;""),IF(oc&lt;&gt;"P1","",IF(cv="45","V45 - novo, nao alimentado pelo spool atual","V44 - alimentado pelo spool atual")))</f>
        <v/>
      </c>
    </row>
    <row r="1254" ht="54" customFormat="1" customHeight="1" s="90">
      <c r="A1254" s="1305" t="inlineStr">
        <is>
          <t>P2</t>
        </is>
      </c>
      <c r="B1254" s="1303" t="n">
        <v>357</v>
      </c>
      <c r="C1254" s="1291" t="inlineStr">
        <is>
          <t>03 - Caractéristiques Générales</t>
        </is>
      </c>
      <c r="D1254" s="1309" t="inlineStr">
        <is>
          <t>03 - General characteristics</t>
        </is>
      </c>
      <c r="E1254" s="1303" t="inlineStr">
        <is>
          <t>P2 1002</t>
        </is>
      </c>
      <c r="F1254" s="1307" t="inlineStr">
        <is>
          <t>Date d'échéance du tirage</t>
        </is>
      </c>
      <c r="G1254" s="1302" t="inlineStr">
        <is>
          <t>Drawing maturity date</t>
        </is>
      </c>
      <c r="H1254" s="1302" t="n"/>
      <c r="I1254" s="1308" t="inlineStr">
        <is>
          <t>Date de remboursement des fonds par le client</t>
        </is>
      </c>
      <c r="J1254" s="1306" t="inlineStr">
        <is>
          <t>Date of repayment of funds by the customer</t>
        </is>
      </c>
      <c r="K1254" s="1303" t="inlineStr">
        <is>
          <t>ND</t>
        </is>
      </c>
      <c r="L1254" s="1309" t="inlineStr">
        <is>
          <t>ND</t>
        </is>
      </c>
      <c r="M1254" s="1308" t="inlineStr">
        <is>
          <t>TBD</t>
        </is>
      </c>
      <c r="N1254" s="1291" t="inlineStr">
        <is>
          <t>Obligatoire sous conditions</t>
        </is>
      </c>
      <c r="O1254" s="1292" t="inlineStr">
        <is>
          <t>Mandatory under conditions</t>
        </is>
      </c>
      <c r="P1254" s="1303" t="inlineStr">
        <is>
          <t>NA</t>
        </is>
      </c>
      <c r="Q1254" s="1303" t="inlineStr">
        <is>
          <t>NA</t>
        </is>
      </c>
      <c r="R1254" s="1307" t="inlineStr">
        <is>
          <t>Concerne les billets périodiques et apériodiques des Caisses régionales</t>
        </is>
      </c>
      <c r="S1254" s="1310" t="inlineStr">
        <is>
          <t>Concerns the periodic and aperiodic notes of the Regional Banks</t>
        </is>
      </c>
      <c r="T1254" s="1311" t="inlineStr">
        <is>
          <t>DATE</t>
        </is>
      </c>
      <c r="U1254" s="1312" t="inlineStr">
        <is>
          <t>AAAAMMJJ</t>
        </is>
      </c>
      <c r="V1254" s="1313" t="inlineStr">
        <is>
          <t>YYYYMMDD</t>
        </is>
      </c>
      <c r="W1254" s="1312" t="n">
        <v>8</v>
      </c>
      <c r="X1254" s="1312" t="inlineStr">
        <is>
          <t>NA</t>
        </is>
      </c>
      <c r="Y1254" s="1314" t="inlineStr">
        <is>
          <t>45</t>
        </is>
      </c>
      <c r="Z1254" s="1312" t="inlineStr">
        <is>
          <t>NA</t>
        </is>
      </c>
      <c r="AA1254" s="1315" t="inlineStr">
        <is>
          <t>NA</t>
        </is>
      </c>
      <c r="AB1254" s="1303" t="inlineStr">
        <is>
          <t>ANACREDIT</t>
        </is>
      </c>
      <c r="AC1254" s="1303" t="inlineStr">
        <is>
          <t>ND</t>
        </is>
      </c>
      <c r="AD1254" s="1303" t="inlineStr">
        <is>
          <t>N</t>
        </is>
      </c>
      <c r="AE1254" s="1303" t="inlineStr">
        <is>
          <t>CRED13
CRED14</t>
        </is>
      </c>
      <c r="AF1254" s="1303" t="inlineStr">
        <is>
          <t>NA</t>
        </is>
      </c>
      <c r="AG1254" s="1316" t="inlineStr">
        <is>
          <t>NA</t>
        </is>
      </c>
      <c r="AH1254" s="62" t="n"/>
      <c r="AI1254" s="1301" t="inlineStr">
        <is>
          <t>La donnée est obligatoire, si Type de produit bancaire [P2 4.42] = 'CRED13, CRED14'</t>
        </is>
      </c>
      <c r="AJ1254" s="1302" t="inlineStr">
        <is>
          <t>The data is mandatory, if Type of banking product [P2 4.42] = 'CRED13, CRED14'</t>
        </is>
      </c>
      <c r="AK1254" s="1303" t="n">
        <v>6</v>
      </c>
      <c r="AL1254" s="1304" t="inlineStr">
        <is>
          <t>TPSXXXX</t>
        </is>
      </c>
      <c r="AM1254" s="1317" t="n"/>
      <c r="AN1254" s="1318" t="n"/>
      <c r="AO1254" s="1311" t="n"/>
      <c r="AP1254" s="1319" t="n"/>
      <c r="AQ1254" s="1301" t="n"/>
      <c r="AR1254" s="1302" t="n"/>
      <c r="AS1254" s="1303" t="n"/>
      <c r="AT1254" s="1304" t="n"/>
      <c r="AU1254" s="1301" t="inlineStr">
        <is>
          <t>Si renseignée, la date d'échéance du tirage [P2 1002] doit être supérieure ou égale à la date de réalisation du tirage [P2 1001]</t>
        </is>
      </c>
      <c r="AV1254" s="1302" t="inlineStr">
        <is>
          <t>If filled, the drawing maturity date [P2 1002] must be higher or equal to the date of drawing [P2 1001]</t>
        </is>
      </c>
      <c r="AW1254" s="1303" t="n">
        <v>6</v>
      </c>
      <c r="AX1254" s="1304" t="inlineStr">
        <is>
          <t>TCSXXX</t>
        </is>
      </c>
      <c r="AY1254" s="1400" t="n"/>
      <c r="AZ1254" s="1302" t="n"/>
      <c r="BA1254" s="1303" t="n"/>
      <c r="BB1254" s="1304" t="n"/>
      <c r="BC1254" s="1301" t="n"/>
      <c r="BD1254" s="1302" t="n"/>
      <c r="BE1254" s="1303" t="n"/>
      <c r="BF1254" s="1304" t="n"/>
      <c r="BG1254" s="89" t="n"/>
      <c r="BH12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54">
        <f>_xlfn.LET(r,ROW(),oc,INDEX($A:$A,r),cv,TRIM(INDEX($Y:$Y,r)&amp;""),IF(oc&lt;&gt;"P1","",IF(cv="45","V45 - novo, nao alimentado pelo spool atual","V44 - alimentado pelo spool atual")))</f>
        <v/>
      </c>
    </row>
    <row r="1255" ht="54" customFormat="1" customHeight="1" s="90">
      <c r="A1255" s="1290" t="inlineStr">
        <is>
          <t>P2</t>
        </is>
      </c>
      <c r="B1255" s="1290" t="n">
        <v>358</v>
      </c>
      <c r="C1255" s="1291" t="inlineStr">
        <is>
          <t>06 - Caractéristiques échéancier</t>
        </is>
      </c>
      <c r="D1255" s="1292" t="inlineStr">
        <is>
          <t>06 - Schedule characteristics</t>
        </is>
      </c>
      <c r="E1255" s="1290" t="inlineStr">
        <is>
          <t>P2 22.222</t>
        </is>
      </c>
      <c r="F1255" s="1293" t="inlineStr">
        <is>
          <t>Indicateur différé d'amortissement</t>
        </is>
      </c>
      <c r="G1255" s="1294" t="inlineStr">
        <is>
          <t>Deferred depreciation indicator</t>
        </is>
      </c>
      <c r="H1255" s="1294" t="n"/>
      <c r="I1255" s="1293" t="inlineStr">
        <is>
          <t>Signale la présence d'une période pendant laquelle l'emprunteur ne rembourse pas le capital de son prêt, mais uniquement les intérêts. Cette période, située au début du crédit, permet d'alléger temporairement les mensualités avant le démarrage de l'amortissement complet (capital + intérêts)</t>
        </is>
      </c>
      <c r="J1255" s="1294" t="inlineStr">
        <is>
          <t>Indicates the presence of a period during which the borrower does not repay the principal of his loan, but only the interest. This period, located at the beginning of the loan, allows to temporarily reduce the monthly payments before the start of the full amortisation (capital + interest)</t>
        </is>
      </c>
      <c r="K1255" s="1290" t="inlineStr">
        <is>
          <t>ND</t>
        </is>
      </c>
      <c r="L1255" s="1295" t="inlineStr">
        <is>
          <t>ND</t>
        </is>
      </c>
      <c r="M1255" s="1326" t="inlineStr">
        <is>
          <t>TBD</t>
        </is>
      </c>
      <c r="N1255" s="1291" t="inlineStr">
        <is>
          <t>Obligatoire</t>
        </is>
      </c>
      <c r="O1255" s="1292" t="inlineStr">
        <is>
          <t>Mandatory</t>
        </is>
      </c>
      <c r="P1255" s="1290" t="inlineStr">
        <is>
          <t>LC.0576</t>
        </is>
      </c>
      <c r="Q1255" s="1290" t="inlineStr">
        <is>
          <t>RB Z8IDDIAM</t>
        </is>
      </c>
      <c r="R1255" s="1293" t="inlineStr">
        <is>
          <t>NA</t>
        </is>
      </c>
      <c r="S1255" s="1294" t="inlineStr">
        <is>
          <t>NA</t>
        </is>
      </c>
      <c r="T1255" s="1290" t="inlineStr">
        <is>
          <t>ALPHA</t>
        </is>
      </c>
      <c r="U1255" s="1290" t="inlineStr">
        <is>
          <t>NA</t>
        </is>
      </c>
      <c r="V1255" s="1295" t="inlineStr">
        <is>
          <t>NA</t>
        </is>
      </c>
      <c r="W1255" s="1290" t="n">
        <v>1</v>
      </c>
      <c r="X1255" s="1320" t="inlineStr">
        <is>
          <t>NA</t>
        </is>
      </c>
      <c r="Y1255" s="1296" t="inlineStr">
        <is>
          <t>45</t>
        </is>
      </c>
      <c r="Z1255" s="1290" t="inlineStr">
        <is>
          <t>NA</t>
        </is>
      </c>
      <c r="AA1255" s="1296" t="inlineStr">
        <is>
          <t>NA</t>
        </is>
      </c>
      <c r="AB1255" s="1291" t="inlineStr">
        <is>
          <t>ANACREDIT, LOAN TAPE, OMP, PALMA</t>
        </is>
      </c>
      <c r="AC1255" s="1291" t="inlineStr">
        <is>
          <t>ND</t>
        </is>
      </c>
      <c r="AD1255" s="1290" t="inlineStr">
        <is>
          <t>N</t>
        </is>
      </c>
      <c r="AE1255" s="1291" t="inlineStr">
        <is>
          <t>NA</t>
        </is>
      </c>
      <c r="AF1255" s="1290" t="inlineStr">
        <is>
          <t>NA</t>
        </is>
      </c>
      <c r="AG1255" s="1297" t="inlineStr">
        <is>
          <t>NA</t>
        </is>
      </c>
      <c r="AH1255" s="49" t="n"/>
      <c r="AI1255" s="1300" t="inlineStr">
        <is>
          <t>La donnée est obligatoire</t>
        </is>
      </c>
      <c r="AJ1255" s="1294" t="inlineStr">
        <is>
          <t>The data is mandatory</t>
        </is>
      </c>
      <c r="AK1255" s="1290" t="n">
        <v>7</v>
      </c>
      <c r="AL1255" s="1299" t="inlineStr">
        <is>
          <t>TPG0001</t>
        </is>
      </c>
      <c r="AM1255" s="1321" t="inlineStr">
        <is>
          <t>Si elle est renseignée, la valeur doit être connue du Langage Commun associé</t>
        </is>
      </c>
      <c r="AN1255" s="1322" t="inlineStr">
        <is>
          <t>If specified, the value must be known to the associated Common Language</t>
        </is>
      </c>
      <c r="AO1255" s="1323" t="n">
        <v>7</v>
      </c>
      <c r="AP1255" s="1324" t="inlineStr">
        <is>
          <t>TIG0001</t>
        </is>
      </c>
      <c r="AQ1255" s="1325" t="n"/>
      <c r="AR1255" s="1294" t="n"/>
      <c r="AS1255" s="1326" t="n"/>
      <c r="AT1255" s="1299" t="n"/>
      <c r="AU1255" s="1325" t="n"/>
      <c r="AV1255" s="1327" t="n"/>
      <c r="AW1255" s="1326" t="n"/>
      <c r="AX1255" s="1299" t="n"/>
      <c r="AY1255" s="1300" t="n"/>
      <c r="AZ1255" s="1294" t="n"/>
      <c r="BA1255" s="1290" t="n"/>
      <c r="BB1255" s="1297" t="n"/>
      <c r="BC1255" s="1300" t="n"/>
      <c r="BD1255" s="1294" t="n"/>
      <c r="BE1255" s="1290" t="n"/>
      <c r="BF1255" s="1297" t="n"/>
      <c r="BG1255" s="89" t="n"/>
      <c r="BH12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55">
        <f>_xlfn.LET(r,ROW(),oc,INDEX($A:$A,r),cv,TRIM(INDEX($Y:$Y,r)&amp;""),IF(oc&lt;&gt;"P1","",IF(cv="45","V45 - novo, nao alimentado pelo spool atual","V44 - alimentado pelo spool atual")))</f>
        <v/>
      </c>
    </row>
    <row r="1256" ht="54" customFormat="1" customHeight="1" s="90">
      <c r="A1256" s="1328" t="inlineStr">
        <is>
          <t>P2</t>
        </is>
      </c>
      <c r="B1256" s="1303" t="n">
        <v>359</v>
      </c>
      <c r="C1256" s="1329" t="inlineStr">
        <is>
          <t xml:space="preserve">08 - Caractéristiques d'arriérés et de restructuration </t>
        </is>
      </c>
      <c r="D1256" s="1330" t="inlineStr">
        <is>
          <t>08 - Characteristics of overdues and restructuring</t>
        </is>
      </c>
      <c r="E1256" s="1331" t="inlineStr">
        <is>
          <t>P2 600</t>
        </is>
      </c>
      <c r="F1256" s="1332" t="inlineStr">
        <is>
          <t>Indicateur Présence de recouvrement</t>
        </is>
      </c>
      <c r="G1256" s="1333" t="inlineStr">
        <is>
          <t>Recovery Presence Indicator</t>
        </is>
      </c>
      <c r="H1256" s="1333" t="n"/>
      <c r="I1256" s="1332" t="inlineStr">
        <is>
          <t>Indicateur qui précise si l'encours est en procédure de recouvrement ou non</t>
        </is>
      </c>
      <c r="J1256" s="1333" t="inlineStr">
        <is>
          <t>Indicator specifying whether the outstanding amount is in recovery or not</t>
        </is>
      </c>
      <c r="K1256" s="1334" t="inlineStr">
        <is>
          <t>ND</t>
        </is>
      </c>
      <c r="L1256" s="1330" t="inlineStr">
        <is>
          <t>ND</t>
        </is>
      </c>
      <c r="M1256" s="1426" t="inlineStr">
        <is>
          <t>TBD</t>
        </is>
      </c>
      <c r="N1256" s="1291" t="inlineStr">
        <is>
          <t>Obligatoire sous conditions</t>
        </is>
      </c>
      <c r="O1256" s="1292" t="inlineStr">
        <is>
          <t>Mandatory under conditions</t>
        </is>
      </c>
      <c r="P1256" s="1334" t="inlineStr">
        <is>
          <t>LC.0571</t>
        </is>
      </c>
      <c r="Q1256" s="1334" t="inlineStr">
        <is>
          <t>RB KVIDPRRC</t>
        </is>
      </c>
      <c r="R1256" s="1352" t="inlineStr">
        <is>
          <t>NA</t>
        </is>
      </c>
      <c r="S1256" s="1333" t="inlineStr">
        <is>
          <t>NA</t>
        </is>
      </c>
      <c r="T1256" s="1337" t="inlineStr">
        <is>
          <t>ALPHA</t>
        </is>
      </c>
      <c r="U1256" s="1337" t="inlineStr">
        <is>
          <t>NA</t>
        </is>
      </c>
      <c r="V1256" s="1338" t="inlineStr">
        <is>
          <t>NA</t>
        </is>
      </c>
      <c r="W1256" s="1337" t="n">
        <v>1</v>
      </c>
      <c r="X1256" s="1337" t="inlineStr">
        <is>
          <t>NA</t>
        </is>
      </c>
      <c r="Y1256" s="1339" t="n">
        <v>45</v>
      </c>
      <c r="Z1256" s="1334" t="inlineStr">
        <is>
          <t>NA</t>
        </is>
      </c>
      <c r="AA1256" s="1334" t="inlineStr">
        <is>
          <t>NA</t>
        </is>
      </c>
      <c r="AB1256" s="1331" t="inlineStr">
        <is>
          <t>BASE LGD</t>
        </is>
      </c>
      <c r="AC1256" s="1334" t="inlineStr">
        <is>
          <t>ND</t>
        </is>
      </c>
      <c r="AD1256" s="1334" t="inlineStr">
        <is>
          <t>N</t>
        </is>
      </c>
      <c r="AE1256" s="1334" t="inlineStr">
        <is>
          <t>NA</t>
        </is>
      </c>
      <c r="AF1256" s="1334" t="inlineStr">
        <is>
          <t>NA</t>
        </is>
      </c>
      <c r="AG1256" s="1340" t="inlineStr">
        <is>
          <t>NA</t>
        </is>
      </c>
      <c r="AH1256" s="1351" t="n"/>
      <c r="AI1256" s="1342" t="inlineStr">
        <is>
          <t>La donnée est obligatoire, si Indicateur Engagement en défaut [P2 5.2] = 'Y'</t>
        </is>
      </c>
      <c r="AJ1256" s="1343" t="inlineStr">
        <is>
          <t>The data is mandatory, if Defaulted commitments indicator [P2 5.2] = 'Y'</t>
        </is>
      </c>
      <c r="AK1256" s="1344" t="n">
        <v>6</v>
      </c>
      <c r="AL1256" s="1345" t="inlineStr">
        <is>
          <t>TPSxxx</t>
        </is>
      </c>
      <c r="AM1256" s="1346" t="inlineStr">
        <is>
          <t>Si elle est renseignée, la valeur doit être connue du Langage Commun associé</t>
        </is>
      </c>
      <c r="AN1256" s="1347" t="inlineStr">
        <is>
          <t>If specified, the value must be known to the associated Common Language</t>
        </is>
      </c>
      <c r="AO1256" s="1348" t="n">
        <v>7</v>
      </c>
      <c r="AP1256" s="1324" t="inlineStr">
        <is>
          <t>TIG0001</t>
        </is>
      </c>
      <c r="AQ1256" s="1321" t="n"/>
      <c r="AR1256" s="1343" t="n"/>
      <c r="AS1256" s="1320" t="n"/>
      <c r="AT1256" s="1324" t="n"/>
      <c r="AU1256" s="1321" t="n"/>
      <c r="AV1256" s="1343" t="n"/>
      <c r="AW1256" s="1320" t="n"/>
      <c r="AX1256" s="1324" t="n"/>
      <c r="AY1256" s="1321" t="n"/>
      <c r="AZ1256" s="1349" t="n"/>
      <c r="BA1256" s="1344" t="n"/>
      <c r="BB1256" s="1324" t="n"/>
      <c r="BC1256" s="1321" t="n"/>
      <c r="BD1256" s="1350" t="n"/>
      <c r="BE1256" s="1344" t="n"/>
      <c r="BF1256" s="1324" t="n"/>
      <c r="BG1256" s="89" t="n"/>
      <c r="BH12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56">
        <f>_xlfn.LET(r,ROW(),oc,INDEX($A:$A,r),cv,TRIM(INDEX($Y:$Y,r)&amp;""),IF(oc&lt;&gt;"P1","",IF(cv="45","V45 - novo, nao alimentado pelo spool atual","V44 - alimentado pelo spool atual")))</f>
        <v/>
      </c>
    </row>
    <row r="1257" ht="54" customFormat="1" customHeight="1" s="90">
      <c r="A1257" s="1328" t="inlineStr">
        <is>
          <t>P2</t>
        </is>
      </c>
      <c r="B1257" s="1290" t="n">
        <v>360</v>
      </c>
      <c r="C1257" s="1329" t="inlineStr">
        <is>
          <t xml:space="preserve">08 - Caractéristiques d'arriérés et de restructuration </t>
        </is>
      </c>
      <c r="D1257" s="1330" t="inlineStr">
        <is>
          <t>08 - Characteristics of overdues and restructuring</t>
        </is>
      </c>
      <c r="E1257" s="1331" t="inlineStr">
        <is>
          <t>P2 601</t>
        </is>
      </c>
      <c r="F1257" s="1332" t="inlineStr">
        <is>
          <t>Type de recouvrement à l'amiable ou contentieux</t>
        </is>
      </c>
      <c r="G1257" s="1333" t="inlineStr">
        <is>
          <t>Type of recovery amicable or contentious</t>
        </is>
      </c>
      <c r="H1257" s="1333" t="n"/>
      <c r="I1257" s="1332" t="inlineStr">
        <is>
          <t>Le type de recouvrement désigne la méthode employée pour récupérer une créance impayée, soit par une approche amiable privilégiant le dialogue et la négociation avec le débiteur, soit par une voie contentieuse impliquant des procédures judiciaires et l'intervention d'huissiers lorsque les tentatives de résolution à l'amiable ont échoué</t>
        </is>
      </c>
      <c r="J1257" s="1333" t="inlineStr">
        <is>
          <t>The type of recovery refers to the method used to recover an unpaid debt, either through an amicable approach favouring dialogue and negotiation with the debtor, or through a contentious route involving legal proceedings and the intervention of bailiffs when attempts at amicable resolution have failed</t>
        </is>
      </c>
      <c r="K1257" s="1334" t="inlineStr">
        <is>
          <t>ND</t>
        </is>
      </c>
      <c r="L1257" s="1330" t="inlineStr">
        <is>
          <t>ND</t>
        </is>
      </c>
      <c r="M1257" s="1426" t="inlineStr">
        <is>
          <t>TBD</t>
        </is>
      </c>
      <c r="N1257" s="1291" t="inlineStr">
        <is>
          <t>Obligatoire sous conditions</t>
        </is>
      </c>
      <c r="O1257" s="1292" t="inlineStr">
        <is>
          <t>Mandatory under conditions</t>
        </is>
      </c>
      <c r="P1257" s="1334" t="inlineStr">
        <is>
          <t>LC.0572</t>
        </is>
      </c>
      <c r="Q1257" s="1334" t="inlineStr">
        <is>
          <t>RB KVTYRECO</t>
        </is>
      </c>
      <c r="R1257" s="1352" t="inlineStr">
        <is>
          <t>NA</t>
        </is>
      </c>
      <c r="S1257" s="1333" t="inlineStr">
        <is>
          <t>NA</t>
        </is>
      </c>
      <c r="T1257" s="1337" t="inlineStr">
        <is>
          <t>ALPHA</t>
        </is>
      </c>
      <c r="U1257" s="1337" t="inlineStr">
        <is>
          <t>NA</t>
        </is>
      </c>
      <c r="V1257" s="1338" t="inlineStr">
        <is>
          <t>NA</t>
        </is>
      </c>
      <c r="W1257" s="1337" t="n">
        <v>1</v>
      </c>
      <c r="X1257" s="1337" t="inlineStr">
        <is>
          <t>NA</t>
        </is>
      </c>
      <c r="Y1257" s="1339" t="n">
        <v>45</v>
      </c>
      <c r="Z1257" s="1334" t="inlineStr">
        <is>
          <t>NA</t>
        </is>
      </c>
      <c r="AA1257" s="1334" t="inlineStr">
        <is>
          <t>NA</t>
        </is>
      </c>
      <c r="AB1257" s="1331" t="inlineStr">
        <is>
          <t>BASE LGD</t>
        </is>
      </c>
      <c r="AC1257" s="1334" t="inlineStr">
        <is>
          <t>ND</t>
        </is>
      </c>
      <c r="AD1257" s="1334" t="inlineStr">
        <is>
          <t>N</t>
        </is>
      </c>
      <c r="AE1257" s="1334" t="inlineStr">
        <is>
          <t>NA</t>
        </is>
      </c>
      <c r="AF1257" s="1334" t="inlineStr">
        <is>
          <t>NA</t>
        </is>
      </c>
      <c r="AG1257" s="1340" t="inlineStr">
        <is>
          <t>NA</t>
        </is>
      </c>
      <c r="AH1257" s="1351" t="n"/>
      <c r="AI1257" s="1342" t="inlineStr">
        <is>
          <t>La donnée est obligatoire, si Indicateur Présence de recouvrement [P2 600] = 'Y'</t>
        </is>
      </c>
      <c r="AJ1257" s="1343" t="inlineStr">
        <is>
          <t>The data is mandatory, if Recovery Presence Indicator [P2 600] = 'Y'</t>
        </is>
      </c>
      <c r="AK1257" s="1344" t="n">
        <v>6</v>
      </c>
      <c r="AL1257" s="1345" t="inlineStr">
        <is>
          <t>TPSxxx</t>
        </is>
      </c>
      <c r="AM1257" s="1346" t="inlineStr">
        <is>
          <t>Si elle est renseignée, la valeur doit être connue du Langage Commun associé</t>
        </is>
      </c>
      <c r="AN1257" s="1347" t="inlineStr">
        <is>
          <t>If specified, the value must be known to the associated Common Language</t>
        </is>
      </c>
      <c r="AO1257" s="1348" t="n">
        <v>7</v>
      </c>
      <c r="AP1257" s="1324" t="inlineStr">
        <is>
          <t>TIG0001</t>
        </is>
      </c>
      <c r="AQ1257" s="1321" t="n"/>
      <c r="AR1257" s="1343" t="n"/>
      <c r="AS1257" s="1320" t="n"/>
      <c r="AT1257" s="1324" t="n"/>
      <c r="AU1257" s="1321" t="n"/>
      <c r="AV1257" s="1343" t="n"/>
      <c r="AW1257" s="1320" t="n"/>
      <c r="AX1257" s="1324" t="n"/>
      <c r="AY1257" s="1321" t="n"/>
      <c r="AZ1257" s="1349" t="n"/>
      <c r="BA1257" s="1344" t="n"/>
      <c r="BB1257" s="1324" t="n"/>
      <c r="BC1257" s="1321" t="n"/>
      <c r="BD1257" s="1350" t="n"/>
      <c r="BE1257" s="1344" t="n"/>
      <c r="BF1257" s="1324" t="n"/>
      <c r="BG1257" s="89" t="n"/>
      <c r="BH12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57">
        <f>_xlfn.LET(r,ROW(),oc,INDEX($A:$A,r),cv,TRIM(INDEX($Y:$Y,r)&amp;""),IF(oc&lt;&gt;"P1","",IF(cv="45","V45 - novo, nao alimentado pelo spool atual","V44 - alimentado pelo spool atual")))</f>
        <v/>
      </c>
    </row>
    <row r="1258" ht="54" customFormat="1" customHeight="1" s="90">
      <c r="A1258" s="1328" t="inlineStr">
        <is>
          <t>P2</t>
        </is>
      </c>
      <c r="B1258" s="1303" t="n">
        <v>361</v>
      </c>
      <c r="C1258" s="1329" t="inlineStr">
        <is>
          <t xml:space="preserve">08 - Caractéristiques d'arriérés et de restructuration </t>
        </is>
      </c>
      <c r="D1258" s="1330" t="inlineStr">
        <is>
          <t>08 - Characteristics of overdues and restructuring</t>
        </is>
      </c>
      <c r="E1258" s="1331" t="inlineStr">
        <is>
          <t>P2 602</t>
        </is>
      </c>
      <c r="F1258" s="1332" t="inlineStr">
        <is>
          <t>Statut de recouvrement</t>
        </is>
      </c>
      <c r="G1258" s="1333" t="inlineStr">
        <is>
          <t>Status of recovery</t>
        </is>
      </c>
      <c r="H1258" s="1333" t="n"/>
      <c r="I1258" s="1332" t="inlineStr">
        <is>
          <t>Le statut de recouvrement indique l'état actuel de la procédure mise en place pour récupérer des créances impayées : "en cours" signifie que des actions de recouvrement sont activement menées, "clôturé" indique que la procédure est terminée (soit par règlement complet, soit par abandon de créance), et "suspendu" signifie que les démarches sont temporairement arrêtées en attente d'un événement particulier. Ce statut permet aux gestionnaires de suivre efficacement l'évolution des dossiers de recouvrement et d'adapter leurs actions en fonction de la situation de chaque client concerné.</t>
        </is>
      </c>
      <c r="J1258" s="1333" t="inlineStr">
        <is>
          <t xml:space="preserve">
The recovery status indicates the current state of the procedure for recovering unpaid claims: "in progress" means that recovery actions are actively carried out, "closed" indicates that the procedure is completed (either by full settlement or by debt waiver), and "suspended" means that the procedures are temporarily stopped pending a particular event. This status allows managers to effectively monitor the evolution of recovery cases and adapt their actions according to the situation of each customer concerned.</t>
        </is>
      </c>
      <c r="K1258" s="1334" t="inlineStr">
        <is>
          <t>ND</t>
        </is>
      </c>
      <c r="L1258" s="1330" t="inlineStr">
        <is>
          <t>ND</t>
        </is>
      </c>
      <c r="M1258" s="1426" t="inlineStr">
        <is>
          <t>TBD</t>
        </is>
      </c>
      <c r="N1258" s="1291" t="inlineStr">
        <is>
          <t>Obligatoire sous conditions</t>
        </is>
      </c>
      <c r="O1258" s="1292" t="inlineStr">
        <is>
          <t>Mandatory under conditions</t>
        </is>
      </c>
      <c r="P1258" s="1334" t="inlineStr">
        <is>
          <t>LC.0578</t>
        </is>
      </c>
      <c r="Q1258" s="1334" t="inlineStr">
        <is>
          <t>RB KVSTAREC</t>
        </is>
      </c>
      <c r="R1258" s="1352" t="inlineStr">
        <is>
          <t>NA</t>
        </is>
      </c>
      <c r="S1258" s="1333" t="inlineStr">
        <is>
          <t>NA</t>
        </is>
      </c>
      <c r="T1258" s="1337" t="inlineStr">
        <is>
          <t>ALPHA</t>
        </is>
      </c>
      <c r="U1258" s="1337" t="inlineStr">
        <is>
          <t>NA</t>
        </is>
      </c>
      <c r="V1258" s="1338" t="inlineStr">
        <is>
          <t>NA</t>
        </is>
      </c>
      <c r="W1258" s="1337" t="n">
        <v>1</v>
      </c>
      <c r="X1258" s="1337" t="inlineStr">
        <is>
          <t>NA</t>
        </is>
      </c>
      <c r="Y1258" s="1339" t="n">
        <v>45</v>
      </c>
      <c r="Z1258" s="1334" t="inlineStr">
        <is>
          <t>NA</t>
        </is>
      </c>
      <c r="AA1258" s="1334" t="inlineStr">
        <is>
          <t>NA</t>
        </is>
      </c>
      <c r="AB1258" s="1331" t="inlineStr">
        <is>
          <t>BASE LGD</t>
        </is>
      </c>
      <c r="AC1258" s="1334" t="inlineStr">
        <is>
          <t>ND</t>
        </is>
      </c>
      <c r="AD1258" s="1334" t="inlineStr">
        <is>
          <t>N</t>
        </is>
      </c>
      <c r="AE1258" s="1334" t="inlineStr">
        <is>
          <t>NA</t>
        </is>
      </c>
      <c r="AF1258" s="1334" t="inlineStr">
        <is>
          <t>NA</t>
        </is>
      </c>
      <c r="AG1258" s="1340" t="inlineStr">
        <is>
          <t>NA</t>
        </is>
      </c>
      <c r="AH1258" s="1351" t="n"/>
      <c r="AI1258" s="1342" t="inlineStr">
        <is>
          <t>La donnée est obligatoire, si Indicateur Présence de recouvrement [P2 600] = 'Y'</t>
        </is>
      </c>
      <c r="AJ1258" s="1343" t="inlineStr">
        <is>
          <t>The data is mandatory, if Recovery Presence Indicator [P2 600] = 'Y'</t>
        </is>
      </c>
      <c r="AK1258" s="1344" t="n">
        <v>6</v>
      </c>
      <c r="AL1258" s="1345" t="inlineStr">
        <is>
          <t>TPSxxx</t>
        </is>
      </c>
      <c r="AM1258" s="1346" t="inlineStr">
        <is>
          <t>Si elle est renseignée, la valeur doit être connue du Langage Commun associé</t>
        </is>
      </c>
      <c r="AN1258" s="1347" t="inlineStr">
        <is>
          <t>If specified, the value must be known to the associated Common Language</t>
        </is>
      </c>
      <c r="AO1258" s="1348" t="n">
        <v>7</v>
      </c>
      <c r="AP1258" s="1324" t="inlineStr">
        <is>
          <t>TIG0001</t>
        </is>
      </c>
      <c r="AQ1258" s="1321" t="n"/>
      <c r="AR1258" s="1343" t="n"/>
      <c r="AS1258" s="1320" t="n"/>
      <c r="AT1258" s="1324" t="n"/>
      <c r="AU1258" s="1321" t="n"/>
      <c r="AV1258" s="1343" t="n"/>
      <c r="AW1258" s="1320" t="n"/>
      <c r="AX1258" s="1324" t="n"/>
      <c r="AY1258" s="1321" t="n"/>
      <c r="AZ1258" s="1349" t="n"/>
      <c r="BA1258" s="1344" t="n"/>
      <c r="BB1258" s="1324" t="n"/>
      <c r="BC1258" s="1321" t="n"/>
      <c r="BD1258" s="1350" t="n"/>
      <c r="BE1258" s="1344" t="n"/>
      <c r="BF1258" s="1324" t="n"/>
      <c r="BG1258" s="89" t="n"/>
      <c r="BH12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58">
        <f>_xlfn.LET(r,ROW(),oc,INDEX($A:$A,r),cv,TRIM(INDEX($Y:$Y,r)&amp;""),IF(oc&lt;&gt;"P1","",IF(cv="45","V45 - novo, nao alimentado pelo spool atual","V44 - alimentado pelo spool atual")))</f>
        <v/>
      </c>
    </row>
    <row r="1259" ht="54" customFormat="1" customHeight="1" s="90">
      <c r="A1259" s="1328" t="inlineStr">
        <is>
          <t>P2</t>
        </is>
      </c>
      <c r="B1259" s="1290" t="n">
        <v>362</v>
      </c>
      <c r="C1259" s="1329" t="inlineStr">
        <is>
          <t xml:space="preserve">08 - Caractéristiques d'arriérés et de restructuration </t>
        </is>
      </c>
      <c r="D1259" s="1330" t="inlineStr">
        <is>
          <t>08 - Characteristics of overdues and restructuring</t>
        </is>
      </c>
      <c r="E1259" s="1331" t="inlineStr">
        <is>
          <t>P2 603</t>
        </is>
      </c>
      <c r="F1259" s="1332" t="inlineStr">
        <is>
          <t>Montant recouvré depuis le défaut</t>
        </is>
      </c>
      <c r="G1259" s="1333" t="inlineStr">
        <is>
          <t>Amount recovered during the month since default</t>
        </is>
      </c>
      <c r="H1259" s="1333" t="n"/>
      <c r="I1259" s="1332" t="inlineStr">
        <is>
          <t>Montant cumulé recouvré depuis le défaut</t>
        </is>
      </c>
      <c r="J1259" s="1333" t="inlineStr">
        <is>
          <t>Amount recovered associated with the outstanding balance during the month</t>
        </is>
      </c>
      <c r="K1259" s="1334" t="inlineStr">
        <is>
          <t>ND</t>
        </is>
      </c>
      <c r="L1259" s="1330" t="inlineStr">
        <is>
          <t>ND</t>
        </is>
      </c>
      <c r="M1259" s="1426" t="inlineStr">
        <is>
          <t>TBD</t>
        </is>
      </c>
      <c r="N1259" s="1291" t="inlineStr">
        <is>
          <t>Obligatoire sous conditions</t>
        </is>
      </c>
      <c r="O1259" s="1292" t="inlineStr">
        <is>
          <t>Mandatory under conditions</t>
        </is>
      </c>
      <c r="P1259" s="1334" t="inlineStr">
        <is>
          <t>NA</t>
        </is>
      </c>
      <c r="Q1259" s="1334" t="inlineStr">
        <is>
          <t>NA</t>
        </is>
      </c>
      <c r="R1259" s="1352" t="inlineStr">
        <is>
          <t>NA</t>
        </is>
      </c>
      <c r="S1259" s="1333" t="inlineStr">
        <is>
          <t>NA</t>
        </is>
      </c>
      <c r="T1259" s="1337" t="inlineStr">
        <is>
          <t>NUM</t>
        </is>
      </c>
      <c r="U1259" s="1331" t="inlineStr">
        <is>
          <t>19 dont signe et 2 décimales</t>
        </is>
      </c>
      <c r="V1259" s="1353" t="inlineStr">
        <is>
          <t>19 including sign and 2 decimals</t>
        </is>
      </c>
      <c r="W1259" s="1337" t="n">
        <v>19</v>
      </c>
      <c r="X1259" s="1337" t="inlineStr">
        <is>
          <t>NA</t>
        </is>
      </c>
      <c r="Y1259" s="1339" t="n">
        <v>45</v>
      </c>
      <c r="Z1259" s="1334" t="inlineStr">
        <is>
          <t>NA</t>
        </is>
      </c>
      <c r="AA1259" s="1334" t="inlineStr">
        <is>
          <t>NA</t>
        </is>
      </c>
      <c r="AB1259" s="1331" t="inlineStr">
        <is>
          <t>BASE LGD</t>
        </is>
      </c>
      <c r="AC1259" s="1334" t="inlineStr">
        <is>
          <t>ND</t>
        </is>
      </c>
      <c r="AD1259" s="1334" t="inlineStr">
        <is>
          <t>N</t>
        </is>
      </c>
      <c r="AE1259" s="1334" t="inlineStr">
        <is>
          <t>NA</t>
        </is>
      </c>
      <c r="AF1259" s="1334" t="inlineStr">
        <is>
          <t>NA</t>
        </is>
      </c>
      <c r="AG1259" s="1340" t="inlineStr">
        <is>
          <t>NA</t>
        </is>
      </c>
      <c r="AH1259" s="1351" t="n"/>
      <c r="AI1259" s="1342" t="inlineStr">
        <is>
          <t>La donnée est obligatoire, si Indicateur Engagement en défaut [P2 5.2] = 'Y'</t>
        </is>
      </c>
      <c r="AJ1259" s="1343" t="inlineStr">
        <is>
          <t>The data is mandatory, if Defaulted commitments indicator [P2 5.2] = 'Y'</t>
        </is>
      </c>
      <c r="AK1259" s="1344" t="n">
        <v>6</v>
      </c>
      <c r="AL1259" s="1345" t="inlineStr">
        <is>
          <t>TPSxxx</t>
        </is>
      </c>
      <c r="AM1259" s="1321" t="n"/>
      <c r="AN1259" s="1343" t="n"/>
      <c r="AO1259" s="1344" t="n"/>
      <c r="AP1259" s="1319" t="n"/>
      <c r="AQ1259" s="1321" t="n"/>
      <c r="AR1259" s="1343" t="n"/>
      <c r="AS1259" s="1320" t="n"/>
      <c r="AT1259" s="1324" t="n"/>
      <c r="AU1259" s="1321" t="n"/>
      <c r="AV1259" s="1343" t="n"/>
      <c r="AW1259" s="1320" t="n"/>
      <c r="AX1259" s="1324" t="n"/>
      <c r="AY1259" s="1321" t="n"/>
      <c r="AZ1259" s="1349" t="n"/>
      <c r="BA1259" s="1344" t="n"/>
      <c r="BB1259" s="1324" t="n"/>
      <c r="BC1259" s="1321" t="n"/>
      <c r="BD1259" s="1350" t="n"/>
      <c r="BE1259" s="1344" t="n"/>
      <c r="BF1259" s="1324" t="n"/>
      <c r="BG1259" s="89" t="n"/>
      <c r="BH12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59">
        <f>_xlfn.LET(r,ROW(),oc,INDEX($A:$A,r),cv,TRIM(INDEX($Y:$Y,r)&amp;""),IF(oc&lt;&gt;"P1","",IF(cv="45","V45 - novo, nao alimentado pelo spool atual","V44 - alimentado pelo spool atual")))</f>
        <v/>
      </c>
    </row>
    <row r="1260" ht="54" customFormat="1" customHeight="1" s="90">
      <c r="A1260" s="1328" t="inlineStr">
        <is>
          <t>P2</t>
        </is>
      </c>
      <c r="B1260" s="1303" t="n">
        <v>363</v>
      </c>
      <c r="C1260" s="1329" t="inlineStr">
        <is>
          <t xml:space="preserve">08 - Caractéristiques d'arriérés et de restructuration </t>
        </is>
      </c>
      <c r="D1260" s="1330" t="inlineStr">
        <is>
          <t>08 - Characteristics of overdues and restructuring</t>
        </is>
      </c>
      <c r="E1260" s="1331" t="inlineStr">
        <is>
          <t>P2 603.1</t>
        </is>
      </c>
      <c r="F1260" s="1332" t="inlineStr">
        <is>
          <t>Devise du montant recouvré depuis le défaut</t>
        </is>
      </c>
      <c r="G1260" s="1333" t="inlineStr">
        <is>
          <t>Currency of the amount recovered during the month</t>
        </is>
      </c>
      <c r="H1260" s="1333" t="n"/>
      <c r="I1260" s="1332" t="inlineStr">
        <is>
          <t>Devise du montant recouvré depuis le défaut</t>
        </is>
      </c>
      <c r="J1260" s="1333" t="inlineStr">
        <is>
          <t>Currency of the amount recovered during the month</t>
        </is>
      </c>
      <c r="K1260" s="1334" t="inlineStr">
        <is>
          <t>ND</t>
        </is>
      </c>
      <c r="L1260" s="1330" t="inlineStr">
        <is>
          <t>ND</t>
        </is>
      </c>
      <c r="M1260" s="1426" t="inlineStr">
        <is>
          <t>TBD</t>
        </is>
      </c>
      <c r="N1260" s="1291" t="inlineStr">
        <is>
          <t>Obligatoire sous conditions</t>
        </is>
      </c>
      <c r="O1260" s="1292" t="inlineStr">
        <is>
          <t>Mandatory under conditions</t>
        </is>
      </c>
      <c r="P1260" s="1334" t="inlineStr">
        <is>
          <t>LC.0005</t>
        </is>
      </c>
      <c r="Q1260" s="1354" t="inlineStr">
        <is>
          <t>TA NM253</t>
        </is>
      </c>
      <c r="R1260" s="1352" t="inlineStr">
        <is>
          <t>NA</t>
        </is>
      </c>
      <c r="S1260" s="1333" t="inlineStr">
        <is>
          <t>NA</t>
        </is>
      </c>
      <c r="T1260" s="1337" t="inlineStr">
        <is>
          <t>ALPHA</t>
        </is>
      </c>
      <c r="U1260" s="1337" t="inlineStr">
        <is>
          <t>NA</t>
        </is>
      </c>
      <c r="V1260" s="1338" t="inlineStr">
        <is>
          <t>NA</t>
        </is>
      </c>
      <c r="W1260" s="1337" t="n">
        <v>3</v>
      </c>
      <c r="X1260" s="1337" t="inlineStr">
        <is>
          <t>NA</t>
        </is>
      </c>
      <c r="Y1260" s="1339" t="n">
        <v>45</v>
      </c>
      <c r="Z1260" s="1334" t="inlineStr">
        <is>
          <t>NA</t>
        </is>
      </c>
      <c r="AA1260" s="1334" t="inlineStr">
        <is>
          <t>NA</t>
        </is>
      </c>
      <c r="AB1260" s="1331" t="inlineStr">
        <is>
          <t>BASE LGD</t>
        </is>
      </c>
      <c r="AC1260" s="1334" t="inlineStr">
        <is>
          <t>ND</t>
        </is>
      </c>
      <c r="AD1260" s="1334" t="inlineStr">
        <is>
          <t>N</t>
        </is>
      </c>
      <c r="AE1260" s="1334" t="inlineStr">
        <is>
          <t>NA</t>
        </is>
      </c>
      <c r="AF1260" s="1334" t="inlineStr">
        <is>
          <t>NA</t>
        </is>
      </c>
      <c r="AG1260" s="1340" t="inlineStr">
        <is>
          <t>NA</t>
        </is>
      </c>
      <c r="AH1260" s="1351" t="n"/>
      <c r="AI1260" s="1342" t="inlineStr">
        <is>
          <t>La donnée est obligatoire si Montant recouvré depuis le défaut [P2 603] est renseignée</t>
        </is>
      </c>
      <c r="AJ1260" s="1343" t="inlineStr">
        <is>
          <t>The data is mandatory if Amount recovered during the month since default [P2 603] data is filled</t>
        </is>
      </c>
      <c r="AK1260" s="1344" t="n">
        <v>7</v>
      </c>
      <c r="AL1260" s="1345" t="inlineStr">
        <is>
          <t>TPG0002</t>
        </is>
      </c>
      <c r="AM1260" s="1346" t="inlineStr">
        <is>
          <t>Si elle est renseignée, la valeur doit être connue du Langage Commun associé</t>
        </is>
      </c>
      <c r="AN1260" s="1347" t="inlineStr">
        <is>
          <t>If specified, the value must be known to the associated Common Language</t>
        </is>
      </c>
      <c r="AO1260" s="1348" t="n">
        <v>7</v>
      </c>
      <c r="AP1260" s="1324" t="inlineStr">
        <is>
          <t>TIG0001</t>
        </is>
      </c>
      <c r="AQ1260" s="1321" t="n"/>
      <c r="AR1260" s="1343" t="n"/>
      <c r="AS1260" s="1320" t="n"/>
      <c r="AT1260" s="1324" t="n"/>
      <c r="AU1260" s="1321" t="n"/>
      <c r="AV1260" s="1343" t="n"/>
      <c r="AW1260" s="1320" t="n"/>
      <c r="AX1260" s="1324" t="n"/>
      <c r="AY1260" s="1321" t="n"/>
      <c r="AZ1260" s="1349" t="n"/>
      <c r="BA1260" s="1344" t="n"/>
      <c r="BB1260" s="1324" t="n"/>
      <c r="BC1260" s="1321" t="n"/>
      <c r="BD1260" s="1350" t="n"/>
      <c r="BE1260" s="1344" t="n"/>
      <c r="BF1260" s="1324" t="n"/>
      <c r="BG1260" s="89" t="n"/>
      <c r="BH12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60">
        <f>_xlfn.LET(r,ROW(),oc,INDEX($A:$A,r),cv,TRIM(INDEX($Y:$Y,r)&amp;""),IF(oc&lt;&gt;"P1","",IF(cv="45","V45 - novo, nao alimentado pelo spool atual","V44 - alimentado pelo spool atual")))</f>
        <v/>
      </c>
    </row>
    <row r="1261" ht="54" customFormat="1" customHeight="1" s="90">
      <c r="A1261" s="1328" t="inlineStr">
        <is>
          <t>P2</t>
        </is>
      </c>
      <c r="B1261" s="1290" t="n">
        <v>364</v>
      </c>
      <c r="C1261" s="1329" t="inlineStr">
        <is>
          <t xml:space="preserve">08 - Caractéristiques d'arriérés et de restructuration </t>
        </is>
      </c>
      <c r="D1261" s="1330" t="inlineStr">
        <is>
          <t>08 - Characteristics of overdues and restructuring</t>
        </is>
      </c>
      <c r="E1261" s="1331" t="inlineStr">
        <is>
          <t>P2 604</t>
        </is>
      </c>
      <c r="F1261" s="1332" t="inlineStr">
        <is>
          <t>Montant passé à perte depuis le défaut</t>
        </is>
      </c>
      <c r="G1261" s="1333" t="inlineStr">
        <is>
          <t>Amount written off during the month</t>
        </is>
      </c>
      <c r="H1261" s="1333" t="n"/>
      <c r="I1261" s="1332" t="inlineStr">
        <is>
          <t>Montant cumulé passé à perte depuis le défaut</t>
        </is>
      </c>
      <c r="J1261" s="1333" t="inlineStr">
        <is>
          <t>Amount written off during the month</t>
        </is>
      </c>
      <c r="K1261" s="1334" t="inlineStr">
        <is>
          <t>ND</t>
        </is>
      </c>
      <c r="L1261" s="1330" t="inlineStr">
        <is>
          <t>ND</t>
        </is>
      </c>
      <c r="M1261" s="1426" t="inlineStr">
        <is>
          <t>TBD</t>
        </is>
      </c>
      <c r="N1261" s="1291" t="inlineStr">
        <is>
          <t>Obligatoire sous conditions</t>
        </is>
      </c>
      <c r="O1261" s="1292" t="inlineStr">
        <is>
          <t>Mandatory under conditions</t>
        </is>
      </c>
      <c r="P1261" s="1334" t="inlineStr">
        <is>
          <t>NA</t>
        </is>
      </c>
      <c r="Q1261" s="1334" t="inlineStr">
        <is>
          <t>NA</t>
        </is>
      </c>
      <c r="R1261" s="1352" t="inlineStr">
        <is>
          <t>NA</t>
        </is>
      </c>
      <c r="S1261" s="1333" t="inlineStr">
        <is>
          <t>NA</t>
        </is>
      </c>
      <c r="T1261" s="1337" t="inlineStr">
        <is>
          <t>NUM</t>
        </is>
      </c>
      <c r="U1261" s="1331" t="inlineStr">
        <is>
          <t>19 dont signe et 2 décimales</t>
        </is>
      </c>
      <c r="V1261" s="1353" t="inlineStr">
        <is>
          <t>19 including sign and 2 decimals</t>
        </is>
      </c>
      <c r="W1261" s="1337" t="n">
        <v>19</v>
      </c>
      <c r="X1261" s="1337" t="inlineStr">
        <is>
          <t>NA</t>
        </is>
      </c>
      <c r="Y1261" s="1339" t="n">
        <v>45</v>
      </c>
      <c r="Z1261" s="1334" t="inlineStr">
        <is>
          <t>NA</t>
        </is>
      </c>
      <c r="AA1261" s="1334" t="inlineStr">
        <is>
          <t>NA</t>
        </is>
      </c>
      <c r="AB1261" s="1331" t="inlineStr">
        <is>
          <t>BASE LGD</t>
        </is>
      </c>
      <c r="AC1261" s="1334" t="inlineStr">
        <is>
          <t>ND</t>
        </is>
      </c>
      <c r="AD1261" s="1334" t="inlineStr">
        <is>
          <t>N</t>
        </is>
      </c>
      <c r="AE1261" s="1334" t="inlineStr">
        <is>
          <t>NA</t>
        </is>
      </c>
      <c r="AF1261" s="1334" t="inlineStr">
        <is>
          <t>NA</t>
        </is>
      </c>
      <c r="AG1261" s="1340" t="inlineStr">
        <is>
          <t>NA</t>
        </is>
      </c>
      <c r="AH1261" s="1351" t="n"/>
      <c r="AI1261" s="1342" t="inlineStr">
        <is>
          <t>La donnée est obligatoire, si Indicateur Engagement en défaut [P2 5.2] = 'Y'</t>
        </is>
      </c>
      <c r="AJ1261" s="1343" t="inlineStr">
        <is>
          <t>The data is mandatory, if Defaulted commitments indicator [P2 5.2] = 'Y'</t>
        </is>
      </c>
      <c r="AK1261" s="1344" t="n">
        <v>6</v>
      </c>
      <c r="AL1261" s="1345" t="inlineStr">
        <is>
          <t>TPSxxx</t>
        </is>
      </c>
      <c r="AM1261" s="1321" t="n"/>
      <c r="AN1261" s="1343" t="n"/>
      <c r="AO1261" s="1344" t="n"/>
      <c r="AP1261" s="1319" t="n"/>
      <c r="AQ1261" s="1321" t="n"/>
      <c r="AR1261" s="1343" t="n"/>
      <c r="AS1261" s="1320" t="n"/>
      <c r="AT1261" s="1324" t="n"/>
      <c r="AU1261" s="1321" t="n"/>
      <c r="AV1261" s="1343" t="n"/>
      <c r="AW1261" s="1320" t="n"/>
      <c r="AX1261" s="1324" t="n"/>
      <c r="AY1261" s="1321" t="n"/>
      <c r="AZ1261" s="1349" t="n"/>
      <c r="BA1261" s="1344" t="n"/>
      <c r="BB1261" s="1324" t="n"/>
      <c r="BC1261" s="1321" t="n"/>
      <c r="BD1261" s="1350" t="n"/>
      <c r="BE1261" s="1344" t="n"/>
      <c r="BF1261" s="1324" t="n"/>
      <c r="BG1261" s="89" t="n"/>
      <c r="BH12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61">
        <f>_xlfn.LET(r,ROW(),oc,INDEX($A:$A,r),cv,TRIM(INDEX($Y:$Y,r)&amp;""),IF(oc&lt;&gt;"P1","",IF(cv="45","V45 - novo, nao alimentado pelo spool atual","V44 - alimentado pelo spool atual")))</f>
        <v/>
      </c>
    </row>
    <row r="1262" ht="54" customFormat="1" customHeight="1" s="90">
      <c r="A1262" s="1328" t="inlineStr">
        <is>
          <t>P2</t>
        </is>
      </c>
      <c r="B1262" s="1303" t="n">
        <v>365</v>
      </c>
      <c r="C1262" s="1329" t="inlineStr">
        <is>
          <t xml:space="preserve">08 - Caractéristiques d'arriérés et de restructuration </t>
        </is>
      </c>
      <c r="D1262" s="1330" t="inlineStr">
        <is>
          <t>08 - Characteristics of overdues and restructuring</t>
        </is>
      </c>
      <c r="E1262" s="1331" t="inlineStr">
        <is>
          <t>P2 604.1</t>
        </is>
      </c>
      <c r="F1262" s="1332" t="inlineStr">
        <is>
          <t>Devise du montant passé à perte depuis le défaut</t>
        </is>
      </c>
      <c r="G1262" s="1333" t="inlineStr">
        <is>
          <t>Currency of the amount Amount written off during the month</t>
        </is>
      </c>
      <c r="H1262" s="1333" t="n"/>
      <c r="I1262" s="1332" t="inlineStr">
        <is>
          <t>Devise du montant passé à perte depuis le défaut</t>
        </is>
      </c>
      <c r="J1262" s="1333" t="inlineStr">
        <is>
          <t>Currency of the amount Amount written off during the month</t>
        </is>
      </c>
      <c r="K1262" s="1334" t="inlineStr">
        <is>
          <t>ND</t>
        </is>
      </c>
      <c r="L1262" s="1330" t="inlineStr">
        <is>
          <t>ND</t>
        </is>
      </c>
      <c r="M1262" s="1426" t="inlineStr">
        <is>
          <t>TBD</t>
        </is>
      </c>
      <c r="N1262" s="1291" t="inlineStr">
        <is>
          <t>Obligatoire sous conditions</t>
        </is>
      </c>
      <c r="O1262" s="1292" t="inlineStr">
        <is>
          <t>Mandatory under conditions</t>
        </is>
      </c>
      <c r="P1262" s="1334" t="inlineStr">
        <is>
          <t>LC.0005</t>
        </is>
      </c>
      <c r="Q1262" s="1354" t="inlineStr">
        <is>
          <t>TA NM253</t>
        </is>
      </c>
      <c r="R1262" s="1352" t="inlineStr">
        <is>
          <t>NA</t>
        </is>
      </c>
      <c r="S1262" s="1333" t="inlineStr">
        <is>
          <t>NA</t>
        </is>
      </c>
      <c r="T1262" s="1337" t="inlineStr">
        <is>
          <t>ALPHA</t>
        </is>
      </c>
      <c r="U1262" s="1337" t="inlineStr">
        <is>
          <t>NA</t>
        </is>
      </c>
      <c r="V1262" s="1338" t="inlineStr">
        <is>
          <t>NA</t>
        </is>
      </c>
      <c r="W1262" s="1337" t="n">
        <v>3</v>
      </c>
      <c r="X1262" s="1337" t="inlineStr">
        <is>
          <t>NA</t>
        </is>
      </c>
      <c r="Y1262" s="1339" t="n">
        <v>45</v>
      </c>
      <c r="Z1262" s="1334" t="inlineStr">
        <is>
          <t>NA</t>
        </is>
      </c>
      <c r="AA1262" s="1334" t="inlineStr">
        <is>
          <t>NA</t>
        </is>
      </c>
      <c r="AB1262" s="1331" t="inlineStr">
        <is>
          <t>BASE LGD</t>
        </is>
      </c>
      <c r="AC1262" s="1334" t="inlineStr">
        <is>
          <t>ND</t>
        </is>
      </c>
      <c r="AD1262" s="1334" t="inlineStr">
        <is>
          <t>N</t>
        </is>
      </c>
      <c r="AE1262" s="1334" t="inlineStr">
        <is>
          <t>NA</t>
        </is>
      </c>
      <c r="AF1262" s="1334" t="inlineStr">
        <is>
          <t>NA</t>
        </is>
      </c>
      <c r="AG1262" s="1340" t="inlineStr">
        <is>
          <t>NA</t>
        </is>
      </c>
      <c r="AH1262" s="1351" t="n"/>
      <c r="AI1262" s="1342" t="inlineStr">
        <is>
          <t>La donnée est obligatoire si Montant passé à perte depuis le défaut [P2 604] est renseignée</t>
        </is>
      </c>
      <c r="AJ1262" s="1343" t="inlineStr">
        <is>
          <t>The data is mandatory if Amount written off during the month [P2 604] data is filled</t>
        </is>
      </c>
      <c r="AK1262" s="1344" t="n">
        <v>7</v>
      </c>
      <c r="AL1262" s="1345" t="inlineStr">
        <is>
          <t>TPG0002</t>
        </is>
      </c>
      <c r="AM1262" s="1346" t="inlineStr">
        <is>
          <t>Si elle est renseignée, la valeur doit être connue du Langage Commun associé</t>
        </is>
      </c>
      <c r="AN1262" s="1347" t="inlineStr">
        <is>
          <t>If specified, the value must be known to the associated Common Language</t>
        </is>
      </c>
      <c r="AO1262" s="1348" t="n">
        <v>7</v>
      </c>
      <c r="AP1262" s="1324" t="inlineStr">
        <is>
          <t>TIG0001</t>
        </is>
      </c>
      <c r="AQ1262" s="1321" t="n"/>
      <c r="AR1262" s="1343" t="n"/>
      <c r="AS1262" s="1320" t="n"/>
      <c r="AT1262" s="1324" t="n"/>
      <c r="AU1262" s="1321" t="n"/>
      <c r="AV1262" s="1343" t="n"/>
      <c r="AW1262" s="1320" t="n"/>
      <c r="AX1262" s="1324" t="n"/>
      <c r="AY1262" s="1321" t="n"/>
      <c r="AZ1262" s="1349" t="n"/>
      <c r="BA1262" s="1344" t="n"/>
      <c r="BB1262" s="1324" t="n"/>
      <c r="BC1262" s="1321" t="n"/>
      <c r="BD1262" s="1350" t="n"/>
      <c r="BE1262" s="1344" t="n"/>
      <c r="BF1262" s="1324" t="n"/>
      <c r="BG1262" s="89" t="n"/>
      <c r="BH12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62">
        <f>_xlfn.LET(r,ROW(),oc,INDEX($A:$A,r),cv,TRIM(INDEX($Y:$Y,r)&amp;""),IF(oc&lt;&gt;"P1","",IF(cv="45","V45 - novo, nao alimentado pelo spool atual","V44 - alimentado pelo spool atual")))</f>
        <v/>
      </c>
    </row>
    <row r="1263" ht="54" customFormat="1" customHeight="1" s="90">
      <c r="A1263" s="1328" t="inlineStr">
        <is>
          <t>P2</t>
        </is>
      </c>
      <c r="B1263" s="1290" t="n">
        <v>366</v>
      </c>
      <c r="C1263" s="1329" t="inlineStr">
        <is>
          <t xml:space="preserve">08 - Caractéristiques d'arriérés et de restructuration </t>
        </is>
      </c>
      <c r="D1263" s="1330" t="inlineStr">
        <is>
          <t>08 - Characteristics of overdues and restructuring</t>
        </is>
      </c>
      <c r="E1263" s="1331" t="inlineStr">
        <is>
          <t>P2 605</t>
        </is>
      </c>
      <c r="F1263" s="1332" t="inlineStr">
        <is>
          <t>Montant tiré depuis le défaut</t>
        </is>
      </c>
      <c r="G1263" s="1333" t="inlineStr">
        <is>
          <t>Amount drawn during the month</t>
        </is>
      </c>
      <c r="H1263" s="1333" t="n"/>
      <c r="I1263" s="1332" t="inlineStr">
        <is>
          <t>Montant cumulé tiré depuis le défaut</t>
        </is>
      </c>
      <c r="J1263" s="1333" t="inlineStr">
        <is>
          <t>Amount drawn during the month</t>
        </is>
      </c>
      <c r="K1263" s="1334" t="inlineStr">
        <is>
          <t>ND</t>
        </is>
      </c>
      <c r="L1263" s="1330" t="inlineStr">
        <is>
          <t>ND</t>
        </is>
      </c>
      <c r="M1263" s="1426" t="inlineStr">
        <is>
          <t>TBD</t>
        </is>
      </c>
      <c r="N1263" s="1291" t="inlineStr">
        <is>
          <t>Obligatoire sous conditions</t>
        </is>
      </c>
      <c r="O1263" s="1292" t="inlineStr">
        <is>
          <t>Mandatory under conditions</t>
        </is>
      </c>
      <c r="P1263" s="1334" t="inlineStr">
        <is>
          <t>NA</t>
        </is>
      </c>
      <c r="Q1263" s="1334" t="inlineStr">
        <is>
          <t>NA</t>
        </is>
      </c>
      <c r="R1263" s="1352" t="inlineStr">
        <is>
          <t>NA</t>
        </is>
      </c>
      <c r="S1263" s="1333" t="inlineStr">
        <is>
          <t>NA</t>
        </is>
      </c>
      <c r="T1263" s="1337" t="inlineStr">
        <is>
          <t>NUM</t>
        </is>
      </c>
      <c r="U1263" s="1331" t="inlineStr">
        <is>
          <t>19 dont signe et 2 décimales</t>
        </is>
      </c>
      <c r="V1263" s="1353" t="inlineStr">
        <is>
          <t>19 including sign and 2 decimals</t>
        </is>
      </c>
      <c r="W1263" s="1337" t="n">
        <v>19</v>
      </c>
      <c r="X1263" s="1337" t="inlineStr">
        <is>
          <t>NA</t>
        </is>
      </c>
      <c r="Y1263" s="1339" t="n">
        <v>45</v>
      </c>
      <c r="Z1263" s="1334" t="inlineStr">
        <is>
          <t>NA</t>
        </is>
      </c>
      <c r="AA1263" s="1334" t="inlineStr">
        <is>
          <t>NA</t>
        </is>
      </c>
      <c r="AB1263" s="1331" t="inlineStr">
        <is>
          <t>BASE LGD</t>
        </is>
      </c>
      <c r="AC1263" s="1334" t="inlineStr">
        <is>
          <t>ND</t>
        </is>
      </c>
      <c r="AD1263" s="1334" t="inlineStr">
        <is>
          <t>N</t>
        </is>
      </c>
      <c r="AE1263" s="1334" t="inlineStr">
        <is>
          <t>NA</t>
        </is>
      </c>
      <c r="AF1263" s="1334" t="inlineStr">
        <is>
          <t>NA</t>
        </is>
      </c>
      <c r="AG1263" s="1340" t="inlineStr">
        <is>
          <t>NA</t>
        </is>
      </c>
      <c r="AH1263" s="1351" t="n"/>
      <c r="AI1263" s="1342" t="inlineStr">
        <is>
          <t>La donnée est obligatoire, si Indicateur Engagement en défaut [P2 5.2] = 'Y'</t>
        </is>
      </c>
      <c r="AJ1263" s="1343" t="inlineStr">
        <is>
          <t>The data is mandatory, if Defaulted commitments indicator [P2 5.2] = 'Y'</t>
        </is>
      </c>
      <c r="AK1263" s="1344" t="n">
        <v>6</v>
      </c>
      <c r="AL1263" s="1345" t="inlineStr">
        <is>
          <t>TPSxxx</t>
        </is>
      </c>
      <c r="AM1263" s="1321" t="n"/>
      <c r="AN1263" s="1343" t="n"/>
      <c r="AO1263" s="1344" t="n"/>
      <c r="AP1263" s="1319" t="n"/>
      <c r="AQ1263" s="1321" t="n"/>
      <c r="AR1263" s="1343" t="n"/>
      <c r="AS1263" s="1320" t="n"/>
      <c r="AT1263" s="1324" t="n"/>
      <c r="AU1263" s="1321" t="n"/>
      <c r="AV1263" s="1343" t="n"/>
      <c r="AW1263" s="1320" t="n"/>
      <c r="AX1263" s="1324" t="n"/>
      <c r="AY1263" s="1321" t="n"/>
      <c r="AZ1263" s="1349" t="n"/>
      <c r="BA1263" s="1344" t="n"/>
      <c r="BB1263" s="1324" t="n"/>
      <c r="BC1263" s="1321" t="n"/>
      <c r="BD1263" s="1350" t="n"/>
      <c r="BE1263" s="1344" t="n"/>
      <c r="BF1263" s="1324" t="n"/>
      <c r="BG1263" s="89" t="n"/>
      <c r="BH12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63">
        <f>_xlfn.LET(r,ROW(),oc,INDEX($A:$A,r),cv,TRIM(INDEX($Y:$Y,r)&amp;""),IF(oc&lt;&gt;"P1","",IF(cv="45","V45 - novo, nao alimentado pelo spool atual","V44 - alimentado pelo spool atual")))</f>
        <v/>
      </c>
    </row>
    <row r="1264" ht="54" customFormat="1" customHeight="1" s="90">
      <c r="A1264" s="1328" t="inlineStr">
        <is>
          <t>P2</t>
        </is>
      </c>
      <c r="B1264" s="1303" t="n">
        <v>367</v>
      </c>
      <c r="C1264" s="1329" t="inlineStr">
        <is>
          <t xml:space="preserve">08 - Caractéristiques d'arriérés et de restructuration </t>
        </is>
      </c>
      <c r="D1264" s="1330" t="inlineStr">
        <is>
          <t>08 - Characteristics of overdues and restructuring</t>
        </is>
      </c>
      <c r="E1264" s="1331" t="inlineStr">
        <is>
          <t>P2 605.1</t>
        </is>
      </c>
      <c r="F1264" s="1332" t="inlineStr">
        <is>
          <t>Devise du montant tiré depuis le défaut</t>
        </is>
      </c>
      <c r="G1264" s="1333" t="inlineStr">
        <is>
          <t>Currency of the amount drawn during the month</t>
        </is>
      </c>
      <c r="H1264" s="1333" t="n"/>
      <c r="I1264" s="1332" t="inlineStr">
        <is>
          <t>Devise du montant tiré depuis le défaut</t>
        </is>
      </c>
      <c r="J1264" s="1333" t="inlineStr">
        <is>
          <t>Currency of the amount drawn during the month</t>
        </is>
      </c>
      <c r="K1264" s="1334" t="inlineStr">
        <is>
          <t>ND</t>
        </is>
      </c>
      <c r="L1264" s="1330" t="inlineStr">
        <is>
          <t>ND</t>
        </is>
      </c>
      <c r="M1264" s="1426" t="inlineStr">
        <is>
          <t>TBD</t>
        </is>
      </c>
      <c r="N1264" s="1291" t="inlineStr">
        <is>
          <t>Obligatoire sous conditions</t>
        </is>
      </c>
      <c r="O1264" s="1292" t="inlineStr">
        <is>
          <t>Mandatory under conditions</t>
        </is>
      </c>
      <c r="P1264" s="1334" t="inlineStr">
        <is>
          <t>LC.0005</t>
        </is>
      </c>
      <c r="Q1264" s="1354" t="inlineStr">
        <is>
          <t>TA NM253</t>
        </is>
      </c>
      <c r="R1264" s="1352" t="inlineStr">
        <is>
          <t>NA</t>
        </is>
      </c>
      <c r="S1264" s="1333" t="inlineStr">
        <is>
          <t>NA</t>
        </is>
      </c>
      <c r="T1264" s="1337" t="inlineStr">
        <is>
          <t>ALPHA</t>
        </is>
      </c>
      <c r="U1264" s="1337" t="inlineStr">
        <is>
          <t>NA</t>
        </is>
      </c>
      <c r="V1264" s="1338" t="inlineStr">
        <is>
          <t>NA</t>
        </is>
      </c>
      <c r="W1264" s="1337" t="n">
        <v>3</v>
      </c>
      <c r="X1264" s="1337" t="inlineStr">
        <is>
          <t>NA</t>
        </is>
      </c>
      <c r="Y1264" s="1339" t="n">
        <v>45</v>
      </c>
      <c r="Z1264" s="1334" t="inlineStr">
        <is>
          <t>NA</t>
        </is>
      </c>
      <c r="AA1264" s="1334" t="inlineStr">
        <is>
          <t>NA</t>
        </is>
      </c>
      <c r="AB1264" s="1331" t="inlineStr">
        <is>
          <t>BASE LGD</t>
        </is>
      </c>
      <c r="AC1264" s="1334" t="inlineStr">
        <is>
          <t>ND</t>
        </is>
      </c>
      <c r="AD1264" s="1334" t="inlineStr">
        <is>
          <t>N</t>
        </is>
      </c>
      <c r="AE1264" s="1334" t="inlineStr">
        <is>
          <t>NA</t>
        </is>
      </c>
      <c r="AF1264" s="1334" t="inlineStr">
        <is>
          <t>NA</t>
        </is>
      </c>
      <c r="AG1264" s="1340" t="inlineStr">
        <is>
          <t>NA</t>
        </is>
      </c>
      <c r="AH1264" s="1351" t="n"/>
      <c r="AI1264" s="1342" t="inlineStr">
        <is>
          <t>La donnée est obligatoire si Montant tiré depuis le défaut [P2 605] est renseignée</t>
        </is>
      </c>
      <c r="AJ1264" s="1343" t="inlineStr">
        <is>
          <t>The data is mandatory if Amount drawn during the month [P2 605] data is filled</t>
        </is>
      </c>
      <c r="AK1264" s="1344" t="n">
        <v>7</v>
      </c>
      <c r="AL1264" s="1345" t="inlineStr">
        <is>
          <t>TPG0002</t>
        </is>
      </c>
      <c r="AM1264" s="1346" t="inlineStr">
        <is>
          <t>Si elle est renseignée, la valeur doit être connue du Langage Commun associé</t>
        </is>
      </c>
      <c r="AN1264" s="1347" t="inlineStr">
        <is>
          <t>If specified, the value must be known to the associated Common Language</t>
        </is>
      </c>
      <c r="AO1264" s="1348" t="n">
        <v>7</v>
      </c>
      <c r="AP1264" s="1324" t="inlineStr">
        <is>
          <t>TIG0001</t>
        </is>
      </c>
      <c r="AQ1264" s="1321" t="n"/>
      <c r="AR1264" s="1343" t="n"/>
      <c r="AS1264" s="1320" t="n"/>
      <c r="AT1264" s="1324" t="n"/>
      <c r="AU1264" s="1321" t="n"/>
      <c r="AV1264" s="1343" t="n"/>
      <c r="AW1264" s="1320" t="n"/>
      <c r="AX1264" s="1324" t="n"/>
      <c r="AY1264" s="1321" t="n"/>
      <c r="AZ1264" s="1349" t="n"/>
      <c r="BA1264" s="1344" t="n"/>
      <c r="BB1264" s="1324" t="n"/>
      <c r="BC1264" s="1321" t="n"/>
      <c r="BD1264" s="1350" t="n"/>
      <c r="BE1264" s="1344" t="n"/>
      <c r="BF1264" s="1324" t="n"/>
      <c r="BG1264" s="89" t="n"/>
      <c r="BH12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64">
        <f>_xlfn.LET(r,ROW(),oc,INDEX($A:$A,r),cv,TRIM(INDEX($Y:$Y,r)&amp;""),IF(oc&lt;&gt;"P1","",IF(cv="45","V45 - novo, nao alimentado pelo spool atual","V44 - alimentado pelo spool atual")))</f>
        <v/>
      </c>
    </row>
    <row r="1265" ht="54" customFormat="1" customHeight="1" s="90">
      <c r="A1265" s="1328" t="inlineStr">
        <is>
          <t>P2</t>
        </is>
      </c>
      <c r="B1265" s="1290" t="n">
        <v>368</v>
      </c>
      <c r="C1265" s="1329" t="inlineStr">
        <is>
          <t xml:space="preserve">08 - Caractéristiques d'arriérés et de restructuration </t>
        </is>
      </c>
      <c r="D1265" s="1330" t="inlineStr">
        <is>
          <t>08 - Characteristics of overdues and restructuring</t>
        </is>
      </c>
      <c r="E1265" s="1331" t="inlineStr">
        <is>
          <t>P2 606</t>
        </is>
      </c>
      <c r="F1265" s="1332" t="inlineStr">
        <is>
          <t>Identifiant du contrat restructuré en cas de changement d’identifiant post restructuration</t>
        </is>
      </c>
      <c r="G1265" s="1333" t="inlineStr">
        <is>
          <t>Identifier of the restructured contract in case of change of identifier post-restructuring</t>
        </is>
      </c>
      <c r="H1265" s="1333" t="n"/>
      <c r="I1265" s="1332" t="inlineStr">
        <is>
          <t>Identifiant du contrat parent ayant fait l'objet de la restructuration en cas de changement d’identifiant post restructuration</t>
        </is>
      </c>
      <c r="J1265" s="1333" t="inlineStr">
        <is>
          <t>Identifier of the restructured contract in case of change of identifier post-restructuring</t>
        </is>
      </c>
      <c r="K1265" s="1334" t="inlineStr">
        <is>
          <t>ND</t>
        </is>
      </c>
      <c r="L1265" s="1330" t="inlineStr">
        <is>
          <t>ND</t>
        </is>
      </c>
      <c r="M1265" s="1426" t="inlineStr">
        <is>
          <t>TBD</t>
        </is>
      </c>
      <c r="N1265" s="1331" t="inlineStr">
        <is>
          <t>Facultatif</t>
        </is>
      </c>
      <c r="O1265" s="1330" t="inlineStr">
        <is>
          <t>Optional</t>
        </is>
      </c>
      <c r="P1265" s="1334" t="inlineStr">
        <is>
          <t>NA</t>
        </is>
      </c>
      <c r="Q1265" s="1334" t="inlineStr">
        <is>
          <t>NA</t>
        </is>
      </c>
      <c r="R1265" s="1352" t="inlineStr">
        <is>
          <t>NA</t>
        </is>
      </c>
      <c r="S1265" s="1333" t="inlineStr">
        <is>
          <t>NA</t>
        </is>
      </c>
      <c r="T1265" s="1337" t="inlineStr">
        <is>
          <t>ALPHA</t>
        </is>
      </c>
      <c r="U1265" s="1337" t="inlineStr">
        <is>
          <t>NA</t>
        </is>
      </c>
      <c r="V1265" s="1338" t="inlineStr">
        <is>
          <t>NA</t>
        </is>
      </c>
      <c r="W1265" s="1337" t="n">
        <v>40</v>
      </c>
      <c r="X1265" s="1337" t="inlineStr">
        <is>
          <t>NA</t>
        </is>
      </c>
      <c r="Y1265" s="1339" t="n">
        <v>45</v>
      </c>
      <c r="Z1265" s="1334" t="inlineStr">
        <is>
          <t>NA</t>
        </is>
      </c>
      <c r="AA1265" s="1334" t="inlineStr">
        <is>
          <t>NA</t>
        </is>
      </c>
      <c r="AB1265" s="1331" t="inlineStr">
        <is>
          <t>BASE LGD</t>
        </is>
      </c>
      <c r="AC1265" s="1334" t="inlineStr">
        <is>
          <t>ND</t>
        </is>
      </c>
      <c r="AD1265" s="1334" t="inlineStr">
        <is>
          <t>N</t>
        </is>
      </c>
      <c r="AE1265" s="1334" t="inlineStr">
        <is>
          <t>NA</t>
        </is>
      </c>
      <c r="AF1265" s="1334" t="inlineStr">
        <is>
          <t>NA</t>
        </is>
      </c>
      <c r="AG1265" s="1340" t="inlineStr">
        <is>
          <t>NA</t>
        </is>
      </c>
      <c r="AH1265" s="1351" t="n"/>
      <c r="AI1265" s="1342" t="n"/>
      <c r="AJ1265" s="1343" t="n"/>
      <c r="AK1265" s="1344" t="n"/>
      <c r="AL1265" s="1345" t="n"/>
      <c r="AM1265" s="1321" t="n"/>
      <c r="AN1265" s="1343" t="n"/>
      <c r="AO1265" s="1344" t="n"/>
      <c r="AP1265" s="1319" t="n"/>
      <c r="AQ1265" s="1321" t="n"/>
      <c r="AR1265" s="1343" t="n"/>
      <c r="AS1265" s="1320" t="n"/>
      <c r="AT1265" s="1324" t="n"/>
      <c r="AU1265" s="1321" t="n"/>
      <c r="AV1265" s="1343" t="n"/>
      <c r="AW1265" s="1320" t="n"/>
      <c r="AX1265" s="1324" t="n"/>
      <c r="AY1265" s="1321" t="n"/>
      <c r="AZ1265" s="1349" t="n"/>
      <c r="BA1265" s="1344" t="n"/>
      <c r="BB1265" s="1324" t="n"/>
      <c r="BC1265" s="1321" t="n"/>
      <c r="BD1265" s="1350" t="n"/>
      <c r="BE1265" s="1344" t="n"/>
      <c r="BF1265" s="1324" t="n"/>
      <c r="BG1265" s="89" t="n"/>
      <c r="BH12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65">
        <f>_xlfn.LET(r,ROW(),oc,INDEX($A:$A,r),cv,TRIM(INDEX($Y:$Y,r)&amp;""),IF(oc&lt;&gt;"P1","",IF(cv="45","V45 - novo, nao alimentado pelo spool atual","V44 - alimentado pelo spool atual")))</f>
        <v/>
      </c>
    </row>
    <row r="1266" ht="54" customFormat="1" customHeight="1" s="90">
      <c r="A1266" s="1328" t="inlineStr">
        <is>
          <t>P2</t>
        </is>
      </c>
      <c r="B1266" s="1303" t="n">
        <v>369</v>
      </c>
      <c r="C1266" s="1329" t="inlineStr">
        <is>
          <t>03 - Caractéristiques Générales</t>
        </is>
      </c>
      <c r="D1266" s="1330" t="inlineStr">
        <is>
          <t>03 - General characteristics</t>
        </is>
      </c>
      <c r="E1266" s="1331" t="inlineStr">
        <is>
          <t>P2 607</t>
        </is>
      </c>
      <c r="F1266" s="1332" t="inlineStr">
        <is>
          <t>Indicateur de multi financement par plusieurs entités</t>
        </is>
      </c>
      <c r="G1266" s="1333" t="inlineStr">
        <is>
          <t>Indicator of multi-funding by multiple entities</t>
        </is>
      </c>
      <c r="H1266" s="1333" t="n"/>
      <c r="I1266" s="1332" t="inlineStr">
        <is>
          <t>Indicateur de multi financement par plusieurs entités du Groupe</t>
        </is>
      </c>
      <c r="J1266" s="1333" t="inlineStr">
        <is>
          <t>Indicator of multi-funding by multiple entities</t>
        </is>
      </c>
      <c r="K1266" s="1334" t="inlineStr">
        <is>
          <t>ND</t>
        </is>
      </c>
      <c r="L1266" s="1330" t="inlineStr">
        <is>
          <t>ND</t>
        </is>
      </c>
      <c r="M1266" s="1426" t="inlineStr">
        <is>
          <t>TBD</t>
        </is>
      </c>
      <c r="N1266" s="1331" t="inlineStr">
        <is>
          <t>Facultatif</t>
        </is>
      </c>
      <c r="O1266" s="1330" t="inlineStr">
        <is>
          <t>Optional</t>
        </is>
      </c>
      <c r="P1266" s="1334" t="inlineStr">
        <is>
          <t>LC.0579</t>
        </is>
      </c>
      <c r="Q1266" s="1334" t="inlineStr">
        <is>
          <t>RB KVIDMUFI</t>
        </is>
      </c>
      <c r="R1266" s="1352" t="inlineStr">
        <is>
          <t>NA</t>
        </is>
      </c>
      <c r="S1266" s="1333" t="inlineStr">
        <is>
          <t>NA</t>
        </is>
      </c>
      <c r="T1266" s="1337" t="inlineStr">
        <is>
          <t>ALPHA</t>
        </is>
      </c>
      <c r="U1266" s="1337" t="inlineStr">
        <is>
          <t>NA</t>
        </is>
      </c>
      <c r="V1266" s="1338" t="inlineStr">
        <is>
          <t>NA</t>
        </is>
      </c>
      <c r="W1266" s="1337" t="n">
        <v>1</v>
      </c>
      <c r="X1266" s="1337" t="inlineStr">
        <is>
          <t>NA</t>
        </is>
      </c>
      <c r="Y1266" s="1339" t="n">
        <v>45</v>
      </c>
      <c r="Z1266" s="1334" t="inlineStr">
        <is>
          <t>NA</t>
        </is>
      </c>
      <c r="AA1266" s="1334" t="inlineStr">
        <is>
          <t>NA</t>
        </is>
      </c>
      <c r="AB1266" s="1331" t="inlineStr">
        <is>
          <t>BASE LGD</t>
        </is>
      </c>
      <c r="AC1266" s="1334" t="inlineStr">
        <is>
          <t>ND</t>
        </is>
      </c>
      <c r="AD1266" s="1334" t="inlineStr">
        <is>
          <t>N</t>
        </is>
      </c>
      <c r="AE1266" s="1334" t="inlineStr">
        <is>
          <t>NA</t>
        </is>
      </c>
      <c r="AF1266" s="1334" t="inlineStr">
        <is>
          <t>NA</t>
        </is>
      </c>
      <c r="AG1266" s="1340" t="inlineStr">
        <is>
          <t>NA</t>
        </is>
      </c>
      <c r="AH1266" s="1351" t="n"/>
      <c r="AI1266" s="1342" t="n"/>
      <c r="AJ1266" s="1343" t="n"/>
      <c r="AK1266" s="1344" t="n"/>
      <c r="AL1266" s="1345" t="n"/>
      <c r="AM1266" s="1346" t="inlineStr">
        <is>
          <t>Si elle est renseignée, la valeur doit être connue du Langage Commun associé</t>
        </is>
      </c>
      <c r="AN1266" s="1347" t="inlineStr">
        <is>
          <t>If specified, the value must be known to the associated Common Language</t>
        </is>
      </c>
      <c r="AO1266" s="1348" t="n">
        <v>7</v>
      </c>
      <c r="AP1266" s="1324" t="inlineStr">
        <is>
          <t>TIG0001</t>
        </is>
      </c>
      <c r="AQ1266" s="1321" t="n"/>
      <c r="AR1266" s="1343" t="n"/>
      <c r="AS1266" s="1320" t="n"/>
      <c r="AT1266" s="1324" t="n"/>
      <c r="AU1266" s="1321" t="n"/>
      <c r="AV1266" s="1343" t="n"/>
      <c r="AW1266" s="1320" t="n"/>
      <c r="AX1266" s="1324" t="n"/>
      <c r="AY1266" s="1321" t="n"/>
      <c r="AZ1266" s="1349" t="n"/>
      <c r="BA1266" s="1344" t="n"/>
      <c r="BB1266" s="1324" t="n"/>
      <c r="BC1266" s="1321" t="n"/>
      <c r="BD1266" s="1350" t="n"/>
      <c r="BE1266" s="1344" t="n"/>
      <c r="BF1266" s="1324" t="n"/>
      <c r="BG1266" s="89" t="n"/>
      <c r="BH12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66">
        <f>_xlfn.LET(r,ROW(),oc,INDEX($A:$A,r),cv,TRIM(INDEX($Y:$Y,r)&amp;""),IF(oc&lt;&gt;"P1","",IF(cv="45","V45 - novo, nao alimentado pelo spool atual","V44 - alimentado pelo spool atual")))</f>
        <v/>
      </c>
    </row>
    <row r="1267" ht="54" customFormat="1" customHeight="1" s="90">
      <c r="A1267" s="1328" t="inlineStr">
        <is>
          <t>P2</t>
        </is>
      </c>
      <c r="B1267" s="1290" t="n">
        <v>370</v>
      </c>
      <c r="C1267" s="1329" t="inlineStr">
        <is>
          <t xml:space="preserve">08 - Caractéristiques d'arriérés et de restructuration </t>
        </is>
      </c>
      <c r="D1267" s="1330" t="inlineStr">
        <is>
          <t>08 - Characteristics of overdues and restructuring</t>
        </is>
      </c>
      <c r="E1267" s="1331" t="inlineStr">
        <is>
          <t>P2 608</t>
        </is>
      </c>
      <c r="F1267" s="1332" t="inlineStr">
        <is>
          <t>Montant des prélèvements supplémentaires après le défaut</t>
        </is>
      </c>
      <c r="G1267" s="1333" t="inlineStr">
        <is>
          <t>Amount of additional deductions after default</t>
        </is>
      </c>
      <c r="H1267" s="1333" t="n"/>
      <c r="I1267" s="1332" t="inlineStr">
        <is>
          <t>Tout octroi d’un nouveau montant de financement sur la ligne venant augmenter l’exposition inscrite au bilan (hors capitalisation des intérêts échus et non échus post entrée en défaut). Correspond une augmentation du principal. Peut le cas échéant correspondre à l’utilisation d’une ligne hors-bilan.</t>
        </is>
      </c>
      <c r="J1267" s="1333" t="inlineStr">
        <is>
          <t>Amount of additional deductions after default</t>
        </is>
      </c>
      <c r="K1267" s="1334" t="inlineStr">
        <is>
          <t>ND</t>
        </is>
      </c>
      <c r="L1267" s="1330" t="inlineStr">
        <is>
          <t>ND</t>
        </is>
      </c>
      <c r="M1267" s="1426" t="inlineStr">
        <is>
          <t>TBD</t>
        </is>
      </c>
      <c r="N1267" s="1291" t="inlineStr">
        <is>
          <t>Obligatoire sous conditions</t>
        </is>
      </c>
      <c r="O1267" s="1292" t="inlineStr">
        <is>
          <t>Mandatory under conditions</t>
        </is>
      </c>
      <c r="P1267" s="1334" t="inlineStr">
        <is>
          <t>NA</t>
        </is>
      </c>
      <c r="Q1267" s="1334" t="inlineStr">
        <is>
          <t>NA</t>
        </is>
      </c>
      <c r="R1267" s="1352" t="inlineStr">
        <is>
          <t>NA</t>
        </is>
      </c>
      <c r="S1267" s="1333" t="inlineStr">
        <is>
          <t>NA</t>
        </is>
      </c>
      <c r="T1267" s="1337" t="inlineStr">
        <is>
          <t>NUM</t>
        </is>
      </c>
      <c r="U1267" s="1331" t="inlineStr">
        <is>
          <t>19 dont signe et 2 décimales</t>
        </is>
      </c>
      <c r="V1267" s="1353" t="inlineStr">
        <is>
          <t>19 including sign and 2 decimals</t>
        </is>
      </c>
      <c r="W1267" s="1337" t="n">
        <v>19</v>
      </c>
      <c r="X1267" s="1337" t="inlineStr">
        <is>
          <t>NA</t>
        </is>
      </c>
      <c r="Y1267" s="1339" t="n">
        <v>45</v>
      </c>
      <c r="Z1267" s="1334" t="inlineStr">
        <is>
          <t>NA</t>
        </is>
      </c>
      <c r="AA1267" s="1334" t="inlineStr">
        <is>
          <t>NA</t>
        </is>
      </c>
      <c r="AB1267" s="1331" t="inlineStr">
        <is>
          <t>BASE LGD</t>
        </is>
      </c>
      <c r="AC1267" s="1334" t="inlineStr">
        <is>
          <t>ND</t>
        </is>
      </c>
      <c r="AD1267" s="1334" t="inlineStr">
        <is>
          <t>N</t>
        </is>
      </c>
      <c r="AE1267" s="1334" t="inlineStr">
        <is>
          <t>NA</t>
        </is>
      </c>
      <c r="AF1267" s="1334" t="inlineStr">
        <is>
          <t>NA</t>
        </is>
      </c>
      <c r="AG1267" s="1340" t="inlineStr">
        <is>
          <t>NA</t>
        </is>
      </c>
      <c r="AH1267" s="1351" t="n"/>
      <c r="AI1267" s="1342" t="inlineStr">
        <is>
          <t>La donnée est obligatoire, si Indicateur Engagement en défaut [P2 5.2] = 'Y'</t>
        </is>
      </c>
      <c r="AJ1267" s="1343" t="inlineStr">
        <is>
          <t>The data is mandatory, if Defaulted commitments indicator [P2 5.2] = 'Y'</t>
        </is>
      </c>
      <c r="AK1267" s="1344" t="n">
        <v>6</v>
      </c>
      <c r="AL1267" s="1345" t="inlineStr">
        <is>
          <t>TPSxxx</t>
        </is>
      </c>
      <c r="AM1267" s="1321" t="n"/>
      <c r="AN1267" s="1343" t="n"/>
      <c r="AO1267" s="1344" t="n"/>
      <c r="AP1267" s="1319" t="n"/>
      <c r="AQ1267" s="1321" t="n"/>
      <c r="AR1267" s="1343" t="n"/>
      <c r="AS1267" s="1320" t="n"/>
      <c r="AT1267" s="1324" t="n"/>
      <c r="AU1267" s="1321" t="n"/>
      <c r="AV1267" s="1343" t="n"/>
      <c r="AW1267" s="1320" t="n"/>
      <c r="AX1267" s="1324" t="n"/>
      <c r="AY1267" s="1321" t="n"/>
      <c r="AZ1267" s="1349" t="n"/>
      <c r="BA1267" s="1344" t="n"/>
      <c r="BB1267" s="1324" t="n"/>
      <c r="BC1267" s="1321" t="n"/>
      <c r="BD1267" s="1350" t="n"/>
      <c r="BE1267" s="1344" t="n"/>
      <c r="BF1267" s="1324" t="n"/>
      <c r="BG1267" s="89" t="n"/>
      <c r="BH12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67">
        <f>_xlfn.LET(r,ROW(),oc,INDEX($A:$A,r),cv,TRIM(INDEX($Y:$Y,r)&amp;""),IF(oc&lt;&gt;"P1","",IF(cv="45","V45 - novo, nao alimentado pelo spool atual","V44 - alimentado pelo spool atual")))</f>
        <v/>
      </c>
    </row>
    <row r="1268" ht="54" customFormat="1" customHeight="1" s="90">
      <c r="A1268" s="1328" t="inlineStr">
        <is>
          <t>P2</t>
        </is>
      </c>
      <c r="B1268" s="1303" t="n">
        <v>371</v>
      </c>
      <c r="C1268" s="1329" t="inlineStr">
        <is>
          <t xml:space="preserve">08 - Caractéristiques d'arriérés et de restructuration </t>
        </is>
      </c>
      <c r="D1268" s="1330" t="inlineStr">
        <is>
          <t>08 - Characteristics of overdues and restructuring</t>
        </is>
      </c>
      <c r="E1268" s="1331" t="inlineStr">
        <is>
          <t>P2 608.1</t>
        </is>
      </c>
      <c r="F1268" s="1332" t="inlineStr">
        <is>
          <t>Devise du montant des prélèvements supplémentaires après le défaut</t>
        </is>
      </c>
      <c r="G1268" s="1333" t="inlineStr">
        <is>
          <t>Currency of the amount of additional deductions after default</t>
        </is>
      </c>
      <c r="H1268" s="1333" t="n"/>
      <c r="I1268" s="1332" t="inlineStr">
        <is>
          <t>Devise du montant des prélèvements supplémentaires après le défaut</t>
        </is>
      </c>
      <c r="J1268" s="1333" t="inlineStr">
        <is>
          <t>Currency of the amount of additional deductions after default</t>
        </is>
      </c>
      <c r="K1268" s="1334" t="inlineStr">
        <is>
          <t>ND</t>
        </is>
      </c>
      <c r="L1268" s="1330" t="inlineStr">
        <is>
          <t>ND</t>
        </is>
      </c>
      <c r="M1268" s="1426" t="inlineStr">
        <is>
          <t>TBD</t>
        </is>
      </c>
      <c r="N1268" s="1291" t="inlineStr">
        <is>
          <t>Obligatoire sous conditions</t>
        </is>
      </c>
      <c r="O1268" s="1292" t="inlineStr">
        <is>
          <t>Mandatory under conditions</t>
        </is>
      </c>
      <c r="P1268" s="1334" t="inlineStr">
        <is>
          <t>LC.0005</t>
        </is>
      </c>
      <c r="Q1268" s="1354" t="inlineStr">
        <is>
          <t>TA NM253</t>
        </is>
      </c>
      <c r="R1268" s="1352" t="inlineStr">
        <is>
          <t>NA</t>
        </is>
      </c>
      <c r="S1268" s="1333" t="inlineStr">
        <is>
          <t>NA</t>
        </is>
      </c>
      <c r="T1268" s="1337" t="inlineStr">
        <is>
          <t>ALPHA</t>
        </is>
      </c>
      <c r="U1268" s="1337" t="inlineStr">
        <is>
          <t>NA</t>
        </is>
      </c>
      <c r="V1268" s="1338" t="inlineStr">
        <is>
          <t>NA</t>
        </is>
      </c>
      <c r="W1268" s="1337" t="n">
        <v>3</v>
      </c>
      <c r="X1268" s="1337" t="inlineStr">
        <is>
          <t>NA</t>
        </is>
      </c>
      <c r="Y1268" s="1339" t="n">
        <v>45</v>
      </c>
      <c r="Z1268" s="1334" t="inlineStr">
        <is>
          <t>NA</t>
        </is>
      </c>
      <c r="AA1268" s="1334" t="inlineStr">
        <is>
          <t>NA</t>
        </is>
      </c>
      <c r="AB1268" s="1331" t="inlineStr">
        <is>
          <t>BASE LGD</t>
        </is>
      </c>
      <c r="AC1268" s="1334" t="inlineStr">
        <is>
          <t>ND</t>
        </is>
      </c>
      <c r="AD1268" s="1334" t="inlineStr">
        <is>
          <t>N</t>
        </is>
      </c>
      <c r="AE1268" s="1334" t="inlineStr">
        <is>
          <t>NA</t>
        </is>
      </c>
      <c r="AF1268" s="1334" t="inlineStr">
        <is>
          <t>NA</t>
        </is>
      </c>
      <c r="AG1268" s="1340" t="inlineStr">
        <is>
          <t>NA</t>
        </is>
      </c>
      <c r="AH1268" s="1351" t="n"/>
      <c r="AI1268" s="1342" t="inlineStr">
        <is>
          <t>La donnée est obligatoire si Montant des prélèvements supplémentaires après le défaut [P2 608] est renseignée</t>
        </is>
      </c>
      <c r="AJ1268" s="1343" t="inlineStr">
        <is>
          <t>The data is mandatory if Amount of additional deductions after default [P2 608] data is filled</t>
        </is>
      </c>
      <c r="AK1268" s="1344" t="n">
        <v>7</v>
      </c>
      <c r="AL1268" s="1345" t="inlineStr">
        <is>
          <t>TPG0002</t>
        </is>
      </c>
      <c r="AM1268" s="1346" t="inlineStr">
        <is>
          <t>Si elle est renseignée, la valeur doit être connue du Langage Commun associé</t>
        </is>
      </c>
      <c r="AN1268" s="1347" t="inlineStr">
        <is>
          <t>If specified, the value must be known to the associated Common Language</t>
        </is>
      </c>
      <c r="AO1268" s="1348" t="n">
        <v>7</v>
      </c>
      <c r="AP1268" s="1324" t="inlineStr">
        <is>
          <t>TIG0001</t>
        </is>
      </c>
      <c r="AQ1268" s="1321" t="n"/>
      <c r="AR1268" s="1343" t="n"/>
      <c r="AS1268" s="1320" t="n"/>
      <c r="AT1268" s="1324" t="n"/>
      <c r="AU1268" s="1321" t="n"/>
      <c r="AV1268" s="1343" t="n"/>
      <c r="AW1268" s="1320" t="n"/>
      <c r="AX1268" s="1324" t="n"/>
      <c r="AY1268" s="1321" t="n"/>
      <c r="AZ1268" s="1349" t="n"/>
      <c r="BA1268" s="1344" t="n"/>
      <c r="BB1268" s="1324" t="n"/>
      <c r="BC1268" s="1321" t="n"/>
      <c r="BD1268" s="1350" t="n"/>
      <c r="BE1268" s="1344" t="n"/>
      <c r="BF1268" s="1324" t="n"/>
      <c r="BG1268" s="89" t="n"/>
      <c r="BH12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68">
        <f>_xlfn.LET(r,ROW(),oc,INDEX($A:$A,r),cv,TRIM(INDEX($Y:$Y,r)&amp;""),IF(oc&lt;&gt;"P1","",IF(cv="45","V45 - novo, nao alimentado pelo spool atual","V44 - alimentado pelo spool atual")))</f>
        <v/>
      </c>
    </row>
    <row r="1269" ht="54" customFormat="1" customHeight="1" s="90">
      <c r="A1269" s="1328" t="inlineStr">
        <is>
          <t>P2</t>
        </is>
      </c>
      <c r="B1269" s="1290" t="n">
        <v>372</v>
      </c>
      <c r="C1269" s="1329" t="inlineStr">
        <is>
          <t xml:space="preserve">08 - Caractéristiques d'arriérés et de restructuration </t>
        </is>
      </c>
      <c r="D1269" s="1330" t="inlineStr">
        <is>
          <t>08 - Characteristics of overdues and restructuring</t>
        </is>
      </c>
      <c r="E1269" s="1331" t="inlineStr">
        <is>
          <t>P2 609</t>
        </is>
      </c>
      <c r="F1269" s="1332" t="inlineStr">
        <is>
          <t>Date des prélèvements supplémentaires après le défaut</t>
        </is>
      </c>
      <c r="G1269" s="1333" t="inlineStr">
        <is>
          <t>Date of additional deductions after default</t>
        </is>
      </c>
      <c r="H1269" s="1333" t="n"/>
      <c r="I1269" s="1332" t="inlineStr">
        <is>
          <t>Date des prélèvements supplémentaires après le défaut</t>
        </is>
      </c>
      <c r="J1269" s="1333" t="inlineStr">
        <is>
          <t>Date of additional deductions after default</t>
        </is>
      </c>
      <c r="K1269" s="1334" t="inlineStr">
        <is>
          <t>ND</t>
        </is>
      </c>
      <c r="L1269" s="1330" t="inlineStr">
        <is>
          <t>ND</t>
        </is>
      </c>
      <c r="M1269" s="1426" t="inlineStr">
        <is>
          <t>TBD</t>
        </is>
      </c>
      <c r="N1269" s="1291" t="inlineStr">
        <is>
          <t>Obligatoire sous conditions</t>
        </is>
      </c>
      <c r="O1269" s="1292" t="inlineStr">
        <is>
          <t>Mandatory under conditions</t>
        </is>
      </c>
      <c r="P1269" s="1334" t="inlineStr">
        <is>
          <t>NA</t>
        </is>
      </c>
      <c r="Q1269" s="1334" t="inlineStr">
        <is>
          <t>NA</t>
        </is>
      </c>
      <c r="R1269" s="1352" t="inlineStr">
        <is>
          <t>NA</t>
        </is>
      </c>
      <c r="S1269" s="1333" t="inlineStr">
        <is>
          <t>NA</t>
        </is>
      </c>
      <c r="T1269" s="1337" t="inlineStr">
        <is>
          <t>DATE</t>
        </is>
      </c>
      <c r="U1269" s="1337" t="inlineStr">
        <is>
          <t>AAAAMMJJ</t>
        </is>
      </c>
      <c r="V1269" s="1313" t="inlineStr">
        <is>
          <t>YYYYMMDD</t>
        </is>
      </c>
      <c r="W1269" s="1337" t="n">
        <v>8</v>
      </c>
      <c r="X1269" s="1337" t="inlineStr">
        <is>
          <t>NA</t>
        </is>
      </c>
      <c r="Y1269" s="1339" t="n">
        <v>45</v>
      </c>
      <c r="Z1269" s="1334" t="inlineStr">
        <is>
          <t>NA</t>
        </is>
      </c>
      <c r="AA1269" s="1334" t="inlineStr">
        <is>
          <t>NA</t>
        </is>
      </c>
      <c r="AB1269" s="1331" t="inlineStr">
        <is>
          <t>BASE LGD</t>
        </is>
      </c>
      <c r="AC1269" s="1334" t="inlineStr">
        <is>
          <t>ND</t>
        </is>
      </c>
      <c r="AD1269" s="1334" t="inlineStr">
        <is>
          <t>N</t>
        </is>
      </c>
      <c r="AE1269" s="1334" t="inlineStr">
        <is>
          <t>NA</t>
        </is>
      </c>
      <c r="AF1269" s="1334" t="inlineStr">
        <is>
          <t>NA</t>
        </is>
      </c>
      <c r="AG1269" s="1340" t="inlineStr">
        <is>
          <t>NA</t>
        </is>
      </c>
      <c r="AH1269" s="1351" t="n"/>
      <c r="AI1269" s="1342" t="inlineStr">
        <is>
          <t>La donnée est obligatoire, si Indicateur Engagement en défaut [P2 5.2] = 'Y'</t>
        </is>
      </c>
      <c r="AJ1269" s="1343" t="inlineStr">
        <is>
          <t>The data is mandatory, if Defaulted commitments indicator [P2 5.2] = 'Y'</t>
        </is>
      </c>
      <c r="AK1269" s="1344" t="n">
        <v>6</v>
      </c>
      <c r="AL1269" s="1345" t="inlineStr">
        <is>
          <t>TPSxxx</t>
        </is>
      </c>
      <c r="AM1269" s="1321" t="n"/>
      <c r="AN1269" s="1343" t="n"/>
      <c r="AO1269" s="1344" t="n"/>
      <c r="AP1269" s="1319" t="n"/>
      <c r="AQ1269" s="1301" t="inlineStr">
        <is>
          <t>Si renseignée, la donnée doit être supérieure ou égale à '19000101'</t>
        </is>
      </c>
      <c r="AR1269" s="1302" t="inlineStr">
        <is>
          <t>If filled, data must be greater or equal to '19000101'</t>
        </is>
      </c>
      <c r="AS1269" s="1303" t="n">
        <v>7</v>
      </c>
      <c r="AT1269" s="1304" t="inlineStr">
        <is>
          <t>TVG0005</t>
        </is>
      </c>
      <c r="AU1269" s="1301" t="n"/>
      <c r="AV1269" s="1302" t="n"/>
      <c r="AW1269" s="1303" t="n"/>
      <c r="AX1269" s="1304" t="n"/>
      <c r="AY1269" s="1321" t="n"/>
      <c r="AZ1269" s="1349" t="n"/>
      <c r="BA1269" s="1344" t="n"/>
      <c r="BB1269" s="1324" t="n"/>
      <c r="BC1269" s="1321" t="n"/>
      <c r="BD1269" s="1350" t="n"/>
      <c r="BE1269" s="1344" t="n"/>
      <c r="BF1269" s="1324" t="n"/>
      <c r="BG1269" s="89" t="n"/>
      <c r="BH12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69">
        <f>_xlfn.LET(r,ROW(),oc,INDEX($A:$A,r),cv,TRIM(INDEX($Y:$Y,r)&amp;""),IF(oc&lt;&gt;"P1","",IF(cv="45","V45 - novo, nao alimentado pelo spool atual","V44 - alimentado pelo spool atual")))</f>
        <v/>
      </c>
    </row>
    <row r="1270" ht="54" customFormat="1" customHeight="1" s="90">
      <c r="A1270" s="1328" t="inlineStr">
        <is>
          <t>P2</t>
        </is>
      </c>
      <c r="B1270" s="1303" t="n">
        <v>373</v>
      </c>
      <c r="C1270" s="1329" t="inlineStr">
        <is>
          <t xml:space="preserve">08 - Caractéristiques d'arriérés et de restructuration </t>
        </is>
      </c>
      <c r="D1270" s="1330" t="inlineStr">
        <is>
          <t>08 - Characteristics of overdues and restructuring</t>
        </is>
      </c>
      <c r="E1270" s="1331" t="inlineStr">
        <is>
          <t>P2 610</t>
        </is>
      </c>
      <c r="F1270" s="1332" t="inlineStr">
        <is>
          <t>Montant des coûts directs associés à la procédure de recouvrement</t>
        </is>
      </c>
      <c r="G1270" s="1333" t="inlineStr">
        <is>
          <t>Amount of direct costs associated with the recovery process</t>
        </is>
      </c>
      <c r="H1270" s="1333" t="n"/>
      <c r="I1270" s="1332" t="inlineStr">
        <is>
          <t>Montant des coûts directs associés à la procédure de recouvrement (spécifique à la créance, frais d'huissiers, avocats, lettres de relance …). De façon générale, tout frais de recouvrement spécifique à la créance (tout ce qui ne relève pas des coûts de fonctionnement ou de structure type loyer, salaire/ETP, recours à un prestataire).</t>
        </is>
      </c>
      <c r="J1270" s="1333" t="inlineStr">
        <is>
          <t>Amount of direct costs associated with the recovery process</t>
        </is>
      </c>
      <c r="K1270" s="1334" t="inlineStr">
        <is>
          <t>ND</t>
        </is>
      </c>
      <c r="L1270" s="1330" t="inlineStr">
        <is>
          <t>ND</t>
        </is>
      </c>
      <c r="M1270" s="1426" t="inlineStr">
        <is>
          <t>TBD</t>
        </is>
      </c>
      <c r="N1270" s="1291" t="inlineStr">
        <is>
          <t>Obligatoire sous conditions</t>
        </is>
      </c>
      <c r="O1270" s="1292" t="inlineStr">
        <is>
          <t>Mandatory under conditions</t>
        </is>
      </c>
      <c r="P1270" s="1334" t="inlineStr">
        <is>
          <t>NA</t>
        </is>
      </c>
      <c r="Q1270" s="1334" t="inlineStr">
        <is>
          <t>NA</t>
        </is>
      </c>
      <c r="R1270" s="1352" t="inlineStr">
        <is>
          <t>NA</t>
        </is>
      </c>
      <c r="S1270" s="1333" t="inlineStr">
        <is>
          <t>NA</t>
        </is>
      </c>
      <c r="T1270" s="1337" t="inlineStr">
        <is>
          <t>NUM</t>
        </is>
      </c>
      <c r="U1270" s="1331" t="inlineStr">
        <is>
          <t>19 dont signe et 2 décimales</t>
        </is>
      </c>
      <c r="V1270" s="1353" t="inlineStr">
        <is>
          <t>19 including sign and 2 decimals</t>
        </is>
      </c>
      <c r="W1270" s="1337" t="n">
        <v>19</v>
      </c>
      <c r="X1270" s="1337" t="inlineStr">
        <is>
          <t>NA</t>
        </is>
      </c>
      <c r="Y1270" s="1339" t="n">
        <v>45</v>
      </c>
      <c r="Z1270" s="1334" t="inlineStr">
        <is>
          <t>NA</t>
        </is>
      </c>
      <c r="AA1270" s="1334" t="inlineStr">
        <is>
          <t>NA</t>
        </is>
      </c>
      <c r="AB1270" s="1331" t="inlineStr">
        <is>
          <t>BASE LGD</t>
        </is>
      </c>
      <c r="AC1270" s="1334" t="inlineStr">
        <is>
          <t>ND</t>
        </is>
      </c>
      <c r="AD1270" s="1334" t="inlineStr">
        <is>
          <t>N</t>
        </is>
      </c>
      <c r="AE1270" s="1334" t="inlineStr">
        <is>
          <t>NA</t>
        </is>
      </c>
      <c r="AF1270" s="1334" t="inlineStr">
        <is>
          <t>NA</t>
        </is>
      </c>
      <c r="AG1270" s="1340" t="inlineStr">
        <is>
          <t>NA</t>
        </is>
      </c>
      <c r="AH1270" s="1351" t="n"/>
      <c r="AI1270" s="1342" t="inlineStr">
        <is>
          <t>La donnée est obligatoire, si Indicateur Présence de recouvrement [P2 600] = 'Y'</t>
        </is>
      </c>
      <c r="AJ1270" s="1343" t="inlineStr">
        <is>
          <t>The data is mandatory, if Recovery Presence Indicator [P2 600] = 'Y'</t>
        </is>
      </c>
      <c r="AK1270" s="1344" t="n">
        <v>6</v>
      </c>
      <c r="AL1270" s="1345" t="inlineStr">
        <is>
          <t>TPSxxx</t>
        </is>
      </c>
      <c r="AM1270" s="1321" t="n"/>
      <c r="AN1270" s="1343" t="n"/>
      <c r="AO1270" s="1344" t="n"/>
      <c r="AP1270" s="1319" t="n"/>
      <c r="AQ1270" s="1321" t="n"/>
      <c r="AR1270" s="1343" t="n"/>
      <c r="AS1270" s="1320" t="n"/>
      <c r="AT1270" s="1324" t="n"/>
      <c r="AU1270" s="1321" t="n"/>
      <c r="AV1270" s="1343" t="n"/>
      <c r="AW1270" s="1320" t="n"/>
      <c r="AX1270" s="1324" t="n"/>
      <c r="AY1270" s="1321" t="n"/>
      <c r="AZ1270" s="1349" t="n"/>
      <c r="BA1270" s="1344" t="n"/>
      <c r="BB1270" s="1324" t="n"/>
      <c r="BC1270" s="1321" t="n"/>
      <c r="BD1270" s="1350" t="n"/>
      <c r="BE1270" s="1344" t="n"/>
      <c r="BF1270" s="1324" t="n"/>
      <c r="BG1270" s="89" t="n"/>
      <c r="BH12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70">
        <f>_xlfn.LET(r,ROW(),oc,INDEX($A:$A,r),cv,TRIM(INDEX($Y:$Y,r)&amp;""),IF(oc&lt;&gt;"P1","",IF(cv="45","V45 - novo, nao alimentado pelo spool atual","V44 - alimentado pelo spool atual")))</f>
        <v/>
      </c>
    </row>
    <row r="1271" ht="54" customFormat="1" customHeight="1" s="90">
      <c r="A1271" s="1328" t="inlineStr">
        <is>
          <t>P2</t>
        </is>
      </c>
      <c r="B1271" s="1290" t="n">
        <v>374</v>
      </c>
      <c r="C1271" s="1329" t="inlineStr">
        <is>
          <t xml:space="preserve">08 - Caractéristiques d'arriérés et de restructuration </t>
        </is>
      </c>
      <c r="D1271" s="1330" t="inlineStr">
        <is>
          <t>08 - Characteristics of overdues and restructuring</t>
        </is>
      </c>
      <c r="E1271" s="1331" t="inlineStr">
        <is>
          <t>P2 610.1</t>
        </is>
      </c>
      <c r="F1271" s="1332" t="inlineStr">
        <is>
          <t>Devise du montant des coûts directs associés à la procédure de recouvrement</t>
        </is>
      </c>
      <c r="G1271" s="1333" t="inlineStr">
        <is>
          <t>Currency of the amount of direct costs associated with the recovery process</t>
        </is>
      </c>
      <c r="H1271" s="1333" t="n"/>
      <c r="I1271" s="1332" t="inlineStr">
        <is>
          <t>Devise du montant des coûts directs associés à la procédure de recouvrement</t>
        </is>
      </c>
      <c r="J1271" s="1333" t="inlineStr">
        <is>
          <t>Currency of the amount of direct costs associated with the recovery process</t>
        </is>
      </c>
      <c r="K1271" s="1334" t="inlineStr">
        <is>
          <t>ND</t>
        </is>
      </c>
      <c r="L1271" s="1330" t="inlineStr">
        <is>
          <t>ND</t>
        </is>
      </c>
      <c r="M1271" s="1426" t="inlineStr">
        <is>
          <t>TBD</t>
        </is>
      </c>
      <c r="N1271" s="1291" t="inlineStr">
        <is>
          <t>Obligatoire sous conditions</t>
        </is>
      </c>
      <c r="O1271" s="1292" t="inlineStr">
        <is>
          <t>Mandatory under conditions</t>
        </is>
      </c>
      <c r="P1271" s="1334" t="inlineStr">
        <is>
          <t>LC.0005</t>
        </is>
      </c>
      <c r="Q1271" s="1354" t="inlineStr">
        <is>
          <t>TA NM253</t>
        </is>
      </c>
      <c r="R1271" s="1352" t="inlineStr">
        <is>
          <t>NA</t>
        </is>
      </c>
      <c r="S1271" s="1333" t="inlineStr">
        <is>
          <t>NA</t>
        </is>
      </c>
      <c r="T1271" s="1337" t="inlineStr">
        <is>
          <t>ALPHA</t>
        </is>
      </c>
      <c r="U1271" s="1337" t="inlineStr">
        <is>
          <t>NA</t>
        </is>
      </c>
      <c r="V1271" s="1338" t="inlineStr">
        <is>
          <t>NA</t>
        </is>
      </c>
      <c r="W1271" s="1337" t="n">
        <v>3</v>
      </c>
      <c r="X1271" s="1337" t="inlineStr">
        <is>
          <t>NA</t>
        </is>
      </c>
      <c r="Y1271" s="1339" t="n">
        <v>45</v>
      </c>
      <c r="Z1271" s="1334" t="inlineStr">
        <is>
          <t>NA</t>
        </is>
      </c>
      <c r="AA1271" s="1334" t="inlineStr">
        <is>
          <t>NA</t>
        </is>
      </c>
      <c r="AB1271" s="1331" t="inlineStr">
        <is>
          <t>BASE LGD</t>
        </is>
      </c>
      <c r="AC1271" s="1334" t="inlineStr">
        <is>
          <t>ND</t>
        </is>
      </c>
      <c r="AD1271" s="1334" t="inlineStr">
        <is>
          <t>N</t>
        </is>
      </c>
      <c r="AE1271" s="1334" t="inlineStr">
        <is>
          <t>NA</t>
        </is>
      </c>
      <c r="AF1271" s="1334" t="inlineStr">
        <is>
          <t>NA</t>
        </is>
      </c>
      <c r="AG1271" s="1340" t="inlineStr">
        <is>
          <t>NA</t>
        </is>
      </c>
      <c r="AH1271" s="1351" t="n"/>
      <c r="AI1271" s="1342" t="inlineStr">
        <is>
          <t>La donnée est obligatoire si Montant des coûts directs associés à la procédure de recouvrement [P2 610] est renseignée</t>
        </is>
      </c>
      <c r="AJ1271" s="1343" t="inlineStr">
        <is>
          <t>The data is mandatory if Amount of direct costs associated with the recovery process [P2 610] data is filled</t>
        </is>
      </c>
      <c r="AK1271" s="1344" t="n">
        <v>7</v>
      </c>
      <c r="AL1271" s="1345" t="inlineStr">
        <is>
          <t>TPG0002</t>
        </is>
      </c>
      <c r="AM1271" s="1346" t="inlineStr">
        <is>
          <t>Si elle est renseignée, la valeur doit être connue du Langage Commun associé</t>
        </is>
      </c>
      <c r="AN1271" s="1347" t="inlineStr">
        <is>
          <t>If specified, the value must be known to the associated Common Language</t>
        </is>
      </c>
      <c r="AO1271" s="1348" t="n">
        <v>7</v>
      </c>
      <c r="AP1271" s="1324" t="inlineStr">
        <is>
          <t>TIG0001</t>
        </is>
      </c>
      <c r="AQ1271" s="1321" t="n"/>
      <c r="AR1271" s="1343" t="n"/>
      <c r="AS1271" s="1320" t="n"/>
      <c r="AT1271" s="1324" t="n"/>
      <c r="AU1271" s="1321" t="n"/>
      <c r="AV1271" s="1343" t="n"/>
      <c r="AW1271" s="1320" t="n"/>
      <c r="AX1271" s="1324" t="n"/>
      <c r="AY1271" s="1321" t="n"/>
      <c r="AZ1271" s="1349" t="n"/>
      <c r="BA1271" s="1344" t="n"/>
      <c r="BB1271" s="1324" t="n"/>
      <c r="BC1271" s="1321" t="n"/>
      <c r="BD1271" s="1350" t="n"/>
      <c r="BE1271" s="1344" t="n"/>
      <c r="BF1271" s="1324" t="n"/>
      <c r="BG1271" s="89" t="n"/>
      <c r="BH12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71">
        <f>_xlfn.LET(r,ROW(),oc,INDEX($A:$A,r),cv,TRIM(INDEX($Y:$Y,r)&amp;""),IF(oc&lt;&gt;"P1","",IF(cv="45","V45 - novo, nao alimentado pelo spool atual","V44 - alimentado pelo spool atual")))</f>
        <v/>
      </c>
    </row>
    <row r="1272" ht="54" customFormat="1" customHeight="1" s="90">
      <c r="A1272" s="1328" t="inlineStr">
        <is>
          <t>P2</t>
        </is>
      </c>
      <c r="B1272" s="1303" t="n">
        <v>375</v>
      </c>
      <c r="C1272" s="1329" t="inlineStr">
        <is>
          <t xml:space="preserve">08 - Caractéristiques d'arriérés et de restructuration </t>
        </is>
      </c>
      <c r="D1272" s="1330" t="inlineStr">
        <is>
          <t>08 - Characteristics of overdues and restructuring</t>
        </is>
      </c>
      <c r="E1272" s="1331" t="inlineStr">
        <is>
          <t>P2 611</t>
        </is>
      </c>
      <c r="F1272" s="1332" t="inlineStr">
        <is>
          <t>Date des coûts directs associés à la procédure de recouvrement</t>
        </is>
      </c>
      <c r="G1272" s="1333" t="inlineStr">
        <is>
          <t>Date of direct costs associated with the recovery process</t>
        </is>
      </c>
      <c r="H1272" s="1333" t="n"/>
      <c r="I1272" s="1332" t="inlineStr">
        <is>
          <t>Date des coûts directs associés à la procédure de recouvrement</t>
        </is>
      </c>
      <c r="J1272" s="1333" t="inlineStr">
        <is>
          <t>Date of direct costs associated with the recovery process</t>
        </is>
      </c>
      <c r="K1272" s="1334" t="inlineStr">
        <is>
          <t>ND</t>
        </is>
      </c>
      <c r="L1272" s="1330" t="inlineStr">
        <is>
          <t>ND</t>
        </is>
      </c>
      <c r="M1272" s="1426" t="inlineStr">
        <is>
          <t>TBD</t>
        </is>
      </c>
      <c r="N1272" s="1291" t="inlineStr">
        <is>
          <t>Obligatoire sous conditions</t>
        </is>
      </c>
      <c r="O1272" s="1292" t="inlineStr">
        <is>
          <t>Mandatory under conditions</t>
        </is>
      </c>
      <c r="P1272" s="1334" t="inlineStr">
        <is>
          <t>NA</t>
        </is>
      </c>
      <c r="Q1272" s="1334" t="inlineStr">
        <is>
          <t>NA</t>
        </is>
      </c>
      <c r="R1272" s="1352" t="inlineStr">
        <is>
          <t>NA</t>
        </is>
      </c>
      <c r="S1272" s="1333" t="inlineStr">
        <is>
          <t>NA</t>
        </is>
      </c>
      <c r="T1272" s="1337" t="inlineStr">
        <is>
          <t>DATE</t>
        </is>
      </c>
      <c r="U1272" s="1337" t="inlineStr">
        <is>
          <t>AAAAMMJJ</t>
        </is>
      </c>
      <c r="V1272" s="1313" t="inlineStr">
        <is>
          <t>YYYYMMDD</t>
        </is>
      </c>
      <c r="W1272" s="1337" t="n">
        <v>8</v>
      </c>
      <c r="X1272" s="1337" t="inlineStr">
        <is>
          <t>NA</t>
        </is>
      </c>
      <c r="Y1272" s="1339" t="n">
        <v>45</v>
      </c>
      <c r="Z1272" s="1334" t="inlineStr">
        <is>
          <t>NA</t>
        </is>
      </c>
      <c r="AA1272" s="1334" t="inlineStr">
        <is>
          <t>NA</t>
        </is>
      </c>
      <c r="AB1272" s="1331" t="inlineStr">
        <is>
          <t>BASE LGD</t>
        </is>
      </c>
      <c r="AC1272" s="1334" t="inlineStr">
        <is>
          <t>ND</t>
        </is>
      </c>
      <c r="AD1272" s="1334" t="inlineStr">
        <is>
          <t>N</t>
        </is>
      </c>
      <c r="AE1272" s="1334" t="inlineStr">
        <is>
          <t>NA</t>
        </is>
      </c>
      <c r="AF1272" s="1334" t="inlineStr">
        <is>
          <t>NA</t>
        </is>
      </c>
      <c r="AG1272" s="1340" t="inlineStr">
        <is>
          <t>NA</t>
        </is>
      </c>
      <c r="AH1272" s="1351" t="n"/>
      <c r="AI1272" s="1342" t="inlineStr">
        <is>
          <t>La donnée est obligatoire, si Indicateur Présence de recouvrement [P2 600] = 'Y'</t>
        </is>
      </c>
      <c r="AJ1272" s="1343" t="inlineStr">
        <is>
          <t>The data is mandatory, if Recovery Presence Indicator [P2 600] = 'Y'</t>
        </is>
      </c>
      <c r="AK1272" s="1344" t="n">
        <v>6</v>
      </c>
      <c r="AL1272" s="1345" t="inlineStr">
        <is>
          <t>TPSxxx</t>
        </is>
      </c>
      <c r="AM1272" s="1321" t="n"/>
      <c r="AN1272" s="1343" t="n"/>
      <c r="AO1272" s="1344" t="n"/>
      <c r="AP1272" s="1319" t="n"/>
      <c r="AQ1272" s="1301" t="inlineStr">
        <is>
          <t>Si renseignée, la donnée doit être supérieure ou égale à '19000101'</t>
        </is>
      </c>
      <c r="AR1272" s="1302" t="inlineStr">
        <is>
          <t>If filled, data must be greater or equal to '19000101'</t>
        </is>
      </c>
      <c r="AS1272" s="1303" t="n">
        <v>7</v>
      </c>
      <c r="AT1272" s="1304" t="inlineStr">
        <is>
          <t>TVG0005</t>
        </is>
      </c>
      <c r="AU1272" s="1301" t="n"/>
      <c r="AV1272" s="1302" t="n"/>
      <c r="AW1272" s="1303" t="n"/>
      <c r="AX1272" s="1304" t="n"/>
      <c r="AY1272" s="1321" t="n"/>
      <c r="AZ1272" s="1349" t="n"/>
      <c r="BA1272" s="1344" t="n"/>
      <c r="BB1272" s="1324" t="n"/>
      <c r="BC1272" s="1321" t="n"/>
      <c r="BD1272" s="1350" t="n"/>
      <c r="BE1272" s="1344" t="n"/>
      <c r="BF1272" s="1324" t="n"/>
      <c r="BG1272" s="89" t="n"/>
      <c r="BH12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72">
        <f>_xlfn.LET(r,ROW(),oc,INDEX($A:$A,r),cv,TRIM(INDEX($Y:$Y,r)&amp;""),IF(oc&lt;&gt;"P1","",IF(cv="45","V45 - novo, nao alimentado pelo spool atual","V44 - alimentado pelo spool atual")))</f>
        <v/>
      </c>
    </row>
    <row r="1273" ht="54" customFormat="1" customHeight="1" s="90">
      <c r="A1273" s="1328" t="inlineStr">
        <is>
          <t>P2</t>
        </is>
      </c>
      <c r="B1273" s="1290" t="n">
        <v>376</v>
      </c>
      <c r="C1273" s="1329" t="inlineStr">
        <is>
          <t xml:space="preserve">08 - Caractéristiques d'arriérés et de restructuration </t>
        </is>
      </c>
      <c r="D1273" s="1330" t="inlineStr">
        <is>
          <t>08 - Characteristics of overdues and restructuring</t>
        </is>
      </c>
      <c r="E1273" s="1331" t="inlineStr">
        <is>
          <t>P2 612</t>
        </is>
      </c>
      <c r="F1273" s="1332" t="inlineStr">
        <is>
          <t>Montant des frais divers</t>
        </is>
      </c>
      <c r="G1273" s="1333" t="inlineStr">
        <is>
          <t>Amount of miscellaneous fees</t>
        </is>
      </c>
      <c r="H1273" s="1333" t="n"/>
      <c r="I1273" s="1332" t="inlineStr">
        <is>
          <t>Frais supplémentaires liés au non-respect des conditions du contrat (ex : retards de paiement)</t>
        </is>
      </c>
      <c r="J1273" s="1333" t="inlineStr">
        <is>
          <t>Additional costs related to non-compliance with contract conditions (e.g. late payment)</t>
        </is>
      </c>
      <c r="K1273" s="1334" t="inlineStr">
        <is>
          <t>ND</t>
        </is>
      </c>
      <c r="L1273" s="1330" t="inlineStr">
        <is>
          <t>ND</t>
        </is>
      </c>
      <c r="M1273" s="1426" t="inlineStr">
        <is>
          <t>TBD</t>
        </is>
      </c>
      <c r="N1273" s="1291" t="inlineStr">
        <is>
          <t>Obligatoire sous conditions</t>
        </is>
      </c>
      <c r="O1273" s="1292" t="inlineStr">
        <is>
          <t>Mandatory under conditions</t>
        </is>
      </c>
      <c r="P1273" s="1334" t="inlineStr">
        <is>
          <t>NA</t>
        </is>
      </c>
      <c r="Q1273" s="1334" t="inlineStr">
        <is>
          <t>NA</t>
        </is>
      </c>
      <c r="R1273" s="1352" t="inlineStr">
        <is>
          <t>En cas d'absence de frais, alimenter à zéro</t>
        </is>
      </c>
      <c r="S1273" s="1333" t="inlineStr">
        <is>
          <t>In case of no charge, feed to zero</t>
        </is>
      </c>
      <c r="T1273" s="1337" t="inlineStr">
        <is>
          <t>NUM</t>
        </is>
      </c>
      <c r="U1273" s="1331" t="inlineStr">
        <is>
          <t>19 dont signe et 2 décimales</t>
        </is>
      </c>
      <c r="V1273" s="1353" t="inlineStr">
        <is>
          <t>19 including sign and 2 decimals</t>
        </is>
      </c>
      <c r="W1273" s="1337" t="n">
        <v>19</v>
      </c>
      <c r="X1273" s="1337" t="inlineStr">
        <is>
          <t>NA</t>
        </is>
      </c>
      <c r="Y1273" s="1339" t="n">
        <v>45</v>
      </c>
      <c r="Z1273" s="1334" t="inlineStr">
        <is>
          <t>NA</t>
        </is>
      </c>
      <c r="AA1273" s="1334" t="inlineStr">
        <is>
          <t>NA</t>
        </is>
      </c>
      <c r="AB1273" s="1331" t="inlineStr">
        <is>
          <t>BASE LGD</t>
        </is>
      </c>
      <c r="AC1273" s="1334" t="inlineStr">
        <is>
          <t>ND</t>
        </is>
      </c>
      <c r="AD1273" s="1334" t="inlineStr">
        <is>
          <t>N</t>
        </is>
      </c>
      <c r="AE1273" s="1334" t="inlineStr">
        <is>
          <t>NA</t>
        </is>
      </c>
      <c r="AF1273" s="1334" t="inlineStr">
        <is>
          <t>NA</t>
        </is>
      </c>
      <c r="AG1273" s="1340" t="inlineStr">
        <is>
          <t>NA</t>
        </is>
      </c>
      <c r="AH1273" s="1351" t="n"/>
      <c r="AI1273" s="1342" t="inlineStr">
        <is>
          <t>La donnée est obligatoire, si Indicateur Engagement en défaut [P2 5.2] = 'Y'</t>
        </is>
      </c>
      <c r="AJ1273" s="1343" t="inlineStr">
        <is>
          <t>The data is mandatory, if Defaulted commitments indicator [P2 5.2] = 'Y'</t>
        </is>
      </c>
      <c r="AK1273" s="1344" t="n">
        <v>6</v>
      </c>
      <c r="AL1273" s="1345" t="inlineStr">
        <is>
          <t>TPSxxx</t>
        </is>
      </c>
      <c r="AM1273" s="1321" t="n"/>
      <c r="AN1273" s="1343" t="n"/>
      <c r="AO1273" s="1344" t="n"/>
      <c r="AP1273" s="1319" t="n"/>
      <c r="AQ1273" s="1321" t="n"/>
      <c r="AR1273" s="1343" t="n"/>
      <c r="AS1273" s="1320" t="n"/>
      <c r="AT1273" s="1324" t="n"/>
      <c r="AU1273" s="1321" t="n"/>
      <c r="AV1273" s="1343" t="n"/>
      <c r="AW1273" s="1320" t="n"/>
      <c r="AX1273" s="1324" t="n"/>
      <c r="AY1273" s="1321" t="n"/>
      <c r="AZ1273" s="1349" t="n"/>
      <c r="BA1273" s="1344" t="n"/>
      <c r="BB1273" s="1324" t="n"/>
      <c r="BC1273" s="1321" t="n"/>
      <c r="BD1273" s="1350" t="n"/>
      <c r="BE1273" s="1344" t="n"/>
      <c r="BF1273" s="1324" t="n"/>
      <c r="BG1273" s="89" t="n"/>
      <c r="BH12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73">
        <f>_xlfn.LET(r,ROW(),oc,INDEX($A:$A,r),cv,TRIM(INDEX($Y:$Y,r)&amp;""),IF(oc&lt;&gt;"P1","",IF(cv="45","V45 - novo, nao alimentado pelo spool atual","V44 - alimentado pelo spool atual")))</f>
        <v/>
      </c>
    </row>
    <row r="1274" ht="54" customFormat="1" customHeight="1" s="90">
      <c r="A1274" s="1328" t="inlineStr">
        <is>
          <t>P2</t>
        </is>
      </c>
      <c r="B1274" s="1303" t="n">
        <v>377</v>
      </c>
      <c r="C1274" s="1329" t="inlineStr">
        <is>
          <t xml:space="preserve">08 - Caractéristiques d'arriérés et de restructuration </t>
        </is>
      </c>
      <c r="D1274" s="1330" t="inlineStr">
        <is>
          <t>08 - Characteristics of overdues and restructuring</t>
        </is>
      </c>
      <c r="E1274" s="1331" t="inlineStr">
        <is>
          <t>P2 612.1</t>
        </is>
      </c>
      <c r="F1274" s="1332" t="inlineStr">
        <is>
          <t>Devise du montant des frais divers</t>
        </is>
      </c>
      <c r="G1274" s="1333" t="inlineStr">
        <is>
          <t>Currency of the amount of miscellaneous fees</t>
        </is>
      </c>
      <c r="H1274" s="1333" t="n"/>
      <c r="I1274" s="1332" t="inlineStr">
        <is>
          <t>Devise du montant des frais divers</t>
        </is>
      </c>
      <c r="J1274" s="1333" t="inlineStr">
        <is>
          <t>Currency of the amount of miscellaneous fees</t>
        </is>
      </c>
      <c r="K1274" s="1334" t="inlineStr">
        <is>
          <t>ND</t>
        </is>
      </c>
      <c r="L1274" s="1330" t="inlineStr">
        <is>
          <t>ND</t>
        </is>
      </c>
      <c r="M1274" s="1426" t="inlineStr">
        <is>
          <t>TBD</t>
        </is>
      </c>
      <c r="N1274" s="1291" t="inlineStr">
        <is>
          <t>Obligatoire sous conditions</t>
        </is>
      </c>
      <c r="O1274" s="1292" t="inlineStr">
        <is>
          <t>Mandatory under conditions</t>
        </is>
      </c>
      <c r="P1274" s="1334" t="inlineStr">
        <is>
          <t>LC.0005</t>
        </is>
      </c>
      <c r="Q1274" s="1354" t="inlineStr">
        <is>
          <t>TA NM253</t>
        </is>
      </c>
      <c r="R1274" s="1352" t="inlineStr">
        <is>
          <t>NA</t>
        </is>
      </c>
      <c r="S1274" s="1333" t="inlineStr">
        <is>
          <t>NA</t>
        </is>
      </c>
      <c r="T1274" s="1337" t="inlineStr">
        <is>
          <t>ALPHA</t>
        </is>
      </c>
      <c r="U1274" s="1337" t="inlineStr">
        <is>
          <t>NA</t>
        </is>
      </c>
      <c r="V1274" s="1338" t="inlineStr">
        <is>
          <t>NA</t>
        </is>
      </c>
      <c r="W1274" s="1337" t="n">
        <v>3</v>
      </c>
      <c r="X1274" s="1337" t="inlineStr">
        <is>
          <t>NA</t>
        </is>
      </c>
      <c r="Y1274" s="1339" t="n">
        <v>45</v>
      </c>
      <c r="Z1274" s="1334" t="inlineStr">
        <is>
          <t>NA</t>
        </is>
      </c>
      <c r="AA1274" s="1334" t="inlineStr">
        <is>
          <t>NA</t>
        </is>
      </c>
      <c r="AB1274" s="1331" t="inlineStr">
        <is>
          <t>BASE LGD</t>
        </is>
      </c>
      <c r="AC1274" s="1334" t="inlineStr">
        <is>
          <t>ND</t>
        </is>
      </c>
      <c r="AD1274" s="1334" t="inlineStr">
        <is>
          <t>N</t>
        </is>
      </c>
      <c r="AE1274" s="1334" t="inlineStr">
        <is>
          <t>NA</t>
        </is>
      </c>
      <c r="AF1274" s="1334" t="inlineStr">
        <is>
          <t>NA</t>
        </is>
      </c>
      <c r="AG1274" s="1340" t="inlineStr">
        <is>
          <t>NA</t>
        </is>
      </c>
      <c r="AH1274" s="1351" t="n"/>
      <c r="AI1274" s="1342" t="inlineStr">
        <is>
          <t>La donnée est obligatoire si Montant des frais divers [P2 612] est renseignée</t>
        </is>
      </c>
      <c r="AJ1274" s="1343" t="inlineStr">
        <is>
          <t>The data is mandatory if Amount of miscellaneous fees [P2 612] data is filled</t>
        </is>
      </c>
      <c r="AK1274" s="1344" t="n">
        <v>7</v>
      </c>
      <c r="AL1274" s="1345" t="inlineStr">
        <is>
          <t>TPG0002</t>
        </is>
      </c>
      <c r="AM1274" s="1346" t="inlineStr">
        <is>
          <t>Si elle est renseignée, la valeur doit être connue du Langage Commun associé</t>
        </is>
      </c>
      <c r="AN1274" s="1347" t="inlineStr">
        <is>
          <t>If specified, the value must be known to the associated Common Language</t>
        </is>
      </c>
      <c r="AO1274" s="1348" t="n">
        <v>7</v>
      </c>
      <c r="AP1274" s="1324" t="inlineStr">
        <is>
          <t>TIG0001</t>
        </is>
      </c>
      <c r="AQ1274" s="1321" t="n"/>
      <c r="AR1274" s="1343" t="n"/>
      <c r="AS1274" s="1320" t="n"/>
      <c r="AT1274" s="1324" t="n"/>
      <c r="AU1274" s="1321" t="n"/>
      <c r="AV1274" s="1343" t="n"/>
      <c r="AW1274" s="1320" t="n"/>
      <c r="AX1274" s="1324" t="n"/>
      <c r="AY1274" s="1321" t="n"/>
      <c r="AZ1274" s="1349" t="n"/>
      <c r="BA1274" s="1344" t="n"/>
      <c r="BB1274" s="1324" t="n"/>
      <c r="BC1274" s="1321" t="n"/>
      <c r="BD1274" s="1350" t="n"/>
      <c r="BE1274" s="1344" t="n"/>
      <c r="BF1274" s="1324" t="n"/>
      <c r="BG1274" s="89" t="n"/>
      <c r="BH12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74">
        <f>_xlfn.LET(r,ROW(),oc,INDEX($A:$A,r),cv,TRIM(INDEX($Y:$Y,r)&amp;""),IF(oc&lt;&gt;"P1","",IF(cv="45","V45 - novo, nao alimentado pelo spool atual","V44 - alimentado pelo spool atual")))</f>
        <v/>
      </c>
    </row>
    <row r="1275" ht="54" customFormat="1" customHeight="1" s="90">
      <c r="A1275" s="1355" t="inlineStr">
        <is>
          <t>P2</t>
        </is>
      </c>
      <c r="B1275" s="1290" t="n">
        <v>378</v>
      </c>
      <c r="C1275" s="1329" t="inlineStr">
        <is>
          <t>03 - Caractéristiques Générales</t>
        </is>
      </c>
      <c r="D1275" s="1330" t="inlineStr">
        <is>
          <t>03 - General characteristics</t>
        </is>
      </c>
      <c r="E1275" s="1331" t="inlineStr">
        <is>
          <t>P2 613</t>
        </is>
      </c>
      <c r="F1275" s="1332" t="inlineStr">
        <is>
          <t>Indicateur engagement renouvelable</t>
        </is>
      </c>
      <c r="G1275" s="1333" t="inlineStr">
        <is>
          <t>Renewable Engagement Indicator</t>
        </is>
      </c>
      <c r="H1275" s="1333" t="n"/>
      <c r="I1275" s="1356" t="inlineStr">
        <is>
          <t>Indique si un engagement est réputé "Renouvelable" au sens du CRR3 Article 166 8ter : Un engagement est réputé renouvelable lorsqu’il laisse à un débiteur la liberté de décider à quelle fréquence et selon quelle périodicité il souhaite utiliser son prêt, le débiteur étant ainsi autorisé à utiliser, rembourser et réutiliser les fonds qui lui ont été avancés. Les accords contractuels qui autorisent les paiements anticipés et les réutilisations ultérieures de ces paiements anticipés sont considérés comme renouvelables.</t>
        </is>
      </c>
      <c r="J1275" s="1357" t="inlineStr">
        <is>
          <t>indicates if a commitment is deemed 'revolving' according to CRR3 Article 166 8b : a commitment shall be deemed ‘revolving’ where it lets an obligor obtain a loan where the obligor has the flexibility to decide how often to withdraw from the loan and at what intervals, allowing the obligor to drawdown, repay and redraw loans advanced to it. Contractual arrangements that allow prepayments and subsequent redraws of those prepayments shall be considered revolving</t>
        </is>
      </c>
      <c r="K1275" s="1334" t="inlineStr">
        <is>
          <t>ND</t>
        </is>
      </c>
      <c r="L1275" s="1330" t="inlineStr">
        <is>
          <t>ND</t>
        </is>
      </c>
      <c r="M1275" s="1426" t="inlineStr">
        <is>
          <t>TBD</t>
        </is>
      </c>
      <c r="N1275" s="1331" t="inlineStr">
        <is>
          <t>Facultatif</t>
        </is>
      </c>
      <c r="O1275" s="1330" t="inlineStr">
        <is>
          <t>Optional</t>
        </is>
      </c>
      <c r="P1275" s="1334" t="inlineStr">
        <is>
          <t>LC.0580</t>
        </is>
      </c>
      <c r="Q1275" s="1334" t="inlineStr">
        <is>
          <t>RB KVIDEGRE</t>
        </is>
      </c>
      <c r="R1275" s="1352" t="inlineStr">
        <is>
          <t>NA</t>
        </is>
      </c>
      <c r="S1275" s="1333" t="inlineStr">
        <is>
          <t>NA</t>
        </is>
      </c>
      <c r="T1275" s="1337" t="inlineStr">
        <is>
          <t>ALPHA</t>
        </is>
      </c>
      <c r="U1275" s="1337" t="inlineStr">
        <is>
          <t>NA</t>
        </is>
      </c>
      <c r="V1275" s="1338" t="inlineStr">
        <is>
          <t>NA</t>
        </is>
      </c>
      <c r="W1275" s="1337" t="n">
        <v>1</v>
      </c>
      <c r="X1275" s="1337" t="inlineStr">
        <is>
          <t>NA</t>
        </is>
      </c>
      <c r="Y1275" s="1339" t="n">
        <v>45</v>
      </c>
      <c r="Z1275" s="1334" t="inlineStr">
        <is>
          <t>NA</t>
        </is>
      </c>
      <c r="AA1275" s="1334" t="inlineStr">
        <is>
          <t>NA</t>
        </is>
      </c>
      <c r="AB1275" s="1331" t="inlineStr">
        <is>
          <t>BASE LGD</t>
        </is>
      </c>
      <c r="AC1275" s="1334" t="inlineStr">
        <is>
          <t>ND</t>
        </is>
      </c>
      <c r="AD1275" s="1334" t="inlineStr">
        <is>
          <t>N</t>
        </is>
      </c>
      <c r="AE1275" s="1334" t="inlineStr">
        <is>
          <t>NA</t>
        </is>
      </c>
      <c r="AF1275" s="1334" t="inlineStr">
        <is>
          <t>NA</t>
        </is>
      </c>
      <c r="AG1275" s="1340" t="inlineStr">
        <is>
          <t>NA</t>
        </is>
      </c>
      <c r="AH1275" s="1351" t="n"/>
      <c r="AI1275" s="1342" t="n"/>
      <c r="AJ1275" s="1343" t="n"/>
      <c r="AK1275" s="1344" t="n"/>
      <c r="AL1275" s="1345" t="n"/>
      <c r="AM1275" s="1346" t="inlineStr">
        <is>
          <t>Si elle est renseignée, la valeur doit être connue du Langage Commun associé</t>
        </is>
      </c>
      <c r="AN1275" s="1347" t="inlineStr">
        <is>
          <t>If specified, the value must be known to the associated Common Language</t>
        </is>
      </c>
      <c r="AO1275" s="1348" t="n">
        <v>7</v>
      </c>
      <c r="AP1275" s="1324" t="inlineStr">
        <is>
          <t>TIG0001</t>
        </is>
      </c>
      <c r="AQ1275" s="1321" t="n"/>
      <c r="AR1275" s="1343" t="n"/>
      <c r="AS1275" s="1320" t="n"/>
      <c r="AT1275" s="1324" t="n"/>
      <c r="AU1275" s="1321" t="n"/>
      <c r="AV1275" s="1343" t="n"/>
      <c r="AW1275" s="1320" t="n"/>
      <c r="AX1275" s="1324" t="n"/>
      <c r="AY1275" s="1321" t="n"/>
      <c r="AZ1275" s="1349" t="n"/>
      <c r="BA1275" s="1344" t="n"/>
      <c r="BB1275" s="1324" t="n"/>
      <c r="BC1275" s="1321" t="n"/>
      <c r="BD1275" s="1350" t="n"/>
      <c r="BE1275" s="1344" t="n"/>
      <c r="BF1275" s="1324" t="n"/>
      <c r="BG1275" s="89" t="n"/>
      <c r="BH12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75">
        <f>_xlfn.LET(r,ROW(),oc,INDEX($A:$A,r),cv,TRIM(INDEX($Y:$Y,r)&amp;""),IF(oc&lt;&gt;"P1","",IF(cv="45","V45 - novo, nao alimentado pelo spool atual","V44 - alimentado pelo spool atual")))</f>
        <v/>
      </c>
    </row>
    <row r="1276" ht="54" customFormat="1" customHeight="1" s="90">
      <c r="A1276" s="1355" t="inlineStr">
        <is>
          <t>P2</t>
        </is>
      </c>
      <c r="B1276" s="1303" t="n">
        <v>379</v>
      </c>
      <c r="C1276" s="1329" t="inlineStr">
        <is>
          <t>31 - Paramètres bâlois</t>
        </is>
      </c>
      <c r="D1276" s="1330" t="inlineStr">
        <is>
          <t>31 - Basel settings</t>
        </is>
      </c>
      <c r="E1276" s="1331" t="inlineStr">
        <is>
          <t>P2 617</t>
        </is>
      </c>
      <c r="F1276" s="1332" t="inlineStr">
        <is>
          <t>Plan de roll-out</t>
        </is>
      </c>
      <c r="G1276" s="1333" t="inlineStr">
        <is>
          <t>Roll-out plan</t>
        </is>
      </c>
      <c r="H1276" s="1333" t="n"/>
      <c r="I1276" s="1356" t="inlineStr">
        <is>
          <t>Cet indicateur est demandé pour pouvoir alimenter l'état C08.07 du COREP (définition des périmètres d'utilisation des méthodes IRB et SA-CCR)</t>
        </is>
      </c>
      <c r="J1276" s="1357" t="inlineStr">
        <is>
          <t>This indicator is required to be able to feed the COREP status C08.07 (definition of the scope of use of the IRB and SA-CCR methods)</t>
        </is>
      </c>
      <c r="K1276" s="1334" t="inlineStr">
        <is>
          <t>ND</t>
        </is>
      </c>
      <c r="L1276" s="1330" t="inlineStr">
        <is>
          <t>ND</t>
        </is>
      </c>
      <c r="M1276" s="1426" t="inlineStr">
        <is>
          <t>TBD</t>
        </is>
      </c>
      <c r="N1276" s="1291" t="inlineStr">
        <is>
          <t>Obligatoire sous conditions</t>
        </is>
      </c>
      <c r="O1276" s="1292" t="inlineStr">
        <is>
          <t>Mandatory under conditions</t>
        </is>
      </c>
      <c r="P1276" s="1334" t="inlineStr">
        <is>
          <t>LC.0581</t>
        </is>
      </c>
      <c r="Q1276" s="1334" t="inlineStr">
        <is>
          <t>RB KVIDPROL</t>
        </is>
      </c>
      <c r="R1276" s="1352" t="inlineStr">
        <is>
          <t>Si Méthodologie bâloise [P2 1.1] ='STD' et Plan de roll-out inconnu, mettre '1'
Si Méthodologie bâloise [P2 1.1] = 'IRB A' ou 'IRB F' et plan de roll-out inconnu, mettre '2'</t>
        </is>
      </c>
      <c r="S1276" s="1333" t="inlineStr">
        <is>
          <t>If Basel Methodology [P2 1.1] ='STD' and Unknown Roll-out Plan, put '1'
If Basel Methodology [P2 1.1] = 'IRB A' or 'IRB F' and unknown roll-out plan, put '2'</t>
        </is>
      </c>
      <c r="T1276" s="1337" t="inlineStr">
        <is>
          <t>ALPHA</t>
        </is>
      </c>
      <c r="U1276" s="1337" t="inlineStr">
        <is>
          <t>NA</t>
        </is>
      </c>
      <c r="V1276" s="1338" t="inlineStr">
        <is>
          <t>NA</t>
        </is>
      </c>
      <c r="W1276" s="1337" t="n">
        <v>1</v>
      </c>
      <c r="X1276" s="1337" t="inlineStr">
        <is>
          <t>NA</t>
        </is>
      </c>
      <c r="Y1276" s="1339" t="n">
        <v>45</v>
      </c>
      <c r="Z1276" s="1334" t="inlineStr">
        <is>
          <t>NA</t>
        </is>
      </c>
      <c r="AA1276" s="1334" t="inlineStr">
        <is>
          <t>NA</t>
        </is>
      </c>
      <c r="AB1276" s="1331" t="inlineStr">
        <is>
          <t>CALCULS PRUDENTIELS</t>
        </is>
      </c>
      <c r="AC1276" s="1334" t="inlineStr">
        <is>
          <t>ND</t>
        </is>
      </c>
      <c r="AD1276" s="1334" t="inlineStr">
        <is>
          <t>N</t>
        </is>
      </c>
      <c r="AE1276" s="1334" t="inlineStr">
        <is>
          <t>NA</t>
        </is>
      </c>
      <c r="AF1276" s="1334" t="inlineStr">
        <is>
          <t>NA</t>
        </is>
      </c>
      <c r="AG1276" s="1340" t="inlineStr">
        <is>
          <t>NA</t>
        </is>
      </c>
      <c r="AH1276" s="1351" t="n"/>
      <c r="AI1276" s="1342" t="inlineStr">
        <is>
          <t>La donnée est obligatoire, si Méthodologie Bâloise [P2 1.1] = 'STD, IRB A, IRB F'</t>
        </is>
      </c>
      <c r="AJ1276" s="1343" t="inlineStr">
        <is>
          <t>The data is mandatory, if Basel methodology [P2 1.1] = 'STD, IRB A, IRB F'</t>
        </is>
      </c>
      <c r="AK1276" s="1344" t="n">
        <v>7</v>
      </c>
      <c r="AL1276" s="1345" t="inlineStr">
        <is>
          <t>TPSxxxx</t>
        </is>
      </c>
      <c r="AM1276" s="1346" t="inlineStr">
        <is>
          <t>Si elle est renseignée, la valeur doit être connue du Langage Commun associé</t>
        </is>
      </c>
      <c r="AN1276" s="1347" t="inlineStr">
        <is>
          <t>If specified, the value must be known to the associated Common Language</t>
        </is>
      </c>
      <c r="AO1276" s="1348" t="n">
        <v>7</v>
      </c>
      <c r="AP1276" s="1324" t="inlineStr">
        <is>
          <t>TIG0001</t>
        </is>
      </c>
      <c r="AQ1276" s="1321" t="n"/>
      <c r="AR1276" s="1343" t="n"/>
      <c r="AS1276" s="1320" t="n"/>
      <c r="AT1276" s="1324" t="n"/>
      <c r="AU1276" s="1321" t="n"/>
      <c r="AV1276" s="1343" t="n"/>
      <c r="AW1276" s="1320" t="n"/>
      <c r="AX1276" s="1324" t="n"/>
      <c r="AY1276" s="1321" t="n"/>
      <c r="AZ1276" s="1349" t="n"/>
      <c r="BA1276" s="1344" t="n"/>
      <c r="BB1276" s="1324" t="n"/>
      <c r="BC1276" s="1321" t="n"/>
      <c r="BD1276" s="1350" t="n"/>
      <c r="BE1276" s="1344" t="n"/>
      <c r="BF1276" s="1324" t="n"/>
      <c r="BG1276" s="89" t="n"/>
      <c r="BH12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76">
        <f>_xlfn.LET(r,ROW(),oc,INDEX($A:$A,r),cv,TRIM(INDEX($Y:$Y,r)&amp;""),IF(oc&lt;&gt;"P1","",IF(cv="45","V45 - novo, nao alimentado pelo spool atual","V44 - alimentado pelo spool atual")))</f>
        <v/>
      </c>
    </row>
    <row r="1277" ht="54" customFormat="1" customHeight="1" s="90">
      <c r="A1277" s="1355" t="inlineStr">
        <is>
          <t>P2</t>
        </is>
      </c>
      <c r="B1277" s="1290" t="n">
        <v>380</v>
      </c>
      <c r="C1277" s="1329" t="inlineStr">
        <is>
          <t>31 - Paramètres bâlois</t>
        </is>
      </c>
      <c r="D1277" s="1330" t="inlineStr">
        <is>
          <t>31 - Basel settings</t>
        </is>
      </c>
      <c r="E1277" s="1331" t="inlineStr">
        <is>
          <t>P2 618</t>
        </is>
      </c>
      <c r="F1277" s="1332" t="inlineStr">
        <is>
          <t>Type de crypto-actifs au sens de l'article 501 quinquies de CRR3</t>
        </is>
      </c>
      <c r="G1277" s="1333" t="inlineStr">
        <is>
          <t>Type of crypto-asset as defined in Article 501d of CRR3</t>
        </is>
      </c>
      <c r="H1277" s="1333" t="n"/>
      <c r="I1277" s="1356" t="inlineStr">
        <is>
          <t>Prise en compte de l'article 501 quinquies concernant les dispositions transitoires sur les crypto-actifs. 3 valeurs possibles</t>
        </is>
      </c>
      <c r="J1277" s="1357" t="inlineStr">
        <is>
          <t>Consideration of Article 501d concerning transitional provisions on crypto-assets. 3 possible values</t>
        </is>
      </c>
      <c r="K1277" s="1334" t="inlineStr">
        <is>
          <t>ND</t>
        </is>
      </c>
      <c r="L1277" s="1330" t="inlineStr">
        <is>
          <t>ND</t>
        </is>
      </c>
      <c r="M1277" s="1426" t="inlineStr">
        <is>
          <t>TBD</t>
        </is>
      </c>
      <c r="N1277" s="1331" t="inlineStr">
        <is>
          <t>Facultatif</t>
        </is>
      </c>
      <c r="O1277" s="1330" t="inlineStr">
        <is>
          <t>Optional</t>
        </is>
      </c>
      <c r="P1277" s="1334" t="inlineStr">
        <is>
          <t>LC.0582</t>
        </is>
      </c>
      <c r="Q1277" s="1334" t="inlineStr">
        <is>
          <t>RB KVTYCRYP</t>
        </is>
      </c>
      <c r="R1277" s="1352" t="inlineStr">
        <is>
          <t>NA</t>
        </is>
      </c>
      <c r="S1277" s="1333" t="inlineStr">
        <is>
          <t>NA</t>
        </is>
      </c>
      <c r="T1277" s="1337" t="inlineStr">
        <is>
          <t>ALPHA</t>
        </is>
      </c>
      <c r="U1277" s="1337" t="inlineStr">
        <is>
          <t>NA</t>
        </is>
      </c>
      <c r="V1277" s="1338" t="inlineStr">
        <is>
          <t>NA</t>
        </is>
      </c>
      <c r="W1277" s="1337" t="n">
        <v>1</v>
      </c>
      <c r="X1277" s="1337" t="inlineStr">
        <is>
          <t>NA</t>
        </is>
      </c>
      <c r="Y1277" s="1339" t="n">
        <v>45</v>
      </c>
      <c r="Z1277" s="1334" t="inlineStr">
        <is>
          <t>NA</t>
        </is>
      </c>
      <c r="AA1277" s="1334" t="inlineStr">
        <is>
          <t>NA</t>
        </is>
      </c>
      <c r="AB1277" s="1331" t="inlineStr">
        <is>
          <t>CALCULS PRUDENTIELS</t>
        </is>
      </c>
      <c r="AC1277" s="1334" t="inlineStr">
        <is>
          <t>ND</t>
        </is>
      </c>
      <c r="AD1277" s="1334" t="inlineStr">
        <is>
          <t>N</t>
        </is>
      </c>
      <c r="AE1277" s="1334" t="inlineStr">
        <is>
          <t>NA</t>
        </is>
      </c>
      <c r="AF1277" s="1334" t="inlineStr">
        <is>
          <t>NA</t>
        </is>
      </c>
      <c r="AG1277" s="1340" t="inlineStr">
        <is>
          <t>NA</t>
        </is>
      </c>
      <c r="AH1277" s="1351" t="n"/>
      <c r="AI1277" s="1342" t="n"/>
      <c r="AJ1277" s="1343" t="n"/>
      <c r="AK1277" s="1344" t="n"/>
      <c r="AL1277" s="1345" t="n"/>
      <c r="AM1277" s="1346" t="inlineStr">
        <is>
          <t>Si elle est renseignée, la valeur doit être connue du Langage Commun associé</t>
        </is>
      </c>
      <c r="AN1277" s="1347" t="inlineStr">
        <is>
          <t>If specified, the value must be known to the associated Common Language</t>
        </is>
      </c>
      <c r="AO1277" s="1348" t="n">
        <v>7</v>
      </c>
      <c r="AP1277" s="1324" t="inlineStr">
        <is>
          <t>TIG0001</t>
        </is>
      </c>
      <c r="AQ1277" s="1321" t="n"/>
      <c r="AR1277" s="1343" t="n"/>
      <c r="AS1277" s="1320" t="n"/>
      <c r="AT1277" s="1324" t="n"/>
      <c r="AU1277" s="1321" t="n"/>
      <c r="AV1277" s="1343" t="n"/>
      <c r="AW1277" s="1320" t="n"/>
      <c r="AX1277" s="1324" t="n"/>
      <c r="AY1277" s="1321" t="n"/>
      <c r="AZ1277" s="1349" t="n"/>
      <c r="BA1277" s="1344" t="n"/>
      <c r="BB1277" s="1324" t="n"/>
      <c r="BC1277" s="1321" t="n"/>
      <c r="BD1277" s="1350" t="n"/>
      <c r="BE1277" s="1344" t="n"/>
      <c r="BF1277" s="1324" t="n"/>
      <c r="BG1277" s="89" t="n"/>
      <c r="BH12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77">
        <f>_xlfn.LET(r,ROW(),oc,INDEX($A:$A,r),cv,TRIM(INDEX($Y:$Y,r)&amp;""),IF(oc&lt;&gt;"P1","",IF(cv="45","V45 - novo, nao alimentado pelo spool atual","V44 - alimentado pelo spool atual")))</f>
        <v/>
      </c>
    </row>
    <row r="1278" ht="54" customFormat="1" customHeight="1" s="90">
      <c r="A1278" s="1355" t="inlineStr">
        <is>
          <t>P2</t>
        </is>
      </c>
      <c r="B1278" s="1303" t="n">
        <v>381</v>
      </c>
      <c r="C1278" s="1329" t="inlineStr">
        <is>
          <t>31 - Paramètres bâlois</t>
        </is>
      </c>
      <c r="D1278" s="1330" t="inlineStr">
        <is>
          <t>31 - Basel settings</t>
        </is>
      </c>
      <c r="E1278" s="1331" t="inlineStr">
        <is>
          <t>P2 619</t>
        </is>
      </c>
      <c r="F1278" s="1332" t="inlineStr">
        <is>
          <t>Coefficient « Beta » pour modèles IRBA</t>
        </is>
      </c>
      <c r="G1278" s="1333" t="inlineStr">
        <is>
          <t>valeur forfaitaire correspondant à l'estimation directe du montant d’EAD s'il n'y a pas de CCF disponible
Une donnée propre aux modèles IRBA, corporate ou retail. Dans certains cas les modèles prennent en compte des coefficients « Beta » pour simuler un impact de type CCF. Il se présente sous la forme d’un montant. Il faudrait le prévoir dans le C3RD sur le P3T et en corporate sur les P1 et P2</t>
        </is>
      </c>
      <c r="H1278" s="1333" t="n"/>
      <c r="I1278" s="1332" t="inlineStr">
        <is>
          <t xml:space="preserve">Valeur forfaitaire correspondant à l'estimation directe du montant d’EAD s'il n'y a pas de CCF disponible
Une donnée propre aux modèles IRBA, corporate ou retail. Dans certains cas, les modèles prennent en compte des coefficients « Beta » pour simuler un impact de type CCF. </t>
        </is>
      </c>
      <c r="J1278" s="1333" t="inlineStr">
        <is>
          <t>Lump sum value corresponding to the direct estimate of the amount of EAD if there is no CCF available
Data specific to IRBA, corporate or retail models. In some cases, the models take into account “Beta” coefficients to simulate a CCF-type impact</t>
        </is>
      </c>
      <c r="K1278" s="1334" t="inlineStr">
        <is>
          <t>ND</t>
        </is>
      </c>
      <c r="L1278" s="1330" t="inlineStr">
        <is>
          <t>ND</t>
        </is>
      </c>
      <c r="M1278" s="1426" t="inlineStr">
        <is>
          <t>TBD</t>
        </is>
      </c>
      <c r="N1278" s="1331" t="inlineStr">
        <is>
          <t>Facultatif</t>
        </is>
      </c>
      <c r="O1278" s="1330" t="inlineStr">
        <is>
          <t>Optional</t>
        </is>
      </c>
      <c r="P1278" s="1334" t="inlineStr">
        <is>
          <t>NA</t>
        </is>
      </c>
      <c r="Q1278" s="1334" t="inlineStr">
        <is>
          <t>NA</t>
        </is>
      </c>
      <c r="R1278" s="1352" t="inlineStr">
        <is>
          <t>NA</t>
        </is>
      </c>
      <c r="S1278" s="1333" t="inlineStr">
        <is>
          <t>NA</t>
        </is>
      </c>
      <c r="T1278" s="1337" t="inlineStr">
        <is>
          <t>NUM</t>
        </is>
      </c>
      <c r="U1278" s="1331" t="inlineStr">
        <is>
          <t>19 dont signe et 2 décimales</t>
        </is>
      </c>
      <c r="V1278" s="1353" t="inlineStr">
        <is>
          <t>19 including sign and 2 decimals</t>
        </is>
      </c>
      <c r="W1278" s="1337" t="n">
        <v>19</v>
      </c>
      <c r="X1278" s="1337" t="inlineStr">
        <is>
          <t>NA</t>
        </is>
      </c>
      <c r="Y1278" s="1339" t="n">
        <v>45</v>
      </c>
      <c r="Z1278" s="1334" t="inlineStr">
        <is>
          <t>NA</t>
        </is>
      </c>
      <c r="AA1278" s="1334" t="inlineStr">
        <is>
          <t>NA</t>
        </is>
      </c>
      <c r="AB1278" s="1331" t="inlineStr">
        <is>
          <t>CALCULS PRUDENTIELS</t>
        </is>
      </c>
      <c r="AC1278" s="1334" t="inlineStr">
        <is>
          <t>ND</t>
        </is>
      </c>
      <c r="AD1278" s="1334" t="inlineStr">
        <is>
          <t>N</t>
        </is>
      </c>
      <c r="AE1278" s="1334" t="inlineStr">
        <is>
          <t>NA</t>
        </is>
      </c>
      <c r="AF1278" s="1334" t="inlineStr">
        <is>
          <t>NA</t>
        </is>
      </c>
      <c r="AG1278" s="1340" t="inlineStr">
        <is>
          <t>NA</t>
        </is>
      </c>
      <c r="AH1278" s="1351" t="n"/>
      <c r="AI1278" s="1342" t="n"/>
      <c r="AJ1278" s="1343" t="n"/>
      <c r="AK1278" s="1344" t="n"/>
      <c r="AL1278" s="1345" t="n"/>
      <c r="AM1278" s="1321" t="n"/>
      <c r="AN1278" s="1343" t="n"/>
      <c r="AO1278" s="1344" t="n"/>
      <c r="AP1278" s="1319" t="n"/>
      <c r="AQ1278" s="1321" t="n"/>
      <c r="AR1278" s="1343" t="n"/>
      <c r="AS1278" s="1320" t="n"/>
      <c r="AT1278" s="1324" t="n"/>
      <c r="AU1278" s="1321" t="n"/>
      <c r="AV1278" s="1343" t="n"/>
      <c r="AW1278" s="1320" t="n"/>
      <c r="AX1278" s="1324" t="n"/>
      <c r="AY1278" s="1321" t="n"/>
      <c r="AZ1278" s="1349" t="n"/>
      <c r="BA1278" s="1344" t="n"/>
      <c r="BB1278" s="1324" t="n"/>
      <c r="BC1278" s="1321" t="n"/>
      <c r="BD1278" s="1350" t="n"/>
      <c r="BE1278" s="1344" t="n"/>
      <c r="BF1278" s="1324" t="n"/>
      <c r="BG1278" s="89" t="n"/>
      <c r="BH12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78">
        <f>_xlfn.LET(r,ROW(),oc,INDEX($A:$A,r),cv,TRIM(INDEX($Y:$Y,r)&amp;""),IF(oc&lt;&gt;"P1","",IF(cv="45","V45 - novo, nao alimentado pelo spool atual","V44 - alimentado pelo spool atual")))</f>
        <v/>
      </c>
    </row>
    <row r="1279" ht="54" customFormat="1" customHeight="1" s="90">
      <c r="A1279" s="1328" t="inlineStr">
        <is>
          <t>P2</t>
        </is>
      </c>
      <c r="B1279" s="1290" t="n">
        <v>382</v>
      </c>
      <c r="C1279" s="1329" t="inlineStr">
        <is>
          <t>31 - Paramètres bâlois</t>
        </is>
      </c>
      <c r="D1279" s="1330" t="inlineStr">
        <is>
          <t>31 - Basel settings</t>
        </is>
      </c>
      <c r="E1279" s="1331" t="inlineStr">
        <is>
          <t>P2 620</t>
        </is>
      </c>
      <c r="F1279" s="1332" t="inlineStr">
        <is>
          <t>Indicateur Exposition financée en devise locale</t>
        </is>
      </c>
      <c r="G1279" s="1333" t="inlineStr">
        <is>
          <t>Exposure funded in local currency indicator</t>
        </is>
      </c>
      <c r="H1279" s="1333" t="n"/>
      <c r="I1279" s="1356" t="inlineStr">
        <is>
          <t>Cet indicateur sert à la vérification de l'application de l'article 114 de CRR3:
Pour les expositions sur les administrations centrales ou banques centrales, pour les pays équivalents à l'Union Européenne, l'établissement bancaire peut pondérer ses expositions de la même manière que l'autorité compétente du pays de résidence fiscale du Tiers dès lors que l'exposition est libellée et financée dans sa monnaie locale.
Cet indicateur permet d'indiquer que l'exposition est "financée" dans la monnaire locale soit par la collecte locale, soit via des instruments de couverture du risque de change (cross currency swaps)</t>
        </is>
      </c>
      <c r="J1279" s="1357" t="inlineStr">
        <is>
          <t>This indicator is used to verify the application of Article 114 of CRR3:
For exposures to central governments or central banks, for countries equivalent to the European Union, the banking institution may weight its exposures in the same way as the competent authority of the third party's country of tax residence, provided that the exposure is denominated and financed in its local currency.
This indicator indicates that the exposure is "financed" in the local currency either through local inflows or through cross currency swaps</t>
        </is>
      </c>
      <c r="K1279" s="1334" t="inlineStr">
        <is>
          <t>ND</t>
        </is>
      </c>
      <c r="L1279" s="1330" t="inlineStr">
        <is>
          <t>ND</t>
        </is>
      </c>
      <c r="M1279" s="1426" t="inlineStr">
        <is>
          <t>TBD</t>
        </is>
      </c>
      <c r="N1279" s="1331" t="inlineStr">
        <is>
          <t>Obligatoire</t>
        </is>
      </c>
      <c r="O1279" s="1330" t="inlineStr">
        <is>
          <t>Mandatory</t>
        </is>
      </c>
      <c r="P1279" s="1334" t="inlineStr">
        <is>
          <t>LC.0584</t>
        </is>
      </c>
      <c r="Q1279" s="1334" t="inlineStr">
        <is>
          <t>RB KVEXFIDE</t>
        </is>
      </c>
      <c r="R1279" s="1352" t="inlineStr">
        <is>
          <t>NA</t>
        </is>
      </c>
      <c r="S1279" s="1333" t="inlineStr">
        <is>
          <t>NA</t>
        </is>
      </c>
      <c r="T1279" s="1337" t="inlineStr">
        <is>
          <t>ALPHA</t>
        </is>
      </c>
      <c r="U1279" s="1337" t="inlineStr">
        <is>
          <t>NA</t>
        </is>
      </c>
      <c r="V1279" s="1338" t="inlineStr">
        <is>
          <t>NA</t>
        </is>
      </c>
      <c r="W1279" s="1337" t="n">
        <v>1</v>
      </c>
      <c r="X1279" s="1337" t="inlineStr">
        <is>
          <t>NA</t>
        </is>
      </c>
      <c r="Y1279" s="1339" t="n">
        <v>45</v>
      </c>
      <c r="Z1279" s="1334" t="inlineStr">
        <is>
          <t>NA</t>
        </is>
      </c>
      <c r="AA1279" s="1334" t="inlineStr">
        <is>
          <t>NA</t>
        </is>
      </c>
      <c r="AB1279" s="1331" t="inlineStr">
        <is>
          <t>CALCULS PRUDENTIELS</t>
        </is>
      </c>
      <c r="AC1279" s="1334" t="inlineStr">
        <is>
          <t>ND</t>
        </is>
      </c>
      <c r="AD1279" s="1334" t="inlineStr">
        <is>
          <t>N</t>
        </is>
      </c>
      <c r="AE1279" s="1334" t="inlineStr">
        <is>
          <t>NA</t>
        </is>
      </c>
      <c r="AF1279" s="1334" t="inlineStr">
        <is>
          <t>NA</t>
        </is>
      </c>
      <c r="AG1279" s="1340" t="inlineStr">
        <is>
          <t>NA</t>
        </is>
      </c>
      <c r="AH1279" s="1351" t="n"/>
      <c r="AI1279" s="1342" t="inlineStr">
        <is>
          <t>La donnée est obligatoire</t>
        </is>
      </c>
      <c r="AJ1279" s="1343" t="inlineStr">
        <is>
          <t>The data is mandatory</t>
        </is>
      </c>
      <c r="AK1279" s="1344" t="n">
        <v>7</v>
      </c>
      <c r="AL1279" s="1345" t="inlineStr">
        <is>
          <t>TPG0001</t>
        </is>
      </c>
      <c r="AM1279" s="1346" t="inlineStr">
        <is>
          <t>Si elle est renseignée, la valeur doit être connue du Langage Commun associé</t>
        </is>
      </c>
      <c r="AN1279" s="1347" t="inlineStr">
        <is>
          <t>If specified, the value must be known to the associated Common Language</t>
        </is>
      </c>
      <c r="AO1279" s="1348" t="n">
        <v>7</v>
      </c>
      <c r="AP1279" s="1324" t="inlineStr">
        <is>
          <t>TIG0001</t>
        </is>
      </c>
      <c r="AQ1279" s="1321" t="n"/>
      <c r="AR1279" s="1343" t="n"/>
      <c r="AS1279" s="1320" t="n"/>
      <c r="AT1279" s="1324" t="n"/>
      <c r="AU1279" s="1321" t="n"/>
      <c r="AV1279" s="1343" t="n"/>
      <c r="AW1279" s="1320" t="n"/>
      <c r="AX1279" s="1324" t="n"/>
      <c r="AY1279" s="1321" t="n"/>
      <c r="AZ1279" s="1349" t="n"/>
      <c r="BA1279" s="1344" t="n"/>
      <c r="BB1279" s="1324" t="n"/>
      <c r="BC1279" s="1321" t="n"/>
      <c r="BD1279" s="1350" t="n"/>
      <c r="BE1279" s="1344" t="n"/>
      <c r="BF1279" s="1324" t="n"/>
      <c r="BG1279" s="89" t="n"/>
      <c r="BH12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79">
        <f>_xlfn.LET(r,ROW(),oc,INDEX($A:$A,r),cv,TRIM(INDEX($Y:$Y,r)&amp;""),IF(oc&lt;&gt;"P1","",IF(cv="45","V45 - novo, nao alimentado pelo spool atual","V44 - alimentado pelo spool atual")))</f>
        <v/>
      </c>
    </row>
    <row r="1280" ht="54" customFormat="1" customHeight="1" s="90">
      <c r="A1280" s="1355" t="inlineStr">
        <is>
          <t>P2</t>
        </is>
      </c>
      <c r="B1280" s="1303" t="n">
        <v>383</v>
      </c>
      <c r="C1280" s="1329" t="inlineStr">
        <is>
          <t>31 - Paramètres bâlois</t>
        </is>
      </c>
      <c r="D1280" s="1330" t="inlineStr">
        <is>
          <t>31 - Basel settings</t>
        </is>
      </c>
      <c r="E1280" s="1331" t="inlineStr">
        <is>
          <t>P2 635</t>
        </is>
      </c>
      <c r="F1280" s="1332" t="inlineStr">
        <is>
          <t>Indicateur Facteur de Conversion de Crédit (CCF) modèle interne</t>
        </is>
      </c>
      <c r="G1280" s="1333" t="inlineStr">
        <is>
          <t>Credit Conversion Factor (CCF) indicator internal model</t>
        </is>
      </c>
      <c r="H1280" s="1333" t="n"/>
      <c r="I1280" s="1356" t="inlineStr">
        <is>
          <t>Indicateur pour indiquer si le Facteur de Conversion de Crédit (CCF) est issu d'un modèle interne. Cet indicateur sera utilisé pour alimenter la colonne 0101 des états COREP IRB C08.01 et C08.02</t>
        </is>
      </c>
      <c r="J1280" s="1357" t="inlineStr">
        <is>
          <t>Indicator to indicate whether the Credit Conversion Factor (CCF) is derived from an internal model. This indicator will be used to supply column 0101 of the COREP IRB C08.01 and C08.02 reports</t>
        </is>
      </c>
      <c r="K1280" s="1334" t="inlineStr">
        <is>
          <t>ND</t>
        </is>
      </c>
      <c r="L1280" s="1330" t="inlineStr">
        <is>
          <t>ND</t>
        </is>
      </c>
      <c r="M1280" s="1426" t="inlineStr">
        <is>
          <t>TBD</t>
        </is>
      </c>
      <c r="N1280" s="1291" t="inlineStr">
        <is>
          <t>Obligatoire sous conditions</t>
        </is>
      </c>
      <c r="O1280" s="1292" t="inlineStr">
        <is>
          <t>Mandatory under conditions</t>
        </is>
      </c>
      <c r="P1280" s="1334" t="inlineStr">
        <is>
          <t>LC.0585</t>
        </is>
      </c>
      <c r="Q1280" s="1334" t="inlineStr">
        <is>
          <t>RB KVIDCCFM</t>
        </is>
      </c>
      <c r="R1280" s="1352" t="inlineStr">
        <is>
          <t>NA</t>
        </is>
      </c>
      <c r="S1280" s="1333" t="inlineStr">
        <is>
          <t>NA</t>
        </is>
      </c>
      <c r="T1280" s="1337" t="inlineStr">
        <is>
          <t>ALPHA</t>
        </is>
      </c>
      <c r="U1280" s="1337" t="inlineStr">
        <is>
          <t>NA</t>
        </is>
      </c>
      <c r="V1280" s="1338" t="inlineStr">
        <is>
          <t>NA</t>
        </is>
      </c>
      <c r="W1280" s="1337" t="n">
        <v>1</v>
      </c>
      <c r="X1280" s="1337" t="inlineStr">
        <is>
          <t>NA</t>
        </is>
      </c>
      <c r="Y1280" s="1339" t="n">
        <v>45</v>
      </c>
      <c r="Z1280" s="1334" t="inlineStr">
        <is>
          <t>NA</t>
        </is>
      </c>
      <c r="AA1280" s="1334" t="inlineStr">
        <is>
          <t>NA</t>
        </is>
      </c>
      <c r="AB1280" s="1331" t="inlineStr">
        <is>
          <t>CALCULS PRUDENTIELS</t>
        </is>
      </c>
      <c r="AC1280" s="1334" t="inlineStr">
        <is>
          <t>ND</t>
        </is>
      </c>
      <c r="AD1280" s="1334" t="inlineStr">
        <is>
          <t>N</t>
        </is>
      </c>
      <c r="AE1280" s="1334" t="inlineStr">
        <is>
          <t>NA</t>
        </is>
      </c>
      <c r="AF1280" s="1334" t="inlineStr">
        <is>
          <t>NA</t>
        </is>
      </c>
      <c r="AG1280" s="1340" t="inlineStr">
        <is>
          <t>NA</t>
        </is>
      </c>
      <c r="AH1280" s="1351" t="n"/>
      <c r="AI1280" s="1342" t="inlineStr">
        <is>
          <t>La donnée est obligatoire, si type de risque [P2 2.0] = 'SIG*' ET si Méthodologie Bâloise [P2 1.1] = 'IRB A'</t>
        </is>
      </c>
      <c r="AJ1280" s="1343" t="inlineStr">
        <is>
          <t>The data is mandatory, if Risk type [P2 2.0] = 'SIG*' AND if Basel methodology [P2 1.1] = 'IRB A'</t>
        </is>
      </c>
      <c r="AK1280" s="1344" t="n">
        <v>7</v>
      </c>
      <c r="AL1280" s="1345" t="inlineStr">
        <is>
          <t>TPSxxxx</t>
        </is>
      </c>
      <c r="AM1280" s="1346" t="inlineStr">
        <is>
          <t>Si elle est renseignée, la valeur doit être connue du Langage Commun associé</t>
        </is>
      </c>
      <c r="AN1280" s="1347" t="inlineStr">
        <is>
          <t>If specified, the value must be known to the associated Common Language</t>
        </is>
      </c>
      <c r="AO1280" s="1348" t="n">
        <v>7</v>
      </c>
      <c r="AP1280" s="1324" t="inlineStr">
        <is>
          <t>TIG0001</t>
        </is>
      </c>
      <c r="AQ1280" s="1321" t="n"/>
      <c r="AR1280" s="1343" t="n"/>
      <c r="AS1280" s="1320" t="n"/>
      <c r="AT1280" s="1324" t="n"/>
      <c r="AU1280" s="1321" t="n"/>
      <c r="AV1280" s="1343" t="n"/>
      <c r="AW1280" s="1320" t="n"/>
      <c r="AX1280" s="1324" t="n"/>
      <c r="AY1280" s="1321" t="n"/>
      <c r="AZ1280" s="1349" t="n"/>
      <c r="BA1280" s="1344" t="n"/>
      <c r="BB1280" s="1324" t="n"/>
      <c r="BC1280" s="1321" t="n"/>
      <c r="BD1280" s="1350" t="n"/>
      <c r="BE1280" s="1344" t="n"/>
      <c r="BF1280" s="1324" t="n"/>
      <c r="BG1280" s="89" t="n"/>
      <c r="BH12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80">
        <f>_xlfn.LET(r,ROW(),oc,INDEX($A:$A,r),cv,TRIM(INDEX($Y:$Y,r)&amp;""),IF(oc&lt;&gt;"P1","",IF(cv="45","V45 - novo, nao alimentado pelo spool atual","V44 - alimentado pelo spool atual")))</f>
        <v/>
      </c>
    </row>
    <row r="1281" ht="54" customFormat="1" customHeight="1" s="90">
      <c r="A1281" s="1328" t="inlineStr">
        <is>
          <t>P2</t>
        </is>
      </c>
      <c r="B1281" s="1290" t="n">
        <v>384</v>
      </c>
      <c r="C1281" s="1329" t="inlineStr">
        <is>
          <t>11 - Caractéristiques Opérations à effet de levier</t>
        </is>
      </c>
      <c r="D1281" s="1330" t="inlineStr">
        <is>
          <t>11 - Leveraged Operations characteristics</t>
        </is>
      </c>
      <c r="E1281" s="1331" t="inlineStr">
        <is>
          <t>P2 625</t>
        </is>
      </c>
      <c r="F1281" s="1332" t="inlineStr">
        <is>
          <t>Note estimée du groupe de risque à l'origination des financements LBO/FSA</t>
        </is>
      </c>
      <c r="G1281" s="1333" t="inlineStr">
        <is>
          <t>Nor Group at the origination of LBOs/FSAs operations</t>
        </is>
      </c>
      <c r="H1281" s="1333" t="n"/>
      <c r="I1281" s="1356" t="inlineStr">
        <is>
          <t>Note estimée à l'origination du groupe de risque, après mise en place du financement d'acquisition LBO/FSA.
(note calculée lors du montage du dossier de crédit).</t>
        </is>
      </c>
      <c r="J1281" s="1357" t="inlineStr">
        <is>
          <t>NOR group during the creation/implementation of acquisition financing. This data is specific to the LBO/FSA perimeter.</t>
        </is>
      </c>
      <c r="K1281" s="1334" t="inlineStr">
        <is>
          <t>ND</t>
        </is>
      </c>
      <c r="L1281" s="1330" t="inlineStr">
        <is>
          <t>ND</t>
        </is>
      </c>
      <c r="M1281" s="1426" t="inlineStr">
        <is>
          <t>TBD</t>
        </is>
      </c>
      <c r="N1281" s="1291" t="inlineStr">
        <is>
          <t>Obligatoire sous conditions</t>
        </is>
      </c>
      <c r="O1281" s="1292" t="inlineStr">
        <is>
          <t>Mandatory under conditions</t>
        </is>
      </c>
      <c r="P1281" s="1334" t="inlineStr">
        <is>
          <t>LC.0006</t>
        </is>
      </c>
      <c r="Q1281" s="1334" t="inlineStr">
        <is>
          <t>TA NM648</t>
        </is>
      </c>
      <c r="R1281" s="1358" t="inlineStr">
        <is>
          <t xml:space="preserve">Identifier la NOR du groupe de risque à l'origination (signature du contrat) incluant tout l’endettement connu, y compris le nouveau financement d'acquisition (bilan et hors bilan) pour les financements de type LBO/FSA. </t>
        </is>
      </c>
      <c r="S1281" s="1359" t="inlineStr">
        <is>
          <t>Identify the NOR group at origination (contract signing), including all known debt, including the new acquisition financing (on- and off-balance sheet) for LBO/FSA-type financing.</t>
        </is>
      </c>
      <c r="T1281" s="1337" t="inlineStr">
        <is>
          <t>ALPHA</t>
        </is>
      </c>
      <c r="U1281" s="1337" t="inlineStr">
        <is>
          <t>NA</t>
        </is>
      </c>
      <c r="V1281" s="1338" t="inlineStr">
        <is>
          <t>NA</t>
        </is>
      </c>
      <c r="W1281" s="1337" t="n">
        <v>2</v>
      </c>
      <c r="X1281" s="1337" t="inlineStr">
        <is>
          <t>NA</t>
        </is>
      </c>
      <c r="Y1281" s="1339" t="n">
        <v>45</v>
      </c>
      <c r="Z1281" s="1334" t="inlineStr">
        <is>
          <t>NA</t>
        </is>
      </c>
      <c r="AA1281" s="1334" t="inlineStr">
        <is>
          <t>NA</t>
        </is>
      </c>
      <c r="AB1281" s="1331" t="inlineStr">
        <is>
          <t>FEL</t>
        </is>
      </c>
      <c r="AC1281" s="1334" t="inlineStr">
        <is>
          <t>ND</t>
        </is>
      </c>
      <c r="AD1281" s="1334" t="inlineStr">
        <is>
          <t>N</t>
        </is>
      </c>
      <c r="AE1281" s="1334" t="inlineStr">
        <is>
          <t>NA</t>
        </is>
      </c>
      <c r="AF1281" s="1334" t="inlineStr">
        <is>
          <t>NA</t>
        </is>
      </c>
      <c r="AG1281" s="1340" t="inlineStr">
        <is>
          <t>NA</t>
        </is>
      </c>
      <c r="AH1281" s="1351" t="n"/>
      <c r="AI1281" s="1342" t="inlineStr">
        <is>
          <t>La donnée est obligatoire, si Indicateur opération effet de levier [P2 28.1] = '1,2'</t>
        </is>
      </c>
      <c r="AJ1281" s="1343" t="inlineStr">
        <is>
          <t>The data is mandatory, if Leveraged transaction Indicator [P2 28.1] = '1,2'</t>
        </is>
      </c>
      <c r="AK1281" s="1344" t="n">
        <v>6</v>
      </c>
      <c r="AL1281" s="1345" t="inlineStr">
        <is>
          <t>TPSxxxx</t>
        </is>
      </c>
      <c r="AM1281" s="1346" t="inlineStr">
        <is>
          <t>Si elle est renseignée, la valeur doit être connue du Langage Commun associé</t>
        </is>
      </c>
      <c r="AN1281" s="1347" t="inlineStr">
        <is>
          <t>If specified, the value must be known to the associated Common Language</t>
        </is>
      </c>
      <c r="AO1281" s="1348" t="n">
        <v>7</v>
      </c>
      <c r="AP1281" s="1324" t="inlineStr">
        <is>
          <t>TIG0001</t>
        </is>
      </c>
      <c r="AQ1281" s="1321" t="n"/>
      <c r="AR1281" s="1343" t="n"/>
      <c r="AS1281" s="1320" t="n"/>
      <c r="AT1281" s="1324" t="n"/>
      <c r="AU1281" s="1321" t="n"/>
      <c r="AV1281" s="1343" t="n"/>
      <c r="AW1281" s="1320" t="n"/>
      <c r="AX1281" s="1324" t="n"/>
      <c r="AY1281" s="1321" t="n"/>
      <c r="AZ1281" s="1349" t="n"/>
      <c r="BA1281" s="1344" t="n"/>
      <c r="BB1281" s="1324" t="n"/>
      <c r="BC1281" s="1321" t="n"/>
      <c r="BD1281" s="1350" t="n"/>
      <c r="BE1281" s="1344" t="n"/>
      <c r="BF1281" s="1324" t="n"/>
      <c r="BG1281" s="89" t="n"/>
      <c r="BH12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81">
        <f>_xlfn.LET(r,ROW(),oc,INDEX($A:$A,r),cv,TRIM(INDEX($Y:$Y,r)&amp;""),IF(oc&lt;&gt;"P1","",IF(cv="45","V45 - novo, nao alimentado pelo spool atual","V44 - alimentado pelo spool atual")))</f>
        <v/>
      </c>
    </row>
    <row r="1282" ht="54" customFormat="1" customHeight="1" s="90">
      <c r="A1282" s="1328" t="inlineStr">
        <is>
          <t>P2</t>
        </is>
      </c>
      <c r="B1282" s="1303" t="n">
        <v>385</v>
      </c>
      <c r="C1282" s="1329" t="inlineStr">
        <is>
          <t>11 - Caractéristiques Opérations à effet de levier</t>
        </is>
      </c>
      <c r="D1282" s="1330" t="inlineStr">
        <is>
          <t>11 - Leveraged Operations characteristics</t>
        </is>
      </c>
      <c r="E1282" s="1331" t="inlineStr">
        <is>
          <t>P2 626</t>
        </is>
      </c>
      <c r="F1282" s="1332" t="inlineStr">
        <is>
          <t>Indicateur nouvelle production (trimestriel)</t>
        </is>
      </c>
      <c r="G1282" s="1333" t="inlineStr">
        <is>
          <t>New production indicator (quarterly)</t>
        </is>
      </c>
      <c r="H1282" s="1333" t="n"/>
      <c r="I1282" s="1356" t="inlineStr">
        <is>
          <t>Indique si le contrat a été produit durant le dernier trimestre glissant intégrant toute nouvelle production sur l'ensemble des financements pour lesquels des documents d'engagement ont été signés par l'entité au cours de la période (committed lines) y compris les refinancements, les recapitalisations et les restructurations.</t>
        </is>
      </c>
      <c r="J1282" s="1357" t="inlineStr">
        <is>
          <t>Indicates whether the contract was produced during the last rolling quarter, including any new production across all financings for which commitment documents were signed by the entity during the period (committed lines), including refinancing, recapitalizations, and restructurings.</t>
        </is>
      </c>
      <c r="K1282" s="1334" t="inlineStr">
        <is>
          <t>ND</t>
        </is>
      </c>
      <c r="L1282" s="1330" t="inlineStr">
        <is>
          <t>ND</t>
        </is>
      </c>
      <c r="M1282" s="1426" t="inlineStr">
        <is>
          <t>TBD</t>
        </is>
      </c>
      <c r="N1282" s="1291" t="inlineStr">
        <is>
          <t>Obligatoire sous conditions</t>
        </is>
      </c>
      <c r="O1282" s="1292" t="inlineStr">
        <is>
          <t>Mandatory under conditions</t>
        </is>
      </c>
      <c r="P1282" s="1334" t="inlineStr">
        <is>
          <t>LC.0592</t>
        </is>
      </c>
      <c r="Q1282" s="1334" t="inlineStr">
        <is>
          <t>RB KVIDNPTR</t>
        </is>
      </c>
      <c r="R1282" s="1352" t="inlineStr">
        <is>
          <t>Sont à intégrer dans la nouvelle production du trimestre tous les nouveaux financements « originés » sur le trimestre concerné (date d’origination = date de signature du contrat) – incluant les nouveaux financements, les refinancements et les restructurations.
Le critère déterminant est donc la signature du contrat pendant le trimestre en question, indépendamment de la date de déblocage des fonds ou de la mise en place effective du financement. (= date de l'engagement contractuel formalisé par la signature, qui représente le moment où l'accord est officiellement conclu entre l'établissement et le client).Donnée à renseigner avec les valeurs suivantes :
Si production nouvelle alors : renseigner à "Y".
Sinon renseigner à "N".</t>
        </is>
      </c>
      <c r="S1282" s="1333" t="inlineStr">
        <is>
          <t>All new financing for the relevant quarter (original date = contract signing date) – including new financing, refinancing, and restructuring – must be included in the quarter's production figures.
The determining factor is therefore the contract signing during the relevant quarter, which establishes the date of fund disbursement or effective implementation of the financing. (This is the date of the formal contractual commitment through signature, representing the point at which the agreement is presumed to be concluded between the institution and the client.) Data to be entered with the following values:
If new production, enter "Y".
Otherwise, enter "N".</t>
        </is>
      </c>
      <c r="T1282" s="1337" t="inlineStr">
        <is>
          <t>ALPHA</t>
        </is>
      </c>
      <c r="U1282" s="1337" t="inlineStr">
        <is>
          <t>NA</t>
        </is>
      </c>
      <c r="V1282" s="1338" t="inlineStr">
        <is>
          <t>NA</t>
        </is>
      </c>
      <c r="W1282" s="1337" t="n">
        <v>1</v>
      </c>
      <c r="X1282" s="1337" t="inlineStr">
        <is>
          <t>NA</t>
        </is>
      </c>
      <c r="Y1282" s="1339" t="n">
        <v>45</v>
      </c>
      <c r="Z1282" s="1334" t="inlineStr">
        <is>
          <t>NA</t>
        </is>
      </c>
      <c r="AA1282" s="1334" t="inlineStr">
        <is>
          <t>NA</t>
        </is>
      </c>
      <c r="AB1282" s="1331" t="inlineStr">
        <is>
          <t>FEL</t>
        </is>
      </c>
      <c r="AC1282" s="1334" t="inlineStr">
        <is>
          <t>ND</t>
        </is>
      </c>
      <c r="AD1282" s="1334" t="inlineStr">
        <is>
          <t>N</t>
        </is>
      </c>
      <c r="AE1282" s="1334" t="inlineStr">
        <is>
          <t>NA</t>
        </is>
      </c>
      <c r="AF1282" s="1334" t="inlineStr">
        <is>
          <t>NA</t>
        </is>
      </c>
      <c r="AG1282" s="1340" t="inlineStr">
        <is>
          <t>NA</t>
        </is>
      </c>
      <c r="AH1282" s="1351" t="n"/>
      <c r="AI1282" s="1342" t="inlineStr">
        <is>
          <t>La donnée est obligatoire, si Indicateur opération effet de levier [P2 28.1] = '1,2,3'</t>
        </is>
      </c>
      <c r="AJ1282" s="1343" t="inlineStr">
        <is>
          <t>The data is mandatory, if Leveraged transaction Indicator [P2 28.1] = '1,2,3'</t>
        </is>
      </c>
      <c r="AK1282" s="1344" t="n">
        <v>7</v>
      </c>
      <c r="AL1282" s="1345" t="inlineStr">
        <is>
          <t>TPSxxxx</t>
        </is>
      </c>
      <c r="AM1282" s="1346" t="inlineStr">
        <is>
          <t>Si elle est renseignée, la valeur doit être connue du Langage Commun associé</t>
        </is>
      </c>
      <c r="AN1282" s="1347" t="inlineStr">
        <is>
          <t>If specified, the value must be known to the associated Common Language</t>
        </is>
      </c>
      <c r="AO1282" s="1348" t="n">
        <v>7</v>
      </c>
      <c r="AP1282" s="1324" t="inlineStr">
        <is>
          <t>TIG0001</t>
        </is>
      </c>
      <c r="AQ1282" s="1321" t="n"/>
      <c r="AR1282" s="1343" t="n"/>
      <c r="AS1282" s="1320" t="n"/>
      <c r="AT1282" s="1324" t="n"/>
      <c r="AU1282" s="1321" t="n"/>
      <c r="AV1282" s="1343" t="n"/>
      <c r="AW1282" s="1320" t="n"/>
      <c r="AX1282" s="1324" t="n"/>
      <c r="AY1282" s="1321" t="n"/>
      <c r="AZ1282" s="1349" t="n"/>
      <c r="BA1282" s="1344" t="n"/>
      <c r="BB1282" s="1324" t="n"/>
      <c r="BC1282" s="1321" t="n"/>
      <c r="BD1282" s="1350" t="n"/>
      <c r="BE1282" s="1344" t="n"/>
      <c r="BF1282" s="1324" t="n"/>
      <c r="BG1282" s="89" t="n"/>
      <c r="BH12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82">
        <f>_xlfn.LET(r,ROW(),oc,INDEX($A:$A,r),cv,TRIM(INDEX($Y:$Y,r)&amp;""),IF(oc&lt;&gt;"P1","",IF(cv="45","V45 - novo, nao alimentado pelo spool atual","V44 - alimentado pelo spool atual")))</f>
        <v/>
      </c>
    </row>
    <row r="1283" ht="54" customFormat="1" customHeight="1" s="90">
      <c r="A1283" s="1328" t="inlineStr">
        <is>
          <t>P2</t>
        </is>
      </c>
      <c r="B1283" s="1290" t="n">
        <v>386</v>
      </c>
      <c r="C1283" s="1329" t="inlineStr">
        <is>
          <t>11 - Caractéristiques Opérations à effet de levier</t>
        </is>
      </c>
      <c r="D1283" s="1330" t="inlineStr">
        <is>
          <t>11 - Leveraged Operations characteristics</t>
        </is>
      </c>
      <c r="E1283" s="1331" t="inlineStr">
        <is>
          <t>P2 627</t>
        </is>
      </c>
      <c r="F1283" s="1332" t="inlineStr">
        <is>
          <t>Indicateur période de fronting</t>
        </is>
      </c>
      <c r="G1283" s="1333" t="inlineStr">
        <is>
          <t>Fronting period indicator</t>
        </is>
      </c>
      <c r="H1283" s="1333" t="n"/>
      <c r="I1283" s="1356" t="inlineStr">
        <is>
          <t>Dans une opération de syndication, le "fronting" désigne la période transitoire pendant laquelle l'entité attend de recevoir les fonds correspondant à l’engagement financier, confirmé, par l’un(les) investisseur(s). Durant cette phase, la quote-part concernée n'est pas encore officiellement enregistrée au nom du(des) investisseur(s) dans les livres de l'agent.
L'indicateur précise si l'opéation est soumise au "fronting".</t>
        </is>
      </c>
      <c r="J1283" s="1357" t="inlineStr">
        <is>
          <t>In a syndication operation, "fronting" refers to the transitional period during which the entity awaits receipt of funds corresponding to the financial commitment, confirmed, by the investor(s). During this phase, the concerned share is not yet officially registered in the name of the investor(s) in the agent's books. The indicator specifies whether the operation is subject to "fronting".</t>
        </is>
      </c>
      <c r="K1283" s="1334" t="inlineStr">
        <is>
          <t>ND</t>
        </is>
      </c>
      <c r="L1283" s="1330" t="inlineStr">
        <is>
          <t>ND</t>
        </is>
      </c>
      <c r="M1283" s="1426" t="inlineStr">
        <is>
          <t>TBD</t>
        </is>
      </c>
      <c r="N1283" s="1291" t="inlineStr">
        <is>
          <t>Obligatoire sous conditions</t>
        </is>
      </c>
      <c r="O1283" s="1292" t="inlineStr">
        <is>
          <t>Mandatory under conditions</t>
        </is>
      </c>
      <c r="P1283" s="1334" t="inlineStr">
        <is>
          <t>LC.0593</t>
        </is>
      </c>
      <c r="Q1283" s="1334" t="inlineStr">
        <is>
          <t>RB KVIDPFRO</t>
        </is>
      </c>
      <c r="R1283" s="1352" t="inlineStr">
        <is>
          <t>Entités hors CACIB, renseigner par 'N'</t>
        </is>
      </c>
      <c r="S1283" s="1333" t="inlineStr">
        <is>
          <t>Entities except CACIB, fill in with 'N'</t>
        </is>
      </c>
      <c r="T1283" s="1337" t="inlineStr">
        <is>
          <t>ALPHA</t>
        </is>
      </c>
      <c r="U1283" s="1337" t="inlineStr">
        <is>
          <t>NA</t>
        </is>
      </c>
      <c r="V1283" s="1338" t="inlineStr">
        <is>
          <t>NA</t>
        </is>
      </c>
      <c r="W1283" s="1337" t="n">
        <v>1</v>
      </c>
      <c r="X1283" s="1337" t="inlineStr">
        <is>
          <t>NA</t>
        </is>
      </c>
      <c r="Y1283" s="1339" t="n">
        <v>45</v>
      </c>
      <c r="Z1283" s="1334" t="inlineStr">
        <is>
          <t>NA</t>
        </is>
      </c>
      <c r="AA1283" s="1334" t="inlineStr">
        <is>
          <t>NA</t>
        </is>
      </c>
      <c r="AB1283" s="1331" t="inlineStr">
        <is>
          <t>FEL</t>
        </is>
      </c>
      <c r="AC1283" s="1334" t="inlineStr">
        <is>
          <t>ND</t>
        </is>
      </c>
      <c r="AD1283" s="1334" t="inlineStr">
        <is>
          <t>N</t>
        </is>
      </c>
      <c r="AE1283" s="1334" t="inlineStr">
        <is>
          <t>NA</t>
        </is>
      </c>
      <c r="AF1283" s="1334" t="inlineStr">
        <is>
          <t>NA</t>
        </is>
      </c>
      <c r="AG1283" s="1340" t="inlineStr">
        <is>
          <t>NA</t>
        </is>
      </c>
      <c r="AH1283" s="1351" t="n"/>
      <c r="AI1283" s="1342" t="inlineStr">
        <is>
          <t>La donnée est obligatoire, si Indicateur opération effet de levier [P2 28.1] = '1,2,3'</t>
        </is>
      </c>
      <c r="AJ1283" s="1343" t="inlineStr">
        <is>
          <t>The data is mandatory, if Leveraged transaction Indicator [P2 28.1] = '1,2,3'</t>
        </is>
      </c>
      <c r="AK1283" s="1344" t="n">
        <v>7</v>
      </c>
      <c r="AL1283" s="1345" t="inlineStr">
        <is>
          <t>TPSxxxx</t>
        </is>
      </c>
      <c r="AM1283" s="1346" t="inlineStr">
        <is>
          <t>Si elle est renseignée, la valeur doit être connue du Langage Commun associé</t>
        </is>
      </c>
      <c r="AN1283" s="1347" t="inlineStr">
        <is>
          <t>If specified, the value must be known to the associated Common Language</t>
        </is>
      </c>
      <c r="AO1283" s="1348" t="n">
        <v>7</v>
      </c>
      <c r="AP1283" s="1324" t="inlineStr">
        <is>
          <t>TIG0001</t>
        </is>
      </c>
      <c r="AQ1283" s="1321" t="n"/>
      <c r="AR1283" s="1343" t="n"/>
      <c r="AS1283" s="1320" t="n"/>
      <c r="AT1283" s="1324" t="n"/>
      <c r="AU1283" s="1321" t="n"/>
      <c r="AV1283" s="1343" t="n"/>
      <c r="AW1283" s="1320" t="n"/>
      <c r="AX1283" s="1324" t="n"/>
      <c r="AY1283" s="1321" t="n"/>
      <c r="AZ1283" s="1349" t="n"/>
      <c r="BA1283" s="1344" t="n"/>
      <c r="BB1283" s="1324" t="n"/>
      <c r="BC1283" s="1321" t="n"/>
      <c r="BD1283" s="1350" t="n"/>
      <c r="BE1283" s="1344" t="n"/>
      <c r="BF1283" s="1324" t="n"/>
      <c r="BG1283" s="89" t="n"/>
      <c r="BH12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83">
        <f>_xlfn.LET(r,ROW(),oc,INDEX($A:$A,r),cv,TRIM(INDEX($Y:$Y,r)&amp;""),IF(oc&lt;&gt;"P1","",IF(cv="45","V45 - novo, nao alimentado pelo spool atual","V44 - alimentado pelo spool atual")))</f>
        <v/>
      </c>
    </row>
    <row r="1284" ht="54" customFormat="1" customHeight="1" s="90">
      <c r="A1284" s="1328" t="inlineStr">
        <is>
          <t>P2</t>
        </is>
      </c>
      <c r="B1284" s="1303" t="n">
        <v>387</v>
      </c>
      <c r="C1284" s="1329" t="inlineStr">
        <is>
          <t>11 - Caractéristiques Opérations à effet de levier</t>
        </is>
      </c>
      <c r="D1284" s="1330" t="inlineStr">
        <is>
          <t>11 - Leveraged Operations characteristics</t>
        </is>
      </c>
      <c r="E1284" s="1331" t="inlineStr">
        <is>
          <t>P2 628</t>
        </is>
      </c>
      <c r="F1284" s="1332" t="inlineStr">
        <is>
          <t>Montant d'exposition réglementaire soumise au fronting</t>
        </is>
      </c>
      <c r="G1284" s="1333" t="inlineStr">
        <is>
          <t>Amount of regulatory exposure subject to fronting</t>
        </is>
      </c>
      <c r="H1284" s="1333" t="n"/>
      <c r="I1284" s="1332" t="inlineStr">
        <is>
          <t>Montant associé à la quote part du financement acheté par des investisseurs pour lequel l'entité n'a pas encore reçu le cash correspondant à cette quote part et qui n’a pas encore été transférée au nom des investisseurs dans les livres de l’agent.</t>
        </is>
      </c>
      <c r="J1284" s="1333" t="inlineStr">
        <is>
          <t>Amount associated to the share of financing purchased by investors for which the entity has not yet received the cash corresponding to that share and which has not yet been transferred in the agent's books.</t>
        </is>
      </c>
      <c r="K1284" s="1334" t="inlineStr">
        <is>
          <t>ND</t>
        </is>
      </c>
      <c r="L1284" s="1330" t="inlineStr">
        <is>
          <t>ND</t>
        </is>
      </c>
      <c r="M1284" s="1426" t="inlineStr">
        <is>
          <t>TBD</t>
        </is>
      </c>
      <c r="N1284" s="1291" t="inlineStr">
        <is>
          <t>Obligatoire sous conditions</t>
        </is>
      </c>
      <c r="O1284" s="1292" t="inlineStr">
        <is>
          <t>Mandatory under conditions</t>
        </is>
      </c>
      <c r="P1284" s="1334" t="inlineStr">
        <is>
          <t>NA</t>
        </is>
      </c>
      <c r="Q1284" s="1334" t="inlineStr">
        <is>
          <t>NA</t>
        </is>
      </c>
      <c r="R1284" s="1352" t="inlineStr">
        <is>
          <t>NA</t>
        </is>
      </c>
      <c r="S1284" s="1333" t="inlineStr">
        <is>
          <t>NA</t>
        </is>
      </c>
      <c r="T1284" s="1337" t="inlineStr">
        <is>
          <t>NUM</t>
        </is>
      </c>
      <c r="U1284" s="1331" t="inlineStr">
        <is>
          <t>19 dont signe et 2 décimales</t>
        </is>
      </c>
      <c r="V1284" s="1353" t="inlineStr">
        <is>
          <t>19 including sign and 2 decimals</t>
        </is>
      </c>
      <c r="W1284" s="1337" t="n">
        <v>19</v>
      </c>
      <c r="X1284" s="1337" t="inlineStr">
        <is>
          <t>NA</t>
        </is>
      </c>
      <c r="Y1284" s="1339" t="n">
        <v>45</v>
      </c>
      <c r="Z1284" s="1334" t="inlineStr">
        <is>
          <t>NA</t>
        </is>
      </c>
      <c r="AA1284" s="1334" t="inlineStr">
        <is>
          <t>NA</t>
        </is>
      </c>
      <c r="AB1284" s="1331" t="inlineStr">
        <is>
          <t>FEL</t>
        </is>
      </c>
      <c r="AC1284" s="1334" t="inlineStr">
        <is>
          <t>ND</t>
        </is>
      </c>
      <c r="AD1284" s="1334" t="inlineStr">
        <is>
          <t>N</t>
        </is>
      </c>
      <c r="AE1284" s="1334" t="inlineStr">
        <is>
          <t>NA</t>
        </is>
      </c>
      <c r="AF1284" s="1334" t="inlineStr">
        <is>
          <t>NA</t>
        </is>
      </c>
      <c r="AG1284" s="1340" t="inlineStr">
        <is>
          <t>NA</t>
        </is>
      </c>
      <c r="AH1284" s="1351" t="n"/>
      <c r="AI1284" s="1342" t="inlineStr">
        <is>
          <t>La donnée est obligatoire, si Indicateur période de fronting [P2 627] = 'Y'
---
La donnée est obligatoire, si Indicateur opération effet de levier [P2 28.1] = '1,2,3'</t>
        </is>
      </c>
      <c r="AJ1284" s="1343" t="inlineStr">
        <is>
          <t>The data is mandatory, if Fronting period indicator [P2 627] = 'Y'
---
The data is mandatory, if Leveraged transaction Indicator [P2 28.1] = '1,2,3'</t>
        </is>
      </c>
      <c r="AK1284" s="1344" t="n">
        <v>6</v>
      </c>
      <c r="AL1284" s="1345" t="inlineStr">
        <is>
          <t>TPSxxxx (x2)</t>
        </is>
      </c>
      <c r="AM1284" s="1321" t="n"/>
      <c r="AN1284" s="1343" t="n"/>
      <c r="AO1284" s="1344" t="n"/>
      <c r="AP1284" s="1319" t="n"/>
      <c r="AQ1284" s="1321" t="n"/>
      <c r="AR1284" s="1343" t="n"/>
      <c r="AS1284" s="1320" t="n"/>
      <c r="AT1284" s="1324" t="n"/>
      <c r="AU1284" s="1321" t="n"/>
      <c r="AV1284" s="1343" t="n"/>
      <c r="AW1284" s="1320" t="n"/>
      <c r="AX1284" s="1324" t="n"/>
      <c r="AY1284" s="1321" t="n"/>
      <c r="AZ1284" s="1349" t="n"/>
      <c r="BA1284" s="1344" t="n"/>
      <c r="BB1284" s="1324" t="n"/>
      <c r="BC1284" s="1321" t="n"/>
      <c r="BD1284" s="1350" t="n"/>
      <c r="BE1284" s="1344" t="n"/>
      <c r="BF1284" s="1324" t="n"/>
      <c r="BG1284" s="89" t="n"/>
      <c r="BH12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84">
        <f>_xlfn.LET(r,ROW(),oc,INDEX($A:$A,r),cv,TRIM(INDEX($Y:$Y,r)&amp;""),IF(oc&lt;&gt;"P1","",IF(cv="45","V45 - novo, nao alimentado pelo spool atual","V44 - alimentado pelo spool atual")))</f>
        <v/>
      </c>
    </row>
    <row r="1285" ht="54" customFormat="1" customHeight="1" s="90">
      <c r="A1285" s="1328" t="inlineStr">
        <is>
          <t>P2</t>
        </is>
      </c>
      <c r="B1285" s="1290" t="n">
        <v>388</v>
      </c>
      <c r="C1285" s="1329" t="inlineStr">
        <is>
          <t>11 - Caractéristiques Opérations à effet de levier</t>
        </is>
      </c>
      <c r="D1285" s="1330" t="inlineStr">
        <is>
          <t>11 - Leveraged Operations characteristics</t>
        </is>
      </c>
      <c r="E1285" s="1331" t="inlineStr">
        <is>
          <t>P2 628.1</t>
        </is>
      </c>
      <c r="F1285" s="1332" t="inlineStr">
        <is>
          <t>Devise du montant d'exposition réglementaire soumise au fronting</t>
        </is>
      </c>
      <c r="G1285" s="1333" t="inlineStr">
        <is>
          <t>Currency of Amount of regulatory exposure subject to fronting</t>
        </is>
      </c>
      <c r="H1285" s="1333" t="n"/>
      <c r="I1285" s="1332" t="inlineStr">
        <is>
          <t>Devise du montant associé à la quote part du financement acheté par des investisseurs pour lequel l'entité n'a pas encore reçu le cash correspondant à cette quote part et qui n’a pas encore été transférée au nom des investisseurs dans les livres de l’agent.</t>
        </is>
      </c>
      <c r="J1285" s="1333" t="inlineStr">
        <is>
          <t>Currency of amount associated to the share of financing purchased by investors for which the entity has not yet received the cash corresponding to that share and which has not yet been transferred in the agent's books.</t>
        </is>
      </c>
      <c r="K1285" s="1334" t="inlineStr">
        <is>
          <t>ND</t>
        </is>
      </c>
      <c r="L1285" s="1330" t="inlineStr">
        <is>
          <t>ND</t>
        </is>
      </c>
      <c r="M1285" s="1426" t="inlineStr">
        <is>
          <t>TBD</t>
        </is>
      </c>
      <c r="N1285" s="1291" t="inlineStr">
        <is>
          <t>Obligatoire sous conditions</t>
        </is>
      </c>
      <c r="O1285" s="1292" t="inlineStr">
        <is>
          <t>Mandatory under conditions</t>
        </is>
      </c>
      <c r="P1285" s="1334" t="inlineStr">
        <is>
          <t>LC.0005</t>
        </is>
      </c>
      <c r="Q1285" s="1334" t="inlineStr">
        <is>
          <t>TA NM253</t>
        </is>
      </c>
      <c r="R1285" s="1352" t="inlineStr">
        <is>
          <t>NA</t>
        </is>
      </c>
      <c r="S1285" s="1333" t="inlineStr">
        <is>
          <t>NA</t>
        </is>
      </c>
      <c r="T1285" s="1337" t="inlineStr">
        <is>
          <t>ALPHA</t>
        </is>
      </c>
      <c r="U1285" s="1331" t="inlineStr">
        <is>
          <t>NA</t>
        </is>
      </c>
      <c r="V1285" s="1353" t="inlineStr">
        <is>
          <t>NA</t>
        </is>
      </c>
      <c r="W1285" s="1337" t="n">
        <v>3</v>
      </c>
      <c r="X1285" s="1337" t="inlineStr">
        <is>
          <t>NA</t>
        </is>
      </c>
      <c r="Y1285" s="1339" t="n">
        <v>45</v>
      </c>
      <c r="Z1285" s="1334" t="inlineStr">
        <is>
          <t>NA</t>
        </is>
      </c>
      <c r="AA1285" s="1334" t="inlineStr">
        <is>
          <t>NA</t>
        </is>
      </c>
      <c r="AB1285" s="1331" t="inlineStr">
        <is>
          <t>FEL</t>
        </is>
      </c>
      <c r="AC1285" s="1334" t="inlineStr">
        <is>
          <t>ND</t>
        </is>
      </c>
      <c r="AD1285" s="1334" t="inlineStr">
        <is>
          <t>N</t>
        </is>
      </c>
      <c r="AE1285" s="1334" t="inlineStr">
        <is>
          <t>NA</t>
        </is>
      </c>
      <c r="AF1285" s="1334" t="inlineStr">
        <is>
          <t>NA</t>
        </is>
      </c>
      <c r="AG1285" s="1340" t="inlineStr">
        <is>
          <t>NA</t>
        </is>
      </c>
      <c r="AH1285" s="1351" t="n"/>
      <c r="AI1285" s="1342" t="inlineStr">
        <is>
          <t>La donnée est obligatoire si Montant d'exposition réglementaire soumise au fronting [P2 628] est renseignée</t>
        </is>
      </c>
      <c r="AJ1285" s="1343" t="inlineStr">
        <is>
          <t>The data is mandatory if Amount of regulatory exposure subject to fronting [P2 628] data is filled</t>
        </is>
      </c>
      <c r="AK1285" s="1344" t="n">
        <v>7</v>
      </c>
      <c r="AL1285" s="1345" t="inlineStr">
        <is>
          <t>TPG0002</t>
        </is>
      </c>
      <c r="AM1285" s="1321" t="inlineStr">
        <is>
          <t>Si elle est renseignée, la valeur doit être connue du Langage Commun associé</t>
        </is>
      </c>
      <c r="AN1285" s="1343" t="inlineStr">
        <is>
          <t>If specified, the value must be known to the associated Common Language</t>
        </is>
      </c>
      <c r="AO1285" s="1344" t="n">
        <v>7</v>
      </c>
      <c r="AP1285" s="1319" t="inlineStr">
        <is>
          <t>TIG0001</t>
        </is>
      </c>
      <c r="AQ1285" s="1321" t="n"/>
      <c r="AR1285" s="1343" t="n"/>
      <c r="AS1285" s="1320" t="n"/>
      <c r="AT1285" s="1324" t="n"/>
      <c r="AU1285" s="1321" t="n"/>
      <c r="AV1285" s="1343" t="n"/>
      <c r="AW1285" s="1320" t="n"/>
      <c r="AX1285" s="1324" t="n"/>
      <c r="AY1285" s="1321" t="n"/>
      <c r="AZ1285" s="1349" t="n"/>
      <c r="BA1285" s="1344" t="n"/>
      <c r="BB1285" s="1324" t="n"/>
      <c r="BC1285" s="1321" t="n"/>
      <c r="BD1285" s="1350" t="n"/>
      <c r="BE1285" s="1344" t="n"/>
      <c r="BF1285" s="1324" t="n"/>
      <c r="BG1285" s="89" t="n"/>
      <c r="BH12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85">
        <f>_xlfn.LET(r,ROW(),oc,INDEX($A:$A,r),cv,TRIM(INDEX($Y:$Y,r)&amp;""),IF(oc&lt;&gt;"P1","",IF(cv="45","V45 - novo, nao alimentado pelo spool atual","V44 - alimentado pelo spool atual")))</f>
        <v/>
      </c>
    </row>
    <row r="1286" ht="54" customFormat="1" customHeight="1" s="90">
      <c r="A1286" s="1328" t="inlineStr">
        <is>
          <t>P2</t>
        </is>
      </c>
      <c r="B1286" s="1303" t="n">
        <v>389</v>
      </c>
      <c r="C1286" s="1329" t="inlineStr">
        <is>
          <t>11 - Caractéristiques Opérations à effet de levier</t>
        </is>
      </c>
      <c r="D1286" s="1330" t="inlineStr">
        <is>
          <t>11 - Leveraged Operations characteristics</t>
        </is>
      </c>
      <c r="E1286" s="1331" t="inlineStr">
        <is>
          <t>P2 629</t>
        </is>
      </c>
      <c r="F1286" s="1332" t="inlineStr">
        <is>
          <t>Indicateur Reserve Based Lending (RBL)</t>
        </is>
      </c>
      <c r="G1286" s="1333" t="inlineStr">
        <is>
          <t>Reserve Based Lending (RBL) indicator</t>
        </is>
      </c>
      <c r="H1286" s="1333" t="n"/>
      <c r="I1286" s="1356" t="inlineStr">
        <is>
          <t xml:space="preserve">Indicateur "Reserve-based lending".
Financement adossé au secteur de l’énergie (pétrole, gaz, mines…) </t>
        </is>
      </c>
      <c r="J1286" s="1357" t="inlineStr">
        <is>
          <t>"Reserve-based lending" indicator: Financing backed by the energy sector (oil, gas, mining, etc.)</t>
        </is>
      </c>
      <c r="K1286" s="1334" t="inlineStr">
        <is>
          <t>ND</t>
        </is>
      </c>
      <c r="L1286" s="1330" t="inlineStr">
        <is>
          <t>ND</t>
        </is>
      </c>
      <c r="M1286" s="1426" t="inlineStr">
        <is>
          <t>TBD</t>
        </is>
      </c>
      <c r="N1286" s="1291" t="inlineStr">
        <is>
          <t>Obligatoire sous conditions</t>
        </is>
      </c>
      <c r="O1286" s="1292" t="inlineStr">
        <is>
          <t>Mandatory under conditions</t>
        </is>
      </c>
      <c r="P1286" s="1334" t="inlineStr">
        <is>
          <t>LC.0594</t>
        </is>
      </c>
      <c r="Q1286" s="1334" t="inlineStr">
        <is>
          <t>RB KVIDRRBL</t>
        </is>
      </c>
      <c r="R1286" s="1352" t="inlineStr">
        <is>
          <t>Entités hors CACIB, renseigner par 'N'</t>
        </is>
      </c>
      <c r="S1286" s="1333" t="inlineStr">
        <is>
          <t>Entities except CACIB, fill in with 'N'</t>
        </is>
      </c>
      <c r="T1286" s="1337" t="inlineStr">
        <is>
          <t>ALPHA</t>
        </is>
      </c>
      <c r="U1286" s="1337" t="inlineStr">
        <is>
          <t>NA</t>
        </is>
      </c>
      <c r="V1286" s="1338" t="inlineStr">
        <is>
          <t>NA</t>
        </is>
      </c>
      <c r="W1286" s="1337" t="n">
        <v>1</v>
      </c>
      <c r="X1286" s="1337" t="inlineStr">
        <is>
          <t>NA</t>
        </is>
      </c>
      <c r="Y1286" s="1339" t="n">
        <v>45</v>
      </c>
      <c r="Z1286" s="1334" t="inlineStr">
        <is>
          <t>NA</t>
        </is>
      </c>
      <c r="AA1286" s="1334" t="inlineStr">
        <is>
          <t>NA</t>
        </is>
      </c>
      <c r="AB1286" s="1331" t="inlineStr">
        <is>
          <t>FEL</t>
        </is>
      </c>
      <c r="AC1286" s="1334" t="inlineStr">
        <is>
          <t>ND</t>
        </is>
      </c>
      <c r="AD1286" s="1334" t="inlineStr">
        <is>
          <t>N</t>
        </is>
      </c>
      <c r="AE1286" s="1334" t="inlineStr">
        <is>
          <t>NA</t>
        </is>
      </c>
      <c r="AF1286" s="1334" t="inlineStr">
        <is>
          <t>NA</t>
        </is>
      </c>
      <c r="AG1286" s="1340" t="inlineStr">
        <is>
          <t>NA</t>
        </is>
      </c>
      <c r="AH1286" s="1351" t="n"/>
      <c r="AI1286" s="1342" t="inlineStr">
        <is>
          <t>La donnée est obligatoire, si Indicateur opération effet de levier [P2 28.1] = '1,2,3'</t>
        </is>
      </c>
      <c r="AJ1286" s="1343" t="inlineStr">
        <is>
          <t>The data is mandatory, if Leveraged transaction Indicator [P2 28.1] = '1,2,3'</t>
        </is>
      </c>
      <c r="AK1286" s="1344" t="n">
        <v>7</v>
      </c>
      <c r="AL1286" s="1345" t="inlineStr">
        <is>
          <t>TPSxxxx</t>
        </is>
      </c>
      <c r="AM1286" s="1346" t="inlineStr">
        <is>
          <t>Si elle est renseignée, la valeur doit être connue du Langage Commun associé</t>
        </is>
      </c>
      <c r="AN1286" s="1347" t="inlineStr">
        <is>
          <t>If specified, the value must be known to the associated Common Language</t>
        </is>
      </c>
      <c r="AO1286" s="1348" t="n">
        <v>7</v>
      </c>
      <c r="AP1286" s="1324" t="inlineStr">
        <is>
          <t>TIG0001</t>
        </is>
      </c>
      <c r="AQ1286" s="1321" t="n"/>
      <c r="AR1286" s="1343" t="n"/>
      <c r="AS1286" s="1320" t="n"/>
      <c r="AT1286" s="1324" t="n"/>
      <c r="AU1286" s="1321" t="n"/>
      <c r="AV1286" s="1343" t="n"/>
      <c r="AW1286" s="1320" t="n"/>
      <c r="AX1286" s="1324" t="n"/>
      <c r="AY1286" s="1321" t="n"/>
      <c r="AZ1286" s="1349" t="n"/>
      <c r="BA1286" s="1344" t="n"/>
      <c r="BB1286" s="1324" t="n"/>
      <c r="BC1286" s="1321" t="n"/>
      <c r="BD1286" s="1350" t="n"/>
      <c r="BE1286" s="1344" t="n"/>
      <c r="BF1286" s="1324" t="n"/>
      <c r="BG1286" s="89" t="n"/>
      <c r="BH12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86">
        <f>_xlfn.LET(r,ROW(),oc,INDEX($A:$A,r),cv,TRIM(INDEX($Y:$Y,r)&amp;""),IF(oc&lt;&gt;"P1","",IF(cv="45","V45 - novo, nao alimentado pelo spool atual","V44 - alimentado pelo spool atual")))</f>
        <v/>
      </c>
    </row>
    <row r="1287" ht="54" customFormat="1" customHeight="1" s="90">
      <c r="A1287" s="1328" t="inlineStr">
        <is>
          <t>P2</t>
        </is>
      </c>
      <c r="B1287" s="1290" t="n">
        <v>390</v>
      </c>
      <c r="C1287" s="1329" t="inlineStr">
        <is>
          <t>11 - Caractéristiques Opérations à effet de levier</t>
        </is>
      </c>
      <c r="D1287" s="1330" t="inlineStr">
        <is>
          <t>11 - Leveraged Operations characteristics</t>
        </is>
      </c>
      <c r="E1287" s="1331" t="inlineStr">
        <is>
          <t>P2 630</t>
        </is>
      </c>
      <c r="F1287" s="1332" t="inlineStr">
        <is>
          <t>Exposition réglementaire soumise au RBL</t>
        </is>
      </c>
      <c r="G1287" s="1333" t="inlineStr">
        <is>
          <t>Regulatory amount subject to RBL</t>
        </is>
      </c>
      <c r="H1287" s="1333" t="n"/>
      <c r="I1287" s="1332" t="inlineStr">
        <is>
          <t>Montant associé à l'indicateur Reserve-based lending Financements adossés à l'actif financé (pétrole, charbon...)</t>
        </is>
      </c>
      <c r="J1287" s="1333" t="inlineStr">
        <is>
          <t>Amount associated with the Reserve-based lending indicator: Financing backed by the financed asset (oil, coal, etc.)</t>
        </is>
      </c>
      <c r="K1287" s="1334" t="inlineStr">
        <is>
          <t>ND</t>
        </is>
      </c>
      <c r="L1287" s="1330" t="inlineStr">
        <is>
          <t>ND</t>
        </is>
      </c>
      <c r="M1287" s="1426" t="inlineStr">
        <is>
          <t>TBD</t>
        </is>
      </c>
      <c r="N1287" s="1291" t="inlineStr">
        <is>
          <t>Obligatoire sous conditions</t>
        </is>
      </c>
      <c r="O1287" s="1292" t="inlineStr">
        <is>
          <t>Mandatory under conditions</t>
        </is>
      </c>
      <c r="P1287" s="1334" t="inlineStr">
        <is>
          <t>NA</t>
        </is>
      </c>
      <c r="Q1287" s="1334" t="inlineStr">
        <is>
          <t>NA</t>
        </is>
      </c>
      <c r="R1287" s="1352" t="inlineStr">
        <is>
          <t>NA</t>
        </is>
      </c>
      <c r="S1287" s="1333" t="inlineStr">
        <is>
          <t>NA</t>
        </is>
      </c>
      <c r="T1287" s="1337" t="inlineStr">
        <is>
          <t>NUM</t>
        </is>
      </c>
      <c r="U1287" s="1331" t="inlineStr">
        <is>
          <t>19 dont signe et 2 décimales</t>
        </is>
      </c>
      <c r="V1287" s="1353" t="inlineStr">
        <is>
          <t>19 including sign and 2 decimals</t>
        </is>
      </c>
      <c r="W1287" s="1337" t="n">
        <v>19</v>
      </c>
      <c r="X1287" s="1337" t="inlineStr">
        <is>
          <t>NA</t>
        </is>
      </c>
      <c r="Y1287" s="1339" t="n">
        <v>45</v>
      </c>
      <c r="Z1287" s="1334" t="inlineStr">
        <is>
          <t>NA</t>
        </is>
      </c>
      <c r="AA1287" s="1334" t="inlineStr">
        <is>
          <t>NA</t>
        </is>
      </c>
      <c r="AB1287" s="1331" t="inlineStr">
        <is>
          <t>FEL</t>
        </is>
      </c>
      <c r="AC1287" s="1334" t="inlineStr">
        <is>
          <t>ND</t>
        </is>
      </c>
      <c r="AD1287" s="1334" t="inlineStr">
        <is>
          <t>N</t>
        </is>
      </c>
      <c r="AE1287" s="1334" t="inlineStr">
        <is>
          <t>NA</t>
        </is>
      </c>
      <c r="AF1287" s="1334" t="inlineStr">
        <is>
          <t>NA</t>
        </is>
      </c>
      <c r="AG1287" s="1340" t="inlineStr">
        <is>
          <t>NA</t>
        </is>
      </c>
      <c r="AH1287" s="1351" t="n"/>
      <c r="AI1287" s="1342" t="inlineStr">
        <is>
          <t>La donnée est obligatoire, si Indicateur Reserve Based Lending (RBL) [P2 629]= 'Y'</t>
        </is>
      </c>
      <c r="AJ1287" s="1343" t="inlineStr">
        <is>
          <t>The data is mandatory, if Reserve Based Lending (RBL) indicator [P2 629] = 'Y'</t>
        </is>
      </c>
      <c r="AK1287" s="1344" t="n">
        <v>7</v>
      </c>
      <c r="AL1287" s="1345" t="inlineStr">
        <is>
          <t>TPSxxxx</t>
        </is>
      </c>
      <c r="AM1287" s="1321" t="n"/>
      <c r="AN1287" s="1343" t="n"/>
      <c r="AO1287" s="1344" t="n"/>
      <c r="AP1287" s="1319" t="n"/>
      <c r="AQ1287" s="1321" t="n"/>
      <c r="AR1287" s="1343" t="n"/>
      <c r="AS1287" s="1320" t="n"/>
      <c r="AT1287" s="1324" t="n"/>
      <c r="AU1287" s="1321" t="n"/>
      <c r="AV1287" s="1343" t="n"/>
      <c r="AW1287" s="1320" t="n"/>
      <c r="AX1287" s="1324" t="n"/>
      <c r="AY1287" s="1321" t="n"/>
      <c r="AZ1287" s="1349" t="n"/>
      <c r="BA1287" s="1344" t="n"/>
      <c r="BB1287" s="1324" t="n"/>
      <c r="BC1287" s="1321" t="n"/>
      <c r="BD1287" s="1350" t="n"/>
      <c r="BE1287" s="1344" t="n"/>
      <c r="BF1287" s="1324" t="n"/>
      <c r="BG1287" s="89" t="n"/>
      <c r="BH12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87">
        <f>_xlfn.LET(r,ROW(),oc,INDEX($A:$A,r),cv,TRIM(INDEX($Y:$Y,r)&amp;""),IF(oc&lt;&gt;"P1","",IF(cv="45","V45 - novo, nao alimentado pelo spool atual","V44 - alimentado pelo spool atual")))</f>
        <v/>
      </c>
    </row>
    <row r="1288" ht="54" customFormat="1" customHeight="1" s="90">
      <c r="A1288" s="1328" t="inlineStr">
        <is>
          <t>P2</t>
        </is>
      </c>
      <c r="B1288" s="1303" t="n">
        <v>391</v>
      </c>
      <c r="C1288" s="1329" t="inlineStr">
        <is>
          <t>11 - Caractéristiques Opérations à effet de levier</t>
        </is>
      </c>
      <c r="D1288" s="1330" t="inlineStr">
        <is>
          <t>11 - Leveraged Operations characteristics</t>
        </is>
      </c>
      <c r="E1288" s="1331" t="inlineStr">
        <is>
          <t>P2 630.1</t>
        </is>
      </c>
      <c r="F1288" s="1332" t="inlineStr">
        <is>
          <t>Devise de l'exposition réglementaire soumise au RBL</t>
        </is>
      </c>
      <c r="G1288" s="1333" t="inlineStr">
        <is>
          <t>Currency of Regulatory amount subject to RBL</t>
        </is>
      </c>
      <c r="H1288" s="1333" t="n"/>
      <c r="I1288" s="1332" t="inlineStr">
        <is>
          <t>Devise du montant associé à l'indicateur Reserve-based lending Financements adossés à l'actif financé (pétrole, charbon...)</t>
        </is>
      </c>
      <c r="J1288" s="1333" t="inlineStr">
        <is>
          <t>Currency of amount associated with the Reserve-based lending indicator: Financing backed by the financed asset (oil, coal, etc.)</t>
        </is>
      </c>
      <c r="K1288" s="1334" t="inlineStr">
        <is>
          <t>ND</t>
        </is>
      </c>
      <c r="L1288" s="1330" t="inlineStr">
        <is>
          <t>ND</t>
        </is>
      </c>
      <c r="M1288" s="1426" t="inlineStr">
        <is>
          <t>TBD</t>
        </is>
      </c>
      <c r="N1288" s="1291" t="inlineStr">
        <is>
          <t>Obligatoire sous conditions</t>
        </is>
      </c>
      <c r="O1288" s="1292" t="inlineStr">
        <is>
          <t>Mandatory under conditions</t>
        </is>
      </c>
      <c r="P1288" s="1334" t="inlineStr">
        <is>
          <t>LC.0005</t>
        </is>
      </c>
      <c r="Q1288" s="1334" t="inlineStr">
        <is>
          <t>TA NM253</t>
        </is>
      </c>
      <c r="R1288" s="1352" t="inlineStr">
        <is>
          <t>NA</t>
        </is>
      </c>
      <c r="S1288" s="1333" t="inlineStr">
        <is>
          <t>NA</t>
        </is>
      </c>
      <c r="T1288" s="1337" t="inlineStr">
        <is>
          <t>ALPHA</t>
        </is>
      </c>
      <c r="U1288" s="1331" t="inlineStr">
        <is>
          <t>NA</t>
        </is>
      </c>
      <c r="V1288" s="1353" t="inlineStr">
        <is>
          <t>NA</t>
        </is>
      </c>
      <c r="W1288" s="1337" t="n">
        <v>3</v>
      </c>
      <c r="X1288" s="1337" t="inlineStr">
        <is>
          <t>NA</t>
        </is>
      </c>
      <c r="Y1288" s="1339" t="n">
        <v>45</v>
      </c>
      <c r="Z1288" s="1334" t="inlineStr">
        <is>
          <t>NA</t>
        </is>
      </c>
      <c r="AA1288" s="1334" t="inlineStr">
        <is>
          <t>NA</t>
        </is>
      </c>
      <c r="AB1288" s="1331" t="inlineStr">
        <is>
          <t>FEL</t>
        </is>
      </c>
      <c r="AC1288" s="1334" t="inlineStr">
        <is>
          <t>ND</t>
        </is>
      </c>
      <c r="AD1288" s="1334" t="inlineStr">
        <is>
          <t>N</t>
        </is>
      </c>
      <c r="AE1288" s="1334" t="inlineStr">
        <is>
          <t>NA</t>
        </is>
      </c>
      <c r="AF1288" s="1334" t="inlineStr">
        <is>
          <t>NA</t>
        </is>
      </c>
      <c r="AG1288" s="1340" t="inlineStr">
        <is>
          <t>NA</t>
        </is>
      </c>
      <c r="AH1288" s="1351" t="n"/>
      <c r="AI1288" s="1342" t="inlineStr">
        <is>
          <t>La donnée est obligatoire si Exposition réglementaire soumise au RBL [P2 630] est renseignée</t>
        </is>
      </c>
      <c r="AJ1288" s="1343" t="inlineStr">
        <is>
          <t>The data is mandatory if Regulatory amount subject to RBL [P2 631] data is filled</t>
        </is>
      </c>
      <c r="AK1288" s="1344" t="n">
        <v>7</v>
      </c>
      <c r="AL1288" s="1345" t="inlineStr">
        <is>
          <t>TPG0002</t>
        </is>
      </c>
      <c r="AM1288" s="1321" t="inlineStr">
        <is>
          <t>Si elle est renseignée, la valeur doit être connue du Langage Commun associé</t>
        </is>
      </c>
      <c r="AN1288" s="1343" t="inlineStr">
        <is>
          <t>If specified, the value must be known to the associated Common Language</t>
        </is>
      </c>
      <c r="AO1288" s="1344" t="n">
        <v>7</v>
      </c>
      <c r="AP1288" s="1319" t="inlineStr">
        <is>
          <t>TIG0001</t>
        </is>
      </c>
      <c r="AQ1288" s="1321" t="n"/>
      <c r="AR1288" s="1343" t="n"/>
      <c r="AS1288" s="1320" t="n"/>
      <c r="AT1288" s="1324" t="n"/>
      <c r="AU1288" s="1321" t="n"/>
      <c r="AV1288" s="1343" t="n"/>
      <c r="AW1288" s="1320" t="n"/>
      <c r="AX1288" s="1324" t="n"/>
      <c r="AY1288" s="1321" t="n"/>
      <c r="AZ1288" s="1349" t="n"/>
      <c r="BA1288" s="1344" t="n"/>
      <c r="BB1288" s="1324" t="n"/>
      <c r="BC1288" s="1321" t="n"/>
      <c r="BD1288" s="1350" t="n"/>
      <c r="BE1288" s="1344" t="n"/>
      <c r="BF1288" s="1324" t="n"/>
      <c r="BG1288" s="89" t="n"/>
      <c r="BH12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88">
        <f>_xlfn.LET(r,ROW(),oc,INDEX($A:$A,r),cv,TRIM(INDEX($Y:$Y,r)&amp;""),IF(oc&lt;&gt;"P1","",IF(cv="45","V45 - novo, nao alimentado pelo spool atual","V44 - alimentado pelo spool atual")))</f>
        <v/>
      </c>
    </row>
    <row r="1289" ht="54" customFormat="1" customHeight="1" s="90">
      <c r="A1289" s="1328" t="inlineStr">
        <is>
          <t>P2</t>
        </is>
      </c>
      <c r="B1289" s="1290" t="n">
        <v>392</v>
      </c>
      <c r="C1289" s="1329" t="inlineStr">
        <is>
          <t>11 - Caractéristiques Opérations à effet de levier</t>
        </is>
      </c>
      <c r="D1289" s="1330" t="inlineStr">
        <is>
          <t>11 - Leveraged Operations characteristics</t>
        </is>
      </c>
      <c r="E1289" s="1331" t="inlineStr">
        <is>
          <t>P2 631</t>
        </is>
      </c>
      <c r="F1289" s="1332" t="inlineStr">
        <is>
          <t>Expositions à date d'arrêté (vision stock) sur High Yield Bonds</t>
        </is>
      </c>
      <c r="G1289" s="1333" t="inlineStr">
        <is>
          <t>Exposures as of the reporting date (stock view) on High Yield Bonds</t>
        </is>
      </c>
      <c r="H1289" s="1333" t="n"/>
      <c r="I1289" s="1332" t="inlineStr">
        <is>
          <t>Expostions à date d'arrêté, liées à l'émission d'obligation de sociétés « non investment grade ». Les émissions obligataires souveraines ainsi que les émissions obligataires « investment grade » sont exclues</t>
        </is>
      </c>
      <c r="J1289" s="1333" t="inlineStr">
        <is>
          <t>Exposures as of the reporting date, related to the issuance of 'non-investment grade' corporate bonds. Sovereign bond issuances as well as 'investment grade' bond issuances are excluded.</t>
        </is>
      </c>
      <c r="K1289" s="1334" t="inlineStr">
        <is>
          <t>ND</t>
        </is>
      </c>
      <c r="L1289" s="1330" t="inlineStr">
        <is>
          <t>ND</t>
        </is>
      </c>
      <c r="M1289" s="1426" t="inlineStr">
        <is>
          <t>TBD</t>
        </is>
      </c>
      <c r="N1289" s="1291" t="inlineStr">
        <is>
          <t>Obligatoire sous conditions</t>
        </is>
      </c>
      <c r="O1289" s="1292" t="inlineStr">
        <is>
          <t>Mandatory under conditions</t>
        </is>
      </c>
      <c r="P1289" s="1334" t="inlineStr">
        <is>
          <t>NA</t>
        </is>
      </c>
      <c r="Q1289" s="1334" t="inlineStr">
        <is>
          <t>NA</t>
        </is>
      </c>
      <c r="R1289" s="1352" t="inlineStr">
        <is>
          <t>NA</t>
        </is>
      </c>
      <c r="S1289" s="1333" t="inlineStr">
        <is>
          <t>NA</t>
        </is>
      </c>
      <c r="T1289" s="1337" t="inlineStr">
        <is>
          <t>NUM</t>
        </is>
      </c>
      <c r="U1289" s="1331" t="inlineStr">
        <is>
          <t>19 dont signe et 2 décimales</t>
        </is>
      </c>
      <c r="V1289" s="1353" t="inlineStr">
        <is>
          <t>19 including sign and 2 decimals</t>
        </is>
      </c>
      <c r="W1289" s="1337" t="n">
        <v>19</v>
      </c>
      <c r="X1289" s="1337" t="inlineStr">
        <is>
          <t>NA</t>
        </is>
      </c>
      <c r="Y1289" s="1339" t="n">
        <v>45</v>
      </c>
      <c r="Z1289" s="1334" t="inlineStr">
        <is>
          <t>NA</t>
        </is>
      </c>
      <c r="AA1289" s="1334" t="inlineStr">
        <is>
          <t>NA</t>
        </is>
      </c>
      <c r="AB1289" s="1331" t="inlineStr">
        <is>
          <t>FEL</t>
        </is>
      </c>
      <c r="AC1289" s="1334" t="inlineStr">
        <is>
          <t>ND</t>
        </is>
      </c>
      <c r="AD1289" s="1334" t="inlineStr">
        <is>
          <t>N</t>
        </is>
      </c>
      <c r="AE1289" s="1334" t="inlineStr">
        <is>
          <t>NA</t>
        </is>
      </c>
      <c r="AF1289" s="1334" t="inlineStr">
        <is>
          <t>NA</t>
        </is>
      </c>
      <c r="AG1289" s="1340" t="inlineStr">
        <is>
          <t>NA</t>
        </is>
      </c>
      <c r="AH1289" s="1351" t="n"/>
      <c r="AI1289" s="1342" t="inlineStr">
        <is>
          <t>La donnée est obligatoire, si Indicateur opération effet de levier [P2 28.1] = '1,2,3'</t>
        </is>
      </c>
      <c r="AJ1289" s="1343" t="inlineStr">
        <is>
          <t>The data is mandatory, if Leveraged transaction Indicator [P2 28.1] = '1,2,3'</t>
        </is>
      </c>
      <c r="AK1289" s="1344" t="n">
        <v>6</v>
      </c>
      <c r="AL1289" s="1345" t="inlineStr">
        <is>
          <t>TPSxxxx</t>
        </is>
      </c>
      <c r="AM1289" s="1321" t="n"/>
      <c r="AN1289" s="1343" t="n"/>
      <c r="AO1289" s="1344" t="n"/>
      <c r="AP1289" s="1319" t="n"/>
      <c r="AQ1289" s="1321" t="n"/>
      <c r="AR1289" s="1343" t="n"/>
      <c r="AS1289" s="1320" t="n"/>
      <c r="AT1289" s="1324" t="n"/>
      <c r="AU1289" s="1321" t="n"/>
      <c r="AV1289" s="1343" t="n"/>
      <c r="AW1289" s="1320" t="n"/>
      <c r="AX1289" s="1324" t="n"/>
      <c r="AY1289" s="1321" t="n"/>
      <c r="AZ1289" s="1349" t="n"/>
      <c r="BA1289" s="1344" t="n"/>
      <c r="BB1289" s="1324" t="n"/>
      <c r="BC1289" s="1321" t="n"/>
      <c r="BD1289" s="1350" t="n"/>
      <c r="BE1289" s="1344" t="n"/>
      <c r="BF1289" s="1324" t="n"/>
      <c r="BG1289" s="89" t="n"/>
      <c r="BH12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89">
        <f>_xlfn.LET(r,ROW(),oc,INDEX($A:$A,r),cv,TRIM(INDEX($Y:$Y,r)&amp;""),IF(oc&lt;&gt;"P1","",IF(cv="45","V45 - novo, nao alimentado pelo spool atual","V44 - alimentado pelo spool atual")))</f>
        <v/>
      </c>
    </row>
    <row r="1290" ht="54" customFormat="1" customHeight="1" s="90">
      <c r="A1290" s="1328" t="inlineStr">
        <is>
          <t>P2</t>
        </is>
      </c>
      <c r="B1290" s="1303" t="n">
        <v>393</v>
      </c>
      <c r="C1290" s="1329" t="inlineStr">
        <is>
          <t>11 - Caractéristiques Opérations à effet de levier</t>
        </is>
      </c>
      <c r="D1290" s="1330" t="inlineStr">
        <is>
          <t>11 - Leveraged Operations characteristics</t>
        </is>
      </c>
      <c r="E1290" s="1331" t="inlineStr">
        <is>
          <t>P2 631.1</t>
        </is>
      </c>
      <c r="F1290" s="1332" t="inlineStr">
        <is>
          <t>Devise des expositions à date d'arrêté (vision stock) sur High Yield Bonds</t>
        </is>
      </c>
      <c r="G1290" s="1333" t="inlineStr">
        <is>
          <t>Currency of exposures as of the reporting date (stock view) on High Yield Bonds</t>
        </is>
      </c>
      <c r="H1290" s="1333" t="n"/>
      <c r="I1290" s="1332" t="inlineStr">
        <is>
          <t>Devise des expostions à date d'arrêté, liées à l'émission d'obligation de sociétés « non investment grade ». Les émissions obligataires souveraines ainsi que les émissions obligataires « investment grade » sont exclues</t>
        </is>
      </c>
      <c r="J1290" s="1333" t="inlineStr">
        <is>
          <t>Currency of exposures as of the reporting date, related to the issuance of 'non-investment grade' corporate bonds. Sovereign bond issuances as well as 'investment grade' bond issuances are excluded.</t>
        </is>
      </c>
      <c r="K1290" s="1334" t="inlineStr">
        <is>
          <t>ND</t>
        </is>
      </c>
      <c r="L1290" s="1330" t="inlineStr">
        <is>
          <t>ND</t>
        </is>
      </c>
      <c r="M1290" s="1426" t="inlineStr">
        <is>
          <t>TBD</t>
        </is>
      </c>
      <c r="N1290" s="1291" t="inlineStr">
        <is>
          <t>Obligatoire sous conditions</t>
        </is>
      </c>
      <c r="O1290" s="1292" t="inlineStr">
        <is>
          <t>Mandatory under conditions</t>
        </is>
      </c>
      <c r="P1290" s="1334" t="inlineStr">
        <is>
          <t>LC.0005</t>
        </is>
      </c>
      <c r="Q1290" s="1334" t="inlineStr">
        <is>
          <t>TA NM253</t>
        </is>
      </c>
      <c r="R1290" s="1352" t="inlineStr">
        <is>
          <t>NA</t>
        </is>
      </c>
      <c r="S1290" s="1333" t="inlineStr">
        <is>
          <t>NA</t>
        </is>
      </c>
      <c r="T1290" s="1337" t="inlineStr">
        <is>
          <t>ALPHA</t>
        </is>
      </c>
      <c r="U1290" s="1331" t="inlineStr">
        <is>
          <t>NA</t>
        </is>
      </c>
      <c r="V1290" s="1353" t="inlineStr">
        <is>
          <t>NA</t>
        </is>
      </c>
      <c r="W1290" s="1337" t="n">
        <v>3</v>
      </c>
      <c r="X1290" s="1337" t="inlineStr">
        <is>
          <t>NA</t>
        </is>
      </c>
      <c r="Y1290" s="1339" t="n">
        <v>45</v>
      </c>
      <c r="Z1290" s="1334" t="inlineStr">
        <is>
          <t>NA</t>
        </is>
      </c>
      <c r="AA1290" s="1334" t="inlineStr">
        <is>
          <t>NA</t>
        </is>
      </c>
      <c r="AB1290" s="1331" t="inlineStr">
        <is>
          <t>FEL</t>
        </is>
      </c>
      <c r="AC1290" s="1334" t="inlineStr">
        <is>
          <t>ND</t>
        </is>
      </c>
      <c r="AD1290" s="1334" t="inlineStr">
        <is>
          <t>N</t>
        </is>
      </c>
      <c r="AE1290" s="1334" t="inlineStr">
        <is>
          <t>NA</t>
        </is>
      </c>
      <c r="AF1290" s="1334" t="inlineStr">
        <is>
          <t>NA</t>
        </is>
      </c>
      <c r="AG1290" s="1340" t="inlineStr">
        <is>
          <t>NA</t>
        </is>
      </c>
      <c r="AH1290" s="1351" t="n"/>
      <c r="AI1290" s="1342" t="inlineStr">
        <is>
          <t>La donnée est obligatoire si Expositions à date d'arrêté (vision stock) sur High Yield Bonds [P2 631] est renseignée</t>
        </is>
      </c>
      <c r="AJ1290" s="1343" t="inlineStr">
        <is>
          <t>The data is mandatory if Exposures as of the reporting date (stock view) on High Yield Bonds [P2 631] data is filled</t>
        </is>
      </c>
      <c r="AK1290" s="1344" t="n">
        <v>7</v>
      </c>
      <c r="AL1290" s="1345" t="inlineStr">
        <is>
          <t>TPG0002</t>
        </is>
      </c>
      <c r="AM1290" s="1321" t="inlineStr">
        <is>
          <t>Si elle est renseignée, la valeur doit être connue du Langage Commun associé</t>
        </is>
      </c>
      <c r="AN1290" s="1343" t="inlineStr">
        <is>
          <t>If specified, the value must be known to the associated Common Language</t>
        </is>
      </c>
      <c r="AO1290" s="1344" t="n">
        <v>7</v>
      </c>
      <c r="AP1290" s="1319" t="inlineStr">
        <is>
          <t>TIG0001</t>
        </is>
      </c>
      <c r="AQ1290" s="1321" t="n"/>
      <c r="AR1290" s="1343" t="n"/>
      <c r="AS1290" s="1320" t="n"/>
      <c r="AT1290" s="1324" t="n"/>
      <c r="AU1290" s="1321" t="n"/>
      <c r="AV1290" s="1343" t="n"/>
      <c r="AW1290" s="1320" t="n"/>
      <c r="AX1290" s="1324" t="n"/>
      <c r="AY1290" s="1321" t="n"/>
      <c r="AZ1290" s="1349" t="n"/>
      <c r="BA1290" s="1344" t="n"/>
      <c r="BB1290" s="1324" t="n"/>
      <c r="BC1290" s="1321" t="n"/>
      <c r="BD1290" s="1350" t="n"/>
      <c r="BE1290" s="1344" t="n"/>
      <c r="BF1290" s="1324" t="n"/>
      <c r="BG1290" s="89" t="n"/>
      <c r="BH12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90">
        <f>_xlfn.LET(r,ROW(),oc,INDEX($A:$A,r),cv,TRIM(INDEX($Y:$Y,r)&amp;""),IF(oc&lt;&gt;"P1","",IF(cv="45","V45 - novo, nao alimentado pelo spool atual","V44 - alimentado pelo spool atual")))</f>
        <v/>
      </c>
    </row>
    <row r="1291" ht="54" customFormat="1" customHeight="1" s="90">
      <c r="A1291" s="1328" t="inlineStr">
        <is>
          <t>P2</t>
        </is>
      </c>
      <c r="B1291" s="1290" t="n">
        <v>394</v>
      </c>
      <c r="C1291" s="1329" t="inlineStr">
        <is>
          <t>11 - Caractéristiques Opérations à effet de levier</t>
        </is>
      </c>
      <c r="D1291" s="1330" t="inlineStr">
        <is>
          <t>11 - Leveraged Operations characteristics</t>
        </is>
      </c>
      <c r="E1291" s="1331" t="inlineStr">
        <is>
          <t>P2 632</t>
        </is>
      </c>
      <c r="F1291" s="1332" t="inlineStr">
        <is>
          <t>Expositions arrangées par la banque au cours du trimestre sur High Yield Bonds</t>
        </is>
      </c>
      <c r="G1291" s="1333" t="inlineStr">
        <is>
          <t>Exposures arranged by the bank during the quarter on High Yield Bonds</t>
        </is>
      </c>
      <c r="H1291" s="1333" t="n"/>
      <c r="I1291" s="1332" t="inlineStr">
        <is>
          <t>Expostions au cours du trimestre, liées à l'émission d'obligation de sociétés « non investment grade ». Les émissions obligataires souveraines ainsi que les émissions obligataires « investment grade » sont exclues</t>
        </is>
      </c>
      <c r="J1291" s="1333" t="inlineStr">
        <is>
          <t>Exposures during the quarter related to the issuance of 'non-investment grade' corporate bonds. Sovereign bond issuances and 'investment grade' bond issuances are excluded.</t>
        </is>
      </c>
      <c r="K1291" s="1334" t="inlineStr">
        <is>
          <t>ND</t>
        </is>
      </c>
      <c r="L1291" s="1330" t="inlineStr">
        <is>
          <t>ND</t>
        </is>
      </c>
      <c r="M1291" s="1426" t="inlineStr">
        <is>
          <t>TBD</t>
        </is>
      </c>
      <c r="N1291" s="1291" t="inlineStr">
        <is>
          <t>Obligatoire sous conditions</t>
        </is>
      </c>
      <c r="O1291" s="1292" t="inlineStr">
        <is>
          <t>Mandatory under conditions</t>
        </is>
      </c>
      <c r="P1291" s="1334" t="inlineStr">
        <is>
          <t>NA</t>
        </is>
      </c>
      <c r="Q1291" s="1334" t="inlineStr">
        <is>
          <t>NA</t>
        </is>
      </c>
      <c r="R1291" s="1352" t="inlineStr">
        <is>
          <t>NA</t>
        </is>
      </c>
      <c r="S1291" s="1333" t="inlineStr">
        <is>
          <t>NA</t>
        </is>
      </c>
      <c r="T1291" s="1337" t="inlineStr">
        <is>
          <t>NUM</t>
        </is>
      </c>
      <c r="U1291" s="1331" t="inlineStr">
        <is>
          <t>19 dont signe et 2 décimales</t>
        </is>
      </c>
      <c r="V1291" s="1353" t="inlineStr">
        <is>
          <t>19 including sign and 2 decimals</t>
        </is>
      </c>
      <c r="W1291" s="1337" t="n">
        <v>19</v>
      </c>
      <c r="X1291" s="1337" t="inlineStr">
        <is>
          <t>NA</t>
        </is>
      </c>
      <c r="Y1291" s="1339" t="n">
        <v>45</v>
      </c>
      <c r="Z1291" s="1334" t="inlineStr">
        <is>
          <t>NA</t>
        </is>
      </c>
      <c r="AA1291" s="1334" t="inlineStr">
        <is>
          <t>NA</t>
        </is>
      </c>
      <c r="AB1291" s="1331" t="inlineStr">
        <is>
          <t>FEL</t>
        </is>
      </c>
      <c r="AC1291" s="1334" t="inlineStr">
        <is>
          <t>ND</t>
        </is>
      </c>
      <c r="AD1291" s="1334" t="inlineStr">
        <is>
          <t>N</t>
        </is>
      </c>
      <c r="AE1291" s="1334" t="inlineStr">
        <is>
          <t>NA</t>
        </is>
      </c>
      <c r="AF1291" s="1334" t="inlineStr">
        <is>
          <t>NA</t>
        </is>
      </c>
      <c r="AG1291" s="1340" t="inlineStr">
        <is>
          <t>NA</t>
        </is>
      </c>
      <c r="AH1291" s="1351" t="n"/>
      <c r="AI1291" s="1342" t="inlineStr">
        <is>
          <t>La donnée est obligatoire, si Indicateur opération effet de levier [P2 28.1] = '1,2,3'</t>
        </is>
      </c>
      <c r="AJ1291" s="1343" t="inlineStr">
        <is>
          <t>The data is mandatory, if Leveraged transaction Indicator [P2 28.1] = '1,2,3'</t>
        </is>
      </c>
      <c r="AK1291" s="1344" t="n">
        <v>6</v>
      </c>
      <c r="AL1291" s="1345" t="inlineStr">
        <is>
          <t>TPSxxxx</t>
        </is>
      </c>
      <c r="AM1291" s="1321" t="n"/>
      <c r="AN1291" s="1343" t="n"/>
      <c r="AO1291" s="1344" t="n"/>
      <c r="AP1291" s="1319" t="n"/>
      <c r="AQ1291" s="1321" t="n"/>
      <c r="AR1291" s="1343" t="n"/>
      <c r="AS1291" s="1320" t="n"/>
      <c r="AT1291" s="1324" t="n"/>
      <c r="AU1291" s="1321" t="n"/>
      <c r="AV1291" s="1343" t="n"/>
      <c r="AW1291" s="1320" t="n"/>
      <c r="AX1291" s="1324" t="n"/>
      <c r="AY1291" s="1321" t="n"/>
      <c r="AZ1291" s="1349" t="n"/>
      <c r="BA1291" s="1344" t="n"/>
      <c r="BB1291" s="1324" t="n"/>
      <c r="BC1291" s="1321" t="n"/>
      <c r="BD1291" s="1350" t="n"/>
      <c r="BE1291" s="1344" t="n"/>
      <c r="BF1291" s="1324" t="n"/>
      <c r="BG1291" s="89" t="n"/>
      <c r="BH12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91">
        <f>_xlfn.LET(r,ROW(),oc,INDEX($A:$A,r),cv,TRIM(INDEX($Y:$Y,r)&amp;""),IF(oc&lt;&gt;"P1","",IF(cv="45","V45 - novo, nao alimentado pelo spool atual","V44 - alimentado pelo spool atual")))</f>
        <v/>
      </c>
    </row>
    <row r="1292" ht="54" customFormat="1" customHeight="1" s="90">
      <c r="A1292" s="1328" t="inlineStr">
        <is>
          <t>P2</t>
        </is>
      </c>
      <c r="B1292" s="1303" t="n">
        <v>395</v>
      </c>
      <c r="C1292" s="1329" t="inlineStr">
        <is>
          <t>11 - Caractéristiques Opérations à effet de levier</t>
        </is>
      </c>
      <c r="D1292" s="1330" t="inlineStr">
        <is>
          <t>11 - Leveraged Operations characteristics</t>
        </is>
      </c>
      <c r="E1292" s="1331" t="inlineStr">
        <is>
          <t>P2 632.1</t>
        </is>
      </c>
      <c r="F1292" s="1332" t="inlineStr">
        <is>
          <t>Devise des expositions arrangées par la banque au cours du trimestre sur High Yield Bonds</t>
        </is>
      </c>
      <c r="G1292" s="1333" t="inlineStr">
        <is>
          <t>Currency of exposures arranged by the bank during the quarter on High Yield Bonds</t>
        </is>
      </c>
      <c r="H1292" s="1333" t="n"/>
      <c r="I1292" s="1332" t="inlineStr">
        <is>
          <t>Devise des expostions au cours du trimestre, liées à l'émission d'obligation de sociétés « non investment grade ». Les émissions obligataires souveraines ainsi que les émissions obligataires « investment grade » sont exclues</t>
        </is>
      </c>
      <c r="J1292" s="1333" t="inlineStr">
        <is>
          <t>Currency of exposures during the quarter related to the issuance of 'non-investment grade' corporate bonds. Sovereign bond issuances and 'investment grade' bond issuances are excluded.</t>
        </is>
      </c>
      <c r="K1292" s="1334" t="inlineStr">
        <is>
          <t>ND</t>
        </is>
      </c>
      <c r="L1292" s="1330" t="inlineStr">
        <is>
          <t>ND</t>
        </is>
      </c>
      <c r="M1292" s="1426" t="inlineStr">
        <is>
          <t>TBD</t>
        </is>
      </c>
      <c r="N1292" s="1291" t="inlineStr">
        <is>
          <t>Obligatoire sous conditions</t>
        </is>
      </c>
      <c r="O1292" s="1292" t="inlineStr">
        <is>
          <t>Mandatory under conditions</t>
        </is>
      </c>
      <c r="P1292" s="1334" t="inlineStr">
        <is>
          <t>LC.0005</t>
        </is>
      </c>
      <c r="Q1292" s="1334" t="inlineStr">
        <is>
          <t>TA NM253</t>
        </is>
      </c>
      <c r="R1292" s="1352" t="inlineStr">
        <is>
          <t>NA</t>
        </is>
      </c>
      <c r="S1292" s="1333" t="inlineStr">
        <is>
          <t>NA</t>
        </is>
      </c>
      <c r="T1292" s="1337" t="inlineStr">
        <is>
          <t>ALPHA</t>
        </is>
      </c>
      <c r="U1292" s="1331" t="inlineStr">
        <is>
          <t>NA</t>
        </is>
      </c>
      <c r="V1292" s="1353" t="inlineStr">
        <is>
          <t>NA</t>
        </is>
      </c>
      <c r="W1292" s="1337" t="n">
        <v>3</v>
      </c>
      <c r="X1292" s="1337" t="inlineStr">
        <is>
          <t>NA</t>
        </is>
      </c>
      <c r="Y1292" s="1339" t="n">
        <v>45</v>
      </c>
      <c r="Z1292" s="1334" t="inlineStr">
        <is>
          <t>NA</t>
        </is>
      </c>
      <c r="AA1292" s="1334" t="inlineStr">
        <is>
          <t>NA</t>
        </is>
      </c>
      <c r="AB1292" s="1331" t="inlineStr">
        <is>
          <t>FEL</t>
        </is>
      </c>
      <c r="AC1292" s="1334" t="inlineStr">
        <is>
          <t>ND</t>
        </is>
      </c>
      <c r="AD1292" s="1334" t="inlineStr">
        <is>
          <t>N</t>
        </is>
      </c>
      <c r="AE1292" s="1334" t="inlineStr">
        <is>
          <t>NA</t>
        </is>
      </c>
      <c r="AF1292" s="1334" t="inlineStr">
        <is>
          <t>NA</t>
        </is>
      </c>
      <c r="AG1292" s="1340" t="inlineStr">
        <is>
          <t>NA</t>
        </is>
      </c>
      <c r="AH1292" s="1351" t="n"/>
      <c r="AI1292" s="1342" t="inlineStr">
        <is>
          <t>La donnée est obligatoire si Expositions arrangées par la banque au cours du trimestre sur High Yield Bonds [P2 632] est renseignée</t>
        </is>
      </c>
      <c r="AJ1292" s="1343" t="inlineStr">
        <is>
          <t>The data is mandatory if Exposures arranged by the bank during the quarter on High Yield Bonds [P2 632] data is filled</t>
        </is>
      </c>
      <c r="AK1292" s="1344" t="n">
        <v>7</v>
      </c>
      <c r="AL1292" s="1345" t="inlineStr">
        <is>
          <t>TPG0002</t>
        </is>
      </c>
      <c r="AM1292" s="1321" t="inlineStr">
        <is>
          <t>Si elle est renseignée, la valeur doit être connue du Langage Commun associé</t>
        </is>
      </c>
      <c r="AN1292" s="1343" t="inlineStr">
        <is>
          <t>If specified, the value must be known to the associated Common Language</t>
        </is>
      </c>
      <c r="AO1292" s="1344" t="n">
        <v>7</v>
      </c>
      <c r="AP1292" s="1319" t="inlineStr">
        <is>
          <t>TIG0001</t>
        </is>
      </c>
      <c r="AQ1292" s="1321" t="n"/>
      <c r="AR1292" s="1343" t="n"/>
      <c r="AS1292" s="1320" t="n"/>
      <c r="AT1292" s="1324" t="n"/>
      <c r="AU1292" s="1321" t="n"/>
      <c r="AV1292" s="1343" t="n"/>
      <c r="AW1292" s="1320" t="n"/>
      <c r="AX1292" s="1324" t="n"/>
      <c r="AY1292" s="1321" t="n"/>
      <c r="AZ1292" s="1349" t="n"/>
      <c r="BA1292" s="1344" t="n"/>
      <c r="BB1292" s="1324" t="n"/>
      <c r="BC1292" s="1321" t="n"/>
      <c r="BD1292" s="1350" t="n"/>
      <c r="BE1292" s="1344" t="n"/>
      <c r="BF1292" s="1324" t="n"/>
      <c r="BG1292" s="89" t="n"/>
      <c r="BH12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92">
        <f>_xlfn.LET(r,ROW(),oc,INDEX($A:$A,r),cv,TRIM(INDEX($Y:$Y,r)&amp;""),IF(oc&lt;&gt;"P1","",IF(cv="45","V45 - novo, nao alimentado pelo spool atual","V44 - alimentado pelo spool atual")))</f>
        <v/>
      </c>
    </row>
    <row r="1293" ht="54" customFormat="1" customHeight="1" s="90">
      <c r="A1293" s="1328" t="inlineStr">
        <is>
          <t>P2</t>
        </is>
      </c>
      <c r="B1293" s="1290" t="n">
        <v>396</v>
      </c>
      <c r="C1293" s="1329" t="inlineStr">
        <is>
          <t>11 - Caractéristiques Opérations à effet de levier</t>
        </is>
      </c>
      <c r="D1293" s="1330" t="inlineStr">
        <is>
          <t>11 - Leveraged Operations characteristics</t>
        </is>
      </c>
      <c r="E1293" s="1331" t="inlineStr">
        <is>
          <t>P2 633</t>
        </is>
      </c>
      <c r="F1293" s="1332" t="inlineStr">
        <is>
          <t>Montant du Mark-to-market hors part à syndiquer</t>
        </is>
      </c>
      <c r="G1293" s="1333" t="inlineStr">
        <is>
          <t>Amount of exposures excluding shares to be syndicated - Fair value amount</t>
        </is>
      </c>
      <c r="H1293" s="1333" t="n"/>
      <c r="I1293" s="1332" t="inlineStr">
        <is>
          <t>Montant juste valeur des expositions hors part à syndiquer (prises fermes)</t>
        </is>
      </c>
      <c r="J1293" s="1333" t="inlineStr">
        <is>
          <t>Fair value amount of exposures excluding part to be syndicated (firm commitments)</t>
        </is>
      </c>
      <c r="K1293" s="1334" t="inlineStr">
        <is>
          <t>ND</t>
        </is>
      </c>
      <c r="L1293" s="1330" t="inlineStr">
        <is>
          <t>ND</t>
        </is>
      </c>
      <c r="M1293" s="1426" t="inlineStr">
        <is>
          <t>TBD</t>
        </is>
      </c>
      <c r="N1293" s="1291" t="inlineStr">
        <is>
          <t>Obligatoire sous conditions</t>
        </is>
      </c>
      <c r="O1293" s="1292" t="inlineStr">
        <is>
          <t>Mandatory under conditions</t>
        </is>
      </c>
      <c r="P1293" s="1334" t="inlineStr">
        <is>
          <t>NA</t>
        </is>
      </c>
      <c r="Q1293" s="1334" t="inlineStr">
        <is>
          <t>NA</t>
        </is>
      </c>
      <c r="R1293" s="1352" t="inlineStr">
        <is>
          <t>NA</t>
        </is>
      </c>
      <c r="S1293" s="1333" t="inlineStr">
        <is>
          <t>NA</t>
        </is>
      </c>
      <c r="T1293" s="1337" t="inlineStr">
        <is>
          <t>NUM</t>
        </is>
      </c>
      <c r="U1293" s="1331" t="inlineStr">
        <is>
          <t>19 dont signe et 2 décimales</t>
        </is>
      </c>
      <c r="V1293" s="1353" t="inlineStr">
        <is>
          <t>19 including sign and 2 decimals</t>
        </is>
      </c>
      <c r="W1293" s="1337" t="n">
        <v>19</v>
      </c>
      <c r="X1293" s="1337" t="inlineStr">
        <is>
          <t>NA</t>
        </is>
      </c>
      <c r="Y1293" s="1339" t="n">
        <v>45</v>
      </c>
      <c r="Z1293" s="1334" t="inlineStr">
        <is>
          <t>NA</t>
        </is>
      </c>
      <c r="AA1293" s="1334" t="inlineStr">
        <is>
          <t>NA</t>
        </is>
      </c>
      <c r="AB1293" s="1331" t="inlineStr">
        <is>
          <t>FEL</t>
        </is>
      </c>
      <c r="AC1293" s="1334" t="inlineStr">
        <is>
          <t>ND</t>
        </is>
      </c>
      <c r="AD1293" s="1334" t="inlineStr">
        <is>
          <t>N</t>
        </is>
      </c>
      <c r="AE1293" s="1334" t="inlineStr">
        <is>
          <t>NA</t>
        </is>
      </c>
      <c r="AF1293" s="1334" t="inlineStr">
        <is>
          <t>NA</t>
        </is>
      </c>
      <c r="AG1293" s="1340" t="inlineStr">
        <is>
          <t>NA</t>
        </is>
      </c>
      <c r="AH1293" s="1351" t="n"/>
      <c r="AI1293" s="1342" t="inlineStr">
        <is>
          <t>La donnée est obligatoire, si Indicateur opération effet de levier [P2 28.1] = '1,2,3'</t>
        </is>
      </c>
      <c r="AJ1293" s="1343" t="inlineStr">
        <is>
          <t>The data is mandatory, if Leveraged transaction Indicator [P2 28.1] = '1,2,3'</t>
        </is>
      </c>
      <c r="AK1293" s="1344" t="n">
        <v>6</v>
      </c>
      <c r="AL1293" s="1345" t="inlineStr">
        <is>
          <t>TPSxxxx</t>
        </is>
      </c>
      <c r="AM1293" s="1321" t="n"/>
      <c r="AN1293" s="1343" t="n"/>
      <c r="AO1293" s="1344" t="n"/>
      <c r="AP1293" s="1319" t="n"/>
      <c r="AQ1293" s="1321" t="n"/>
      <c r="AR1293" s="1343" t="n"/>
      <c r="AS1293" s="1320" t="n"/>
      <c r="AT1293" s="1324" t="n"/>
      <c r="AU1293" s="1321" t="n"/>
      <c r="AV1293" s="1343" t="n"/>
      <c r="AW1293" s="1320" t="n"/>
      <c r="AX1293" s="1324" t="n"/>
      <c r="AY1293" s="1321" t="n"/>
      <c r="AZ1293" s="1349" t="n"/>
      <c r="BA1293" s="1344" t="n"/>
      <c r="BB1293" s="1324" t="n"/>
      <c r="BC1293" s="1321" t="n"/>
      <c r="BD1293" s="1350" t="n"/>
      <c r="BE1293" s="1344" t="n"/>
      <c r="BF1293" s="1324" t="n"/>
      <c r="BG1293" s="89" t="n"/>
      <c r="BH12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93">
        <f>_xlfn.LET(r,ROW(),oc,INDEX($A:$A,r),cv,TRIM(INDEX($Y:$Y,r)&amp;""),IF(oc&lt;&gt;"P1","",IF(cv="45","V45 - novo, nao alimentado pelo spool atual","V44 - alimentado pelo spool atual")))</f>
        <v/>
      </c>
    </row>
    <row r="1294" ht="54" customFormat="1" customHeight="1" s="90">
      <c r="A1294" s="1328" t="inlineStr">
        <is>
          <t>P2</t>
        </is>
      </c>
      <c r="B1294" s="1303" t="n">
        <v>397</v>
      </c>
      <c r="C1294" s="1329" t="inlineStr">
        <is>
          <t>11 - Caractéristiques Opérations à effet de levier</t>
        </is>
      </c>
      <c r="D1294" s="1330" t="inlineStr">
        <is>
          <t>11 - Leveraged Operations characteristics</t>
        </is>
      </c>
      <c r="E1294" s="1331" t="inlineStr">
        <is>
          <t>P2 633.1</t>
        </is>
      </c>
      <c r="F1294" s="1332" t="inlineStr">
        <is>
          <t>Devise du montant du Mark-to-market hors part à syndiquer</t>
        </is>
      </c>
      <c r="G1294" s="1333" t="inlineStr">
        <is>
          <t>Currency of amount of exposures excluding shares to be syndicated - Fair value amount</t>
        </is>
      </c>
      <c r="H1294" s="1333" t="n"/>
      <c r="I1294" s="1332" t="inlineStr">
        <is>
          <t>Devise du montant juste valeur des expositions hors part à syndiquer (prises fermes)</t>
        </is>
      </c>
      <c r="J1294" s="1333" t="inlineStr">
        <is>
          <t>Currency of fair value amount of exposures excluding part to be syndicated (firm commitments)</t>
        </is>
      </c>
      <c r="K1294" s="1334" t="inlineStr">
        <is>
          <t>ND</t>
        </is>
      </c>
      <c r="L1294" s="1330" t="inlineStr">
        <is>
          <t>ND</t>
        </is>
      </c>
      <c r="M1294" s="1426" t="inlineStr">
        <is>
          <t>TBD</t>
        </is>
      </c>
      <c r="N1294" s="1291" t="inlineStr">
        <is>
          <t>Obligatoire sous conditions</t>
        </is>
      </c>
      <c r="O1294" s="1292" t="inlineStr">
        <is>
          <t>Mandatory under conditions</t>
        </is>
      </c>
      <c r="P1294" s="1334" t="inlineStr">
        <is>
          <t>LC.0005</t>
        </is>
      </c>
      <c r="Q1294" s="1334" t="inlineStr">
        <is>
          <t>TA NM253</t>
        </is>
      </c>
      <c r="R1294" s="1352" t="inlineStr">
        <is>
          <t>NA</t>
        </is>
      </c>
      <c r="S1294" s="1333" t="inlineStr">
        <is>
          <t>NA</t>
        </is>
      </c>
      <c r="T1294" s="1337" t="inlineStr">
        <is>
          <t>ALPHA</t>
        </is>
      </c>
      <c r="U1294" s="1331" t="inlineStr">
        <is>
          <t>NA</t>
        </is>
      </c>
      <c r="V1294" s="1353" t="inlineStr">
        <is>
          <t>NA</t>
        </is>
      </c>
      <c r="W1294" s="1337" t="n">
        <v>3</v>
      </c>
      <c r="X1294" s="1337" t="inlineStr">
        <is>
          <t>NA</t>
        </is>
      </c>
      <c r="Y1294" s="1339" t="n">
        <v>45</v>
      </c>
      <c r="Z1294" s="1334" t="inlineStr">
        <is>
          <t>NA</t>
        </is>
      </c>
      <c r="AA1294" s="1334" t="inlineStr">
        <is>
          <t>NA</t>
        </is>
      </c>
      <c r="AB1294" s="1331" t="inlineStr">
        <is>
          <t>FEL</t>
        </is>
      </c>
      <c r="AC1294" s="1334" t="inlineStr">
        <is>
          <t>ND</t>
        </is>
      </c>
      <c r="AD1294" s="1334" t="inlineStr">
        <is>
          <t>N</t>
        </is>
      </c>
      <c r="AE1294" s="1334" t="inlineStr">
        <is>
          <t>NA</t>
        </is>
      </c>
      <c r="AF1294" s="1334" t="inlineStr">
        <is>
          <t>NA</t>
        </is>
      </c>
      <c r="AG1294" s="1340" t="inlineStr">
        <is>
          <t>NA</t>
        </is>
      </c>
      <c r="AH1294" s="1351" t="n"/>
      <c r="AI1294" s="1342" t="inlineStr">
        <is>
          <t>La donnée est obligatoire si Montant du Mark-to-market hors part à syndiquer [P2 633] est renseignée</t>
        </is>
      </c>
      <c r="AJ1294" s="1343" t="inlineStr">
        <is>
          <t>The data is mandatory if Amount of exposures excluding shares to be syndicated - Fair value amount [P2 633] data is filled</t>
        </is>
      </c>
      <c r="AK1294" s="1344" t="n">
        <v>7</v>
      </c>
      <c r="AL1294" s="1345" t="inlineStr">
        <is>
          <t>TPG0002</t>
        </is>
      </c>
      <c r="AM1294" s="1321" t="inlineStr">
        <is>
          <t>Si elle est renseignée, la valeur doit être connue du Langage Commun associé</t>
        </is>
      </c>
      <c r="AN1294" s="1343" t="inlineStr">
        <is>
          <t>If specified, the value must be known to the associated Common Language</t>
        </is>
      </c>
      <c r="AO1294" s="1344" t="n">
        <v>7</v>
      </c>
      <c r="AP1294" s="1319" t="inlineStr">
        <is>
          <t>TIG0001</t>
        </is>
      </c>
      <c r="AQ1294" s="1321" t="n"/>
      <c r="AR1294" s="1343" t="n"/>
      <c r="AS1294" s="1320" t="n"/>
      <c r="AT1294" s="1324" t="n"/>
      <c r="AU1294" s="1321" t="n"/>
      <c r="AV1294" s="1343" t="n"/>
      <c r="AW1294" s="1320" t="n"/>
      <c r="AX1294" s="1324" t="n"/>
      <c r="AY1294" s="1321" t="n"/>
      <c r="AZ1294" s="1349" t="n"/>
      <c r="BA1294" s="1344" t="n"/>
      <c r="BB1294" s="1324" t="n"/>
      <c r="BC1294" s="1321" t="n"/>
      <c r="BD1294" s="1350" t="n"/>
      <c r="BE1294" s="1344" t="n"/>
      <c r="BF1294" s="1324" t="n"/>
      <c r="BG1294" s="89" t="n"/>
      <c r="BH12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94">
        <f>_xlfn.LET(r,ROW(),oc,INDEX($A:$A,r),cv,TRIM(INDEX($Y:$Y,r)&amp;""),IF(oc&lt;&gt;"P1","",IF(cv="45","V45 - novo, nao alimentado pelo spool atual","V44 - alimentado pelo spool atual")))</f>
        <v/>
      </c>
    </row>
    <row r="1295" ht="54" customFormat="1" customHeight="1" s="60" thickBot="1">
      <c r="A1295" s="1196" t="inlineStr">
        <is>
          <t>P2</t>
        </is>
      </c>
      <c r="B1295" s="1197" t="n">
        <v>398</v>
      </c>
      <c r="C1295" s="1185" t="inlineStr">
        <is>
          <t>NA</t>
        </is>
      </c>
      <c r="D1295" s="1185" t="inlineStr">
        <is>
          <t>NA</t>
        </is>
      </c>
      <c r="E1295" s="1197" t="inlineStr">
        <is>
          <t>P2 99.99</t>
        </is>
      </c>
      <c r="F1295" s="1198" t="inlineStr">
        <is>
          <t>Filler</t>
        </is>
      </c>
      <c r="G1295" s="1198" t="inlineStr">
        <is>
          <t>Filler</t>
        </is>
      </c>
      <c r="H1295" s="1198" t="n"/>
      <c r="I1295" s="1186" t="inlineStr">
        <is>
          <t>Zone libre</t>
        </is>
      </c>
      <c r="J1295" s="1198" t="inlineStr">
        <is>
          <t>Free zone</t>
        </is>
      </c>
      <c r="K1295" s="1199" t="inlineStr">
        <is>
          <t>NA</t>
        </is>
      </c>
      <c r="L1295" s="1199" t="inlineStr">
        <is>
          <t>NA</t>
        </is>
      </c>
      <c r="M1295" s="1422" t="inlineStr">
        <is>
          <t>Zonelibre9999</t>
        </is>
      </c>
      <c r="N1295" s="1201" t="inlineStr">
        <is>
          <t>NA</t>
        </is>
      </c>
      <c r="O1295" s="1199" t="inlineStr">
        <is>
          <t>NA</t>
        </is>
      </c>
      <c r="P1295" s="1201" t="inlineStr">
        <is>
          <t>NA</t>
        </is>
      </c>
      <c r="Q1295" s="1201" t="inlineStr">
        <is>
          <t>NA</t>
        </is>
      </c>
      <c r="R1295" s="1186" t="inlineStr">
        <is>
          <t>Laisser à vide</t>
        </is>
      </c>
      <c r="S1295" s="1186" t="inlineStr">
        <is>
          <t>Leave empty</t>
        </is>
      </c>
      <c r="T1295" s="1197" t="inlineStr">
        <is>
          <t>ALPHA</t>
        </is>
      </c>
      <c r="U1295" s="1188" t="inlineStr">
        <is>
          <t>NA</t>
        </is>
      </c>
      <c r="V1295" s="1188" t="inlineStr">
        <is>
          <t>NA</t>
        </is>
      </c>
      <c r="W1295" s="1216">
        <f>8000-(SUM(W898:W1294)+COUNT(W898:W1294))</f>
        <v/>
      </c>
      <c r="X1295" s="1185" t="inlineStr">
        <is>
          <t>NA</t>
        </is>
      </c>
      <c r="Y1295" s="1188" t="n">
        <v>43</v>
      </c>
      <c r="Z1295" s="1188" t="inlineStr">
        <is>
          <t>NA</t>
        </is>
      </c>
      <c r="AA1295" s="1190" t="inlineStr">
        <is>
          <t>45.00</t>
        </is>
      </c>
      <c r="AB1295" s="1185" t="inlineStr">
        <is>
          <t>NA</t>
        </is>
      </c>
      <c r="AC1295" s="1185" t="inlineStr">
        <is>
          <t>NA</t>
        </is>
      </c>
      <c r="AD1295" s="1201" t="inlineStr">
        <is>
          <t>N</t>
        </is>
      </c>
      <c r="AE1295" s="1201" t="inlineStr">
        <is>
          <t>NA</t>
        </is>
      </c>
      <c r="AF1295" s="1201" t="inlineStr">
        <is>
          <t>NA</t>
        </is>
      </c>
      <c r="AG1295" s="1203" t="inlineStr">
        <is>
          <t>NA</t>
        </is>
      </c>
      <c r="AH1295" s="1360" t="n"/>
      <c r="AI1295" s="1204" t="n"/>
      <c r="AJ1295" s="1205" t="n"/>
      <c r="AK1295" s="1201" t="n"/>
      <c r="AL1295" s="1203" t="n"/>
      <c r="AM1295" s="1205" t="n"/>
      <c r="AN1295" s="1205" t="n"/>
      <c r="AO1295" s="1201" t="n"/>
      <c r="AP1295" s="1203" t="n"/>
      <c r="AQ1295" s="1205" t="n"/>
      <c r="AR1295" s="1205" t="n"/>
      <c r="AS1295" s="1201" t="n"/>
      <c r="AT1295" s="1203" t="n"/>
      <c r="AU1295" s="1205" t="n"/>
      <c r="AV1295" s="1205" t="n"/>
      <c r="AW1295" s="1201" t="n"/>
      <c r="AX1295" s="1203" t="n"/>
      <c r="AY1295" s="1205" t="n"/>
      <c r="AZ1295" s="1205" t="n"/>
      <c r="BA1295" s="1201" t="n"/>
      <c r="BB1295" s="1203" t="n"/>
      <c r="BC1295" s="1204" t="n"/>
      <c r="BD1295" s="1205" t="n"/>
      <c r="BE1295" s="1201" t="n"/>
      <c r="BF1295" s="1203" t="n"/>
      <c r="BG1295" s="1360" t="n"/>
      <c r="BH12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95">
        <f>_xlfn.LET(r,ROW(),oc,INDEX($A:$A,r),cv,TRIM(INDEX($Y:$Y,r)&amp;""),IF(oc&lt;&gt;"P1","",IF(cv="45","V45 - novo, nao alimentado pelo spool atual","V44 - alimentado pelo spool atual")))</f>
        <v/>
      </c>
    </row>
    <row r="1296" ht="54" customFormat="1" customHeight="1" s="90">
      <c r="A1296" s="286" t="inlineStr">
        <is>
          <t>M1</t>
        </is>
      </c>
      <c r="B1296" s="287" t="n">
        <v>1</v>
      </c>
      <c r="C1296" s="292" t="inlineStr">
        <is>
          <t>02 - Caractéristiques d'identification fonctionnelles</t>
        </is>
      </c>
      <c r="D1296" s="293" t="inlineStr">
        <is>
          <t>02 - Functional identification characteristics</t>
        </is>
      </c>
      <c r="E1296" s="287" t="inlineStr">
        <is>
          <t>0.1 (M1)</t>
        </is>
      </c>
      <c r="F1296" s="288" t="inlineStr">
        <is>
          <t xml:space="preserve">Date d'arrêté </t>
        </is>
      </c>
      <c r="G1296" s="289" t="inlineStr">
        <is>
          <t>Closing date</t>
        </is>
      </c>
      <c r="H1296" s="289" t="n"/>
      <c r="I1296" s="290" t="inlineStr">
        <is>
          <t>Correspond à la date d'arrêté des données transmises (dernier jour calendaire du mois)</t>
        </is>
      </c>
      <c r="J1296" s="291" t="inlineStr">
        <is>
          <t>Represents the cut-off date of the data transmitted (final calendar day of the month)</t>
        </is>
      </c>
      <c r="K1296" s="402" t="inlineStr">
        <is>
          <t>ND</t>
        </is>
      </c>
      <c r="L1296" s="403" t="inlineStr">
        <is>
          <t>ND</t>
        </is>
      </c>
      <c r="M1296" s="1419" t="inlineStr">
        <is>
          <t>SttmDt</t>
        </is>
      </c>
      <c r="N1296" s="294" t="inlineStr">
        <is>
          <t>Obligatoire</t>
        </is>
      </c>
      <c r="O1296" s="295" t="inlineStr">
        <is>
          <t>Mandatory</t>
        </is>
      </c>
      <c r="P1296" s="292" t="inlineStr">
        <is>
          <t>NA</t>
        </is>
      </c>
      <c r="Q1296" s="292" t="inlineStr">
        <is>
          <t>NA</t>
        </is>
      </c>
      <c r="R1296" s="290" t="inlineStr">
        <is>
          <t>Il doit y avoir unicité de la date d'arrêté au sein du flux</t>
        </is>
      </c>
      <c r="S1296" s="291" t="inlineStr">
        <is>
          <t>The cut-off date must be the same across the flow</t>
        </is>
      </c>
      <c r="T1296" s="195" t="inlineStr">
        <is>
          <t>DATE</t>
        </is>
      </c>
      <c r="U1296" s="296" t="inlineStr">
        <is>
          <t>AAAAMMJJ</t>
        </is>
      </c>
      <c r="V1296" s="297" t="inlineStr">
        <is>
          <t>YYYYMMDD</t>
        </is>
      </c>
      <c r="W1296" s="298" t="n">
        <v>8</v>
      </c>
      <c r="X1296" s="1041" t="inlineStr">
        <is>
          <t>NA</t>
        </is>
      </c>
      <c r="Y1296" s="296" t="inlineStr">
        <is>
          <t>40</t>
        </is>
      </c>
      <c r="Z1296" s="296" t="inlineStr">
        <is>
          <t>NA</t>
        </is>
      </c>
      <c r="AA1296" s="296" t="inlineStr">
        <is>
          <t>NA</t>
        </is>
      </c>
      <c r="AB1296" s="292" t="inlineStr">
        <is>
          <t>USAGE ZP</t>
        </is>
      </c>
      <c r="AC1296" s="294" t="inlineStr">
        <is>
          <t>ND</t>
        </is>
      </c>
      <c r="AD1296" s="298" t="inlineStr">
        <is>
          <t>N</t>
        </is>
      </c>
      <c r="AE1296" s="298" t="inlineStr">
        <is>
          <t>SEC-CAS-COL
IAS
GUA-CDE
INS
REE-TAS</t>
        </is>
      </c>
      <c r="AF1296" s="298" t="inlineStr">
        <is>
          <t>NA</t>
        </is>
      </c>
      <c r="AG1296" s="300" t="inlineStr">
        <is>
          <t>NA</t>
        </is>
      </c>
      <c r="AH1296" s="89" t="n"/>
      <c r="AI1296" s="301" t="inlineStr">
        <is>
          <t>La donnée est obligatoire</t>
        </is>
      </c>
      <c r="AJ1296" s="302" t="inlineStr">
        <is>
          <t>The data is mandatory</t>
        </is>
      </c>
      <c r="AK1296" s="303" t="n"/>
      <c r="AL1296" s="304" t="inlineStr">
        <is>
          <t>EN0011</t>
        </is>
      </c>
      <c r="AM1296" s="305" t="n"/>
      <c r="AN1296" s="302" t="n"/>
      <c r="AO1296" s="303" t="n"/>
      <c r="AP1296" s="304" t="n"/>
      <c r="AQ1296"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296"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296" s="303" t="n"/>
      <c r="AT1296" s="304" t="inlineStr">
        <is>
          <t>EN0017
EN0019</t>
        </is>
      </c>
      <c r="AU1296"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296" s="302"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296" s="303" t="n"/>
      <c r="AX1296" s="304" t="inlineStr">
        <is>
          <t>EN001B</t>
        </is>
      </c>
      <c r="AY1296" s="305" t="n"/>
      <c r="AZ1296" s="302" t="n"/>
      <c r="BA1296" s="303" t="n"/>
      <c r="BB1296" s="304" t="n"/>
      <c r="BC1296" s="301" t="n"/>
      <c r="BD1296" s="302" t="n"/>
      <c r="BE1296" s="303" t="n"/>
      <c r="BF1296" s="304" t="n"/>
      <c r="BG1296" s="89" t="n"/>
      <c r="BH12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96">
        <f>_xlfn.LET(r,ROW(),oc,INDEX($A:$A,r),cv,TRIM(INDEX($Y:$Y,r)&amp;""),IF(oc&lt;&gt;"P1","",IF(cv="45","V45 - novo, nao alimentado pelo spool atual","V44 - alimentado pelo spool atual")))</f>
        <v/>
      </c>
    </row>
    <row r="1297" ht="54" customFormat="1" customHeight="1" s="90">
      <c r="A1297" s="306" t="inlineStr">
        <is>
          <t>M1</t>
        </is>
      </c>
      <c r="B1297" s="307" t="n">
        <v>2</v>
      </c>
      <c r="C1297" s="269" t="inlineStr">
        <is>
          <t>02 - Caractéristiques d'identification fonctionnelles</t>
        </is>
      </c>
      <c r="D1297" s="310" t="inlineStr">
        <is>
          <t>02 - Functional identification characteristics</t>
        </is>
      </c>
      <c r="E1297" s="307" t="inlineStr">
        <is>
          <t>0.2 (M1)</t>
        </is>
      </c>
      <c r="F1297" s="308" t="inlineStr">
        <is>
          <t>Entité Porteuse de Risques</t>
        </is>
      </c>
      <c r="G1297" s="309" t="inlineStr">
        <is>
          <t>Risk taker entity</t>
        </is>
      </c>
      <c r="H1297" s="309" t="n"/>
      <c r="I1297" s="241" t="inlineStr">
        <is>
          <t>Correspond au code consolidation comptable de l'Entité porteuse de risque dans les comptes de Crédit Agricole S.A.</t>
        </is>
      </c>
      <c r="J1297" s="309" t="inlineStr">
        <is>
          <t>Represents the accounting consolidation code of the Entity bearing risks in the financial statements of Crédit Agricole S.A.</t>
        </is>
      </c>
      <c r="K1297" s="370" t="inlineStr">
        <is>
          <t>ND</t>
        </is>
      </c>
      <c r="L1297" s="371" t="inlineStr">
        <is>
          <t>ND</t>
        </is>
      </c>
      <c r="M1297" s="1420" t="inlineStr">
        <is>
          <t>EntPortRisq</t>
        </is>
      </c>
      <c r="N1297" s="231" t="inlineStr">
        <is>
          <t>Obligatoire</t>
        </is>
      </c>
      <c r="O1297" s="236" t="inlineStr">
        <is>
          <t>Mandatory</t>
        </is>
      </c>
      <c r="P1297" s="269" t="inlineStr">
        <is>
          <t>LC.0003</t>
        </is>
      </c>
      <c r="Q1297" s="269" t="inlineStr">
        <is>
          <t>TA FI59</t>
        </is>
      </c>
      <c r="R1297" s="241" t="inlineStr">
        <is>
          <t>NA</t>
        </is>
      </c>
      <c r="S1297" s="309" t="inlineStr">
        <is>
          <t>NA</t>
        </is>
      </c>
      <c r="T1297" s="313" t="inlineStr">
        <is>
          <t>ALPHA</t>
        </is>
      </c>
      <c r="U1297" s="237" t="inlineStr">
        <is>
          <t>NA</t>
        </is>
      </c>
      <c r="V1297" s="238" t="inlineStr">
        <is>
          <t>NA</t>
        </is>
      </c>
      <c r="W1297" s="257" t="n">
        <v>5</v>
      </c>
      <c r="X1297" s="945" t="inlineStr">
        <is>
          <t>NA</t>
        </is>
      </c>
      <c r="Y1297" s="237" t="inlineStr">
        <is>
          <t>40</t>
        </is>
      </c>
      <c r="Z1297" s="237" t="inlineStr">
        <is>
          <t>NA</t>
        </is>
      </c>
      <c r="AA1297" s="237" t="inlineStr">
        <is>
          <t>NA</t>
        </is>
      </c>
      <c r="AB1297" s="269" t="inlineStr">
        <is>
          <t>NPE, NSFR</t>
        </is>
      </c>
      <c r="AC1297" s="231" t="inlineStr">
        <is>
          <t>ND</t>
        </is>
      </c>
      <c r="AD1297" s="257" t="inlineStr">
        <is>
          <t>N</t>
        </is>
      </c>
      <c r="AE1297" s="1179" t="inlineStr">
        <is>
          <t>SEC-CAS-COL
IAS
GUA-CDE
INS
REE-TAS</t>
        </is>
      </c>
      <c r="AF1297" s="257" t="inlineStr">
        <is>
          <t>NA</t>
        </is>
      </c>
      <c r="AG1297" s="258" t="inlineStr">
        <is>
          <t>NA</t>
        </is>
      </c>
      <c r="AH1297" s="89" t="n"/>
      <c r="AI1297" s="316" t="inlineStr">
        <is>
          <t>La donnée est obligatoire</t>
        </is>
      </c>
      <c r="AJ1297" s="317" t="inlineStr">
        <is>
          <t>The data is mandatory</t>
        </is>
      </c>
      <c r="AK1297" s="257" t="n"/>
      <c r="AL1297" s="258" t="inlineStr">
        <is>
          <t>EN0021</t>
        </is>
      </c>
      <c r="AM1297"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1297"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1297" s="313" t="n"/>
      <c r="AP1297" s="319" t="inlineStr">
        <is>
          <t>EN0023</t>
        </is>
      </c>
      <c r="AQ1297" s="318" t="n"/>
      <c r="AR1297" s="317" t="n"/>
      <c r="AS1297" s="257" t="n"/>
      <c r="AT1297" s="258" t="n"/>
      <c r="AU1297" s="318" t="n"/>
      <c r="AV1297" s="317" t="n"/>
      <c r="AW1297" s="257" t="n"/>
      <c r="AX1297" s="258" t="n"/>
      <c r="AY1297" s="159" t="inlineStr">
        <is>
          <t>Unicité au sein de l'entité porteuse de risque</t>
        </is>
      </c>
      <c r="AZ1297" s="160" t="inlineStr">
        <is>
          <t>Uniqueness within the entity bearing the risk</t>
        </is>
      </c>
      <c r="BA1297" s="257" t="n">
        <v>7</v>
      </c>
      <c r="BB1297" s="320" t="inlineStr">
        <is>
          <t>TU0001</t>
        </is>
      </c>
      <c r="BC1297" s="316" t="n"/>
      <c r="BD1297" s="317" t="n"/>
      <c r="BE1297" s="257" t="n"/>
      <c r="BF1297" s="258" t="n"/>
      <c r="BG1297" s="89" t="n"/>
      <c r="BH12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97">
        <f>_xlfn.LET(r,ROW(),oc,INDEX($A:$A,r),cv,TRIM(INDEX($Y:$Y,r)&amp;""),IF(oc&lt;&gt;"P1","",IF(cv="45","V45 - novo, nao alimentado pelo spool atual","V44 - alimentado pelo spool atual")))</f>
        <v/>
      </c>
    </row>
    <row r="1298" ht="54" customFormat="1" customHeight="1" s="90">
      <c r="A1298" s="306" t="inlineStr">
        <is>
          <t>M1</t>
        </is>
      </c>
      <c r="B1298" s="307" t="n">
        <v>3</v>
      </c>
      <c r="C1298" s="269" t="inlineStr">
        <is>
          <t>02 - Caractéristiques d'identification fonctionnelles</t>
        </is>
      </c>
      <c r="D1298" s="310" t="inlineStr">
        <is>
          <t>02 - Functional identification characteristics</t>
        </is>
      </c>
      <c r="E1298" s="307" t="inlineStr">
        <is>
          <t>0.3 (M1)</t>
        </is>
      </c>
      <c r="F1298" s="308" t="inlineStr">
        <is>
          <t>Application source</t>
        </is>
      </c>
      <c r="G1298" s="309" t="inlineStr">
        <is>
          <t>Source application</t>
        </is>
      </c>
      <c r="H1298" s="309" t="n"/>
      <c r="I1298" s="241" t="inlineStr">
        <is>
          <t>Correspond au code du Système d'Information utilisé en local pour générer le flux
Dans le flux Grande Clientèle, il faut préfixer par la lettre ‘C' le code application source</t>
        </is>
      </c>
      <c r="J1298" s="233" t="inlineStr">
        <is>
          <t xml:space="preserve">Represents the code of the Information System used locally to generate the flow
In Corporate flow, the source application code must be prefix with the letter 'C' </t>
        </is>
      </c>
      <c r="K1298" s="269" t="inlineStr">
        <is>
          <t>ND</t>
        </is>
      </c>
      <c r="L1298" s="310" t="inlineStr">
        <is>
          <t>ND</t>
        </is>
      </c>
      <c r="M1298" s="1420" t="inlineStr">
        <is>
          <t>AppliSource</t>
        </is>
      </c>
      <c r="N1298" s="231" t="inlineStr">
        <is>
          <t>Obligatoire</t>
        </is>
      </c>
      <c r="O1298" s="236" t="inlineStr">
        <is>
          <t>Mandatory</t>
        </is>
      </c>
      <c r="P1298" s="994" t="inlineStr">
        <is>
          <t>NA</t>
        </is>
      </c>
      <c r="Q1298" s="206" t="inlineStr">
        <is>
          <t>TA KVAPPBK</t>
        </is>
      </c>
      <c r="R1298"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1298"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1298" s="313" t="inlineStr">
        <is>
          <t>ALPHA</t>
        </is>
      </c>
      <c r="U1298" s="237" t="inlineStr">
        <is>
          <t>NA</t>
        </is>
      </c>
      <c r="V1298" s="238" t="inlineStr">
        <is>
          <t>NA</t>
        </is>
      </c>
      <c r="W1298" s="257" t="n">
        <v>12</v>
      </c>
      <c r="X1298" s="945" t="inlineStr">
        <is>
          <t>NA</t>
        </is>
      </c>
      <c r="Y1298" s="237" t="inlineStr">
        <is>
          <t>40</t>
        </is>
      </c>
      <c r="Z1298" s="237" t="inlineStr">
        <is>
          <t>NA</t>
        </is>
      </c>
      <c r="AA1298" s="237" t="inlineStr">
        <is>
          <t>NA</t>
        </is>
      </c>
      <c r="AB1298" s="269" t="inlineStr">
        <is>
          <t>NPE, NSFR</t>
        </is>
      </c>
      <c r="AC1298" s="231" t="inlineStr">
        <is>
          <t>ND</t>
        </is>
      </c>
      <c r="AD1298" s="257" t="inlineStr">
        <is>
          <t>N</t>
        </is>
      </c>
      <c r="AE1298" s="257" t="inlineStr">
        <is>
          <t>SEC-CAS-COL
IAS
GUA-CDE
INS
REE-TAS</t>
        </is>
      </c>
      <c r="AF1298" s="257" t="inlineStr">
        <is>
          <t>NA</t>
        </is>
      </c>
      <c r="AG1298" s="258" t="inlineStr">
        <is>
          <t>NA</t>
        </is>
      </c>
      <c r="AH1298" s="89" t="n"/>
      <c r="AI1298" s="316" t="inlineStr">
        <is>
          <t>La donnée est obligatoire</t>
        </is>
      </c>
      <c r="AJ1298" s="321" t="inlineStr">
        <is>
          <t>The data is mandatory</t>
        </is>
      </c>
      <c r="AK1298" s="313" t="n"/>
      <c r="AL1298" s="319" t="inlineStr">
        <is>
          <t>EN0031</t>
        </is>
      </c>
      <c r="AM1298" s="210" t="inlineStr">
        <is>
          <t>Si elle est renseignée, la valeur doit être connue du Langage Commun associé</t>
        </is>
      </c>
      <c r="AN1298" s="211" t="inlineStr">
        <is>
          <t>If specified, the value must be known to the associated Common Language</t>
        </is>
      </c>
      <c r="AO1298" s="313" t="n"/>
      <c r="AP1298" s="258" t="inlineStr">
        <is>
          <t>EN0035</t>
        </is>
      </c>
      <c r="AQ1298" s="318" t="n"/>
      <c r="AR1298" s="317" t="n"/>
      <c r="AS1298" s="257" t="n"/>
      <c r="AT1298" s="258" t="n"/>
      <c r="AU1298" s="318" t="n"/>
      <c r="AV1298" s="317" t="n"/>
      <c r="AW1298" s="257" t="n"/>
      <c r="AX1298" s="258" t="n"/>
      <c r="AY1298" s="318" t="n"/>
      <c r="AZ1298" s="317" t="n"/>
      <c r="BA1298" s="257" t="n"/>
      <c r="BB1298" s="258" t="n"/>
      <c r="BC1298" s="316" t="n"/>
      <c r="BD1298" s="317" t="n"/>
      <c r="BE1298" s="257" t="n"/>
      <c r="BF1298" s="258" t="n"/>
      <c r="BG1298" s="89" t="n"/>
      <c r="BH12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98">
        <f>_xlfn.LET(r,ROW(),oc,INDEX($A:$A,r),cv,TRIM(INDEX($Y:$Y,r)&amp;""),IF(oc&lt;&gt;"P1","",IF(cv="45","V45 - novo, nao alimentado pelo spool atual","V44 - alimentado pelo spool atual")))</f>
        <v/>
      </c>
    </row>
    <row r="1299" ht="54" customFormat="1" customHeight="1" s="90">
      <c r="A1299" s="306" t="inlineStr">
        <is>
          <t>M1</t>
        </is>
      </c>
      <c r="B1299" s="307" t="n">
        <v>4</v>
      </c>
      <c r="C1299" s="269" t="inlineStr">
        <is>
          <t>01 - Caractéristiques d'identification techniques</t>
        </is>
      </c>
      <c r="D1299" s="310" t="inlineStr">
        <is>
          <t>01 - Technical identification characteristics</t>
        </is>
      </c>
      <c r="E1299" s="307" t="inlineStr">
        <is>
          <t>0.4 (M1)</t>
        </is>
      </c>
      <c r="F1299" s="308" t="inlineStr">
        <is>
          <t>Fréquence de transmission</t>
        </is>
      </c>
      <c r="G1299" s="309" t="inlineStr">
        <is>
          <t>Transmission frequency</t>
        </is>
      </c>
      <c r="H1299" s="309" t="n"/>
      <c r="I1299" s="234" t="inlineStr">
        <is>
          <t>Permet d'identifier le flux dans les traitements</t>
        </is>
      </c>
      <c r="J1299" s="235" t="inlineStr">
        <is>
          <t>Makes it possible to identify the flow in the treatments</t>
        </is>
      </c>
      <c r="K1299" s="370" t="inlineStr">
        <is>
          <t>ND</t>
        </is>
      </c>
      <c r="L1299" s="371" t="inlineStr">
        <is>
          <t>ND</t>
        </is>
      </c>
      <c r="M1299" s="1420" t="inlineStr">
        <is>
          <t>FreqTrans</t>
        </is>
      </c>
      <c r="N1299" s="231" t="inlineStr">
        <is>
          <t>Obligatoire</t>
        </is>
      </c>
      <c r="O1299" s="236" t="inlineStr">
        <is>
          <t>Mandatory</t>
        </is>
      </c>
      <c r="P1299" s="269" t="inlineStr">
        <is>
          <t>NA</t>
        </is>
      </c>
      <c r="Q1299" s="269" t="inlineStr">
        <is>
          <t>NA</t>
        </is>
      </c>
      <c r="R1299" s="234" t="inlineStr">
        <is>
          <t>La seule valeur admise est 'M' pour mensuel</t>
        </is>
      </c>
      <c r="S1299" s="235" t="inlineStr">
        <is>
          <t>The only permitted value is 'M' for month</t>
        </is>
      </c>
      <c r="T1299" s="313" t="inlineStr">
        <is>
          <t>ALPHA</t>
        </is>
      </c>
      <c r="U1299" s="237" t="inlineStr">
        <is>
          <t>NA</t>
        </is>
      </c>
      <c r="V1299" s="238" t="inlineStr">
        <is>
          <t>NA</t>
        </is>
      </c>
      <c r="W1299" s="257" t="n">
        <v>1</v>
      </c>
      <c r="X1299" s="945" t="inlineStr">
        <is>
          <t>NA</t>
        </is>
      </c>
      <c r="Y1299" s="237" t="inlineStr">
        <is>
          <t>40</t>
        </is>
      </c>
      <c r="Z1299" s="237" t="inlineStr">
        <is>
          <t>NA</t>
        </is>
      </c>
      <c r="AA1299" s="237" t="inlineStr">
        <is>
          <t>NA</t>
        </is>
      </c>
      <c r="AB1299" s="269" t="inlineStr">
        <is>
          <t>USAGE ZP</t>
        </is>
      </c>
      <c r="AC1299" s="231" t="inlineStr">
        <is>
          <t>ND</t>
        </is>
      </c>
      <c r="AD1299" s="257" t="inlineStr">
        <is>
          <t>N</t>
        </is>
      </c>
      <c r="AE1299" s="257" t="inlineStr">
        <is>
          <t>SEC-CAS-COL
IAS
GUA-CDE
INS
REE-TAS</t>
        </is>
      </c>
      <c r="AF1299" s="257" t="inlineStr">
        <is>
          <t>NA</t>
        </is>
      </c>
      <c r="AG1299" s="258" t="inlineStr">
        <is>
          <t>NA</t>
        </is>
      </c>
      <c r="AH1299" s="89" t="n"/>
      <c r="AI1299" s="316" t="inlineStr">
        <is>
          <t>La donnée est obligatoire</t>
        </is>
      </c>
      <c r="AJ1299" s="317" t="inlineStr">
        <is>
          <t>The data is mandatory</t>
        </is>
      </c>
      <c r="AK1299" s="257" t="n"/>
      <c r="AL1299" s="258" t="inlineStr">
        <is>
          <t>EN0041</t>
        </is>
      </c>
      <c r="AM1299" s="318" t="n"/>
      <c r="AN1299" s="317" t="n"/>
      <c r="AO1299" s="257" t="n"/>
      <c r="AP1299" s="258" t="n"/>
      <c r="AQ1299" s="318" t="inlineStr">
        <is>
          <t>Si renseignée, la donnée doit être égale à 'M' ou 'C'.</t>
        </is>
      </c>
      <c r="AR1299" s="317" t="inlineStr">
        <is>
          <t>If filled in, the data must be equal to 'M' or 'C'.</t>
        </is>
      </c>
      <c r="AS1299" s="257" t="n"/>
      <c r="AT1299" s="258" t="inlineStr">
        <is>
          <t>EN0043</t>
        </is>
      </c>
      <c r="AU1299" s="318" t="n"/>
      <c r="AV1299" s="317" t="n"/>
      <c r="AW1299" s="257" t="n"/>
      <c r="AX1299" s="258" t="n"/>
      <c r="AY1299" s="318" t="n"/>
      <c r="AZ1299" s="317" t="n"/>
      <c r="BA1299" s="257" t="n"/>
      <c r="BB1299" s="258" t="n"/>
      <c r="BC1299" s="316" t="n"/>
      <c r="BD1299" s="317" t="n"/>
      <c r="BE1299" s="257" t="n"/>
      <c r="BF1299" s="258" t="n"/>
      <c r="BG1299" s="89" t="n"/>
      <c r="BH12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299">
        <f>_xlfn.LET(r,ROW(),oc,INDEX($A:$A,r),cv,TRIM(INDEX($Y:$Y,r)&amp;""),IF(oc&lt;&gt;"P1","",IF(cv="45","V45 - novo, nao alimentado pelo spool atual","V44 - alimentado pelo spool atual")))</f>
        <v/>
      </c>
    </row>
    <row r="1300" ht="54" customFormat="1" customHeight="1" s="90">
      <c r="A1300" s="306" t="inlineStr">
        <is>
          <t>M1</t>
        </is>
      </c>
      <c r="B1300" s="307" t="n">
        <v>5</v>
      </c>
      <c r="C1300" s="269" t="inlineStr">
        <is>
          <t>01 - Caractéristiques d'identification techniques</t>
        </is>
      </c>
      <c r="D1300" s="310" t="inlineStr">
        <is>
          <t>01 - Technical identification characteristics</t>
        </is>
      </c>
      <c r="E1300" s="307" t="inlineStr">
        <is>
          <t>0.5 (M1)</t>
        </is>
      </c>
      <c r="F1300" s="308" t="inlineStr">
        <is>
          <t>Date et Heure de traitement</t>
        </is>
      </c>
      <c r="G1300" s="309" t="inlineStr">
        <is>
          <t>Date and time of processing</t>
        </is>
      </c>
      <c r="H1300" s="309" t="n"/>
      <c r="I1300" s="234" t="inlineStr">
        <is>
          <t>Correspond à la date et heure du début du traitement ayant produit le flux</t>
        </is>
      </c>
      <c r="J1300" s="235" t="inlineStr">
        <is>
          <t>Represents the date and time at which treatment began</t>
        </is>
      </c>
      <c r="K1300" s="370" t="inlineStr">
        <is>
          <t>ND</t>
        </is>
      </c>
      <c r="L1300" s="371" t="inlineStr">
        <is>
          <t>ND</t>
        </is>
      </c>
      <c r="M1300" s="1420" t="inlineStr">
        <is>
          <t>DtHeureTrait</t>
        </is>
      </c>
      <c r="N1300" s="231" t="inlineStr">
        <is>
          <t>Obligatoire</t>
        </is>
      </c>
      <c r="O1300" s="236" t="inlineStr">
        <is>
          <t>Mandatory</t>
        </is>
      </c>
      <c r="P1300" s="269" t="inlineStr">
        <is>
          <t>NA</t>
        </is>
      </c>
      <c r="Q1300" s="269" t="inlineStr">
        <is>
          <t>NA</t>
        </is>
      </c>
      <c r="R1300" s="234" t="inlineStr">
        <is>
          <t>Unicité obligatoire au sein d'un Lot déterminé</t>
        </is>
      </c>
      <c r="S1300" s="235" t="inlineStr">
        <is>
          <t>Has to be unique within a specific Batch</t>
        </is>
      </c>
      <c r="T1300" s="313" t="inlineStr">
        <is>
          <t>ALPHA</t>
        </is>
      </c>
      <c r="U1300" s="237" t="inlineStr">
        <is>
          <t>NA</t>
        </is>
      </c>
      <c r="V1300" s="238" t="inlineStr">
        <is>
          <t>NA</t>
        </is>
      </c>
      <c r="W1300" s="257" t="n">
        <v>12</v>
      </c>
      <c r="X1300" s="945" t="inlineStr">
        <is>
          <t>NA</t>
        </is>
      </c>
      <c r="Y1300" s="237" t="inlineStr">
        <is>
          <t>40</t>
        </is>
      </c>
      <c r="Z1300" s="237" t="inlineStr">
        <is>
          <t>NA</t>
        </is>
      </c>
      <c r="AA1300" s="237" t="inlineStr">
        <is>
          <t>NA</t>
        </is>
      </c>
      <c r="AB1300" s="269" t="inlineStr">
        <is>
          <t>USAGE ZP</t>
        </is>
      </c>
      <c r="AC1300" s="231" t="inlineStr">
        <is>
          <t>ND</t>
        </is>
      </c>
      <c r="AD1300" s="257" t="inlineStr">
        <is>
          <t>N</t>
        </is>
      </c>
      <c r="AE1300" s="257" t="inlineStr">
        <is>
          <t>SEC-CAS-COL
IAS
GUA-CDE
INS
REE-TAS</t>
        </is>
      </c>
      <c r="AF1300" s="257" t="inlineStr">
        <is>
          <t>NA</t>
        </is>
      </c>
      <c r="AG1300" s="258" t="inlineStr">
        <is>
          <t>NA</t>
        </is>
      </c>
      <c r="AH1300" s="89" t="n"/>
      <c r="AI1300" s="316" t="inlineStr">
        <is>
          <t>La donnée est obligatoire</t>
        </is>
      </c>
      <c r="AJ1300" s="317" t="inlineStr">
        <is>
          <t>The data is mandatory</t>
        </is>
      </c>
      <c r="AK1300" s="257" t="n"/>
      <c r="AL1300" s="258" t="inlineStr">
        <is>
          <t>EN0051</t>
        </is>
      </c>
      <c r="AM1300" s="318" t="n"/>
      <c r="AN1300" s="317" t="n"/>
      <c r="AO1300" s="257" t="n"/>
      <c r="AP1300" s="258" t="n"/>
      <c r="AQ1300" s="318" t="n"/>
      <c r="AR1300" s="317" t="n"/>
      <c r="AS1300" s="257" t="n"/>
      <c r="AT1300" s="258" t="n"/>
      <c r="AU1300"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1300"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1300" s="257" t="n"/>
      <c r="AX1300" s="258" t="inlineStr">
        <is>
          <t>EN0056</t>
        </is>
      </c>
      <c r="AY1300" s="318" t="n"/>
      <c r="AZ1300" s="317" t="n"/>
      <c r="BA1300" s="257" t="n"/>
      <c r="BB1300" s="258" t="n"/>
      <c r="BC1300" s="316" t="n"/>
      <c r="BD1300" s="317" t="n"/>
      <c r="BE1300" s="257" t="n"/>
      <c r="BF1300" s="258" t="n"/>
      <c r="BG1300" s="89" t="n"/>
      <c r="BH13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00">
        <f>_xlfn.LET(r,ROW(),oc,INDEX($A:$A,r),cv,TRIM(INDEX($Y:$Y,r)&amp;""),IF(oc&lt;&gt;"P1","",IF(cv="45","V45 - novo, nao alimentado pelo spool atual","V44 - alimentado pelo spool atual")))</f>
        <v/>
      </c>
    </row>
    <row r="1301" ht="54" customFormat="1" customHeight="1" s="90">
      <c r="A1301" s="306" t="inlineStr">
        <is>
          <t>M1</t>
        </is>
      </c>
      <c r="B1301" s="307" t="n">
        <v>6</v>
      </c>
      <c r="C1301" s="269" t="inlineStr">
        <is>
          <t>01 - Caractéristiques d'identification techniques</t>
        </is>
      </c>
      <c r="D1301" s="310" t="inlineStr">
        <is>
          <t>01 - Technical identification characteristics</t>
        </is>
      </c>
      <c r="E1301" s="307" t="inlineStr">
        <is>
          <t>0.6 (M1)</t>
        </is>
      </c>
      <c r="F1301" s="308" t="inlineStr">
        <is>
          <t>Type d'enregistrement</t>
        </is>
      </c>
      <c r="G1301" s="309" t="inlineStr">
        <is>
          <t>Record type</t>
        </is>
      </c>
      <c r="H1301" s="309" t="n"/>
      <c r="I1301" s="242" t="inlineStr">
        <is>
          <t>Caractérise le type d'enregistrement remonté par l'entité</t>
        </is>
      </c>
      <c r="J1301" s="235" t="inlineStr">
        <is>
          <t>Represents the record type reported by the entity</t>
        </is>
      </c>
      <c r="K1301" s="370" t="inlineStr">
        <is>
          <t>ND</t>
        </is>
      </c>
      <c r="L1301" s="371" t="inlineStr">
        <is>
          <t>ND</t>
        </is>
      </c>
      <c r="M1301" s="1420" t="inlineStr">
        <is>
          <t>TypEnreg</t>
        </is>
      </c>
      <c r="N1301" s="231" t="inlineStr">
        <is>
          <t>Obligatoire</t>
        </is>
      </c>
      <c r="O1301" s="236" t="inlineStr">
        <is>
          <t>Mandatory</t>
        </is>
      </c>
      <c r="P1301" s="269" t="inlineStr">
        <is>
          <t>NA</t>
        </is>
      </c>
      <c r="Q1301" s="269" t="inlineStr">
        <is>
          <t>NA</t>
        </is>
      </c>
      <c r="R1301" s="241" t="inlineStr">
        <is>
          <t>Valeur admise : 'M1' (Domaine Sûretés)</t>
        </is>
      </c>
      <c r="S1301" s="309" t="inlineStr">
        <is>
          <t>Accepted value: 'M1' (Security interests domain)</t>
        </is>
      </c>
      <c r="T1301" s="313" t="inlineStr">
        <is>
          <t>ALPHA</t>
        </is>
      </c>
      <c r="U1301" s="237" t="inlineStr">
        <is>
          <t>NA</t>
        </is>
      </c>
      <c r="V1301" s="238" t="inlineStr">
        <is>
          <t>NA</t>
        </is>
      </c>
      <c r="W1301" s="257" t="n">
        <v>2</v>
      </c>
      <c r="X1301" s="945" t="inlineStr">
        <is>
          <t>NA</t>
        </is>
      </c>
      <c r="Y1301" s="237" t="inlineStr">
        <is>
          <t>40</t>
        </is>
      </c>
      <c r="Z1301" s="237" t="inlineStr">
        <is>
          <t>NA</t>
        </is>
      </c>
      <c r="AA1301" s="237" t="inlineStr">
        <is>
          <t>NA</t>
        </is>
      </c>
      <c r="AB1301" s="269" t="inlineStr">
        <is>
          <t>USAGE ZP</t>
        </is>
      </c>
      <c r="AC1301" s="231" t="inlineStr">
        <is>
          <t>ND</t>
        </is>
      </c>
      <c r="AD1301" s="257" t="inlineStr">
        <is>
          <t>N</t>
        </is>
      </c>
      <c r="AE1301" s="257" t="inlineStr">
        <is>
          <t>SEC-CAS-COL
IAS
GUA-CDE
INS
REE-TAS</t>
        </is>
      </c>
      <c r="AF1301" s="257" t="inlineStr">
        <is>
          <t>NA</t>
        </is>
      </c>
      <c r="AG1301" s="258" t="inlineStr">
        <is>
          <t>NA</t>
        </is>
      </c>
      <c r="AH1301" s="89" t="n"/>
      <c r="AI1301" s="316" t="inlineStr">
        <is>
          <t>La donnée est obligatoire</t>
        </is>
      </c>
      <c r="AJ1301" s="317" t="inlineStr">
        <is>
          <t>The data is mandatory</t>
        </is>
      </c>
      <c r="AK1301" s="257" t="n"/>
      <c r="AL1301" s="258" t="inlineStr">
        <is>
          <t>EN0061</t>
        </is>
      </c>
      <c r="AM1301" s="318" t="n"/>
      <c r="AN1301" s="317" t="n"/>
      <c r="AO1301" s="257" t="n"/>
      <c r="AP1301" s="258" t="n"/>
      <c r="AQ1301" s="322" t="inlineStr">
        <is>
          <t>Si renseignée, la donnée doit être égale à 'M1'</t>
        </is>
      </c>
      <c r="AR1301" s="317" t="inlineStr">
        <is>
          <t>If filled in, the data must be equal to 'M1'</t>
        </is>
      </c>
      <c r="AS1301" s="257" t="n"/>
      <c r="AT1301" s="258" t="inlineStr">
        <is>
          <t>EN0061</t>
        </is>
      </c>
      <c r="AU1301" s="318" t="n"/>
      <c r="AV1301" s="317" t="n"/>
      <c r="AW1301" s="257" t="n"/>
      <c r="AX1301" s="258" t="n"/>
      <c r="AY1301" s="318" t="n"/>
      <c r="AZ1301" s="317" t="n"/>
      <c r="BA1301" s="257" t="n"/>
      <c r="BB1301" s="258" t="n"/>
      <c r="BC1301" s="316" t="n"/>
      <c r="BD1301" s="317" t="n"/>
      <c r="BE1301" s="257" t="n"/>
      <c r="BF1301" s="258" t="n"/>
      <c r="BG1301" s="89" t="n"/>
      <c r="BH13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01">
        <f>_xlfn.LET(r,ROW(),oc,INDEX($A:$A,r),cv,TRIM(INDEX($Y:$Y,r)&amp;""),IF(oc&lt;&gt;"P1","",IF(cv="45","V45 - novo, nao alimentado pelo spool atual","V44 - alimentado pelo spool atual")))</f>
        <v/>
      </c>
    </row>
    <row r="1302" ht="54" customFormat="1" customHeight="1" s="90">
      <c r="A1302" s="306" t="inlineStr">
        <is>
          <t>M1</t>
        </is>
      </c>
      <c r="B1302" s="307" t="n">
        <v>7</v>
      </c>
      <c r="C1302" s="269" t="inlineStr">
        <is>
          <t>02 - Caractéristiques d'identification fonctionnelles</t>
        </is>
      </c>
      <c r="D1302" s="310" t="inlineStr">
        <is>
          <t>02 - Functional identification characteristics</t>
        </is>
      </c>
      <c r="E1302" s="307" t="inlineStr">
        <is>
          <t>0.7 (M1)</t>
        </is>
      </c>
      <c r="F1302" s="308" t="inlineStr">
        <is>
          <t>Nature de flux (Zone réservée DRG)</t>
        </is>
      </c>
      <c r="G1302" s="309" t="inlineStr">
        <is>
          <t>Nature of flow (Zone reserved for Group Risk Management Division)</t>
        </is>
      </c>
      <c r="H1302" s="309" t="n"/>
      <c r="I1302" s="241" t="inlineStr">
        <is>
          <t>Nature de flux (Zone réservée DRG)</t>
        </is>
      </c>
      <c r="J1302" s="309" t="inlineStr">
        <is>
          <t>Nature of flow (Zone reserved for Group Risk Management Division)</t>
        </is>
      </c>
      <c r="K1302" s="370" t="inlineStr">
        <is>
          <t>ND</t>
        </is>
      </c>
      <c r="L1302" s="371" t="inlineStr">
        <is>
          <t>ND</t>
        </is>
      </c>
      <c r="M1302" s="1420" t="inlineStr">
        <is>
          <t>NatFlux</t>
        </is>
      </c>
      <c r="N1302" s="231" t="inlineStr">
        <is>
          <t>Facultatif</t>
        </is>
      </c>
      <c r="O1302" s="236" t="inlineStr">
        <is>
          <t>Optional</t>
        </is>
      </c>
      <c r="P1302" s="269" t="inlineStr">
        <is>
          <t>NA</t>
        </is>
      </c>
      <c r="Q1302" s="269" t="inlineStr">
        <is>
          <t>NA</t>
        </is>
      </c>
      <c r="R1302" s="311" t="inlineStr">
        <is>
          <t>Zone réservée DRG</t>
        </is>
      </c>
      <c r="S1302" s="312" t="inlineStr">
        <is>
          <t>Zone reserved for the Group Risk Management Division</t>
        </is>
      </c>
      <c r="T1302" s="313" t="inlineStr">
        <is>
          <t>ALPHA</t>
        </is>
      </c>
      <c r="U1302" s="237" t="inlineStr">
        <is>
          <t>NA</t>
        </is>
      </c>
      <c r="V1302" s="238" t="inlineStr">
        <is>
          <t>NA</t>
        </is>
      </c>
      <c r="W1302" s="257" t="n">
        <v>1</v>
      </c>
      <c r="X1302" s="945" t="inlineStr">
        <is>
          <t>NA</t>
        </is>
      </c>
      <c r="Y1302" s="237" t="inlineStr">
        <is>
          <t>40</t>
        </is>
      </c>
      <c r="Z1302" s="237" t="inlineStr">
        <is>
          <t>NA</t>
        </is>
      </c>
      <c r="AA1302" s="237" t="inlineStr">
        <is>
          <t>NA</t>
        </is>
      </c>
      <c r="AB1302" s="636" t="inlineStr">
        <is>
          <t>USAGE ZP</t>
        </is>
      </c>
      <c r="AC1302" s="231" t="inlineStr">
        <is>
          <t>ND</t>
        </is>
      </c>
      <c r="AD1302" s="257" t="inlineStr">
        <is>
          <t>N</t>
        </is>
      </c>
      <c r="AE1302" s="257" t="inlineStr">
        <is>
          <t>SEC-CAS-COL
IAS
GUA-CDE
INS
REE-TAS</t>
        </is>
      </c>
      <c r="AF1302" s="257" t="inlineStr">
        <is>
          <t>NA</t>
        </is>
      </c>
      <c r="AG1302" s="258" t="inlineStr">
        <is>
          <t>NA</t>
        </is>
      </c>
      <c r="AH1302" s="89" t="n"/>
      <c r="AI1302" s="316" t="n"/>
      <c r="AJ1302" s="317" t="n"/>
      <c r="AK1302" s="257" t="n"/>
      <c r="AL1302" s="258" t="n"/>
      <c r="AM1302" s="318" t="n"/>
      <c r="AN1302" s="317" t="n"/>
      <c r="AO1302" s="257" t="n"/>
      <c r="AP1302" s="258" t="n"/>
      <c r="AQ1302" s="318" t="inlineStr">
        <is>
          <t>Si renseignée et type d'enregistrement (EN [0.6]) est différent de 'Z9', la donnée doit être égale à 'R'.</t>
        </is>
      </c>
      <c r="AR1302" s="317" t="inlineStr">
        <is>
          <t>If entered and record type (EN [0.6]) is different from 'Z9', the data must be equal to 'R'.</t>
        </is>
      </c>
      <c r="AS1302" s="257" t="n"/>
      <c r="AT1302" s="258" t="inlineStr">
        <is>
          <t>EN0071</t>
        </is>
      </c>
      <c r="AU1302"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1302"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1302" s="257" t="n"/>
      <c r="AX1302" s="258" t="inlineStr">
        <is>
          <t>EN0071</t>
        </is>
      </c>
      <c r="AY1302" s="318" t="n"/>
      <c r="AZ1302" s="317" t="n"/>
      <c r="BA1302" s="257" t="n"/>
      <c r="BB1302" s="258" t="n"/>
      <c r="BC1302" s="316" t="n"/>
      <c r="BD1302" s="317" t="n"/>
      <c r="BE1302" s="257" t="n"/>
      <c r="BF1302" s="258" t="n"/>
      <c r="BG1302" s="89" t="n"/>
      <c r="BH13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02">
        <f>_xlfn.LET(r,ROW(),oc,INDEX($A:$A,r),cv,TRIM(INDEX($Y:$Y,r)&amp;""),IF(oc&lt;&gt;"P1","",IF(cv="45","V45 - novo, nao alimentado pelo spool atual","V44 - alimentado pelo spool atual")))</f>
        <v/>
      </c>
    </row>
    <row r="1303" ht="54" customFormat="1" customHeight="1" s="90">
      <c r="A1303" s="306" t="inlineStr">
        <is>
          <t>M1</t>
        </is>
      </c>
      <c r="B1303" s="307" t="n">
        <v>8</v>
      </c>
      <c r="C1303" s="269" t="inlineStr">
        <is>
          <t>02 - Caractéristiques d'identification fonctionnelles</t>
        </is>
      </c>
      <c r="D1303" s="310" t="inlineStr">
        <is>
          <t>02 - Functional identification characteristics</t>
        </is>
      </c>
      <c r="E1303" s="307" t="inlineStr">
        <is>
          <t>0.8 (M1)</t>
        </is>
      </c>
      <c r="F1303" s="308" t="inlineStr">
        <is>
          <t>Centre de Responsabilité Comptable (Zone réservée CAsa social)</t>
        </is>
      </c>
      <c r="G1303" s="309" t="inlineStr">
        <is>
          <t>Accounting responsibility center (Zone reserved for Crédit Agricole S.A. Holding)</t>
        </is>
      </c>
      <c r="H1303" s="309" t="n"/>
      <c r="I1303" s="241" t="inlineStr">
        <is>
          <t>Pour Crédit Agricole SA entité sociale, indique le numéro de CRC (Centre de Responsabilité Comptable) concerné</t>
        </is>
      </c>
      <c r="J1303" s="309" t="inlineStr">
        <is>
          <t>For CASAes entity, indicate the relevant CRC (Center of accounting responsability) number</t>
        </is>
      </c>
      <c r="K1303" s="370" t="inlineStr">
        <is>
          <t>ND</t>
        </is>
      </c>
      <c r="L1303" s="371" t="inlineStr">
        <is>
          <t>ND</t>
        </is>
      </c>
      <c r="M1303" s="1420" t="inlineStr">
        <is>
          <t>ZoneResCasa</t>
        </is>
      </c>
      <c r="N1303" s="231" t="inlineStr">
        <is>
          <t>Facultatif</t>
        </is>
      </c>
      <c r="O1303" s="236" t="inlineStr">
        <is>
          <t>Optional</t>
        </is>
      </c>
      <c r="P1303" s="269" t="inlineStr">
        <is>
          <t>LC.0072</t>
        </is>
      </c>
      <c r="Q1303" s="269" t="inlineStr">
        <is>
          <t>TA KVCRC</t>
        </is>
      </c>
      <c r="R1303" s="241" t="inlineStr">
        <is>
          <t>Zone exploitée uniquement par les entités déclarant les risques portés par Crédit Agricole S.A.
Décomposition comptable du Siège en Activités (comptabilités auxiliaires). Permet de gérer les opérations pour compte propre Casa</t>
        </is>
      </c>
      <c r="S1303" s="309" t="inlineStr">
        <is>
          <t>Mandatory if entity carrying risks (C1 0.2) = '00018'
Zone operated only by entities reporting risks carried by Crédit Agricole S.A.
Accounting breakdown of Headquarters into Activities (sub-ledger accountings). Allows to manage CAsa proprietary transactions</t>
        </is>
      </c>
      <c r="T1303" s="313" t="inlineStr">
        <is>
          <t>ALPHA</t>
        </is>
      </c>
      <c r="U1303" s="237" t="inlineStr">
        <is>
          <t>NA</t>
        </is>
      </c>
      <c r="V1303" s="238" t="inlineStr">
        <is>
          <t>NA</t>
        </is>
      </c>
      <c r="W1303" s="257" t="n">
        <v>2</v>
      </c>
      <c r="X1303" s="945" t="inlineStr">
        <is>
          <t>NA</t>
        </is>
      </c>
      <c r="Y1303" s="237" t="inlineStr">
        <is>
          <t>40</t>
        </is>
      </c>
      <c r="Z1303" s="237" t="inlineStr">
        <is>
          <t>NA</t>
        </is>
      </c>
      <c r="AA1303" s="237" t="inlineStr">
        <is>
          <t>NA</t>
        </is>
      </c>
      <c r="AB1303" s="636" t="inlineStr">
        <is>
          <t>USAGE ZP</t>
        </is>
      </c>
      <c r="AC1303" s="231" t="inlineStr">
        <is>
          <t>ND</t>
        </is>
      </c>
      <c r="AD1303" s="257" t="inlineStr">
        <is>
          <t>N</t>
        </is>
      </c>
      <c r="AE1303" s="257" t="inlineStr">
        <is>
          <t>SEC-CAS-COL
IAS
GUA-CDE
INS
REE-TAS</t>
        </is>
      </c>
      <c r="AF1303" s="257" t="inlineStr">
        <is>
          <t>NA</t>
        </is>
      </c>
      <c r="AG1303" s="258" t="inlineStr">
        <is>
          <t>NA</t>
        </is>
      </c>
      <c r="AH1303" s="89" t="n"/>
      <c r="AI1303" s="323" t="n"/>
      <c r="AJ1303" s="317" t="n"/>
      <c r="AK1303" s="257" t="n"/>
      <c r="AL1303" s="258" t="n"/>
      <c r="AM1303" s="210" t="inlineStr">
        <is>
          <t>Si elle est renseignée, la valeur doit être connue du Langage Commun associé</t>
        </is>
      </c>
      <c r="AN1303" s="211" t="inlineStr">
        <is>
          <t>If specified, the value must be known to the associated Common Language</t>
        </is>
      </c>
      <c r="AO1303" s="257" t="n">
        <v>7</v>
      </c>
      <c r="AP1303" s="212" t="inlineStr">
        <is>
          <t>TIG0001</t>
        </is>
      </c>
      <c r="AQ1303" s="318" t="n"/>
      <c r="AR1303" s="317" t="n"/>
      <c r="AS1303" s="257" t="n"/>
      <c r="AT1303" s="258" t="n"/>
      <c r="AU1303" s="318" t="n"/>
      <c r="AV1303" s="317" t="n"/>
      <c r="AW1303" s="257" t="n"/>
      <c r="AX1303" s="258" t="n"/>
      <c r="AY1303" s="318" t="n"/>
      <c r="AZ1303" s="317" t="n"/>
      <c r="BA1303" s="257" t="n"/>
      <c r="BB1303" s="258" t="n"/>
      <c r="BC1303" s="316" t="n"/>
      <c r="BD1303" s="317" t="n"/>
      <c r="BE1303" s="257" t="n"/>
      <c r="BF1303" s="258" t="n"/>
      <c r="BG1303" s="89" t="n"/>
      <c r="BH13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03">
        <f>_xlfn.LET(r,ROW(),oc,INDEX($A:$A,r),cv,TRIM(INDEX($Y:$Y,r)&amp;""),IF(oc&lt;&gt;"P1","",IF(cv="45","V45 - novo, nao alimentado pelo spool atual","V44 - alimentado pelo spool atual")))</f>
        <v/>
      </c>
    </row>
    <row r="1304" ht="54" customFormat="1" customHeight="1" s="90">
      <c r="A1304" s="306" t="inlineStr">
        <is>
          <t>M1</t>
        </is>
      </c>
      <c r="B1304" s="307" t="n">
        <v>9</v>
      </c>
      <c r="C1304" s="269" t="inlineStr">
        <is>
          <t>02 - Caractéristiques d'identification fonctionnelles</t>
        </is>
      </c>
      <c r="D1304" s="310" t="inlineStr">
        <is>
          <t>02 - Functional identification characteristics</t>
        </is>
      </c>
      <c r="E1304" s="307" t="inlineStr">
        <is>
          <t>0.9 (M1)</t>
        </is>
      </c>
      <c r="F1304" s="308" t="inlineStr">
        <is>
          <t>Unité d'exploitation (Zone réservée CACIB)</t>
        </is>
      </c>
      <c r="G1304" s="309" t="inlineStr">
        <is>
          <t>Operating unit in the risk taker (Zone reserved for CACIB)</t>
        </is>
      </c>
      <c r="H1304" s="309" t="n"/>
      <c r="I1304" s="241" t="inlineStr">
        <is>
          <t>Permet de véhiculer le numéro d'unité d'exploitation au sein de CACIB</t>
        </is>
      </c>
      <c r="J1304" s="309" t="inlineStr">
        <is>
          <t>Used to convey the number of the operating unit within CACIB</t>
        </is>
      </c>
      <c r="K1304" s="370" t="inlineStr">
        <is>
          <t>ND</t>
        </is>
      </c>
      <c r="L1304" s="371" t="inlineStr">
        <is>
          <t>ND</t>
        </is>
      </c>
      <c r="M1304" s="1420" t="inlineStr">
        <is>
          <t>UniteExploit</t>
        </is>
      </c>
      <c r="N1304" s="231" t="inlineStr">
        <is>
          <t>Obligatoire sous conditions</t>
        </is>
      </c>
      <c r="O1304" s="236" t="inlineStr">
        <is>
          <t>Mandatory under conditions</t>
        </is>
      </c>
      <c r="P1304" s="994" t="inlineStr">
        <is>
          <t>NA</t>
        </is>
      </c>
      <c r="Q1304" s="269" t="inlineStr">
        <is>
          <t>NA</t>
        </is>
      </c>
      <c r="R1304" s="843" t="inlineStr">
        <is>
          <t>Réservé CACIB - laisser à vide si non concerné</t>
        </is>
      </c>
      <c r="S1304" s="309" t="inlineStr">
        <is>
          <t>CACIB Reserved - leave empty if not concerned</t>
        </is>
      </c>
      <c r="T1304" s="313" t="inlineStr">
        <is>
          <t xml:space="preserve"> ALPHA</t>
        </is>
      </c>
      <c r="U1304" s="237" t="inlineStr">
        <is>
          <t>NA</t>
        </is>
      </c>
      <c r="V1304" s="238" t="inlineStr">
        <is>
          <t>NA</t>
        </is>
      </c>
      <c r="W1304" s="257" t="n">
        <v>4</v>
      </c>
      <c r="X1304" s="945" t="inlineStr">
        <is>
          <t>NA</t>
        </is>
      </c>
      <c r="Y1304" s="237" t="inlineStr">
        <is>
          <t>40</t>
        </is>
      </c>
      <c r="Z1304" s="237" t="inlineStr">
        <is>
          <t>NA</t>
        </is>
      </c>
      <c r="AA1304" s="237" t="inlineStr">
        <is>
          <t>NA</t>
        </is>
      </c>
      <c r="AB1304" s="636" t="inlineStr">
        <is>
          <t>USAGE ZP</t>
        </is>
      </c>
      <c r="AC1304" s="231" t="inlineStr">
        <is>
          <t>ND</t>
        </is>
      </c>
      <c r="AD1304" s="257" t="inlineStr">
        <is>
          <t>N</t>
        </is>
      </c>
      <c r="AE1304" s="257" t="inlineStr">
        <is>
          <t>SEC-CAS-COL
IAS
GUA-CDE
INS
REE-TAS</t>
        </is>
      </c>
      <c r="AF1304" s="257" t="inlineStr">
        <is>
          <t>NA</t>
        </is>
      </c>
      <c r="AG1304" s="258" t="inlineStr">
        <is>
          <t>NA</t>
        </is>
      </c>
      <c r="AH1304" s="89" t="n"/>
      <c r="AI1304" s="316" t="inlineStr">
        <is>
          <t>La donnée est obligatoire si le Type d'enregistrement [0.6 (M1)] est différent de 'C1' et de 'Z9', et que, dans la table START "TA 0990 KVAPPBK", KVBAPPID commence par 'CACI' pour le KVAPPBK valant la concaténation "Entité porteuse de risque" [0.2 (M1)] et "Application source" [0.3 (M1)]</t>
        </is>
      </c>
      <c r="AJ1304" s="317" t="inlineStr">
        <is>
          <t>The data is mandatory if the record type [0.6 (M1)] is different from 'C1' and 'Z9', and in the START table "TA 0990 KVAPPBK", KVBAPPID starts with 'CACI' for the KVAPPBK with the concatenation 'Risk taker entity' [0.2 (M1)]and 'Source application' [0.3 (M1)]</t>
        </is>
      </c>
      <c r="AK1304" s="257" t="n"/>
      <c r="AL1304" s="258" t="inlineStr">
        <is>
          <t>EN0091</t>
        </is>
      </c>
      <c r="AM1304" s="324" t="inlineStr">
        <is>
          <t>Si renseignée, et si le type d'enregistrement [0.6 (M1] est différent de 'C1' et de 'Z9' :
1/ Si dans la table START "TA 0990 KVAPPBK", KVBAPPID commence par 'CACI' pour le KVAPPBK valant la concaténation "Entité porteuse de risque" [0.2 (M1)] et "Application source" [0.3 (M1)], alors, dans la table START "TA TMTAKOBU", la concaténation 'CA-CIB' + un blanc + [0.9 (M1)] + "_" + [0.2 (M1)] doit être présente dans le champ TMNOMOBU.
2/ Sinon, dans la table START "TA TMTAKOBU", la concaténation des 9 premiers caractères du BAPPID + '_' + 0.9 (M1)] doit être présente dans le champ TMNOMOBU.</t>
        </is>
      </c>
      <c r="AN1304" s="317" t="inlineStr">
        <is>
          <t>If filled in, and the type of record [0.6 (M1] is different from 'C1' and 'Z9':
1/ If in the START table "TA 0990 KVAPPBK", KVBAPPID starts with "CACI" for the KVAPPBK with the concatenation "risk carrying Entity" [0.2 (M1)] and "Source application" [0.3 (M1)], then in the START table "TA TMTAKOBU", the concatenation 'CA-CIB' + a blank + [0.9 (M1)] + "_" + [0.2 (M1)] must be present in the TMNOMOBU field.
2/ Otherwise, in the START table "TA TMTAKOBU", the concatenation of the first 9 characters of the BAPPID + '_' + [0.9 (M1)] must be present in the TMNOMOBU field.</t>
        </is>
      </c>
      <c r="AO1304" s="257" t="n"/>
      <c r="AP1304" s="258" t="inlineStr">
        <is>
          <t>EN0092</t>
        </is>
      </c>
      <c r="AQ1304" s="318" t="n"/>
      <c r="AR1304" s="317" t="n"/>
      <c r="AS1304" s="257" t="n"/>
      <c r="AT1304" s="258" t="n"/>
      <c r="AU1304" s="318" t="n"/>
      <c r="AV1304" s="317" t="n"/>
      <c r="AW1304" s="257" t="n"/>
      <c r="AX1304" s="258" t="n"/>
      <c r="AY1304" s="318" t="n"/>
      <c r="AZ1304" s="317" t="n"/>
      <c r="BA1304" s="257" t="n"/>
      <c r="BB1304" s="258" t="n"/>
      <c r="BC1304" s="316" t="n"/>
      <c r="BD1304" s="317" t="n"/>
      <c r="BE1304" s="257" t="n"/>
      <c r="BF1304" s="258" t="n"/>
      <c r="BG1304" s="89" t="n"/>
      <c r="BH13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04">
        <f>_xlfn.LET(r,ROW(),oc,INDEX($A:$A,r),cv,TRIM(INDEX($Y:$Y,r)&amp;""),IF(oc&lt;&gt;"P1","",IF(cv="45","V45 - novo, nao alimentado pelo spool atual","V44 - alimentado pelo spool atual")))</f>
        <v/>
      </c>
    </row>
    <row r="1305" ht="54" customFormat="1" customHeight="1" s="55">
      <c r="A1305" s="325" t="inlineStr">
        <is>
          <t>M1</t>
        </is>
      </c>
      <c r="B1305" s="326" t="n">
        <v>10</v>
      </c>
      <c r="C1305" s="284" t="inlineStr">
        <is>
          <t>NA</t>
        </is>
      </c>
      <c r="D1305" s="284" t="inlineStr">
        <is>
          <t>NA</t>
        </is>
      </c>
      <c r="E1305" s="326" t="inlineStr">
        <is>
          <t>0.99 (M1)</t>
        </is>
      </c>
      <c r="F1305" s="327" t="inlineStr">
        <is>
          <t>Filler</t>
        </is>
      </c>
      <c r="G1305" s="327" t="inlineStr">
        <is>
          <t>Filler</t>
        </is>
      </c>
      <c r="H1305" s="327" t="n"/>
      <c r="I1305" s="247" t="inlineStr">
        <is>
          <t>Zone libre</t>
        </is>
      </c>
      <c r="J1305" s="327" t="inlineStr">
        <is>
          <t>Free zone</t>
        </is>
      </c>
      <c r="K1305" s="388" t="inlineStr">
        <is>
          <t>NA</t>
        </is>
      </c>
      <c r="L1305" s="388" t="inlineStr">
        <is>
          <t>NA</t>
        </is>
      </c>
      <c r="M1305" s="1421" t="inlineStr">
        <is>
          <t>ZoneLibre0</t>
        </is>
      </c>
      <c r="N1305" s="284" t="inlineStr">
        <is>
          <t>NA</t>
        </is>
      </c>
      <c r="O1305" s="388" t="inlineStr">
        <is>
          <t>NA</t>
        </is>
      </c>
      <c r="P1305" s="284" t="inlineStr">
        <is>
          <t>NA</t>
        </is>
      </c>
      <c r="Q1305" s="284" t="inlineStr">
        <is>
          <t>NA</t>
        </is>
      </c>
      <c r="R1305" s="247" t="inlineStr">
        <is>
          <t>Laisser à vide</t>
        </is>
      </c>
      <c r="S1305" s="247" t="inlineStr">
        <is>
          <t>Leave empty</t>
        </is>
      </c>
      <c r="T1305" s="326" t="inlineStr">
        <is>
          <t>ALPHA</t>
        </is>
      </c>
      <c r="U1305" s="248" t="inlineStr">
        <is>
          <t>NA</t>
        </is>
      </c>
      <c r="V1305" s="248" t="inlineStr">
        <is>
          <t>NA</t>
        </is>
      </c>
      <c r="W1305" s="284" t="n">
        <v>3</v>
      </c>
      <c r="X1305" s="244" t="inlineStr">
        <is>
          <t>NA</t>
        </is>
      </c>
      <c r="Y1305" s="248" t="inlineStr">
        <is>
          <t>NA</t>
        </is>
      </c>
      <c r="Z1305" s="248" t="inlineStr">
        <is>
          <t>NA</t>
        </is>
      </c>
      <c r="AA1305" s="248" t="inlineStr">
        <is>
          <t>NA</t>
        </is>
      </c>
      <c r="AB1305" s="284" t="inlineStr">
        <is>
          <t>NA</t>
        </is>
      </c>
      <c r="AC1305" s="244" t="inlineStr">
        <is>
          <t>NA</t>
        </is>
      </c>
      <c r="AD1305" s="284" t="inlineStr">
        <is>
          <t>N</t>
        </is>
      </c>
      <c r="AE1305" s="284" t="inlineStr">
        <is>
          <t>NA</t>
        </is>
      </c>
      <c r="AF1305" s="284" t="inlineStr">
        <is>
          <t>NA</t>
        </is>
      </c>
      <c r="AG1305" s="285" t="inlineStr">
        <is>
          <t>NA</t>
        </is>
      </c>
      <c r="AH1305" s="89" t="n"/>
      <c r="AI1305" s="330" t="n"/>
      <c r="AJ1305" s="331" t="n"/>
      <c r="AK1305" s="284" t="n"/>
      <c r="AL1305" s="285" t="n"/>
      <c r="AM1305" s="331" t="n"/>
      <c r="AN1305" s="331" t="n"/>
      <c r="AO1305" s="284" t="n"/>
      <c r="AP1305" s="285" t="n"/>
      <c r="AQ1305" s="331" t="n"/>
      <c r="AR1305" s="331" t="n"/>
      <c r="AS1305" s="284" t="n"/>
      <c r="AT1305" s="285" t="n"/>
      <c r="AU1305" s="331" t="n"/>
      <c r="AV1305" s="331" t="n"/>
      <c r="AW1305" s="284" t="n"/>
      <c r="AX1305" s="285" t="n"/>
      <c r="AY1305" s="331" t="n"/>
      <c r="AZ1305" s="331" t="n"/>
      <c r="BA1305" s="284" t="n"/>
      <c r="BB1305" s="285" t="n"/>
      <c r="BC1305" s="330" t="n"/>
      <c r="BD1305" s="331" t="n"/>
      <c r="BE1305" s="284" t="n"/>
      <c r="BF1305" s="285" t="n"/>
      <c r="BG1305" s="89" t="n"/>
      <c r="BH13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05">
        <f>_xlfn.LET(r,ROW(),oc,INDEX($A:$A,r),cv,TRIM(INDEX($Y:$Y,r)&amp;""),IF(oc&lt;&gt;"P1","",IF(cv="45","V45 - novo, nao alimentado pelo spool atual","V44 - alimentado pelo spool atual")))</f>
        <v/>
      </c>
    </row>
    <row r="1306" ht="54" customFormat="1" customHeight="1" s="90">
      <c r="A1306" s="306" t="inlineStr">
        <is>
          <t>M1</t>
        </is>
      </c>
      <c r="B1306" s="307" t="n">
        <v>11</v>
      </c>
      <c r="C1306" s="269" t="inlineStr">
        <is>
          <t>16 - Identification Tiers</t>
        </is>
      </c>
      <c r="D1306" s="236" t="inlineStr">
        <is>
          <t>16 - Third party identification</t>
        </is>
      </c>
      <c r="E1306" s="307" t="inlineStr">
        <is>
          <t>1.1 (M1)</t>
        </is>
      </c>
      <c r="F1306" s="308" t="inlineStr">
        <is>
          <t>Identifiant local du tiers</t>
        </is>
      </c>
      <c r="G1306" s="309" t="inlineStr">
        <is>
          <t>Local identifier for the counterparty</t>
        </is>
      </c>
      <c r="H1306" s="309" t="n"/>
      <c r="I1306" s="234" t="inlineStr">
        <is>
          <t>Identifiant du tiers dans le système utilisé pour générer le flux</t>
        </is>
      </c>
      <c r="J1306" s="235" t="inlineStr">
        <is>
          <t>ID of external counterparty in the system used to generate the flow</t>
        </is>
      </c>
      <c r="K1306" s="370" t="inlineStr">
        <is>
          <t>ND</t>
        </is>
      </c>
      <c r="L1306" s="371" t="inlineStr">
        <is>
          <t>ND</t>
        </is>
      </c>
      <c r="M1306" s="1420" t="inlineStr">
        <is>
          <t>IdLocalTiersRisq</t>
        </is>
      </c>
      <c r="N1306" s="231" t="inlineStr">
        <is>
          <t>Facultatif</t>
        </is>
      </c>
      <c r="O1306" s="236" t="inlineStr">
        <is>
          <t>Optional</t>
        </is>
      </c>
      <c r="P1306" s="269" t="inlineStr">
        <is>
          <t>NA</t>
        </is>
      </c>
      <c r="Q1306" s="269" t="inlineStr">
        <is>
          <t>NA</t>
        </is>
      </c>
      <c r="R1306" s="241" t="inlineStr">
        <is>
          <t>Une vérification est réalisée pour s'assurer de l'unicité du tiers au sein du lot</t>
        </is>
      </c>
      <c r="S1306" s="309" t="inlineStr">
        <is>
          <t>A check shall be carried out to ensure that the third party is unique within the batch</t>
        </is>
      </c>
      <c r="T1306" s="313" t="inlineStr">
        <is>
          <t>ALPHA</t>
        </is>
      </c>
      <c r="U1306" s="237" t="inlineStr">
        <is>
          <t>NA</t>
        </is>
      </c>
      <c r="V1306" s="238" t="inlineStr">
        <is>
          <t>NA</t>
        </is>
      </c>
      <c r="W1306" s="257" t="n">
        <v>20</v>
      </c>
      <c r="X1306" s="945" t="inlineStr">
        <is>
          <t>NA</t>
        </is>
      </c>
      <c r="Y1306" s="237" t="inlineStr">
        <is>
          <t>40</t>
        </is>
      </c>
      <c r="Z1306" s="237" t="inlineStr">
        <is>
          <t>NA</t>
        </is>
      </c>
      <c r="AA1306" s="283" t="inlineStr">
        <is>
          <t>NA</t>
        </is>
      </c>
      <c r="AB1306" s="269" t="inlineStr">
        <is>
          <t>USAGE ZP</t>
        </is>
      </c>
      <c r="AC1306" s="231" t="inlineStr">
        <is>
          <t>ND</t>
        </is>
      </c>
      <c r="AD1306" s="257" t="inlineStr">
        <is>
          <t>N</t>
        </is>
      </c>
      <c r="AE1306" s="257" t="inlineStr">
        <is>
          <t>SEC-CAS-COL
IAS
GUA-CDE
INS
REE-TAS</t>
        </is>
      </c>
      <c r="AF1306" s="257" t="inlineStr">
        <is>
          <t>NA</t>
        </is>
      </c>
      <c r="AG1306" s="258" t="inlineStr">
        <is>
          <t>NA</t>
        </is>
      </c>
      <c r="AH1306" s="89" t="n"/>
      <c r="AI1306" s="614" t="n"/>
      <c r="AJ1306" s="422" t="n"/>
      <c r="AK1306" s="348" t="n"/>
      <c r="AL1306" s="423" t="n"/>
      <c r="AM1306" s="318" t="n"/>
      <c r="AN1306" s="317" t="n"/>
      <c r="AO1306" s="257" t="n"/>
      <c r="AP1306" s="258" t="n"/>
      <c r="AQ1306" s="318" t="n"/>
      <c r="AR1306" s="317" t="n"/>
      <c r="AS1306" s="257" t="n"/>
      <c r="AT1306" s="258" t="n"/>
      <c r="AU1306" s="318" t="n"/>
      <c r="AV1306" s="317" t="n"/>
      <c r="AW1306" s="257" t="n"/>
      <c r="AX1306" s="258" t="n"/>
      <c r="AY1306" s="318" t="inlineStr">
        <is>
          <t>L'Identifiant local du tiers en risque doit etre identique à l'Identifiant local du tiers en risque du F2 lié</t>
        </is>
      </c>
      <c r="AZ1306" s="317" t="inlineStr">
        <is>
          <t>The local ID of the third party in risk must be identical to the local ID of the third party in risk of the linked F2</t>
        </is>
      </c>
      <c r="BA1306" s="257" t="n">
        <v>6</v>
      </c>
      <c r="BB1306" s="258" t="inlineStr">
        <is>
          <t>TC0041</t>
        </is>
      </c>
      <c r="BC1306" s="316" t="n"/>
      <c r="BD1306" s="317" t="n"/>
      <c r="BE1306" s="257" t="n"/>
      <c r="BF1306" s="258" t="n"/>
      <c r="BG1306" s="89" t="n"/>
      <c r="BH13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06">
        <f>_xlfn.LET(r,ROW(),oc,INDEX($A:$A,r),cv,TRIM(INDEX($Y:$Y,r)&amp;""),IF(oc&lt;&gt;"P1","",IF(cv="45","V45 - novo, nao alimentado pelo spool atual","V44 - alimentado pelo spool atual")))</f>
        <v/>
      </c>
    </row>
    <row r="1307" ht="54" customFormat="1" customHeight="1" s="90">
      <c r="A1307" s="306" t="inlineStr">
        <is>
          <t>M1</t>
        </is>
      </c>
      <c r="B1307" s="307" t="n">
        <v>12</v>
      </c>
      <c r="C1307" s="269" t="inlineStr">
        <is>
          <t>16 - Identification Tiers</t>
        </is>
      </c>
      <c r="D1307" s="236" t="inlineStr">
        <is>
          <t>16 - Third party identification</t>
        </is>
      </c>
      <c r="E1307" s="307" t="inlineStr">
        <is>
          <t>1.2 (M1)</t>
        </is>
      </c>
      <c r="F1307" s="308" t="inlineStr">
        <is>
          <t>Identifiant central du tiers en risque</t>
        </is>
      </c>
      <c r="G1307" s="309" t="inlineStr">
        <is>
          <t>Central identifier for the counterparty</t>
        </is>
      </c>
      <c r="H1307" s="309" t="n"/>
      <c r="I1307" s="241" t="inlineStr">
        <is>
          <t>Identifiant du tiers dans le système central DRG</t>
        </is>
      </c>
      <c r="J1307" s="309" t="inlineStr">
        <is>
          <t>ID of the external counterparty in the Group Risk Management Division IT System</t>
        </is>
      </c>
      <c r="K1307" s="370" t="inlineStr">
        <is>
          <t>ND</t>
        </is>
      </c>
      <c r="L1307" s="371" t="inlineStr">
        <is>
          <t>ND</t>
        </is>
      </c>
      <c r="M1307" s="1420" t="inlineStr">
        <is>
          <t>cdCentralTiers</t>
        </is>
      </c>
      <c r="N1307" s="231" t="inlineStr">
        <is>
          <t>Facultatif</t>
        </is>
      </c>
      <c r="O1307" s="236" t="inlineStr">
        <is>
          <t>Optional</t>
        </is>
      </c>
      <c r="P1307" s="269" t="inlineStr">
        <is>
          <t>NA</t>
        </is>
      </c>
      <c r="Q1307" s="269" t="inlineStr">
        <is>
          <t>NA</t>
        </is>
      </c>
      <c r="R1307" s="241" t="inlineStr">
        <is>
          <t>Identifiant fourni par DRG dans le fichier mensuel Référentiel ‘Tiers groupes' transmis aux entités émettrices du flux</t>
        </is>
      </c>
      <c r="S1307" s="233" t="inlineStr">
        <is>
          <t>ID provided by the Group Risk Management Division in the monthly “External Counterparties Groups” file (DTG) sent to entities issuing flows</t>
        </is>
      </c>
      <c r="T1307" s="313" t="inlineStr">
        <is>
          <t>ALPHA</t>
        </is>
      </c>
      <c r="U1307" s="237" t="inlineStr">
        <is>
          <t>NA</t>
        </is>
      </c>
      <c r="V1307" s="238" t="inlineStr">
        <is>
          <t>NA</t>
        </is>
      </c>
      <c r="W1307" s="257" t="n">
        <v>10</v>
      </c>
      <c r="X1307" s="945" t="inlineStr">
        <is>
          <t>NA</t>
        </is>
      </c>
      <c r="Y1307" s="237" t="inlineStr">
        <is>
          <t>40</t>
        </is>
      </c>
      <c r="Z1307" s="237" t="inlineStr">
        <is>
          <t>NA</t>
        </is>
      </c>
      <c r="AA1307" s="237" t="inlineStr">
        <is>
          <t>NA</t>
        </is>
      </c>
      <c r="AB1307" s="269" t="inlineStr">
        <is>
          <t>USAGE ZP</t>
        </is>
      </c>
      <c r="AC1307" s="231" t="inlineStr">
        <is>
          <t>ND</t>
        </is>
      </c>
      <c r="AD1307" s="257" t="inlineStr">
        <is>
          <t>N</t>
        </is>
      </c>
      <c r="AE1307" s="257" t="inlineStr">
        <is>
          <t>SEC-CAS-COL
IAS
GUA-CDE
INS
REE-TAS</t>
        </is>
      </c>
      <c r="AF1307" s="257" t="inlineStr">
        <is>
          <t>NA</t>
        </is>
      </c>
      <c r="AG1307" s="258" t="inlineStr">
        <is>
          <t>NA</t>
        </is>
      </c>
      <c r="AH1307" s="89" t="n"/>
      <c r="AI1307" s="316" t="n"/>
      <c r="AJ1307" s="317" t="n"/>
      <c r="AK1307" s="257" t="n"/>
      <c r="AL1307" s="258" t="n"/>
      <c r="AM1307" s="318" t="n"/>
      <c r="AN1307" s="317" t="n"/>
      <c r="AO1307" s="257" t="n"/>
      <c r="AP1307" s="258" t="n"/>
      <c r="AQ1307" s="318" t="n"/>
      <c r="AR1307" s="317" t="n"/>
      <c r="AS1307" s="257" t="n"/>
      <c r="AT1307" s="258" t="n"/>
      <c r="AU1307" s="318" t="n"/>
      <c r="AV1307" s="317" t="n"/>
      <c r="AW1307" s="257" t="n"/>
      <c r="AX1307" s="258" t="n"/>
      <c r="AY1307" s="318" t="n"/>
      <c r="AZ1307" s="317" t="n"/>
      <c r="BA1307" s="257" t="n"/>
      <c r="BB1307" s="258" t="n"/>
      <c r="BC1307" s="316" t="n"/>
      <c r="BD1307" s="317" t="n"/>
      <c r="BE1307" s="257" t="n"/>
      <c r="BF1307" s="258" t="n"/>
      <c r="BG1307" s="89" t="n"/>
      <c r="BH13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07">
        <f>_xlfn.LET(r,ROW(),oc,INDEX($A:$A,r),cv,TRIM(INDEX($Y:$Y,r)&amp;""),IF(oc&lt;&gt;"P1","",IF(cv="45","V45 - novo, nao alimentado pelo spool atual","V44 - alimentado pelo spool atual")))</f>
        <v/>
      </c>
    </row>
    <row r="1308" ht="54" customFormat="1" customHeight="1" s="55">
      <c r="A1308" s="325" t="inlineStr">
        <is>
          <t>M1</t>
        </is>
      </c>
      <c r="B1308" s="326" t="n">
        <v>13</v>
      </c>
      <c r="C1308" s="284" t="inlineStr">
        <is>
          <t>NA</t>
        </is>
      </c>
      <c r="D1308" s="284" t="inlineStr">
        <is>
          <t>NA</t>
        </is>
      </c>
      <c r="E1308" s="326" t="inlineStr">
        <is>
          <t>1.4 (M1)</t>
        </is>
      </c>
      <c r="F1308" s="327" t="inlineStr">
        <is>
          <t xml:space="preserve">Référence de l'Autorisation Mise En Place </t>
        </is>
      </c>
      <c r="G1308" s="327" t="inlineStr">
        <is>
          <t xml:space="preserve">Facility reference </t>
        </is>
      </c>
      <c r="H1308" s="327" t="n"/>
      <c r="I1308" s="245" t="inlineStr">
        <is>
          <t xml:space="preserve">Référence de l'Autorisation Mise En Place </t>
        </is>
      </c>
      <c r="J1308" s="327" t="inlineStr">
        <is>
          <t xml:space="preserve">Reference code of Arranged facility </t>
        </is>
      </c>
      <c r="K1308" s="388" t="inlineStr">
        <is>
          <t>NA</t>
        </is>
      </c>
      <c r="L1308" s="388" t="inlineStr">
        <is>
          <t>NA</t>
        </is>
      </c>
      <c r="M1308" s="1421" t="inlineStr">
        <is>
          <t>IdAuto</t>
        </is>
      </c>
      <c r="N1308" s="244" t="inlineStr">
        <is>
          <t>NA</t>
        </is>
      </c>
      <c r="O1308" s="244" t="inlineStr">
        <is>
          <t>NA</t>
        </is>
      </c>
      <c r="P1308" s="284" t="inlineStr">
        <is>
          <t>NA</t>
        </is>
      </c>
      <c r="Q1308" s="284" t="inlineStr">
        <is>
          <t>NA</t>
        </is>
      </c>
      <c r="R1308" s="247" t="inlineStr">
        <is>
          <t>Laisser à vide</t>
        </is>
      </c>
      <c r="S1308" s="247" t="inlineStr">
        <is>
          <t>Leave empty</t>
        </is>
      </c>
      <c r="T1308" s="326" t="inlineStr">
        <is>
          <t>ALPHA</t>
        </is>
      </c>
      <c r="U1308" s="248" t="inlineStr">
        <is>
          <t>NA</t>
        </is>
      </c>
      <c r="V1308" s="248" t="inlineStr">
        <is>
          <t>NA</t>
        </is>
      </c>
      <c r="W1308" s="284" t="n">
        <v>30</v>
      </c>
      <c r="X1308" s="244" t="inlineStr">
        <is>
          <t>NA</t>
        </is>
      </c>
      <c r="Y1308" s="248" t="inlineStr">
        <is>
          <t>NA</t>
        </is>
      </c>
      <c r="Z1308" s="248" t="n">
        <v>43</v>
      </c>
      <c r="AA1308" s="248" t="inlineStr">
        <is>
          <t>NA</t>
        </is>
      </c>
      <c r="AB1308" s="284" t="inlineStr">
        <is>
          <t>NA</t>
        </is>
      </c>
      <c r="AC1308" s="244" t="inlineStr">
        <is>
          <t>NA</t>
        </is>
      </c>
      <c r="AD1308" s="284" t="inlineStr">
        <is>
          <t>N</t>
        </is>
      </c>
      <c r="AE1308" s="284" t="inlineStr">
        <is>
          <t>NA</t>
        </is>
      </c>
      <c r="AF1308" s="284" t="inlineStr">
        <is>
          <t>NA</t>
        </is>
      </c>
      <c r="AG1308" s="285" t="inlineStr">
        <is>
          <t>NA</t>
        </is>
      </c>
      <c r="AH1308" s="89" t="n"/>
      <c r="AI1308" s="330" t="n"/>
      <c r="AJ1308" s="331" t="n"/>
      <c r="AK1308" s="284" t="n"/>
      <c r="AL1308" s="285" t="n"/>
      <c r="AM1308" s="331" t="n"/>
      <c r="AN1308" s="331" t="n"/>
      <c r="AO1308" s="284" t="n"/>
      <c r="AP1308" s="285" t="n"/>
      <c r="AQ1308" s="331" t="n"/>
      <c r="AR1308" s="331" t="n"/>
      <c r="AS1308" s="284" t="n"/>
      <c r="AT1308" s="285" t="n"/>
      <c r="AU1308" s="331" t="n"/>
      <c r="AV1308" s="331" t="n"/>
      <c r="AW1308" s="284" t="n"/>
      <c r="AX1308" s="285" t="n"/>
      <c r="AY1308" s="331" t="n"/>
      <c r="AZ1308" s="331" t="n"/>
      <c r="BA1308" s="284" t="n"/>
      <c r="BB1308" s="285" t="n"/>
      <c r="BC1308" s="330" t="n"/>
      <c r="BD1308" s="331" t="n"/>
      <c r="BE1308" s="284" t="n"/>
      <c r="BF1308" s="285" t="n"/>
      <c r="BG1308" s="89" t="n"/>
      <c r="BH13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08">
        <f>_xlfn.LET(r,ROW(),oc,INDEX($A:$A,r),cv,TRIM(INDEX($Y:$Y,r)&amp;""),IF(oc&lt;&gt;"P1","",IF(cv="45","V45 - novo, nao alimentado pelo spool atual","V44 - alimentado pelo spool atual")))</f>
        <v/>
      </c>
    </row>
    <row r="1309" ht="56.65" customFormat="1" customHeight="1" s="90">
      <c r="A1309" s="306" t="inlineStr">
        <is>
          <t>M1</t>
        </is>
      </c>
      <c r="B1309" s="307" t="n">
        <v>14</v>
      </c>
      <c r="C1309" s="269" t="inlineStr">
        <is>
          <t>02a - Caractéristiques d'identification fonctionnelles (clé)</t>
        </is>
      </c>
      <c r="D1309" s="236" t="inlineStr">
        <is>
          <t>02a - Functional identification characteristics (key)</t>
        </is>
      </c>
      <c r="E1309" s="307" t="inlineStr">
        <is>
          <t>1.6 (M1)</t>
        </is>
      </c>
      <c r="F1309" s="368" t="inlineStr">
        <is>
          <t>Référence de la ligne de détail de l'Autorisation Mise En Place</t>
        </is>
      </c>
      <c r="G1309" s="309" t="inlineStr">
        <is>
          <t>Reference code of the line of the Arranged facility</t>
        </is>
      </c>
      <c r="H1309" s="309" t="n"/>
      <c r="I1309" s="241" t="inlineStr">
        <is>
          <t>Référence de la ligne de détail de l'Autorisation Mise En Place</t>
        </is>
      </c>
      <c r="J1309" s="309" t="inlineStr">
        <is>
          <t>Reference code of the line of the Arranged facility</t>
        </is>
      </c>
      <c r="K1309" s="370" t="inlineStr">
        <is>
          <t>ND</t>
        </is>
      </c>
      <c r="L1309" s="371" t="inlineStr">
        <is>
          <t>ND</t>
        </is>
      </c>
      <c r="M1309" s="1420" t="inlineStr">
        <is>
          <t>IdLigneAuto</t>
        </is>
      </c>
      <c r="N1309" s="231" t="inlineStr">
        <is>
          <t>Obligatoire</t>
        </is>
      </c>
      <c r="O1309" s="236" t="inlineStr">
        <is>
          <t>Mandatory</t>
        </is>
      </c>
      <c r="P1309" s="269" t="inlineStr">
        <is>
          <t>NA</t>
        </is>
      </c>
      <c r="Q1309" s="269" t="inlineStr">
        <is>
          <t>NA</t>
        </is>
      </c>
      <c r="R1309" s="844" t="inlineStr">
        <is>
          <t>Pour un lot déterminé, le couple 1.6 (M1) Référence de la ligne de détail de l'Autorisation Mise En Place et 1.8 (M1) Identifiant de la sûreté reçue doit être unique</t>
        </is>
      </c>
      <c r="S1309" s="309" t="inlineStr">
        <is>
          <t>For a given batch, the couple 1.6 (M1) Reference code of the line of the Arranged facility and 1.8 (M1) Mitigant identifier must be unique</t>
        </is>
      </c>
      <c r="T1309" s="313" t="inlineStr">
        <is>
          <t>ALPHA</t>
        </is>
      </c>
      <c r="U1309" s="237" t="inlineStr">
        <is>
          <t>NA</t>
        </is>
      </c>
      <c r="V1309" s="238" t="inlineStr">
        <is>
          <t>NA</t>
        </is>
      </c>
      <c r="W1309" s="257" t="n">
        <v>30</v>
      </c>
      <c r="X1309" s="945" t="inlineStr">
        <is>
          <t>NA</t>
        </is>
      </c>
      <c r="Y1309" s="237" t="inlineStr">
        <is>
          <t>40</t>
        </is>
      </c>
      <c r="Z1309" s="237" t="inlineStr">
        <is>
          <t>NA</t>
        </is>
      </c>
      <c r="AA1309" s="283" t="inlineStr">
        <is>
          <t>NA</t>
        </is>
      </c>
      <c r="AB1309" s="269" t="inlineStr">
        <is>
          <t>USAGE ZP</t>
        </is>
      </c>
      <c r="AC1309" s="231" t="inlineStr">
        <is>
          <t>ND</t>
        </is>
      </c>
      <c r="AD1309" s="257" t="inlineStr">
        <is>
          <t>N</t>
        </is>
      </c>
      <c r="AE1309" s="257" t="inlineStr">
        <is>
          <t>SEC-CAS-COL
IAS
GUA-CDE
INS
REE-TAS</t>
        </is>
      </c>
      <c r="AF1309" s="257" t="inlineStr">
        <is>
          <t>NA</t>
        </is>
      </c>
      <c r="AG1309" s="258" t="inlineStr">
        <is>
          <t>NA</t>
        </is>
      </c>
      <c r="AH1309" s="89" t="n"/>
      <c r="AI1309" s="316" t="inlineStr">
        <is>
          <t>La donnée est obligatoire</t>
        </is>
      </c>
      <c r="AJ1309" s="317" t="inlineStr">
        <is>
          <t>The data is mandatory</t>
        </is>
      </c>
      <c r="AK1309" s="257" t="n">
        <v>7</v>
      </c>
      <c r="AL1309" s="335" t="inlineStr">
        <is>
          <t>TPG0001
TP0001</t>
        </is>
      </c>
      <c r="AM1309" s="318" t="n"/>
      <c r="AN1309" s="317" t="n"/>
      <c r="AO1309" s="257" t="n"/>
      <c r="AP1309" s="258" t="n"/>
      <c r="AQ1309" s="318" t="n"/>
      <c r="AR1309" s="317" t="n"/>
      <c r="AS1309" s="257" t="n"/>
      <c r="AT1309" s="258" t="n"/>
      <c r="AU1309" s="318" t="n"/>
      <c r="AV1309" s="317" t="n"/>
      <c r="AW1309" s="257" t="n"/>
      <c r="AX1309" s="258" t="n"/>
      <c r="AY1309" s="1280" t="inlineStr">
        <is>
          <t>Sur le périmètre interlot, une sûreté doit être en lien avec un encours ou une PNU ou un arriéré
---
Sur le périmètre hors interlot, une sûreté doit être en lien avec un encours ou une PNU ou un arriéré
---
L'identifiant renseigné doit être unique au sein de l'entité porteuse de risque</t>
        </is>
      </c>
      <c r="AZ1309" s="317" t="inlineStr">
        <is>
          <t>On interlot scope, a security must be related to an outstanding amount or a PNU or a past due amount
---
On except interlot scope, a security must be related to an outstanding amount or a PNU or a past due amount
---
The identifier provided must be unique within the entity carrying the risk</t>
        </is>
      </c>
      <c r="BA1309" s="257" t="n">
        <v>7</v>
      </c>
      <c r="BB1309" s="320" t="inlineStr">
        <is>
          <t>TC0272
TC0729
TU0001</t>
        </is>
      </c>
      <c r="BC1309" s="316" t="n"/>
      <c r="BD1309" s="317" t="n"/>
      <c r="BE1309" s="257" t="n"/>
      <c r="BF1309" s="258" t="n"/>
      <c r="BG1309" s="89" t="n"/>
      <c r="BH13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09">
        <f>_xlfn.LET(r,ROW(),oc,INDEX($A:$A,r),cv,TRIM(INDEX($Y:$Y,r)&amp;""),IF(oc&lt;&gt;"P1","",IF(cv="45","V45 - novo, nao alimentado pelo spool atual","V44 - alimentado pelo spool atual")))</f>
        <v/>
      </c>
    </row>
    <row r="1310" ht="54" customFormat="1" customHeight="1" s="90">
      <c r="A1310" s="306" t="inlineStr">
        <is>
          <t>M1</t>
        </is>
      </c>
      <c r="B1310" s="307" t="n">
        <v>15</v>
      </c>
      <c r="C1310" s="269" t="inlineStr">
        <is>
          <t>02a - Caractéristiques d'identification fonctionnelles (clé)</t>
        </is>
      </c>
      <c r="D1310" s="236" t="inlineStr">
        <is>
          <t>02a - Functional identification characteristics (key)</t>
        </is>
      </c>
      <c r="E1310" s="307" t="inlineStr">
        <is>
          <t>1.8 (M1)</t>
        </is>
      </c>
      <c r="F1310" s="845" t="inlineStr">
        <is>
          <t>Identifiant de la sûreté reçue</t>
        </is>
      </c>
      <c r="G1310" s="309" t="inlineStr">
        <is>
          <t>Mitigant identifier</t>
        </is>
      </c>
      <c r="H1310" s="309" t="n"/>
      <c r="I1310" s="241" t="inlineStr">
        <is>
          <t>Identifiant de la sûreté reçue</t>
        </is>
      </c>
      <c r="J1310" s="309" t="inlineStr">
        <is>
          <t>ID of mitigant received</t>
        </is>
      </c>
      <c r="K1310" s="370" t="inlineStr">
        <is>
          <t>ND</t>
        </is>
      </c>
      <c r="L1310" s="371" t="inlineStr">
        <is>
          <t>ND</t>
        </is>
      </c>
      <c r="M1310" s="1420" t="inlineStr">
        <is>
          <t>IdSurRecue</t>
        </is>
      </c>
      <c r="N1310" s="231" t="inlineStr">
        <is>
          <t>Obligatoire</t>
        </is>
      </c>
      <c r="O1310" s="236" t="inlineStr">
        <is>
          <t>Mandatory</t>
        </is>
      </c>
      <c r="P1310" s="269" t="inlineStr">
        <is>
          <t>NA</t>
        </is>
      </c>
      <c r="Q1310" s="269" t="inlineStr">
        <is>
          <t>NA</t>
        </is>
      </c>
      <c r="R1310" s="241" t="inlineStr">
        <is>
          <t>Pour un lot déterminé, l'identifiant de la sûreté doit être unique.
La codification est libre</t>
        </is>
      </c>
      <c r="S1310" s="309" t="inlineStr">
        <is>
          <t>For a given batch, the security interest identifier must be unique.
Codification is free</t>
        </is>
      </c>
      <c r="T1310" s="313" t="inlineStr">
        <is>
          <t>ALPHA</t>
        </is>
      </c>
      <c r="U1310" s="237" t="inlineStr">
        <is>
          <t>NA</t>
        </is>
      </c>
      <c r="V1310" s="238" t="inlineStr">
        <is>
          <t>NA</t>
        </is>
      </c>
      <c r="W1310" s="257" t="n">
        <v>40</v>
      </c>
      <c r="X1310" s="945" t="inlineStr">
        <is>
          <t>NA</t>
        </is>
      </c>
      <c r="Y1310" s="237" t="inlineStr">
        <is>
          <t>40</t>
        </is>
      </c>
      <c r="Z1310" s="237" t="inlineStr">
        <is>
          <t>NA</t>
        </is>
      </c>
      <c r="AA1310" s="283" t="inlineStr">
        <is>
          <t>NA</t>
        </is>
      </c>
      <c r="AB1310" s="269" t="inlineStr">
        <is>
          <t>RISQUE PHYSIQUE</t>
        </is>
      </c>
      <c r="AC1310" s="231" t="inlineStr">
        <is>
          <t>ND</t>
        </is>
      </c>
      <c r="AD1310" s="257" t="inlineStr">
        <is>
          <t>N</t>
        </is>
      </c>
      <c r="AE1310" s="257" t="inlineStr">
        <is>
          <t>SEC-CAS-COL
IAS
GUA-CDE
INS
REE-TAS</t>
        </is>
      </c>
      <c r="AF1310" s="257" t="inlineStr">
        <is>
          <t>NA</t>
        </is>
      </c>
      <c r="AG1310" s="258" t="inlineStr">
        <is>
          <t>NA</t>
        </is>
      </c>
      <c r="AH1310" s="89" t="n"/>
      <c r="AI1310" s="316" t="inlineStr">
        <is>
          <t>La donnée est obligatoire</t>
        </is>
      </c>
      <c r="AJ1310" s="317" t="inlineStr">
        <is>
          <t>The data is mandatory</t>
        </is>
      </c>
      <c r="AK1310" s="257" t="n">
        <v>7</v>
      </c>
      <c r="AL1310" s="846" t="inlineStr">
        <is>
          <t>TP0001</t>
        </is>
      </c>
      <c r="AM1310" s="318" t="n"/>
      <c r="AN1310" s="317" t="n"/>
      <c r="AO1310" s="257" t="n"/>
      <c r="AP1310" s="258" t="n"/>
      <c r="AQ1310" s="318" t="n"/>
      <c r="AR1310" s="317" t="n"/>
      <c r="AS1310" s="257" t="n"/>
      <c r="AT1310" s="258" t="n"/>
      <c r="AU1310" s="318" t="n"/>
      <c r="AV1310" s="317" t="n"/>
      <c r="AW1310" s="257" t="n"/>
      <c r="AX1310" s="258" t="n"/>
      <c r="AY1310" s="332" t="inlineStr">
        <is>
          <t xml:space="preserve">L'identifiant renseigné doit être unique au sein de l'entité porteuse de risque
---
Il ne doit pas y avoir de doublon (quelque soit l'entité et quelque soit le flux)
---
Unicité absolue de la donnée au sein du lot
---
Dans le cadre du flux Interlot, une sûreté doit être rattachée à une ligne d'autorisation.
</t>
        </is>
      </c>
      <c r="AZ1310" s="317" t="inlineStr">
        <is>
          <t xml:space="preserve">The identifier provided must be unique within the entity carrying the risk
---
There should be no duplicates (whatever the entity and flow are)
---
The data must be unique within the batch
---
Under the Interlot flow, a collateral must be attached to an authorization line.
</t>
        </is>
      </c>
      <c r="BA1310" s="257" t="n">
        <v>7</v>
      </c>
      <c r="BB1310" s="320" t="inlineStr">
        <is>
          <t>TU0001
TU0003
TU0007
TC0270</t>
        </is>
      </c>
      <c r="BC1310" s="278" t="inlineStr">
        <is>
          <t>Si la combinaison de donnée n'est pas trouvée dans la matrice des règles de gestion C14, le contrôle doit se lever</t>
        </is>
      </c>
      <c r="BD1310" s="160" t="inlineStr">
        <is>
          <t>If the data combinaison is not found in the C14 business rules matrix, the control must trigger</t>
        </is>
      </c>
      <c r="BE1310" s="344" t="n">
        <v>6</v>
      </c>
      <c r="BF1310" s="393" t="inlineStr">
        <is>
          <t>TC0C14</t>
        </is>
      </c>
      <c r="BG1310" s="89" t="n"/>
      <c r="BH13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10">
        <f>_xlfn.LET(r,ROW(),oc,INDEX($A:$A,r),cv,TRIM(INDEX($Y:$Y,r)&amp;""),IF(oc&lt;&gt;"P1","",IF(cv="45","V45 - novo, nao alimentado pelo spool atual","V44 - alimentado pelo spool atual")))</f>
        <v/>
      </c>
    </row>
    <row r="1311" ht="54" customFormat="1" customHeight="1" s="55">
      <c r="A1311" s="325" t="inlineStr">
        <is>
          <t>M1</t>
        </is>
      </c>
      <c r="B1311" s="326" t="n">
        <v>16</v>
      </c>
      <c r="C1311" s="284" t="inlineStr">
        <is>
          <t>NA</t>
        </is>
      </c>
      <c r="D1311" s="244" t="inlineStr">
        <is>
          <t>NA</t>
        </is>
      </c>
      <c r="E1311" s="326" t="inlineStr">
        <is>
          <t>1.11 (M1)</t>
        </is>
      </c>
      <c r="F1311" s="327" t="inlineStr">
        <is>
          <t>Identifiant de l'engagement</t>
        </is>
      </c>
      <c r="G1311" s="327" t="inlineStr">
        <is>
          <t>Product identifier</t>
        </is>
      </c>
      <c r="H1311" s="327" t="n"/>
      <c r="I1311" s="245" t="inlineStr">
        <is>
          <t>Identifiant unique de l'engagement dans le système local utilisé pour générer le flux</t>
        </is>
      </c>
      <c r="J1311" s="245" t="inlineStr">
        <is>
          <t>Unique ID of the commitment in the local system used to generate the flow</t>
        </is>
      </c>
      <c r="K1311" s="388" t="inlineStr">
        <is>
          <t>NA</t>
        </is>
      </c>
      <c r="L1311" s="388" t="inlineStr">
        <is>
          <t>NA</t>
        </is>
      </c>
      <c r="M1311" s="1421" t="inlineStr">
        <is>
          <t>IdEng</t>
        </is>
      </c>
      <c r="N1311" s="284" t="inlineStr">
        <is>
          <t>NA</t>
        </is>
      </c>
      <c r="O1311" s="388" t="inlineStr">
        <is>
          <t>NA</t>
        </is>
      </c>
      <c r="P1311" s="284" t="inlineStr">
        <is>
          <t>NA</t>
        </is>
      </c>
      <c r="Q1311" s="284" t="inlineStr">
        <is>
          <t>NA</t>
        </is>
      </c>
      <c r="R1311" s="245" t="inlineStr">
        <is>
          <t>NA</t>
        </is>
      </c>
      <c r="S1311" s="327" t="inlineStr">
        <is>
          <t>NA</t>
        </is>
      </c>
      <c r="T1311" s="326" t="inlineStr">
        <is>
          <t>ALPHA</t>
        </is>
      </c>
      <c r="U1311" s="248" t="inlineStr">
        <is>
          <t>NA</t>
        </is>
      </c>
      <c r="V1311" s="248" t="inlineStr">
        <is>
          <t>NA</t>
        </is>
      </c>
      <c r="W1311" s="284" t="n">
        <v>40</v>
      </c>
      <c r="X1311" s="244" t="inlineStr">
        <is>
          <t>NA</t>
        </is>
      </c>
      <c r="Y1311" s="248" t="inlineStr">
        <is>
          <t>NA</t>
        </is>
      </c>
      <c r="Z1311" s="248" t="n">
        <v>43</v>
      </c>
      <c r="AA1311" s="248" t="inlineStr">
        <is>
          <t>NA</t>
        </is>
      </c>
      <c r="AB1311" s="284" t="inlineStr">
        <is>
          <t>NA</t>
        </is>
      </c>
      <c r="AC1311" s="244" t="inlineStr">
        <is>
          <t>NA</t>
        </is>
      </c>
      <c r="AD1311" s="284" t="inlineStr">
        <is>
          <t>N</t>
        </is>
      </c>
      <c r="AE1311" s="284" t="inlineStr">
        <is>
          <t>NA</t>
        </is>
      </c>
      <c r="AF1311" s="284" t="inlineStr">
        <is>
          <t>NA</t>
        </is>
      </c>
      <c r="AG1311" s="285" t="inlineStr">
        <is>
          <t>NA</t>
        </is>
      </c>
      <c r="AH1311" s="89" t="n"/>
      <c r="AI1311" s="330" t="n"/>
      <c r="AJ1311" s="331" t="n"/>
      <c r="AK1311" s="284" t="n"/>
      <c r="AL1311" s="285" t="n"/>
      <c r="AM1311" s="331" t="n"/>
      <c r="AN1311" s="331" t="n"/>
      <c r="AO1311" s="284" t="n"/>
      <c r="AP1311" s="285" t="n"/>
      <c r="AQ1311" s="331" t="n"/>
      <c r="AR1311" s="331" t="n"/>
      <c r="AS1311" s="284" t="n"/>
      <c r="AT1311" s="285" t="n"/>
      <c r="AU1311" s="331" t="n"/>
      <c r="AV1311" s="331" t="n"/>
      <c r="AW1311" s="284" t="n"/>
      <c r="AX1311" s="285" t="n"/>
      <c r="AY1311" s="331" t="n"/>
      <c r="AZ1311" s="331" t="n"/>
      <c r="BA1311" s="284" t="n"/>
      <c r="BB1311" s="285" t="n"/>
      <c r="BC1311" s="330" t="n"/>
      <c r="BD1311" s="331" t="n"/>
      <c r="BE1311" s="284" t="n"/>
      <c r="BF1311" s="285" t="n"/>
      <c r="BG1311" s="89" t="n"/>
      <c r="BH13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11">
        <f>_xlfn.LET(r,ROW(),oc,INDEX($A:$A,r),cv,TRIM(INDEX($Y:$Y,r)&amp;""),IF(oc&lt;&gt;"P1","",IF(cv="45","V45 - novo, nao alimentado pelo spool atual","V44 - alimentado pelo spool atual")))</f>
        <v/>
      </c>
    </row>
    <row r="1312" ht="54" customFormat="1" customHeight="1" s="54">
      <c r="A1312" s="243" t="inlineStr">
        <is>
          <t>M1</t>
        </is>
      </c>
      <c r="B1312" s="244" t="n">
        <v>17</v>
      </c>
      <c r="C1312" s="284" t="inlineStr">
        <is>
          <t>16 - Identification Tiers</t>
        </is>
      </c>
      <c r="D1312" s="244" t="inlineStr">
        <is>
          <t>16 - Third party identification</t>
        </is>
      </c>
      <c r="E1312" s="246" t="inlineStr">
        <is>
          <t>1.16 (M1)</t>
        </is>
      </c>
      <c r="F1312" s="247" t="inlineStr">
        <is>
          <t>Référence de la provision sur tiers</t>
        </is>
      </c>
      <c r="G1312" s="247" t="inlineStr">
        <is>
          <t>Reference for the counterparty provision</t>
        </is>
      </c>
      <c r="H1312" s="247" t="n"/>
      <c r="I1312" s="247" t="inlineStr">
        <is>
          <t>Référence de la provision sur tiers</t>
        </is>
      </c>
      <c r="J1312" s="247" t="inlineStr">
        <is>
          <t>Reference code of the provision for external counterparties</t>
        </is>
      </c>
      <c r="K1312" s="244" t="inlineStr">
        <is>
          <t>NA</t>
        </is>
      </c>
      <c r="L1312" s="244" t="inlineStr">
        <is>
          <t>NA</t>
        </is>
      </c>
      <c r="M1312" s="1408" t="inlineStr">
        <is>
          <t>IdProvTiers</t>
        </is>
      </c>
      <c r="N1312" s="244" t="inlineStr">
        <is>
          <t>NA</t>
        </is>
      </c>
      <c r="O1312" s="244" t="inlineStr">
        <is>
          <t>NA</t>
        </is>
      </c>
      <c r="P1312" s="246" t="inlineStr">
        <is>
          <t>NA</t>
        </is>
      </c>
      <c r="Q1312" s="246" t="inlineStr">
        <is>
          <t>NA</t>
        </is>
      </c>
      <c r="R1312" s="247" t="inlineStr">
        <is>
          <t>NA</t>
        </is>
      </c>
      <c r="S1312" s="247" t="inlineStr">
        <is>
          <t>NA</t>
        </is>
      </c>
      <c r="T1312" s="246" t="inlineStr">
        <is>
          <t>ALPHA</t>
        </is>
      </c>
      <c r="U1312" s="248" t="inlineStr">
        <is>
          <t>NA</t>
        </is>
      </c>
      <c r="V1312" s="248" t="inlineStr">
        <is>
          <t>NA</t>
        </is>
      </c>
      <c r="W1312" s="244" t="n">
        <v>40</v>
      </c>
      <c r="X1312" s="244" t="inlineStr">
        <is>
          <t>NA</t>
        </is>
      </c>
      <c r="Y1312" s="249" t="inlineStr">
        <is>
          <t>NA</t>
        </is>
      </c>
      <c r="Z1312" s="249" t="inlineStr">
        <is>
          <t>NA</t>
        </is>
      </c>
      <c r="AA1312" s="249" t="inlineStr">
        <is>
          <t>NA</t>
        </is>
      </c>
      <c r="AB1312" s="244" t="inlineStr">
        <is>
          <t>USAGE ZP</t>
        </is>
      </c>
      <c r="AC1312" s="244" t="inlineStr">
        <is>
          <t>NA</t>
        </is>
      </c>
      <c r="AD1312" s="244" t="inlineStr">
        <is>
          <t>N</t>
        </is>
      </c>
      <c r="AE1312" s="244" t="inlineStr">
        <is>
          <t>NA</t>
        </is>
      </c>
      <c r="AF1312" s="244" t="inlineStr">
        <is>
          <t>NA</t>
        </is>
      </c>
      <c r="AG1312" s="250" t="inlineStr">
        <is>
          <t>NA</t>
        </is>
      </c>
      <c r="AH1312" s="89" t="n"/>
      <c r="AI1312" s="251" t="n"/>
      <c r="AJ1312" s="252" t="n"/>
      <c r="AK1312" s="246" t="n"/>
      <c r="AL1312" s="253" t="n"/>
      <c r="AM1312" s="252" t="n"/>
      <c r="AN1312" s="252" t="n"/>
      <c r="AO1312" s="246" t="n"/>
      <c r="AP1312" s="253" t="n"/>
      <c r="AQ1312" s="252" t="n"/>
      <c r="AR1312" s="252" t="n"/>
      <c r="AS1312" s="246" t="n"/>
      <c r="AT1312" s="253" t="n"/>
      <c r="AU1312" s="254" t="n"/>
      <c r="AV1312" s="254" t="n"/>
      <c r="AW1312" s="246" t="n"/>
      <c r="AX1312" s="253" t="n"/>
      <c r="AY1312" s="252" t="n"/>
      <c r="AZ1312" s="252" t="n"/>
      <c r="BA1312" s="246" t="n"/>
      <c r="BB1312" s="253" t="n"/>
      <c r="BC1312" s="251" t="n"/>
      <c r="BD1312" s="252" t="n"/>
      <c r="BE1312" s="246" t="n"/>
      <c r="BF1312" s="253" t="n"/>
      <c r="BG1312" s="89" t="n"/>
      <c r="BH13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12">
        <f>_xlfn.LET(r,ROW(),oc,INDEX($A:$A,r),cv,TRIM(INDEX($Y:$Y,r)&amp;""),IF(oc&lt;&gt;"P1","",IF(cv="45","V45 - novo, nao alimentado pelo spool atual","V44 - alimentado pelo spool atual")))</f>
        <v/>
      </c>
    </row>
    <row r="1313" ht="54" customFormat="1" customHeight="1" s="56">
      <c r="A1313" s="325" t="inlineStr">
        <is>
          <t>M1</t>
        </is>
      </c>
      <c r="B1313" s="326" t="n">
        <v>18</v>
      </c>
      <c r="C1313" s="284" t="inlineStr">
        <is>
          <t>NA</t>
        </is>
      </c>
      <c r="D1313" s="244" t="inlineStr">
        <is>
          <t>NA</t>
        </is>
      </c>
      <c r="E1313" s="333" t="inlineStr">
        <is>
          <t>1.99 (M1)</t>
        </is>
      </c>
      <c r="F1313" s="329" t="inlineStr">
        <is>
          <t>Filler</t>
        </is>
      </c>
      <c r="G1313" s="329" t="inlineStr">
        <is>
          <t>Filler</t>
        </is>
      </c>
      <c r="H1313" s="329" t="n"/>
      <c r="I1313" s="247" t="inlineStr">
        <is>
          <t>Zone libre</t>
        </is>
      </c>
      <c r="J1313" s="329" t="inlineStr">
        <is>
          <t>Free zone</t>
        </is>
      </c>
      <c r="K1313" s="328" t="inlineStr">
        <is>
          <t>NA</t>
        </is>
      </c>
      <c r="L1313" s="328" t="inlineStr">
        <is>
          <t>NA</t>
        </is>
      </c>
      <c r="M1313" s="1421" t="inlineStr">
        <is>
          <t>ZoneLibre1</t>
        </is>
      </c>
      <c r="N1313" s="284" t="inlineStr">
        <is>
          <t>NA</t>
        </is>
      </c>
      <c r="O1313" s="328" t="inlineStr">
        <is>
          <t>NA</t>
        </is>
      </c>
      <c r="P1313" s="284" t="inlineStr">
        <is>
          <t>NA</t>
        </is>
      </c>
      <c r="Q1313" s="284" t="inlineStr">
        <is>
          <t>NA</t>
        </is>
      </c>
      <c r="R1313" s="247" t="inlineStr">
        <is>
          <t>Laisser à vide</t>
        </is>
      </c>
      <c r="S1313" s="247" t="inlineStr">
        <is>
          <t>Leave empty</t>
        </is>
      </c>
      <c r="T1313" s="333" t="inlineStr">
        <is>
          <t>ALPHA</t>
        </is>
      </c>
      <c r="U1313" s="256" t="inlineStr">
        <is>
          <t>NA</t>
        </is>
      </c>
      <c r="V1313" s="256" t="inlineStr">
        <is>
          <t>NA</t>
        </is>
      </c>
      <c r="W1313" s="328" t="n">
        <v>11</v>
      </c>
      <c r="X1313" s="244" t="inlineStr">
        <is>
          <t>NA</t>
        </is>
      </c>
      <c r="Y1313" s="248" t="inlineStr">
        <is>
          <t>NA</t>
        </is>
      </c>
      <c r="Z1313" s="256" t="inlineStr">
        <is>
          <t>NA</t>
        </is>
      </c>
      <c r="AA1313" s="256" t="inlineStr">
        <is>
          <t>NA</t>
        </is>
      </c>
      <c r="AB1313" s="284" t="inlineStr">
        <is>
          <t>NA</t>
        </is>
      </c>
      <c r="AC1313" s="244" t="inlineStr">
        <is>
          <t>NA</t>
        </is>
      </c>
      <c r="AD1313" s="284" t="inlineStr">
        <is>
          <t>N</t>
        </is>
      </c>
      <c r="AE1313" s="284" t="inlineStr">
        <is>
          <t>NA</t>
        </is>
      </c>
      <c r="AF1313" s="284" t="inlineStr">
        <is>
          <t>NA</t>
        </is>
      </c>
      <c r="AG1313" s="285" t="inlineStr">
        <is>
          <t>NA</t>
        </is>
      </c>
      <c r="AH1313" s="89" t="n"/>
      <c r="AI1313" s="330" t="n"/>
      <c r="AJ1313" s="331" t="n"/>
      <c r="AK1313" s="284" t="n"/>
      <c r="AL1313" s="285" t="n"/>
      <c r="AM1313" s="331" t="n"/>
      <c r="AN1313" s="331" t="n"/>
      <c r="AO1313" s="284" t="n"/>
      <c r="AP1313" s="285" t="n"/>
      <c r="AQ1313" s="331" t="n"/>
      <c r="AR1313" s="331" t="n"/>
      <c r="AS1313" s="284" t="n"/>
      <c r="AT1313" s="285" t="n"/>
      <c r="AU1313" s="331" t="n"/>
      <c r="AV1313" s="331" t="n"/>
      <c r="AW1313" s="284" t="n"/>
      <c r="AX1313" s="285" t="n"/>
      <c r="AY1313" s="331" t="n"/>
      <c r="AZ1313" s="331" t="n"/>
      <c r="BA1313" s="284" t="n"/>
      <c r="BB1313" s="285" t="n"/>
      <c r="BC1313" s="330" t="n"/>
      <c r="BD1313" s="331" t="n"/>
      <c r="BE1313" s="284" t="n"/>
      <c r="BF1313" s="285" t="n"/>
      <c r="BG1313" s="89" t="n"/>
      <c r="BH13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13">
        <f>_xlfn.LET(r,ROW(),oc,INDEX($A:$A,r),cv,TRIM(INDEX($Y:$Y,r)&amp;""),IF(oc&lt;&gt;"P1","",IF(cv="45","V45 - novo, nao alimentado pelo spool atual","V44 - alimentado pelo spool atual")))</f>
        <v/>
      </c>
    </row>
    <row r="1314" ht="54" customFormat="1" customHeight="1" s="56">
      <c r="A1314" s="325" t="inlineStr">
        <is>
          <t>M1</t>
        </is>
      </c>
      <c r="B1314" s="326" t="n">
        <v>19</v>
      </c>
      <c r="C1314" s="284" t="inlineStr">
        <is>
          <t>NA</t>
        </is>
      </c>
      <c r="D1314" s="244" t="inlineStr">
        <is>
          <t>NA</t>
        </is>
      </c>
      <c r="E1314" s="333" t="inlineStr">
        <is>
          <t>1.98 (M1)</t>
        </is>
      </c>
      <c r="F1314" s="329" t="inlineStr">
        <is>
          <t>Filler</t>
        </is>
      </c>
      <c r="G1314" s="329" t="inlineStr">
        <is>
          <t>Filler</t>
        </is>
      </c>
      <c r="H1314" s="329" t="n"/>
      <c r="I1314" s="247" t="inlineStr">
        <is>
          <t>Zone libre</t>
        </is>
      </c>
      <c r="J1314" s="329" t="inlineStr">
        <is>
          <t>Free zone</t>
        </is>
      </c>
      <c r="K1314" s="328" t="inlineStr">
        <is>
          <t>NA</t>
        </is>
      </c>
      <c r="L1314" s="328" t="inlineStr">
        <is>
          <t>NA</t>
        </is>
      </c>
      <c r="M1314" s="1421" t="inlineStr">
        <is>
          <t>NA</t>
        </is>
      </c>
      <c r="N1314" s="284" t="inlineStr">
        <is>
          <t>NA</t>
        </is>
      </c>
      <c r="O1314" s="328" t="inlineStr">
        <is>
          <t>NA</t>
        </is>
      </c>
      <c r="P1314" s="284" t="inlineStr">
        <is>
          <t>NA</t>
        </is>
      </c>
      <c r="Q1314" s="284" t="inlineStr">
        <is>
          <t>NA</t>
        </is>
      </c>
      <c r="R1314" s="247" t="inlineStr">
        <is>
          <t>Laisser à vide</t>
        </is>
      </c>
      <c r="S1314" s="247" t="inlineStr">
        <is>
          <t>Leave empty</t>
        </is>
      </c>
      <c r="T1314" s="333" t="inlineStr">
        <is>
          <t>ALPHA</t>
        </is>
      </c>
      <c r="U1314" s="256" t="inlineStr">
        <is>
          <t>NA</t>
        </is>
      </c>
      <c r="V1314" s="256" t="inlineStr">
        <is>
          <t>NA</t>
        </is>
      </c>
      <c r="W1314" s="328" t="n">
        <v>7</v>
      </c>
      <c r="X1314" s="244" t="inlineStr">
        <is>
          <t>NA</t>
        </is>
      </c>
      <c r="Y1314" s="248" t="inlineStr">
        <is>
          <t>NA</t>
        </is>
      </c>
      <c r="Z1314" s="256" t="inlineStr">
        <is>
          <t>NA</t>
        </is>
      </c>
      <c r="AA1314" s="256" t="inlineStr">
        <is>
          <t>NA</t>
        </is>
      </c>
      <c r="AB1314" s="284" t="inlineStr">
        <is>
          <t>NA</t>
        </is>
      </c>
      <c r="AC1314" s="244" t="inlineStr">
        <is>
          <t>NA</t>
        </is>
      </c>
      <c r="AD1314" s="284" t="inlineStr">
        <is>
          <t>N</t>
        </is>
      </c>
      <c r="AE1314" s="284" t="inlineStr">
        <is>
          <t>NA</t>
        </is>
      </c>
      <c r="AF1314" s="284" t="inlineStr">
        <is>
          <t>NA</t>
        </is>
      </c>
      <c r="AG1314" s="285" t="inlineStr">
        <is>
          <t>NA</t>
        </is>
      </c>
      <c r="AH1314" s="89" t="n"/>
      <c r="AI1314" s="330" t="n"/>
      <c r="AJ1314" s="331" t="n"/>
      <c r="AK1314" s="284" t="n"/>
      <c r="AL1314" s="285" t="n"/>
      <c r="AM1314" s="331" t="n"/>
      <c r="AN1314" s="331" t="n"/>
      <c r="AO1314" s="284" t="n"/>
      <c r="AP1314" s="285" t="n"/>
      <c r="AQ1314" s="331" t="n"/>
      <c r="AR1314" s="331" t="n"/>
      <c r="AS1314" s="284" t="n"/>
      <c r="AT1314" s="285" t="n"/>
      <c r="AU1314" s="331" t="n"/>
      <c r="AV1314" s="331" t="n"/>
      <c r="AW1314" s="284" t="n"/>
      <c r="AX1314" s="285" t="n"/>
      <c r="AY1314" s="331" t="n"/>
      <c r="AZ1314" s="331" t="n"/>
      <c r="BA1314" s="284" t="n"/>
      <c r="BB1314" s="285" t="n"/>
      <c r="BC1314" s="330" t="n"/>
      <c r="BD1314" s="331" t="n"/>
      <c r="BE1314" s="284" t="n"/>
      <c r="BF1314" s="285" t="n"/>
      <c r="BG1314" s="89" t="n"/>
      <c r="BH13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14">
        <f>_xlfn.LET(r,ROW(),oc,INDEX($A:$A,r),cv,TRIM(INDEX($Y:$Y,r)&amp;""),IF(oc&lt;&gt;"P1","",IF(cv="45","V45 - novo, nao alimentado pelo spool atual","V44 - alimentado pelo spool atual")))</f>
        <v/>
      </c>
    </row>
    <row r="1315" ht="54" customFormat="1" customHeight="1" s="56">
      <c r="A1315" s="325" t="inlineStr">
        <is>
          <t>M1</t>
        </is>
      </c>
      <c r="B1315" s="326" t="n">
        <v>20</v>
      </c>
      <c r="C1315" s="284" t="inlineStr">
        <is>
          <t>NA</t>
        </is>
      </c>
      <c r="D1315" s="244" t="inlineStr">
        <is>
          <t>NA</t>
        </is>
      </c>
      <c r="E1315" s="333" t="inlineStr">
        <is>
          <t>1.97 (M1)</t>
        </is>
      </c>
      <c r="F1315" s="329" t="inlineStr">
        <is>
          <t>Filler</t>
        </is>
      </c>
      <c r="G1315" s="329" t="inlineStr">
        <is>
          <t>Filler</t>
        </is>
      </c>
      <c r="H1315" s="329" t="n"/>
      <c r="I1315" s="247" t="inlineStr">
        <is>
          <t>Zone libre</t>
        </is>
      </c>
      <c r="J1315" s="329" t="inlineStr">
        <is>
          <t>Free zone</t>
        </is>
      </c>
      <c r="K1315" s="328" t="inlineStr">
        <is>
          <t>NA</t>
        </is>
      </c>
      <c r="L1315" s="328" t="inlineStr">
        <is>
          <t>NA</t>
        </is>
      </c>
      <c r="M1315" s="1421" t="inlineStr">
        <is>
          <t>NA</t>
        </is>
      </c>
      <c r="N1315" s="284" t="inlineStr">
        <is>
          <t>NA</t>
        </is>
      </c>
      <c r="O1315" s="328" t="inlineStr">
        <is>
          <t>NA</t>
        </is>
      </c>
      <c r="P1315" s="284" t="inlineStr">
        <is>
          <t>NA</t>
        </is>
      </c>
      <c r="Q1315" s="284" t="inlineStr">
        <is>
          <t>NA</t>
        </is>
      </c>
      <c r="R1315" s="247" t="inlineStr">
        <is>
          <t>Laisser à vide</t>
        </is>
      </c>
      <c r="S1315" s="247" t="inlineStr">
        <is>
          <t>Leave empty</t>
        </is>
      </c>
      <c r="T1315" s="333" t="inlineStr">
        <is>
          <t>ALPHA</t>
        </is>
      </c>
      <c r="U1315" s="256" t="inlineStr">
        <is>
          <t>NA</t>
        </is>
      </c>
      <c r="V1315" s="256" t="inlineStr">
        <is>
          <t>NA</t>
        </is>
      </c>
      <c r="W1315" s="328" t="n">
        <v>2</v>
      </c>
      <c r="X1315" s="244" t="inlineStr">
        <is>
          <t>NA</t>
        </is>
      </c>
      <c r="Y1315" s="248" t="inlineStr">
        <is>
          <t>NA</t>
        </is>
      </c>
      <c r="Z1315" s="256" t="inlineStr">
        <is>
          <t>NA</t>
        </is>
      </c>
      <c r="AA1315" s="256" t="inlineStr">
        <is>
          <t>NA</t>
        </is>
      </c>
      <c r="AB1315" s="284" t="inlineStr">
        <is>
          <t>NA</t>
        </is>
      </c>
      <c r="AC1315" s="244" t="inlineStr">
        <is>
          <t>NA</t>
        </is>
      </c>
      <c r="AD1315" s="284" t="inlineStr">
        <is>
          <t>N</t>
        </is>
      </c>
      <c r="AE1315" s="284" t="inlineStr">
        <is>
          <t>NA</t>
        </is>
      </c>
      <c r="AF1315" s="284" t="inlineStr">
        <is>
          <t>NA</t>
        </is>
      </c>
      <c r="AG1315" s="285" t="inlineStr">
        <is>
          <t>NA</t>
        </is>
      </c>
      <c r="AH1315" s="89" t="n"/>
      <c r="AI1315" s="330" t="n"/>
      <c r="AJ1315" s="331" t="n"/>
      <c r="AK1315" s="284" t="n"/>
      <c r="AL1315" s="285" t="n"/>
      <c r="AM1315" s="331" t="n"/>
      <c r="AN1315" s="331" t="n"/>
      <c r="AO1315" s="284" t="n"/>
      <c r="AP1315" s="285" t="n"/>
      <c r="AQ1315" s="331" t="n"/>
      <c r="AR1315" s="331" t="n"/>
      <c r="AS1315" s="284" t="n"/>
      <c r="AT1315" s="285" t="n"/>
      <c r="AU1315" s="331" t="n"/>
      <c r="AV1315" s="331" t="n"/>
      <c r="AW1315" s="284" t="n"/>
      <c r="AX1315" s="285" t="n"/>
      <c r="AY1315" s="331" t="n"/>
      <c r="AZ1315" s="331" t="n"/>
      <c r="BA1315" s="284" t="n"/>
      <c r="BB1315" s="285" t="n"/>
      <c r="BC1315" s="330" t="n"/>
      <c r="BD1315" s="331" t="n"/>
      <c r="BE1315" s="284" t="n"/>
      <c r="BF1315" s="285" t="n"/>
      <c r="BG1315" s="89" t="n"/>
      <c r="BH13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15">
        <f>_xlfn.LET(r,ROW(),oc,INDEX($A:$A,r),cv,TRIM(INDEX($Y:$Y,r)&amp;""),IF(oc&lt;&gt;"P1","",IF(cv="45","V45 - novo, nao alimentado pelo spool atual","V44 - alimentado pelo spool atual")))</f>
        <v/>
      </c>
    </row>
    <row r="1316" ht="54" customFormat="1" customHeight="1" s="90">
      <c r="A1316" s="306" t="inlineStr">
        <is>
          <t>M1</t>
        </is>
      </c>
      <c r="B1316" s="307" t="n">
        <v>21</v>
      </c>
      <c r="C1316" s="269" t="inlineStr">
        <is>
          <t>03 - Caractéristiques Générales</t>
        </is>
      </c>
      <c r="D1316" s="236" t="inlineStr">
        <is>
          <t>03 - General characteristics</t>
        </is>
      </c>
      <c r="E1316" s="307" t="inlineStr">
        <is>
          <t>M1 2.3</t>
        </is>
      </c>
      <c r="F1316" s="646" t="inlineStr">
        <is>
          <t xml:space="preserve">NATure d'Opération de la sûreté </t>
        </is>
      </c>
      <c r="G1316" s="309" t="inlineStr">
        <is>
          <t>NATure of Operation for surety</t>
        </is>
      </c>
      <c r="H1316" s="309" t="n"/>
      <c r="I1316" s="847" t="inlineStr">
        <is>
          <t>Correspond à la classification de la garantie selon la nomenclature Groupe CA "NATO" commune aux Risques et à la Comptabilité.
Il s'agit ici de la NATure d'Opération telle que déterminée et employée par l'entité dans son rapprochement comptabilité risque</t>
        </is>
      </c>
      <c r="J1316" s="233" t="inlineStr">
        <is>
          <t>Represents the classification of the mitigant on the basis of the CA Group shared Risk and Accounting "NATO" (transaction nature) nomenclature
This is the transaction nature as determined and used by the entity for its accounting risk systems reconciliation</t>
        </is>
      </c>
      <c r="K1316" s="269" t="inlineStr">
        <is>
          <t>ND</t>
        </is>
      </c>
      <c r="L1316" s="310" t="inlineStr">
        <is>
          <t>ND</t>
        </is>
      </c>
      <c r="M1316" s="1420" t="inlineStr">
        <is>
          <t>cdNatOp</t>
        </is>
      </c>
      <c r="N1316" s="231" t="inlineStr">
        <is>
          <t>Obligatoire</t>
        </is>
      </c>
      <c r="O1316" s="236" t="inlineStr">
        <is>
          <t>Mandatory</t>
        </is>
      </c>
      <c r="P1316" s="269" t="inlineStr">
        <is>
          <t>LC.0064</t>
        </is>
      </c>
      <c r="Q1316" s="269" t="inlineStr">
        <is>
          <t xml:space="preserve">TA H8NATOPE
</t>
        </is>
      </c>
      <c r="R1316" s="241" t="inlineStr">
        <is>
          <t>NA</t>
        </is>
      </c>
      <c r="S1316" s="233" t="inlineStr">
        <is>
          <t>NA</t>
        </is>
      </c>
      <c r="T1316" s="313" t="inlineStr">
        <is>
          <t>ALPHA</t>
        </is>
      </c>
      <c r="U1316" s="237" t="inlineStr">
        <is>
          <t>NA</t>
        </is>
      </c>
      <c r="V1316" s="238" t="inlineStr">
        <is>
          <t>NA</t>
        </is>
      </c>
      <c r="W1316" s="257" t="n">
        <v>12</v>
      </c>
      <c r="X1316" s="945" t="inlineStr">
        <is>
          <t>NA</t>
        </is>
      </c>
      <c r="Y1316" s="237" t="n">
        <v>40</v>
      </c>
      <c r="Z1316" s="237" t="inlineStr">
        <is>
          <t>NA</t>
        </is>
      </c>
      <c r="AA1316" s="270" t="inlineStr">
        <is>
          <t>NA</t>
        </is>
      </c>
      <c r="AB1316" s="994" t="inlineStr">
        <is>
          <t>NPE</t>
        </is>
      </c>
      <c r="AC1316" s="231" t="inlineStr">
        <is>
          <t>ND</t>
        </is>
      </c>
      <c r="AD1316" s="257" t="inlineStr">
        <is>
          <t>N</t>
        </is>
      </c>
      <c r="AE1316" s="257" t="inlineStr">
        <is>
          <t>SEC-CAS-COL
IAS
GUA-CDE
INS
REE-TAS</t>
        </is>
      </c>
      <c r="AF1316" s="257" t="inlineStr">
        <is>
          <t>NA</t>
        </is>
      </c>
      <c r="AG1316" s="258" t="inlineStr">
        <is>
          <t>NA</t>
        </is>
      </c>
      <c r="AH1316" s="89" t="n"/>
      <c r="AI1316" s="316" t="inlineStr">
        <is>
          <t>La donnée est obligatoire</t>
        </is>
      </c>
      <c r="AJ1316" s="317" t="inlineStr">
        <is>
          <t>The data is mandatory</t>
        </is>
      </c>
      <c r="AK1316" s="257" t="n">
        <v>7</v>
      </c>
      <c r="AL1316" s="335" t="inlineStr">
        <is>
          <t>TPG0001</t>
        </is>
      </c>
      <c r="AM1316" s="210" t="inlineStr">
        <is>
          <t>Si elle est renseignée, la valeur doit être connue du Langage Commun associé</t>
        </is>
      </c>
      <c r="AN1316" s="211" t="inlineStr">
        <is>
          <t>If specified, the value must be known to the associated Common Language</t>
        </is>
      </c>
      <c r="AO1316" s="257" t="n">
        <v>7</v>
      </c>
      <c r="AP1316" s="212" t="inlineStr">
        <is>
          <t>TIG0001</t>
        </is>
      </c>
      <c r="AQ1316" s="318" t="n"/>
      <c r="AR1316" s="317" t="n"/>
      <c r="AS1316" s="257" t="n"/>
      <c r="AT1316" s="258" t="n"/>
      <c r="AU1316" s="318" t="n"/>
      <c r="AV1316" s="317" t="n"/>
      <c r="AW1316" s="257" t="n"/>
      <c r="AX1316" s="258" t="n"/>
      <c r="AY1316" s="318" t="n"/>
      <c r="AZ1316" s="317" t="n"/>
      <c r="BA1316" s="257" t="n"/>
      <c r="BB1316" s="258" t="n"/>
      <c r="BC1316" s="278" t="inlineStr">
        <is>
          <t>Si la combinaison de donnée n'est pas trouvée dans la matrice des règles de gestion C11, le contrôle doit se lever
---
Si la combinaison de donnée n'est pas trouvée dans la matrice des règles de gestion C28, le contrôle doit se lever</t>
        </is>
      </c>
      <c r="BD1316" s="160" t="inlineStr">
        <is>
          <t>If the data combinaison is not found in the C11 business rules matrix, the control must trigger
---
If the data combinaison is not found in the C28 business rules matrix, the control must trigger</t>
        </is>
      </c>
      <c r="BE1316" s="257" t="n">
        <v>6</v>
      </c>
      <c r="BF1316" s="393" t="inlineStr">
        <is>
          <t>TC0C11
TC0C28</t>
        </is>
      </c>
      <c r="BG1316" s="89" t="n"/>
      <c r="BH13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16">
        <f>_xlfn.LET(r,ROW(),oc,INDEX($A:$A,r),cv,TRIM(INDEX($Y:$Y,r)&amp;""),IF(oc&lt;&gt;"P1","",IF(cv="45","V45 - novo, nao alimentado pelo spool atual","V44 - alimentado pelo spool atual")))</f>
        <v/>
      </c>
    </row>
    <row r="1317" ht="54" customFormat="1" customHeight="1" s="90">
      <c r="A1317" s="306" t="inlineStr">
        <is>
          <t>M1</t>
        </is>
      </c>
      <c r="B1317" s="307" t="n">
        <v>22</v>
      </c>
      <c r="C1317" s="269" t="inlineStr">
        <is>
          <t>03 - Caractéristiques Générales</t>
        </is>
      </c>
      <c r="D1317" s="236" t="inlineStr">
        <is>
          <t>03 - General characteristics</t>
        </is>
      </c>
      <c r="E1317" s="307" t="inlineStr">
        <is>
          <t>M1 2.4</t>
        </is>
      </c>
      <c r="F1317" s="308" t="inlineStr">
        <is>
          <t>Indicateur TRR (mode de prise en compte)</t>
        </is>
      </c>
      <c r="G1317" s="309" t="inlineStr">
        <is>
          <t xml:space="preserve">TRR indicator </t>
        </is>
      </c>
      <c r="H1317" s="309" t="n"/>
      <c r="I1317" s="241" t="inlineStr">
        <is>
          <t xml:space="preserve">Permet de différencier les sûretés véhiculées qui rentrent déjà dans la détermination du LGD et celles qui devront faire l'objet d'un traitement particulier moteur avec une substitution de PD </t>
        </is>
      </c>
      <c r="J1317" s="233" t="inlineStr">
        <is>
          <t>Enables to make the difference between reported mitigants which are including in the determination of the LGD and these which will be subject to a special treatment engine with a PD substitution</t>
        </is>
      </c>
      <c r="K1317" s="269" t="inlineStr">
        <is>
          <t>ND</t>
        </is>
      </c>
      <c r="L1317" s="310" t="inlineStr">
        <is>
          <t>ND</t>
        </is>
      </c>
      <c r="M1317" s="1420" t="inlineStr">
        <is>
          <t>cdIndTRR</t>
        </is>
      </c>
      <c r="N1317" s="231" t="inlineStr">
        <is>
          <t>Obligatoire sous conditions</t>
        </is>
      </c>
      <c r="O1317" s="236" t="inlineStr">
        <is>
          <t>Mandatory under conditions</t>
        </is>
      </c>
      <c r="P1317" s="269" t="inlineStr">
        <is>
          <t>LC.0186</t>
        </is>
      </c>
      <c r="Q1317" s="269" t="inlineStr">
        <is>
          <t>TA KVITRR</t>
        </is>
      </c>
      <c r="R1317" s="241" t="inlineStr">
        <is>
          <t>NA</t>
        </is>
      </c>
      <c r="S1317" s="233" t="inlineStr">
        <is>
          <t>NA</t>
        </is>
      </c>
      <c r="T1317" s="313" t="inlineStr">
        <is>
          <t>ALPHA</t>
        </is>
      </c>
      <c r="U1317" s="237" t="inlineStr">
        <is>
          <t>NA</t>
        </is>
      </c>
      <c r="V1317" s="238" t="inlineStr">
        <is>
          <t>NA</t>
        </is>
      </c>
      <c r="W1317" s="257" t="n">
        <v>1</v>
      </c>
      <c r="X1317" s="945" t="inlineStr">
        <is>
          <t>NA</t>
        </is>
      </c>
      <c r="Y1317" s="237" t="n">
        <v>40</v>
      </c>
      <c r="Z1317" s="237" t="inlineStr">
        <is>
          <t>NA</t>
        </is>
      </c>
      <c r="AA1317" s="270" t="inlineStr">
        <is>
          <t>NA</t>
        </is>
      </c>
      <c r="AB1317" s="1287" t="inlineStr">
        <is>
          <t>USAGE ZP</t>
        </is>
      </c>
      <c r="AC1317" s="231" t="inlineStr">
        <is>
          <t>ND</t>
        </is>
      </c>
      <c r="AD1317" s="257" t="inlineStr">
        <is>
          <t>N</t>
        </is>
      </c>
      <c r="AE1317" s="257" t="inlineStr">
        <is>
          <t>SEC-CAS-COL
IAS
GUA-CDE
INS
REE-TAS</t>
        </is>
      </c>
      <c r="AF1317" s="257" t="inlineStr">
        <is>
          <t>NA</t>
        </is>
      </c>
      <c r="AG1317" s="258" t="inlineStr">
        <is>
          <t>NA</t>
        </is>
      </c>
      <c r="AH1317" s="89" t="n"/>
      <c r="AI1317" s="848" t="inlineStr">
        <is>
          <t>La donnée est obligatoire si l'exposition couverte est traitée en méthode bâloise [F2 2.17] = 'IRB A'</t>
        </is>
      </c>
      <c r="AJ1317" s="317" t="inlineStr">
        <is>
          <t>The data is mandatory if the covered exposure is treated using the Basel method [F2 2.17] = 'IRB A'</t>
        </is>
      </c>
      <c r="AK1317" s="257" t="n">
        <v>7</v>
      </c>
      <c r="AL1317" s="258" t="inlineStr">
        <is>
          <t>TP0315</t>
        </is>
      </c>
      <c r="AM1317" s="210" t="inlineStr">
        <is>
          <t>Si elle est renseignée, la valeur doit être connue du Langage Commun associé</t>
        </is>
      </c>
      <c r="AN1317" s="211" t="inlineStr">
        <is>
          <t>If specified, the value must be known to the associated Common Language</t>
        </is>
      </c>
      <c r="AO1317" s="257" t="n">
        <v>7</v>
      </c>
      <c r="AP1317" s="212" t="inlineStr">
        <is>
          <t>TIG0001</t>
        </is>
      </c>
      <c r="AQ1317" s="318" t="n"/>
      <c r="AR1317" s="317" t="n"/>
      <c r="AS1317" s="257" t="n"/>
      <c r="AT1317" s="258" t="n"/>
      <c r="AU1317" s="318" t="n"/>
      <c r="AV1317" s="317" t="n"/>
      <c r="AW1317" s="257" t="n"/>
      <c r="AX1317" s="258" t="n"/>
      <c r="AY1317" s="318" t="n"/>
      <c r="AZ1317" s="317" t="n"/>
      <c r="BA1317" s="257" t="n"/>
      <c r="BB1317" s="258" t="n"/>
      <c r="BC1317" s="316" t="n"/>
      <c r="BD1317" s="317" t="n"/>
      <c r="BE1317" s="257" t="n"/>
      <c r="BF1317" s="258" t="n"/>
      <c r="BG1317" s="89" t="n"/>
      <c r="BH13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17">
        <f>_xlfn.LET(r,ROW(),oc,INDEX($A:$A,r),cv,TRIM(INDEX($Y:$Y,r)&amp;""),IF(oc&lt;&gt;"P1","",IF(cv="45","V45 - novo, nao alimentado pelo spool atual","V44 - alimentado pelo spool atual")))</f>
        <v/>
      </c>
    </row>
    <row r="1318" ht="54" customFormat="1" customHeight="1" s="90">
      <c r="A1318" s="306" t="inlineStr">
        <is>
          <t>M1</t>
        </is>
      </c>
      <c r="B1318" s="307" t="n">
        <v>23</v>
      </c>
      <c r="C1318" s="269" t="inlineStr">
        <is>
          <t>03 - Caractéristiques Générales</t>
        </is>
      </c>
      <c r="D1318" s="236" t="inlineStr">
        <is>
          <t>03 - General characteristics</t>
        </is>
      </c>
      <c r="E1318" s="307" t="inlineStr">
        <is>
          <t>M1 2.5</t>
        </is>
      </c>
      <c r="F1318" s="314" t="inlineStr">
        <is>
          <t>Type de produit bancaire</t>
        </is>
      </c>
      <c r="G1318" s="309" t="inlineStr">
        <is>
          <t>Banking Product type</t>
        </is>
      </c>
      <c r="H1318" s="309" t="n"/>
      <c r="I1318" s="314" t="inlineStr">
        <is>
          <t>Classification des produits bancaires et financiers</t>
        </is>
      </c>
      <c r="J1318" s="233" t="inlineStr">
        <is>
          <t>Banking and financial products classification</t>
        </is>
      </c>
      <c r="K1318" s="269" t="inlineStr">
        <is>
          <t>ND</t>
        </is>
      </c>
      <c r="L1318" s="310" t="inlineStr">
        <is>
          <t>ND</t>
        </is>
      </c>
      <c r="M1318" s="1420" t="inlineStr">
        <is>
          <t>TypProdCd</t>
        </is>
      </c>
      <c r="N1318" s="231" t="inlineStr">
        <is>
          <t>Obligatoire</t>
        </is>
      </c>
      <c r="O1318" s="236" t="inlineStr">
        <is>
          <t>Mandatory</t>
        </is>
      </c>
      <c r="P1318" s="269" t="inlineStr">
        <is>
          <t>LC.0303</t>
        </is>
      </c>
      <c r="Q1318" s="269" t="inlineStr">
        <is>
          <t xml:space="preserve">TA Z8PRODUI </t>
        </is>
      </c>
      <c r="R1318" s="241" t="inlineStr">
        <is>
          <t>NA</t>
        </is>
      </c>
      <c r="S1318" s="312" t="inlineStr">
        <is>
          <t>NA</t>
        </is>
      </c>
      <c r="T1318" s="313" t="inlineStr">
        <is>
          <t>ALPHA</t>
        </is>
      </c>
      <c r="U1318" s="237" t="inlineStr">
        <is>
          <t>NA</t>
        </is>
      </c>
      <c r="V1318" s="238" t="inlineStr">
        <is>
          <t>NA</t>
        </is>
      </c>
      <c r="W1318" s="257" t="n">
        <v>6</v>
      </c>
      <c r="X1318" s="945" t="inlineStr">
        <is>
          <t>NA</t>
        </is>
      </c>
      <c r="Y1318" s="237" t="n">
        <v>43</v>
      </c>
      <c r="Z1318" s="237" t="inlineStr">
        <is>
          <t>NA</t>
        </is>
      </c>
      <c r="AA1318" s="239" t="inlineStr">
        <is>
          <t>NA</t>
        </is>
      </c>
      <c r="AB1318" s="269" t="inlineStr">
        <is>
          <t>USAGE ZP</t>
        </is>
      </c>
      <c r="AC1318" s="231" t="inlineStr">
        <is>
          <t>ND</t>
        </is>
      </c>
      <c r="AD1318" s="257" t="inlineStr">
        <is>
          <t>N</t>
        </is>
      </c>
      <c r="AE1318" s="257" t="inlineStr">
        <is>
          <t>SEC-CAS-COL
IAS
GUA-CDE
INS
REE-TAS</t>
        </is>
      </c>
      <c r="AF1318" s="257" t="inlineStr">
        <is>
          <t>NA</t>
        </is>
      </c>
      <c r="AG1318" s="258" t="inlineStr">
        <is>
          <t>NA</t>
        </is>
      </c>
      <c r="AH1318" s="89" t="n"/>
      <c r="AI1318" s="353" t="inlineStr">
        <is>
          <t>La donnée est obligatoire</t>
        </is>
      </c>
      <c r="AJ1318" s="317" t="inlineStr">
        <is>
          <t>The data is mandatory</t>
        </is>
      </c>
      <c r="AK1318" s="269" t="n">
        <v>7</v>
      </c>
      <c r="AL1318" s="335" t="inlineStr">
        <is>
          <t>TPG0001</t>
        </is>
      </c>
      <c r="AM1318" s="210" t="inlineStr">
        <is>
          <t>Si elle est renseignée, la valeur doit être connue du Langage Commun associé</t>
        </is>
      </c>
      <c r="AN1318" s="211" t="inlineStr">
        <is>
          <t>If specified, the value must be known to the associated Common Language</t>
        </is>
      </c>
      <c r="AO1318" s="269" t="n">
        <v>7</v>
      </c>
      <c r="AP1318" s="212" t="inlineStr">
        <is>
          <t>TIG0001</t>
        </is>
      </c>
      <c r="AQ1318" s="318" t="n"/>
      <c r="AR1318" s="317" t="n"/>
      <c r="AS1318" s="257" t="n"/>
      <c r="AT1318" s="258" t="n"/>
      <c r="AU1318" s="354" t="inlineStr">
        <is>
          <t>Le type de produit bancaire doit être cohérent avec le type d'enregistrement (la colonne Z8OMZPFR lié au type de produit de la table Z8COPROM doit correspondre à l'objet métier concerné)</t>
        </is>
      </c>
      <c r="AV1318" s="317" t="inlineStr">
        <is>
          <t>The type of banking product must be consistent with the type of record (the Z8OMZPFR column linked to the product type of the Z8COPROM table must correspond to the business object concerned)</t>
        </is>
      </c>
      <c r="AW1318" s="269" t="n">
        <v>7</v>
      </c>
      <c r="AX1318" s="355" t="inlineStr">
        <is>
          <t>TCG0001</t>
        </is>
      </c>
      <c r="AY1318" s="318" t="n"/>
      <c r="AZ1318" s="317" t="n"/>
      <c r="BA1318" s="257" t="n"/>
      <c r="BB1318" s="258" t="n"/>
      <c r="BC1318" s="316" t="n"/>
      <c r="BD1318" s="317" t="n"/>
      <c r="BE1318" s="257" t="n"/>
      <c r="BF1318" s="258" t="n"/>
      <c r="BG1318" s="89" t="n"/>
      <c r="BH13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18">
        <f>_xlfn.LET(r,ROW(),oc,INDEX($A:$A,r),cv,TRIM(INDEX($Y:$Y,r)&amp;""),IF(oc&lt;&gt;"P1","",IF(cv="45","V45 - novo, nao alimentado pelo spool atual","V44 - alimentado pelo spool atual")))</f>
        <v/>
      </c>
    </row>
    <row r="1319" ht="54" customFormat="1" customHeight="1" s="55">
      <c r="A1319" s="325" t="inlineStr">
        <is>
          <t>M1</t>
        </is>
      </c>
      <c r="B1319" s="326" t="n">
        <v>24</v>
      </c>
      <c r="C1319" s="284" t="inlineStr">
        <is>
          <t>NA</t>
        </is>
      </c>
      <c r="D1319" s="244" t="inlineStr">
        <is>
          <t>NA</t>
        </is>
      </c>
      <c r="E1319" s="326" t="inlineStr">
        <is>
          <t>M1 2.99</t>
        </is>
      </c>
      <c r="F1319" s="327" t="inlineStr">
        <is>
          <t>Filler</t>
        </is>
      </c>
      <c r="G1319" s="327" t="inlineStr">
        <is>
          <t>Filler</t>
        </is>
      </c>
      <c r="H1319" s="327" t="n"/>
      <c r="I1319" s="247" t="inlineStr">
        <is>
          <t>Zone libre</t>
        </is>
      </c>
      <c r="J1319" s="327" t="inlineStr">
        <is>
          <t>Free zone</t>
        </is>
      </c>
      <c r="K1319" s="388" t="inlineStr">
        <is>
          <t>NA</t>
        </is>
      </c>
      <c r="L1319" s="388" t="inlineStr">
        <is>
          <t>NA</t>
        </is>
      </c>
      <c r="M1319" s="1421" t="inlineStr">
        <is>
          <t>ZoneLibre2</t>
        </is>
      </c>
      <c r="N1319" s="284" t="inlineStr">
        <is>
          <t>NA</t>
        </is>
      </c>
      <c r="O1319" s="388" t="inlineStr">
        <is>
          <t>NA</t>
        </is>
      </c>
      <c r="P1319" s="284" t="inlineStr">
        <is>
          <t>NA</t>
        </is>
      </c>
      <c r="Q1319" s="284" t="inlineStr">
        <is>
          <t>NA</t>
        </is>
      </c>
      <c r="R1319" s="247" t="inlineStr">
        <is>
          <t>Laisser à vide</t>
        </is>
      </c>
      <c r="S1319" s="247" t="inlineStr">
        <is>
          <t>Leave empty</t>
        </is>
      </c>
      <c r="T1319" s="326" t="inlineStr">
        <is>
          <t>ALPHA</t>
        </is>
      </c>
      <c r="U1319" s="248" t="inlineStr">
        <is>
          <t>NA</t>
        </is>
      </c>
      <c r="V1319" s="248" t="inlineStr">
        <is>
          <t>NA</t>
        </is>
      </c>
      <c r="W1319" s="284" t="n">
        <v>13</v>
      </c>
      <c r="X1319" s="244" t="inlineStr">
        <is>
          <t>NA</t>
        </is>
      </c>
      <c r="Y1319" s="248" t="inlineStr">
        <is>
          <t>NA</t>
        </is>
      </c>
      <c r="Z1319" s="248" t="inlineStr">
        <is>
          <t>NA</t>
        </is>
      </c>
      <c r="AA1319" s="249" t="inlineStr">
        <is>
          <t>NA</t>
        </is>
      </c>
      <c r="AB1319" s="284" t="inlineStr">
        <is>
          <t>NA</t>
        </is>
      </c>
      <c r="AC1319" s="244" t="inlineStr">
        <is>
          <t>NA</t>
        </is>
      </c>
      <c r="AD1319" s="284" t="inlineStr">
        <is>
          <t>N</t>
        </is>
      </c>
      <c r="AE1319" s="284" t="inlineStr">
        <is>
          <t>NA</t>
        </is>
      </c>
      <c r="AF1319" s="284" t="inlineStr">
        <is>
          <t>NA</t>
        </is>
      </c>
      <c r="AG1319" s="285" t="inlineStr">
        <is>
          <t>NA</t>
        </is>
      </c>
      <c r="AH1319" s="89" t="n"/>
      <c r="AI1319" s="330" t="n"/>
      <c r="AJ1319" s="331" t="n"/>
      <c r="AK1319" s="284" t="n"/>
      <c r="AL1319" s="285" t="n"/>
      <c r="AM1319" s="331" t="n"/>
      <c r="AN1319" s="331" t="n"/>
      <c r="AO1319" s="284" t="n"/>
      <c r="AP1319" s="285" t="n"/>
      <c r="AQ1319" s="331" t="n"/>
      <c r="AR1319" s="331" t="n"/>
      <c r="AS1319" s="284" t="n"/>
      <c r="AT1319" s="285" t="n"/>
      <c r="AU1319" s="331" t="n"/>
      <c r="AV1319" s="331" t="n"/>
      <c r="AW1319" s="284" t="n"/>
      <c r="AX1319" s="285" t="n"/>
      <c r="AY1319" s="331" t="n"/>
      <c r="AZ1319" s="331" t="n"/>
      <c r="BA1319" s="284" t="n"/>
      <c r="BB1319" s="285" t="n"/>
      <c r="BC1319" s="330" t="n"/>
      <c r="BD1319" s="331" t="n"/>
      <c r="BE1319" s="284" t="n"/>
      <c r="BF1319" s="285" t="n"/>
      <c r="BG1319" s="89" t="n"/>
      <c r="BH13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19">
        <f>_xlfn.LET(r,ROW(),oc,INDEX($A:$A,r),cv,TRIM(INDEX($Y:$Y,r)&amp;""),IF(oc&lt;&gt;"P1","",IF(cv="45","V45 - novo, nao alimentado pelo spool atual","V44 - alimentado pelo spool atual")))</f>
        <v/>
      </c>
    </row>
    <row r="1320" ht="54" customFormat="1" customHeight="1" s="90">
      <c r="A1320" s="306" t="inlineStr">
        <is>
          <t>M1</t>
        </is>
      </c>
      <c r="B1320" s="307" t="n">
        <v>25</v>
      </c>
      <c r="C1320" s="269" t="inlineStr">
        <is>
          <t>20 - Garants et Dépositaires</t>
        </is>
      </c>
      <c r="D1320" s="310" t="inlineStr">
        <is>
          <t>20 - Guarantors and Depositaries</t>
        </is>
      </c>
      <c r="E1320" s="307" t="inlineStr">
        <is>
          <t>M1 3.1</t>
        </is>
      </c>
      <c r="F1320" s="437" t="inlineStr">
        <is>
          <t>Identifiant local du tiers garant</t>
        </is>
      </c>
      <c r="G1320" s="309" t="inlineStr">
        <is>
          <t>Local identifier of the guarantor counterparty</t>
        </is>
      </c>
      <c r="H1320" s="309" t="n"/>
      <c r="I1320" s="241" t="inlineStr">
        <is>
          <t>Identifiant du tiers garant dans le système de gestion de l'opération</t>
        </is>
      </c>
      <c r="J1320" s="309" t="inlineStr">
        <is>
          <t>ID of the guarantor counterparty in the operation management system</t>
        </is>
      </c>
      <c r="K1320" s="370" t="inlineStr">
        <is>
          <t>ND</t>
        </is>
      </c>
      <c r="L1320" s="371" t="inlineStr">
        <is>
          <t>ND</t>
        </is>
      </c>
      <c r="M1320" s="1420" t="inlineStr">
        <is>
          <t>idLocalGaran</t>
        </is>
      </c>
      <c r="N1320" s="231" t="inlineStr">
        <is>
          <t>Obligatoire</t>
        </is>
      </c>
      <c r="O1320" s="236" t="inlineStr">
        <is>
          <t>Mandatory</t>
        </is>
      </c>
      <c r="P1320" s="269" t="inlineStr">
        <is>
          <t>NA</t>
        </is>
      </c>
      <c r="Q1320" s="269" t="inlineStr">
        <is>
          <t>NA</t>
        </is>
      </c>
      <c r="R1320" s="241" t="inlineStr">
        <is>
          <t>Vérification de l'unicité du tiers au sein du lot</t>
        </is>
      </c>
      <c r="S1320" s="309" t="inlineStr">
        <is>
          <t>Check that the third party is unique within the batch</t>
        </is>
      </c>
      <c r="T1320" s="313" t="inlineStr">
        <is>
          <t>ALPHA</t>
        </is>
      </c>
      <c r="U1320" s="237" t="inlineStr">
        <is>
          <t>NA</t>
        </is>
      </c>
      <c r="V1320" s="238" t="inlineStr">
        <is>
          <t>NA</t>
        </is>
      </c>
      <c r="W1320" s="257" t="n">
        <v>20</v>
      </c>
      <c r="X1320" s="945" t="inlineStr">
        <is>
          <t>NA</t>
        </is>
      </c>
      <c r="Y1320" s="237" t="n">
        <v>40</v>
      </c>
      <c r="Z1320" s="237" t="inlineStr">
        <is>
          <t>NA</t>
        </is>
      </c>
      <c r="AA1320" s="270" t="inlineStr">
        <is>
          <t>NA</t>
        </is>
      </c>
      <c r="AB1320" s="994" t="inlineStr">
        <is>
          <t>DEI, GRR</t>
        </is>
      </c>
      <c r="AC1320" s="231" t="inlineStr">
        <is>
          <t>ND</t>
        </is>
      </c>
      <c r="AD1320" s="257" t="inlineStr">
        <is>
          <t>N</t>
        </is>
      </c>
      <c r="AE1320" s="257" t="inlineStr">
        <is>
          <t>SEC-CAS-COL
IAS
GUA-CDE
INS
REE-TAS</t>
        </is>
      </c>
      <c r="AF1320" s="257" t="inlineStr">
        <is>
          <t>NA</t>
        </is>
      </c>
      <c r="AG1320" s="258" t="inlineStr">
        <is>
          <t>NA</t>
        </is>
      </c>
      <c r="AH1320" s="89" t="n"/>
      <c r="AI1320" s="316" t="inlineStr">
        <is>
          <t>La donnée est obligatoire</t>
        </is>
      </c>
      <c r="AJ1320" s="317" t="inlineStr">
        <is>
          <t>The data is mandatory</t>
        </is>
      </c>
      <c r="AK1320" s="257" t="n">
        <v>7</v>
      </c>
      <c r="AL1320" s="335" t="inlineStr">
        <is>
          <t>TPG0001</t>
        </is>
      </c>
      <c r="AM1320" s="318" t="n"/>
      <c r="AN1320" s="317" t="n"/>
      <c r="AO1320" s="257" t="n"/>
      <c r="AP1320" s="258" t="n"/>
      <c r="AQ1320" s="318" t="n"/>
      <c r="AR1320" s="317" t="n"/>
      <c r="AS1320" s="257" t="n"/>
      <c r="AT1320" s="258" t="n"/>
      <c r="AU1320" s="318" t="n"/>
      <c r="AV1320" s="317" t="n"/>
      <c r="AW1320" s="257" t="n"/>
      <c r="AX1320" s="258" t="n"/>
      <c r="AY1320" s="337" t="inlineStr">
        <is>
          <t>Le tiers doit exister (présence du tiers dans TIGRE)</t>
        </is>
      </c>
      <c r="AZ1320" s="317" t="inlineStr">
        <is>
          <t>The third-party must exist (presence of the third-party in TIGRE)</t>
        </is>
      </c>
      <c r="BA1320" s="257" t="n">
        <v>7</v>
      </c>
      <c r="BB1320" s="338" t="inlineStr">
        <is>
          <t>TIG0002</t>
        </is>
      </c>
      <c r="BC1320" s="316" t="n"/>
      <c r="BD1320" s="317" t="n"/>
      <c r="BE1320" s="257" t="n"/>
      <c r="BF1320" s="258" t="n"/>
      <c r="BG1320" s="89" t="n"/>
      <c r="BH13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20">
        <f>_xlfn.LET(r,ROW(),oc,INDEX($A:$A,r),cv,TRIM(INDEX($Y:$Y,r)&amp;""),IF(oc&lt;&gt;"P1","",IF(cv="45","V45 - novo, nao alimentado pelo spool atual","V44 - alimentado pelo spool atual")))</f>
        <v/>
      </c>
    </row>
    <row r="1321" ht="54" customFormat="1" customHeight="1" s="90">
      <c r="A1321" s="306" t="inlineStr">
        <is>
          <t>M1</t>
        </is>
      </c>
      <c r="B1321" s="307" t="n">
        <v>26</v>
      </c>
      <c r="C1321" s="269" t="inlineStr">
        <is>
          <t>20 - Garants et Dépositaires</t>
        </is>
      </c>
      <c r="D1321" s="310" t="inlineStr">
        <is>
          <t>20 - Guarantors and Depositaries</t>
        </is>
      </c>
      <c r="E1321" s="307" t="inlineStr">
        <is>
          <t>M1 3.2</t>
        </is>
      </c>
      <c r="F1321" s="437" t="inlineStr">
        <is>
          <t>Identifiant central du garant</t>
        </is>
      </c>
      <c r="G1321" s="309" t="inlineStr">
        <is>
          <t>Central ID of guarantor</t>
        </is>
      </c>
      <c r="H1321" s="309" t="n"/>
      <c r="I1321" s="241" t="inlineStr">
        <is>
          <t>Correspond à l'identifiant du garant dans le système central DRG</t>
        </is>
      </c>
      <c r="J1321" s="309" t="inlineStr">
        <is>
          <t>Represents the guarantor's ID in the Group Risk Management Division IT System</t>
        </is>
      </c>
      <c r="K1321" s="370" t="inlineStr">
        <is>
          <t>ND</t>
        </is>
      </c>
      <c r="L1321" s="371" t="inlineStr">
        <is>
          <t>ND</t>
        </is>
      </c>
      <c r="M1321" s="1420" t="inlineStr">
        <is>
          <t>cdCentralGraran</t>
        </is>
      </c>
      <c r="N1321" s="231" t="inlineStr">
        <is>
          <t>Facultatif</t>
        </is>
      </c>
      <c r="O1321" s="236" t="inlineStr">
        <is>
          <t>Optional</t>
        </is>
      </c>
      <c r="P1321" s="269" t="inlineStr">
        <is>
          <t>NA</t>
        </is>
      </c>
      <c r="Q1321" s="269" t="inlineStr">
        <is>
          <t>NA</t>
        </is>
      </c>
      <c r="R1321" s="1249" t="inlineStr">
        <is>
          <t xml:space="preserve">Identifiant central fourni par la DRG dans le fichier mensuel Référentiel ‘Tiers&amp;Groupes' (DTG) transmis aux entités émettrices du flux
</t>
        </is>
      </c>
      <c r="S1321" s="309" t="inlineStr">
        <is>
          <t xml:space="preserve">Central identifier provided by the DRG in the monthly "Third Party&amp;Group" repository (DTG) file sent to the flow issuing
</t>
        </is>
      </c>
      <c r="T1321" s="313" t="inlineStr">
        <is>
          <t>ALPHA</t>
        </is>
      </c>
      <c r="U1321" s="237" t="inlineStr">
        <is>
          <t>NA</t>
        </is>
      </c>
      <c r="V1321" s="238" t="inlineStr">
        <is>
          <t>NA</t>
        </is>
      </c>
      <c r="W1321" s="257" t="n">
        <v>10</v>
      </c>
      <c r="X1321" s="945" t="inlineStr">
        <is>
          <t>NA</t>
        </is>
      </c>
      <c r="Y1321" s="237" t="n">
        <v>40</v>
      </c>
      <c r="Z1321" s="237" t="inlineStr">
        <is>
          <t>NA</t>
        </is>
      </c>
      <c r="AA1321" s="270" t="inlineStr">
        <is>
          <t>45.00</t>
        </is>
      </c>
      <c r="AB1321" s="994" t="inlineStr">
        <is>
          <t>ASTRE, DEI, ESG PILIER 3, GRR, LOAN TAPE, NPE, RISQUE PHYSIQUE</t>
        </is>
      </c>
      <c r="AC1321" s="231" t="inlineStr">
        <is>
          <t>ND</t>
        </is>
      </c>
      <c r="AD1321" s="257" t="inlineStr">
        <is>
          <t>N</t>
        </is>
      </c>
      <c r="AE1321" s="257" t="inlineStr">
        <is>
          <t>SEC-CAS-COL
IAS
GUA-CDE
INS
REE-TAS</t>
        </is>
      </c>
      <c r="AF1321" s="257" t="inlineStr">
        <is>
          <t>NA</t>
        </is>
      </c>
      <c r="AG1321" s="258" t="inlineStr">
        <is>
          <t>NA</t>
        </is>
      </c>
      <c r="AH1321" s="89" t="n"/>
      <c r="AI1321" s="316" t="n"/>
      <c r="AJ1321" s="317" t="n"/>
      <c r="AK1321" s="257" t="n"/>
      <c r="AL1321" s="258" t="n"/>
      <c r="AM1321" s="318" t="n"/>
      <c r="AN1321" s="317" t="n"/>
      <c r="AO1321" s="257" t="n"/>
      <c r="AP1321" s="258" t="n"/>
      <c r="AQ1321" s="318" t="n"/>
      <c r="AR1321" s="317" t="n"/>
      <c r="AS1321" s="257" t="n"/>
      <c r="AT1321" s="258" t="n"/>
      <c r="AU1321" s="318" t="n"/>
      <c r="AV1321" s="317" t="n"/>
      <c r="AW1321" s="257" t="n"/>
      <c r="AX1321" s="258" t="n"/>
      <c r="AY1321" s="1240" t="inlineStr">
        <is>
          <t>S'il est renseigné, l'identifiant doit correspondre à un enregistrement dans l'objet associé, indépendamment de l'entité
---
Le tiers doit exister (présence du tiers dans TIGRE)
---
Le couple identifiant local / central (M1 3.1 et M1 3.2) doit exister dans TIGRE</t>
        </is>
      </c>
      <c r="AZ1321" s="931" t="inlineStr">
        <is>
          <t>If it is filled in, the identifier must correspond to a record in the associated object, regardless of the entity
---
Le tiers doit exister (présence du tiers dans TIGRE)
---
The local/central identifier pair (M1 3.1 and M1 3.2) must exist in TIGRE</t>
        </is>
      </c>
      <c r="BA1321" s="1181" t="inlineStr">
        <is>
          <t>7
6
6</t>
        </is>
      </c>
      <c r="BB1321" s="1182" t="inlineStr">
        <is>
          <t>TI0003
TIG0002
TIG0004</t>
        </is>
      </c>
      <c r="BC1321" s="316" t="n"/>
      <c r="BD1321" s="317" t="n"/>
      <c r="BE1321" s="257" t="n"/>
      <c r="BF1321" s="258" t="n"/>
      <c r="BG1321" s="89" t="n"/>
      <c r="BH13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21">
        <f>_xlfn.LET(r,ROW(),oc,INDEX($A:$A,r),cv,TRIM(INDEX($Y:$Y,r)&amp;""),IF(oc&lt;&gt;"P1","",IF(cv="45","V45 - novo, nao alimentado pelo spool atual","V44 - alimentado pelo spool atual")))</f>
        <v/>
      </c>
    </row>
    <row r="1322" ht="54" customFormat="1" customHeight="1" s="90">
      <c r="A1322" s="306" t="inlineStr">
        <is>
          <t>M1</t>
        </is>
      </c>
      <c r="B1322" s="307" t="n">
        <v>27</v>
      </c>
      <c r="C1322" s="269" t="inlineStr">
        <is>
          <t>20 - Garants et Dépositaires</t>
        </is>
      </c>
      <c r="D1322" s="310" t="inlineStr">
        <is>
          <t>20 - Guarantors and Depositaries</t>
        </is>
      </c>
      <c r="E1322" s="307" t="inlineStr">
        <is>
          <t>M1 3.4</t>
        </is>
      </c>
      <c r="F1322" s="308" t="inlineStr">
        <is>
          <t>Identifiant local du dépositaire</t>
        </is>
      </c>
      <c r="G1322" s="309" t="inlineStr">
        <is>
          <t>Local ID of depository</t>
        </is>
      </c>
      <c r="H1322" s="309" t="n"/>
      <c r="I1322" s="241" t="inlineStr">
        <is>
          <t>Identifiant du tiers dépositaire de la sûreté dans le système de gestion de l'opération</t>
        </is>
      </c>
      <c r="J1322" s="309" t="inlineStr">
        <is>
          <t>ID of the depositary counterparty in the operation management system</t>
        </is>
      </c>
      <c r="K1322" s="370" t="inlineStr">
        <is>
          <t>ND</t>
        </is>
      </c>
      <c r="L1322" s="371" t="inlineStr">
        <is>
          <t>ND</t>
        </is>
      </c>
      <c r="M1322" s="1420" t="inlineStr">
        <is>
          <t>idLocalDepo</t>
        </is>
      </c>
      <c r="N1322" s="231" t="inlineStr">
        <is>
          <t>Facultatif</t>
        </is>
      </c>
      <c r="O1322" s="236" t="inlineStr">
        <is>
          <t>Optional</t>
        </is>
      </c>
      <c r="P1322" s="269" t="inlineStr">
        <is>
          <t>NA</t>
        </is>
      </c>
      <c r="Q1322" s="269" t="inlineStr">
        <is>
          <t>NA</t>
        </is>
      </c>
      <c r="R1322" s="241" t="inlineStr">
        <is>
          <t>Une vérification est réalisée pour s'assurer de l'unicité du tiers au sein du lot</t>
        </is>
      </c>
      <c r="S1322" s="309" t="inlineStr">
        <is>
          <t>A check shall be carried out to ensure that the third party is unique within the batch</t>
        </is>
      </c>
      <c r="T1322" s="313" t="inlineStr">
        <is>
          <t>ALPHA</t>
        </is>
      </c>
      <c r="U1322" s="237" t="inlineStr">
        <is>
          <t>NA</t>
        </is>
      </c>
      <c r="V1322" s="238" t="inlineStr">
        <is>
          <t>NA</t>
        </is>
      </c>
      <c r="W1322" s="257" t="n">
        <v>20</v>
      </c>
      <c r="X1322" s="945" t="inlineStr">
        <is>
          <t>NA</t>
        </is>
      </c>
      <c r="Y1322" s="237" t="n">
        <v>40</v>
      </c>
      <c r="Z1322" s="237" t="inlineStr">
        <is>
          <t>NA</t>
        </is>
      </c>
      <c r="AA1322" s="270" t="inlineStr">
        <is>
          <t>NA</t>
        </is>
      </c>
      <c r="AB1322" s="994" t="inlineStr">
        <is>
          <t>DEI, GRR</t>
        </is>
      </c>
      <c r="AC1322" s="231" t="inlineStr">
        <is>
          <t>ND</t>
        </is>
      </c>
      <c r="AD1322" s="257" t="inlineStr">
        <is>
          <t>N</t>
        </is>
      </c>
      <c r="AE1322" s="257" t="inlineStr">
        <is>
          <t>SEC-CAS-COL
IAS
GUA-CDE
INS
REE-TAS</t>
        </is>
      </c>
      <c r="AF1322" s="257" t="inlineStr">
        <is>
          <t>NA</t>
        </is>
      </c>
      <c r="AG1322" s="258" t="inlineStr">
        <is>
          <t>NA</t>
        </is>
      </c>
      <c r="AH1322" s="89" t="n"/>
      <c r="AI1322" s="316" t="n"/>
      <c r="AJ1322" s="317" t="n"/>
      <c r="AK1322" s="257" t="n"/>
      <c r="AL1322" s="258" t="n"/>
      <c r="AM1322" s="318" t="n"/>
      <c r="AN1322" s="317" t="n"/>
      <c r="AO1322" s="257" t="n"/>
      <c r="AP1322" s="258" t="n"/>
      <c r="AQ1322" s="318" t="n"/>
      <c r="AR1322" s="317" t="n"/>
      <c r="AS1322" s="257" t="n"/>
      <c r="AT1322" s="258" t="n"/>
      <c r="AU1322" s="318" t="n"/>
      <c r="AV1322" s="317" t="n"/>
      <c r="AW1322" s="257" t="n"/>
      <c r="AX1322" s="258" t="n"/>
      <c r="AY1322" s="337" t="inlineStr">
        <is>
          <t>Le tiers doit exister (présence du tiers dans TIGRE)</t>
        </is>
      </c>
      <c r="AZ1322" s="317" t="inlineStr">
        <is>
          <t>The third-party must exist (presence of the third-party in TIGRE)</t>
        </is>
      </c>
      <c r="BA1322" s="257" t="n">
        <v>7</v>
      </c>
      <c r="BB1322" s="338" t="inlineStr">
        <is>
          <t>TIG0002</t>
        </is>
      </c>
      <c r="BC1322" s="316" t="n"/>
      <c r="BD1322" s="317" t="n"/>
      <c r="BE1322" s="257" t="n"/>
      <c r="BF1322" s="258" t="n"/>
      <c r="BG1322" s="89" t="n"/>
      <c r="BH13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22">
        <f>_xlfn.LET(r,ROW(),oc,INDEX($A:$A,r),cv,TRIM(INDEX($Y:$Y,r)&amp;""),IF(oc&lt;&gt;"P1","",IF(cv="45","V45 - novo, nao alimentado pelo spool atual","V44 - alimentado pelo spool atual")))</f>
        <v/>
      </c>
    </row>
    <row r="1323" ht="54" customFormat="1" customHeight="1" s="90">
      <c r="A1323" s="306" t="inlineStr">
        <is>
          <t>M1</t>
        </is>
      </c>
      <c r="B1323" s="307" t="n">
        <v>28</v>
      </c>
      <c r="C1323" s="269" t="inlineStr">
        <is>
          <t>20 - Garants et Dépositaires</t>
        </is>
      </c>
      <c r="D1323" s="310" t="inlineStr">
        <is>
          <t>20 - Guarantors and Depositaries</t>
        </is>
      </c>
      <c r="E1323" s="307" t="inlineStr">
        <is>
          <t>M1 3.6</t>
        </is>
      </c>
      <c r="F1323" s="308" t="inlineStr">
        <is>
          <t>Identifiant central du dépositaire</t>
        </is>
      </c>
      <c r="G1323" s="309" t="inlineStr">
        <is>
          <t>Central ID of depository</t>
        </is>
      </c>
      <c r="H1323" s="309" t="n"/>
      <c r="I1323" s="241" t="inlineStr">
        <is>
          <t>Correspond à l'identifiant du dépositaire des titres reçus dans le système central DRG</t>
        </is>
      </c>
      <c r="J1323" s="309" t="inlineStr">
        <is>
          <t>Represents the ID in the Group Risk Management Division IT System of the depository of the securities received</t>
        </is>
      </c>
      <c r="K1323" s="370" t="inlineStr">
        <is>
          <t>ND</t>
        </is>
      </c>
      <c r="L1323" s="371" t="inlineStr">
        <is>
          <t>ND</t>
        </is>
      </c>
      <c r="M1323" s="1420" t="inlineStr">
        <is>
          <t>cdCentralDepos</t>
        </is>
      </c>
      <c r="N1323" s="231" t="inlineStr">
        <is>
          <t>Facultatif</t>
        </is>
      </c>
      <c r="O1323" s="236" t="inlineStr">
        <is>
          <t>Optional</t>
        </is>
      </c>
      <c r="P1323" s="269" t="inlineStr">
        <is>
          <t>NA</t>
        </is>
      </c>
      <c r="Q1323" s="269" t="inlineStr">
        <is>
          <t>NA</t>
        </is>
      </c>
      <c r="R1323" s="1249" t="inlineStr">
        <is>
          <t xml:space="preserve">Identifiant central fourni par la DRG dans le fichier mensuel Référentiel ‘Tiers&amp;Groupes' (DTG) transmis aux entités émettrices du flux
</t>
        </is>
      </c>
      <c r="S1323" s="309" t="inlineStr">
        <is>
          <t xml:space="preserve">Central identifier provided by the DRG in the monthly "Third Party&amp;Group" repository (DTG) file sent to the flow issuing
</t>
        </is>
      </c>
      <c r="T1323" s="313" t="inlineStr">
        <is>
          <t>ALPHA</t>
        </is>
      </c>
      <c r="U1323" s="237" t="inlineStr">
        <is>
          <t>NA</t>
        </is>
      </c>
      <c r="V1323" s="238" t="inlineStr">
        <is>
          <t>NA</t>
        </is>
      </c>
      <c r="W1323" s="257" t="n">
        <v>10</v>
      </c>
      <c r="X1323" s="945" t="inlineStr">
        <is>
          <t>NA</t>
        </is>
      </c>
      <c r="Y1323" s="237" t="n">
        <v>40</v>
      </c>
      <c r="Z1323" s="237" t="inlineStr">
        <is>
          <t>NA</t>
        </is>
      </c>
      <c r="AA1323" s="978" t="inlineStr">
        <is>
          <t>45.00</t>
        </is>
      </c>
      <c r="AB1323" s="994" t="inlineStr">
        <is>
          <t>ASTRE, DEI, GRR</t>
        </is>
      </c>
      <c r="AC1323" s="231" t="inlineStr">
        <is>
          <t>ND</t>
        </is>
      </c>
      <c r="AD1323" s="257" t="inlineStr">
        <is>
          <t>N</t>
        </is>
      </c>
      <c r="AE1323" s="257" t="inlineStr">
        <is>
          <t>SEC-CAS-COL
IAS
GUA-CDE
INS
REE-TAS</t>
        </is>
      </c>
      <c r="AF1323" s="257" t="inlineStr">
        <is>
          <t>NA</t>
        </is>
      </c>
      <c r="AG1323" s="258" t="inlineStr">
        <is>
          <t>NA</t>
        </is>
      </c>
      <c r="AH1323" s="89" t="n"/>
      <c r="AI1323" s="316" t="n"/>
      <c r="AJ1323" s="317" t="n"/>
      <c r="AK1323" s="257" t="n"/>
      <c r="AL1323" s="258" t="n"/>
      <c r="AM1323" s="318" t="n"/>
      <c r="AN1323" s="317" t="n"/>
      <c r="AO1323" s="257" t="n"/>
      <c r="AP1323" s="258" t="n"/>
      <c r="AQ1323" s="318" t="n"/>
      <c r="AR1323" s="317" t="n"/>
      <c r="AS1323" s="257" t="n"/>
      <c r="AT1323" s="258" t="n"/>
      <c r="AU1323" s="318" t="n"/>
      <c r="AV1323" s="317" t="n"/>
      <c r="AW1323" s="257" t="n"/>
      <c r="AX1323" s="258" t="n"/>
      <c r="AY1323" s="1240" t="inlineStr">
        <is>
          <t>S'il est renseigné, l'identifiant doit correspondre à un enregistrement dans l'objet associé, indépendamment de l'entité
---
Le tiers doit exister (présence du tiers dans TIGRE)
---
Le couple identifiant local / central (M1 3.4 et M1 3.6) doit exister dans TIGRE</t>
        </is>
      </c>
      <c r="AZ1323" s="931" t="inlineStr">
        <is>
          <t>If it is filled in, the identifier must correspond to a record in the associated object, regardless of the entity
---
The third-party must exist (presence of the third-party in TIGRE)
---
The local/central identifier pair (M1 3.4 and M1 3.6) must exist in TIGRE</t>
        </is>
      </c>
      <c r="BA1323" s="1181" t="inlineStr">
        <is>
          <t>7
6
6</t>
        </is>
      </c>
      <c r="BB1323" s="1182" t="inlineStr">
        <is>
          <t>TI0003
TIG0002
TIG0004</t>
        </is>
      </c>
      <c r="BC1323" s="316" t="n"/>
      <c r="BD1323" s="317" t="n"/>
      <c r="BE1323" s="257" t="n"/>
      <c r="BF1323" s="258" t="n"/>
      <c r="BG1323" s="89" t="n"/>
      <c r="BH13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23">
        <f>_xlfn.LET(r,ROW(),oc,INDEX($A:$A,r),cv,TRIM(INDEX($Y:$Y,r)&amp;""),IF(oc&lt;&gt;"P1","",IF(cv="45","V45 - novo, nao alimentado pelo spool atual","V44 - alimentado pelo spool atual")))</f>
        <v/>
      </c>
    </row>
    <row r="1324" ht="54" customFormat="1" customHeight="1" s="90">
      <c r="A1324" s="306" t="inlineStr">
        <is>
          <t>M1</t>
        </is>
      </c>
      <c r="B1324" s="307" t="n">
        <v>29</v>
      </c>
      <c r="C1324" s="269" t="inlineStr">
        <is>
          <t>27 - Caractéristiques extra-financière</t>
        </is>
      </c>
      <c r="D1324" s="310" t="inlineStr">
        <is>
          <t>27 - Extra-financial caracteristics</t>
        </is>
      </c>
      <c r="E1324" s="307" t="inlineStr">
        <is>
          <t>M1 8.11</t>
        </is>
      </c>
      <c r="F1324" s="437" t="inlineStr">
        <is>
          <t>Lieu du dépôt de la sûreté réelle</t>
        </is>
      </c>
      <c r="G1324" s="309" t="inlineStr">
        <is>
          <t>Place of deposit of real security</t>
        </is>
      </c>
      <c r="H1324" s="309" t="n"/>
      <c r="I1324" s="241" t="inlineStr">
        <is>
          <t>Pour les sûretés financières
Pour les gages espèces et les titres
Le lieu du dépôt de la sûreté réelle détermine l'appartenance du dépositaire du gage-espèce ou du titre au groupe CA.</t>
        </is>
      </c>
      <c r="J1324" s="309" t="inlineStr">
        <is>
          <t>For the financial collaterals
For cash pledges and securities
The lien's deposit location determines whether the custodian of the cash pledge or security belongs to the CA group.</t>
        </is>
      </c>
      <c r="K1324" s="370" t="inlineStr">
        <is>
          <t>ND</t>
        </is>
      </c>
      <c r="L1324" s="371" t="inlineStr">
        <is>
          <t>ND</t>
        </is>
      </c>
      <c r="M1324" s="1420" t="inlineStr">
        <is>
          <t>cdLieuDep</t>
        </is>
      </c>
      <c r="N1324" s="231" t="inlineStr">
        <is>
          <t>Obligatoire sous conditions</t>
        </is>
      </c>
      <c r="O1324" s="236" t="inlineStr">
        <is>
          <t>Mandatory under conditions</t>
        </is>
      </c>
      <c r="P1324" s="269" t="inlineStr">
        <is>
          <t>LC.0053</t>
        </is>
      </c>
      <c r="Q1324" s="269" t="inlineStr">
        <is>
          <t>TA KVLIEU</t>
        </is>
      </c>
      <c r="R1324" s="241" t="inlineStr">
        <is>
          <t>NA</t>
        </is>
      </c>
      <c r="S1324" s="233" t="inlineStr">
        <is>
          <t>NA</t>
        </is>
      </c>
      <c r="T1324" s="313" t="inlineStr">
        <is>
          <t>ALPHA</t>
        </is>
      </c>
      <c r="U1324" s="237" t="inlineStr">
        <is>
          <t>NA</t>
        </is>
      </c>
      <c r="V1324" s="238" t="inlineStr">
        <is>
          <t>NA</t>
        </is>
      </c>
      <c r="W1324" s="257" t="n">
        <v>1</v>
      </c>
      <c r="X1324" s="945" t="inlineStr">
        <is>
          <t>NA</t>
        </is>
      </c>
      <c r="Y1324" s="237" t="n">
        <v>40</v>
      </c>
      <c r="Z1324" s="237" t="inlineStr">
        <is>
          <t>NA</t>
        </is>
      </c>
      <c r="AA1324" s="270" t="inlineStr">
        <is>
          <t>NA</t>
        </is>
      </c>
      <c r="AB1324" s="994" t="inlineStr">
        <is>
          <t>DEI, GRR</t>
        </is>
      </c>
      <c r="AC1324" s="231" t="inlineStr">
        <is>
          <t>ND</t>
        </is>
      </c>
      <c r="AD1324" s="257" t="inlineStr">
        <is>
          <t>N</t>
        </is>
      </c>
      <c r="AE1324" s="257" t="inlineStr">
        <is>
          <t>SEC-CAS-COL
IAS
GUA-CDE
INS
REE-TAS</t>
        </is>
      </c>
      <c r="AF1324" s="257" t="inlineStr">
        <is>
          <t>NA</t>
        </is>
      </c>
      <c r="AG1324" s="258" t="inlineStr">
        <is>
          <t>NA</t>
        </is>
      </c>
      <c r="AH1324" s="89" t="n"/>
      <c r="AI1324" s="849" t="inlineStr">
        <is>
          <t>La donnée est obligatoire, si la nature juridique de la sûreté [M1 5.1] = 'SEC*, CAS*, COL*</t>
        </is>
      </c>
      <c r="AJ1324" s="317" t="inlineStr">
        <is>
          <t>The data is mandatory, if Legal nature of the mitigant [M1 5.1] = 'SEC*, CAS*, COL*'</t>
        </is>
      </c>
      <c r="AK1324" s="257" t="n">
        <v>6</v>
      </c>
      <c r="AL1324" s="345" t="inlineStr">
        <is>
          <t>TPS0706</t>
        </is>
      </c>
      <c r="AM1324" s="850" t="inlineStr">
        <is>
          <t>Si elle est renseignée, la valeur doit être connue du Langage Commun associé</t>
        </is>
      </c>
      <c r="AN1324" s="317" t="inlineStr">
        <is>
          <t>If specified, the value must be known to the associated Common Language</t>
        </is>
      </c>
      <c r="AO1324" s="257" t="n">
        <v>7</v>
      </c>
      <c r="AP1324" s="258" t="inlineStr">
        <is>
          <t>TIG0001</t>
        </is>
      </c>
      <c r="AQ1324" s="318" t="n"/>
      <c r="AR1324" s="317" t="n"/>
      <c r="AS1324" s="257" t="n"/>
      <c r="AT1324" s="258" t="n"/>
      <c r="AU1324" s="318" t="n"/>
      <c r="AV1324" s="317" t="n"/>
      <c r="AW1324" s="257" t="n"/>
      <c r="AX1324" s="258" t="n"/>
      <c r="AY1324" s="318" t="n"/>
      <c r="AZ1324" s="317" t="n"/>
      <c r="BA1324" s="257" t="n"/>
      <c r="BB1324" s="258" t="n"/>
      <c r="BC1324" s="316" t="n"/>
      <c r="BD1324" s="317" t="n"/>
      <c r="BE1324" s="257" t="n"/>
      <c r="BF1324" s="258" t="n"/>
      <c r="BG1324" s="89" t="n"/>
      <c r="BH13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24">
        <f>_xlfn.LET(r,ROW(),oc,INDEX($A:$A,r),cv,TRIM(INDEX($Y:$Y,r)&amp;""),IF(oc&lt;&gt;"P1","",IF(cv="45","V45 - novo, nao alimentado pelo spool atual","V44 - alimentado pelo spool atual")))</f>
        <v/>
      </c>
    </row>
    <row r="1325" ht="54" customFormat="1" customHeight="1" s="55">
      <c r="A1325" s="325" t="inlineStr">
        <is>
          <t>M1</t>
        </is>
      </c>
      <c r="B1325" s="326" t="n">
        <v>30</v>
      </c>
      <c r="C1325" s="284" t="inlineStr">
        <is>
          <t>NA</t>
        </is>
      </c>
      <c r="D1325" s="284" t="inlineStr">
        <is>
          <t>NA</t>
        </is>
      </c>
      <c r="E1325" s="326" t="inlineStr">
        <is>
          <t>M1 3.99</t>
        </is>
      </c>
      <c r="F1325" s="327" t="inlineStr">
        <is>
          <t>Filler</t>
        </is>
      </c>
      <c r="G1325" s="327" t="inlineStr">
        <is>
          <t>Filler</t>
        </is>
      </c>
      <c r="H1325" s="327" t="n"/>
      <c r="I1325" s="247" t="inlineStr">
        <is>
          <t>Zone libre</t>
        </is>
      </c>
      <c r="J1325" s="245" t="inlineStr">
        <is>
          <t>Free zone</t>
        </is>
      </c>
      <c r="K1325" s="284" t="inlineStr">
        <is>
          <t>NA</t>
        </is>
      </c>
      <c r="L1325" s="284" t="inlineStr">
        <is>
          <t>NA</t>
        </is>
      </c>
      <c r="M1325" s="1421" t="inlineStr">
        <is>
          <t>ZoneLibre3</t>
        </is>
      </c>
      <c r="N1325" s="284" t="inlineStr">
        <is>
          <t>NA</t>
        </is>
      </c>
      <c r="O1325" s="284" t="inlineStr">
        <is>
          <t>NA</t>
        </is>
      </c>
      <c r="P1325" s="284" t="inlineStr">
        <is>
          <t>NA</t>
        </is>
      </c>
      <c r="Q1325" s="284" t="inlineStr">
        <is>
          <t>NA</t>
        </is>
      </c>
      <c r="R1325" s="247" t="inlineStr">
        <is>
          <t>Laisser à vide</t>
        </is>
      </c>
      <c r="S1325" s="247" t="inlineStr">
        <is>
          <t>Leave empty</t>
        </is>
      </c>
      <c r="T1325" s="326" t="inlineStr">
        <is>
          <t>ALPHA</t>
        </is>
      </c>
      <c r="U1325" s="248" t="inlineStr">
        <is>
          <t>NA</t>
        </is>
      </c>
      <c r="V1325" s="248" t="inlineStr">
        <is>
          <t>NA</t>
        </is>
      </c>
      <c r="W1325" s="284" t="n">
        <v>20</v>
      </c>
      <c r="X1325" s="244" t="inlineStr">
        <is>
          <t>NA</t>
        </is>
      </c>
      <c r="Y1325" s="248" t="inlineStr">
        <is>
          <t>NA</t>
        </is>
      </c>
      <c r="Z1325" s="248" t="inlineStr">
        <is>
          <t>NA</t>
        </is>
      </c>
      <c r="AA1325" s="248" t="inlineStr">
        <is>
          <t>NA</t>
        </is>
      </c>
      <c r="AB1325" s="284" t="inlineStr">
        <is>
          <t>NA</t>
        </is>
      </c>
      <c r="AC1325" s="244" t="inlineStr">
        <is>
          <t>NA</t>
        </is>
      </c>
      <c r="AD1325" s="284" t="inlineStr">
        <is>
          <t>N</t>
        </is>
      </c>
      <c r="AE1325" s="284" t="inlineStr">
        <is>
          <t>NA</t>
        </is>
      </c>
      <c r="AF1325" s="284" t="inlineStr">
        <is>
          <t>NA</t>
        </is>
      </c>
      <c r="AG1325" s="285" t="inlineStr">
        <is>
          <t>NA</t>
        </is>
      </c>
      <c r="AH1325" s="89" t="n"/>
      <c r="AI1325" s="330" t="n"/>
      <c r="AJ1325" s="331" t="n"/>
      <c r="AK1325" s="284" t="n"/>
      <c r="AL1325" s="285" t="n"/>
      <c r="AM1325" s="331" t="n"/>
      <c r="AN1325" s="331" t="n"/>
      <c r="AO1325" s="284" t="n"/>
      <c r="AP1325" s="285" t="n"/>
      <c r="AQ1325" s="331" t="n"/>
      <c r="AR1325" s="331" t="n"/>
      <c r="AS1325" s="284" t="n"/>
      <c r="AT1325" s="285" t="n"/>
      <c r="AU1325" s="331" t="n"/>
      <c r="AV1325" s="331" t="n"/>
      <c r="AW1325" s="284" t="n"/>
      <c r="AX1325" s="285" t="n"/>
      <c r="AY1325" s="331" t="n"/>
      <c r="AZ1325" s="331" t="n"/>
      <c r="BA1325" s="284" t="n"/>
      <c r="BB1325" s="285" t="n"/>
      <c r="BC1325" s="330" t="n"/>
      <c r="BD1325" s="331" t="n"/>
      <c r="BE1325" s="284" t="n"/>
      <c r="BF1325" s="285" t="n"/>
      <c r="BG1325" s="89" t="n"/>
      <c r="BH13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25">
        <f>_xlfn.LET(r,ROW(),oc,INDEX($A:$A,r),cv,TRIM(INDEX($Y:$Y,r)&amp;""),IF(oc&lt;&gt;"P1","",IF(cv="45","V45 - novo, nao alimentado pelo spool atual","V44 - alimentado pelo spool atual")))</f>
        <v/>
      </c>
    </row>
    <row r="1326" ht="54" customFormat="1" customHeight="1" s="90">
      <c r="A1326" s="306" t="inlineStr">
        <is>
          <t>M1</t>
        </is>
      </c>
      <c r="B1326" s="307" t="n">
        <v>31</v>
      </c>
      <c r="C1326" s="269" t="inlineStr">
        <is>
          <t>15 - Caractéristiques Sureté</t>
        </is>
      </c>
      <c r="D1326" s="236" t="inlineStr">
        <is>
          <t>15 - Safety characteristics</t>
        </is>
      </c>
      <c r="E1326" s="307" t="inlineStr">
        <is>
          <t>M1 4.1</t>
        </is>
      </c>
      <c r="F1326" s="308" t="inlineStr">
        <is>
          <t>Etendue de la sûreté</t>
        </is>
      </c>
      <c r="G1326" s="309" t="inlineStr">
        <is>
          <t>Scope of the mitigant</t>
        </is>
      </c>
      <c r="H1326" s="309" t="n"/>
      <c r="I1326" s="241" t="inlineStr">
        <is>
          <t>Permet de déterminer si la sûreté reçue couvre la totalité des engagements d'une contrepartie, uniquement ceux couverts par une autorisation X, ou s'il s'agit d'une sûreté spécifique à une ligne de détail d'autorisation</t>
        </is>
      </c>
      <c r="J1326" s="309" t="inlineStr">
        <is>
          <t>Makes it possible to determine whether the mitigant received covers all a counterparty's commitments, only those covered by facility X, or whether the mitigant is specific to an facility line</t>
        </is>
      </c>
      <c r="K1326" s="370" t="inlineStr">
        <is>
          <t>ND</t>
        </is>
      </c>
      <c r="L1326" s="371" t="inlineStr">
        <is>
          <t>ND</t>
        </is>
      </c>
      <c r="M1326" s="1420" t="inlineStr">
        <is>
          <t>cdEtendSur</t>
        </is>
      </c>
      <c r="N1326" s="231" t="inlineStr">
        <is>
          <t>Obligatoire</t>
        </is>
      </c>
      <c r="O1326" s="236" t="inlineStr">
        <is>
          <t>Mandatory</t>
        </is>
      </c>
      <c r="P1326" s="269" t="inlineStr">
        <is>
          <t>LC.0047</t>
        </is>
      </c>
      <c r="Q1326" s="269" t="inlineStr">
        <is>
          <t>TA KVETEND</t>
        </is>
      </c>
      <c r="R1326" s="241" t="inlineStr">
        <is>
          <t>NA</t>
        </is>
      </c>
      <c r="S1326" s="309" t="inlineStr">
        <is>
          <t>NA</t>
        </is>
      </c>
      <c r="T1326" s="313" t="inlineStr">
        <is>
          <t>ALPHA</t>
        </is>
      </c>
      <c r="U1326" s="237" t="inlineStr">
        <is>
          <t>NA</t>
        </is>
      </c>
      <c r="V1326" s="238" t="inlineStr">
        <is>
          <t>NA</t>
        </is>
      </c>
      <c r="W1326" s="257" t="n">
        <v>1</v>
      </c>
      <c r="X1326" s="945" t="inlineStr">
        <is>
          <t>NA</t>
        </is>
      </c>
      <c r="Y1326" s="237" t="n">
        <v>40</v>
      </c>
      <c r="Z1326" s="237" t="inlineStr">
        <is>
          <t>NA</t>
        </is>
      </c>
      <c r="AA1326" s="270" t="inlineStr">
        <is>
          <t>NA</t>
        </is>
      </c>
      <c r="AB1326" s="994" t="inlineStr">
        <is>
          <t>DEI, GRR</t>
        </is>
      </c>
      <c r="AC1326" s="231" t="inlineStr">
        <is>
          <t>ND</t>
        </is>
      </c>
      <c r="AD1326" s="257" t="inlineStr">
        <is>
          <t>N</t>
        </is>
      </c>
      <c r="AE1326" s="257" t="inlineStr">
        <is>
          <t>SEC-CAS-COL
IAS
GUA-CDE
INS
REE-TAS</t>
        </is>
      </c>
      <c r="AF1326" s="257" t="inlineStr">
        <is>
          <t>NA</t>
        </is>
      </c>
      <c r="AG1326" s="258" t="inlineStr">
        <is>
          <t>NA</t>
        </is>
      </c>
      <c r="AH1326" s="89" t="n"/>
      <c r="AI1326" s="316" t="inlineStr">
        <is>
          <t>La donnée est obligatoire</t>
        </is>
      </c>
      <c r="AJ1326" s="317" t="inlineStr">
        <is>
          <t>The data is mandatory</t>
        </is>
      </c>
      <c r="AK1326" s="257" t="n">
        <v>7</v>
      </c>
      <c r="AL1326" s="335" t="inlineStr">
        <is>
          <t>TPG0001</t>
        </is>
      </c>
      <c r="AM1326" s="318" t="inlineStr">
        <is>
          <t>Si elle est renseignée, la valeur doit être connue du Langage Commun associé</t>
        </is>
      </c>
      <c r="AN1326" s="317" t="inlineStr">
        <is>
          <t>If specified, the value must be known to the associated Common Language</t>
        </is>
      </c>
      <c r="AO1326" s="257" t="n">
        <v>7</v>
      </c>
      <c r="AP1326" s="258" t="inlineStr">
        <is>
          <t>TIG0001</t>
        </is>
      </c>
      <c r="AQ1326" s="318" t="n"/>
      <c r="AR1326" s="317" t="n"/>
      <c r="AS1326" s="257" t="n"/>
      <c r="AT1326" s="258" t="n"/>
      <c r="AU1326" s="318" t="n"/>
      <c r="AV1326" s="317" t="n"/>
      <c r="AW1326" s="257" t="n"/>
      <c r="AX1326" s="258" t="n"/>
      <c r="AY1326" s="318" t="n"/>
      <c r="AZ1326" s="317" t="n"/>
      <c r="BA1326" s="257" t="n"/>
      <c r="BB1326" s="258" t="n"/>
      <c r="BC1326" s="316" t="n"/>
      <c r="BD1326" s="317" t="n"/>
      <c r="BE1326" s="257" t="n"/>
      <c r="BF1326" s="258" t="n"/>
      <c r="BG1326" s="89" t="n"/>
      <c r="BH13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26">
        <f>_xlfn.LET(r,ROW(),oc,INDEX($A:$A,r),cv,TRIM(INDEX($Y:$Y,r)&amp;""),IF(oc&lt;&gt;"P1","",IF(cv="45","V45 - novo, nao alimentado pelo spool atual","V44 - alimentado pelo spool atual")))</f>
        <v/>
      </c>
    </row>
    <row r="1327" ht="54" customFormat="1" customHeight="1" s="90">
      <c r="A1327" s="306" t="inlineStr">
        <is>
          <t>M1</t>
        </is>
      </c>
      <c r="B1327" s="307" t="n">
        <v>32</v>
      </c>
      <c r="C1327" s="269" t="inlineStr">
        <is>
          <t>15 - Caractéristiques Sureté</t>
        </is>
      </c>
      <c r="D1327" s="236" t="inlineStr">
        <is>
          <t>15 - Safety characteristics</t>
        </is>
      </c>
      <c r="E1327" s="307" t="inlineStr">
        <is>
          <t>M1 4.3</t>
        </is>
      </c>
      <c r="F1327" s="308" t="inlineStr">
        <is>
          <t>Arrosage</t>
        </is>
      </c>
      <c r="G1327" s="309" t="inlineStr">
        <is>
          <t>Top-up collateral</t>
        </is>
      </c>
      <c r="H1327" s="309" t="n"/>
      <c r="I1327" s="241" t="inlineStr">
        <is>
          <t>Périodicité de la revalorisation de la sûreté financière pour contrôle de la clause d'arrosage</t>
        </is>
      </c>
      <c r="J1327" s="309" t="inlineStr">
        <is>
          <t>Frequency of the revaluation of the financial mitigant in order to check the top-up collateral clause</t>
        </is>
      </c>
      <c r="K1327" s="370" t="inlineStr">
        <is>
          <t>ND</t>
        </is>
      </c>
      <c r="L1327" s="371" t="inlineStr">
        <is>
          <t>ND</t>
        </is>
      </c>
      <c r="M1327" s="1420" t="inlineStr">
        <is>
          <t>cdArrosage</t>
        </is>
      </c>
      <c r="N1327" s="231" t="inlineStr">
        <is>
          <t>Facultatif</t>
        </is>
      </c>
      <c r="O1327" s="236" t="inlineStr">
        <is>
          <t>Optional</t>
        </is>
      </c>
      <c r="P1327" s="269" t="inlineStr">
        <is>
          <t>LC.0056</t>
        </is>
      </c>
      <c r="Q1327" s="269" t="inlineStr">
        <is>
          <t>TA KVFREQU</t>
        </is>
      </c>
      <c r="R1327" s="241" t="inlineStr">
        <is>
          <t>NA</t>
        </is>
      </c>
      <c r="S1327" s="309" t="inlineStr">
        <is>
          <t>NA</t>
        </is>
      </c>
      <c r="T1327" s="313" t="inlineStr">
        <is>
          <t>ALPHA</t>
        </is>
      </c>
      <c r="U1327" s="237" t="inlineStr">
        <is>
          <t>NA</t>
        </is>
      </c>
      <c r="V1327" s="238" t="inlineStr">
        <is>
          <t>NA</t>
        </is>
      </c>
      <c r="W1327" s="257" t="n">
        <v>1</v>
      </c>
      <c r="X1327" s="945" t="inlineStr">
        <is>
          <t>NA</t>
        </is>
      </c>
      <c r="Y1327" s="237" t="n">
        <v>40</v>
      </c>
      <c r="Z1327" s="237" t="inlineStr">
        <is>
          <t>NA</t>
        </is>
      </c>
      <c r="AA1327" s="270" t="inlineStr">
        <is>
          <t>NA</t>
        </is>
      </c>
      <c r="AB1327" s="994" t="inlineStr">
        <is>
          <t>CALCULS PRUDENTIELS, DEI</t>
        </is>
      </c>
      <c r="AC1327" s="231" t="inlineStr">
        <is>
          <t>ND</t>
        </is>
      </c>
      <c r="AD1327" s="257" t="inlineStr">
        <is>
          <t>N</t>
        </is>
      </c>
      <c r="AE1327" s="257" t="inlineStr">
        <is>
          <t>SEC-CAS-COL
IAS
GUA-CDE
INS
REE-TAS</t>
        </is>
      </c>
      <c r="AF1327" s="257" t="inlineStr">
        <is>
          <t>NA</t>
        </is>
      </c>
      <c r="AG1327" s="258" t="inlineStr">
        <is>
          <t>NA</t>
        </is>
      </c>
      <c r="AH1327" s="89" t="n"/>
      <c r="AI1327" s="316" t="n"/>
      <c r="AJ1327" s="317" t="n"/>
      <c r="AK1327" s="257" t="n"/>
      <c r="AL1327" s="258" t="n"/>
      <c r="AM1327" s="318" t="inlineStr">
        <is>
          <t>Si elle est renseignée, la valeur doit être connue du Langage Commun associé</t>
        </is>
      </c>
      <c r="AN1327" s="317" t="inlineStr">
        <is>
          <t>If specified, the value must be known to the associated Common Language</t>
        </is>
      </c>
      <c r="AO1327" s="257" t="n">
        <v>7</v>
      </c>
      <c r="AP1327" s="258" t="inlineStr">
        <is>
          <t>TIG0001</t>
        </is>
      </c>
      <c r="AQ1327" s="318" t="n"/>
      <c r="AR1327" s="317" t="n"/>
      <c r="AS1327" s="257" t="n"/>
      <c r="AT1327" s="258" t="n"/>
      <c r="AU1327" s="318" t="n"/>
      <c r="AV1327" s="317" t="n"/>
      <c r="AW1327" s="257" t="n"/>
      <c r="AX1327" s="258" t="n"/>
      <c r="AY1327" s="318" t="n"/>
      <c r="AZ1327" s="317" t="n"/>
      <c r="BA1327" s="257" t="n"/>
      <c r="BB1327" s="258" t="n"/>
      <c r="BC1327" s="316" t="n"/>
      <c r="BD1327" s="317" t="n"/>
      <c r="BE1327" s="257" t="n"/>
      <c r="BF1327" s="258" t="n"/>
      <c r="BG1327" s="89" t="n"/>
      <c r="BH13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27">
        <f>_xlfn.LET(r,ROW(),oc,INDEX($A:$A,r),cv,TRIM(INDEX($Y:$Y,r)&amp;""),IF(oc&lt;&gt;"P1","",IF(cv="45","V45 - novo, nao alimentado pelo spool atual","V44 - alimentado pelo spool atual")))</f>
        <v/>
      </c>
    </row>
    <row r="1328" ht="54" customFormat="1" customHeight="1" s="55">
      <c r="A1328" s="325" t="inlineStr">
        <is>
          <t>M1</t>
        </is>
      </c>
      <c r="B1328" s="326" t="n">
        <v>33</v>
      </c>
      <c r="C1328" s="284" t="inlineStr">
        <is>
          <t>NA</t>
        </is>
      </c>
      <c r="D1328" s="244" t="inlineStr">
        <is>
          <t>NA</t>
        </is>
      </c>
      <c r="E1328" s="326" t="inlineStr">
        <is>
          <t>M1 4.99</t>
        </is>
      </c>
      <c r="F1328" s="327" t="inlineStr">
        <is>
          <t>Filler</t>
        </is>
      </c>
      <c r="G1328" s="327" t="inlineStr">
        <is>
          <t>Filler</t>
        </is>
      </c>
      <c r="H1328" s="327" t="n"/>
      <c r="I1328" s="247" t="inlineStr">
        <is>
          <t>Zone libre</t>
        </is>
      </c>
      <c r="J1328" s="327" t="inlineStr">
        <is>
          <t>Free zone</t>
        </is>
      </c>
      <c r="K1328" s="388" t="inlineStr">
        <is>
          <t>NA</t>
        </is>
      </c>
      <c r="L1328" s="388" t="inlineStr">
        <is>
          <t>NA</t>
        </is>
      </c>
      <c r="M1328" s="1421" t="inlineStr">
        <is>
          <t>ZoneLibre4</t>
        </is>
      </c>
      <c r="N1328" s="284" t="inlineStr">
        <is>
          <t>NA</t>
        </is>
      </c>
      <c r="O1328" s="388" t="inlineStr">
        <is>
          <t>NA</t>
        </is>
      </c>
      <c r="P1328" s="284" t="inlineStr">
        <is>
          <t>NA</t>
        </is>
      </c>
      <c r="Q1328" s="284" t="inlineStr">
        <is>
          <t>NA</t>
        </is>
      </c>
      <c r="R1328" s="247" t="inlineStr">
        <is>
          <t>Laisser à vide</t>
        </is>
      </c>
      <c r="S1328" s="247" t="inlineStr">
        <is>
          <t>Leave empty</t>
        </is>
      </c>
      <c r="T1328" s="326" t="inlineStr">
        <is>
          <t>ALPHA</t>
        </is>
      </c>
      <c r="U1328" s="248" t="inlineStr">
        <is>
          <t>NA</t>
        </is>
      </c>
      <c r="V1328" s="248" t="inlineStr">
        <is>
          <t>NA</t>
        </is>
      </c>
      <c r="W1328" s="284" t="n">
        <v>20</v>
      </c>
      <c r="X1328" s="244" t="inlineStr">
        <is>
          <t>NA</t>
        </is>
      </c>
      <c r="Y1328" s="248" t="inlineStr">
        <is>
          <t>NA</t>
        </is>
      </c>
      <c r="Z1328" s="248" t="inlineStr">
        <is>
          <t>NA</t>
        </is>
      </c>
      <c r="AA1328" s="248" t="inlineStr">
        <is>
          <t>NA</t>
        </is>
      </c>
      <c r="AB1328" s="284" t="inlineStr">
        <is>
          <t>NA</t>
        </is>
      </c>
      <c r="AC1328" s="244" t="inlineStr">
        <is>
          <t>NA</t>
        </is>
      </c>
      <c r="AD1328" s="284" t="inlineStr">
        <is>
          <t>N</t>
        </is>
      </c>
      <c r="AE1328" s="284" t="inlineStr">
        <is>
          <t>NA</t>
        </is>
      </c>
      <c r="AF1328" s="284" t="inlineStr">
        <is>
          <t>NA</t>
        </is>
      </c>
      <c r="AG1328" s="285" t="inlineStr">
        <is>
          <t>NA</t>
        </is>
      </c>
      <c r="AH1328" s="89" t="n"/>
      <c r="AI1328" s="330" t="n"/>
      <c r="AJ1328" s="331" t="n"/>
      <c r="AK1328" s="284" t="n"/>
      <c r="AL1328" s="285" t="n"/>
      <c r="AM1328" s="331" t="n"/>
      <c r="AN1328" s="331" t="n"/>
      <c r="AO1328" s="284" t="n"/>
      <c r="AP1328" s="285" t="n"/>
      <c r="AQ1328" s="331" t="n"/>
      <c r="AR1328" s="331" t="n"/>
      <c r="AS1328" s="284" t="n"/>
      <c r="AT1328" s="285" t="n"/>
      <c r="AU1328" s="331" t="n"/>
      <c r="AV1328" s="331" t="n"/>
      <c r="AW1328" s="284" t="n"/>
      <c r="AX1328" s="285" t="n"/>
      <c r="AY1328" s="331" t="n"/>
      <c r="AZ1328" s="331" t="n"/>
      <c r="BA1328" s="284" t="n"/>
      <c r="BB1328" s="285" t="n"/>
      <c r="BC1328" s="330" t="n"/>
      <c r="BD1328" s="331" t="n"/>
      <c r="BE1328" s="284" t="n"/>
      <c r="BF1328" s="285" t="n"/>
      <c r="BG1328" s="89" t="n"/>
      <c r="BH13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28">
        <f>_xlfn.LET(r,ROW(),oc,INDEX($A:$A,r),cv,TRIM(INDEX($Y:$Y,r)&amp;""),IF(oc&lt;&gt;"P1","",IF(cv="45","V45 - novo, nao alimentado pelo spool atual","V44 - alimentado pelo spool atual")))</f>
        <v/>
      </c>
    </row>
    <row r="1329" ht="54" customFormat="1" customHeight="1" s="90">
      <c r="A1329" s="306" t="inlineStr">
        <is>
          <t>M1</t>
        </is>
      </c>
      <c r="B1329" s="307" t="n">
        <v>34</v>
      </c>
      <c r="C1329" s="269" t="inlineStr">
        <is>
          <t>15 - Caractéristiques Sureté</t>
        </is>
      </c>
      <c r="D1329" s="236" t="inlineStr">
        <is>
          <t>15 - Safety characteristics</t>
        </is>
      </c>
      <c r="E1329" s="307" t="inlineStr">
        <is>
          <t>M1 5.1</t>
        </is>
      </c>
      <c r="F1329" s="851" t="inlineStr">
        <is>
          <t>Nature juridique de la sûreté</t>
        </is>
      </c>
      <c r="G1329" s="309" t="inlineStr">
        <is>
          <t>Legal nature of the mitigant</t>
        </is>
      </c>
      <c r="H1329" s="309" t="n"/>
      <c r="I1329" s="241" t="inlineStr">
        <is>
          <t>Permet de déterminer le code correspondant à la nature juridique de la sûreté reçue</t>
        </is>
      </c>
      <c r="J1329" s="309" t="inlineStr">
        <is>
          <t>Makes it possible to determine the code corresponding to the legal nature of the mitigant received</t>
        </is>
      </c>
      <c r="K1329" s="370" t="inlineStr">
        <is>
          <t>ND</t>
        </is>
      </c>
      <c r="L1329" s="371" t="inlineStr">
        <is>
          <t>ND</t>
        </is>
      </c>
      <c r="M1329" s="1420" t="inlineStr">
        <is>
          <t>cdNatJur</t>
        </is>
      </c>
      <c r="N1329" s="231" t="inlineStr">
        <is>
          <t>Obligatoire</t>
        </is>
      </c>
      <c r="O1329" s="236" t="inlineStr">
        <is>
          <t>Mandatory</t>
        </is>
      </c>
      <c r="P1329" s="269" t="inlineStr">
        <is>
          <t>LC.0049</t>
        </is>
      </c>
      <c r="Q1329" s="269" t="inlineStr">
        <is>
          <t>TA KVSURJUR</t>
        </is>
      </c>
      <c r="R1329" s="241" t="inlineStr">
        <is>
          <t>NA</t>
        </is>
      </c>
      <c r="S1329" s="309" t="inlineStr">
        <is>
          <t>NA</t>
        </is>
      </c>
      <c r="T1329" s="313" t="inlineStr">
        <is>
          <t>ALPHA</t>
        </is>
      </c>
      <c r="U1329" s="237" t="inlineStr">
        <is>
          <t>NA</t>
        </is>
      </c>
      <c r="V1329" s="238" t="inlineStr">
        <is>
          <t>NA</t>
        </is>
      </c>
      <c r="W1329" s="257" t="n">
        <v>7</v>
      </c>
      <c r="X1329" s="945" t="inlineStr">
        <is>
          <t>NA</t>
        </is>
      </c>
      <c r="Y1329" s="237" t="n">
        <v>40</v>
      </c>
      <c r="Z1329" s="237" t="inlineStr">
        <is>
          <t>NA</t>
        </is>
      </c>
      <c r="AA1329" s="270" t="inlineStr">
        <is>
          <t>NA</t>
        </is>
      </c>
      <c r="AB1329" s="994" t="inlineStr">
        <is>
          <t>AER, ANACREDIT, ASTRE, DEI, ESG PILIER 3, GRR, LOAN TAPE, MREL, NPE, NSFR, SA-CCR, RISQUE PHYSIQUE, SRB VALUATION</t>
        </is>
      </c>
      <c r="AC1329" s="231" t="inlineStr">
        <is>
          <t>ND</t>
        </is>
      </c>
      <c r="AD1329" s="257" t="inlineStr">
        <is>
          <t>N</t>
        </is>
      </c>
      <c r="AE1329" s="257" t="inlineStr">
        <is>
          <t>SEC-CAS-COL
IAS
GUA-CDE
INS
REE-TAS</t>
        </is>
      </c>
      <c r="AF1329" s="257" t="inlineStr">
        <is>
          <t>NA</t>
        </is>
      </c>
      <c r="AG1329" s="258" t="inlineStr">
        <is>
          <t>NA</t>
        </is>
      </c>
      <c r="AH1329" s="89" t="n"/>
      <c r="AI1329" s="316" t="inlineStr">
        <is>
          <t>La donnée est obligatoire</t>
        </is>
      </c>
      <c r="AJ1329" s="317" t="inlineStr">
        <is>
          <t>The data is mandatory</t>
        </is>
      </c>
      <c r="AK1329" s="257" t="n">
        <v>7</v>
      </c>
      <c r="AL1329" s="335" t="inlineStr">
        <is>
          <t>TPG0001</t>
        </is>
      </c>
      <c r="AM1329" s="850" t="inlineStr">
        <is>
          <t>Si elle est renseignée, la valeur doit être connue du Langage Commun associé</t>
        </is>
      </c>
      <c r="AN1329" s="317" t="inlineStr">
        <is>
          <t>If specified, the value must be known to the associated Common Language</t>
        </is>
      </c>
      <c r="AO1329" s="257" t="n">
        <v>7</v>
      </c>
      <c r="AP1329" s="258" t="inlineStr">
        <is>
          <t>TIG0001</t>
        </is>
      </c>
      <c r="AQ1329" s="318" t="n"/>
      <c r="AR1329" s="317" t="n"/>
      <c r="AS1329" s="257" t="n"/>
      <c r="AT1329" s="258" t="n"/>
      <c r="AU1329" s="318" t="n"/>
      <c r="AV1329" s="317" t="n"/>
      <c r="AW1329" s="257" t="n"/>
      <c r="AX1329" s="258" t="n"/>
      <c r="AY1329" s="318" t="n"/>
      <c r="AZ1329" s="317" t="n"/>
      <c r="BA1329" s="257" t="n"/>
      <c r="BB1329" s="258" t="n"/>
      <c r="BC1329" s="278" t="inlineStr">
        <is>
          <t>Si la combinaison de donnée n'est pas trouvée dans la matrice des règles de gestion C29, le contrôle doit se lever</t>
        </is>
      </c>
      <c r="BD1329" s="160" t="inlineStr">
        <is>
          <t>If the data combinaison is not found in the C29 business rules matrix, the control must trigger</t>
        </is>
      </c>
      <c r="BE1329" s="257" t="n">
        <v>6</v>
      </c>
      <c r="BF1329" s="393" t="inlineStr">
        <is>
          <t>TC0C29</t>
        </is>
      </c>
      <c r="BG1329" s="89" t="n"/>
      <c r="BH13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29">
        <f>_xlfn.LET(r,ROW(),oc,INDEX($A:$A,r),cv,TRIM(INDEX($Y:$Y,r)&amp;""),IF(oc&lt;&gt;"P1","",IF(cv="45","V45 - novo, nao alimentado pelo spool atual","V44 - alimentado pelo spool atual")))</f>
        <v/>
      </c>
    </row>
    <row r="1330" ht="54" customFormat="1" customHeight="1" s="90">
      <c r="A1330" s="306" t="inlineStr">
        <is>
          <t>M1</t>
        </is>
      </c>
      <c r="B1330" s="307" t="n">
        <v>35</v>
      </c>
      <c r="C1330" s="269" t="inlineStr">
        <is>
          <t>15 - Caractéristiques Sureté</t>
        </is>
      </c>
      <c r="D1330" s="236" t="inlineStr">
        <is>
          <t>15 - Safety characteristics</t>
        </is>
      </c>
      <c r="E1330" s="307" t="inlineStr">
        <is>
          <t>M1 5.2</t>
        </is>
      </c>
      <c r="F1330" s="308" t="inlineStr">
        <is>
          <t>Information complémentaire 1 sur la nature économique de la sûreté</t>
        </is>
      </c>
      <c r="G1330" s="309" t="inlineStr">
        <is>
          <t>Additional information 1 on the economic nature of the mitigant</t>
        </is>
      </c>
      <c r="H1330" s="309" t="n"/>
      <c r="I1330" s="241" t="inlineStr">
        <is>
          <t>La nature juridique d'une sûreté reçue peut être précisée par des éléments de nature économique (de 1 à 4) permettant de déterminer en particulier si cette sûreté est éligible selon les différentes méthodologies</t>
        </is>
      </c>
      <c r="J1330" s="309" t="inlineStr">
        <is>
          <t>The legal nature of a mitigant received may be specified by items of an economic nature (from 1 to 4) making it possible to determine in particular whether this mitigant is eligible under the various methodologies</t>
        </is>
      </c>
      <c r="K1330" s="370" t="inlineStr">
        <is>
          <t>ND</t>
        </is>
      </c>
      <c r="L1330" s="371" t="inlineStr">
        <is>
          <t>ND</t>
        </is>
      </c>
      <c r="M1330" s="1420" t="inlineStr">
        <is>
          <t>cdInfo</t>
        </is>
      </c>
      <c r="N1330" s="231" t="inlineStr">
        <is>
          <t>Obligatoire sous conditions</t>
        </is>
      </c>
      <c r="O1330" s="236" t="inlineStr">
        <is>
          <t>Mandatory under conditions</t>
        </is>
      </c>
      <c r="P1330" s="269" t="inlineStr">
        <is>
          <t>LC.0049</t>
        </is>
      </c>
      <c r="Q1330" s="269" t="inlineStr">
        <is>
          <t>RB KVCDSUE1</t>
        </is>
      </c>
      <c r="R1330" s="241" t="inlineStr">
        <is>
          <t>Si renseigné, l'information complémentaire 1 doit être cohérente avec la Nature juridique de la sûreté (M1 5.1)</t>
        </is>
      </c>
      <c r="S1330" s="309" t="inlineStr">
        <is>
          <t>If filled in, the additional information 1 must be consistent with the legal nature of the security interest (M1 5.1)</t>
        </is>
      </c>
      <c r="T1330" s="313" t="inlineStr">
        <is>
          <t>ALPHA</t>
        </is>
      </c>
      <c r="U1330" s="237" t="inlineStr">
        <is>
          <t>NA</t>
        </is>
      </c>
      <c r="V1330" s="238" t="inlineStr">
        <is>
          <t>NA</t>
        </is>
      </c>
      <c r="W1330" s="257" t="n">
        <v>2</v>
      </c>
      <c r="X1330" s="945" t="inlineStr">
        <is>
          <t>NA</t>
        </is>
      </c>
      <c r="Y1330" s="237" t="n">
        <v>40</v>
      </c>
      <c r="Z1330" s="237" t="inlineStr">
        <is>
          <t>NA</t>
        </is>
      </c>
      <c r="AA1330" s="978" t="inlineStr">
        <is>
          <t>NA</t>
        </is>
      </c>
      <c r="AB1330" s="994" t="inlineStr">
        <is>
          <t>AER, ANACREDIT, DEI, GRR, LOAN TAPE, MREL, OMP, SA-CCR</t>
        </is>
      </c>
      <c r="AC1330" s="231" t="inlineStr">
        <is>
          <t>ND</t>
        </is>
      </c>
      <c r="AD1330" s="257" t="inlineStr">
        <is>
          <t>N</t>
        </is>
      </c>
      <c r="AE1330" s="257" t="inlineStr">
        <is>
          <t>SEC-CAS-COL
IAS
GUA-CDE
INS
REE-TAS</t>
        </is>
      </c>
      <c r="AF1330" s="257" t="inlineStr">
        <is>
          <t>NA</t>
        </is>
      </c>
      <c r="AG1330" s="258" t="inlineStr">
        <is>
          <t>NA</t>
        </is>
      </c>
      <c r="AH1330" s="89" t="n"/>
      <c r="AI1330" s="461" t="inlineStr">
        <is>
          <t xml:space="preserve">La donnée est obligatoire si la nature juridique de la sûreté [M1 5.1] est égale à ‘COL0101' ou 'REE01xx' </t>
        </is>
      </c>
      <c r="AJ1330" s="317" t="inlineStr">
        <is>
          <t xml:space="preserve">The data is mandatory if the legal nature of the mitigant [M1 5.1] is equal to ‘COL0101' or ‘REE01xx' </t>
        </is>
      </c>
      <c r="AK1330" s="257" t="n">
        <v>6</v>
      </c>
      <c r="AL1330" s="395" t="inlineStr">
        <is>
          <t>TPS0707</t>
        </is>
      </c>
      <c r="AM1330" s="452" t="inlineStr">
        <is>
          <t>Si elle est renseignée, la valeur doit être connue du Langage Commun associé</t>
        </is>
      </c>
      <c r="AN1330" s="377" t="inlineStr">
        <is>
          <t>If specified, the value must be known to the associated Common Language</t>
        </is>
      </c>
      <c r="AO1330" s="257" t="n">
        <v>7</v>
      </c>
      <c r="AP1330" s="258" t="inlineStr">
        <is>
          <t>TIG0001</t>
        </is>
      </c>
      <c r="AQ1330" s="318" t="n"/>
      <c r="AR1330" s="317" t="n"/>
      <c r="AS1330" s="257" t="n"/>
      <c r="AT1330" s="258" t="n"/>
      <c r="AU1330" s="318" t="n"/>
      <c r="AV1330" s="317" t="n"/>
      <c r="AW1330" s="257" t="n"/>
      <c r="AX1330" s="258" t="n"/>
      <c r="AY1330" s="318" t="n"/>
      <c r="AZ1330" s="317" t="n"/>
      <c r="BA1330" s="257" t="n"/>
      <c r="BB1330" s="258" t="n"/>
      <c r="BC1330" s="316" t="n"/>
      <c r="BD1330" s="317" t="n"/>
      <c r="BE1330" s="257" t="n"/>
      <c r="BF1330" s="258" t="n"/>
      <c r="BG1330" s="89" t="n"/>
      <c r="BH13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30">
        <f>_xlfn.LET(r,ROW(),oc,INDEX($A:$A,r),cv,TRIM(INDEX($Y:$Y,r)&amp;""),IF(oc&lt;&gt;"P1","",IF(cv="45","V45 - novo, nao alimentado pelo spool atual","V44 - alimentado pelo spool atual")))</f>
        <v/>
      </c>
    </row>
    <row r="1331" ht="54" customFormat="1" customHeight="1" s="90">
      <c r="A1331" s="306" t="inlineStr">
        <is>
          <t>M1</t>
        </is>
      </c>
      <c r="B1331" s="307" t="n">
        <v>36</v>
      </c>
      <c r="C1331" s="269" t="inlineStr">
        <is>
          <t>15 - Caractéristiques Sureté</t>
        </is>
      </c>
      <c r="D1331" s="236" t="inlineStr">
        <is>
          <t>15 - Safety characteristics</t>
        </is>
      </c>
      <c r="E1331" s="307" t="inlineStr">
        <is>
          <t>M1 5.3</t>
        </is>
      </c>
      <c r="F1331" s="308" t="inlineStr">
        <is>
          <t>Information complémentaire 2 sur la nature économique de la sûreté</t>
        </is>
      </c>
      <c r="G1331" s="309" t="inlineStr">
        <is>
          <t>Additional information 2 on the economic nature of the mitigant</t>
        </is>
      </c>
      <c r="H1331" s="309" t="n"/>
      <c r="I1331" s="241" t="inlineStr">
        <is>
          <t>Précisions qualitatives supplémentaires sur le sous-jacent du FRR affinant l'information remontée en M1 5.2</t>
        </is>
      </c>
      <c r="J1331" s="309" t="inlineStr">
        <is>
          <t>Additional qualitative details on the underlying of the FRR, enhancing the information reported in M1 5.2</t>
        </is>
      </c>
      <c r="K1331" s="370" t="inlineStr">
        <is>
          <t>ND</t>
        </is>
      </c>
      <c r="L1331" s="371" t="inlineStr">
        <is>
          <t>ND</t>
        </is>
      </c>
      <c r="M1331" s="1420" t="inlineStr">
        <is>
          <t>cdInfo2</t>
        </is>
      </c>
      <c r="N1331" s="231" t="inlineStr">
        <is>
          <t>Obligatoire sous conditions</t>
        </is>
      </c>
      <c r="O1331" s="236" t="inlineStr">
        <is>
          <t>Mandatory under conditions</t>
        </is>
      </c>
      <c r="P1331" s="269" t="inlineStr">
        <is>
          <t>LC.0049</t>
        </is>
      </c>
      <c r="Q1331" s="269" t="inlineStr">
        <is>
          <t>RB KVCDSUE2</t>
        </is>
      </c>
      <c r="R1331" s="241" t="inlineStr">
        <is>
          <t>NA</t>
        </is>
      </c>
      <c r="S1331" s="309" t="inlineStr">
        <is>
          <t>NA</t>
        </is>
      </c>
      <c r="T1331" s="313" t="inlineStr">
        <is>
          <t>ALPHA</t>
        </is>
      </c>
      <c r="U1331" s="237" t="inlineStr">
        <is>
          <t>NA</t>
        </is>
      </c>
      <c r="V1331" s="238" t="inlineStr">
        <is>
          <t>NA</t>
        </is>
      </c>
      <c r="W1331" s="257" t="n">
        <v>2</v>
      </c>
      <c r="X1331" s="945" t="inlineStr">
        <is>
          <t>NA</t>
        </is>
      </c>
      <c r="Y1331" s="237" t="n">
        <v>40</v>
      </c>
      <c r="Z1331" s="237" t="inlineStr">
        <is>
          <t>NA</t>
        </is>
      </c>
      <c r="AA1331" s="978" t="inlineStr">
        <is>
          <t>45.00</t>
        </is>
      </c>
      <c r="AB1331" s="932" t="inlineStr">
        <is>
          <t>DEI, LOAN TAPE, LIQUIDITE, MREL, NSFR, OCTROI DE CREDIT, SA-CCR</t>
        </is>
      </c>
      <c r="AC1331" s="231" t="inlineStr">
        <is>
          <t>ND</t>
        </is>
      </c>
      <c r="AD1331" s="257" t="inlineStr">
        <is>
          <t>N</t>
        </is>
      </c>
      <c r="AE1331" s="257" t="inlineStr">
        <is>
          <t>SEC-CAS-COL
IAS
GUA-CDE
INS
REE-TAS</t>
        </is>
      </c>
      <c r="AF1331" s="257" t="inlineStr">
        <is>
          <t>NA</t>
        </is>
      </c>
      <c r="AG1331" s="258" t="inlineStr">
        <is>
          <t>NA</t>
        </is>
      </c>
      <c r="AH1331" s="89" t="n"/>
      <c r="AI1331" s="852" t="inlineStr">
        <is>
          <t xml:space="preserve">La donnée est obligatoire si la nature juridique de la sûreté [M1 5.1] est égale à ‘COL0101' ou 'REE01xx' </t>
        </is>
      </c>
      <c r="AJ1331" s="317" t="inlineStr">
        <is>
          <t xml:space="preserve">The data is mandatory if the legal nature of the mitigant [M1 5.1] is equal to ‘COL0101' or ‘REE01xx' </t>
        </is>
      </c>
      <c r="AK1331" s="269" t="n">
        <v>6</v>
      </c>
      <c r="AL1331" s="366" t="inlineStr">
        <is>
          <t>TPS0707</t>
        </is>
      </c>
      <c r="AM1331" s="452" t="inlineStr">
        <is>
          <t>Si elle est renseignée, la valeur doit être connue du Langage Commun associé</t>
        </is>
      </c>
      <c r="AN1331" s="377" t="inlineStr">
        <is>
          <t>If specified, the value must be known to the associated Common Language</t>
        </is>
      </c>
      <c r="AO1331" s="257" t="n">
        <v>7</v>
      </c>
      <c r="AP1331" s="258" t="inlineStr">
        <is>
          <t>TIG0001</t>
        </is>
      </c>
      <c r="AQ1331" s="318" t="n"/>
      <c r="AR1331" s="317" t="n"/>
      <c r="AS1331" s="257" t="n"/>
      <c r="AT1331" s="258" t="n"/>
      <c r="AU1331" s="421" t="n"/>
      <c r="AV1331" s="422" t="n"/>
      <c r="AW1331" s="348" t="n"/>
      <c r="AX1331" s="258" t="n"/>
      <c r="AY1331" s="318" t="n"/>
      <c r="AZ1331" s="317" t="n"/>
      <c r="BA1331" s="257" t="n"/>
      <c r="BB1331" s="258" t="n"/>
      <c r="BC1331" s="316" t="n"/>
      <c r="BD1331" s="317" t="n"/>
      <c r="BE1331" s="257" t="n"/>
      <c r="BF1331" s="258" t="n"/>
      <c r="BG1331" s="89" t="n"/>
      <c r="BH13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31">
        <f>_xlfn.LET(r,ROW(),oc,INDEX($A:$A,r),cv,TRIM(INDEX($Y:$Y,r)&amp;""),IF(oc&lt;&gt;"P1","",IF(cv="45","V45 - novo, nao alimentado pelo spool atual","V44 - alimentado pelo spool atual")))</f>
        <v/>
      </c>
    </row>
    <row r="1332" ht="54" customFormat="1" customHeight="1" s="90">
      <c r="A1332" s="306" t="inlineStr">
        <is>
          <t>M1</t>
        </is>
      </c>
      <c r="B1332" s="307" t="n">
        <v>37</v>
      </c>
      <c r="C1332" s="269" t="inlineStr">
        <is>
          <t>15 - Caractéristiques Sureté</t>
        </is>
      </c>
      <c r="D1332" s="236" t="inlineStr">
        <is>
          <t>15 - Safety characteristics</t>
        </is>
      </c>
      <c r="E1332" s="307" t="inlineStr">
        <is>
          <t>M1 5.4</t>
        </is>
      </c>
      <c r="F1332" s="308" t="inlineStr">
        <is>
          <t>Information complémentaire 3 sur la nature économique de la sûreté</t>
        </is>
      </c>
      <c r="G1332" s="309" t="inlineStr">
        <is>
          <t>Additional information 3 on the economic nature of the mitigant</t>
        </is>
      </c>
      <c r="H1332" s="309" t="n"/>
      <c r="I1332" s="241" t="inlineStr">
        <is>
          <t>Précisions qualitatives supplémentaires sur le sous-jacent du FRR affinant l'information remontée en M1 5.3</t>
        </is>
      </c>
      <c r="J1332" s="309" t="inlineStr">
        <is>
          <t>Additional qualitative details on the underlying of the FRR, enhancing the information reported in M1 5.3</t>
        </is>
      </c>
      <c r="K1332" s="370" t="inlineStr">
        <is>
          <t>ND</t>
        </is>
      </c>
      <c r="L1332" s="371" t="inlineStr">
        <is>
          <t>ND</t>
        </is>
      </c>
      <c r="M1332" s="1420" t="inlineStr">
        <is>
          <t>cdInfo3</t>
        </is>
      </c>
      <c r="N1332" s="231" t="inlineStr">
        <is>
          <t>Facultatif</t>
        </is>
      </c>
      <c r="O1332" s="236" t="inlineStr">
        <is>
          <t>Optional</t>
        </is>
      </c>
      <c r="P1332" s="269" t="inlineStr">
        <is>
          <t>LC.0049</t>
        </is>
      </c>
      <c r="Q1332" s="269" t="inlineStr">
        <is>
          <t>RB KVCDSUE3</t>
        </is>
      </c>
      <c r="R1332" s="241" t="inlineStr">
        <is>
          <t>Si renseigné, l'information complémentaire 3 doit être cohérente avec l'information complémentaire 2</t>
        </is>
      </c>
      <c r="S1332" s="309" t="inlineStr">
        <is>
          <t>If filled in, the additional information 3 must be consistent with the additional information 2</t>
        </is>
      </c>
      <c r="T1332" s="313" t="inlineStr">
        <is>
          <t>ALPHA</t>
        </is>
      </c>
      <c r="U1332" s="237" t="inlineStr">
        <is>
          <t>NA</t>
        </is>
      </c>
      <c r="V1332" s="238" t="inlineStr">
        <is>
          <t>NA</t>
        </is>
      </c>
      <c r="W1332" s="257" t="n">
        <v>2</v>
      </c>
      <c r="X1332" s="945" t="inlineStr">
        <is>
          <t>NA</t>
        </is>
      </c>
      <c r="Y1332" s="237" t="n">
        <v>40</v>
      </c>
      <c r="Z1332" s="237" t="inlineStr">
        <is>
          <t>NA</t>
        </is>
      </c>
      <c r="AA1332" s="270" t="inlineStr">
        <is>
          <t>NA</t>
        </is>
      </c>
      <c r="AB1332" s="994" t="inlineStr">
        <is>
          <t>CALCULS PRUDENTIELS, DEI, LOAN TAPE</t>
        </is>
      </c>
      <c r="AC1332" s="231" t="inlineStr">
        <is>
          <t>ND</t>
        </is>
      </c>
      <c r="AD1332" s="257" t="inlineStr">
        <is>
          <t>N</t>
        </is>
      </c>
      <c r="AE1332" s="257" t="inlineStr">
        <is>
          <t>SEC-CAS-COL
IAS
GUA-CDE
INS
REE-TAS</t>
        </is>
      </c>
      <c r="AF1332" s="257" t="inlineStr">
        <is>
          <t>NA</t>
        </is>
      </c>
      <c r="AG1332" s="258" t="inlineStr">
        <is>
          <t>NA</t>
        </is>
      </c>
      <c r="AH1332" s="89" t="n"/>
      <c r="AI1332" s="316" t="n"/>
      <c r="AJ1332" s="317" t="n"/>
      <c r="AK1332" s="257" t="n"/>
      <c r="AL1332" s="258" t="n"/>
      <c r="AM1332" s="452" t="inlineStr">
        <is>
          <t>Si elle est renseignée, la valeur doit être connue du Langage Commun associé</t>
        </is>
      </c>
      <c r="AN1332" s="377" t="inlineStr">
        <is>
          <t>If specified, the value must be known to the associated Common Language</t>
        </is>
      </c>
      <c r="AO1332" s="257" t="n">
        <v>7</v>
      </c>
      <c r="AP1332" s="258" t="inlineStr">
        <is>
          <t>TIG0001</t>
        </is>
      </c>
      <c r="AQ1332" s="318" t="n"/>
      <c r="AR1332" s="317" t="n"/>
      <c r="AS1332" s="257" t="n"/>
      <c r="AT1332" s="258" t="n"/>
      <c r="AU1332" s="318" t="n"/>
      <c r="AV1332" s="317" t="n"/>
      <c r="AW1332" s="257" t="n"/>
      <c r="AX1332" s="258" t="n"/>
      <c r="AY1332" s="318" t="n"/>
      <c r="AZ1332" s="317" t="n"/>
      <c r="BA1332" s="257" t="n"/>
      <c r="BB1332" s="258" t="n"/>
      <c r="BC1332" s="316" t="n"/>
      <c r="BD1332" s="317" t="n"/>
      <c r="BE1332" s="257" t="n"/>
      <c r="BF1332" s="258" t="n"/>
      <c r="BG1332" s="89" t="n"/>
      <c r="BH13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32">
        <f>_xlfn.LET(r,ROW(),oc,INDEX($A:$A,r),cv,TRIM(INDEX($Y:$Y,r)&amp;""),IF(oc&lt;&gt;"P1","",IF(cv="45","V45 - novo, nao alimentado pelo spool atual","V44 - alimentado pelo spool atual")))</f>
        <v/>
      </c>
    </row>
    <row r="1333" ht="54" customFormat="1" customHeight="1" s="90">
      <c r="A1333" s="306" t="inlineStr">
        <is>
          <t>M1</t>
        </is>
      </c>
      <c r="B1333" s="307" t="n">
        <v>38</v>
      </c>
      <c r="C1333" s="269" t="inlineStr">
        <is>
          <t>15 - Caractéristiques Sureté</t>
        </is>
      </c>
      <c r="D1333" s="236" t="inlineStr">
        <is>
          <t>15 - Safety characteristics</t>
        </is>
      </c>
      <c r="E1333" s="307" t="inlineStr">
        <is>
          <t>M1 5.5</t>
        </is>
      </c>
      <c r="F1333" s="308" t="inlineStr">
        <is>
          <t>Information complémentaire 4 sur la nature économique de la sûreté</t>
        </is>
      </c>
      <c r="G1333" s="309" t="inlineStr">
        <is>
          <t>Additional information 4 on the economic nature of the mitigant</t>
        </is>
      </c>
      <c r="H1333" s="309" t="n"/>
      <c r="I1333" s="241" t="inlineStr">
        <is>
          <t>Précisions qualitatives supplémentaires sur le sous-jacent du FRR affinant l'information remontée en M1 5.4</t>
        </is>
      </c>
      <c r="J1333" s="309" t="inlineStr">
        <is>
          <t>Additional qualitative details on the underlying of the FRR, enhancing the information reported in M1 5.4</t>
        </is>
      </c>
      <c r="K1333" s="370" t="inlineStr">
        <is>
          <t>ND</t>
        </is>
      </c>
      <c r="L1333" s="371" t="inlineStr">
        <is>
          <t>ND</t>
        </is>
      </c>
      <c r="M1333" s="1420" t="inlineStr">
        <is>
          <t>cdInfo4</t>
        </is>
      </c>
      <c r="N1333" s="231" t="inlineStr">
        <is>
          <t>Facultatif</t>
        </is>
      </c>
      <c r="O1333" s="236" t="inlineStr">
        <is>
          <t>Optional</t>
        </is>
      </c>
      <c r="P1333" s="269" t="inlineStr">
        <is>
          <t>LC.0049</t>
        </is>
      </c>
      <c r="Q1333" s="269" t="inlineStr">
        <is>
          <t>RB KVCDSUE4</t>
        </is>
      </c>
      <c r="R1333" s="241" t="inlineStr">
        <is>
          <t>Si renseigné, l'information complémentaire 4 doit être cohérente avec l'information complémentaire 3</t>
        </is>
      </c>
      <c r="S1333" s="309" t="inlineStr">
        <is>
          <t>If filled in, the additional information 4 must be consistent with the additional information 3</t>
        </is>
      </c>
      <c r="T1333" s="313" t="inlineStr">
        <is>
          <t>ALPHA</t>
        </is>
      </c>
      <c r="U1333" s="237" t="inlineStr">
        <is>
          <t>NA</t>
        </is>
      </c>
      <c r="V1333" s="238" t="inlineStr">
        <is>
          <t>NA</t>
        </is>
      </c>
      <c r="W1333" s="257" t="n">
        <v>2</v>
      </c>
      <c r="X1333" s="945" t="inlineStr">
        <is>
          <t>NA</t>
        </is>
      </c>
      <c r="Y1333" s="237" t="n">
        <v>40</v>
      </c>
      <c r="Z1333" s="237" t="inlineStr">
        <is>
          <t>NA</t>
        </is>
      </c>
      <c r="AA1333" s="270" t="inlineStr">
        <is>
          <t>NA</t>
        </is>
      </c>
      <c r="AB1333" s="994" t="inlineStr">
        <is>
          <t>CALCULS PRUDENTIELS, DEI, LOAN TAPE</t>
        </is>
      </c>
      <c r="AC1333" s="231" t="inlineStr">
        <is>
          <t>ND</t>
        </is>
      </c>
      <c r="AD1333" s="257" t="inlineStr">
        <is>
          <t>N</t>
        </is>
      </c>
      <c r="AE1333" s="257" t="inlineStr">
        <is>
          <t>SEC-CAS-COL
IAS
GUA-CDE
INS
REE-TAS</t>
        </is>
      </c>
      <c r="AF1333" s="257" t="inlineStr">
        <is>
          <t>NA</t>
        </is>
      </c>
      <c r="AG1333" s="258" t="inlineStr">
        <is>
          <t>NA</t>
        </is>
      </c>
      <c r="AH1333" s="89" t="n"/>
      <c r="AI1333" s="316" t="n"/>
      <c r="AJ1333" s="317" t="n"/>
      <c r="AK1333" s="257" t="n"/>
      <c r="AL1333" s="258" t="n"/>
      <c r="AM1333" s="452" t="inlineStr">
        <is>
          <t>Si elle est renseignée, la valeur doit être connue du Langage Commun associé</t>
        </is>
      </c>
      <c r="AN1333" s="377" t="inlineStr">
        <is>
          <t>If specified, the value must be known to the associated Common Language</t>
        </is>
      </c>
      <c r="AO1333" s="257" t="n">
        <v>7</v>
      </c>
      <c r="AP1333" s="258" t="inlineStr">
        <is>
          <t>TIG0001</t>
        </is>
      </c>
      <c r="AQ1333" s="318" t="n"/>
      <c r="AR1333" s="317" t="n"/>
      <c r="AS1333" s="257" t="n"/>
      <c r="AT1333" s="258" t="n"/>
      <c r="AU1333" s="318" t="n"/>
      <c r="AV1333" s="317" t="n"/>
      <c r="AW1333" s="257" t="n"/>
      <c r="AX1333" s="258" t="n"/>
      <c r="AY1333" s="318" t="n"/>
      <c r="AZ1333" s="317" t="n"/>
      <c r="BA1333" s="257" t="n"/>
      <c r="BB1333" s="258" t="n"/>
      <c r="BC1333" s="316" t="n"/>
      <c r="BD1333" s="317" t="n"/>
      <c r="BE1333" s="257" t="n"/>
      <c r="BF1333" s="258" t="n"/>
      <c r="BG1333" s="89" t="n"/>
      <c r="BH13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33">
        <f>_xlfn.LET(r,ROW(),oc,INDEX($A:$A,r),cv,TRIM(INDEX($Y:$Y,r)&amp;""),IF(oc&lt;&gt;"P1","",IF(cv="45","V45 - novo, nao alimentado pelo spool atual","V44 - alimentado pelo spool atual")))</f>
        <v/>
      </c>
    </row>
    <row r="1334" ht="54" customFormat="1" customHeight="1" s="55">
      <c r="A1334" s="325" t="inlineStr">
        <is>
          <t>M1</t>
        </is>
      </c>
      <c r="B1334" s="326" t="n">
        <v>39</v>
      </c>
      <c r="C1334" s="284" t="inlineStr">
        <is>
          <t>NA</t>
        </is>
      </c>
      <c r="D1334" s="244" t="inlineStr">
        <is>
          <t>NA</t>
        </is>
      </c>
      <c r="E1334" s="326" t="inlineStr">
        <is>
          <t>M1 5.99</t>
        </is>
      </c>
      <c r="F1334" s="327" t="inlineStr">
        <is>
          <t>Filler</t>
        </is>
      </c>
      <c r="G1334" s="327" t="inlineStr">
        <is>
          <t>Filler</t>
        </is>
      </c>
      <c r="H1334" s="327" t="n"/>
      <c r="I1334" s="247" t="inlineStr">
        <is>
          <t>Zone libre</t>
        </is>
      </c>
      <c r="J1334" s="327" t="inlineStr">
        <is>
          <t>Free zone</t>
        </is>
      </c>
      <c r="K1334" s="388" t="inlineStr">
        <is>
          <t>NA</t>
        </is>
      </c>
      <c r="L1334" s="388" t="inlineStr">
        <is>
          <t>NA</t>
        </is>
      </c>
      <c r="M1334" s="1421" t="inlineStr">
        <is>
          <t>ZoneLibre5</t>
        </is>
      </c>
      <c r="N1334" s="284" t="inlineStr">
        <is>
          <t>NA</t>
        </is>
      </c>
      <c r="O1334" s="388" t="inlineStr">
        <is>
          <t>NA</t>
        </is>
      </c>
      <c r="P1334" s="284" t="inlineStr">
        <is>
          <t>NA</t>
        </is>
      </c>
      <c r="Q1334" s="284" t="inlineStr">
        <is>
          <t>NA</t>
        </is>
      </c>
      <c r="R1334" s="247" t="inlineStr">
        <is>
          <t>Laisser à vide</t>
        </is>
      </c>
      <c r="S1334" s="247" t="inlineStr">
        <is>
          <t>Leave empty</t>
        </is>
      </c>
      <c r="T1334" s="326" t="inlineStr">
        <is>
          <t>ALPHA</t>
        </is>
      </c>
      <c r="U1334" s="248" t="inlineStr">
        <is>
          <t>NA</t>
        </is>
      </c>
      <c r="V1334" s="248" t="inlineStr">
        <is>
          <t>NA</t>
        </is>
      </c>
      <c r="W1334" s="284" t="n">
        <v>20</v>
      </c>
      <c r="X1334" s="244" t="inlineStr">
        <is>
          <t>NA</t>
        </is>
      </c>
      <c r="Y1334" s="248" t="inlineStr">
        <is>
          <t>NA</t>
        </is>
      </c>
      <c r="Z1334" s="248" t="inlineStr">
        <is>
          <t>NA</t>
        </is>
      </c>
      <c r="AA1334" s="248" t="inlineStr">
        <is>
          <t>NA</t>
        </is>
      </c>
      <c r="AB1334" s="284" t="inlineStr">
        <is>
          <t>NA</t>
        </is>
      </c>
      <c r="AC1334" s="244" t="inlineStr">
        <is>
          <t>NA</t>
        </is>
      </c>
      <c r="AD1334" s="284" t="inlineStr">
        <is>
          <t>N</t>
        </is>
      </c>
      <c r="AE1334" s="284" t="inlineStr">
        <is>
          <t>REE-TAS</t>
        </is>
      </c>
      <c r="AF1334" s="284" t="inlineStr">
        <is>
          <t>NA</t>
        </is>
      </c>
      <c r="AG1334" s="285" t="inlineStr">
        <is>
          <t>NA</t>
        </is>
      </c>
      <c r="AH1334" s="89" t="n"/>
      <c r="AI1334" s="330" t="n"/>
      <c r="AJ1334" s="331" t="n"/>
      <c r="AK1334" s="284" t="n"/>
      <c r="AL1334" s="285" t="n"/>
      <c r="AM1334" s="331" t="n"/>
      <c r="AN1334" s="331" t="n"/>
      <c r="AO1334" s="284" t="n"/>
      <c r="AP1334" s="285" t="n"/>
      <c r="AQ1334" s="331" t="n"/>
      <c r="AR1334" s="331" t="n"/>
      <c r="AS1334" s="284" t="n"/>
      <c r="AT1334" s="285" t="n"/>
      <c r="AU1334" s="331" t="n"/>
      <c r="AV1334" s="331" t="n"/>
      <c r="AW1334" s="284" t="n"/>
      <c r="AX1334" s="285" t="n"/>
      <c r="AY1334" s="331" t="n"/>
      <c r="AZ1334" s="331" t="n"/>
      <c r="BA1334" s="284" t="n"/>
      <c r="BB1334" s="285" t="n"/>
      <c r="BC1334" s="330" t="n"/>
      <c r="BD1334" s="331" t="n"/>
      <c r="BE1334" s="284" t="n"/>
      <c r="BF1334" s="285" t="n"/>
      <c r="BG1334" s="89" t="n"/>
      <c r="BH13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34">
        <f>_xlfn.LET(r,ROW(),oc,INDEX($A:$A,r),cv,TRIM(INDEX($Y:$Y,r)&amp;""),IF(oc&lt;&gt;"P1","",IF(cv="45","V45 - novo, nao alimentado pelo spool atual","V44 - alimentado pelo spool atual")))</f>
        <v/>
      </c>
    </row>
    <row r="1335" ht="54" customFormat="1" customHeight="1" s="90">
      <c r="A1335" s="306" t="inlineStr">
        <is>
          <t>M1</t>
        </is>
      </c>
      <c r="B1335" s="307" t="n">
        <v>40</v>
      </c>
      <c r="C1335" s="269" t="inlineStr">
        <is>
          <t>15 - Caractéristiques Sureté</t>
        </is>
      </c>
      <c r="D1335" s="236" t="inlineStr">
        <is>
          <t>15 - Safety characteristics</t>
        </is>
      </c>
      <c r="E1335" s="307" t="inlineStr">
        <is>
          <t>M1 6.1</t>
        </is>
      </c>
      <c r="F1335" s="417" t="inlineStr">
        <is>
          <t xml:space="preserve">Montant initial de la sûreté </t>
        </is>
      </c>
      <c r="G1335" s="309" t="inlineStr">
        <is>
          <t>Initial amount of the surety</t>
        </is>
      </c>
      <c r="H1335" s="309" t="n"/>
      <c r="I1335" s="241" t="inlineStr">
        <is>
          <t>Montant de la sûreté revenant à l'entité porteuse de risques</t>
        </is>
      </c>
      <c r="J1335" s="309" t="inlineStr">
        <is>
          <t>Initial share of the mitigant amount attributable to the risk-bearing entity</t>
        </is>
      </c>
      <c r="K1335" s="370" t="inlineStr">
        <is>
          <t>ND</t>
        </is>
      </c>
      <c r="L1335" s="371" t="inlineStr">
        <is>
          <t>ND</t>
        </is>
      </c>
      <c r="M1335" s="1420" t="inlineStr">
        <is>
          <t>MtIni</t>
        </is>
      </c>
      <c r="N1335" s="231" t="inlineStr">
        <is>
          <t>Obligatoire</t>
        </is>
      </c>
      <c r="O1335" s="236" t="inlineStr">
        <is>
          <t>Mandatory</t>
        </is>
      </c>
      <c r="P1335" s="269" t="inlineStr">
        <is>
          <t>NA</t>
        </is>
      </c>
      <c r="Q1335" s="269" t="inlineStr">
        <is>
          <t>NA</t>
        </is>
      </c>
      <c r="R1335" s="241" t="inlineStr">
        <is>
          <t>NA</t>
        </is>
      </c>
      <c r="S1335" s="309" t="inlineStr">
        <is>
          <t>NA</t>
        </is>
      </c>
      <c r="T1335" s="313" t="inlineStr">
        <is>
          <t>NUM</t>
        </is>
      </c>
      <c r="U1335" s="237" t="inlineStr">
        <is>
          <t>19 dont signe et 2 décimales</t>
        </is>
      </c>
      <c r="V1335" s="238" t="inlineStr">
        <is>
          <t>19 including sign and 2 decimals</t>
        </is>
      </c>
      <c r="W1335" s="257" t="n">
        <v>19</v>
      </c>
      <c r="X1335" s="945" t="inlineStr">
        <is>
          <t>NA</t>
        </is>
      </c>
      <c r="Y1335" s="237" t="n">
        <v>40</v>
      </c>
      <c r="Z1335" s="237" t="inlineStr">
        <is>
          <t>NA</t>
        </is>
      </c>
      <c r="AA1335" s="270" t="inlineStr">
        <is>
          <t>NA</t>
        </is>
      </c>
      <c r="AB1335" s="994" t="inlineStr">
        <is>
          <t>AER, GRR, LOAN TAPE, NSFR, SA-CCR</t>
        </is>
      </c>
      <c r="AC1335" s="231" t="inlineStr">
        <is>
          <t>ND</t>
        </is>
      </c>
      <c r="AD1335" s="257" t="inlineStr">
        <is>
          <t>N</t>
        </is>
      </c>
      <c r="AE1335" s="842" t="inlineStr">
        <is>
          <t>SEC-CAS-COL
IAS
REE-TAS
GUA-CDE
INS</t>
        </is>
      </c>
      <c r="AF1335" s="257" t="inlineStr">
        <is>
          <t>NA</t>
        </is>
      </c>
      <c r="AG1335" s="258" t="inlineStr">
        <is>
          <t>NA</t>
        </is>
      </c>
      <c r="AH1335" s="89" t="n"/>
      <c r="AI1335" s="316" t="inlineStr">
        <is>
          <t>La donnée est obligatoire</t>
        </is>
      </c>
      <c r="AJ1335" s="317" t="inlineStr">
        <is>
          <t>The data is mandatory</t>
        </is>
      </c>
      <c r="AK1335" s="257" t="n">
        <v>7</v>
      </c>
      <c r="AL1335" s="335" t="inlineStr">
        <is>
          <t>TPG0001</t>
        </is>
      </c>
      <c r="AM1335" s="318" t="n"/>
      <c r="AN1335" s="317" t="n"/>
      <c r="AO1335" s="257" t="n"/>
      <c r="AP1335" s="258" t="n"/>
      <c r="AQ1335" s="850" t="inlineStr">
        <is>
          <t>Si renseignée, la donnée doit être strictement supérieure à 0</t>
        </is>
      </c>
      <c r="AR1335" s="317" t="inlineStr">
        <is>
          <t>If filled, data must strictly be greater than 0</t>
        </is>
      </c>
      <c r="AS1335" s="257" t="n">
        <v>7</v>
      </c>
      <c r="AT1335" s="853" t="inlineStr">
        <is>
          <t>TVG0003</t>
        </is>
      </c>
      <c r="AU1335" s="318" t="n"/>
      <c r="AV1335" s="317" t="n"/>
      <c r="AW1335" s="257" t="n"/>
      <c r="AX1335" s="258" t="n"/>
      <c r="AY1335" s="318" t="n"/>
      <c r="AZ1335" s="317" t="n"/>
      <c r="BA1335" s="257" t="n"/>
      <c r="BB1335" s="258" t="n"/>
      <c r="BC1335" s="316" t="n"/>
      <c r="BD1335" s="317" t="n"/>
      <c r="BE1335" s="257" t="n"/>
      <c r="BF1335" s="258" t="n"/>
      <c r="BG1335" s="89" t="n"/>
      <c r="BH13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35">
        <f>_xlfn.LET(r,ROW(),oc,INDEX($A:$A,r),cv,TRIM(INDEX($Y:$Y,r)&amp;""),IF(oc&lt;&gt;"P1","",IF(cv="45","V45 - novo, nao alimentado pelo spool atual","V44 - alimentado pelo spool atual")))</f>
        <v/>
      </c>
    </row>
    <row r="1336" ht="54" customFormat="1" customHeight="1" s="55">
      <c r="A1336" s="325" t="inlineStr">
        <is>
          <t>M1</t>
        </is>
      </c>
      <c r="B1336" s="326" t="n">
        <v>41</v>
      </c>
      <c r="C1336" s="284" t="inlineStr">
        <is>
          <t>NA</t>
        </is>
      </c>
      <c r="D1336" s="244" t="inlineStr">
        <is>
          <t>NA</t>
        </is>
      </c>
      <c r="E1336" s="326" t="inlineStr">
        <is>
          <t>M1 6.97</t>
        </is>
      </c>
      <c r="F1336" s="327" t="inlineStr">
        <is>
          <t>Filler</t>
        </is>
      </c>
      <c r="G1336" s="327" t="inlineStr">
        <is>
          <t>Filler</t>
        </is>
      </c>
      <c r="H1336" s="327" t="n"/>
      <c r="I1336" s="247" t="inlineStr">
        <is>
          <t>Zone libre</t>
        </is>
      </c>
      <c r="J1336" s="327" t="inlineStr">
        <is>
          <t>Free zone</t>
        </is>
      </c>
      <c r="K1336" s="388" t="inlineStr">
        <is>
          <t>NA</t>
        </is>
      </c>
      <c r="L1336" s="388" t="inlineStr">
        <is>
          <t>NA</t>
        </is>
      </c>
      <c r="M1336" s="1421" t="inlineStr">
        <is>
          <t>ZoneLibre6_97</t>
        </is>
      </c>
      <c r="N1336" s="284" t="inlineStr">
        <is>
          <t>NA</t>
        </is>
      </c>
      <c r="O1336" s="388" t="inlineStr">
        <is>
          <t>NA</t>
        </is>
      </c>
      <c r="P1336" s="284" t="inlineStr">
        <is>
          <t>NA</t>
        </is>
      </c>
      <c r="Q1336" s="284" t="inlineStr">
        <is>
          <t>NA</t>
        </is>
      </c>
      <c r="R1336" s="247" t="inlineStr">
        <is>
          <t>Laisser à vide</t>
        </is>
      </c>
      <c r="S1336" s="247" t="inlineStr">
        <is>
          <t>Leave empty</t>
        </is>
      </c>
      <c r="T1336" s="326" t="inlineStr">
        <is>
          <t>ALPHA</t>
        </is>
      </c>
      <c r="U1336" s="248" t="inlineStr">
        <is>
          <t>NA</t>
        </is>
      </c>
      <c r="V1336" s="248" t="inlineStr">
        <is>
          <t>NA</t>
        </is>
      </c>
      <c r="W1336" s="284" t="n">
        <v>10</v>
      </c>
      <c r="X1336" s="244" t="inlineStr">
        <is>
          <t>NA</t>
        </is>
      </c>
      <c r="Y1336" s="248" t="inlineStr">
        <is>
          <t>NA</t>
        </is>
      </c>
      <c r="Z1336" s="248" t="inlineStr">
        <is>
          <t>NA</t>
        </is>
      </c>
      <c r="AA1336" s="248" t="inlineStr">
        <is>
          <t>NA</t>
        </is>
      </c>
      <c r="AB1336" s="284" t="inlineStr">
        <is>
          <t>NA</t>
        </is>
      </c>
      <c r="AC1336" s="244" t="inlineStr">
        <is>
          <t>NA</t>
        </is>
      </c>
      <c r="AD1336" s="284" t="inlineStr">
        <is>
          <t>N</t>
        </is>
      </c>
      <c r="AE1336" s="284" t="inlineStr">
        <is>
          <t>NA</t>
        </is>
      </c>
      <c r="AF1336" s="284" t="inlineStr">
        <is>
          <t>NA</t>
        </is>
      </c>
      <c r="AG1336" s="285" t="inlineStr">
        <is>
          <t>NA</t>
        </is>
      </c>
      <c r="AH1336" s="89" t="n"/>
      <c r="AI1336" s="330" t="n"/>
      <c r="AJ1336" s="331" t="n"/>
      <c r="AK1336" s="284" t="n"/>
      <c r="AL1336" s="285" t="n"/>
      <c r="AM1336" s="331" t="n"/>
      <c r="AN1336" s="331" t="n"/>
      <c r="AO1336" s="284" t="n"/>
      <c r="AP1336" s="285" t="n"/>
      <c r="AQ1336" s="331" t="n"/>
      <c r="AR1336" s="331" t="n"/>
      <c r="AS1336" s="284" t="n"/>
      <c r="AT1336" s="285" t="n"/>
      <c r="AU1336" s="331" t="n"/>
      <c r="AV1336" s="331" t="n"/>
      <c r="AW1336" s="284" t="n"/>
      <c r="AX1336" s="285" t="n"/>
      <c r="AY1336" s="331" t="n"/>
      <c r="AZ1336" s="331" t="n"/>
      <c r="BA1336" s="284" t="n"/>
      <c r="BB1336" s="285" t="n"/>
      <c r="BC1336" s="330" t="n"/>
      <c r="BD1336" s="331" t="n"/>
      <c r="BE1336" s="284" t="n"/>
      <c r="BF1336" s="285" t="n"/>
      <c r="BG1336" s="89" t="n"/>
      <c r="BH13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36">
        <f>_xlfn.LET(r,ROW(),oc,INDEX($A:$A,r),cv,TRIM(INDEX($Y:$Y,r)&amp;""),IF(oc&lt;&gt;"P1","",IF(cv="45","V45 - novo, nao alimentado pelo spool atual","V44 - alimentado pelo spool atual")))</f>
        <v/>
      </c>
    </row>
    <row r="1337" ht="54" customFormat="1" customHeight="1" s="90">
      <c r="A1337" s="306" t="inlineStr">
        <is>
          <t>M1</t>
        </is>
      </c>
      <c r="B1337" s="307" t="n">
        <v>42</v>
      </c>
      <c r="C1337" s="269" t="inlineStr">
        <is>
          <t>15 - Caractéristiques Sureté</t>
        </is>
      </c>
      <c r="D1337" s="236" t="inlineStr">
        <is>
          <t>15 - Safety characteristics</t>
        </is>
      </c>
      <c r="E1337" s="307" t="inlineStr">
        <is>
          <t>M1 6.3</t>
        </is>
      </c>
      <c r="F1337" s="417" t="inlineStr">
        <is>
          <t xml:space="preserve">Montant révisé de la sûreté </t>
        </is>
      </c>
      <c r="G1337" s="309" t="inlineStr">
        <is>
          <t>Revised amount of the surety</t>
        </is>
      </c>
      <c r="H1337" s="309" t="n"/>
      <c r="I1337" s="843" t="inlineStr">
        <is>
          <t>Montant révisé du montant la sûreté revenant à l'entité porteuse de risques
Le montant "initial" peut être révisé dans le cadre des procédures de revalorisation des sûretés de façon régulière. Il n'intègre pas les décotes réglementaires
Pour les sûretés immobilières le montant révisé correspond à la valeur du bien</t>
        </is>
      </c>
      <c r="J1337" s="233" t="inlineStr">
        <is>
          <t>Revised share of the mitigant amount attributable to the risk-bearing entity.
The “initial” amount may be regularly revised as part of mitigant revaluation procedures. 
It does not include regulatory haircuts</t>
        </is>
      </c>
      <c r="K1337" s="269" t="inlineStr">
        <is>
          <t>ND</t>
        </is>
      </c>
      <c r="L1337" s="310" t="inlineStr">
        <is>
          <t>ND</t>
        </is>
      </c>
      <c r="M1337" s="1420" t="inlineStr">
        <is>
          <t>MtRev</t>
        </is>
      </c>
      <c r="N1337" s="231" t="inlineStr">
        <is>
          <t>Obligatoire sous conditions</t>
        </is>
      </c>
      <c r="O1337" s="236" t="inlineStr">
        <is>
          <t>Mandatory under conditions</t>
        </is>
      </c>
      <c r="P1337" s="269" t="inlineStr">
        <is>
          <t>NA</t>
        </is>
      </c>
      <c r="Q1337" s="269" t="inlineStr">
        <is>
          <t>NA</t>
        </is>
      </c>
      <c r="R1337" s="241" t="inlineStr">
        <is>
          <t>NA</t>
        </is>
      </c>
      <c r="S1337" s="233" t="inlineStr">
        <is>
          <t>NA</t>
        </is>
      </c>
      <c r="T1337" s="313" t="inlineStr">
        <is>
          <t>NUM</t>
        </is>
      </c>
      <c r="U1337" s="237" t="inlineStr">
        <is>
          <t>19 dont signe et 2 décimales</t>
        </is>
      </c>
      <c r="V1337" s="238" t="inlineStr">
        <is>
          <t>19 including sign and 2 decimals</t>
        </is>
      </c>
      <c r="W1337" s="257" t="n">
        <v>19</v>
      </c>
      <c r="X1337" s="945" t="inlineStr">
        <is>
          <t>NA</t>
        </is>
      </c>
      <c r="Y1337" s="237" t="n">
        <v>40</v>
      </c>
      <c r="Z1337" s="237" t="inlineStr">
        <is>
          <t>NA</t>
        </is>
      </c>
      <c r="AA1337" s="270" t="inlineStr">
        <is>
          <t>45.00</t>
        </is>
      </c>
      <c r="AB1337" s="932" t="inlineStr">
        <is>
          <t>AER, DEI, ESG PILIER 3, GRR, LIQUIDITE, LOAN TAPE, MREL, NSFR, SA-CCR, SRB VALUATION</t>
        </is>
      </c>
      <c r="AC1337" s="231" t="inlineStr">
        <is>
          <t>ND</t>
        </is>
      </c>
      <c r="AD1337" s="257" t="inlineStr">
        <is>
          <t>N</t>
        </is>
      </c>
      <c r="AE1337" s="257" t="inlineStr">
        <is>
          <t>SEC-CAS-COL
IAS
GUA-CDE
INS
REE-TAS</t>
        </is>
      </c>
      <c r="AF1337" s="257" t="inlineStr">
        <is>
          <t>NA</t>
        </is>
      </c>
      <c r="AG1337" s="258" t="inlineStr">
        <is>
          <t>NA</t>
        </is>
      </c>
      <c r="AH1337" s="89" t="n"/>
      <c r="AI1337" s="854" t="inlineStr">
        <is>
          <t>La donnée est obligatoire si la date de révision du montant [M1 6.6] est renseignée</t>
        </is>
      </c>
      <c r="AJ1337" s="317" t="inlineStr">
        <is>
          <t>The data is mandatory if the revision date of the amount [M1 6.6] is filled in</t>
        </is>
      </c>
      <c r="AK1337" s="257" t="n">
        <v>7</v>
      </c>
      <c r="AL1337" s="345" t="inlineStr">
        <is>
          <t>TPS0708</t>
        </is>
      </c>
      <c r="AM1337" s="318" t="n"/>
      <c r="AN1337" s="317" t="n"/>
      <c r="AO1337" s="257" t="n"/>
      <c r="AP1337" s="258" t="n"/>
      <c r="AQ1337" s="356" t="inlineStr">
        <is>
          <t>Si renseignée, la donnée doit être strictement supérieure à 0</t>
        </is>
      </c>
      <c r="AR1337" s="317" t="inlineStr">
        <is>
          <t>If filled, data must strictly be greater than 0</t>
        </is>
      </c>
      <c r="AS1337" s="257" t="n">
        <v>7</v>
      </c>
      <c r="AT1337" s="366" t="inlineStr">
        <is>
          <t>TVG0003</t>
        </is>
      </c>
      <c r="AU1337" s="318" t="n"/>
      <c r="AV1337" s="317" t="n"/>
      <c r="AW1337" s="257" t="n"/>
      <c r="AX1337" s="258" t="n"/>
      <c r="AY1337" s="318" t="n"/>
      <c r="AZ1337" s="317" t="n"/>
      <c r="BA1337" s="257" t="n"/>
      <c r="BB1337" s="258" t="n"/>
      <c r="BC1337" s="316" t="n"/>
      <c r="BD1337" s="317" t="n"/>
      <c r="BE1337" s="257" t="n"/>
      <c r="BF1337" s="258" t="n"/>
      <c r="BG1337" s="89" t="n"/>
      <c r="BH13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37">
        <f>_xlfn.LET(r,ROW(),oc,INDEX($A:$A,r),cv,TRIM(INDEX($Y:$Y,r)&amp;""),IF(oc&lt;&gt;"P1","",IF(cv="45","V45 - novo, nao alimentado pelo spool atual","V44 - alimentado pelo spool atual")))</f>
        <v/>
      </c>
    </row>
    <row r="1338" ht="54" customFormat="1" customHeight="1" s="55">
      <c r="A1338" s="325" t="inlineStr">
        <is>
          <t>M1</t>
        </is>
      </c>
      <c r="B1338" s="326" t="n">
        <v>43</v>
      </c>
      <c r="C1338" s="284" t="inlineStr">
        <is>
          <t>NA</t>
        </is>
      </c>
      <c r="D1338" s="244" t="inlineStr">
        <is>
          <t>NA</t>
        </is>
      </c>
      <c r="E1338" s="326" t="inlineStr">
        <is>
          <t>M1 6.98</t>
        </is>
      </c>
      <c r="F1338" s="327" t="inlineStr">
        <is>
          <t>Filler</t>
        </is>
      </c>
      <c r="G1338" s="327" t="inlineStr">
        <is>
          <t>Filler</t>
        </is>
      </c>
      <c r="H1338" s="327" t="n"/>
      <c r="I1338" s="247" t="inlineStr">
        <is>
          <t>Zone libre</t>
        </is>
      </c>
      <c r="J1338" s="327" t="inlineStr">
        <is>
          <t>Free zone</t>
        </is>
      </c>
      <c r="K1338" s="388" t="inlineStr">
        <is>
          <t>NA</t>
        </is>
      </c>
      <c r="L1338" s="388" t="inlineStr">
        <is>
          <t>NA</t>
        </is>
      </c>
      <c r="M1338" s="1421" t="inlineStr">
        <is>
          <t>ZoneLibre6_98</t>
        </is>
      </c>
      <c r="N1338" s="284" t="inlineStr">
        <is>
          <t>NA</t>
        </is>
      </c>
      <c r="O1338" s="388" t="inlineStr">
        <is>
          <t>NA</t>
        </is>
      </c>
      <c r="P1338" s="284" t="inlineStr">
        <is>
          <t>NA</t>
        </is>
      </c>
      <c r="Q1338" s="284" t="inlineStr">
        <is>
          <t>NA</t>
        </is>
      </c>
      <c r="R1338" s="247" t="inlineStr">
        <is>
          <t>Laisser à vide</t>
        </is>
      </c>
      <c r="S1338" s="247" t="inlineStr">
        <is>
          <t>Leave empty</t>
        </is>
      </c>
      <c r="T1338" s="326" t="inlineStr">
        <is>
          <t>ALPHA</t>
        </is>
      </c>
      <c r="U1338" s="248" t="inlineStr">
        <is>
          <t>NA</t>
        </is>
      </c>
      <c r="V1338" s="248" t="inlineStr">
        <is>
          <t>NA</t>
        </is>
      </c>
      <c r="W1338" s="284" t="n">
        <v>10</v>
      </c>
      <c r="X1338" s="244" t="inlineStr">
        <is>
          <t>NA</t>
        </is>
      </c>
      <c r="Y1338" s="248" t="inlineStr">
        <is>
          <t>NA</t>
        </is>
      </c>
      <c r="Z1338" s="248" t="inlineStr">
        <is>
          <t>NA</t>
        </is>
      </c>
      <c r="AA1338" s="248" t="inlineStr">
        <is>
          <t>NA</t>
        </is>
      </c>
      <c r="AB1338" s="284" t="inlineStr">
        <is>
          <t>NA</t>
        </is>
      </c>
      <c r="AC1338" s="244" t="inlineStr">
        <is>
          <t>NA</t>
        </is>
      </c>
      <c r="AD1338" s="284" t="inlineStr">
        <is>
          <t>N</t>
        </is>
      </c>
      <c r="AE1338" s="284" t="inlineStr">
        <is>
          <t>NA</t>
        </is>
      </c>
      <c r="AF1338" s="284" t="inlineStr">
        <is>
          <t>NA</t>
        </is>
      </c>
      <c r="AG1338" s="285" t="inlineStr">
        <is>
          <t>NA</t>
        </is>
      </c>
      <c r="AH1338" s="89" t="n"/>
      <c r="AI1338" s="330" t="n"/>
      <c r="AJ1338" s="331" t="n"/>
      <c r="AK1338" s="284" t="n"/>
      <c r="AL1338" s="285" t="n"/>
      <c r="AM1338" s="331" t="n"/>
      <c r="AN1338" s="331" t="n"/>
      <c r="AO1338" s="284" t="n"/>
      <c r="AP1338" s="285" t="n"/>
      <c r="AQ1338" s="331" t="n"/>
      <c r="AR1338" s="331" t="n"/>
      <c r="AS1338" s="284" t="n"/>
      <c r="AT1338" s="285" t="n"/>
      <c r="AU1338" s="331" t="n"/>
      <c r="AV1338" s="331" t="n"/>
      <c r="AW1338" s="284" t="n"/>
      <c r="AX1338" s="285" t="n"/>
      <c r="AY1338" s="331" t="n"/>
      <c r="AZ1338" s="331" t="n"/>
      <c r="BA1338" s="284" t="n"/>
      <c r="BB1338" s="285" t="n"/>
      <c r="BC1338" s="330" t="n"/>
      <c r="BD1338" s="331" t="n"/>
      <c r="BE1338" s="284" t="n"/>
      <c r="BF1338" s="285" t="n"/>
      <c r="BG1338" s="89" t="n"/>
      <c r="BH13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38">
        <f>_xlfn.LET(r,ROW(),oc,INDEX($A:$A,r),cv,TRIM(INDEX($Y:$Y,r)&amp;""),IF(oc&lt;&gt;"P1","",IF(cv="45","V45 - novo, nao alimentado pelo spool atual","V44 - alimentado pelo spool atual")))</f>
        <v/>
      </c>
    </row>
    <row r="1339" ht="54" customFormat="1" customHeight="1" s="90">
      <c r="A1339" s="306" t="inlineStr">
        <is>
          <t>M1</t>
        </is>
      </c>
      <c r="B1339" s="307" t="n">
        <v>44</v>
      </c>
      <c r="C1339" s="269" t="inlineStr">
        <is>
          <t>15 - Caractéristiques Sureté</t>
        </is>
      </c>
      <c r="D1339" s="236" t="inlineStr">
        <is>
          <t>15 - Safety characteristics</t>
        </is>
      </c>
      <c r="E1339" s="307" t="inlineStr">
        <is>
          <t>M1 6.5</t>
        </is>
      </c>
      <c r="F1339" s="368" t="inlineStr">
        <is>
          <t>Devise de la sûreté</t>
        </is>
      </c>
      <c r="G1339" s="309" t="inlineStr">
        <is>
          <t>Currency of the mitigant</t>
        </is>
      </c>
      <c r="H1339" s="309" t="n"/>
      <c r="I1339" s="241" t="inlineStr">
        <is>
          <t>Devise d'expression des montants initial (M1 6.1) et révisé (M1 6.3) de la sûreté</t>
        </is>
      </c>
      <c r="J1339" s="309" t="inlineStr">
        <is>
          <t>Currency in which the initial (M1 6.1) and revised (M1 6.3) amounts of the mitigant are denominated</t>
        </is>
      </c>
      <c r="K1339" s="370" t="inlineStr">
        <is>
          <t>ND</t>
        </is>
      </c>
      <c r="L1339" s="371" t="inlineStr">
        <is>
          <t>ND</t>
        </is>
      </c>
      <c r="M1339" s="1420" t="inlineStr">
        <is>
          <t>cdDevSur</t>
        </is>
      </c>
      <c r="N1339" s="231" t="inlineStr">
        <is>
          <t>Obligatoire sous conditions</t>
        </is>
      </c>
      <c r="O1339" s="236" t="inlineStr">
        <is>
          <t>Mandatory under conditions</t>
        </is>
      </c>
      <c r="P1339" s="269" t="inlineStr">
        <is>
          <t>LC.0005</t>
        </is>
      </c>
      <c r="Q1339" s="269" t="inlineStr">
        <is>
          <t>TA NM253</t>
        </is>
      </c>
      <c r="R1339" s="241" t="inlineStr">
        <is>
          <t>NA</t>
        </is>
      </c>
      <c r="S1339" s="233" t="inlineStr">
        <is>
          <t>NA</t>
        </is>
      </c>
      <c r="T1339" s="313" t="inlineStr">
        <is>
          <t>ALPHA</t>
        </is>
      </c>
      <c r="U1339" s="237" t="inlineStr">
        <is>
          <t>NA</t>
        </is>
      </c>
      <c r="V1339" s="238" t="inlineStr">
        <is>
          <t>NA</t>
        </is>
      </c>
      <c r="W1339" s="257" t="n">
        <v>3</v>
      </c>
      <c r="X1339" s="945" t="inlineStr">
        <is>
          <t>NA</t>
        </is>
      </c>
      <c r="Y1339" s="237" t="n">
        <v>40</v>
      </c>
      <c r="Z1339" s="237" t="inlineStr">
        <is>
          <t>NA</t>
        </is>
      </c>
      <c r="AA1339" s="978" t="inlineStr">
        <is>
          <t>45.00</t>
        </is>
      </c>
      <c r="AB1339" s="932" t="inlineStr">
        <is>
          <t>AER, ANACREDIT, DEI, GRR, LIQUIDITE, LOAN TAPE, MREL, NSFR, SA-CCR, SRB VALUATION</t>
        </is>
      </c>
      <c r="AC1339" s="231" t="inlineStr">
        <is>
          <t>ND</t>
        </is>
      </c>
      <c r="AD1339" s="257" t="inlineStr">
        <is>
          <t>N</t>
        </is>
      </c>
      <c r="AE1339" s="257" t="inlineStr">
        <is>
          <t>SEC-CAS-COL
IAS
GUA-CDE
INS
REE-TAS</t>
        </is>
      </c>
      <c r="AF1339" s="257" t="inlineStr">
        <is>
          <t>NA</t>
        </is>
      </c>
      <c r="AG1339" s="258" t="inlineStr">
        <is>
          <t>NA</t>
        </is>
      </c>
      <c r="AH1339" s="89" t="n"/>
      <c r="AI1339" s="855" t="inlineStr">
        <is>
          <t>La donnée est obligatoire si Montant initial de la sûreté [M1 6.1] OU Montant révisé de la sûreté [M1 6.3] est renseigné</t>
        </is>
      </c>
      <c r="AJ1339" s="317" t="inlineStr">
        <is>
          <t>The data is mandatory if Initial amount of the surety [M1 6.1] OR Revised amount of the surety [M1 6.3] is filled</t>
        </is>
      </c>
      <c r="AK1339" s="257" t="n">
        <v>7</v>
      </c>
      <c r="AL1339" s="335" t="inlineStr">
        <is>
          <t>TPG0002</t>
        </is>
      </c>
      <c r="AM1339" s="318" t="inlineStr">
        <is>
          <t>Si elle est renseignée, la valeur doit être connue du Langage Commun associé</t>
        </is>
      </c>
      <c r="AN1339" s="317" t="inlineStr">
        <is>
          <t>If specified, the value must be known to the associated Common Language</t>
        </is>
      </c>
      <c r="AO1339" s="257" t="n">
        <v>7</v>
      </c>
      <c r="AP1339" s="258" t="inlineStr">
        <is>
          <t>TIG0001</t>
        </is>
      </c>
      <c r="AQ1339" s="318" t="n"/>
      <c r="AR1339" s="317" t="n"/>
      <c r="AS1339" s="257" t="n"/>
      <c r="AT1339" s="258" t="n"/>
      <c r="AU1339" s="318" t="n"/>
      <c r="AV1339" s="317" t="n"/>
      <c r="AW1339" s="257" t="n"/>
      <c r="AX1339" s="258" t="n"/>
      <c r="AY1339" s="318" t="n"/>
      <c r="AZ1339" s="317" t="n"/>
      <c r="BA1339" s="257" t="n"/>
      <c r="BB1339" s="258" t="n"/>
      <c r="BC1339" s="316" t="n"/>
      <c r="BD1339" s="317" t="n"/>
      <c r="BE1339" s="257" t="n"/>
      <c r="BF1339" s="258" t="n"/>
      <c r="BG1339" s="89" t="n"/>
      <c r="BH13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39">
        <f>_xlfn.LET(r,ROW(),oc,INDEX($A:$A,r),cv,TRIM(INDEX($Y:$Y,r)&amp;""),IF(oc&lt;&gt;"P1","",IF(cv="45","V45 - novo, nao alimentado pelo spool atual","V44 - alimentado pelo spool atual")))</f>
        <v/>
      </c>
    </row>
    <row r="1340" ht="54" customFormat="1" customHeight="1" s="90">
      <c r="A1340" s="306" t="inlineStr">
        <is>
          <t>M1</t>
        </is>
      </c>
      <c r="B1340" s="307" t="n">
        <v>45</v>
      </c>
      <c r="C1340" s="269" t="inlineStr">
        <is>
          <t>15 - Caractéristiques Sureté</t>
        </is>
      </c>
      <c r="D1340" s="236" t="inlineStr">
        <is>
          <t>15 - Safety characteristics</t>
        </is>
      </c>
      <c r="E1340" s="307" t="inlineStr">
        <is>
          <t>M1 6.6</t>
        </is>
      </c>
      <c r="F1340" s="374" t="inlineStr">
        <is>
          <t>Date de révision du montant</t>
        </is>
      </c>
      <c r="G1340" s="309" t="inlineStr">
        <is>
          <t>Date of revision of amount</t>
        </is>
      </c>
      <c r="H1340" s="309" t="n"/>
      <c r="I1340" s="843" t="inlineStr">
        <is>
          <t>Correspond à la date à laquelle le montant de sûreté reçu par l'entité a été révisé à la valeur indiquée en M1 6.3</t>
        </is>
      </c>
      <c r="J1340" s="309" t="inlineStr">
        <is>
          <t>Represents the date on which the amount (or percentage) of the mitigant received by the entity was revised to the value indicated in M1 6.3</t>
        </is>
      </c>
      <c r="K1340" s="370" t="inlineStr">
        <is>
          <t>ND</t>
        </is>
      </c>
      <c r="L1340" s="371" t="inlineStr">
        <is>
          <t>ND</t>
        </is>
      </c>
      <c r="M1340" s="1420" t="inlineStr">
        <is>
          <t>dtRevMt</t>
        </is>
      </c>
      <c r="N1340" s="231" t="inlineStr">
        <is>
          <t>Facultatif</t>
        </is>
      </c>
      <c r="O1340" s="236" t="inlineStr">
        <is>
          <t>Optional</t>
        </is>
      </c>
      <c r="P1340" s="269" t="inlineStr">
        <is>
          <t>NA</t>
        </is>
      </c>
      <c r="Q1340" s="269" t="inlineStr">
        <is>
          <t>NA</t>
        </is>
      </c>
      <c r="R1340" s="241" t="inlineStr">
        <is>
          <t>Correspond à la dernière date de réévaluation de la sûreté</t>
        </is>
      </c>
      <c r="S1340" s="309" t="inlineStr">
        <is>
          <t>Corresponds to the last revaluation date of the security interest</t>
        </is>
      </c>
      <c r="T1340" s="206" t="inlineStr">
        <is>
          <t>DATE</t>
        </is>
      </c>
      <c r="U1340" s="237" t="inlineStr">
        <is>
          <t>AAAAMMJJ</t>
        </is>
      </c>
      <c r="V1340" s="238" t="inlineStr">
        <is>
          <t>YYYYMMDD</t>
        </is>
      </c>
      <c r="W1340" s="257" t="n">
        <v>8</v>
      </c>
      <c r="X1340" s="945" t="inlineStr">
        <is>
          <t>NA</t>
        </is>
      </c>
      <c r="Y1340" s="237" t="n">
        <v>40</v>
      </c>
      <c r="Z1340" s="237" t="inlineStr">
        <is>
          <t>NA</t>
        </is>
      </c>
      <c r="AA1340" s="978" t="inlineStr">
        <is>
          <t>45.00</t>
        </is>
      </c>
      <c r="AB1340" s="932" t="inlineStr">
        <is>
          <t>ANACREDIT, LIQUIDITE, LOAN TAPE</t>
        </is>
      </c>
      <c r="AC1340" s="231" t="inlineStr">
        <is>
          <t>ND</t>
        </is>
      </c>
      <c r="AD1340" s="257" t="inlineStr">
        <is>
          <t>N</t>
        </is>
      </c>
      <c r="AE1340" s="257" t="inlineStr">
        <is>
          <t>SEC-CAS-COL
IAS
GUA-CDE
INS
REE-TAS</t>
        </is>
      </c>
      <c r="AF1340" s="257" t="inlineStr">
        <is>
          <t>NA</t>
        </is>
      </c>
      <c r="AG1340" s="258" t="inlineStr">
        <is>
          <t>NA</t>
        </is>
      </c>
      <c r="AH1340" s="89" t="n"/>
      <c r="AI1340" s="316" t="n"/>
      <c r="AJ1340" s="317" t="n"/>
      <c r="AK1340" s="257" t="n"/>
      <c r="AL1340" s="258" t="n"/>
      <c r="AM1340" s="318" t="n"/>
      <c r="AN1340" s="317" t="n"/>
      <c r="AO1340" s="257" t="n"/>
      <c r="AP1340" s="258" t="n"/>
      <c r="AQ1340" s="318" t="n"/>
      <c r="AR1340" s="317" t="n"/>
      <c r="AS1340" s="257" t="n"/>
      <c r="AT1340" s="258" t="n"/>
      <c r="AU1340" s="381" t="inlineStr">
        <is>
          <t>Si renseignée, Date de révision du montant [M1 6.6] &lt;= Date de fin d'effet [M1 7.2]</t>
        </is>
      </c>
      <c r="AV1340" s="317" t="inlineStr">
        <is>
          <t>If filled, Date of revision of amount [M1 6.6] &lt;= Date expiring [M1 7.2]</t>
        </is>
      </c>
      <c r="AW1340" s="257" t="n">
        <v>6</v>
      </c>
      <c r="AX1340" s="345" t="inlineStr">
        <is>
          <t>TCS0760</t>
        </is>
      </c>
      <c r="AY1340" s="318" t="n"/>
      <c r="AZ1340" s="317" t="n"/>
      <c r="BA1340" s="257" t="n"/>
      <c r="BB1340" s="258" t="n"/>
      <c r="BC1340" s="316" t="n"/>
      <c r="BD1340" s="317" t="n"/>
      <c r="BE1340" s="257" t="n"/>
      <c r="BF1340" s="258" t="n"/>
      <c r="BG1340" s="89" t="n"/>
      <c r="BH13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40">
        <f>_xlfn.LET(r,ROW(),oc,INDEX($A:$A,r),cv,TRIM(INDEX($Y:$Y,r)&amp;""),IF(oc&lt;&gt;"P1","",IF(cv="45","V45 - novo, nao alimentado pelo spool atual","V44 - alimentado pelo spool atual")))</f>
        <v/>
      </c>
    </row>
    <row r="1341" ht="54" customFormat="1" customHeight="1" s="90">
      <c r="A1341" s="306" t="inlineStr">
        <is>
          <t>M1</t>
        </is>
      </c>
      <c r="B1341" s="307" t="n">
        <v>46</v>
      </c>
      <c r="C1341" s="269" t="inlineStr">
        <is>
          <t>15 - Caractéristiques Sureté</t>
        </is>
      </c>
      <c r="D1341" s="236" t="inlineStr">
        <is>
          <t>15 - Safety characteristics</t>
        </is>
      </c>
      <c r="E1341" s="372" t="inlineStr">
        <is>
          <t>M1 6.7</t>
        </is>
      </c>
      <c r="F1341" s="308" t="inlineStr">
        <is>
          <t>Devise du montant de l'hypothèque</t>
        </is>
      </c>
      <c r="G1341" s="309" t="inlineStr">
        <is>
          <t>Currency of the mortgage amount</t>
        </is>
      </c>
      <c r="H1341" s="309" t="n"/>
      <c r="I1341" s="241" t="inlineStr">
        <is>
          <t xml:space="preserve">Devise d'expression du montant de l'hypothèque </t>
        </is>
      </c>
      <c r="J1341" s="309" t="inlineStr">
        <is>
          <t xml:space="preserve">Currency of the mortgage amount </t>
        </is>
      </c>
      <c r="K1341" s="370" t="inlineStr">
        <is>
          <t>ND</t>
        </is>
      </c>
      <c r="L1341" s="371" t="inlineStr">
        <is>
          <t>ND</t>
        </is>
      </c>
      <c r="M1341" s="1420" t="inlineStr">
        <is>
          <t>cdDevMtHyp</t>
        </is>
      </c>
      <c r="N1341" s="231" t="inlineStr">
        <is>
          <t>Obligatoire sous conditions</t>
        </is>
      </c>
      <c r="O1341" s="236" t="inlineStr">
        <is>
          <t>Mandatory under conditions</t>
        </is>
      </c>
      <c r="P1341" s="269" t="inlineStr">
        <is>
          <t>LC.0005</t>
        </is>
      </c>
      <c r="Q1341" s="269" t="inlineStr">
        <is>
          <t>TA NM253</t>
        </is>
      </c>
      <c r="R1341" s="241" t="inlineStr">
        <is>
          <t>NA</t>
        </is>
      </c>
      <c r="S1341" s="309" t="inlineStr">
        <is>
          <t>NA</t>
        </is>
      </c>
      <c r="T1341" s="313" t="inlineStr">
        <is>
          <t>ALPHA</t>
        </is>
      </c>
      <c r="U1341" s="237" t="inlineStr">
        <is>
          <t>NA</t>
        </is>
      </c>
      <c r="V1341" s="238" t="inlineStr">
        <is>
          <t>NA</t>
        </is>
      </c>
      <c r="W1341" s="257" t="n">
        <v>3</v>
      </c>
      <c r="X1341" s="945" t="inlineStr">
        <is>
          <t>NA</t>
        </is>
      </c>
      <c r="Y1341" s="237" t="n">
        <v>42</v>
      </c>
      <c r="Z1341" s="237" t="inlineStr">
        <is>
          <t>NA</t>
        </is>
      </c>
      <c r="AA1341" s="270" t="inlineStr">
        <is>
          <t>NA</t>
        </is>
      </c>
      <c r="AB1341" s="1287" t="inlineStr">
        <is>
          <t>USAGE ZP</t>
        </is>
      </c>
      <c r="AC1341" s="231" t="inlineStr">
        <is>
          <t>ND</t>
        </is>
      </c>
      <c r="AD1341" s="257" t="inlineStr">
        <is>
          <t>N</t>
        </is>
      </c>
      <c r="AE1341" s="257" t="inlineStr">
        <is>
          <t>REE-TAS</t>
        </is>
      </c>
      <c r="AF1341" s="257" t="inlineStr">
        <is>
          <t>NA</t>
        </is>
      </c>
      <c r="AG1341" s="258" t="inlineStr">
        <is>
          <t>NA</t>
        </is>
      </c>
      <c r="AH1341" s="89" t="n"/>
      <c r="AI1341" s="856" t="inlineStr">
        <is>
          <t>La donnée est obligatoire, si Montant d'hypothèque [M1 8.34] est renseigné</t>
        </is>
      </c>
      <c r="AJ1341" s="317" t="inlineStr">
        <is>
          <t>The data is mandatory, if Mortgage amount [M1 8.34] is filled</t>
        </is>
      </c>
      <c r="AK1341" s="257" t="n">
        <v>7</v>
      </c>
      <c r="AL1341" s="447" t="inlineStr">
        <is>
          <t>TPG0002</t>
        </is>
      </c>
      <c r="AM1341" s="318" t="inlineStr">
        <is>
          <t>Si elle est renseignée, la valeur doit être connue du Langage Commun associé</t>
        </is>
      </c>
      <c r="AN1341" s="317" t="inlineStr">
        <is>
          <t>If specified, the value must be known to the associated Common Language</t>
        </is>
      </c>
      <c r="AO1341" s="257" t="n">
        <v>7</v>
      </c>
      <c r="AP1341" s="258" t="inlineStr">
        <is>
          <t>TIG0001</t>
        </is>
      </c>
      <c r="AQ1341" s="318" t="n"/>
      <c r="AR1341" s="317" t="n"/>
      <c r="AS1341" s="257" t="n"/>
      <c r="AT1341" s="258" t="n"/>
      <c r="AU1341" s="318" t="n"/>
      <c r="AV1341" s="317" t="n"/>
      <c r="AW1341" s="257" t="n"/>
      <c r="AX1341" s="258" t="n"/>
      <c r="AY1341" s="318" t="n"/>
      <c r="AZ1341" s="317" t="n"/>
      <c r="BA1341" s="257" t="n"/>
      <c r="BB1341" s="258" t="n"/>
      <c r="BC1341" s="316" t="n"/>
      <c r="BD1341" s="317" t="n"/>
      <c r="BE1341" s="257" t="n"/>
      <c r="BF1341" s="258" t="n"/>
      <c r="BG1341" s="89" t="n"/>
      <c r="BH13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41">
        <f>_xlfn.LET(r,ROW(),oc,INDEX($A:$A,r),cv,TRIM(INDEX($Y:$Y,r)&amp;""),IF(oc&lt;&gt;"P1","",IF(cv="45","V45 - novo, nao alimentado pelo spool atual","V44 - alimentado pelo spool atual")))</f>
        <v/>
      </c>
    </row>
    <row r="1342" ht="54" customFormat="1" customHeight="1" s="55">
      <c r="A1342" s="325" t="inlineStr">
        <is>
          <t>M1</t>
        </is>
      </c>
      <c r="B1342" s="326" t="n">
        <v>47</v>
      </c>
      <c r="C1342" s="284" t="inlineStr">
        <is>
          <t>NA</t>
        </is>
      </c>
      <c r="D1342" s="244" t="inlineStr">
        <is>
          <t>NA</t>
        </is>
      </c>
      <c r="E1342" s="326" t="inlineStr">
        <is>
          <t>M1 6.99</t>
        </is>
      </c>
      <c r="F1342" s="327" t="inlineStr">
        <is>
          <t>Filler</t>
        </is>
      </c>
      <c r="G1342" s="327" t="inlineStr">
        <is>
          <t>Filler</t>
        </is>
      </c>
      <c r="H1342" s="327" t="n"/>
      <c r="I1342" s="247" t="inlineStr">
        <is>
          <t>Zone libre</t>
        </is>
      </c>
      <c r="J1342" s="327" t="inlineStr">
        <is>
          <t>Free zone</t>
        </is>
      </c>
      <c r="K1342" s="388" t="inlineStr">
        <is>
          <t>NA</t>
        </is>
      </c>
      <c r="L1342" s="388" t="inlineStr">
        <is>
          <t>NA</t>
        </is>
      </c>
      <c r="M1342" s="1421" t="inlineStr">
        <is>
          <t>ZoneLibre6</t>
        </is>
      </c>
      <c r="N1342" s="284" t="inlineStr">
        <is>
          <t>NA</t>
        </is>
      </c>
      <c r="O1342" s="388" t="inlineStr">
        <is>
          <t>NA</t>
        </is>
      </c>
      <c r="P1342" s="284" t="inlineStr">
        <is>
          <t>NA</t>
        </is>
      </c>
      <c r="Q1342" s="284" t="inlineStr">
        <is>
          <t>NA</t>
        </is>
      </c>
      <c r="R1342" s="247" t="inlineStr">
        <is>
          <t>Laisser à vide</t>
        </is>
      </c>
      <c r="S1342" s="247" t="inlineStr">
        <is>
          <t>Leave empty</t>
        </is>
      </c>
      <c r="T1342" s="326" t="inlineStr">
        <is>
          <t>ALPHA</t>
        </is>
      </c>
      <c r="U1342" s="248" t="inlineStr">
        <is>
          <t>NA</t>
        </is>
      </c>
      <c r="V1342" s="248" t="inlineStr">
        <is>
          <t>NA</t>
        </is>
      </c>
      <c r="W1342" s="284" t="n">
        <v>17</v>
      </c>
      <c r="X1342" s="244" t="inlineStr">
        <is>
          <t>NA</t>
        </is>
      </c>
      <c r="Y1342" s="248" t="inlineStr">
        <is>
          <t>NA</t>
        </is>
      </c>
      <c r="Z1342" s="248" t="inlineStr">
        <is>
          <t>NA</t>
        </is>
      </c>
      <c r="AA1342" s="248" t="inlineStr">
        <is>
          <t>NA</t>
        </is>
      </c>
      <c r="AB1342" s="284" t="inlineStr">
        <is>
          <t>NA</t>
        </is>
      </c>
      <c r="AC1342" s="244" t="inlineStr">
        <is>
          <t>NA</t>
        </is>
      </c>
      <c r="AD1342" s="284" t="inlineStr">
        <is>
          <t>N</t>
        </is>
      </c>
      <c r="AE1342" s="284" t="inlineStr">
        <is>
          <t>NA</t>
        </is>
      </c>
      <c r="AF1342" s="284" t="inlineStr">
        <is>
          <t>NA</t>
        </is>
      </c>
      <c r="AG1342" s="285" t="inlineStr">
        <is>
          <t>NA</t>
        </is>
      </c>
      <c r="AH1342" s="89" t="n"/>
      <c r="AI1342" s="330" t="n"/>
      <c r="AJ1342" s="331" t="n"/>
      <c r="AK1342" s="284" t="n"/>
      <c r="AL1342" s="285" t="n"/>
      <c r="AM1342" s="331" t="n"/>
      <c r="AN1342" s="331" t="n"/>
      <c r="AO1342" s="284" t="n"/>
      <c r="AP1342" s="285" t="n"/>
      <c r="AQ1342" s="331" t="n"/>
      <c r="AR1342" s="331" t="n"/>
      <c r="AS1342" s="284" t="n"/>
      <c r="AT1342" s="285" t="n"/>
      <c r="AU1342" s="331" t="n"/>
      <c r="AV1342" s="331" t="n"/>
      <c r="AW1342" s="284" t="n"/>
      <c r="AX1342" s="285" t="n"/>
      <c r="AY1342" s="331" t="n"/>
      <c r="AZ1342" s="331" t="n"/>
      <c r="BA1342" s="284" t="n"/>
      <c r="BB1342" s="285" t="n"/>
      <c r="BC1342" s="330" t="n"/>
      <c r="BD1342" s="331" t="n"/>
      <c r="BE1342" s="284" t="n"/>
      <c r="BF1342" s="285" t="n"/>
      <c r="BG1342" s="89" t="n"/>
      <c r="BH13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42">
        <f>_xlfn.LET(r,ROW(),oc,INDEX($A:$A,r),cv,TRIM(INDEX($Y:$Y,r)&amp;""),IF(oc&lt;&gt;"P1","",IF(cv="45","V45 - novo, nao alimentado pelo spool atual","V44 - alimentado pelo spool atual")))</f>
        <v/>
      </c>
    </row>
    <row r="1343" ht="54" customFormat="1" customHeight="1" s="90">
      <c r="A1343" s="306" t="inlineStr">
        <is>
          <t>M1</t>
        </is>
      </c>
      <c r="B1343" s="307" t="n">
        <v>48</v>
      </c>
      <c r="C1343" s="269" t="inlineStr">
        <is>
          <t>15 - Caractéristiques Sureté</t>
        </is>
      </c>
      <c r="D1343" s="310" t="inlineStr">
        <is>
          <t>15 - Safety characteristics</t>
        </is>
      </c>
      <c r="E1343" s="307" t="inlineStr">
        <is>
          <t>M1 7.1</t>
        </is>
      </c>
      <c r="F1343" s="308" t="inlineStr">
        <is>
          <t xml:space="preserve">Date de début d'effet de la sûreté </t>
        </is>
      </c>
      <c r="G1343" s="309" t="inlineStr">
        <is>
          <t>Date of coming into effect of the surety</t>
        </is>
      </c>
      <c r="H1343" s="309" t="n"/>
      <c r="I1343" s="241" t="inlineStr">
        <is>
          <t>Date de début d'effet de la sûreté</t>
        </is>
      </c>
      <c r="J1343" s="309" t="inlineStr">
        <is>
          <t>Date of coming into effect of the surety</t>
        </is>
      </c>
      <c r="K1343" s="370" t="inlineStr">
        <is>
          <t>ND</t>
        </is>
      </c>
      <c r="L1343" s="371" t="inlineStr">
        <is>
          <t>ND</t>
        </is>
      </c>
      <c r="M1343" s="1420" t="inlineStr">
        <is>
          <t>dtDebEf</t>
        </is>
      </c>
      <c r="N1343" s="231" t="inlineStr">
        <is>
          <t>Obligatoire</t>
        </is>
      </c>
      <c r="O1343" s="236" t="inlineStr">
        <is>
          <t>Mandatory</t>
        </is>
      </c>
      <c r="P1343" s="269" t="inlineStr">
        <is>
          <t>NA</t>
        </is>
      </c>
      <c r="Q1343" s="269" t="inlineStr">
        <is>
          <t>NA</t>
        </is>
      </c>
      <c r="R1343" s="241" t="inlineStr">
        <is>
          <t>Seules les sûretés reçues ‘actives' sont à remonter</t>
        </is>
      </c>
      <c r="S1343" s="309" t="inlineStr">
        <is>
          <t>Only received ‘active' collateral must be reported</t>
        </is>
      </c>
      <c r="T1343" s="206" t="inlineStr">
        <is>
          <t>DATE</t>
        </is>
      </c>
      <c r="U1343" s="237" t="inlineStr">
        <is>
          <t>AAAAMMJJ</t>
        </is>
      </c>
      <c r="V1343" s="238" t="inlineStr">
        <is>
          <t>YYYYMMDD</t>
        </is>
      </c>
      <c r="W1343" s="257" t="n">
        <v>8</v>
      </c>
      <c r="X1343" s="945" t="inlineStr">
        <is>
          <t>NA</t>
        </is>
      </c>
      <c r="Y1343" s="237" t="n">
        <v>40</v>
      </c>
      <c r="Z1343" s="237" t="inlineStr">
        <is>
          <t>NA</t>
        </is>
      </c>
      <c r="AA1343" s="978" t="inlineStr">
        <is>
          <t>45.00</t>
        </is>
      </c>
      <c r="AB1343" s="932" t="inlineStr">
        <is>
          <t>ANACREDIT, DEI, GRR, LIQUIDITE, LOAN TAPE, NPE</t>
        </is>
      </c>
      <c r="AC1343" s="231" t="inlineStr">
        <is>
          <t>ND</t>
        </is>
      </c>
      <c r="AD1343" s="257" t="inlineStr">
        <is>
          <t>N</t>
        </is>
      </c>
      <c r="AE1343" s="257" t="inlineStr">
        <is>
          <t>SEC-CAS-COL
IAS
GUA-CDE
INS
REE-TAS</t>
        </is>
      </c>
      <c r="AF1343" s="257" t="inlineStr">
        <is>
          <t>NA</t>
        </is>
      </c>
      <c r="AG1343" s="258" t="inlineStr">
        <is>
          <t>NA</t>
        </is>
      </c>
      <c r="AH1343" s="89" t="n"/>
      <c r="AI1343" s="316" t="inlineStr">
        <is>
          <t>La donnée est obligatoire</t>
        </is>
      </c>
      <c r="AJ1343" s="317" t="inlineStr">
        <is>
          <t>The data is mandatory</t>
        </is>
      </c>
      <c r="AK1343" s="257" t="n">
        <v>7</v>
      </c>
      <c r="AL1343" s="335" t="inlineStr">
        <is>
          <t>TPG0001</t>
        </is>
      </c>
      <c r="AM1343" s="318" t="n"/>
      <c r="AN1343" s="317" t="n"/>
      <c r="AO1343" s="257" t="n"/>
      <c r="AP1343" s="258" t="n"/>
      <c r="AQ1343" s="356" t="inlineStr">
        <is>
          <t>Si renseignée, la donnée doit être supérieure ou égale à '19000101'</t>
        </is>
      </c>
      <c r="AR1343" s="317" t="inlineStr">
        <is>
          <t>If filled, data must be greater or equal to '19000101'</t>
        </is>
      </c>
      <c r="AS1343" s="257" t="n">
        <v>7</v>
      </c>
      <c r="AT1343" s="258" t="inlineStr">
        <is>
          <t>TVG0005</t>
        </is>
      </c>
      <c r="AU1343" s="318" t="inlineStr">
        <is>
          <t>La donnée doit être inférieure ou égale à la date d'arrêté</t>
        </is>
      </c>
      <c r="AV1343" s="317" t="inlineStr">
        <is>
          <t>Data must be lower or equal than closing date</t>
        </is>
      </c>
      <c r="AW1343" s="257" t="n">
        <v>7</v>
      </c>
      <c r="AX1343" s="626" t="inlineStr">
        <is>
          <t>TCG0004</t>
        </is>
      </c>
      <c r="AY1343" s="318" t="n"/>
      <c r="AZ1343" s="317" t="n"/>
      <c r="BA1343" s="257" t="n"/>
      <c r="BB1343" s="258" t="n"/>
      <c r="BC1343" s="316" t="n"/>
      <c r="BD1343" s="317" t="n"/>
      <c r="BE1343" s="257" t="n"/>
      <c r="BF1343" s="258" t="n"/>
      <c r="BG1343" s="89" t="n"/>
      <c r="BH13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43">
        <f>_xlfn.LET(r,ROW(),oc,INDEX($A:$A,r),cv,TRIM(INDEX($Y:$Y,r)&amp;""),IF(oc&lt;&gt;"P1","",IF(cv="45","V45 - novo, nao alimentado pelo spool atual","V44 - alimentado pelo spool atual")))</f>
        <v/>
      </c>
    </row>
    <row r="1344" ht="54" customFormat="1" customHeight="1" s="90">
      <c r="A1344" s="306" t="inlineStr">
        <is>
          <t>M1</t>
        </is>
      </c>
      <c r="B1344" s="307" t="n">
        <v>49</v>
      </c>
      <c r="C1344" s="269" t="inlineStr">
        <is>
          <t>15 - Caractéristiques Sureté</t>
        </is>
      </c>
      <c r="D1344" s="310" t="inlineStr">
        <is>
          <t>15 - Safety characteristics</t>
        </is>
      </c>
      <c r="E1344" s="307" t="inlineStr">
        <is>
          <t>M1 7.2</t>
        </is>
      </c>
      <c r="F1344" s="357" t="inlineStr">
        <is>
          <t>Date de fin d'effet</t>
        </is>
      </c>
      <c r="G1344" s="309" t="inlineStr">
        <is>
          <t>Date expiring</t>
        </is>
      </c>
      <c r="H1344" s="309" t="n"/>
      <c r="I1344" s="241" t="inlineStr">
        <is>
          <t>Date de fin d'effet de la sûreté</t>
        </is>
      </c>
      <c r="J1344" s="309" t="inlineStr">
        <is>
          <t>Date of expiry of the mitigant</t>
        </is>
      </c>
      <c r="K1344" s="370" t="inlineStr">
        <is>
          <t>ND</t>
        </is>
      </c>
      <c r="L1344" s="371" t="inlineStr">
        <is>
          <t>ND</t>
        </is>
      </c>
      <c r="M1344" s="1420" t="inlineStr">
        <is>
          <t>dtFinEf</t>
        </is>
      </c>
      <c r="N1344" s="231" t="inlineStr">
        <is>
          <t>Obligatoire</t>
        </is>
      </c>
      <c r="O1344" s="236" t="inlineStr">
        <is>
          <t>Mandatory</t>
        </is>
      </c>
      <c r="P1344" s="269" t="inlineStr">
        <is>
          <t>NA</t>
        </is>
      </c>
      <c r="Q1344" s="269" t="inlineStr">
        <is>
          <t>NA</t>
        </is>
      </c>
      <c r="R1344" s="241" t="inlineStr">
        <is>
          <t>Seules les sûretés reçues ‘actives' sont à remonter</t>
        </is>
      </c>
      <c r="S1344" s="309" t="inlineStr">
        <is>
          <t>Only received ‘active' collateral must be reported</t>
        </is>
      </c>
      <c r="T1344" s="206" t="inlineStr">
        <is>
          <t>DATE</t>
        </is>
      </c>
      <c r="U1344" s="237" t="inlineStr">
        <is>
          <t>AAAAMMJJ</t>
        </is>
      </c>
      <c r="V1344" s="238" t="inlineStr">
        <is>
          <t>YYYYMMDD</t>
        </is>
      </c>
      <c r="W1344" s="257" t="n">
        <v>8</v>
      </c>
      <c r="X1344" s="945" t="inlineStr">
        <is>
          <t>NA</t>
        </is>
      </c>
      <c r="Y1344" s="237" t="n">
        <v>40</v>
      </c>
      <c r="Z1344" s="237" t="inlineStr">
        <is>
          <t>NA</t>
        </is>
      </c>
      <c r="AA1344" s="978" t="inlineStr">
        <is>
          <t>45.00</t>
        </is>
      </c>
      <c r="AB1344" s="932" t="inlineStr">
        <is>
          <t>AER, ANACREDIT, DEI, ESG PILIER 3, GRR, LIQUIDITE, LOAN TAPE</t>
        </is>
      </c>
      <c r="AC1344" s="231" t="inlineStr">
        <is>
          <t>ND</t>
        </is>
      </c>
      <c r="AD1344" s="257" t="inlineStr">
        <is>
          <t>N</t>
        </is>
      </c>
      <c r="AE1344" s="257" t="inlineStr">
        <is>
          <t>SEC-CAS-COL
IAS
GUA-CDE
INS
REE-TAS</t>
        </is>
      </c>
      <c r="AF1344" s="257" t="inlineStr">
        <is>
          <t>NA</t>
        </is>
      </c>
      <c r="AG1344" s="258" t="inlineStr">
        <is>
          <t>NA</t>
        </is>
      </c>
      <c r="AH1344" s="89" t="n"/>
      <c r="AI1344" s="854" t="inlineStr">
        <is>
          <t>La donnée est obligatoire</t>
        </is>
      </c>
      <c r="AJ1344" s="317" t="inlineStr">
        <is>
          <t>The data is mandatory</t>
        </is>
      </c>
      <c r="AK1344" s="257" t="n">
        <v>7</v>
      </c>
      <c r="AL1344" s="335" t="inlineStr">
        <is>
          <t>TPG0001</t>
        </is>
      </c>
      <c r="AM1344" s="318" t="n"/>
      <c r="AN1344" s="317" t="n"/>
      <c r="AO1344" s="257" t="n"/>
      <c r="AP1344" s="258" t="n"/>
      <c r="AQ1344" s="362" t="inlineStr">
        <is>
          <t>Si la donnée est renseignée et si l'année de la date est égale à '9999', alors la donnée doit être égale à '99990630'</t>
        </is>
      </c>
      <c r="AR1344" s="317" t="inlineStr">
        <is>
          <t>If filled, and if the year of the date = '9999', then the data must be equal to '99990630'</t>
        </is>
      </c>
      <c r="AS1344" s="257" t="n">
        <v>7</v>
      </c>
      <c r="AT1344" s="359" t="inlineStr">
        <is>
          <t>TVG0008</t>
        </is>
      </c>
      <c r="AU1344" s="857" t="inlineStr">
        <is>
          <t>La date de fin de la sûreté [M1 7.2] doit être strictement supérieure à la Date de début d'effet [M1 7.1]
---
La donnée doit être supérieure ou égale à la date d'arrêté</t>
        </is>
      </c>
      <c r="AV1344" s="317" t="inlineStr">
        <is>
          <t>The Date expiring of the security [M1 7.2] must be after Date of coming into effect [M1 7.1]
---
Data must be greater or equal than closing date</t>
        </is>
      </c>
      <c r="AW1344" s="257" t="n">
        <v>7</v>
      </c>
      <c r="AX1344" s="378" t="inlineStr">
        <is>
          <t>TCS0761
TCG0002</t>
        </is>
      </c>
      <c r="AY1344" s="318" t="n"/>
      <c r="AZ1344" s="317" t="n"/>
      <c r="BA1344" s="257" t="n"/>
      <c r="BB1344" s="258" t="n"/>
      <c r="BC1344" s="316" t="n"/>
      <c r="BD1344" s="317" t="n"/>
      <c r="BE1344" s="257" t="n"/>
      <c r="BF1344" s="258" t="n"/>
      <c r="BG1344" s="89" t="n"/>
      <c r="BH13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44">
        <f>_xlfn.LET(r,ROW(),oc,INDEX($A:$A,r),cv,TRIM(INDEX($Y:$Y,r)&amp;""),IF(oc&lt;&gt;"P1","",IF(cv="45","V45 - novo, nao alimentado pelo spool atual","V44 - alimentado pelo spool atual")))</f>
        <v/>
      </c>
    </row>
    <row r="1345" ht="54" customFormat="1" customHeight="1" s="90">
      <c r="A1345" s="306" t="inlineStr">
        <is>
          <t>M1</t>
        </is>
      </c>
      <c r="B1345" s="307" t="n">
        <v>50</v>
      </c>
      <c r="C1345" s="269" t="inlineStr">
        <is>
          <t>15 - Caractéristiques Sureté</t>
        </is>
      </c>
      <c r="D1345" s="310" t="inlineStr">
        <is>
          <t>15 - Safety characteristics</t>
        </is>
      </c>
      <c r="E1345" s="307" t="inlineStr">
        <is>
          <t>M1 7.5</t>
        </is>
      </c>
      <c r="F1345" s="308" t="inlineStr">
        <is>
          <t>Eligibilité de la sûreté</t>
        </is>
      </c>
      <c r="G1345" s="309" t="inlineStr">
        <is>
          <t>Eligibility of the mitigant</t>
        </is>
      </c>
      <c r="H1345" s="309" t="n"/>
      <c r="I1345" s="843" t="inlineStr">
        <is>
          <t>Indicateur qui spécifie que la sûreté déclarée répond aux exigences minimales d'éligibilité</t>
        </is>
      </c>
      <c r="J1345" s="309" t="inlineStr">
        <is>
          <t>Indicates whether minimum eligibility conditions are satisfied</t>
        </is>
      </c>
      <c r="K1345" s="370" t="inlineStr">
        <is>
          <t>ND</t>
        </is>
      </c>
      <c r="L1345" s="371" t="inlineStr">
        <is>
          <t>ND</t>
        </is>
      </c>
      <c r="M1345" s="1420" t="inlineStr">
        <is>
          <t>cdEligSur</t>
        </is>
      </c>
      <c r="N1345" s="231" t="inlineStr">
        <is>
          <t>Obligatoire</t>
        </is>
      </c>
      <c r="O1345" s="236" t="inlineStr">
        <is>
          <t>Mandatory</t>
        </is>
      </c>
      <c r="P1345" s="269" t="inlineStr">
        <is>
          <t>LC.0169</t>
        </is>
      </c>
      <c r="Q1345" s="269" t="inlineStr">
        <is>
          <t>TA KVELIGIB</t>
        </is>
      </c>
      <c r="R1345" s="241" t="inlineStr">
        <is>
          <t>Quelle que soit la méthodologie Bâle, l'indicateur Eligibilité de la sûreté est obligatoire</t>
        </is>
      </c>
      <c r="S1345" s="309" t="inlineStr">
        <is>
          <t>Regardless of the Basel methodology, the Eligibility of the security interest indicator is mandatory</t>
        </is>
      </c>
      <c r="T1345" s="313" t="inlineStr">
        <is>
          <t>ALPHA</t>
        </is>
      </c>
      <c r="U1345" s="237" t="inlineStr">
        <is>
          <t>NA</t>
        </is>
      </c>
      <c r="V1345" s="238" t="inlineStr">
        <is>
          <t>NA</t>
        </is>
      </c>
      <c r="W1345" s="257" t="n">
        <v>1</v>
      </c>
      <c r="X1345" s="945" t="inlineStr">
        <is>
          <t>NA</t>
        </is>
      </c>
      <c r="Y1345" s="237" t="n">
        <v>40</v>
      </c>
      <c r="Z1345" s="237" t="inlineStr">
        <is>
          <t>NA</t>
        </is>
      </c>
      <c r="AA1345" s="978" t="inlineStr">
        <is>
          <t>NA</t>
        </is>
      </c>
      <c r="AB1345" s="994" t="inlineStr">
        <is>
          <t>ASTRE, LOAN TAPE, NPE</t>
        </is>
      </c>
      <c r="AC1345" s="231" t="inlineStr">
        <is>
          <t>ND</t>
        </is>
      </c>
      <c r="AD1345" s="257" t="inlineStr">
        <is>
          <t>N</t>
        </is>
      </c>
      <c r="AE1345" s="257" t="inlineStr">
        <is>
          <t>SEC-CAS-COL
IAS
GUA-CDE
INS
REE-TAS</t>
        </is>
      </c>
      <c r="AF1345" s="257" t="inlineStr">
        <is>
          <t>NA</t>
        </is>
      </c>
      <c r="AG1345" s="258" t="inlineStr">
        <is>
          <t>NA</t>
        </is>
      </c>
      <c r="AH1345" s="89" t="n"/>
      <c r="AI1345" s="316" t="inlineStr">
        <is>
          <t>La donnée est obligatoire</t>
        </is>
      </c>
      <c r="AJ1345" s="317" t="inlineStr">
        <is>
          <t>The data is mandatory</t>
        </is>
      </c>
      <c r="AK1345" s="257" t="n">
        <v>7</v>
      </c>
      <c r="AL1345" s="335" t="inlineStr">
        <is>
          <t>TPG0001</t>
        </is>
      </c>
      <c r="AM1345" s="318" t="inlineStr">
        <is>
          <t>Si elle est renseignée, la valeur doit être connue du Langage Commun associé</t>
        </is>
      </c>
      <c r="AN1345" s="317" t="inlineStr">
        <is>
          <t>If specified, the value must be known to the associated Common Language</t>
        </is>
      </c>
      <c r="AO1345" s="257" t="n">
        <v>7</v>
      </c>
      <c r="AP1345" s="258" t="inlineStr">
        <is>
          <t>TIG0001</t>
        </is>
      </c>
      <c r="AQ1345" s="318" t="n"/>
      <c r="AR1345" s="317" t="n"/>
      <c r="AS1345" s="257" t="n"/>
      <c r="AT1345" s="258" t="n"/>
      <c r="AU1345" s="318" t="n"/>
      <c r="AV1345" s="317" t="n"/>
      <c r="AW1345" s="257" t="n"/>
      <c r="AX1345" s="258" t="n"/>
      <c r="AY1345" s="318" t="n"/>
      <c r="AZ1345" s="317" t="n"/>
      <c r="BA1345" s="257" t="n"/>
      <c r="BB1345" s="258" t="n"/>
      <c r="BC1345" s="316" t="n"/>
      <c r="BD1345" s="317" t="n"/>
      <c r="BE1345" s="257" t="n"/>
      <c r="BF1345" s="258" t="n"/>
      <c r="BG1345" s="89" t="n"/>
      <c r="BH13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45">
        <f>_xlfn.LET(r,ROW(),oc,INDEX($A:$A,r),cv,TRIM(INDEX($Y:$Y,r)&amp;""),IF(oc&lt;&gt;"P1","",IF(cv="45","V45 - novo, nao alimentado pelo spool atual","V44 - alimentado pelo spool atual")))</f>
        <v/>
      </c>
    </row>
    <row r="1346" ht="54" customFormat="1" customHeight="1" s="90">
      <c r="A1346" s="306" t="inlineStr">
        <is>
          <t>M1</t>
        </is>
      </c>
      <c r="B1346" s="307" t="n">
        <v>51</v>
      </c>
      <c r="C1346" s="269" t="inlineStr">
        <is>
          <t>15 - Caractéristiques Sureté</t>
        </is>
      </c>
      <c r="D1346" s="310" t="inlineStr">
        <is>
          <t>15 - Safety characteristics</t>
        </is>
      </c>
      <c r="E1346" s="307" t="inlineStr">
        <is>
          <t>M1 7.6</t>
        </is>
      </c>
      <c r="F1346" s="308" t="inlineStr">
        <is>
          <t xml:space="preserve">Pays de recours de la sûreté </t>
        </is>
      </c>
      <c r="G1346" s="309" t="inlineStr">
        <is>
          <t>Country of governing law of the mitigant</t>
        </is>
      </c>
      <c r="H1346" s="309" t="n"/>
      <c r="I1346" s="241" t="inlineStr">
        <is>
          <t>Code ISO correspondant au pays de droit du contrat de la sûreté lorsque celle-ci est activée</t>
        </is>
      </c>
      <c r="J1346" s="309" t="inlineStr">
        <is>
          <t>ISO code of the jurisdiction governing the contractual aspects of the mitigant when it is called in</t>
        </is>
      </c>
      <c r="K1346" s="370" t="inlineStr">
        <is>
          <t>ND</t>
        </is>
      </c>
      <c r="L1346" s="371" t="inlineStr">
        <is>
          <t>ND</t>
        </is>
      </c>
      <c r="M1346" s="1420" t="inlineStr">
        <is>
          <t>cdPayRec</t>
        </is>
      </c>
      <c r="N1346" s="231" t="inlineStr">
        <is>
          <t>Obligatoire</t>
        </is>
      </c>
      <c r="O1346" s="236" t="inlineStr">
        <is>
          <t>Mandatory</t>
        </is>
      </c>
      <c r="P1346" s="269" t="inlineStr">
        <is>
          <t>LC.0004
LC.0273</t>
        </is>
      </c>
      <c r="Q1346" s="269" t="inlineStr">
        <is>
          <t>TA NM252 (pour la partie ISO 3166)
TA NM258 (organisation supra nationales)</t>
        </is>
      </c>
      <c r="R1346" s="241" t="inlineStr">
        <is>
          <t>NA</t>
        </is>
      </c>
      <c r="S1346" s="309" t="inlineStr">
        <is>
          <t>NA</t>
        </is>
      </c>
      <c r="T1346" s="313" t="inlineStr">
        <is>
          <t>ALPHA</t>
        </is>
      </c>
      <c r="U1346" s="237" t="inlineStr">
        <is>
          <t>NA</t>
        </is>
      </c>
      <c r="V1346" s="238" t="inlineStr">
        <is>
          <t>NA</t>
        </is>
      </c>
      <c r="W1346" s="257" t="n">
        <v>2</v>
      </c>
      <c r="X1346" s="945" t="inlineStr">
        <is>
          <t>NA</t>
        </is>
      </c>
      <c r="Y1346" s="237" t="n">
        <v>40</v>
      </c>
      <c r="Z1346" s="237" t="inlineStr">
        <is>
          <t>NA</t>
        </is>
      </c>
      <c r="AA1346" s="270" t="inlineStr">
        <is>
          <t>NA</t>
        </is>
      </c>
      <c r="AB1346" s="994" t="inlineStr">
        <is>
          <t>CALCULS PRUDENTIELS, DEI</t>
        </is>
      </c>
      <c r="AC1346" s="231" t="inlineStr">
        <is>
          <t>ND</t>
        </is>
      </c>
      <c r="AD1346" s="257" t="inlineStr">
        <is>
          <t>N</t>
        </is>
      </c>
      <c r="AE1346" s="257" t="inlineStr">
        <is>
          <t>SEC-CAS-COL
IAS
GUA-CDE
INS
REE-TAS</t>
        </is>
      </c>
      <c r="AF1346" s="257" t="inlineStr">
        <is>
          <t>NA</t>
        </is>
      </c>
      <c r="AG1346" s="258" t="inlineStr">
        <is>
          <t>NA</t>
        </is>
      </c>
      <c r="AH1346" s="89" t="n"/>
      <c r="AI1346" s="316" t="inlineStr">
        <is>
          <t>La donnée est obligatoire</t>
        </is>
      </c>
      <c r="AJ1346" s="317" t="inlineStr">
        <is>
          <t>The data is mandatory</t>
        </is>
      </c>
      <c r="AK1346" s="257" t="n">
        <v>7</v>
      </c>
      <c r="AL1346" s="335" t="inlineStr">
        <is>
          <t>TPG0001</t>
        </is>
      </c>
      <c r="AM1346" s="318" t="inlineStr">
        <is>
          <t>Si elle est renseignée, la valeur doit être connue du Langage Commun associé</t>
        </is>
      </c>
      <c r="AN1346" s="317" t="inlineStr">
        <is>
          <t>If specified, the value must be known to the associated Common Language</t>
        </is>
      </c>
      <c r="AO1346" s="257" t="n">
        <v>7</v>
      </c>
      <c r="AP1346" s="258" t="inlineStr">
        <is>
          <t>TIG0001</t>
        </is>
      </c>
      <c r="AQ1346" s="318" t="n"/>
      <c r="AR1346" s="317" t="n"/>
      <c r="AS1346" s="257" t="n"/>
      <c r="AT1346" s="258" t="n"/>
      <c r="AU1346" s="318" t="n"/>
      <c r="AV1346" s="317" t="n"/>
      <c r="AW1346" s="257" t="n"/>
      <c r="AX1346" s="258" t="n"/>
      <c r="AY1346" s="318" t="n"/>
      <c r="AZ1346" s="317" t="n"/>
      <c r="BA1346" s="257" t="n"/>
      <c r="BB1346" s="258" t="n"/>
      <c r="BC1346" s="316" t="n"/>
      <c r="BD1346" s="317" t="n"/>
      <c r="BE1346" s="257" t="n"/>
      <c r="BF1346" s="258" t="n"/>
      <c r="BG1346" s="89" t="n"/>
      <c r="BH13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46">
        <f>_xlfn.LET(r,ROW(),oc,INDEX($A:$A,r),cv,TRIM(INDEX($Y:$Y,r)&amp;""),IF(oc&lt;&gt;"P1","",IF(cv="45","V45 - novo, nao alimentado pelo spool atual","V44 - alimentado pelo spool atual")))</f>
        <v/>
      </c>
    </row>
    <row r="1347" ht="54" customFormat="1" customHeight="1" s="90">
      <c r="A1347" s="306" t="inlineStr">
        <is>
          <t>M1</t>
        </is>
      </c>
      <c r="B1347" s="307" t="n">
        <v>52</v>
      </c>
      <c r="C1347" s="269" t="inlineStr">
        <is>
          <t>15 - Caractéristiques Sureté</t>
        </is>
      </c>
      <c r="D1347" s="310" t="inlineStr">
        <is>
          <t>15 - Safety characteristics</t>
        </is>
      </c>
      <c r="E1347" s="307" t="inlineStr">
        <is>
          <t>M1 7.7</t>
        </is>
      </c>
      <c r="F1347" s="308" t="inlineStr">
        <is>
          <t>Rang de la sûreté</t>
        </is>
      </c>
      <c r="G1347" s="309" t="inlineStr">
        <is>
          <t>Ranking of the mitigant</t>
        </is>
      </c>
      <c r="H1347" s="309" t="n"/>
      <c r="I1347" s="241" t="inlineStr">
        <is>
          <t>Le rang permet de connaître la position de l'entité vis à vis de la garantie.
En cas de mise en jeu de la sûreté, il précise l'ordre de distribution du prix de cession sur les créanciers lorsqu'ils sont plusieurs.
Cet ordre est déterminé en fonction de la date d'inscription de la sûreté. (1er inscrit =&gt; rang 1).
Si la banque est seul créancier, le rang est égal à 1</t>
        </is>
      </c>
      <c r="J1347" s="233" t="inlineStr">
        <is>
          <t>The ranking makes it possible to position the entity vis-à-vis the mitigant.
In the event that the mitigant is called in, it specifies the order in which the sales proceeds will be paid out to creditors where there is more than one.
This order is determined on the basis of the date on which mitigants are recorded. (1st entry =&gt; 1st ranking).
Where the bank is the only creditor, the rank is 1</t>
        </is>
      </c>
      <c r="K1347" s="269" t="inlineStr">
        <is>
          <t>ND</t>
        </is>
      </c>
      <c r="L1347" s="310" t="inlineStr">
        <is>
          <t>ND</t>
        </is>
      </c>
      <c r="M1347" s="1420" t="inlineStr">
        <is>
          <t>cdRgSur</t>
        </is>
      </c>
      <c r="N1347" s="231" t="inlineStr">
        <is>
          <t>Obligatoire</t>
        </is>
      </c>
      <c r="O1347" s="236" t="inlineStr">
        <is>
          <t>Mandatory</t>
        </is>
      </c>
      <c r="P1347" s="269" t="inlineStr">
        <is>
          <t>LC.0051</t>
        </is>
      </c>
      <c r="Q1347" s="269" t="inlineStr">
        <is>
          <t>TA KVRANG</t>
        </is>
      </c>
      <c r="R1347" s="241" t="inlineStr">
        <is>
          <t>La valeur par défaut = ‘1'</t>
        </is>
      </c>
      <c r="S1347" s="233" t="inlineStr">
        <is>
          <t>The default value = ‘1'</t>
        </is>
      </c>
      <c r="T1347" s="313" t="inlineStr">
        <is>
          <t>ALPHA</t>
        </is>
      </c>
      <c r="U1347" s="237" t="inlineStr">
        <is>
          <t>NA</t>
        </is>
      </c>
      <c r="V1347" s="238" t="inlineStr">
        <is>
          <t>NA</t>
        </is>
      </c>
      <c r="W1347" s="257" t="n">
        <v>1</v>
      </c>
      <c r="X1347" s="945" t="inlineStr">
        <is>
          <t>NA</t>
        </is>
      </c>
      <c r="Y1347" s="237" t="n">
        <v>40</v>
      </c>
      <c r="Z1347" s="237" t="inlineStr">
        <is>
          <t>NA</t>
        </is>
      </c>
      <c r="AA1347" s="978" t="inlineStr">
        <is>
          <t>NA</t>
        </is>
      </c>
      <c r="AB1347" s="994" t="inlineStr">
        <is>
          <t>ANACREDIT, DEI, LOAN TAPE, SRB VALUATION</t>
        </is>
      </c>
      <c r="AC1347" s="231" t="inlineStr">
        <is>
          <t>ND</t>
        </is>
      </c>
      <c r="AD1347" s="257" t="inlineStr">
        <is>
          <t>N</t>
        </is>
      </c>
      <c r="AE1347" s="257" t="inlineStr">
        <is>
          <t>SEC-CAS-COL
IAS
GUA-CDE
INS
REE-TAS</t>
        </is>
      </c>
      <c r="AF1347" s="257" t="inlineStr">
        <is>
          <t>NA</t>
        </is>
      </c>
      <c r="AG1347" s="258" t="inlineStr">
        <is>
          <t>NA</t>
        </is>
      </c>
      <c r="AH1347" s="89" t="n"/>
      <c r="AI1347" s="572" t="inlineStr">
        <is>
          <t>La donnée est obligatoire</t>
        </is>
      </c>
      <c r="AJ1347" s="317" t="inlineStr">
        <is>
          <t>The data is mandatory</t>
        </is>
      </c>
      <c r="AK1347" s="257" t="n">
        <v>6</v>
      </c>
      <c r="AL1347" s="335" t="inlineStr">
        <is>
          <t>TPG0001</t>
        </is>
      </c>
      <c r="AM1347" s="318" t="inlineStr">
        <is>
          <t>Si elle est renseignée, la valeur doit être connue du Langage Commun associé</t>
        </is>
      </c>
      <c r="AN1347" s="317" t="inlineStr">
        <is>
          <t>If specified, the value must be known to the associated Common Language</t>
        </is>
      </c>
      <c r="AO1347" s="257" t="n">
        <v>7</v>
      </c>
      <c r="AP1347" s="258" t="inlineStr">
        <is>
          <t>TIG0001</t>
        </is>
      </c>
      <c r="AQ1347" s="318" t="n"/>
      <c r="AR1347" s="317" t="n"/>
      <c r="AS1347" s="257" t="n"/>
      <c r="AT1347" s="258" t="n"/>
      <c r="AU1347" s="318" t="n"/>
      <c r="AV1347" s="317" t="n"/>
      <c r="AW1347" s="257" t="n"/>
      <c r="AX1347" s="258" t="n"/>
      <c r="AY1347" s="318" t="n"/>
      <c r="AZ1347" s="317" t="n"/>
      <c r="BA1347" s="257" t="n"/>
      <c r="BB1347" s="258" t="n"/>
      <c r="BC1347" s="316" t="n"/>
      <c r="BD1347" s="317" t="n"/>
      <c r="BE1347" s="257" t="n"/>
      <c r="BF1347" s="258" t="n"/>
      <c r="BG1347" s="89" t="n"/>
      <c r="BH13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47">
        <f>_xlfn.LET(r,ROW(),oc,INDEX($A:$A,r),cv,TRIM(INDEX($Y:$Y,r)&amp;""),IF(oc&lt;&gt;"P1","",IF(cv="45","V45 - novo, nao alimentado pelo spool atual","V44 - alimentado pelo spool atual")))</f>
        <v/>
      </c>
    </row>
    <row r="1348" ht="54" customFormat="1" customHeight="1" s="90">
      <c r="A1348" s="306" t="inlineStr">
        <is>
          <t>M1</t>
        </is>
      </c>
      <c r="B1348" s="307" t="n">
        <v>53</v>
      </c>
      <c r="C1348" s="269" t="inlineStr">
        <is>
          <t>15 - Caractéristiques Sureté</t>
        </is>
      </c>
      <c r="D1348" s="310" t="inlineStr">
        <is>
          <t>15 - Safety characteristics</t>
        </is>
      </c>
      <c r="E1348" s="307" t="inlineStr">
        <is>
          <t>M1 7.8</t>
        </is>
      </c>
      <c r="F1348" s="308" t="inlineStr">
        <is>
          <t>Sortie du risque pays</t>
        </is>
      </c>
      <c r="G1348" s="309" t="inlineStr">
        <is>
          <t>Reduction of country risk</t>
        </is>
      </c>
      <c r="H1348" s="309" t="n"/>
      <c r="I1348" s="241" t="inlineStr">
        <is>
          <t>Correspond au niveau de risque auquel le "risque pays" est déplacé du fait de la mise en place de la garantie (garant d'un pays autre que l'emprunteur)</t>
        </is>
      </c>
      <c r="J1348" s="309" t="inlineStr">
        <is>
          <t>Represents the extent to which the “country risk” is attenuated by virtue of the establishment of the mitigant (country guarantor other than the borrower)</t>
        </is>
      </c>
      <c r="K1348" s="370" t="inlineStr">
        <is>
          <t>ND</t>
        </is>
      </c>
      <c r="L1348" s="371" t="inlineStr">
        <is>
          <t>ND</t>
        </is>
      </c>
      <c r="M1348" s="1420" t="inlineStr">
        <is>
          <t>cdSortieRisqPays</t>
        </is>
      </c>
      <c r="N1348" s="231" t="inlineStr">
        <is>
          <t>Facultatif</t>
        </is>
      </c>
      <c r="O1348" s="236" t="inlineStr">
        <is>
          <t>Optional</t>
        </is>
      </c>
      <c r="P1348" s="269" t="inlineStr">
        <is>
          <t>LC.0052</t>
        </is>
      </c>
      <c r="Q1348" s="269" t="inlineStr">
        <is>
          <t>TA KVSORTIE</t>
        </is>
      </c>
      <c r="R1348" s="241" t="inlineStr">
        <is>
          <t>La valeur par défaut = ‘0'</t>
        </is>
      </c>
      <c r="S1348" s="309" t="inlineStr">
        <is>
          <t>The default value = ‘0'</t>
        </is>
      </c>
      <c r="T1348" s="313" t="inlineStr">
        <is>
          <t>ALPHA</t>
        </is>
      </c>
      <c r="U1348" s="237" t="inlineStr">
        <is>
          <t>NA</t>
        </is>
      </c>
      <c r="V1348" s="238" t="inlineStr">
        <is>
          <t>NA</t>
        </is>
      </c>
      <c r="W1348" s="257" t="n">
        <v>1</v>
      </c>
      <c r="X1348" s="945" t="inlineStr">
        <is>
          <t>NA</t>
        </is>
      </c>
      <c r="Y1348" s="237" t="n">
        <v>40</v>
      </c>
      <c r="Z1348" s="237" t="inlineStr">
        <is>
          <t>NA</t>
        </is>
      </c>
      <c r="AA1348" s="270" t="inlineStr">
        <is>
          <t>NA</t>
        </is>
      </c>
      <c r="AB1348" s="1287" t="inlineStr">
        <is>
          <t>USAGE ZP</t>
        </is>
      </c>
      <c r="AC1348" s="231" t="inlineStr">
        <is>
          <t>ND</t>
        </is>
      </c>
      <c r="AD1348" s="257" t="inlineStr">
        <is>
          <t>N</t>
        </is>
      </c>
      <c r="AE1348" s="257" t="inlineStr">
        <is>
          <t>SEC-CAS-COL
IAS
GUA-CDE
INS
REE-TAS</t>
        </is>
      </c>
      <c r="AF1348" s="257" t="inlineStr">
        <is>
          <t>NA</t>
        </is>
      </c>
      <c r="AG1348" s="258" t="inlineStr">
        <is>
          <t>NA</t>
        </is>
      </c>
      <c r="AH1348" s="89" t="n"/>
      <c r="AI1348" s="316" t="n"/>
      <c r="AJ1348" s="317" t="n"/>
      <c r="AK1348" s="257" t="n"/>
      <c r="AL1348" s="258" t="n"/>
      <c r="AM1348" s="318" t="inlineStr">
        <is>
          <t>Si elle est renseignée, la valeur doit être connue du Langage Commun associé</t>
        </is>
      </c>
      <c r="AN1348" s="317" t="inlineStr">
        <is>
          <t>If specified, the value must be known to the associated Common Language</t>
        </is>
      </c>
      <c r="AO1348" s="257" t="n">
        <v>7</v>
      </c>
      <c r="AP1348" s="258" t="inlineStr">
        <is>
          <t>TIG0001</t>
        </is>
      </c>
      <c r="AQ1348" s="318" t="n"/>
      <c r="AR1348" s="317" t="n"/>
      <c r="AS1348" s="257" t="n"/>
      <c r="AT1348" s="258" t="n"/>
      <c r="AU1348" s="318" t="n"/>
      <c r="AV1348" s="317" t="n"/>
      <c r="AW1348" s="257" t="n"/>
      <c r="AX1348" s="258" t="n"/>
      <c r="AY1348" s="318" t="n"/>
      <c r="AZ1348" s="317" t="n"/>
      <c r="BA1348" s="257" t="n"/>
      <c r="BB1348" s="258" t="n"/>
      <c r="BC1348" s="316" t="n"/>
      <c r="BD1348" s="317" t="n"/>
      <c r="BE1348" s="257" t="n"/>
      <c r="BF1348" s="258" t="n"/>
      <c r="BG1348" s="89" t="n"/>
      <c r="BH13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48">
        <f>_xlfn.LET(r,ROW(),oc,INDEX($A:$A,r),cv,TRIM(INDEX($Y:$Y,r)&amp;""),IF(oc&lt;&gt;"P1","",IF(cv="45","V45 - novo, nao alimentado pelo spool atual","V44 - alimentado pelo spool atual")))</f>
        <v/>
      </c>
    </row>
    <row r="1349" ht="54" customFormat="1" customHeight="1" s="90">
      <c r="A1349" s="306" t="inlineStr">
        <is>
          <t>M1</t>
        </is>
      </c>
      <c r="B1349" s="307" t="n">
        <v>54</v>
      </c>
      <c r="C1349" s="269" t="inlineStr">
        <is>
          <t>15 - Caractéristiques Sureté</t>
        </is>
      </c>
      <c r="D1349" s="310" t="inlineStr">
        <is>
          <t>15 - Safety characteristics</t>
        </is>
      </c>
      <c r="E1349" s="307" t="inlineStr">
        <is>
          <t>M1 7.9</t>
        </is>
      </c>
      <c r="F1349" s="308" t="inlineStr">
        <is>
          <t>Méthodologie de valorisation</t>
        </is>
      </c>
      <c r="G1349" s="309" t="inlineStr">
        <is>
          <t>Valuation methodology</t>
        </is>
      </c>
      <c r="H1349" s="309" t="n"/>
      <c r="I1349" s="241" t="inlineStr">
        <is>
          <t>Cette donnée permet de connaître la méthodologie appliquée pour valoriser le montant (ou pourcentage) de la sûreté reçue</t>
        </is>
      </c>
      <c r="J1349" s="309" t="inlineStr">
        <is>
          <t>This data makes it possible to identify the methodology applied to value the amount (or percentage) of the mitigant received</t>
        </is>
      </c>
      <c r="K1349" s="370" t="inlineStr">
        <is>
          <t>ND</t>
        </is>
      </c>
      <c r="L1349" s="371" t="inlineStr">
        <is>
          <t>ND</t>
        </is>
      </c>
      <c r="M1349" s="1420" t="inlineStr">
        <is>
          <t>cdMetValo</t>
        </is>
      </c>
      <c r="N1349" s="231" t="inlineStr">
        <is>
          <t>Facultatif</t>
        </is>
      </c>
      <c r="O1349" s="236" t="inlineStr">
        <is>
          <t>Optional</t>
        </is>
      </c>
      <c r="P1349" s="269" t="inlineStr">
        <is>
          <t>LC.0061</t>
        </is>
      </c>
      <c r="Q1349" s="269" t="inlineStr">
        <is>
          <t>TA KVBALE2</t>
        </is>
      </c>
      <c r="R1349" s="241" t="inlineStr">
        <is>
          <t>NA</t>
        </is>
      </c>
      <c r="S1349" s="309" t="inlineStr">
        <is>
          <t>NA</t>
        </is>
      </c>
      <c r="T1349" s="313" t="inlineStr">
        <is>
          <t>ALPHA</t>
        </is>
      </c>
      <c r="U1349" s="237" t="inlineStr">
        <is>
          <t>NA</t>
        </is>
      </c>
      <c r="V1349" s="238" t="inlineStr">
        <is>
          <t>NA</t>
        </is>
      </c>
      <c r="W1349" s="257" t="n">
        <v>1</v>
      </c>
      <c r="X1349" s="945" t="inlineStr">
        <is>
          <t>NA</t>
        </is>
      </c>
      <c r="Y1349" s="237" t="n">
        <v>40</v>
      </c>
      <c r="Z1349" s="237" t="inlineStr">
        <is>
          <t>NA</t>
        </is>
      </c>
      <c r="AA1349" s="270" t="inlineStr">
        <is>
          <t>NA</t>
        </is>
      </c>
      <c r="AB1349" s="1287" t="inlineStr">
        <is>
          <t>USAGE ZP</t>
        </is>
      </c>
      <c r="AC1349" s="231" t="inlineStr">
        <is>
          <t>ND</t>
        </is>
      </c>
      <c r="AD1349" s="257" t="inlineStr">
        <is>
          <t>N</t>
        </is>
      </c>
      <c r="AE1349" s="257" t="inlineStr">
        <is>
          <t>SEC-CAS-COL
IAS
GUA-CDE
INS
REE-TAS</t>
        </is>
      </c>
      <c r="AF1349" s="257" t="inlineStr">
        <is>
          <t>NA</t>
        </is>
      </c>
      <c r="AG1349" s="258" t="inlineStr">
        <is>
          <t>NA</t>
        </is>
      </c>
      <c r="AH1349" s="89" t="n"/>
      <c r="AI1349" s="316" t="n"/>
      <c r="AJ1349" s="317" t="n"/>
      <c r="AK1349" s="257" t="n"/>
      <c r="AL1349" s="258" t="n"/>
      <c r="AM1349" s="318" t="inlineStr">
        <is>
          <t>Si elle est renseignée, la valeur doit être connue du Langage Commun associé</t>
        </is>
      </c>
      <c r="AN1349" s="317" t="inlineStr">
        <is>
          <t>If specified, the value must be known to the associated Common Language</t>
        </is>
      </c>
      <c r="AO1349" s="257" t="n">
        <v>7</v>
      </c>
      <c r="AP1349" s="258" t="inlineStr">
        <is>
          <t>TIG0001</t>
        </is>
      </c>
      <c r="AQ1349" s="318" t="n"/>
      <c r="AR1349" s="317" t="n"/>
      <c r="AS1349" s="257" t="n"/>
      <c r="AT1349" s="258" t="n"/>
      <c r="AU1349" s="318" t="n"/>
      <c r="AV1349" s="317" t="n"/>
      <c r="AW1349" s="257" t="n"/>
      <c r="AX1349" s="258" t="n"/>
      <c r="AY1349" s="318" t="n"/>
      <c r="AZ1349" s="317" t="n"/>
      <c r="BA1349" s="257" t="n"/>
      <c r="BB1349" s="258" t="n"/>
      <c r="BC1349" s="316" t="n"/>
      <c r="BD1349" s="317" t="n"/>
      <c r="BE1349" s="257" t="n"/>
      <c r="BF1349" s="258" t="n"/>
      <c r="BG1349" s="89" t="n"/>
      <c r="BH13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49">
        <f>_xlfn.LET(r,ROW(),oc,INDEX($A:$A,r),cv,TRIM(INDEX($Y:$Y,r)&amp;""),IF(oc&lt;&gt;"P1","",IF(cv="45","V45 - novo, nao alimentado pelo spool atual","V44 - alimentado pelo spool atual")))</f>
        <v/>
      </c>
    </row>
    <row r="1350" ht="54" customFormat="1" customHeight="1" s="90">
      <c r="A1350" s="306" t="inlineStr">
        <is>
          <t>M1</t>
        </is>
      </c>
      <c r="B1350" s="307" t="n">
        <v>55</v>
      </c>
      <c r="C1350" s="269" t="inlineStr">
        <is>
          <t>15 - Caractéristiques Sureté</t>
        </is>
      </c>
      <c r="D1350" s="310" t="inlineStr">
        <is>
          <t>15 - Safety characteristics</t>
        </is>
      </c>
      <c r="E1350" s="307" t="inlineStr">
        <is>
          <t>M1 8.26</t>
        </is>
      </c>
      <c r="F1350" s="308" t="inlineStr">
        <is>
          <t>Périodicité de revalorisation de la sûreté</t>
        </is>
      </c>
      <c r="G1350" s="309" t="inlineStr">
        <is>
          <t>Periodicity of revaluation of mitigant</t>
        </is>
      </c>
      <c r="H1350" s="309" t="n"/>
      <c r="I1350" s="241" t="inlineStr">
        <is>
          <t>Correspond au nombre de jours définissant la périodicité avec laquelle la valeur de la sûreté est ré estimée.</t>
        </is>
      </c>
      <c r="J1350" s="309" t="inlineStr">
        <is>
          <t>Represents the number of days specifying the periodicity with which the value of the mitigant is re-estimated.</t>
        </is>
      </c>
      <c r="K1350" s="370" t="inlineStr">
        <is>
          <t>ND</t>
        </is>
      </c>
      <c r="L1350" s="371" t="inlineStr">
        <is>
          <t>ND</t>
        </is>
      </c>
      <c r="M1350" s="1420" t="inlineStr">
        <is>
          <t>prdRevSur</t>
        </is>
      </c>
      <c r="N1350" s="231" t="inlineStr">
        <is>
          <t>Obligatoire</t>
        </is>
      </c>
      <c r="O1350" s="236" t="inlineStr">
        <is>
          <t>Mandatory</t>
        </is>
      </c>
      <c r="P1350" s="269" t="inlineStr">
        <is>
          <t>NA</t>
        </is>
      </c>
      <c r="Q1350" s="269" t="inlineStr">
        <is>
          <t>NA</t>
        </is>
      </c>
      <c r="R1350" s="241" t="inlineStr">
        <is>
          <t>NA</t>
        </is>
      </c>
      <c r="S1350" s="309" t="inlineStr">
        <is>
          <t>NA</t>
        </is>
      </c>
      <c r="T1350" s="313" t="inlineStr">
        <is>
          <t>NUM</t>
        </is>
      </c>
      <c r="U1350" s="237" t="inlineStr">
        <is>
          <t>NA</t>
        </is>
      </c>
      <c r="V1350" s="238" t="inlineStr">
        <is>
          <t>NA</t>
        </is>
      </c>
      <c r="W1350" s="257" t="n">
        <v>5</v>
      </c>
      <c r="X1350" s="945" t="inlineStr">
        <is>
          <t>NA</t>
        </is>
      </c>
      <c r="Y1350" s="237" t="n">
        <v>40</v>
      </c>
      <c r="Z1350" s="237" t="inlineStr">
        <is>
          <t>NA</t>
        </is>
      </c>
      <c r="AA1350" s="270" t="inlineStr">
        <is>
          <t>NA</t>
        </is>
      </c>
      <c r="AB1350" s="994" t="inlineStr">
        <is>
          <t>GRR, SA-CCR</t>
        </is>
      </c>
      <c r="AC1350" s="231" t="inlineStr">
        <is>
          <t>ND</t>
        </is>
      </c>
      <c r="AD1350" s="257" t="inlineStr">
        <is>
          <t>N</t>
        </is>
      </c>
      <c r="AE1350" s="257" t="inlineStr">
        <is>
          <t>SEC-CAS-COL
IAS
GUA-CDE
INS
REE-TAS</t>
        </is>
      </c>
      <c r="AF1350" s="257" t="inlineStr">
        <is>
          <t>NA</t>
        </is>
      </c>
      <c r="AG1350" s="258" t="inlineStr">
        <is>
          <t>NA</t>
        </is>
      </c>
      <c r="AH1350" s="89" t="n"/>
      <c r="AI1350" s="316" t="inlineStr">
        <is>
          <t>La donnée est obligatoire</t>
        </is>
      </c>
      <c r="AJ1350" s="317" t="inlineStr">
        <is>
          <t>The data is mandatory</t>
        </is>
      </c>
      <c r="AK1350" s="257" t="n">
        <v>7</v>
      </c>
      <c r="AL1350" s="335" t="inlineStr">
        <is>
          <t>TPG0001</t>
        </is>
      </c>
      <c r="AM1350" s="318" t="n"/>
      <c r="AN1350" s="317" t="n"/>
      <c r="AO1350" s="257" t="n"/>
      <c r="AP1350" s="258" t="n"/>
      <c r="AQ1350" s="318" t="n"/>
      <c r="AR1350" s="317" t="n"/>
      <c r="AS1350" s="257" t="n"/>
      <c r="AT1350" s="258" t="n"/>
      <c r="AU1350" s="318" t="n"/>
      <c r="AV1350" s="317" t="n"/>
      <c r="AW1350" s="257" t="n"/>
      <c r="AX1350" s="258" t="n"/>
      <c r="AY1350" s="318" t="n"/>
      <c r="AZ1350" s="317" t="n"/>
      <c r="BA1350" s="257" t="n"/>
      <c r="BB1350" s="258" t="n"/>
      <c r="BC1350" s="316" t="n"/>
      <c r="BD1350" s="317" t="n"/>
      <c r="BE1350" s="257" t="n"/>
      <c r="BF1350" s="258" t="n"/>
      <c r="BG1350" s="89" t="n"/>
      <c r="BH13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50">
        <f>_xlfn.LET(r,ROW(),oc,INDEX($A:$A,r),cv,TRIM(INDEX($Y:$Y,r)&amp;""),IF(oc&lt;&gt;"P1","",IF(cv="45","V45 - novo, nao alimentado pelo spool atual","V44 - alimentado pelo spool atual")))</f>
        <v/>
      </c>
    </row>
    <row r="1351" ht="54" customFormat="1" customHeight="1" s="59">
      <c r="A1351" s="306" t="inlineStr">
        <is>
          <t>M1</t>
        </is>
      </c>
      <c r="B1351" s="307" t="n">
        <v>56</v>
      </c>
      <c r="C1351" s="269" t="inlineStr">
        <is>
          <t>15 - Caractéristiques Sureté</t>
        </is>
      </c>
      <c r="D1351" s="310" t="inlineStr">
        <is>
          <t>15 - Safety characteristics</t>
        </is>
      </c>
      <c r="E1351" s="372" t="inlineStr">
        <is>
          <t>M1 7.19</t>
        </is>
      </c>
      <c r="F1351" s="308" t="inlineStr">
        <is>
          <t>Evénement déclencheur de la garantie</t>
        </is>
      </c>
      <c r="G1351" s="309" t="inlineStr">
        <is>
          <t>Guarantee trigger event</t>
        </is>
      </c>
      <c r="H1351" s="309" t="n"/>
      <c r="I1351" s="241" t="inlineStr">
        <is>
          <t>Evénement susceptible de déclencher la mise en jeu de la garantie</t>
        </is>
      </c>
      <c r="J1351" s="309" t="inlineStr">
        <is>
          <t>Event likely to trigger the implementation of the guarantee</t>
        </is>
      </c>
      <c r="K1351" s="370" t="inlineStr">
        <is>
          <t>ND</t>
        </is>
      </c>
      <c r="L1351" s="371" t="inlineStr">
        <is>
          <t>ND</t>
        </is>
      </c>
      <c r="M1351" s="1420" t="inlineStr">
        <is>
          <t>cdEventDeclenGar</t>
        </is>
      </c>
      <c r="N1351" s="1406" t="inlineStr">
        <is>
          <t>Facultatif</t>
        </is>
      </c>
      <c r="O1351" s="987" t="inlineStr">
        <is>
          <t>Optional</t>
        </is>
      </c>
      <c r="P1351" s="269" t="inlineStr">
        <is>
          <t>LC.0295</t>
        </is>
      </c>
      <c r="Q1351" s="269" t="inlineStr">
        <is>
          <t>TA KVEVDEGA</t>
        </is>
      </c>
      <c r="R1351" s="242" t="inlineStr">
        <is>
          <t>NA</t>
        </is>
      </c>
      <c r="S1351" s="233" t="inlineStr">
        <is>
          <t>NA</t>
        </is>
      </c>
      <c r="T1351" s="313" t="inlineStr">
        <is>
          <t>ALPHA</t>
        </is>
      </c>
      <c r="U1351" s="237" t="inlineStr">
        <is>
          <t>NA</t>
        </is>
      </c>
      <c r="V1351" s="238" t="inlineStr">
        <is>
          <t>NA</t>
        </is>
      </c>
      <c r="W1351" s="257" t="n">
        <v>2</v>
      </c>
      <c r="X1351" s="945" t="inlineStr">
        <is>
          <t>NA</t>
        </is>
      </c>
      <c r="Y1351" s="237" t="n">
        <v>42</v>
      </c>
      <c r="Z1351" s="858" t="inlineStr">
        <is>
          <t>NA</t>
        </is>
      </c>
      <c r="AA1351" s="239" t="inlineStr">
        <is>
          <t>45.00</t>
        </is>
      </c>
      <c r="AB1351" s="269" t="inlineStr">
        <is>
          <t>CONGLOMERATS</t>
        </is>
      </c>
      <c r="AC1351" s="231" t="inlineStr">
        <is>
          <t>ND</t>
        </is>
      </c>
      <c r="AD1351" s="257" t="inlineStr">
        <is>
          <t>N</t>
        </is>
      </c>
      <c r="AE1351" s="257" t="inlineStr">
        <is>
          <t>SEC-CAS-COL
IAS
GUA-CDE
INS
REE-TAS</t>
        </is>
      </c>
      <c r="AF1351" s="257" t="inlineStr">
        <is>
          <t>NA</t>
        </is>
      </c>
      <c r="AG1351" s="258" t="inlineStr">
        <is>
          <t>NA</t>
        </is>
      </c>
      <c r="AH1351" s="89" t="n"/>
      <c r="AI1351" s="1039" t="n"/>
      <c r="AJ1351" s="931" t="n"/>
      <c r="AK1351" s="958" t="n"/>
      <c r="AL1351" s="1040" t="n"/>
      <c r="AM1351" s="452" t="inlineStr">
        <is>
          <t>Si elle est renseignée, la valeur doit être connue du Langage Commun associé</t>
        </is>
      </c>
      <c r="AN1351" s="377" t="inlineStr">
        <is>
          <t>If specified, the value must be known to the associated Common Language</t>
        </is>
      </c>
      <c r="AO1351" s="257" t="n">
        <v>7</v>
      </c>
      <c r="AP1351" s="258" t="inlineStr">
        <is>
          <t>TIG0001</t>
        </is>
      </c>
      <c r="AQ1351" s="331" t="n"/>
      <c r="AR1351" s="859" t="n"/>
      <c r="AS1351" s="284" t="n"/>
      <c r="AT1351" s="285" t="n"/>
      <c r="AU1351" s="331" t="n"/>
      <c r="AV1351" s="859" t="n"/>
      <c r="AW1351" s="284" t="n"/>
      <c r="AX1351" s="285" t="n"/>
      <c r="AY1351" s="331" t="n"/>
      <c r="AZ1351" s="859" t="n"/>
      <c r="BA1351" s="284" t="n"/>
      <c r="BB1351" s="258" t="n"/>
      <c r="BC1351" s="330" t="n"/>
      <c r="BD1351" s="859" t="n"/>
      <c r="BE1351" s="284" t="n"/>
      <c r="BF1351" s="258" t="n"/>
      <c r="BG1351" s="89" t="n"/>
      <c r="BH13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51">
        <f>_xlfn.LET(r,ROW(),oc,INDEX($A:$A,r),cv,TRIM(INDEX($Y:$Y,r)&amp;""),IF(oc&lt;&gt;"P1","",IF(cv="45","V45 - novo, nao alimentado pelo spool atual","V44 - alimentado pelo spool atual")))</f>
        <v/>
      </c>
    </row>
    <row r="1352" ht="54" customFormat="1" customHeight="1" s="55">
      <c r="A1352" s="325" t="inlineStr">
        <is>
          <t>M1</t>
        </is>
      </c>
      <c r="B1352" s="326" t="n">
        <v>57</v>
      </c>
      <c r="C1352" s="284" t="inlineStr">
        <is>
          <t xml:space="preserve">26 - Caractéristiques d'encombrement </t>
        </is>
      </c>
      <c r="D1352" s="284" t="inlineStr">
        <is>
          <t>26 - Encumbrance caracteristics</t>
        </is>
      </c>
      <c r="E1352" s="333" t="inlineStr">
        <is>
          <t>M1 7.20</t>
        </is>
      </c>
      <c r="F1352" s="327" t="inlineStr">
        <is>
          <t>Indicateur mobilisation de l'actif</t>
        </is>
      </c>
      <c r="G1352" s="327" t="inlineStr">
        <is>
          <t>Asset mobilisation indicator</t>
        </is>
      </c>
      <c r="H1352" s="327" t="n"/>
      <c r="I1352" s="245" t="inlineStr">
        <is>
          <t>Disponibilité de l'actif reçu en collatéral pour encombrement</t>
        </is>
      </c>
      <c r="J1352" s="327" t="inlineStr">
        <is>
          <t>Availability of assets received as collateral for encumbrance</t>
        </is>
      </c>
      <c r="K1352" s="388" t="inlineStr">
        <is>
          <t>NA</t>
        </is>
      </c>
      <c r="L1352" s="388" t="inlineStr">
        <is>
          <t>NA</t>
        </is>
      </c>
      <c r="M1352" s="1421" t="inlineStr">
        <is>
          <t>indMobAct</t>
        </is>
      </c>
      <c r="N1352" s="284" t="inlineStr">
        <is>
          <t>NA</t>
        </is>
      </c>
      <c r="O1352" s="244" t="inlineStr">
        <is>
          <t>NA</t>
        </is>
      </c>
      <c r="P1352" s="284" t="inlineStr">
        <is>
          <t>LC.0237</t>
        </is>
      </c>
      <c r="Q1352" s="284" t="inlineStr">
        <is>
          <t>TA KVIMA</t>
        </is>
      </c>
      <c r="R1352" s="245" t="inlineStr">
        <is>
          <t>NA</t>
        </is>
      </c>
      <c r="S1352" s="327" t="inlineStr">
        <is>
          <t>NA</t>
        </is>
      </c>
      <c r="T1352" s="326" t="inlineStr">
        <is>
          <t>ALPHA</t>
        </is>
      </c>
      <c r="U1352" s="248" t="inlineStr">
        <is>
          <t>NA</t>
        </is>
      </c>
      <c r="V1352" s="248" t="inlineStr">
        <is>
          <t>NA</t>
        </is>
      </c>
      <c r="W1352" s="284" t="n">
        <v>1</v>
      </c>
      <c r="X1352" s="244" t="inlineStr">
        <is>
          <t>NA</t>
        </is>
      </c>
      <c r="Y1352" s="248" t="n">
        <v>43</v>
      </c>
      <c r="Z1352" s="248" t="inlineStr">
        <is>
          <t>45</t>
        </is>
      </c>
      <c r="AA1352" s="249" t="inlineStr">
        <is>
          <t>45.00</t>
        </is>
      </c>
      <c r="AB1352" s="284" t="inlineStr">
        <is>
          <t>AER</t>
        </is>
      </c>
      <c r="AC1352" s="244" t="inlineStr">
        <is>
          <t>NA</t>
        </is>
      </c>
      <c r="AD1352" s="284" t="inlineStr">
        <is>
          <t>N</t>
        </is>
      </c>
      <c r="AE1352" s="284" t="inlineStr">
        <is>
          <t>SEC-CAS-COL
IAS
GUA-CDE
INS
REE-TAS</t>
        </is>
      </c>
      <c r="AF1352" s="284" t="inlineStr">
        <is>
          <t>NA</t>
        </is>
      </c>
      <c r="AG1352" s="285" t="inlineStr">
        <is>
          <t>NA</t>
        </is>
      </c>
      <c r="AH1352" s="1362" t="n"/>
      <c r="AI1352" s="330" t="n"/>
      <c r="AJ1352" s="331" t="n"/>
      <c r="AK1352" s="284" t="n"/>
      <c r="AL1352" s="285" t="n"/>
      <c r="AM1352" s="1005" t="n"/>
      <c r="AN1352" s="1005" t="n"/>
      <c r="AO1352" s="953" t="n"/>
      <c r="AP1352" s="954" t="n"/>
      <c r="AQ1352" s="331" t="n"/>
      <c r="AR1352" s="331" t="n"/>
      <c r="AS1352" s="284" t="n"/>
      <c r="AT1352" s="285" t="n"/>
      <c r="AU1352" s="331" t="n"/>
      <c r="AV1352" s="331" t="n"/>
      <c r="AW1352" s="284" t="n"/>
      <c r="AX1352" s="285" t="n"/>
      <c r="AY1352" s="331" t="n"/>
      <c r="AZ1352" s="331" t="n"/>
      <c r="BA1352" s="284" t="n"/>
      <c r="BB1352" s="285" t="n"/>
      <c r="BC1352" s="330" t="n"/>
      <c r="BD1352" s="331" t="n"/>
      <c r="BE1352" s="284" t="n"/>
      <c r="BF1352" s="285" t="n"/>
      <c r="BG1352" s="89" t="n"/>
      <c r="BH13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52">
        <f>_xlfn.LET(r,ROW(),oc,INDEX($A:$A,r),cv,TRIM(INDEX($Y:$Y,r)&amp;""),IF(oc&lt;&gt;"P1","",IF(cv="45","V45 - novo, nao alimentado pelo spool atual","V44 - alimentado pelo spool atual")))</f>
        <v/>
      </c>
    </row>
    <row r="1353" ht="54" customFormat="1" customHeight="1" s="55">
      <c r="A1353" s="325" t="inlineStr">
        <is>
          <t>M1</t>
        </is>
      </c>
      <c r="B1353" s="326" t="n">
        <v>58</v>
      </c>
      <c r="C1353" s="284" t="inlineStr">
        <is>
          <t>NA</t>
        </is>
      </c>
      <c r="D1353" s="284" t="inlineStr">
        <is>
          <t>NA</t>
        </is>
      </c>
      <c r="E1353" s="326" t="inlineStr">
        <is>
          <t>M1 7.98</t>
        </is>
      </c>
      <c r="F1353" s="327" t="inlineStr">
        <is>
          <t>Filler</t>
        </is>
      </c>
      <c r="G1353" s="327" t="inlineStr">
        <is>
          <t>Filler</t>
        </is>
      </c>
      <c r="H1353" s="327" t="n"/>
      <c r="I1353" s="247" t="inlineStr">
        <is>
          <t>Zone libre</t>
        </is>
      </c>
      <c r="J1353" s="327" t="inlineStr">
        <is>
          <t>Free zone</t>
        </is>
      </c>
      <c r="K1353" s="388" t="inlineStr">
        <is>
          <t>NA</t>
        </is>
      </c>
      <c r="L1353" s="388" t="inlineStr">
        <is>
          <t>NA</t>
        </is>
      </c>
      <c r="M1353" s="1421" t="inlineStr">
        <is>
          <t>dtEcheaTitre</t>
        </is>
      </c>
      <c r="N1353" s="284" t="inlineStr">
        <is>
          <t>NA</t>
        </is>
      </c>
      <c r="O1353" s="388" t="inlineStr">
        <is>
          <t>NA</t>
        </is>
      </c>
      <c r="P1353" s="284" t="inlineStr">
        <is>
          <t>NA</t>
        </is>
      </c>
      <c r="Q1353" s="284" t="inlineStr">
        <is>
          <t>NA</t>
        </is>
      </c>
      <c r="R1353" s="247" t="inlineStr">
        <is>
          <t>Laisser à vide</t>
        </is>
      </c>
      <c r="S1353" s="247" t="inlineStr">
        <is>
          <t>Leave empty</t>
        </is>
      </c>
      <c r="T1353" s="326" t="inlineStr">
        <is>
          <t>ALPHA</t>
        </is>
      </c>
      <c r="U1353" s="248" t="inlineStr">
        <is>
          <t>NA</t>
        </is>
      </c>
      <c r="V1353" s="248" t="inlineStr">
        <is>
          <t>NA</t>
        </is>
      </c>
      <c r="W1353" s="284" t="n">
        <v>17</v>
      </c>
      <c r="X1353" s="244" t="inlineStr">
        <is>
          <t>NA</t>
        </is>
      </c>
      <c r="Y1353" s="248" t="inlineStr">
        <is>
          <t>NA</t>
        </is>
      </c>
      <c r="Z1353" s="248" t="inlineStr">
        <is>
          <t>NA</t>
        </is>
      </c>
      <c r="AA1353" s="249" t="inlineStr">
        <is>
          <t>NA</t>
        </is>
      </c>
      <c r="AB1353" s="284" t="inlineStr">
        <is>
          <t>NA</t>
        </is>
      </c>
      <c r="AC1353" s="244" t="inlineStr">
        <is>
          <t>NA</t>
        </is>
      </c>
      <c r="AD1353" s="284" t="inlineStr">
        <is>
          <t>N</t>
        </is>
      </c>
      <c r="AE1353" s="284" t="inlineStr">
        <is>
          <t>NA</t>
        </is>
      </c>
      <c r="AF1353" s="284" t="inlineStr">
        <is>
          <t>NA</t>
        </is>
      </c>
      <c r="AG1353" s="285" t="inlineStr">
        <is>
          <t>NA</t>
        </is>
      </c>
      <c r="AH1353" s="89" t="n"/>
      <c r="AI1353" s="330" t="n"/>
      <c r="AJ1353" s="331" t="n"/>
      <c r="AK1353" s="284" t="n"/>
      <c r="AL1353" s="285" t="n"/>
      <c r="AM1353" s="331" t="n"/>
      <c r="AN1353" s="331" t="n"/>
      <c r="AO1353" s="284" t="n"/>
      <c r="AP1353" s="285" t="n"/>
      <c r="AQ1353" s="331" t="n"/>
      <c r="AR1353" s="331" t="n"/>
      <c r="AS1353" s="284" t="n"/>
      <c r="AT1353" s="285" t="n"/>
      <c r="AU1353" s="331" t="n"/>
      <c r="AV1353" s="331" t="n"/>
      <c r="AW1353" s="284" t="n"/>
      <c r="AX1353" s="285" t="n"/>
      <c r="AY1353" s="331" t="n"/>
      <c r="AZ1353" s="331" t="n"/>
      <c r="BA1353" s="284" t="n"/>
      <c r="BB1353" s="285" t="n"/>
      <c r="BC1353" s="330" t="n"/>
      <c r="BD1353" s="331" t="n"/>
      <c r="BE1353" s="284" t="n"/>
      <c r="BF1353" s="285" t="n"/>
      <c r="BG1353" s="89" t="n"/>
      <c r="BH13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53">
        <f>_xlfn.LET(r,ROW(),oc,INDEX($A:$A,r),cv,TRIM(INDEX($Y:$Y,r)&amp;""),IF(oc&lt;&gt;"P1","",IF(cv="45","V45 - novo, nao alimentado pelo spool atual","V44 - alimentado pelo spool atual")))</f>
        <v/>
      </c>
    </row>
    <row r="1354" ht="54" customFormat="1" customHeight="1" s="90">
      <c r="A1354" s="306" t="inlineStr">
        <is>
          <t>M1</t>
        </is>
      </c>
      <c r="B1354" s="307" t="n">
        <v>59</v>
      </c>
      <c r="C1354" s="269" t="inlineStr">
        <is>
          <t>15 - Caractéristiques Sureté</t>
        </is>
      </c>
      <c r="D1354" s="310" t="inlineStr">
        <is>
          <t>15 - Safety characteristics</t>
        </is>
      </c>
      <c r="E1354" s="307" t="inlineStr">
        <is>
          <t>M1 7.10</t>
        </is>
      </c>
      <c r="F1354" s="308" t="inlineStr">
        <is>
          <t>Indicateur Garantie Directe</t>
        </is>
      </c>
      <c r="G1354" s="309" t="inlineStr">
        <is>
          <t>Direct Mitigant Indicator</t>
        </is>
      </c>
      <c r="H1354" s="309" t="n"/>
      <c r="I1354" s="241" t="inlineStr">
        <is>
          <t>Indicateur permettant de préciser si la garantie est directe</t>
        </is>
      </c>
      <c r="J1354" s="309" t="inlineStr">
        <is>
          <t>Indicator making it possible to specify whether the mitigant is direct</t>
        </is>
      </c>
      <c r="K1354" s="370" t="inlineStr">
        <is>
          <t>ND</t>
        </is>
      </c>
      <c r="L1354" s="371" t="inlineStr">
        <is>
          <t>ND</t>
        </is>
      </c>
      <c r="M1354" s="1420" t="inlineStr">
        <is>
          <t>indGarDirect</t>
        </is>
      </c>
      <c r="N1354" s="231" t="inlineStr">
        <is>
          <t>Facultatif</t>
        </is>
      </c>
      <c r="O1354" s="236" t="inlineStr">
        <is>
          <t>Optional</t>
        </is>
      </c>
      <c r="P1354" s="269" t="inlineStr">
        <is>
          <t>LC.0202</t>
        </is>
      </c>
      <c r="Q1354" s="269" t="inlineStr">
        <is>
          <t>TA KVIGD</t>
        </is>
      </c>
      <c r="R1354" s="241" t="inlineStr">
        <is>
          <t>NA</t>
        </is>
      </c>
      <c r="S1354" s="309" t="inlineStr">
        <is>
          <t>NA</t>
        </is>
      </c>
      <c r="T1354" s="313" t="inlineStr">
        <is>
          <t>ALPHA</t>
        </is>
      </c>
      <c r="U1354" s="237" t="inlineStr">
        <is>
          <t>NA</t>
        </is>
      </c>
      <c r="V1354" s="238" t="inlineStr">
        <is>
          <t>NA</t>
        </is>
      </c>
      <c r="W1354" s="257" t="n">
        <v>1</v>
      </c>
      <c r="X1354" s="945" t="inlineStr">
        <is>
          <t>NA</t>
        </is>
      </c>
      <c r="Y1354" s="237" t="n">
        <v>40</v>
      </c>
      <c r="Z1354" s="237" t="inlineStr">
        <is>
          <t>NA</t>
        </is>
      </c>
      <c r="AA1354" s="270" t="inlineStr">
        <is>
          <t>NA</t>
        </is>
      </c>
      <c r="AB1354" s="1287" t="inlineStr">
        <is>
          <t>USAGE ZP</t>
        </is>
      </c>
      <c r="AC1354" s="231" t="inlineStr">
        <is>
          <t>ND</t>
        </is>
      </c>
      <c r="AD1354" s="257" t="inlineStr">
        <is>
          <t>N</t>
        </is>
      </c>
      <c r="AE1354" s="257" t="inlineStr">
        <is>
          <t xml:space="preserve">
GUA-CDE
</t>
        </is>
      </c>
      <c r="AF1354" s="257" t="inlineStr">
        <is>
          <t>NA</t>
        </is>
      </c>
      <c r="AG1354" s="258" t="inlineStr">
        <is>
          <t>NA</t>
        </is>
      </c>
      <c r="AH1354" s="89" t="n"/>
      <c r="AI1354" s="316" t="n"/>
      <c r="AJ1354" s="317" t="n"/>
      <c r="AK1354" s="257" t="n"/>
      <c r="AL1354" s="258" t="n"/>
      <c r="AM1354" s="796" t="inlineStr">
        <is>
          <t>Si elle est renseignée, la valeur doit être connue du Langage Commun associé</t>
        </is>
      </c>
      <c r="AN1354" s="797" t="inlineStr">
        <is>
          <t>If specified, the value must be known to the associated Common Language</t>
        </is>
      </c>
      <c r="AO1354" s="474" t="n">
        <v>7</v>
      </c>
      <c r="AP1354" s="469" t="inlineStr">
        <is>
          <t>TIG0001</t>
        </is>
      </c>
      <c r="AQ1354" s="318" t="n"/>
      <c r="AR1354" s="317" t="n"/>
      <c r="AS1354" s="257" t="n"/>
      <c r="AT1354" s="258" t="n"/>
      <c r="AU1354" s="318" t="n"/>
      <c r="AV1354" s="317" t="n"/>
      <c r="AW1354" s="257" t="n"/>
      <c r="AX1354" s="258" t="n"/>
      <c r="AY1354" s="318" t="n"/>
      <c r="AZ1354" s="317" t="n"/>
      <c r="BA1354" s="257" t="n"/>
      <c r="BB1354" s="258" t="n"/>
      <c r="BC1354" s="316" t="n"/>
      <c r="BD1354" s="317" t="n"/>
      <c r="BE1354" s="257" t="n"/>
      <c r="BF1354" s="258" t="n"/>
      <c r="BG1354" s="89" t="n"/>
      <c r="BH13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54">
        <f>_xlfn.LET(r,ROW(),oc,INDEX($A:$A,r),cv,TRIM(INDEX($Y:$Y,r)&amp;""),IF(oc&lt;&gt;"P1","",IF(cv="45","V45 - novo, nao alimentado pelo spool atual","V44 - alimentado pelo spool atual")))</f>
        <v/>
      </c>
    </row>
    <row r="1355" ht="54" customFormat="1" customHeight="1" s="90">
      <c r="A1355" s="306" t="inlineStr">
        <is>
          <t>M1</t>
        </is>
      </c>
      <c r="B1355" s="307" t="n">
        <v>60</v>
      </c>
      <c r="C1355" s="269" t="inlineStr">
        <is>
          <t>15 - Caractéristiques Sureté</t>
        </is>
      </c>
      <c r="D1355" s="310" t="inlineStr">
        <is>
          <t>15 - Safety characteristics</t>
        </is>
      </c>
      <c r="E1355" s="307" t="inlineStr">
        <is>
          <t>M1 7.11</t>
        </is>
      </c>
      <c r="F1355" s="308" t="inlineStr">
        <is>
          <t>Indicateur Garantie Explicite</t>
        </is>
      </c>
      <c r="G1355" s="309" t="inlineStr">
        <is>
          <t>Explicit Mitigant Indicator</t>
        </is>
      </c>
      <c r="H1355" s="309" t="n"/>
      <c r="I1355" s="241" t="inlineStr">
        <is>
          <t>Indicateur permettant de préciser si la garantie est explicite</t>
        </is>
      </c>
      <c r="J1355" s="309" t="inlineStr">
        <is>
          <t>Indicator making it possible to specify whether the mitigant is explicit</t>
        </is>
      </c>
      <c r="K1355" s="370" t="inlineStr">
        <is>
          <t>ND</t>
        </is>
      </c>
      <c r="L1355" s="371" t="inlineStr">
        <is>
          <t>ND</t>
        </is>
      </c>
      <c r="M1355" s="1420" t="inlineStr">
        <is>
          <t>indGarExplicite</t>
        </is>
      </c>
      <c r="N1355" s="231" t="inlineStr">
        <is>
          <t>Facultatif</t>
        </is>
      </c>
      <c r="O1355" s="236" t="inlineStr">
        <is>
          <t>Optional</t>
        </is>
      </c>
      <c r="P1355" s="269" t="inlineStr">
        <is>
          <t>LC.0203</t>
        </is>
      </c>
      <c r="Q1355" s="269" t="inlineStr">
        <is>
          <t>TA KVIGE</t>
        </is>
      </c>
      <c r="R1355" s="241" t="inlineStr">
        <is>
          <t>Une garantie est dite explicite, si les 3 conditions sont repectées :
- Contrat juridique signé (acte officiel déposé dans un cabinet d'avocat ou chez un notaire)
- Tiers qui se porte garant caution s'est engagé en pleine connaissance de l'étendue de son engagement et de la situation financière du débiteur principal
- Cautionnement express et sans équivoque</t>
        </is>
      </c>
      <c r="S1355" s="309" t="inlineStr">
        <is>
          <t>A guarantee is said to be explicit, if the 3 conditions are met:
- Legal contract signed (official document deposited in a lawyer's office or in a notary)
- Third parties that act as guarantor guarantee have undertaken in full knowledge of the extent of its funds in use and the financial situation of the main debtor
- Quick and unequivocal guarantee</t>
        </is>
      </c>
      <c r="T1355" s="313" t="inlineStr">
        <is>
          <t>ALPHA</t>
        </is>
      </c>
      <c r="U1355" s="237" t="inlineStr">
        <is>
          <t>NA</t>
        </is>
      </c>
      <c r="V1355" s="238" t="inlineStr">
        <is>
          <t>NA</t>
        </is>
      </c>
      <c r="W1355" s="257" t="n">
        <v>1</v>
      </c>
      <c r="X1355" s="945" t="inlineStr">
        <is>
          <t>NA</t>
        </is>
      </c>
      <c r="Y1355" s="237" t="n">
        <v>40</v>
      </c>
      <c r="Z1355" s="237" t="inlineStr">
        <is>
          <t>NA</t>
        </is>
      </c>
      <c r="AA1355" s="270" t="inlineStr">
        <is>
          <t>NA</t>
        </is>
      </c>
      <c r="AB1355" s="1287" t="inlineStr">
        <is>
          <t>USAGE ZP</t>
        </is>
      </c>
      <c r="AC1355" s="231" t="inlineStr">
        <is>
          <t>ND</t>
        </is>
      </c>
      <c r="AD1355" s="257" t="inlineStr">
        <is>
          <t>N</t>
        </is>
      </c>
      <c r="AE1355" s="257" t="inlineStr">
        <is>
          <t xml:space="preserve">
GUA-CDE
</t>
        </is>
      </c>
      <c r="AF1355" s="257" t="inlineStr">
        <is>
          <t>NA</t>
        </is>
      </c>
      <c r="AG1355" s="258" t="inlineStr">
        <is>
          <t>NA</t>
        </is>
      </c>
      <c r="AH1355" s="89" t="n"/>
      <c r="AI1355" s="316" t="n"/>
      <c r="AJ1355" s="317" t="n"/>
      <c r="AK1355" s="257" t="n"/>
      <c r="AL1355" s="258" t="n"/>
      <c r="AM1355" s="796" t="inlineStr">
        <is>
          <t>Si elle est renseignée, la valeur doit être connue du Langage Commun associé</t>
        </is>
      </c>
      <c r="AN1355" s="797" t="inlineStr">
        <is>
          <t>If specified, the value must be known to the associated Common Language</t>
        </is>
      </c>
      <c r="AO1355" s="474" t="n">
        <v>7</v>
      </c>
      <c r="AP1355" s="469" t="inlineStr">
        <is>
          <t>TIG0001</t>
        </is>
      </c>
      <c r="AQ1355" s="318" t="n"/>
      <c r="AR1355" s="317" t="n"/>
      <c r="AS1355" s="257" t="n"/>
      <c r="AT1355" s="258" t="n"/>
      <c r="AU1355" s="318" t="n"/>
      <c r="AV1355" s="317" t="n"/>
      <c r="AW1355" s="257" t="n"/>
      <c r="AX1355" s="258" t="n"/>
      <c r="AY1355" s="318" t="n"/>
      <c r="AZ1355" s="317" t="n"/>
      <c r="BA1355" s="257" t="n"/>
      <c r="BB1355" s="258" t="n"/>
      <c r="BC1355" s="316" t="n"/>
      <c r="BD1355" s="317" t="n"/>
      <c r="BE1355" s="257" t="n"/>
      <c r="BF1355" s="258" t="n"/>
      <c r="BG1355" s="89" t="n"/>
      <c r="BH13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55">
        <f>_xlfn.LET(r,ROW(),oc,INDEX($A:$A,r),cv,TRIM(INDEX($Y:$Y,r)&amp;""),IF(oc&lt;&gt;"P1","",IF(cv="45","V45 - novo, nao alimentado pelo spool atual","V44 - alimentado pelo spool atual")))</f>
        <v/>
      </c>
    </row>
    <row r="1356" ht="54" customFormat="1" customHeight="1" s="90">
      <c r="A1356" s="306" t="inlineStr">
        <is>
          <t>M1</t>
        </is>
      </c>
      <c r="B1356" s="307" t="n">
        <v>61</v>
      </c>
      <c r="C1356" s="269" t="inlineStr">
        <is>
          <t>15 - Caractéristiques Sureté</t>
        </is>
      </c>
      <c r="D1356" s="310" t="inlineStr">
        <is>
          <t>15 - Safety characteristics</t>
        </is>
      </c>
      <c r="E1356" s="307" t="inlineStr">
        <is>
          <t>M1 7.12</t>
        </is>
      </c>
      <c r="F1356" s="860" t="inlineStr">
        <is>
          <t>Indicateur 'Garantie Irrévocable'</t>
        </is>
      </c>
      <c r="G1356" s="309" t="inlineStr">
        <is>
          <t>Indicator 'Irrevocable Mitigant'</t>
        </is>
      </c>
      <c r="H1356" s="309" t="n"/>
      <c r="I1356" s="241" t="inlineStr">
        <is>
          <t>Indicateur permettant de préciser si la garantie est irrévocable</t>
        </is>
      </c>
      <c r="J1356" s="309" t="inlineStr">
        <is>
          <t>Indicator making it possible to specify whether the mitigant is irrevocable</t>
        </is>
      </c>
      <c r="K1356" s="370" t="inlineStr">
        <is>
          <t>ND</t>
        </is>
      </c>
      <c r="L1356" s="371" t="inlineStr">
        <is>
          <t>ND</t>
        </is>
      </c>
      <c r="M1356" s="1420" t="inlineStr">
        <is>
          <t>indGarIrrevoc</t>
        </is>
      </c>
      <c r="N1356" s="231" t="inlineStr">
        <is>
          <t>Facultatif</t>
        </is>
      </c>
      <c r="O1356" s="236" t="inlineStr">
        <is>
          <t>Optional</t>
        </is>
      </c>
      <c r="P1356" s="269" t="inlineStr">
        <is>
          <t>LC.0204</t>
        </is>
      </c>
      <c r="Q1356" s="269" t="inlineStr">
        <is>
          <t>TA KVIGI</t>
        </is>
      </c>
      <c r="R1356" s="241" t="inlineStr">
        <is>
          <t>Une garantie est dite irrévocable quand le garant reste tenu jusqu'à extinction totale de la créance sans faculté de dénonciation</t>
        </is>
      </c>
      <c r="S1356" s="309" t="inlineStr">
        <is>
          <t>A guarantee shall be deemed irrevocable when the guarantor remains bound until the claim is completely extinguished without the right to denounce</t>
        </is>
      </c>
      <c r="T1356" s="313" t="inlineStr">
        <is>
          <t>ALPHA</t>
        </is>
      </c>
      <c r="U1356" s="237" t="inlineStr">
        <is>
          <t>NA</t>
        </is>
      </c>
      <c r="V1356" s="238" t="inlineStr">
        <is>
          <t>NA</t>
        </is>
      </c>
      <c r="W1356" s="257" t="n">
        <v>1</v>
      </c>
      <c r="X1356" s="945" t="inlineStr">
        <is>
          <t>NA</t>
        </is>
      </c>
      <c r="Y1356" s="237" t="n">
        <v>40</v>
      </c>
      <c r="Z1356" s="237" t="inlineStr">
        <is>
          <t>NA</t>
        </is>
      </c>
      <c r="AA1356" s="270" t="inlineStr">
        <is>
          <t>NA</t>
        </is>
      </c>
      <c r="AB1356" s="994" t="inlineStr">
        <is>
          <t>CALCULS PRUDENTIELS, NPE</t>
        </is>
      </c>
      <c r="AC1356" s="231" t="inlineStr">
        <is>
          <t>ND</t>
        </is>
      </c>
      <c r="AD1356" s="257" t="inlineStr">
        <is>
          <t>N</t>
        </is>
      </c>
      <c r="AE1356" s="257" t="inlineStr">
        <is>
          <t xml:space="preserve">
GUA-CDE
</t>
        </is>
      </c>
      <c r="AF1356" s="257" t="inlineStr">
        <is>
          <t>NA</t>
        </is>
      </c>
      <c r="AG1356" s="258" t="inlineStr">
        <is>
          <t>NA</t>
        </is>
      </c>
      <c r="AH1356" s="89" t="n"/>
      <c r="AI1356" s="316" t="n"/>
      <c r="AJ1356" s="317" t="n"/>
      <c r="AK1356" s="257" t="n"/>
      <c r="AL1356" s="258" t="n"/>
      <c r="AM1356" s="861" t="inlineStr">
        <is>
          <t>Si elle est renseignée, la valeur doit être connue du Langage Commun associé</t>
        </is>
      </c>
      <c r="AN1356" s="317" t="inlineStr">
        <is>
          <t>If specified, the value must be known to the associated Common Language</t>
        </is>
      </c>
      <c r="AO1356" s="257" t="n">
        <v>7</v>
      </c>
      <c r="AP1356" s="258" t="inlineStr">
        <is>
          <t>TIG0001</t>
        </is>
      </c>
      <c r="AQ1356" s="318" t="n"/>
      <c r="AR1356" s="317" t="n"/>
      <c r="AS1356" s="257" t="n"/>
      <c r="AT1356" s="258" t="n"/>
      <c r="AU1356" s="318" t="n"/>
      <c r="AV1356" s="317" t="n"/>
      <c r="AW1356" s="257" t="n"/>
      <c r="AX1356" s="258" t="n"/>
      <c r="AY1356" s="318" t="n"/>
      <c r="AZ1356" s="317" t="n"/>
      <c r="BA1356" s="257" t="n"/>
      <c r="BB1356" s="258" t="n"/>
      <c r="BC1356" s="316" t="n"/>
      <c r="BD1356" s="317" t="n"/>
      <c r="BE1356" s="257" t="n"/>
      <c r="BF1356" s="258" t="n"/>
      <c r="BG1356" s="89" t="n"/>
      <c r="BH13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56">
        <f>_xlfn.LET(r,ROW(),oc,INDEX($A:$A,r),cv,TRIM(INDEX($Y:$Y,r)&amp;""),IF(oc&lt;&gt;"P1","",IF(cv="45","V45 - novo, nao alimentado pelo spool atual","V44 - alimentado pelo spool atual")))</f>
        <v/>
      </c>
    </row>
    <row r="1357" ht="54" customFormat="1" customHeight="1" s="90">
      <c r="A1357" s="306" t="inlineStr">
        <is>
          <t>M1</t>
        </is>
      </c>
      <c r="B1357" s="307" t="n">
        <v>62</v>
      </c>
      <c r="C1357" s="269" t="inlineStr">
        <is>
          <t>15 - Caractéristiques Sureté</t>
        </is>
      </c>
      <c r="D1357" s="310" t="inlineStr">
        <is>
          <t>15 - Safety characteristics</t>
        </is>
      </c>
      <c r="E1357" s="307" t="inlineStr">
        <is>
          <t>M1 7.13</t>
        </is>
      </c>
      <c r="F1357" s="860" t="inlineStr">
        <is>
          <t>Indicateur 'Garantie Inconditionnelle'</t>
        </is>
      </c>
      <c r="G1357" s="363" t="inlineStr">
        <is>
          <t>'Unconditional Mitigant' indicator</t>
        </is>
      </c>
      <c r="H1357" s="363" t="n"/>
      <c r="I1357" s="241" t="inlineStr">
        <is>
          <t>Indicateur permettant de préciser si la garantie est inconditionnelle</t>
        </is>
      </c>
      <c r="J1357" s="309" t="inlineStr">
        <is>
          <t>Indicator making it possible to specify whether the guarantee is unconditional</t>
        </is>
      </c>
      <c r="K1357" s="370" t="inlineStr">
        <is>
          <t>ND</t>
        </is>
      </c>
      <c r="L1357" s="371" t="inlineStr">
        <is>
          <t>ND</t>
        </is>
      </c>
      <c r="M1357" s="1420" t="inlineStr">
        <is>
          <t>indGarIncondi</t>
        </is>
      </c>
      <c r="N1357" s="231" t="inlineStr">
        <is>
          <t>Facultatif</t>
        </is>
      </c>
      <c r="O1357" s="236" t="inlineStr">
        <is>
          <t>Optional</t>
        </is>
      </c>
      <c r="P1357" s="269" t="inlineStr">
        <is>
          <t>LC.0205</t>
        </is>
      </c>
      <c r="Q1357" s="269" t="inlineStr">
        <is>
          <t>TA KVIGINC</t>
        </is>
      </c>
      <c r="R1357" s="241" t="inlineStr">
        <is>
          <t>Une garantie est dite inconditionnelle si le garant appelé par la banque doit payer sans condition</t>
        </is>
      </c>
      <c r="S1357" s="309" t="inlineStr">
        <is>
          <t>A guarantee is said to be unconditional if the guarantor called by the bank has to pay unconditionally</t>
        </is>
      </c>
      <c r="T1357" s="313" t="inlineStr">
        <is>
          <t>ALPHA</t>
        </is>
      </c>
      <c r="U1357" s="237" t="inlineStr">
        <is>
          <t>NA</t>
        </is>
      </c>
      <c r="V1357" s="238" t="inlineStr">
        <is>
          <t>NA</t>
        </is>
      </c>
      <c r="W1357" s="257" t="n">
        <v>1</v>
      </c>
      <c r="X1357" s="945" t="inlineStr">
        <is>
          <t>NA</t>
        </is>
      </c>
      <c r="Y1357" s="237" t="n">
        <v>40</v>
      </c>
      <c r="Z1357" s="237" t="inlineStr">
        <is>
          <t>NA</t>
        </is>
      </c>
      <c r="AA1357" s="270" t="inlineStr">
        <is>
          <t>NA</t>
        </is>
      </c>
      <c r="AB1357" s="1287" t="inlineStr">
        <is>
          <t>USAGE ZP</t>
        </is>
      </c>
      <c r="AC1357" s="231" t="inlineStr">
        <is>
          <t>ND</t>
        </is>
      </c>
      <c r="AD1357" s="257" t="inlineStr">
        <is>
          <t>N</t>
        </is>
      </c>
      <c r="AE1357" s="257" t="inlineStr">
        <is>
          <t xml:space="preserve">
GUA-CDE
</t>
        </is>
      </c>
      <c r="AF1357" s="257" t="inlineStr">
        <is>
          <t>NA</t>
        </is>
      </c>
      <c r="AG1357" s="258" t="inlineStr">
        <is>
          <t>NA</t>
        </is>
      </c>
      <c r="AH1357" s="89" t="n"/>
      <c r="AI1357" s="316" t="n"/>
      <c r="AJ1357" s="317" t="n"/>
      <c r="AK1357" s="257" t="n"/>
      <c r="AL1357" s="258" t="n"/>
      <c r="AM1357" s="318" t="inlineStr">
        <is>
          <t>Si elle est renseignée, la valeur doit être connue du Langage Commun associé</t>
        </is>
      </c>
      <c r="AN1357" s="317" t="inlineStr">
        <is>
          <t>If specified, the value must be known to the associated Common Language</t>
        </is>
      </c>
      <c r="AO1357" s="257" t="n">
        <v>7</v>
      </c>
      <c r="AP1357" s="258" t="inlineStr">
        <is>
          <t>TIG0001</t>
        </is>
      </c>
      <c r="AQ1357" s="318" t="n"/>
      <c r="AR1357" s="317" t="n"/>
      <c r="AS1357" s="257" t="n"/>
      <c r="AT1357" s="258" t="n"/>
      <c r="AU1357" s="318" t="n"/>
      <c r="AV1357" s="317" t="n"/>
      <c r="AW1357" s="257" t="n"/>
      <c r="AX1357" s="258" t="n"/>
      <c r="AY1357" s="318" t="n"/>
      <c r="AZ1357" s="317" t="n"/>
      <c r="BA1357" s="257" t="n"/>
      <c r="BB1357" s="258" t="n"/>
      <c r="BC1357" s="316" t="n"/>
      <c r="BD1357" s="317" t="n"/>
      <c r="BE1357" s="257" t="n"/>
      <c r="BF1357" s="258" t="n"/>
      <c r="BG1357" s="89" t="n"/>
      <c r="BH13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57">
        <f>_xlfn.LET(r,ROW(),oc,INDEX($A:$A,r),cv,TRIM(INDEX($Y:$Y,r)&amp;""),IF(oc&lt;&gt;"P1","",IF(cv="45","V45 - novo, nao alimentado pelo spool atual","V44 - alimentado pelo spool atual")))</f>
        <v/>
      </c>
    </row>
    <row r="1358" ht="54" customFormat="1" customHeight="1" s="90">
      <c r="A1358" s="306" t="inlineStr">
        <is>
          <t>M1</t>
        </is>
      </c>
      <c r="B1358" s="307" t="n">
        <v>63</v>
      </c>
      <c r="C1358" s="269" t="inlineStr">
        <is>
          <t>15 - Caractéristiques Sureté</t>
        </is>
      </c>
      <c r="D1358" s="310" t="inlineStr">
        <is>
          <t>15 - Safety characteristics</t>
        </is>
      </c>
      <c r="E1358" s="307" t="inlineStr">
        <is>
          <t>M1 7.14</t>
        </is>
      </c>
      <c r="F1358" s="862" t="inlineStr">
        <is>
          <t>Indicateur 'corrélation emprunteur sûreté'</t>
        </is>
      </c>
      <c r="G1358" s="363" t="inlineStr">
        <is>
          <t>Mitigant borrower correlation' indicator</t>
        </is>
      </c>
      <c r="H1358" s="363" t="n"/>
      <c r="I1358" s="863" t="inlineStr">
        <is>
          <t>Indicateur permettant de préciser le niveau de consanguinité entre la santé financière du garant ou la valeur de la sûreté, et la santé financière de l'emprunteur</t>
        </is>
      </c>
      <c r="J1358" s="309" t="inlineStr">
        <is>
          <t>Indicator making it possible to specify the level of correlation between the financial health of the guarantor or the value of the mitigant, and the financial health of the borrower</t>
        </is>
      </c>
      <c r="K1358" s="370" t="inlineStr">
        <is>
          <t>ND</t>
        </is>
      </c>
      <c r="L1358" s="371" t="inlineStr">
        <is>
          <t>ND</t>
        </is>
      </c>
      <c r="M1358" s="1420" t="inlineStr">
        <is>
          <t>indCorrSur</t>
        </is>
      </c>
      <c r="N1358" s="1007" t="inlineStr">
        <is>
          <t>Facultatif</t>
        </is>
      </c>
      <c r="O1358" s="1006" t="inlineStr">
        <is>
          <t>Optional</t>
        </is>
      </c>
      <c r="P1358" s="269" t="inlineStr">
        <is>
          <t>LC.0075</t>
        </is>
      </c>
      <c r="Q1358" s="269" t="inlineStr">
        <is>
          <t>TA KVCONSAN</t>
        </is>
      </c>
      <c r="R1358" s="864" t="inlineStr">
        <is>
          <t>Donnée réservée à CACIB</t>
        </is>
      </c>
      <c r="S1358" s="309" t="inlineStr">
        <is>
          <t>Reserved for CACIB</t>
        </is>
      </c>
      <c r="T1358" s="313" t="inlineStr">
        <is>
          <t>ALPHA</t>
        </is>
      </c>
      <c r="U1358" s="237" t="inlineStr">
        <is>
          <t>NA</t>
        </is>
      </c>
      <c r="V1358" s="238" t="inlineStr">
        <is>
          <t>NA</t>
        </is>
      </c>
      <c r="W1358" s="257" t="n">
        <v>1</v>
      </c>
      <c r="X1358" s="945" t="inlineStr">
        <is>
          <t>NA</t>
        </is>
      </c>
      <c r="Y1358" s="237" t="n">
        <v>40</v>
      </c>
      <c r="Z1358" s="237" t="inlineStr">
        <is>
          <t>NA</t>
        </is>
      </c>
      <c r="AA1358" s="270" t="inlineStr">
        <is>
          <t>45.00</t>
        </is>
      </c>
      <c r="AB1358" s="1287" t="inlineStr">
        <is>
          <t>USAGE ZP</t>
        </is>
      </c>
      <c r="AC1358" s="231" t="inlineStr">
        <is>
          <t>ND</t>
        </is>
      </c>
      <c r="AD1358" s="257" t="inlineStr">
        <is>
          <t>N</t>
        </is>
      </c>
      <c r="AE1358" s="1401" t="inlineStr">
        <is>
          <t>SEC-CAS-COL
GUA-CDE</t>
        </is>
      </c>
      <c r="AF1358" s="257" t="inlineStr">
        <is>
          <t>NA</t>
        </is>
      </c>
      <c r="AG1358" s="258" t="inlineStr">
        <is>
          <t>NA</t>
        </is>
      </c>
      <c r="AH1358" s="89" t="n"/>
      <c r="AI1358" s="1039" t="n"/>
      <c r="AJ1358" s="931" t="n"/>
      <c r="AK1358" s="958" t="n"/>
      <c r="AL1358" s="1402" t="n"/>
      <c r="AM1358" s="318" t="inlineStr">
        <is>
          <t>Si elle est renseignée, la valeur doit être connue du Langage Commun associé</t>
        </is>
      </c>
      <c r="AN1358" s="317" t="inlineStr">
        <is>
          <t>If specified, the value must be known to the associated Common Language</t>
        </is>
      </c>
      <c r="AO1358" s="257" t="n">
        <v>7</v>
      </c>
      <c r="AP1358" s="469" t="inlineStr">
        <is>
          <t>TIG0001</t>
        </is>
      </c>
      <c r="AQ1358" s="318" t="n"/>
      <c r="AR1358" s="317" t="n"/>
      <c r="AS1358" s="257" t="n"/>
      <c r="AT1358" s="258" t="n"/>
      <c r="AU1358" s="318" t="n"/>
      <c r="AV1358" s="317" t="n"/>
      <c r="AW1358" s="257" t="n"/>
      <c r="AX1358" s="258" t="n"/>
      <c r="AY1358" s="318" t="n"/>
      <c r="AZ1358" s="317" t="n"/>
      <c r="BA1358" s="257" t="n"/>
      <c r="BB1358" s="258" t="n"/>
      <c r="BC1358" s="316" t="n"/>
      <c r="BD1358" s="317" t="n"/>
      <c r="BE1358" s="257" t="n"/>
      <c r="BF1358" s="258" t="n"/>
      <c r="BG1358" s="89" t="n"/>
      <c r="BH13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58">
        <f>_xlfn.LET(r,ROW(),oc,INDEX($A:$A,r),cv,TRIM(INDEX($Y:$Y,r)&amp;""),IF(oc&lt;&gt;"P1","",IF(cv="45","V45 - novo, nao alimentado pelo spool atual","V44 - alimentado pelo spool atual")))</f>
        <v/>
      </c>
    </row>
    <row r="1359" ht="54" customFormat="1" customHeight="1" s="55">
      <c r="A1359" s="325" t="inlineStr">
        <is>
          <t>M1</t>
        </is>
      </c>
      <c r="B1359" s="326" t="n">
        <v>64</v>
      </c>
      <c r="C1359" s="284" t="inlineStr">
        <is>
          <t>NA</t>
        </is>
      </c>
      <c r="D1359" s="284" t="inlineStr">
        <is>
          <t>NA</t>
        </is>
      </c>
      <c r="E1359" s="326" t="inlineStr">
        <is>
          <t>M1 7.99</t>
        </is>
      </c>
      <c r="F1359" s="327" t="inlineStr">
        <is>
          <t>Filler</t>
        </is>
      </c>
      <c r="G1359" s="327" t="inlineStr">
        <is>
          <t>Filler</t>
        </is>
      </c>
      <c r="H1359" s="327" t="n"/>
      <c r="I1359" s="247" t="inlineStr">
        <is>
          <t>Zone libre</t>
        </is>
      </c>
      <c r="J1359" s="327" t="inlineStr">
        <is>
          <t>Free zone</t>
        </is>
      </c>
      <c r="K1359" s="388" t="inlineStr">
        <is>
          <t>NA</t>
        </is>
      </c>
      <c r="L1359" s="388" t="inlineStr">
        <is>
          <t>NA</t>
        </is>
      </c>
      <c r="M1359" s="1421" t="inlineStr">
        <is>
          <t>ZoneLibre7_99</t>
        </is>
      </c>
      <c r="N1359" s="284" t="inlineStr">
        <is>
          <t>NA</t>
        </is>
      </c>
      <c r="O1359" s="388" t="inlineStr">
        <is>
          <t>NA</t>
        </is>
      </c>
      <c r="P1359" s="284" t="inlineStr">
        <is>
          <t>NA</t>
        </is>
      </c>
      <c r="Q1359" s="284" t="inlineStr">
        <is>
          <t>NA</t>
        </is>
      </c>
      <c r="R1359" s="247" t="inlineStr">
        <is>
          <t>Laisser à vide</t>
        </is>
      </c>
      <c r="S1359" s="247" t="inlineStr">
        <is>
          <t>Leave empty</t>
        </is>
      </c>
      <c r="T1359" s="326" t="inlineStr">
        <is>
          <t>ALPHA</t>
        </is>
      </c>
      <c r="U1359" s="248" t="inlineStr">
        <is>
          <t>NA</t>
        </is>
      </c>
      <c r="V1359" s="248" t="inlineStr">
        <is>
          <t>NA</t>
        </is>
      </c>
      <c r="W1359" s="284" t="n">
        <v>20</v>
      </c>
      <c r="X1359" s="244" t="inlineStr">
        <is>
          <t>NA</t>
        </is>
      </c>
      <c r="Y1359" s="248" t="inlineStr">
        <is>
          <t>NA</t>
        </is>
      </c>
      <c r="Z1359" s="248" t="inlineStr">
        <is>
          <t>NA</t>
        </is>
      </c>
      <c r="AA1359" s="248" t="inlineStr">
        <is>
          <t>NA</t>
        </is>
      </c>
      <c r="AB1359" s="284" t="inlineStr">
        <is>
          <t>NA</t>
        </is>
      </c>
      <c r="AC1359" s="244" t="inlineStr">
        <is>
          <t>NA</t>
        </is>
      </c>
      <c r="AD1359" s="284" t="inlineStr">
        <is>
          <t>N</t>
        </is>
      </c>
      <c r="AE1359" s="284" t="inlineStr">
        <is>
          <t>NA</t>
        </is>
      </c>
      <c r="AF1359" s="284" t="inlineStr">
        <is>
          <t>NA</t>
        </is>
      </c>
      <c r="AG1359" s="285" t="inlineStr">
        <is>
          <t>NA</t>
        </is>
      </c>
      <c r="AH1359" s="89" t="n"/>
      <c r="AI1359" s="330" t="n"/>
      <c r="AJ1359" s="331" t="n"/>
      <c r="AK1359" s="284" t="n"/>
      <c r="AL1359" s="285" t="n"/>
      <c r="AM1359" s="331" t="n"/>
      <c r="AN1359" s="331" t="n"/>
      <c r="AO1359" s="284" t="n"/>
      <c r="AP1359" s="285" t="n"/>
      <c r="AQ1359" s="331" t="n"/>
      <c r="AR1359" s="331" t="n"/>
      <c r="AS1359" s="284" t="n"/>
      <c r="AT1359" s="285" t="n"/>
      <c r="AU1359" s="331" t="n"/>
      <c r="AV1359" s="331" t="n"/>
      <c r="AW1359" s="284" t="n"/>
      <c r="AX1359" s="285" t="n"/>
      <c r="AY1359" s="331" t="n"/>
      <c r="AZ1359" s="331" t="n"/>
      <c r="BA1359" s="284" t="n"/>
      <c r="BB1359" s="285" t="n"/>
      <c r="BC1359" s="330" t="n"/>
      <c r="BD1359" s="331" t="n"/>
      <c r="BE1359" s="284" t="n"/>
      <c r="BF1359" s="285" t="n"/>
      <c r="BG1359" s="89" t="n"/>
      <c r="BH13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59">
        <f>_xlfn.LET(r,ROW(),oc,INDEX($A:$A,r),cv,TRIM(INDEX($Y:$Y,r)&amp;""),IF(oc&lt;&gt;"P1","",IF(cv="45","V45 - novo, nao alimentado pelo spool atual","V44 - alimentado pelo spool atual")))</f>
        <v/>
      </c>
    </row>
    <row r="1360" ht="54" customFormat="1" customHeight="1" s="90">
      <c r="A1360" s="306" t="inlineStr">
        <is>
          <t>M1</t>
        </is>
      </c>
      <c r="B1360" s="307" t="n">
        <v>65</v>
      </c>
      <c r="C1360" s="269" t="inlineStr">
        <is>
          <t>15 - Caractéristiques Sureté</t>
        </is>
      </c>
      <c r="D1360" s="310" t="inlineStr">
        <is>
          <t>15 - Safety characteristics</t>
        </is>
      </c>
      <c r="E1360" s="307" t="inlineStr">
        <is>
          <t>M1 8.35</t>
        </is>
      </c>
      <c r="F1360" s="308" t="inlineStr">
        <is>
          <t>Montant du seuil de déclenchement de l'appel de marge</t>
        </is>
      </c>
      <c r="G1360" s="309" t="inlineStr">
        <is>
          <t>Margin call triggering threshold amount</t>
        </is>
      </c>
      <c r="H1360" s="309" t="n"/>
      <c r="I1360" s="308" t="inlineStr">
        <is>
          <t>Montant du seuil de déclenchement de l'appel de marge</t>
        </is>
      </c>
      <c r="J1360" s="309" t="inlineStr">
        <is>
          <t>Margin call triggering threshold amount</t>
        </is>
      </c>
      <c r="K1360" s="370" t="inlineStr">
        <is>
          <t>ND</t>
        </is>
      </c>
      <c r="L1360" s="371" t="inlineStr">
        <is>
          <t>ND</t>
        </is>
      </c>
      <c r="M1360" s="1420" t="inlineStr">
        <is>
          <t>mtDeclenAppelMarge</t>
        </is>
      </c>
      <c r="N1360" s="231" t="inlineStr">
        <is>
          <t>Obligatoire sous conditions</t>
        </is>
      </c>
      <c r="O1360" s="236" t="inlineStr">
        <is>
          <t>Mandatory under conditions</t>
        </is>
      </c>
      <c r="P1360" s="269" t="inlineStr">
        <is>
          <t>NA</t>
        </is>
      </c>
      <c r="Q1360" s="269" t="inlineStr">
        <is>
          <t>NA</t>
        </is>
      </c>
      <c r="R1360" s="241" t="inlineStr">
        <is>
          <t>NA</t>
        </is>
      </c>
      <c r="S1360" s="309" t="inlineStr">
        <is>
          <t>NA</t>
        </is>
      </c>
      <c r="T1360" s="313" t="inlineStr">
        <is>
          <t>NUM</t>
        </is>
      </c>
      <c r="U1360" s="237" t="inlineStr">
        <is>
          <t>19 dont signe et 2 décimales</t>
        </is>
      </c>
      <c r="V1360" s="238" t="inlineStr">
        <is>
          <t>19 including sign and 2 decimals</t>
        </is>
      </c>
      <c r="W1360" s="257" t="n">
        <v>19</v>
      </c>
      <c r="X1360" s="945" t="inlineStr">
        <is>
          <t>NA</t>
        </is>
      </c>
      <c r="Y1360" s="237" t="n">
        <v>40</v>
      </c>
      <c r="Z1360" s="237" t="inlineStr">
        <is>
          <t>NA</t>
        </is>
      </c>
      <c r="AA1360" s="270" t="inlineStr">
        <is>
          <t>NA</t>
        </is>
      </c>
      <c r="AB1360" s="994" t="inlineStr">
        <is>
          <t>SA-CCR</t>
        </is>
      </c>
      <c r="AC1360" s="231" t="inlineStr">
        <is>
          <t>ND</t>
        </is>
      </c>
      <c r="AD1360" s="257" t="inlineStr">
        <is>
          <t>N</t>
        </is>
      </c>
      <c r="AE1360" s="865" t="inlineStr">
        <is>
          <t>SEC-CAS-COL</t>
        </is>
      </c>
      <c r="AF1360" s="257" t="inlineStr">
        <is>
          <t>NA</t>
        </is>
      </c>
      <c r="AG1360" s="258" t="inlineStr">
        <is>
          <t>NA</t>
        </is>
      </c>
      <c r="AH1360" s="89" t="n"/>
      <c r="AI1360" s="849" t="inlineStr">
        <is>
          <t>La donnée est obligatoire si la nature juridique de la sûreté [M1 5.1] = ‘COL01xx'</t>
        </is>
      </c>
      <c r="AJ1360" s="317" t="inlineStr">
        <is>
          <t>The data is mandatory if Legal nature of the mitigant [M1 5.1] = ‘COL01xx'</t>
        </is>
      </c>
      <c r="AK1360" s="257" t="n">
        <v>6</v>
      </c>
      <c r="AL1360" s="366" t="inlineStr">
        <is>
          <t>TPS0710</t>
        </is>
      </c>
      <c r="AM1360" s="318" t="n"/>
      <c r="AN1360" s="317" t="n"/>
      <c r="AO1360" s="257" t="n"/>
      <c r="AP1360" s="258" t="n"/>
      <c r="AQ1360" s="343" t="inlineStr">
        <is>
          <t>Si renseignée, la donnée doit être positive (supérieure ou égale à 0)</t>
        </is>
      </c>
      <c r="AR1360" s="317" t="inlineStr">
        <is>
          <t xml:space="preserve">If filled, data must be positive (greater or equal to 0) </t>
        </is>
      </c>
      <c r="AS1360" s="344" t="n">
        <v>7</v>
      </c>
      <c r="AT1360" s="345" t="inlineStr">
        <is>
          <t>TVG0001</t>
        </is>
      </c>
      <c r="AU1360" s="318" t="n"/>
      <c r="AV1360" s="317" t="n"/>
      <c r="AW1360" s="257" t="n"/>
      <c r="AX1360" s="258" t="n"/>
      <c r="AY1360" s="318" t="n"/>
      <c r="AZ1360" s="317" t="n"/>
      <c r="BA1360" s="257" t="n"/>
      <c r="BB1360" s="258" t="n"/>
      <c r="BC1360" s="316" t="n"/>
      <c r="BD1360" s="317" t="n"/>
      <c r="BE1360" s="257" t="n"/>
      <c r="BF1360" s="258" t="n"/>
      <c r="BG1360" s="89" t="n"/>
      <c r="BH13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60">
        <f>_xlfn.LET(r,ROW(),oc,INDEX($A:$A,r),cv,TRIM(INDEX($Y:$Y,r)&amp;""),IF(oc&lt;&gt;"P1","",IF(cv="45","V45 - novo, nao alimentado pelo spool atual","V44 - alimentado pelo spool atual")))</f>
        <v/>
      </c>
    </row>
    <row r="1361" ht="54" customFormat="1" customHeight="1" s="90">
      <c r="A1361" s="306" t="inlineStr">
        <is>
          <t>M1</t>
        </is>
      </c>
      <c r="B1361" s="307" t="n">
        <v>66</v>
      </c>
      <c r="C1361" s="269" t="inlineStr">
        <is>
          <t>15 - Caractéristiques Sureté</t>
        </is>
      </c>
      <c r="D1361" s="310" t="inlineStr">
        <is>
          <t>15 - Safety characteristics</t>
        </is>
      </c>
      <c r="E1361" s="307" t="inlineStr">
        <is>
          <t>M1 8.36</t>
        </is>
      </c>
      <c r="F1361" s="524" t="inlineStr">
        <is>
          <t>Devise du montant du seuil de déclenchement de l'appel de marge</t>
        </is>
      </c>
      <c r="G1361" s="309" t="inlineStr">
        <is>
          <t>Currency of margin call threshold amount</t>
        </is>
      </c>
      <c r="H1361" s="309" t="n"/>
      <c r="I1361" s="525" t="inlineStr">
        <is>
          <t xml:space="preserve">Devise du montant du seuil de déclenchement de l'appel de marge </t>
        </is>
      </c>
      <c r="J1361" s="309" t="inlineStr">
        <is>
          <t>Currency of margin call threshold amount</t>
        </is>
      </c>
      <c r="K1361" s="370" t="inlineStr">
        <is>
          <t>ND</t>
        </is>
      </c>
      <c r="L1361" s="371" t="inlineStr">
        <is>
          <t>ND</t>
        </is>
      </c>
      <c r="M1361" s="1420" t="inlineStr">
        <is>
          <t>cdDevMtDeclenAppelMarge</t>
        </is>
      </c>
      <c r="N1361" s="231" t="inlineStr">
        <is>
          <t>Obligatoire sous conditions</t>
        </is>
      </c>
      <c r="O1361" s="236" t="inlineStr">
        <is>
          <t>Mandatory under conditions</t>
        </is>
      </c>
      <c r="P1361" s="269" t="inlineStr">
        <is>
          <t>LC.0005</t>
        </is>
      </c>
      <c r="Q1361" s="269" t="inlineStr">
        <is>
          <t>TA NM253</t>
        </is>
      </c>
      <c r="R1361" s="241" t="inlineStr">
        <is>
          <t>NA</t>
        </is>
      </c>
      <c r="S1361" s="309" t="inlineStr">
        <is>
          <t>NA</t>
        </is>
      </c>
      <c r="T1361" s="313" t="inlineStr">
        <is>
          <t>ALPHA</t>
        </is>
      </c>
      <c r="U1361" s="237" t="inlineStr">
        <is>
          <t>NA</t>
        </is>
      </c>
      <c r="V1361" s="238" t="inlineStr">
        <is>
          <t>NA</t>
        </is>
      </c>
      <c r="W1361" s="257" t="n">
        <v>3</v>
      </c>
      <c r="X1361" s="945" t="inlineStr">
        <is>
          <t>NA</t>
        </is>
      </c>
      <c r="Y1361" s="237" t="n">
        <v>40</v>
      </c>
      <c r="Z1361" s="237" t="inlineStr">
        <is>
          <t>NA</t>
        </is>
      </c>
      <c r="AA1361" s="270" t="inlineStr">
        <is>
          <t>NA</t>
        </is>
      </c>
      <c r="AB1361" s="994" t="inlineStr">
        <is>
          <t>SA-CCR</t>
        </is>
      </c>
      <c r="AC1361" s="231" t="inlineStr">
        <is>
          <t>ND</t>
        </is>
      </c>
      <c r="AD1361" s="257" t="inlineStr">
        <is>
          <t>N</t>
        </is>
      </c>
      <c r="AE1361" s="257" t="inlineStr">
        <is>
          <t xml:space="preserve">SEC-CAS-COL
</t>
        </is>
      </c>
      <c r="AF1361" s="257" t="inlineStr">
        <is>
          <t>NA</t>
        </is>
      </c>
      <c r="AG1361" s="258" t="inlineStr">
        <is>
          <t>NA</t>
        </is>
      </c>
      <c r="AH1361" s="89" t="n"/>
      <c r="AI1361" s="856" t="inlineStr">
        <is>
          <t>La donnée est obligatoire, si le montant du seuil de déclenchement de l'appel de marge [M1 8.35] est renseigné</t>
        </is>
      </c>
      <c r="AJ1361" s="317" t="inlineStr">
        <is>
          <t>The data is mandatory, if Margin call trigerring threshold amount [M1 8.35] is filled</t>
        </is>
      </c>
      <c r="AK1361" s="257" t="n">
        <v>7</v>
      </c>
      <c r="AL1361" s="447" t="inlineStr">
        <is>
          <t>TPG0002</t>
        </is>
      </c>
      <c r="AM1361" s="318" t="inlineStr">
        <is>
          <t>Si elle est renseignée, la valeur doit être connue du Langage Commun associé</t>
        </is>
      </c>
      <c r="AN1361" s="317" t="inlineStr">
        <is>
          <t>If specified, the value must be known to the associated Common Language</t>
        </is>
      </c>
      <c r="AO1361" s="257" t="n">
        <v>7</v>
      </c>
      <c r="AP1361" s="258" t="inlineStr">
        <is>
          <t>TIG0001</t>
        </is>
      </c>
      <c r="AQ1361" s="318" t="n"/>
      <c r="AR1361" s="317" t="n"/>
      <c r="AS1361" s="257" t="n"/>
      <c r="AT1361" s="258" t="n"/>
      <c r="AU1361" s="318" t="n"/>
      <c r="AV1361" s="317" t="n"/>
      <c r="AW1361" s="257" t="n"/>
      <c r="AX1361" s="258" t="n"/>
      <c r="AY1361" s="318" t="n"/>
      <c r="AZ1361" s="317" t="n"/>
      <c r="BA1361" s="257" t="n"/>
      <c r="BB1361" s="258" t="n"/>
      <c r="BC1361" s="316" t="n"/>
      <c r="BD1361" s="317" t="n"/>
      <c r="BE1361" s="257" t="n"/>
      <c r="BF1361" s="258" t="n"/>
      <c r="BG1361" s="89" t="n"/>
      <c r="BH13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61">
        <f>_xlfn.LET(r,ROW(),oc,INDEX($A:$A,r),cv,TRIM(INDEX($Y:$Y,r)&amp;""),IF(oc&lt;&gt;"P1","",IF(cv="45","V45 - novo, nao alimentado pelo spool atual","V44 - alimentado pelo spool atual")))</f>
        <v/>
      </c>
    </row>
    <row r="1362" ht="54" customFormat="1" customHeight="1" s="90">
      <c r="A1362" s="306" t="inlineStr">
        <is>
          <t>M1</t>
        </is>
      </c>
      <c r="B1362" s="307" t="n">
        <v>67</v>
      </c>
      <c r="C1362" s="269" t="inlineStr">
        <is>
          <t>15 - Caractéristiques Sureté</t>
        </is>
      </c>
      <c r="D1362" s="310" t="inlineStr">
        <is>
          <t>15 - Safety characteristics</t>
        </is>
      </c>
      <c r="E1362" s="307" t="inlineStr">
        <is>
          <t>M1 8.31</t>
        </is>
      </c>
      <c r="F1362" s="1044" t="inlineStr">
        <is>
          <t>Localisation bourse de Cotation</t>
        </is>
      </c>
      <c r="G1362" s="968" t="inlineStr">
        <is>
          <t>Location listing exchange</t>
        </is>
      </c>
      <c r="H1362" s="968" t="n"/>
      <c r="I1362" s="241" t="inlineStr">
        <is>
          <t>Code du pays de la place boursière sur laquelle sont côtés les titres</t>
        </is>
      </c>
      <c r="J1362" s="309" t="inlineStr">
        <is>
          <t>Code of country of stock exchange in which the securities are listed</t>
        </is>
      </c>
      <c r="K1362" s="370" t="inlineStr">
        <is>
          <t>ND</t>
        </is>
      </c>
      <c r="L1362" s="371" t="inlineStr">
        <is>
          <t>ND</t>
        </is>
      </c>
      <c r="M1362" s="1420" t="inlineStr">
        <is>
          <t>cdBourseCotat</t>
        </is>
      </c>
      <c r="N1362" s="231" t="inlineStr">
        <is>
          <t>Obligatoire sous conditions</t>
        </is>
      </c>
      <c r="O1362" s="236" t="inlineStr">
        <is>
          <t>Mandatory under conditions</t>
        </is>
      </c>
      <c r="P1362" s="269" t="inlineStr">
        <is>
          <t>LC.0063</t>
        </is>
      </c>
      <c r="Q1362" s="269" t="inlineStr">
        <is>
          <t>TA KVMARCHE</t>
        </is>
      </c>
      <c r="R1362" s="241" t="inlineStr">
        <is>
          <t>NB : Facultatif pour le type de risque INS</t>
        </is>
      </c>
      <c r="S1362" s="309" t="inlineStr">
        <is>
          <t>N.B. Optional for the INS risk type</t>
        </is>
      </c>
      <c r="T1362" s="313" t="inlineStr">
        <is>
          <t>ALPHA</t>
        </is>
      </c>
      <c r="U1362" s="237" t="inlineStr">
        <is>
          <t>NA</t>
        </is>
      </c>
      <c r="V1362" s="238" t="inlineStr">
        <is>
          <t>NA</t>
        </is>
      </c>
      <c r="W1362" s="257" t="n">
        <v>2</v>
      </c>
      <c r="X1362" s="945" t="inlineStr">
        <is>
          <t>NA</t>
        </is>
      </c>
      <c r="Y1362" s="237" t="n">
        <v>40</v>
      </c>
      <c r="Z1362" s="237" t="inlineStr">
        <is>
          <t>NA</t>
        </is>
      </c>
      <c r="AA1362" s="270" t="inlineStr">
        <is>
          <t>45.00</t>
        </is>
      </c>
      <c r="AB1362" s="994" t="inlineStr">
        <is>
          <t>DEI, SA-CCR</t>
        </is>
      </c>
      <c r="AC1362" s="231" t="inlineStr">
        <is>
          <t>ND</t>
        </is>
      </c>
      <c r="AD1362" s="257" t="inlineStr">
        <is>
          <t>N</t>
        </is>
      </c>
      <c r="AE1362" s="257" t="inlineStr">
        <is>
          <t>SEC-CAS-COL
INS</t>
        </is>
      </c>
      <c r="AF1362" s="257" t="inlineStr">
        <is>
          <t>NA</t>
        </is>
      </c>
      <c r="AG1362" s="258" t="inlineStr">
        <is>
          <t>NA</t>
        </is>
      </c>
      <c r="AH1362" s="89" t="n"/>
      <c r="AI1362" s="849" t="inlineStr">
        <is>
          <t>La donnée est obligatoire si la nature juridique de la sûreté [M1 5.1] = ‘SEC01xx' et si l'info complémentaire 1 [M1 5.2] est renseignée et différente de 11, 12, 13</t>
        </is>
      </c>
      <c r="AJ1362" s="317" t="inlineStr">
        <is>
          <t>The data is mandatory if Legal nature of the mitigant [M1 5.1] = ‘SEC01xx' and if additional info 1 [M1 5.2]is filled in and is different from 11, 12, 13</t>
        </is>
      </c>
      <c r="AK1362" s="257" t="n">
        <v>6</v>
      </c>
      <c r="AL1362" s="345" t="inlineStr">
        <is>
          <t>TPS0711</t>
        </is>
      </c>
      <c r="AM1362" s="318" t="inlineStr">
        <is>
          <t>Si elle est renseignée, la valeur doit être connue du Langage Commun associé</t>
        </is>
      </c>
      <c r="AN1362" s="317" t="inlineStr">
        <is>
          <t>If specified, the value must be known to the associated Common Language</t>
        </is>
      </c>
      <c r="AO1362" s="257" t="n">
        <v>7</v>
      </c>
      <c r="AP1362" s="258" t="inlineStr">
        <is>
          <t>TIG0001</t>
        </is>
      </c>
      <c r="AQ1362" s="318" t="n"/>
      <c r="AR1362" s="317" t="n"/>
      <c r="AS1362" s="257" t="n"/>
      <c r="AT1362" s="258" t="n"/>
      <c r="AU1362" s="318" t="n"/>
      <c r="AV1362" s="317" t="n"/>
      <c r="AW1362" s="257" t="n"/>
      <c r="AX1362" s="258" t="n"/>
      <c r="AY1362" s="318" t="n"/>
      <c r="AZ1362" s="317" t="n"/>
      <c r="BA1362" s="257" t="n"/>
      <c r="BB1362" s="258" t="n"/>
      <c r="BC1362" s="316" t="n"/>
      <c r="BD1362" s="317" t="n"/>
      <c r="BE1362" s="257" t="n"/>
      <c r="BF1362" s="258" t="n"/>
      <c r="BG1362" s="89" t="n"/>
      <c r="BH13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62">
        <f>_xlfn.LET(r,ROW(),oc,INDEX($A:$A,r),cv,TRIM(INDEX($Y:$Y,r)&amp;""),IF(oc&lt;&gt;"P1","",IF(cv="45","V45 - novo, nao alimentado pelo spool atual","V44 - alimentado pelo spool atual")))</f>
        <v/>
      </c>
    </row>
    <row r="1363" ht="54" customFormat="1" customHeight="1" s="90">
      <c r="A1363" s="306" t="inlineStr">
        <is>
          <t>M1</t>
        </is>
      </c>
      <c r="B1363" s="307" t="n">
        <v>68</v>
      </c>
      <c r="C1363" s="269" t="inlineStr">
        <is>
          <t>31 - Paramètres bâlois</t>
        </is>
      </c>
      <c r="D1363" s="310" t="inlineStr">
        <is>
          <t>31 - Basel settings</t>
        </is>
      </c>
      <c r="E1363" s="307" t="inlineStr">
        <is>
          <t>M1 8.32</t>
        </is>
      </c>
      <c r="F1363" s="417" t="inlineStr">
        <is>
          <t>Indicateur Indice de Cotation Bâlois</t>
        </is>
      </c>
      <c r="G1363" s="309" t="inlineStr">
        <is>
          <t>Basel stock index indicator</t>
        </is>
      </c>
      <c r="H1363" s="309" t="n"/>
      <c r="I1363" s="241" t="inlineStr">
        <is>
          <t>Indicateur Indice de Cotation Bâlois</t>
        </is>
      </c>
      <c r="J1363" s="309" t="inlineStr">
        <is>
          <t>Basel stock index indicator</t>
        </is>
      </c>
      <c r="K1363" s="370" t="inlineStr">
        <is>
          <t>ND</t>
        </is>
      </c>
      <c r="L1363" s="371" t="inlineStr">
        <is>
          <t>ND</t>
        </is>
      </c>
      <c r="M1363" s="1420" t="inlineStr">
        <is>
          <t>cdIndCotBal</t>
        </is>
      </c>
      <c r="N1363" s="231" t="inlineStr">
        <is>
          <t>Facultatif</t>
        </is>
      </c>
      <c r="O1363" s="236" t="inlineStr">
        <is>
          <t>Optional</t>
        </is>
      </c>
      <c r="P1363" s="269" t="inlineStr">
        <is>
          <t>LC.0253</t>
        </is>
      </c>
      <c r="Q1363" s="269" t="inlineStr">
        <is>
          <t>TA KVIICB</t>
        </is>
      </c>
      <c r="R1363" s="241" t="inlineStr">
        <is>
          <t>NA</t>
        </is>
      </c>
      <c r="S1363" s="309" t="inlineStr">
        <is>
          <t>NA</t>
        </is>
      </c>
      <c r="T1363" s="313" t="inlineStr">
        <is>
          <t>ALPHA</t>
        </is>
      </c>
      <c r="U1363" s="237" t="inlineStr">
        <is>
          <t>NA</t>
        </is>
      </c>
      <c r="V1363" s="238" t="inlineStr">
        <is>
          <t>NA</t>
        </is>
      </c>
      <c r="W1363" s="257" t="n">
        <v>1</v>
      </c>
      <c r="X1363" s="945" t="inlineStr">
        <is>
          <t>NA</t>
        </is>
      </c>
      <c r="Y1363" s="237" t="n">
        <v>40</v>
      </c>
      <c r="Z1363" s="237" t="inlineStr">
        <is>
          <t>NA</t>
        </is>
      </c>
      <c r="AA1363" s="270" t="inlineStr">
        <is>
          <t>NA</t>
        </is>
      </c>
      <c r="AB1363" s="1287" t="inlineStr">
        <is>
          <t>USAGE ZP</t>
        </is>
      </c>
      <c r="AC1363" s="231" t="inlineStr">
        <is>
          <t>ND</t>
        </is>
      </c>
      <c r="AD1363" s="257" t="inlineStr">
        <is>
          <t>N</t>
        </is>
      </c>
      <c r="AE1363" s="257" t="inlineStr">
        <is>
          <t>SEC-CAS-COL
INS</t>
        </is>
      </c>
      <c r="AF1363" s="257" t="inlineStr">
        <is>
          <t>NA</t>
        </is>
      </c>
      <c r="AG1363" s="258" t="inlineStr">
        <is>
          <t>NA</t>
        </is>
      </c>
      <c r="AH1363" s="89" t="n"/>
      <c r="AI1363" s="316" t="n"/>
      <c r="AJ1363" s="317" t="n"/>
      <c r="AK1363" s="257" t="n"/>
      <c r="AL1363" s="258" t="n"/>
      <c r="AM1363" s="452" t="inlineStr">
        <is>
          <t>Si elle est renseignée, la valeur doit être connue du Langage Commun associé</t>
        </is>
      </c>
      <c r="AN1363" s="377" t="inlineStr">
        <is>
          <t>If specified, the value must be known to the associated Common Language</t>
        </is>
      </c>
      <c r="AO1363" s="257" t="n">
        <v>7</v>
      </c>
      <c r="AP1363" s="258" t="inlineStr">
        <is>
          <t>TIG0001</t>
        </is>
      </c>
      <c r="AQ1363" s="318" t="n"/>
      <c r="AR1363" s="317" t="n"/>
      <c r="AS1363" s="257" t="n"/>
      <c r="AT1363" s="258" t="n"/>
      <c r="AU1363" s="318" t="n"/>
      <c r="AV1363" s="317" t="n"/>
      <c r="AW1363" s="257" t="n"/>
      <c r="AX1363" s="258" t="n"/>
      <c r="AY1363" s="318" t="n"/>
      <c r="AZ1363" s="317" t="n"/>
      <c r="BA1363" s="257" t="n"/>
      <c r="BB1363" s="258" t="n"/>
      <c r="BC1363" s="316" t="n"/>
      <c r="BD1363" s="317" t="n"/>
      <c r="BE1363" s="257" t="n"/>
      <c r="BF1363" s="258" t="n"/>
      <c r="BG1363" s="89" t="n"/>
      <c r="BH13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63">
        <f>_xlfn.LET(r,ROW(),oc,INDEX($A:$A,r),cv,TRIM(INDEX($Y:$Y,r)&amp;""),IF(oc&lt;&gt;"P1","",IF(cv="45","V45 - novo, nao alimentado pelo spool atual","V44 - alimentado pelo spool atual")))</f>
        <v/>
      </c>
    </row>
    <row r="1364" ht="54" customFormat="1" customHeight="1" s="90">
      <c r="A1364" s="306" t="inlineStr">
        <is>
          <t>M1</t>
        </is>
      </c>
      <c r="B1364" s="307" t="n">
        <v>69</v>
      </c>
      <c r="C1364" s="269" t="inlineStr">
        <is>
          <t>17 - Caractéristiques Titres</t>
        </is>
      </c>
      <c r="D1364" s="310" t="inlineStr">
        <is>
          <t>17 - Securities characteristics</t>
        </is>
      </c>
      <c r="E1364" s="307" t="inlineStr">
        <is>
          <t>M1 8.1</t>
        </is>
      </c>
      <c r="F1364" s="866" t="inlineStr">
        <is>
          <t>Indice dont les titres font partie</t>
        </is>
      </c>
      <c r="G1364" s="309" t="inlineStr">
        <is>
          <t>Index to which the securities belong</t>
        </is>
      </c>
      <c r="H1364" s="309" t="n"/>
      <c r="I1364" s="241" t="inlineStr">
        <is>
          <t>Code de l'indice</t>
        </is>
      </c>
      <c r="J1364" s="309" t="inlineStr">
        <is>
          <t>Index code</t>
        </is>
      </c>
      <c r="K1364" s="370" t="inlineStr">
        <is>
          <t>ND</t>
        </is>
      </c>
      <c r="L1364" s="371" t="inlineStr">
        <is>
          <t>ND</t>
        </is>
      </c>
      <c r="M1364" s="1420" t="inlineStr">
        <is>
          <t>cdInd</t>
        </is>
      </c>
      <c r="N1364" s="231" t="inlineStr">
        <is>
          <t>Obligatoire sous conditions</t>
        </is>
      </c>
      <c r="O1364" s="236" t="inlineStr">
        <is>
          <t>Mandatory under conditions</t>
        </is>
      </c>
      <c r="P1364" s="269" t="inlineStr">
        <is>
          <t>LC.0055</t>
        </is>
      </c>
      <c r="Q1364" s="269" t="inlineStr">
        <is>
          <t>TA KVINDICE</t>
        </is>
      </c>
      <c r="R1364" s="241" t="inlineStr">
        <is>
          <t>NA</t>
        </is>
      </c>
      <c r="S1364" s="309" t="inlineStr">
        <is>
          <t>NA</t>
        </is>
      </c>
      <c r="T1364" s="313" t="inlineStr">
        <is>
          <t>ALPHA</t>
        </is>
      </c>
      <c r="U1364" s="237" t="inlineStr">
        <is>
          <t>NA</t>
        </is>
      </c>
      <c r="V1364" s="238" t="inlineStr">
        <is>
          <t>NA</t>
        </is>
      </c>
      <c r="W1364" s="257" t="n">
        <v>2</v>
      </c>
      <c r="X1364" s="945" t="inlineStr">
        <is>
          <t>NA</t>
        </is>
      </c>
      <c r="Y1364" s="237" t="n">
        <v>40</v>
      </c>
      <c r="Z1364" s="237" t="inlineStr">
        <is>
          <t>NA</t>
        </is>
      </c>
      <c r="AA1364" s="270" t="inlineStr">
        <is>
          <t>NA</t>
        </is>
      </c>
      <c r="AB1364" s="994" t="inlineStr">
        <is>
          <t>DEI, SA-CCR</t>
        </is>
      </c>
      <c r="AC1364" s="231" t="inlineStr">
        <is>
          <t>ND</t>
        </is>
      </c>
      <c r="AD1364" s="257" t="inlineStr">
        <is>
          <t>N</t>
        </is>
      </c>
      <c r="AE1364" s="257" t="inlineStr">
        <is>
          <t xml:space="preserve">SEC-CAS-COL
</t>
        </is>
      </c>
      <c r="AF1364" s="257" t="inlineStr">
        <is>
          <t>NA</t>
        </is>
      </c>
      <c r="AG1364" s="258" t="inlineStr">
        <is>
          <t>NA</t>
        </is>
      </c>
      <c r="AH1364" s="89" t="n"/>
      <c r="AI1364" s="849" t="inlineStr">
        <is>
          <t>La donnée est obligatoire si l'Indicateur Indice de Cotation Bâlois [M1 8.32] = ‘Y'</t>
        </is>
      </c>
      <c r="AJ1364" s="317" t="inlineStr">
        <is>
          <t>The data is mandatory if Basel stock index indicator [M1 8.32] = ‘Y'</t>
        </is>
      </c>
      <c r="AK1364" s="257" t="n">
        <v>6</v>
      </c>
      <c r="AL1364" s="366" t="inlineStr">
        <is>
          <t>TPS0712</t>
        </is>
      </c>
      <c r="AM1364" s="318" t="inlineStr">
        <is>
          <t>Si elle est renseignée, la valeur doit être connue du Langage Commun associé</t>
        </is>
      </c>
      <c r="AN1364" s="317" t="inlineStr">
        <is>
          <t>If specified, the value must be known to the associated Common Language</t>
        </is>
      </c>
      <c r="AO1364" s="257" t="n">
        <v>7</v>
      </c>
      <c r="AP1364" s="867" t="inlineStr">
        <is>
          <t>TIG0001</t>
        </is>
      </c>
      <c r="AQ1364" s="318" t="n"/>
      <c r="AR1364" s="317" t="n"/>
      <c r="AS1364" s="257" t="n"/>
      <c r="AT1364" s="258" t="n"/>
      <c r="AU1364" s="318" t="n"/>
      <c r="AV1364" s="317" t="n"/>
      <c r="AW1364" s="257" t="n"/>
      <c r="AX1364" s="258" t="n"/>
      <c r="AY1364" s="318" t="n"/>
      <c r="AZ1364" s="317" t="n"/>
      <c r="BA1364" s="257" t="n"/>
      <c r="BB1364" s="258" t="n"/>
      <c r="BC1364" s="316" t="n"/>
      <c r="BD1364" s="317" t="n"/>
      <c r="BE1364" s="257" t="n"/>
      <c r="BF1364" s="258" t="n"/>
      <c r="BG1364" s="89" t="n"/>
      <c r="BH13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64">
        <f>_xlfn.LET(r,ROW(),oc,INDEX($A:$A,r),cv,TRIM(INDEX($Y:$Y,r)&amp;""),IF(oc&lt;&gt;"P1","",IF(cv="45","V45 - novo, nao alimentado pelo spool atual","V44 - alimentado pelo spool atual")))</f>
        <v/>
      </c>
    </row>
    <row r="1365" ht="54" customFormat="1" customHeight="1" s="90">
      <c r="A1365" s="306" t="inlineStr">
        <is>
          <t>M1</t>
        </is>
      </c>
      <c r="B1365" s="307" t="n">
        <v>70</v>
      </c>
      <c r="C1365" s="269" t="inlineStr">
        <is>
          <t>17 - Caractéristiques Titres</t>
        </is>
      </c>
      <c r="D1365" s="310" t="inlineStr">
        <is>
          <t>17 - Securities characteristics</t>
        </is>
      </c>
      <c r="E1365" s="307" t="inlineStr">
        <is>
          <t>M1 8.2</t>
        </is>
      </c>
      <c r="F1365" s="308" t="inlineStr">
        <is>
          <t>Référence des titres dans l'indice</t>
        </is>
      </c>
      <c r="G1365" s="309" t="inlineStr">
        <is>
          <t>Securities index symbol</t>
        </is>
      </c>
      <c r="H1365" s="309" t="n"/>
      <c r="I1365" s="241" t="inlineStr">
        <is>
          <t>Code ISIN des titres au sein de l'indice mentionné en M1 8.1</t>
        </is>
      </c>
      <c r="J1365" s="309" t="inlineStr">
        <is>
          <t>ISIN code of securities within the index mentioned in M1 8.1</t>
        </is>
      </c>
      <c r="K1365" s="370" t="inlineStr">
        <is>
          <t>ND</t>
        </is>
      </c>
      <c r="L1365" s="371" t="inlineStr">
        <is>
          <t>ND</t>
        </is>
      </c>
      <c r="M1365" s="1420" t="inlineStr">
        <is>
          <t>cdTitre</t>
        </is>
      </c>
      <c r="N1365" s="231" t="inlineStr">
        <is>
          <t>Obligatoire sous conditions</t>
        </is>
      </c>
      <c r="O1365" s="236" t="inlineStr">
        <is>
          <t>Mandatory under conditions</t>
        </is>
      </c>
      <c r="P1365" s="269" t="inlineStr">
        <is>
          <t>NA</t>
        </is>
      </c>
      <c r="Q1365" s="269" t="inlineStr">
        <is>
          <t>NA</t>
        </is>
      </c>
      <c r="R1365" s="241" t="inlineStr">
        <is>
          <t>NA</t>
        </is>
      </c>
      <c r="S1365" s="309" t="inlineStr">
        <is>
          <t>NA</t>
        </is>
      </c>
      <c r="T1365" s="313" t="inlineStr">
        <is>
          <t>ALPHA</t>
        </is>
      </c>
      <c r="U1365" s="237" t="inlineStr">
        <is>
          <t>NA</t>
        </is>
      </c>
      <c r="V1365" s="238" t="inlineStr">
        <is>
          <t>NA</t>
        </is>
      </c>
      <c r="W1365" s="257" t="n">
        <v>12</v>
      </c>
      <c r="X1365" s="945" t="inlineStr">
        <is>
          <t>NA</t>
        </is>
      </c>
      <c r="Y1365" s="237" t="n">
        <v>40</v>
      </c>
      <c r="Z1365" s="237" t="inlineStr">
        <is>
          <t>NA</t>
        </is>
      </c>
      <c r="AA1365" s="978" t="inlineStr">
        <is>
          <t>45.00</t>
        </is>
      </c>
      <c r="AB1365" s="932" t="inlineStr">
        <is>
          <t>AER, LIQUIDITE, NSFR</t>
        </is>
      </c>
      <c r="AC1365" s="231" t="inlineStr">
        <is>
          <t>ND</t>
        </is>
      </c>
      <c r="AD1365" s="257" t="inlineStr">
        <is>
          <t>N</t>
        </is>
      </c>
      <c r="AE1365" s="257" t="inlineStr">
        <is>
          <t xml:space="preserve">SEC-CAS-COL
</t>
        </is>
      </c>
      <c r="AF1365" s="257" t="inlineStr">
        <is>
          <t>NA</t>
        </is>
      </c>
      <c r="AG1365" s="258" t="inlineStr">
        <is>
          <t>NA</t>
        </is>
      </c>
      <c r="AH1365" s="89" t="n"/>
      <c r="AI1365" s="849" t="inlineStr">
        <is>
          <t>La donnée est obligatoire si l'Indicateur Indice de Cotation Bâlois [M1 8.32] = ‘Y'</t>
        </is>
      </c>
      <c r="AJ1365" s="317" t="inlineStr">
        <is>
          <t>The data is mandatory if Basel stock index indicator [M1 8.32] = ‘Y'</t>
        </is>
      </c>
      <c r="AK1365" s="257" t="n">
        <v>6</v>
      </c>
      <c r="AL1365" s="366" t="inlineStr">
        <is>
          <t>TPS0712</t>
        </is>
      </c>
      <c r="AM1365" s="318" t="n"/>
      <c r="AN1365" s="317" t="n"/>
      <c r="AO1365" s="257" t="n"/>
      <c r="AP1365" s="258" t="n"/>
      <c r="AQ1365" s="502" t="inlineStr">
        <is>
          <t>Si la donnée est renseignée, alors la donnée doit commencer par 2 caractères alphabétiques et avoir une longueur de 12 caractères avec un caractère numérique pour le dernier caractère ET la donnée doit être validée comme un code ISIN à l'aide de l'algorithme de Luhn</t>
        </is>
      </c>
      <c r="AR1365" s="317" t="inlineStr">
        <is>
          <t>If filled, then the data must start with 2 alphabetic characters and have a length of 12 characters with a numeric character for the last character AND the data must be validated as an ISIN code using the Luhn algorithm</t>
        </is>
      </c>
      <c r="AS1365" s="257" t="n">
        <v>6</v>
      </c>
      <c r="AT1365" s="258" t="inlineStr">
        <is>
          <t>TVG0006</t>
        </is>
      </c>
      <c r="AU1365" s="318" t="n"/>
      <c r="AV1365" s="317" t="n"/>
      <c r="AW1365" s="257" t="n"/>
      <c r="AX1365" s="258" t="n"/>
      <c r="AY1365" s="318" t="n"/>
      <c r="AZ1365" s="317" t="n"/>
      <c r="BA1365" s="257" t="n"/>
      <c r="BB1365" s="258" t="n"/>
      <c r="BC1365" s="316" t="n"/>
      <c r="BD1365" s="317" t="n"/>
      <c r="BE1365" s="257" t="n"/>
      <c r="BF1365" s="258" t="n"/>
      <c r="BG1365" s="89" t="n"/>
      <c r="BH13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65">
        <f>_xlfn.LET(r,ROW(),oc,INDEX($A:$A,r),cv,TRIM(INDEX($Y:$Y,r)&amp;""),IF(oc&lt;&gt;"P1","",IF(cv="45","V45 - novo, nao alimentado pelo spool atual","V44 - alimentado pelo spool atual")))</f>
        <v/>
      </c>
    </row>
    <row r="1366" ht="54" customFormat="1" customHeight="1" s="90">
      <c r="A1366" s="306" t="inlineStr">
        <is>
          <t>M1</t>
        </is>
      </c>
      <c r="B1366" s="307" t="n">
        <v>71</v>
      </c>
      <c r="C1366" s="269" t="inlineStr">
        <is>
          <t>17 - Caractéristiques Titres</t>
        </is>
      </c>
      <c r="D1366" s="310" t="inlineStr">
        <is>
          <t>17 - Securities characteristics</t>
        </is>
      </c>
      <c r="E1366" s="307" t="inlineStr">
        <is>
          <t>M1 8.3</t>
        </is>
      </c>
      <c r="F1366" s="308" t="inlineStr">
        <is>
          <t>Echelon de qualité de crédit des titres</t>
        </is>
      </c>
      <c r="G1366" s="309" t="inlineStr">
        <is>
          <t>Securities credit quality step</t>
        </is>
      </c>
      <c r="H1366" s="309" t="n"/>
      <c r="I1366" s="847" t="inlineStr">
        <is>
          <t>Correspond à l'échelon de qualité de crédit des titres</t>
        </is>
      </c>
      <c r="J1366" s="309" t="inlineStr">
        <is>
          <t>Represents the Securities credit quality step</t>
        </is>
      </c>
      <c r="K1366" s="370" t="inlineStr">
        <is>
          <t>ND</t>
        </is>
      </c>
      <c r="L1366" s="371" t="inlineStr">
        <is>
          <t>ND</t>
        </is>
      </c>
      <c r="M1366" s="1420" t="inlineStr">
        <is>
          <t>cdQualTitre</t>
        </is>
      </c>
      <c r="N1366" s="231" t="inlineStr">
        <is>
          <t>Obligatoire sous conditions</t>
        </is>
      </c>
      <c r="O1366" s="236" t="inlineStr">
        <is>
          <t>Mandatory under conditions</t>
        </is>
      </c>
      <c r="P1366" s="269" t="inlineStr">
        <is>
          <t>LC.0178</t>
        </is>
      </c>
      <c r="Q1366" s="269" t="inlineStr">
        <is>
          <t>TA KVECHLON</t>
        </is>
      </c>
      <c r="R1366" s="241" t="inlineStr">
        <is>
          <t>NB : Facultatif pour le type de risque INS</t>
        </is>
      </c>
      <c r="S1366" s="309" t="inlineStr">
        <is>
          <t>N.B. Optional for the INS risk type</t>
        </is>
      </c>
      <c r="T1366" s="313" t="inlineStr">
        <is>
          <t>ALPHA</t>
        </is>
      </c>
      <c r="U1366" s="237" t="inlineStr">
        <is>
          <t>NA</t>
        </is>
      </c>
      <c r="V1366" s="238" t="inlineStr">
        <is>
          <t>NA</t>
        </is>
      </c>
      <c r="W1366" s="257" t="n">
        <v>1</v>
      </c>
      <c r="X1366" s="945" t="inlineStr">
        <is>
          <t>NA</t>
        </is>
      </c>
      <c r="Y1366" s="237" t="n">
        <v>40</v>
      </c>
      <c r="Z1366" s="237" t="inlineStr">
        <is>
          <t>NA</t>
        </is>
      </c>
      <c r="AA1366" s="270" t="inlineStr">
        <is>
          <t>NA</t>
        </is>
      </c>
      <c r="AB1366" s="994" t="inlineStr">
        <is>
          <t>DEI, NSFR</t>
        </is>
      </c>
      <c r="AC1366" s="231" t="inlineStr">
        <is>
          <t>ND</t>
        </is>
      </c>
      <c r="AD1366" s="257" t="inlineStr">
        <is>
          <t>N</t>
        </is>
      </c>
      <c r="AE1366" s="257" t="inlineStr">
        <is>
          <t>SEC-CAS-COL
INS</t>
        </is>
      </c>
      <c r="AF1366" s="257" t="inlineStr">
        <is>
          <t>NA</t>
        </is>
      </c>
      <c r="AG1366" s="258" t="inlineStr">
        <is>
          <t>NA</t>
        </is>
      </c>
      <c r="AH1366" s="89" t="n"/>
      <c r="AI1366" s="849" t="inlineStr">
        <is>
          <t>La donnée est obligatoire si l'Indicateur Indice de Cotation Bâlois [M1 8.32] = ‘Y'</t>
        </is>
      </c>
      <c r="AJ1366" s="317" t="inlineStr">
        <is>
          <t>The data is mandatory if Basel stock index indicator [M1 8.32] = ‘Y'</t>
        </is>
      </c>
      <c r="AK1366" s="257" t="n">
        <v>6</v>
      </c>
      <c r="AL1366" s="366" t="inlineStr">
        <is>
          <t>TPS0712</t>
        </is>
      </c>
      <c r="AM1366" s="318" t="inlineStr">
        <is>
          <t>Si elle est renseignée, la valeur doit être connue du Langage Commun associé</t>
        </is>
      </c>
      <c r="AN1366" s="317" t="inlineStr">
        <is>
          <t>If specified, the value must be known to the associated Common Language</t>
        </is>
      </c>
      <c r="AO1366" s="257" t="n">
        <v>7</v>
      </c>
      <c r="AP1366" s="258" t="inlineStr">
        <is>
          <t>TIG0001</t>
        </is>
      </c>
      <c r="AQ1366" s="318" t="n"/>
      <c r="AR1366" s="317" t="n"/>
      <c r="AS1366" s="257" t="n"/>
      <c r="AT1366" s="258" t="n"/>
      <c r="AU1366" s="318" t="n"/>
      <c r="AV1366" s="317" t="n"/>
      <c r="AW1366" s="257" t="n"/>
      <c r="AX1366" s="258" t="n"/>
      <c r="AY1366" s="318" t="n"/>
      <c r="AZ1366" s="317" t="n"/>
      <c r="BA1366" s="257" t="n"/>
      <c r="BB1366" s="258" t="n"/>
      <c r="BC1366" s="316" t="n"/>
      <c r="BD1366" s="317" t="n"/>
      <c r="BE1366" s="257" t="n"/>
      <c r="BF1366" s="258" t="n"/>
      <c r="BG1366" s="89" t="n"/>
      <c r="BH13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66">
        <f>_xlfn.LET(r,ROW(),oc,INDEX($A:$A,r),cv,TRIM(INDEX($Y:$Y,r)&amp;""),IF(oc&lt;&gt;"P1","",IF(cv="45","V45 - novo, nao alimentado pelo spool atual","V44 - alimentado pelo spool atual")))</f>
        <v/>
      </c>
    </row>
    <row r="1367" ht="54" customFormat="1" customHeight="1" s="90">
      <c r="A1367" s="306" t="inlineStr">
        <is>
          <t>M1</t>
        </is>
      </c>
      <c r="B1367" s="307" t="n">
        <v>72</v>
      </c>
      <c r="C1367" s="269" t="inlineStr">
        <is>
          <t>17 - Caractéristiques Titres</t>
        </is>
      </c>
      <c r="D1367" s="310" t="inlineStr">
        <is>
          <t>17 - Securities characteristics</t>
        </is>
      </c>
      <c r="E1367" s="307" t="inlineStr">
        <is>
          <t>M1 8.4</t>
        </is>
      </c>
      <c r="F1367" s="308" t="inlineStr">
        <is>
          <t>Nombre de titres détenus</t>
        </is>
      </c>
      <c r="G1367" s="309" t="inlineStr">
        <is>
          <t>Number of securities held</t>
        </is>
      </c>
      <c r="H1367" s="309" t="n"/>
      <c r="I1367" s="241" t="inlineStr">
        <is>
          <t>Nombre de titres détenus</t>
        </is>
      </c>
      <c r="J1367" s="309" t="inlineStr">
        <is>
          <t>Number of securities held</t>
        </is>
      </c>
      <c r="K1367" s="370" t="inlineStr">
        <is>
          <t>ND</t>
        </is>
      </c>
      <c r="L1367" s="371" t="inlineStr">
        <is>
          <t>ND</t>
        </is>
      </c>
      <c r="M1367" s="1420" t="inlineStr">
        <is>
          <t>nbTitreDete</t>
        </is>
      </c>
      <c r="N1367" s="1007" t="inlineStr">
        <is>
          <t>Facultatif</t>
        </is>
      </c>
      <c r="O1367" s="1006" t="inlineStr">
        <is>
          <t>Optional</t>
        </is>
      </c>
      <c r="P1367" s="269" t="inlineStr">
        <is>
          <t>NA</t>
        </is>
      </c>
      <c r="Q1367" s="269" t="inlineStr">
        <is>
          <t>NA</t>
        </is>
      </c>
      <c r="R1367" s="241" t="inlineStr">
        <is>
          <t>NA</t>
        </is>
      </c>
      <c r="S1367" s="309" t="inlineStr">
        <is>
          <t>NA</t>
        </is>
      </c>
      <c r="T1367" s="313" t="inlineStr">
        <is>
          <t>NUM</t>
        </is>
      </c>
      <c r="U1367" s="237" t="inlineStr">
        <is>
          <t>NA</t>
        </is>
      </c>
      <c r="V1367" s="238" t="inlineStr">
        <is>
          <t>NA</t>
        </is>
      </c>
      <c r="W1367" s="257" t="n">
        <v>10</v>
      </c>
      <c r="X1367" s="945" t="inlineStr">
        <is>
          <t>NA</t>
        </is>
      </c>
      <c r="Y1367" s="237" t="n">
        <v>40</v>
      </c>
      <c r="Z1367" s="237" t="inlineStr">
        <is>
          <t>NA</t>
        </is>
      </c>
      <c r="AA1367" s="270" t="inlineStr">
        <is>
          <t>45.00</t>
        </is>
      </c>
      <c r="AB1367" s="994" t="inlineStr">
        <is>
          <t>USAGE ZP</t>
        </is>
      </c>
      <c r="AC1367" s="231" t="inlineStr">
        <is>
          <t>ND</t>
        </is>
      </c>
      <c r="AD1367" s="257" t="inlineStr">
        <is>
          <t>N</t>
        </is>
      </c>
      <c r="AE1367" s="1401" t="inlineStr">
        <is>
          <t>SEC-CAS-COL</t>
        </is>
      </c>
      <c r="AF1367" s="257" t="inlineStr">
        <is>
          <t>NA</t>
        </is>
      </c>
      <c r="AG1367" s="258" t="inlineStr">
        <is>
          <t>NA</t>
        </is>
      </c>
      <c r="AH1367" s="89" t="n"/>
      <c r="AI1367" s="1403" t="n"/>
      <c r="AJ1367" s="931" t="n"/>
      <c r="AK1367" s="958" t="n"/>
      <c r="AL1367" s="1402" t="n"/>
      <c r="AM1367" s="318" t="n"/>
      <c r="AN1367" s="317" t="n"/>
      <c r="AO1367" s="257" t="n"/>
      <c r="AP1367" s="258" t="n"/>
      <c r="AQ1367" s="318" t="n"/>
      <c r="AR1367" s="317" t="n"/>
      <c r="AS1367" s="257" t="n"/>
      <c r="AT1367" s="258" t="n"/>
      <c r="AU1367" s="318" t="n"/>
      <c r="AV1367" s="317" t="n"/>
      <c r="AW1367" s="257" t="n"/>
      <c r="AX1367" s="258" t="n"/>
      <c r="AY1367" s="318" t="n"/>
      <c r="AZ1367" s="317" t="n"/>
      <c r="BA1367" s="257" t="n"/>
      <c r="BB1367" s="258" t="n"/>
      <c r="BC1367" s="316" t="n"/>
      <c r="BD1367" s="317" t="n"/>
      <c r="BE1367" s="257" t="n"/>
      <c r="BF1367" s="258" t="n"/>
      <c r="BG1367" s="89" t="n"/>
      <c r="BH13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67">
        <f>_xlfn.LET(r,ROW(),oc,INDEX($A:$A,r),cv,TRIM(INDEX($Y:$Y,r)&amp;""),IF(oc&lt;&gt;"P1","",IF(cv="45","V45 - novo, nao alimentado pelo spool atual","V44 - alimentado pelo spool atual")))</f>
        <v/>
      </c>
    </row>
    <row r="1368" ht="54" customFormat="1" customHeight="1" s="90">
      <c r="A1368" s="306" t="inlineStr">
        <is>
          <t>M1</t>
        </is>
      </c>
      <c r="B1368" s="307" t="n">
        <v>73</v>
      </c>
      <c r="C1368" s="269" t="inlineStr">
        <is>
          <t>17 - Caractéristiques Titres</t>
        </is>
      </c>
      <c r="D1368" s="310" t="inlineStr">
        <is>
          <t>17 - Securities characteristics</t>
        </is>
      </c>
      <c r="E1368" s="307" t="inlineStr">
        <is>
          <t>M1 8.5</t>
        </is>
      </c>
      <c r="F1368" s="357" t="inlineStr">
        <is>
          <t>Date d'échéance des titres</t>
        </is>
      </c>
      <c r="G1368" s="309" t="inlineStr">
        <is>
          <t>Maturity date of securities</t>
        </is>
      </c>
      <c r="H1368" s="309" t="n"/>
      <c r="I1368" s="241" t="inlineStr">
        <is>
          <t>Date d'échéance des titres déposés, reçus</t>
        </is>
      </c>
      <c r="J1368" s="309" t="inlineStr">
        <is>
          <t>Maturity date of securities deposited, received</t>
        </is>
      </c>
      <c r="K1368" s="370" t="inlineStr">
        <is>
          <t>ND</t>
        </is>
      </c>
      <c r="L1368" s="371" t="inlineStr">
        <is>
          <t>ND</t>
        </is>
      </c>
      <c r="M1368" s="1420" t="inlineStr">
        <is>
          <t>dtEcheaTitre</t>
        </is>
      </c>
      <c r="N1368" s="231" t="inlineStr">
        <is>
          <t>Obligatoire sous conditions</t>
        </is>
      </c>
      <c r="O1368" s="236" t="inlineStr">
        <is>
          <t>Mandatory under conditions</t>
        </is>
      </c>
      <c r="P1368" s="269" t="inlineStr">
        <is>
          <t>NA</t>
        </is>
      </c>
      <c r="Q1368" s="269" t="inlineStr">
        <is>
          <t>NA</t>
        </is>
      </c>
      <c r="R1368" s="241" t="inlineStr">
        <is>
          <t>NA</t>
        </is>
      </c>
      <c r="S1368" s="309" t="inlineStr">
        <is>
          <t>NA</t>
        </is>
      </c>
      <c r="T1368" s="206" t="inlineStr">
        <is>
          <t>DATE</t>
        </is>
      </c>
      <c r="U1368" s="237" t="inlineStr">
        <is>
          <t>AAAAMMJJ</t>
        </is>
      </c>
      <c r="V1368" s="238" t="inlineStr">
        <is>
          <t>YYYYMMDD</t>
        </is>
      </c>
      <c r="W1368" s="257" t="n">
        <v>8</v>
      </c>
      <c r="X1368" s="945" t="inlineStr">
        <is>
          <t>NA</t>
        </is>
      </c>
      <c r="Y1368" s="237" t="n">
        <v>40</v>
      </c>
      <c r="Z1368" s="237" t="inlineStr">
        <is>
          <t>NA</t>
        </is>
      </c>
      <c r="AA1368" s="270" t="inlineStr">
        <is>
          <t>NA</t>
        </is>
      </c>
      <c r="AB1368" s="994" t="inlineStr">
        <is>
          <t>AER, DEI</t>
        </is>
      </c>
      <c r="AC1368" s="231" t="inlineStr">
        <is>
          <t>ND</t>
        </is>
      </c>
      <c r="AD1368" s="257" t="inlineStr">
        <is>
          <t>N</t>
        </is>
      </c>
      <c r="AE1368" s="257" t="inlineStr">
        <is>
          <t>SECxx</t>
        </is>
      </c>
      <c r="AF1368" s="257" t="inlineStr">
        <is>
          <t>NA</t>
        </is>
      </c>
      <c r="AG1368" s="258" t="inlineStr">
        <is>
          <t>NA</t>
        </is>
      </c>
      <c r="AH1368" s="89" t="n"/>
      <c r="AI1368" s="461" t="inlineStr">
        <is>
          <t>La donnée est obligatoire si la nature juridique de la sûreté [M1 5.1] = ‘SECxx'</t>
        </is>
      </c>
      <c r="AJ1368" s="317" t="inlineStr">
        <is>
          <t>The data is mandatory if Legal nature of the mitigant [M1 5.1] = ‘SECxx'</t>
        </is>
      </c>
      <c r="AK1368" s="257" t="n">
        <v>6</v>
      </c>
      <c r="AL1368" s="345" t="inlineStr">
        <is>
          <t>TPS0714</t>
        </is>
      </c>
      <c r="AM1368" s="318" t="n"/>
      <c r="AN1368" s="317" t="n"/>
      <c r="AO1368" s="257" t="n"/>
      <c r="AP1368" s="258" t="n"/>
      <c r="AQ1368" s="362" t="inlineStr">
        <is>
          <t>Si la donnée est renseignée et si l'année de la date est égale à '9999', alors la donnée doit être égale à '99990630'</t>
        </is>
      </c>
      <c r="AR1368" s="317" t="inlineStr">
        <is>
          <t>If filled, and if the year of the date = '9999', then the data must be equal to '99990630'</t>
        </is>
      </c>
      <c r="AS1368" s="257" t="n">
        <v>7</v>
      </c>
      <c r="AT1368" s="359" t="inlineStr">
        <is>
          <t>TVG0008</t>
        </is>
      </c>
      <c r="AU1368" s="318" t="n"/>
      <c r="AV1368" s="317" t="n"/>
      <c r="AW1368" s="257" t="n"/>
      <c r="AX1368" s="258" t="n"/>
      <c r="AY1368" s="318" t="n"/>
      <c r="AZ1368" s="317" t="n"/>
      <c r="BA1368" s="257" t="n"/>
      <c r="BB1368" s="258" t="n"/>
      <c r="BC1368" s="316" t="n"/>
      <c r="BD1368" s="317" t="n"/>
      <c r="BE1368" s="257" t="n"/>
      <c r="BF1368" s="258" t="n"/>
      <c r="BG1368" s="89" t="n"/>
      <c r="BH13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68">
        <f>_xlfn.LET(r,ROW(),oc,INDEX($A:$A,r),cv,TRIM(INDEX($Y:$Y,r)&amp;""),IF(oc&lt;&gt;"P1","",IF(cv="45","V45 - novo, nao alimentado pelo spool atual","V44 - alimentado pelo spool atual")))</f>
        <v/>
      </c>
    </row>
    <row r="1369" ht="54" customFormat="1" customHeight="1" s="90">
      <c r="A1369" s="306" t="inlineStr">
        <is>
          <t>M1</t>
        </is>
      </c>
      <c r="B1369" s="307" t="n">
        <v>74</v>
      </c>
      <c r="C1369" s="269" t="inlineStr">
        <is>
          <t>17 - Caractéristiques Titres</t>
        </is>
      </c>
      <c r="D1369" s="310" t="inlineStr">
        <is>
          <t>17 - Securities characteristics</t>
        </is>
      </c>
      <c r="E1369" s="307" t="inlineStr">
        <is>
          <t>M1 8.6</t>
        </is>
      </c>
      <c r="F1369" s="308" t="inlineStr">
        <is>
          <t>Période de liquidation des titres</t>
        </is>
      </c>
      <c r="G1369" s="309" t="inlineStr">
        <is>
          <t>Settlement period of securities</t>
        </is>
      </c>
      <c r="H1369" s="309" t="n"/>
      <c r="I1369" s="241" t="inlineStr">
        <is>
          <t>Délai minimal nécessaire à la liquidation des titres, exprimé en nombre de jours</t>
        </is>
      </c>
      <c r="J1369" s="309" t="inlineStr">
        <is>
          <t>Minimum period required for settlement of securities, expressed in number of days</t>
        </is>
      </c>
      <c r="K1369" s="370" t="inlineStr">
        <is>
          <t>ND</t>
        </is>
      </c>
      <c r="L1369" s="371" t="inlineStr">
        <is>
          <t>ND</t>
        </is>
      </c>
      <c r="M1369" s="1420" t="inlineStr">
        <is>
          <t>prdLiqTitre</t>
        </is>
      </c>
      <c r="N1369" s="231" t="inlineStr">
        <is>
          <t>Obligatoire sous conditions</t>
        </is>
      </c>
      <c r="O1369" s="236" t="inlineStr">
        <is>
          <t>Mandatory under conditions</t>
        </is>
      </c>
      <c r="P1369" s="269" t="inlineStr">
        <is>
          <t>NA</t>
        </is>
      </c>
      <c r="Q1369" s="269" t="inlineStr">
        <is>
          <t>NA</t>
        </is>
      </c>
      <c r="R1369" s="241" t="inlineStr">
        <is>
          <t>NA</t>
        </is>
      </c>
      <c r="S1369" s="309" t="inlineStr">
        <is>
          <t>NA</t>
        </is>
      </c>
      <c r="T1369" s="313" t="inlineStr">
        <is>
          <t>NUM</t>
        </is>
      </c>
      <c r="U1369" s="237" t="inlineStr">
        <is>
          <t>NA</t>
        </is>
      </c>
      <c r="V1369" s="238" t="inlineStr">
        <is>
          <t>NA</t>
        </is>
      </c>
      <c r="W1369" s="257" t="n">
        <v>5</v>
      </c>
      <c r="X1369" s="945" t="inlineStr">
        <is>
          <t>NA</t>
        </is>
      </c>
      <c r="Y1369" s="237" t="n">
        <v>40</v>
      </c>
      <c r="Z1369" s="237" t="inlineStr">
        <is>
          <t>NA</t>
        </is>
      </c>
      <c r="AA1369" s="270" t="inlineStr">
        <is>
          <t>NA</t>
        </is>
      </c>
      <c r="AB1369" s="1287" t="inlineStr">
        <is>
          <t>USAGE ZP</t>
        </is>
      </c>
      <c r="AC1369" s="231" t="inlineStr">
        <is>
          <t>ND</t>
        </is>
      </c>
      <c r="AD1369" s="257" t="inlineStr">
        <is>
          <t>N</t>
        </is>
      </c>
      <c r="AE1369" s="257" t="inlineStr">
        <is>
          <t xml:space="preserve">SEC-CAS-COL
</t>
        </is>
      </c>
      <c r="AF1369" s="257" t="inlineStr">
        <is>
          <t>NA</t>
        </is>
      </c>
      <c r="AG1369" s="258" t="inlineStr">
        <is>
          <t>NA</t>
        </is>
      </c>
      <c r="AH1369" s="89" t="n"/>
      <c r="AI1369" s="849" t="inlineStr">
        <is>
          <t>La donnée est obligatoire si la nature juridique de la sûreté [M1 5.1] = ‘SEC01xx'</t>
        </is>
      </c>
      <c r="AJ1369" s="317" t="inlineStr">
        <is>
          <t>The data is mandatory if Legal nature of the mitigant [M1 5.1] = ‘SEC01xx'</t>
        </is>
      </c>
      <c r="AK1369" s="257" t="n">
        <v>6</v>
      </c>
      <c r="AL1369" s="366" t="inlineStr">
        <is>
          <t>TPS0713</t>
        </is>
      </c>
      <c r="AM1369" s="318" t="n"/>
      <c r="AN1369" s="317" t="n"/>
      <c r="AO1369" s="257" t="n"/>
      <c r="AP1369" s="258" t="n"/>
      <c r="AQ1369" s="318" t="n"/>
      <c r="AR1369" s="317" t="n"/>
      <c r="AS1369" s="257" t="n"/>
      <c r="AT1369" s="258" t="n"/>
      <c r="AU1369" s="318" t="n"/>
      <c r="AV1369" s="317" t="n"/>
      <c r="AW1369" s="257" t="n"/>
      <c r="AX1369" s="258" t="n"/>
      <c r="AY1369" s="318" t="n"/>
      <c r="AZ1369" s="317" t="n"/>
      <c r="BA1369" s="257" t="n"/>
      <c r="BB1369" s="258" t="n"/>
      <c r="BC1369" s="316" t="n"/>
      <c r="BD1369" s="317" t="n"/>
      <c r="BE1369" s="257" t="n"/>
      <c r="BF1369" s="258" t="n"/>
      <c r="BG1369" s="89" t="n"/>
      <c r="BH13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69">
        <f>_xlfn.LET(r,ROW(),oc,INDEX($A:$A,r),cv,TRIM(INDEX($Y:$Y,r)&amp;""),IF(oc&lt;&gt;"P1","",IF(cv="45","V45 - novo, nao alimentado pelo spool atual","V44 - alimentado pelo spool atual")))</f>
        <v/>
      </c>
    </row>
    <row r="1370" ht="54" customFormat="1" customHeight="1" s="90">
      <c r="A1370" s="306" t="inlineStr">
        <is>
          <t>M1</t>
        </is>
      </c>
      <c r="B1370" s="307" t="n">
        <v>75</v>
      </c>
      <c r="C1370" s="269" t="inlineStr">
        <is>
          <t>17 - Caractéristiques Titres</t>
        </is>
      </c>
      <c r="D1370" s="310" t="inlineStr">
        <is>
          <t>17 - Securities characteristics</t>
        </is>
      </c>
      <c r="E1370" s="307" t="inlineStr">
        <is>
          <t>M1 8.7</t>
        </is>
      </c>
      <c r="F1370" s="308" t="inlineStr">
        <is>
          <t xml:space="preserve">Pays d'émission des titres </t>
        </is>
      </c>
      <c r="G1370" s="309" t="inlineStr">
        <is>
          <t xml:space="preserve">Country of issue of securities </t>
        </is>
      </c>
      <c r="H1370" s="309" t="n"/>
      <c r="I1370" s="241" t="inlineStr">
        <is>
          <t>Pays d'émission des titres</t>
        </is>
      </c>
      <c r="J1370" s="309" t="inlineStr">
        <is>
          <t>Country of issue of securities</t>
        </is>
      </c>
      <c r="K1370" s="370" t="inlineStr">
        <is>
          <t>ND</t>
        </is>
      </c>
      <c r="L1370" s="371" t="inlineStr">
        <is>
          <t>ND</t>
        </is>
      </c>
      <c r="M1370" s="1420" t="inlineStr">
        <is>
          <t>cdPaysTitre</t>
        </is>
      </c>
      <c r="N1370" s="231" t="inlineStr">
        <is>
          <t>Obligatoire sous conditions</t>
        </is>
      </c>
      <c r="O1370" s="236" t="inlineStr">
        <is>
          <t>Mandatory under conditions</t>
        </is>
      </c>
      <c r="P1370" s="269" t="inlineStr">
        <is>
          <t>LC.0004
LC.0273</t>
        </is>
      </c>
      <c r="Q1370" s="269" t="inlineStr">
        <is>
          <t>TA NM252 (pour la partie ISO 3166)
TA NM258 (organisation supra nationales)</t>
        </is>
      </c>
      <c r="R1370" s="241" t="inlineStr">
        <is>
          <t>NB : Facultatif pour le type de risque INS</t>
        </is>
      </c>
      <c r="S1370" s="309" t="inlineStr">
        <is>
          <t>N.B. Optional for the INS risk type</t>
        </is>
      </c>
      <c r="T1370" s="313" t="inlineStr">
        <is>
          <t>ALPHA</t>
        </is>
      </c>
      <c r="U1370" s="237" t="inlineStr">
        <is>
          <t>NA</t>
        </is>
      </c>
      <c r="V1370" s="238" t="inlineStr">
        <is>
          <t>NA</t>
        </is>
      </c>
      <c r="W1370" s="257" t="n">
        <v>2</v>
      </c>
      <c r="X1370" s="945" t="inlineStr">
        <is>
          <t>NA</t>
        </is>
      </c>
      <c r="Y1370" s="237" t="n">
        <v>40</v>
      </c>
      <c r="Z1370" s="237" t="inlineStr">
        <is>
          <t>NA</t>
        </is>
      </c>
      <c r="AA1370" s="270" t="inlineStr">
        <is>
          <t>NA</t>
        </is>
      </c>
      <c r="AB1370" s="994" t="inlineStr">
        <is>
          <t>NSFR</t>
        </is>
      </c>
      <c r="AC1370" s="231" t="inlineStr">
        <is>
          <t>ND</t>
        </is>
      </c>
      <c r="AD1370" s="257" t="inlineStr">
        <is>
          <t>N</t>
        </is>
      </c>
      <c r="AE1370" s="257" t="inlineStr">
        <is>
          <t>SEC-CAS-COL
INS</t>
        </is>
      </c>
      <c r="AF1370" s="257" t="inlineStr">
        <is>
          <t>NA</t>
        </is>
      </c>
      <c r="AG1370" s="258" t="inlineStr">
        <is>
          <t>NA</t>
        </is>
      </c>
      <c r="AH1370" s="89" t="n"/>
      <c r="AI1370" s="849" t="inlineStr">
        <is>
          <t>La donnée est obligatoire si la nature juridique de la sûreté [M1 5.1] = ‘SEC01xx'</t>
        </is>
      </c>
      <c r="AJ1370" s="317" t="inlineStr">
        <is>
          <t>The data is mandatory if Legal nature of the mitigant [M1 5.1] = ‘SEC01xx'</t>
        </is>
      </c>
      <c r="AK1370" s="257" t="n">
        <v>5</v>
      </c>
      <c r="AL1370" s="366" t="inlineStr">
        <is>
          <t>TPS0713</t>
        </is>
      </c>
      <c r="AM1370" s="318" t="inlineStr">
        <is>
          <t>Si elle est renseignée, la valeur doit être connue du Langage Commun associé</t>
        </is>
      </c>
      <c r="AN1370" s="317" t="inlineStr">
        <is>
          <t>If specified, the value must be known to the associated Common Language</t>
        </is>
      </c>
      <c r="AO1370" s="257" t="n">
        <v>7</v>
      </c>
      <c r="AP1370" s="258" t="inlineStr">
        <is>
          <t>TIG0001</t>
        </is>
      </c>
      <c r="AQ1370" s="318" t="n"/>
      <c r="AR1370" s="317" t="n"/>
      <c r="AS1370" s="257" t="n"/>
      <c r="AT1370" s="258" t="n"/>
      <c r="AU1370" s="318" t="n"/>
      <c r="AV1370" s="317" t="n"/>
      <c r="AW1370" s="257" t="n"/>
      <c r="AX1370" s="258" t="n"/>
      <c r="AY1370" s="318" t="n"/>
      <c r="AZ1370" s="317" t="n"/>
      <c r="BA1370" s="257" t="n"/>
      <c r="BB1370" s="258" t="n"/>
      <c r="BC1370" s="316" t="n"/>
      <c r="BD1370" s="317" t="n"/>
      <c r="BE1370" s="257" t="n"/>
      <c r="BF1370" s="258" t="n"/>
      <c r="BG1370" s="89" t="n"/>
      <c r="BH13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70">
        <f>_xlfn.LET(r,ROW(),oc,INDEX($A:$A,r),cv,TRIM(INDEX($Y:$Y,r)&amp;""),IF(oc&lt;&gt;"P1","",IF(cv="45","V45 - novo, nao alimentado pelo spool atual","V44 - alimentado pelo spool atual")))</f>
        <v/>
      </c>
    </row>
    <row r="1371" ht="54" customFormat="1" customHeight="1" s="90">
      <c r="A1371" s="306" t="inlineStr">
        <is>
          <t>M1</t>
        </is>
      </c>
      <c r="B1371" s="307" t="n">
        <v>76</v>
      </c>
      <c r="C1371" s="269" t="inlineStr">
        <is>
          <t>17 - Caractéristiques Titres</t>
        </is>
      </c>
      <c r="D1371" s="310" t="inlineStr">
        <is>
          <t>17 - Securities characteristics</t>
        </is>
      </c>
      <c r="E1371" s="307" t="inlineStr">
        <is>
          <t>M1 8.8</t>
        </is>
      </c>
      <c r="F1371" s="308" t="inlineStr">
        <is>
          <t>Identifiant local de l'émetteur des titres</t>
        </is>
      </c>
      <c r="G1371" s="309" t="inlineStr">
        <is>
          <t>Local ID of issuer of securities</t>
        </is>
      </c>
      <c r="H1371" s="309" t="n"/>
      <c r="I1371" s="241" t="inlineStr">
        <is>
          <t>Identifiant de l'émetteur des titres dans le système de gestion de l'opération</t>
        </is>
      </c>
      <c r="J1371" s="233" t="inlineStr">
        <is>
          <t>ID of the issuer of securities in the operation management system</t>
        </is>
      </c>
      <c r="K1371" s="370" t="inlineStr">
        <is>
          <t>ND</t>
        </is>
      </c>
      <c r="L1371" s="371" t="inlineStr">
        <is>
          <t>ND</t>
        </is>
      </c>
      <c r="M1371" s="1420" t="inlineStr">
        <is>
          <t>idLocalEmetTitre</t>
        </is>
      </c>
      <c r="N1371" s="231" t="inlineStr">
        <is>
          <t>Obligatoire sous conditions</t>
        </is>
      </c>
      <c r="O1371" s="236" t="inlineStr">
        <is>
          <t>Mandatory under conditions</t>
        </is>
      </c>
      <c r="P1371" s="269" t="inlineStr">
        <is>
          <t>NA</t>
        </is>
      </c>
      <c r="Q1371" s="269" t="inlineStr">
        <is>
          <t>NA</t>
        </is>
      </c>
      <c r="R1371" s="241" t="inlineStr">
        <is>
          <t>Vérification présence d'un enregistrement de type C1 avec même identifiant dans le lot</t>
        </is>
      </c>
      <c r="S1371" s="309" t="inlineStr">
        <is>
          <t>Check that there is a C1 record with the same identifier in the batch</t>
        </is>
      </c>
      <c r="T1371" s="313" t="inlineStr">
        <is>
          <t>ALPHA</t>
        </is>
      </c>
      <c r="U1371" s="237" t="inlineStr">
        <is>
          <t>NA</t>
        </is>
      </c>
      <c r="V1371" s="238" t="inlineStr">
        <is>
          <t>NA</t>
        </is>
      </c>
      <c r="W1371" s="257" t="n">
        <v>20</v>
      </c>
      <c r="X1371" s="945" t="inlineStr">
        <is>
          <t>NA</t>
        </is>
      </c>
      <c r="Y1371" s="237" t="n">
        <v>40</v>
      </c>
      <c r="Z1371" s="237" t="inlineStr">
        <is>
          <t>NA</t>
        </is>
      </c>
      <c r="AA1371" s="270" t="inlineStr">
        <is>
          <t>NA</t>
        </is>
      </c>
      <c r="AB1371" s="994" t="inlineStr">
        <is>
          <t>AER, DEI, GRR</t>
        </is>
      </c>
      <c r="AC1371" s="231" t="inlineStr">
        <is>
          <t>ND</t>
        </is>
      </c>
      <c r="AD1371" s="257" t="inlineStr">
        <is>
          <t>N</t>
        </is>
      </c>
      <c r="AE1371" s="257" t="inlineStr">
        <is>
          <t>SEC-CAS-COL
INS</t>
        </is>
      </c>
      <c r="AF1371" s="257" t="inlineStr">
        <is>
          <t>NA</t>
        </is>
      </c>
      <c r="AG1371" s="258" t="inlineStr">
        <is>
          <t>NA</t>
        </is>
      </c>
      <c r="AH1371" s="89" t="n"/>
      <c r="AI1371" s="849" t="inlineStr">
        <is>
          <t>La donnée est obligatoire si la nature juridique de la sûreté [M1 5.1] = ‘SEC01xx'</t>
        </is>
      </c>
      <c r="AJ1371" s="317" t="inlineStr">
        <is>
          <t>The data is mandatory if Legal nature of the mitigant [M1 5.1] = ‘SEC01xx'</t>
        </is>
      </c>
      <c r="AK1371" s="257" t="n">
        <v>6</v>
      </c>
      <c r="AL1371" s="366" t="inlineStr">
        <is>
          <t>TPS0713</t>
        </is>
      </c>
      <c r="AM1371" s="318" t="n"/>
      <c r="AN1371" s="317" t="n"/>
      <c r="AO1371" s="257" t="n"/>
      <c r="AP1371" s="258" t="n"/>
      <c r="AQ1371" s="318" t="n"/>
      <c r="AR1371" s="317" t="n"/>
      <c r="AS1371" s="257" t="n"/>
      <c r="AT1371" s="258" t="n"/>
      <c r="AU1371" s="318" t="n"/>
      <c r="AV1371" s="317" t="n"/>
      <c r="AW1371" s="257" t="n"/>
      <c r="AX1371" s="258" t="n"/>
      <c r="AY1371" s="337" t="inlineStr">
        <is>
          <t>Le tiers doit exister (présence du tiers dans TIGRE)</t>
        </is>
      </c>
      <c r="AZ1371" s="317" t="inlineStr">
        <is>
          <t>The third-party must exist (presence of the third-party in TIGRE)</t>
        </is>
      </c>
      <c r="BA1371" s="257" t="n">
        <v>7</v>
      </c>
      <c r="BB1371" s="338" t="inlineStr">
        <is>
          <t>TIG0002</t>
        </is>
      </c>
      <c r="BC1371" s="316" t="n"/>
      <c r="BD1371" s="317" t="n"/>
      <c r="BE1371" s="257" t="n"/>
      <c r="BF1371" s="258" t="n"/>
      <c r="BG1371" s="89" t="n"/>
      <c r="BH13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71">
        <f>_xlfn.LET(r,ROW(),oc,INDEX($A:$A,r),cv,TRIM(INDEX($Y:$Y,r)&amp;""),IF(oc&lt;&gt;"P1","",IF(cv="45","V45 - novo, nao alimentado pelo spool atual","V44 - alimentado pelo spool atual")))</f>
        <v/>
      </c>
    </row>
    <row r="1372" ht="54" customFormat="1" customHeight="1" s="90">
      <c r="A1372" s="306" t="inlineStr">
        <is>
          <t>M1</t>
        </is>
      </c>
      <c r="B1372" s="307" t="n">
        <v>77</v>
      </c>
      <c r="C1372" s="269" t="inlineStr">
        <is>
          <t>17 - Caractéristiques Titres</t>
        </is>
      </c>
      <c r="D1372" s="310" t="inlineStr">
        <is>
          <t>17 - Securities characteristics</t>
        </is>
      </c>
      <c r="E1372" s="307" t="inlineStr">
        <is>
          <t>M1 8.9</t>
        </is>
      </c>
      <c r="F1372" s="308" t="inlineStr">
        <is>
          <t>Identifiant central de l'émetteur des titres</t>
        </is>
      </c>
      <c r="G1372" s="309" t="inlineStr">
        <is>
          <t>Central ID of issuer of securities</t>
        </is>
      </c>
      <c r="H1372" s="309" t="n"/>
      <c r="I1372" s="241" t="inlineStr">
        <is>
          <t>Identifiant de l'émetteur des titres dans le système central DRG</t>
        </is>
      </c>
      <c r="J1372" s="309" t="inlineStr">
        <is>
          <t>ID of the issuer of securities in the Group Risk Management Division IT system</t>
        </is>
      </c>
      <c r="K1372" s="370" t="inlineStr">
        <is>
          <t>ND</t>
        </is>
      </c>
      <c r="L1372" s="371" t="inlineStr">
        <is>
          <t>ND</t>
        </is>
      </c>
      <c r="M1372" s="1420" t="inlineStr">
        <is>
          <t>cdCentralEmetTitre</t>
        </is>
      </c>
      <c r="N1372" s="231" t="inlineStr">
        <is>
          <t>Facultatif</t>
        </is>
      </c>
      <c r="O1372" s="236" t="inlineStr">
        <is>
          <t>Optional</t>
        </is>
      </c>
      <c r="P1372" s="269" t="inlineStr">
        <is>
          <t>NA</t>
        </is>
      </c>
      <c r="Q1372" s="269" t="inlineStr">
        <is>
          <t>NA</t>
        </is>
      </c>
      <c r="R1372" s="241" t="inlineStr">
        <is>
          <t xml:space="preserve"> NB : Facultatif pour le type de risque INS</t>
        </is>
      </c>
      <c r="S1372" s="309" t="inlineStr">
        <is>
          <t xml:space="preserve"> N.B. Optional for the INS risk type</t>
        </is>
      </c>
      <c r="T1372" s="313" t="inlineStr">
        <is>
          <t>ALPHA</t>
        </is>
      </c>
      <c r="U1372" s="237" t="inlineStr">
        <is>
          <t>NA</t>
        </is>
      </c>
      <c r="V1372" s="238" t="inlineStr">
        <is>
          <t>NA</t>
        </is>
      </c>
      <c r="W1372" s="257" t="n">
        <v>10</v>
      </c>
      <c r="X1372" s="945" t="inlineStr">
        <is>
          <t>NA</t>
        </is>
      </c>
      <c r="Y1372" s="237" t="n">
        <v>40</v>
      </c>
      <c r="Z1372" s="237" t="inlineStr">
        <is>
          <t>NA</t>
        </is>
      </c>
      <c r="AA1372" s="270" t="inlineStr">
        <is>
          <t>45.00</t>
        </is>
      </c>
      <c r="AB1372" s="994" t="inlineStr">
        <is>
          <t>AER, ASTRE, DEI, GRR</t>
        </is>
      </c>
      <c r="AC1372" s="231" t="inlineStr">
        <is>
          <t>ND</t>
        </is>
      </c>
      <c r="AD1372" s="257" t="inlineStr">
        <is>
          <t>N</t>
        </is>
      </c>
      <c r="AE1372" s="257" t="inlineStr">
        <is>
          <t>SEC-CAS-COL
INS</t>
        </is>
      </c>
      <c r="AF1372" s="257" t="inlineStr">
        <is>
          <t>NA</t>
        </is>
      </c>
      <c r="AG1372" s="258" t="inlineStr">
        <is>
          <t>NA</t>
        </is>
      </c>
      <c r="AH1372" s="89" t="n"/>
      <c r="AI1372" s="316" t="n"/>
      <c r="AJ1372" s="317" t="n"/>
      <c r="AK1372" s="257" t="n"/>
      <c r="AL1372" s="258" t="n"/>
      <c r="AM1372" s="318" t="n"/>
      <c r="AN1372" s="317" t="n"/>
      <c r="AO1372" s="257" t="n"/>
      <c r="AP1372" s="258" t="n"/>
      <c r="AQ1372" s="318" t="n"/>
      <c r="AR1372" s="317" t="n"/>
      <c r="AS1372" s="257" t="n"/>
      <c r="AT1372" s="258" t="n"/>
      <c r="AU1372" s="318" t="n"/>
      <c r="AV1372" s="317" t="n"/>
      <c r="AW1372" s="257" t="n"/>
      <c r="AX1372" s="258" t="n"/>
      <c r="AY1372" s="1180" t="inlineStr">
        <is>
          <t>S'il est renseigné, l'identifiant doit correspondre à un enregistrement dans l'objet associé, indépendamment de l'entité
---
Le tiers doit exister (présence du tiers dans TIGRE)
---
Le couple identifiant local / central (M1 8.8 et M1 8.9) doit exister dans TIGRE</t>
        </is>
      </c>
      <c r="AZ1372" s="931" t="inlineStr">
        <is>
          <t>If it is filled in, the identifier must correspond to a record in the associated object, regardless of the entity
---
The third-party must exist (presence of the third-party in TIGRE)
---
The local/central identifier pair (M1 8.8 and M1 8.9) must exist in TIGRE</t>
        </is>
      </c>
      <c r="BA1372" s="1181" t="inlineStr">
        <is>
          <t>7
6
6</t>
        </is>
      </c>
      <c r="BB1372" s="1182" t="inlineStr">
        <is>
          <t>TI0003
TIG0002
TIG0004</t>
        </is>
      </c>
      <c r="BC1372" s="316" t="n"/>
      <c r="BD1372" s="317" t="n"/>
      <c r="BE1372" s="257" t="n"/>
      <c r="BF1372" s="258" t="n"/>
      <c r="BG1372" s="89" t="n"/>
      <c r="BH13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72">
        <f>_xlfn.LET(r,ROW(),oc,INDEX($A:$A,r),cv,TRIM(INDEX($Y:$Y,r)&amp;""),IF(oc&lt;&gt;"P1","",IF(cv="45","V45 - novo, nao alimentado pelo spool atual","V44 - alimentado pelo spool atual")))</f>
        <v/>
      </c>
    </row>
    <row r="1373" ht="54" customFormat="1" customHeight="1" s="90">
      <c r="A1373" s="306" t="inlineStr">
        <is>
          <t>M1</t>
        </is>
      </c>
      <c r="B1373" s="307" t="n">
        <v>78</v>
      </c>
      <c r="C1373" s="269" t="inlineStr">
        <is>
          <t>15 - Caractéristiques Sureté</t>
        </is>
      </c>
      <c r="D1373" s="310" t="inlineStr">
        <is>
          <t>15 - Safety characteristics</t>
        </is>
      </c>
      <c r="E1373" s="307" t="inlineStr">
        <is>
          <t>M1 8.10</t>
        </is>
      </c>
      <c r="F1373" s="308" t="inlineStr">
        <is>
          <t>Nationalité de l'émetteur</t>
        </is>
      </c>
      <c r="G1373" s="309" t="inlineStr">
        <is>
          <t>Nationality of issuer</t>
        </is>
      </c>
      <c r="H1373" s="309" t="n"/>
      <c r="I1373" s="241" t="inlineStr">
        <is>
          <t>Nationalité de la société émettrice des titres</t>
        </is>
      </c>
      <c r="J1373" s="309" t="inlineStr">
        <is>
          <t>Nationality of the company issuing securities</t>
        </is>
      </c>
      <c r="K1373" s="370" t="inlineStr">
        <is>
          <t>ND</t>
        </is>
      </c>
      <c r="L1373" s="371" t="inlineStr">
        <is>
          <t>ND</t>
        </is>
      </c>
      <c r="M1373" s="1420" t="inlineStr">
        <is>
          <t>cdPaysEmet</t>
        </is>
      </c>
      <c r="N1373" s="231" t="inlineStr">
        <is>
          <t>Facultatif</t>
        </is>
      </c>
      <c r="O1373" s="236" t="inlineStr">
        <is>
          <t>Optional</t>
        </is>
      </c>
      <c r="P1373" s="269" t="inlineStr">
        <is>
          <t>LC.0004
LC.0273</t>
        </is>
      </c>
      <c r="Q1373" s="269" t="inlineStr">
        <is>
          <t>TA NM252 (pour la partie ISO 3166)
TA NM258 (organisation supra nationales)</t>
        </is>
      </c>
      <c r="R1373" s="241" t="inlineStr">
        <is>
          <t>NB : Facultatif pour le type de risque INS</t>
        </is>
      </c>
      <c r="S1373" s="309" t="inlineStr">
        <is>
          <t>N.B. Optional for the INS risk type</t>
        </is>
      </c>
      <c r="T1373" s="313" t="inlineStr">
        <is>
          <t>ALPHA</t>
        </is>
      </c>
      <c r="U1373" s="237" t="inlineStr">
        <is>
          <t>NA</t>
        </is>
      </c>
      <c r="V1373" s="238" t="inlineStr">
        <is>
          <t>NA</t>
        </is>
      </c>
      <c r="W1373" s="257" t="n">
        <v>2</v>
      </c>
      <c r="X1373" s="945" t="inlineStr">
        <is>
          <t>NA</t>
        </is>
      </c>
      <c r="Y1373" s="237" t="n">
        <v>40</v>
      </c>
      <c r="Z1373" s="237" t="inlineStr">
        <is>
          <t>NA</t>
        </is>
      </c>
      <c r="AA1373" s="270" t="inlineStr">
        <is>
          <t>NA</t>
        </is>
      </c>
      <c r="AB1373" s="994" t="inlineStr">
        <is>
          <t>NSFR</t>
        </is>
      </c>
      <c r="AC1373" s="231" t="inlineStr">
        <is>
          <t>ND</t>
        </is>
      </c>
      <c r="AD1373" s="257" t="inlineStr">
        <is>
          <t>N</t>
        </is>
      </c>
      <c r="AE1373" s="257" t="inlineStr">
        <is>
          <t>SEC-CAS-COL
INS</t>
        </is>
      </c>
      <c r="AF1373" s="257" t="inlineStr">
        <is>
          <t>NA</t>
        </is>
      </c>
      <c r="AG1373" s="258" t="inlineStr">
        <is>
          <t>NA</t>
        </is>
      </c>
      <c r="AH1373" s="89" t="n"/>
      <c r="AI1373" s="316" t="n"/>
      <c r="AJ1373" s="317" t="n"/>
      <c r="AK1373" s="257" t="n"/>
      <c r="AL1373" s="258" t="n"/>
      <c r="AM1373" s="318" t="inlineStr">
        <is>
          <t>Si elle est renseignée, la valeur doit être connue du Langage Commun associé</t>
        </is>
      </c>
      <c r="AN1373" s="317" t="inlineStr">
        <is>
          <t>If specified, the value must be known to the associated Common Language</t>
        </is>
      </c>
      <c r="AO1373" s="257" t="n">
        <v>7</v>
      </c>
      <c r="AP1373" s="258" t="inlineStr">
        <is>
          <t>TIG0001</t>
        </is>
      </c>
      <c r="AQ1373" s="318" t="n"/>
      <c r="AR1373" s="317" t="n"/>
      <c r="AS1373" s="257" t="n"/>
      <c r="AT1373" s="258" t="n"/>
      <c r="AU1373" s="318" t="n"/>
      <c r="AV1373" s="317" t="n"/>
      <c r="AW1373" s="257" t="n"/>
      <c r="AX1373" s="258" t="n"/>
      <c r="AY1373" s="318" t="n"/>
      <c r="AZ1373" s="317" t="n"/>
      <c r="BA1373" s="257" t="n"/>
      <c r="BB1373" s="258" t="n"/>
      <c r="BC1373" s="316" t="n"/>
      <c r="BD1373" s="317" t="n"/>
      <c r="BE1373" s="257" t="n"/>
      <c r="BF1373" s="258" t="n"/>
      <c r="BG1373" s="89" t="n"/>
      <c r="BH13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73">
        <f>_xlfn.LET(r,ROW(),oc,INDEX($A:$A,r),cv,TRIM(INDEX($Y:$Y,r)&amp;""),IF(oc&lt;&gt;"P1","",IF(cv="45","V45 - novo, nao alimentado pelo spool atual","V44 - alimentado pelo spool atual")))</f>
        <v/>
      </c>
    </row>
    <row r="1374" ht="54" customFormat="1" customHeight="1" s="90">
      <c r="A1374" s="306" t="inlineStr">
        <is>
          <t>M1</t>
        </is>
      </c>
      <c r="B1374" s="307" t="n">
        <v>79</v>
      </c>
      <c r="C1374" s="269" t="inlineStr">
        <is>
          <t>15 - Caractéristiques Sureté</t>
        </is>
      </c>
      <c r="D1374" s="310" t="inlineStr">
        <is>
          <t>15 - Safety characteristics</t>
        </is>
      </c>
      <c r="E1374" s="307" t="inlineStr">
        <is>
          <t>M1 8.37</t>
        </is>
      </c>
      <c r="F1374" s="308" t="inlineStr">
        <is>
          <t>Indicateur de période de liquidation 20 jours</t>
        </is>
      </c>
      <c r="G1374" s="309" t="inlineStr">
        <is>
          <t xml:space="preserve">Indicator of settlement period 20 days </t>
        </is>
      </c>
      <c r="H1374" s="309" t="n"/>
      <c r="I1374" s="241" t="inlineStr">
        <is>
          <t>La période de liquidation d'un actif est fixée forfaitairement à 20 jours lorsque l'actif est réputé illiquide. Cette période de liquidation est prise en compte dans le calcul de la décote forfaitaire sur cet actif</t>
        </is>
      </c>
      <c r="J1374" s="309" t="inlineStr">
        <is>
          <t>The liquidation period of an asset shall be fixed at a flat rate of 20 days where the asset is deemed to be illiquid. This liquidation period shall be taken into account in the calculation of the lump - sum haircut on that asset</t>
        </is>
      </c>
      <c r="K1374" s="370" t="inlineStr">
        <is>
          <t>ND</t>
        </is>
      </c>
      <c r="L1374" s="371" t="inlineStr">
        <is>
          <t>ND</t>
        </is>
      </c>
      <c r="M1374" s="1420" t="inlineStr">
        <is>
          <t>prdLiq20J</t>
        </is>
      </c>
      <c r="N1374" s="231" t="inlineStr">
        <is>
          <t>Facultatif</t>
        </is>
      </c>
      <c r="O1374" s="236" t="inlineStr">
        <is>
          <t>Optional</t>
        </is>
      </c>
      <c r="P1374" s="269" t="inlineStr">
        <is>
          <t>LC.0476</t>
        </is>
      </c>
      <c r="Q1374" s="269" t="inlineStr">
        <is>
          <t>TA Z8IPL20J</t>
        </is>
      </c>
      <c r="R1374" s="241" t="inlineStr">
        <is>
          <t>Donnée Bâle</t>
        </is>
      </c>
      <c r="S1374" s="309" t="inlineStr">
        <is>
          <t>Basel data</t>
        </is>
      </c>
      <c r="T1374" s="313" t="inlineStr">
        <is>
          <t>ALPHA</t>
        </is>
      </c>
      <c r="U1374" s="237" t="inlineStr">
        <is>
          <t>NA</t>
        </is>
      </c>
      <c r="V1374" s="238" t="inlineStr">
        <is>
          <t>NA</t>
        </is>
      </c>
      <c r="W1374" s="257" t="n">
        <v>1</v>
      </c>
      <c r="X1374" s="945" t="inlineStr">
        <is>
          <t>NA</t>
        </is>
      </c>
      <c r="Y1374" s="237" t="n">
        <v>40</v>
      </c>
      <c r="Z1374" s="237" t="inlineStr">
        <is>
          <t>NA</t>
        </is>
      </c>
      <c r="AA1374" s="270" t="inlineStr">
        <is>
          <t>NA</t>
        </is>
      </c>
      <c r="AB1374" s="994" t="inlineStr">
        <is>
          <t>SA-CCR</t>
        </is>
      </c>
      <c r="AC1374" s="231" t="inlineStr">
        <is>
          <t>ND</t>
        </is>
      </c>
      <c r="AD1374" s="257" t="inlineStr">
        <is>
          <t>N</t>
        </is>
      </c>
      <c r="AE1374" s="257" t="inlineStr">
        <is>
          <t xml:space="preserve">SEC-CAS-COL
</t>
        </is>
      </c>
      <c r="AF1374" s="257" t="inlineStr">
        <is>
          <t>NA</t>
        </is>
      </c>
      <c r="AG1374" s="258" t="inlineStr">
        <is>
          <t>NA</t>
        </is>
      </c>
      <c r="AH1374" s="89" t="n"/>
      <c r="AI1374" s="316" t="n"/>
      <c r="AJ1374" s="317" t="n"/>
      <c r="AK1374" s="257" t="n"/>
      <c r="AL1374" s="258" t="n"/>
      <c r="AM1374" s="318" t="inlineStr">
        <is>
          <t>Si elle est renseignée, la valeur doit être connue du Langage Commun associé</t>
        </is>
      </c>
      <c r="AN1374" s="317" t="inlineStr">
        <is>
          <t>If specified, the value must be known to the associated Common Language</t>
        </is>
      </c>
      <c r="AO1374" s="257" t="n">
        <v>7</v>
      </c>
      <c r="AP1374" s="469" t="inlineStr">
        <is>
          <t>TIG0001</t>
        </is>
      </c>
      <c r="AQ1374" s="421" t="n"/>
      <c r="AR1374" s="422" t="n"/>
      <c r="AS1374" s="348" t="n"/>
      <c r="AT1374" s="868" t="n"/>
      <c r="AU1374" s="318" t="n"/>
      <c r="AV1374" s="317" t="n"/>
      <c r="AW1374" s="257" t="n"/>
      <c r="AX1374" s="258" t="n"/>
      <c r="AY1374" s="318" t="n"/>
      <c r="AZ1374" s="317" t="n"/>
      <c r="BA1374" s="257" t="n"/>
      <c r="BB1374" s="258" t="n"/>
      <c r="BC1374" s="316" t="n"/>
      <c r="BD1374" s="317" t="n"/>
      <c r="BE1374" s="257" t="n"/>
      <c r="BF1374" s="258" t="n"/>
      <c r="BG1374" s="89" t="n"/>
      <c r="BH13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74">
        <f>_xlfn.LET(r,ROW(),oc,INDEX($A:$A,r),cv,TRIM(INDEX($Y:$Y,r)&amp;""),IF(oc&lt;&gt;"P1","",IF(cv="45","V45 - novo, nao alimentado pelo spool atual","V44 - alimentado pelo spool atual")))</f>
        <v/>
      </c>
    </row>
    <row r="1375" ht="54" customFormat="1" customHeight="1" s="90">
      <c r="A1375" s="306" t="inlineStr">
        <is>
          <t>M1</t>
        </is>
      </c>
      <c r="B1375" s="307" t="n">
        <v>80</v>
      </c>
      <c r="C1375" s="269" t="inlineStr">
        <is>
          <t>15 - Caractéristiques Sureté</t>
        </is>
      </c>
      <c r="D1375" s="310" t="inlineStr">
        <is>
          <t>15 - Safety characteristics</t>
        </is>
      </c>
      <c r="E1375" s="307" t="inlineStr">
        <is>
          <t>M1 8.38</t>
        </is>
      </c>
      <c r="F1375" s="308" t="inlineStr">
        <is>
          <t>Indicateur de période de liquidation à doubler</t>
        </is>
      </c>
      <c r="G1375" s="309" t="inlineStr">
        <is>
          <t>Indicator of settlement period to be doubled</t>
        </is>
      </c>
      <c r="H1375" s="309" t="n"/>
      <c r="I1375" s="241" t="inlineStr">
        <is>
          <t>Au sein d'un ensemble de compensation sur des produits de Marché (dérivés ou Repos) où des appels de marge sont échangés, la période de liquidation de l'actif représentatif de la marge échangée doit être doublée par rapport à sa valeur de référence lorsqu'au moins deux litiges ont été observés durant les deux trimestres précédents. Cette période de liquidation est prise en compte dans le calcul de la décote forfaitaire sur cet actif</t>
        </is>
      </c>
      <c r="J1375" s="309" t="inlineStr">
        <is>
          <t>Within a compensation set for marketable products (derivatives or repo) where margin calls are exchanged, the liquidation period of the asset representing the exchanged margin must be doubled compared to its reference value where at least two disputes have been observed in the two preceding quarters. This liquidation period shall be taken into account in the calculation of the lump - sum haircut on that asset</t>
        </is>
      </c>
      <c r="K1375" s="370" t="inlineStr">
        <is>
          <t>ND</t>
        </is>
      </c>
      <c r="L1375" s="371" t="inlineStr">
        <is>
          <t>ND</t>
        </is>
      </c>
      <c r="M1375" s="1420" t="inlineStr">
        <is>
          <t>prdLiqX2</t>
        </is>
      </c>
      <c r="N1375" s="231" t="inlineStr">
        <is>
          <t>Facultatif</t>
        </is>
      </c>
      <c r="O1375" s="236" t="inlineStr">
        <is>
          <t>Optional</t>
        </is>
      </c>
      <c r="P1375" s="505" t="inlineStr">
        <is>
          <t>LC.0477</t>
        </is>
      </c>
      <c r="Q1375" s="505" t="inlineStr">
        <is>
          <t>TA Z8IPLDOU</t>
        </is>
      </c>
      <c r="R1375" s="241" t="inlineStr">
        <is>
          <t>Donnée Bâle</t>
        </is>
      </c>
      <c r="S1375" s="309" t="inlineStr">
        <is>
          <t>Basel data</t>
        </is>
      </c>
      <c r="T1375" s="313" t="inlineStr">
        <is>
          <t>ALPHA</t>
        </is>
      </c>
      <c r="U1375" s="237" t="inlineStr">
        <is>
          <t>NA</t>
        </is>
      </c>
      <c r="V1375" s="238" t="inlineStr">
        <is>
          <t>NA</t>
        </is>
      </c>
      <c r="W1375" s="257" t="n">
        <v>1</v>
      </c>
      <c r="X1375" s="945" t="inlineStr">
        <is>
          <t>NA</t>
        </is>
      </c>
      <c r="Y1375" s="237" t="n">
        <v>40</v>
      </c>
      <c r="Z1375" s="237" t="inlineStr">
        <is>
          <t>NA</t>
        </is>
      </c>
      <c r="AA1375" s="270" t="inlineStr">
        <is>
          <t>NA</t>
        </is>
      </c>
      <c r="AB1375" s="994" t="inlineStr">
        <is>
          <t>SA-CCR</t>
        </is>
      </c>
      <c r="AC1375" s="231" t="inlineStr">
        <is>
          <t>ND</t>
        </is>
      </c>
      <c r="AD1375" s="257" t="inlineStr">
        <is>
          <t>N</t>
        </is>
      </c>
      <c r="AE1375" s="257" t="inlineStr">
        <is>
          <t xml:space="preserve">SEC-CAS-COL
</t>
        </is>
      </c>
      <c r="AF1375" s="257" t="inlineStr">
        <is>
          <t>NA</t>
        </is>
      </c>
      <c r="AG1375" s="258" t="inlineStr">
        <is>
          <t>NA</t>
        </is>
      </c>
      <c r="AH1375" s="89" t="n"/>
      <c r="AI1375" s="316" t="n"/>
      <c r="AJ1375" s="317" t="n"/>
      <c r="AK1375" s="257" t="n"/>
      <c r="AL1375" s="258" t="n"/>
      <c r="AM1375" s="318" t="inlineStr">
        <is>
          <t>Si elle est renseignée, la valeur doit être connue du Langage Commun associé</t>
        </is>
      </c>
      <c r="AN1375" s="317" t="inlineStr">
        <is>
          <t>If specified, the value must be known to the associated Common Language</t>
        </is>
      </c>
      <c r="AO1375" s="257" t="n">
        <v>7</v>
      </c>
      <c r="AP1375" s="469" t="inlineStr">
        <is>
          <t>TIG0001</t>
        </is>
      </c>
      <c r="AQ1375" s="421" t="n"/>
      <c r="AR1375" s="422" t="n"/>
      <c r="AS1375" s="348" t="n"/>
      <c r="AT1375" s="868" t="n"/>
      <c r="AU1375" s="318" t="n"/>
      <c r="AV1375" s="317" t="n"/>
      <c r="AW1375" s="257" t="n"/>
      <c r="AX1375" s="258" t="n"/>
      <c r="AY1375" s="318" t="n"/>
      <c r="AZ1375" s="317" t="n"/>
      <c r="BA1375" s="257" t="n"/>
      <c r="BB1375" s="258" t="n"/>
      <c r="BC1375" s="316" t="n"/>
      <c r="BD1375" s="317" t="n"/>
      <c r="BE1375" s="257" t="n"/>
      <c r="BF1375" s="258" t="n"/>
      <c r="BG1375" s="89" t="n"/>
      <c r="BH13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75">
        <f>_xlfn.LET(r,ROW(),oc,INDEX($A:$A,r),cv,TRIM(INDEX($Y:$Y,r)&amp;""),IF(oc&lt;&gt;"P1","",IF(cv="45","V45 - novo, nao alimentado pelo spool atual","V44 - alimentado pelo spool atual")))</f>
        <v/>
      </c>
    </row>
    <row r="1376" ht="54" customFormat="1" customHeight="1" s="90">
      <c r="A1376" s="306" t="inlineStr">
        <is>
          <t>M1</t>
        </is>
      </c>
      <c r="B1376" s="307" t="n">
        <v>81</v>
      </c>
      <c r="C1376" s="269" t="inlineStr">
        <is>
          <t>15 - Caractéristiques Sureté</t>
        </is>
      </c>
      <c r="D1376" s="310" t="inlineStr">
        <is>
          <t>15 - Safety characteristics</t>
        </is>
      </c>
      <c r="E1376" s="307" t="inlineStr">
        <is>
          <t>M1 8.12</t>
        </is>
      </c>
      <c r="F1376" s="308" t="inlineStr">
        <is>
          <t>Pays d'inscription de l'actif incorporel</t>
        </is>
      </c>
      <c r="G1376" s="309" t="inlineStr">
        <is>
          <t>Country of registration of the intangible asset.</t>
        </is>
      </c>
      <c r="H1376" s="309" t="n"/>
      <c r="I1376" s="241" t="inlineStr">
        <is>
          <t>Pays d'inscription de l'actif incorporel</t>
        </is>
      </c>
      <c r="J1376" s="309" t="inlineStr">
        <is>
          <t>Country of registration of the intangible asset</t>
        </is>
      </c>
      <c r="K1376" s="370" t="inlineStr">
        <is>
          <t>ND</t>
        </is>
      </c>
      <c r="L1376" s="371" t="inlineStr">
        <is>
          <t>ND</t>
        </is>
      </c>
      <c r="M1376" s="1420" t="inlineStr">
        <is>
          <t>cdPaysInscriptActifIncompl</t>
        </is>
      </c>
      <c r="N1376" s="1007" t="inlineStr">
        <is>
          <t>Facultatif</t>
        </is>
      </c>
      <c r="O1376" s="1006" t="inlineStr">
        <is>
          <t>Optional</t>
        </is>
      </c>
      <c r="P1376" s="269" t="inlineStr">
        <is>
          <t>LC.0004
LC.0273</t>
        </is>
      </c>
      <c r="Q1376" s="269" t="inlineStr">
        <is>
          <t>TA NM252 (pour la partie ISO 3166)
TA NM258 (organisation supra nationales)</t>
        </is>
      </c>
      <c r="R1376" s="241" t="inlineStr">
        <is>
          <t>NA</t>
        </is>
      </c>
      <c r="S1376" s="309" t="inlineStr">
        <is>
          <t>NA</t>
        </is>
      </c>
      <c r="T1376" s="313" t="inlineStr">
        <is>
          <t>ALPHA</t>
        </is>
      </c>
      <c r="U1376" s="237" t="inlineStr">
        <is>
          <t>NA</t>
        </is>
      </c>
      <c r="V1376" s="238" t="inlineStr">
        <is>
          <t>NA</t>
        </is>
      </c>
      <c r="W1376" s="257" t="n">
        <v>2</v>
      </c>
      <c r="X1376" s="945" t="inlineStr">
        <is>
          <t>NA</t>
        </is>
      </c>
      <c r="Y1376" s="237" t="n">
        <v>40</v>
      </c>
      <c r="Z1376" s="237" t="inlineStr">
        <is>
          <t>NA</t>
        </is>
      </c>
      <c r="AA1376" s="270" t="inlineStr">
        <is>
          <t>45.00</t>
        </is>
      </c>
      <c r="AB1376" s="994" t="inlineStr">
        <is>
          <t>USAGE ZP</t>
        </is>
      </c>
      <c r="AC1376" s="231" t="inlineStr">
        <is>
          <t>ND</t>
        </is>
      </c>
      <c r="AD1376" s="257" t="inlineStr">
        <is>
          <t>N</t>
        </is>
      </c>
      <c r="AE1376" s="1401" t="inlineStr">
        <is>
          <t>IAS</t>
        </is>
      </c>
      <c r="AF1376" s="257" t="inlineStr">
        <is>
          <t>NA</t>
        </is>
      </c>
      <c r="AG1376" s="258" t="inlineStr">
        <is>
          <t>NA</t>
        </is>
      </c>
      <c r="AH1376" s="89" t="n"/>
      <c r="AI1376" s="1403" t="n"/>
      <c r="AJ1376" s="931" t="n"/>
      <c r="AK1376" s="958" t="n"/>
      <c r="AL1376" s="1402" t="n"/>
      <c r="AM1376" s="318" t="inlineStr">
        <is>
          <t>Si elle est renseignée, la valeur doit être connue du Langage Commun associé</t>
        </is>
      </c>
      <c r="AN1376" s="317" t="inlineStr">
        <is>
          <t>If specified, the value must be known to the associated Common Language</t>
        </is>
      </c>
      <c r="AO1376" s="257" t="n">
        <v>7</v>
      </c>
      <c r="AP1376" s="258" t="inlineStr">
        <is>
          <t>TIG0001</t>
        </is>
      </c>
      <c r="AQ1376" s="318" t="n"/>
      <c r="AR1376" s="317" t="n"/>
      <c r="AS1376" s="257" t="n"/>
      <c r="AT1376" s="258" t="n"/>
      <c r="AU1376" s="318" t="n"/>
      <c r="AV1376" s="317" t="n"/>
      <c r="AW1376" s="257" t="n"/>
      <c r="AX1376" s="258" t="n"/>
      <c r="AY1376" s="318" t="n"/>
      <c r="AZ1376" s="317" t="n"/>
      <c r="BA1376" s="257" t="n"/>
      <c r="BB1376" s="258" t="n"/>
      <c r="BC1376" s="316" t="n"/>
      <c r="BD1376" s="317" t="n"/>
      <c r="BE1376" s="257" t="n"/>
      <c r="BF1376" s="258" t="n"/>
      <c r="BG1376" s="89" t="n"/>
      <c r="BH13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76">
        <f>_xlfn.LET(r,ROW(),oc,INDEX($A:$A,r),cv,TRIM(INDEX($Y:$Y,r)&amp;""),IF(oc&lt;&gt;"P1","",IF(cv="45","V45 - novo, nao alimentado pelo spool atual","V44 - alimentado pelo spool atual")))</f>
        <v/>
      </c>
    </row>
    <row r="1377" ht="54" customFormat="1" customHeight="1" s="90">
      <c r="A1377" s="306" t="inlineStr">
        <is>
          <t>M1</t>
        </is>
      </c>
      <c r="B1377" s="307" t="n">
        <v>82</v>
      </c>
      <c r="C1377" s="269" t="inlineStr">
        <is>
          <t>15 - Caractéristiques Sureté</t>
        </is>
      </c>
      <c r="D1377" s="310" t="inlineStr">
        <is>
          <t>15 - Safety characteristics</t>
        </is>
      </c>
      <c r="E1377" s="307" t="inlineStr">
        <is>
          <t>M1 8.13</t>
        </is>
      </c>
      <c r="F1377" s="308" t="inlineStr">
        <is>
          <t>Indicateur de marque ou brevet déposé</t>
        </is>
      </c>
      <c r="G1377" s="309" t="inlineStr">
        <is>
          <t>Indicator of brand or patent registered</t>
        </is>
      </c>
      <c r="H1377" s="309" t="n"/>
      <c r="I1377" s="241" t="inlineStr">
        <is>
          <t>Indicateur permettant de préciser si la marque ou le brevet inscrit au titre de sûreté fait l'objet d'une inscription ou dépôt au registre national des brevets du pays mentionné en M1 8.12</t>
        </is>
      </c>
      <c r="J1377" s="309" t="inlineStr">
        <is>
          <t>Indicator to clarify whether the mark or patent registered as a security right is registered or filed in the national patent register of the country mentioned in M1 8.12</t>
        </is>
      </c>
      <c r="K1377" s="370" t="inlineStr">
        <is>
          <t>ND</t>
        </is>
      </c>
      <c r="L1377" s="371" t="inlineStr">
        <is>
          <t>ND</t>
        </is>
      </c>
      <c r="M1377" s="1420" t="inlineStr">
        <is>
          <t>indMarqueDepose</t>
        </is>
      </c>
      <c r="N1377" s="231" t="inlineStr">
        <is>
          <t>Obligatoire sous conditions</t>
        </is>
      </c>
      <c r="O1377" s="236" t="inlineStr">
        <is>
          <t>Mandatory under conditions</t>
        </is>
      </c>
      <c r="P1377" s="269" t="inlineStr">
        <is>
          <t>LC.0481</t>
        </is>
      </c>
      <c r="Q1377" s="269" t="inlineStr">
        <is>
          <t>TA Z8IDMOBD</t>
        </is>
      </c>
      <c r="R1377" s="241" t="inlineStr">
        <is>
          <t>NA</t>
        </is>
      </c>
      <c r="S1377" s="309" t="inlineStr">
        <is>
          <t>NA</t>
        </is>
      </c>
      <c r="T1377" s="313" t="inlineStr">
        <is>
          <t>ALPHA</t>
        </is>
      </c>
      <c r="U1377" s="237" t="inlineStr">
        <is>
          <t>NA</t>
        </is>
      </c>
      <c r="V1377" s="238" t="inlineStr">
        <is>
          <t>NA</t>
        </is>
      </c>
      <c r="W1377" s="257" t="n">
        <v>1</v>
      </c>
      <c r="X1377" s="945" t="inlineStr">
        <is>
          <t>NA</t>
        </is>
      </c>
      <c r="Y1377" s="237" t="n">
        <v>40</v>
      </c>
      <c r="Z1377" s="237" t="inlineStr">
        <is>
          <t>NA</t>
        </is>
      </c>
      <c r="AA1377" s="270" t="inlineStr">
        <is>
          <t>NA</t>
        </is>
      </c>
      <c r="AB1377" s="994" t="inlineStr">
        <is>
          <t>USAGE ZP</t>
        </is>
      </c>
      <c r="AC1377" s="231" t="inlineStr">
        <is>
          <t>ND</t>
        </is>
      </c>
      <c r="AD1377" s="257" t="inlineStr">
        <is>
          <t>N</t>
        </is>
      </c>
      <c r="AE1377" s="257" t="inlineStr">
        <is>
          <t xml:space="preserve">
IAS
</t>
        </is>
      </c>
      <c r="AF1377" s="257" t="inlineStr">
        <is>
          <t>NA</t>
        </is>
      </c>
      <c r="AG1377" s="258" t="inlineStr">
        <is>
          <t>NA</t>
        </is>
      </c>
      <c r="AH1377" s="89" t="n"/>
      <c r="AI1377" s="849" t="inlineStr">
        <is>
          <t>La donnée est obligatoire si la nature juridique de la sûreté [M1 5.1] = ‘IAS0201'</t>
        </is>
      </c>
      <c r="AJ1377" s="317" t="inlineStr">
        <is>
          <t>The data is mandatory if Legal nature of the mitigant [M1 5.1] = ‘IAS0201'</t>
        </is>
      </c>
      <c r="AK1377" s="257" t="n">
        <v>6</v>
      </c>
      <c r="AL1377" s="366" t="inlineStr">
        <is>
          <t>TPS0715</t>
        </is>
      </c>
      <c r="AM1377" s="318" t="inlineStr">
        <is>
          <t>Si elle est renseignée, la valeur doit être connue du Langage Commun associé</t>
        </is>
      </c>
      <c r="AN1377" s="317" t="inlineStr">
        <is>
          <t>If specified, the value must be known to the associated Common Language</t>
        </is>
      </c>
      <c r="AO1377" s="257" t="n">
        <v>7</v>
      </c>
      <c r="AP1377" s="469" t="inlineStr">
        <is>
          <t>TIG0001</t>
        </is>
      </c>
      <c r="AQ1377" s="421" t="n"/>
      <c r="AR1377" s="422" t="n"/>
      <c r="AS1377" s="348" t="n"/>
      <c r="AT1377" s="423" t="n"/>
      <c r="AU1377" s="318" t="n"/>
      <c r="AV1377" s="317" t="n"/>
      <c r="AW1377" s="257" t="n"/>
      <c r="AX1377" s="258" t="n"/>
      <c r="AY1377" s="318" t="n"/>
      <c r="AZ1377" s="317" t="n"/>
      <c r="BA1377" s="257" t="n"/>
      <c r="BB1377" s="258" t="n"/>
      <c r="BC1377" s="316" t="n"/>
      <c r="BD1377" s="317" t="n"/>
      <c r="BE1377" s="257" t="n"/>
      <c r="BF1377" s="258" t="n"/>
      <c r="BG1377" s="89" t="n"/>
      <c r="BH13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77">
        <f>_xlfn.LET(r,ROW(),oc,INDEX($A:$A,r),cv,TRIM(INDEX($Y:$Y,r)&amp;""),IF(oc&lt;&gt;"P1","",IF(cv="45","V45 - novo, nao alimentado pelo spool atual","V44 - alimentado pelo spool atual")))</f>
        <v/>
      </c>
    </row>
    <row r="1378" ht="54" customFormat="1" customHeight="1" s="90">
      <c r="A1378" s="306" t="inlineStr">
        <is>
          <t>M1</t>
        </is>
      </c>
      <c r="B1378" s="307" t="n">
        <v>83</v>
      </c>
      <c r="C1378" s="269" t="inlineStr">
        <is>
          <t>15 - Caractéristiques Sureté</t>
        </is>
      </c>
      <c r="D1378" s="310" t="inlineStr">
        <is>
          <t>15 - Safety characteristics</t>
        </is>
      </c>
      <c r="E1378" s="307" t="inlineStr">
        <is>
          <t>M1 8.14</t>
        </is>
      </c>
      <c r="F1378" s="308" t="inlineStr">
        <is>
          <t>Année de tombée dans le domaine public</t>
        </is>
      </c>
      <c r="G1378" s="309" t="inlineStr">
        <is>
          <t>Year of falling into the public domain</t>
        </is>
      </c>
      <c r="H1378" s="309" t="n"/>
      <c r="I1378" s="241" t="inlineStr">
        <is>
          <t>Année de tombée dans le domaine public</t>
        </is>
      </c>
      <c r="J1378" s="309" t="inlineStr">
        <is>
          <t>Year of falling into the public domain</t>
        </is>
      </c>
      <c r="K1378" s="370" t="inlineStr">
        <is>
          <t>ND</t>
        </is>
      </c>
      <c r="L1378" s="371" t="inlineStr">
        <is>
          <t>ND</t>
        </is>
      </c>
      <c r="M1378" s="1420" t="inlineStr">
        <is>
          <t>numAnneeTombPublic</t>
        </is>
      </c>
      <c r="N1378" s="1007" t="inlineStr">
        <is>
          <t>Facultatif</t>
        </is>
      </c>
      <c r="O1378" s="1006" t="inlineStr">
        <is>
          <t>Optional</t>
        </is>
      </c>
      <c r="P1378" s="269" t="inlineStr">
        <is>
          <t>NA</t>
        </is>
      </c>
      <c r="Q1378" s="269" t="inlineStr">
        <is>
          <t>NA</t>
        </is>
      </c>
      <c r="R1378" s="241" t="inlineStr">
        <is>
          <t>NA</t>
        </is>
      </c>
      <c r="S1378" s="309" t="inlineStr">
        <is>
          <t>NA</t>
        </is>
      </c>
      <c r="T1378" s="313" t="inlineStr">
        <is>
          <t>NUM</t>
        </is>
      </c>
      <c r="U1378" s="237" t="inlineStr">
        <is>
          <t>NA</t>
        </is>
      </c>
      <c r="V1378" s="238" t="inlineStr">
        <is>
          <t>NA</t>
        </is>
      </c>
      <c r="W1378" s="257" t="n">
        <v>4</v>
      </c>
      <c r="X1378" s="945" t="inlineStr">
        <is>
          <t>NA</t>
        </is>
      </c>
      <c r="Y1378" s="237" t="n">
        <v>40</v>
      </c>
      <c r="Z1378" s="237" t="inlineStr">
        <is>
          <t>NA</t>
        </is>
      </c>
      <c r="AA1378" s="270" t="inlineStr">
        <is>
          <t>45.00</t>
        </is>
      </c>
      <c r="AB1378" s="994" t="inlineStr">
        <is>
          <t>USAGE ZP</t>
        </is>
      </c>
      <c r="AC1378" s="231" t="inlineStr">
        <is>
          <t>ND</t>
        </is>
      </c>
      <c r="AD1378" s="257" t="inlineStr">
        <is>
          <t>N</t>
        </is>
      </c>
      <c r="AE1378" s="1401" t="inlineStr">
        <is>
          <t>IAS</t>
        </is>
      </c>
      <c r="AF1378" s="257" t="inlineStr">
        <is>
          <t>NA</t>
        </is>
      </c>
      <c r="AG1378" s="258" t="inlineStr">
        <is>
          <t>NA</t>
        </is>
      </c>
      <c r="AH1378" s="89" t="n"/>
      <c r="AI1378" s="1403" t="n"/>
      <c r="AJ1378" s="931" t="n"/>
      <c r="AK1378" s="958" t="n"/>
      <c r="AL1378" s="1402" t="n"/>
      <c r="AM1378" s="318" t="n"/>
      <c r="AN1378" s="317" t="n"/>
      <c r="AO1378" s="257" t="n"/>
      <c r="AP1378" s="258" t="n"/>
      <c r="AQ1378" s="318" t="n"/>
      <c r="AR1378" s="317" t="n"/>
      <c r="AS1378" s="257" t="n"/>
      <c r="AT1378" s="258" t="n"/>
      <c r="AU1378" s="318" t="n"/>
      <c r="AV1378" s="317" t="n"/>
      <c r="AW1378" s="257" t="n"/>
      <c r="AX1378" s="258" t="n"/>
      <c r="AY1378" s="318" t="n"/>
      <c r="AZ1378" s="317" t="n"/>
      <c r="BA1378" s="257" t="n"/>
      <c r="BB1378" s="258" t="n"/>
      <c r="BC1378" s="316" t="n"/>
      <c r="BD1378" s="317" t="n"/>
      <c r="BE1378" s="257" t="n"/>
      <c r="BF1378" s="258" t="n"/>
      <c r="BG1378" s="89" t="n"/>
      <c r="BH13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78">
        <f>_xlfn.LET(r,ROW(),oc,INDEX($A:$A,r),cv,TRIM(INDEX($Y:$Y,r)&amp;""),IF(oc&lt;&gt;"P1","",IF(cv="45","V45 - novo, nao alimentado pelo spool atual","V44 - alimentado pelo spool atual")))</f>
        <v/>
      </c>
    </row>
    <row r="1379" ht="54" customFormat="1" customHeight="1" s="90">
      <c r="A1379" s="306" t="inlineStr">
        <is>
          <t>M1</t>
        </is>
      </c>
      <c r="B1379" s="307" t="n">
        <v>84</v>
      </c>
      <c r="C1379" s="269" t="inlineStr">
        <is>
          <t>15 - Caractéristiques Sureté</t>
        </is>
      </c>
      <c r="D1379" s="310" t="inlineStr">
        <is>
          <t>15 - Safety characteristics</t>
        </is>
      </c>
      <c r="E1379" s="307" t="inlineStr">
        <is>
          <t>M1 8.15</t>
        </is>
      </c>
      <c r="F1379" s="308" t="inlineStr">
        <is>
          <t>Droit applicable à la créance</t>
        </is>
      </c>
      <c r="G1379" s="309" t="inlineStr">
        <is>
          <t>Law applicable to the claim</t>
        </is>
      </c>
      <c r="H1379" s="309" t="n"/>
      <c r="I1379" s="241" t="inlineStr">
        <is>
          <t>Détermination du pays dans lequel le tribunal sera compétent pour régler le litige</t>
        </is>
      </c>
      <c r="J1379" s="309" t="inlineStr">
        <is>
          <t>Determination of the country in which the court will have jurisdiction to settle the dispute</t>
        </is>
      </c>
      <c r="K1379" s="370" t="inlineStr">
        <is>
          <t>ND</t>
        </is>
      </c>
      <c r="L1379" s="371" t="inlineStr">
        <is>
          <t>ND</t>
        </is>
      </c>
      <c r="M1379" s="1420" t="inlineStr">
        <is>
          <t>cdPaysDroitApplic</t>
        </is>
      </c>
      <c r="N1379" s="1007" t="inlineStr">
        <is>
          <t>Facultatif</t>
        </is>
      </c>
      <c r="O1379" s="1006" t="inlineStr">
        <is>
          <t>Optional</t>
        </is>
      </c>
      <c r="P1379" s="269" t="inlineStr">
        <is>
          <t>LC.0004
LC.0273</t>
        </is>
      </c>
      <c r="Q1379" s="269" t="inlineStr">
        <is>
          <t>TA NM252 (pour la partie ISO 3166)
TA NM258 (organisation supra nationales)</t>
        </is>
      </c>
      <c r="R1379" s="241" t="inlineStr">
        <is>
          <t>NA</t>
        </is>
      </c>
      <c r="S1379" s="309" t="inlineStr">
        <is>
          <t>NA</t>
        </is>
      </c>
      <c r="T1379" s="313" t="inlineStr">
        <is>
          <t>ALPHA</t>
        </is>
      </c>
      <c r="U1379" s="237" t="inlineStr">
        <is>
          <t>NA</t>
        </is>
      </c>
      <c r="V1379" s="238" t="inlineStr">
        <is>
          <t>NA</t>
        </is>
      </c>
      <c r="W1379" s="257" t="n">
        <v>2</v>
      </c>
      <c r="X1379" s="945" t="inlineStr">
        <is>
          <t>NA</t>
        </is>
      </c>
      <c r="Y1379" s="237" t="n">
        <v>40</v>
      </c>
      <c r="Z1379" s="237" t="inlineStr">
        <is>
          <t>NA</t>
        </is>
      </c>
      <c r="AA1379" s="270" t="inlineStr">
        <is>
          <t>45.00</t>
        </is>
      </c>
      <c r="AB1379" s="994" t="inlineStr">
        <is>
          <t>USAGE ZP</t>
        </is>
      </c>
      <c r="AC1379" s="231" t="inlineStr">
        <is>
          <t>ND</t>
        </is>
      </c>
      <c r="AD1379" s="257" t="inlineStr">
        <is>
          <t>N</t>
        </is>
      </c>
      <c r="AE1379" s="1401" t="inlineStr">
        <is>
          <t>IAS</t>
        </is>
      </c>
      <c r="AF1379" s="257" t="inlineStr">
        <is>
          <t>NA</t>
        </is>
      </c>
      <c r="AG1379" s="258" t="inlineStr">
        <is>
          <t>NA</t>
        </is>
      </c>
      <c r="AH1379" s="89" t="n"/>
      <c r="AI1379" s="1403" t="n"/>
      <c r="AJ1379" s="931" t="n"/>
      <c r="AK1379" s="958" t="n"/>
      <c r="AL1379" s="1402" t="n"/>
      <c r="AM1379" s="318" t="inlineStr">
        <is>
          <t>Si elle est renseignée, la valeur doit être connue du Langage Commun associé</t>
        </is>
      </c>
      <c r="AN1379" s="317" t="inlineStr">
        <is>
          <t>If specified, the value must be known to the associated Common Language</t>
        </is>
      </c>
      <c r="AO1379" s="257" t="n">
        <v>7</v>
      </c>
      <c r="AP1379" s="258" t="inlineStr">
        <is>
          <t>TIG0001</t>
        </is>
      </c>
      <c r="AQ1379" s="318" t="n"/>
      <c r="AR1379" s="317" t="n"/>
      <c r="AS1379" s="257" t="n"/>
      <c r="AT1379" s="258" t="n"/>
      <c r="AU1379" s="318" t="n"/>
      <c r="AV1379" s="317" t="n"/>
      <c r="AW1379" s="257" t="n"/>
      <c r="AX1379" s="258" t="n"/>
      <c r="AY1379" s="318" t="n"/>
      <c r="AZ1379" s="317" t="n"/>
      <c r="BA1379" s="257" t="n"/>
      <c r="BB1379" s="258" t="n"/>
      <c r="BC1379" s="316" t="n"/>
      <c r="BD1379" s="317" t="n"/>
      <c r="BE1379" s="257" t="n"/>
      <c r="BF1379" s="258" t="n"/>
      <c r="BG1379" s="89" t="n"/>
      <c r="BH13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79">
        <f>_xlfn.LET(r,ROW(),oc,INDEX($A:$A,r),cv,TRIM(INDEX($Y:$Y,r)&amp;""),IF(oc&lt;&gt;"P1","",IF(cv="45","V45 - novo, nao alimentado pelo spool atual","V44 - alimentado pelo spool atual")))</f>
        <v/>
      </c>
    </row>
    <row r="1380" ht="54" customFormat="1" customHeight="1" s="90">
      <c r="A1380" s="306" t="inlineStr">
        <is>
          <t>M1</t>
        </is>
      </c>
      <c r="B1380" s="307" t="n">
        <v>85</v>
      </c>
      <c r="C1380" s="269" t="inlineStr">
        <is>
          <t>15 - Caractéristiques Sureté</t>
        </is>
      </c>
      <c r="D1380" s="310" t="inlineStr">
        <is>
          <t>15 - Safety characteristics</t>
        </is>
      </c>
      <c r="E1380" s="307" t="inlineStr">
        <is>
          <t>M1 8.16</t>
        </is>
      </c>
      <c r="F1380" s="308" t="inlineStr">
        <is>
          <t>Nationalité du débiteur cédé</t>
        </is>
      </c>
      <c r="G1380" s="309" t="inlineStr">
        <is>
          <t>Nationality of the debtor assigned</t>
        </is>
      </c>
      <c r="H1380" s="309" t="n"/>
      <c r="I1380" s="241" t="inlineStr">
        <is>
          <t>Correspond à la nationalité du débiteur de la créance cédée comme sûreté</t>
        </is>
      </c>
      <c r="J1380" s="309" t="inlineStr">
        <is>
          <t>Corresponds to the nationality of the debtor of the assigned receivable as security</t>
        </is>
      </c>
      <c r="K1380" s="370" t="inlineStr">
        <is>
          <t>ND</t>
        </is>
      </c>
      <c r="L1380" s="371" t="inlineStr">
        <is>
          <t>ND</t>
        </is>
      </c>
      <c r="M1380" s="1420" t="inlineStr">
        <is>
          <t>cdPaysDebitCede</t>
        </is>
      </c>
      <c r="N1380" s="1007" t="inlineStr">
        <is>
          <t>Facultatif</t>
        </is>
      </c>
      <c r="O1380" s="1006" t="inlineStr">
        <is>
          <t>Optional</t>
        </is>
      </c>
      <c r="P1380" s="269" t="inlineStr">
        <is>
          <t>LC.0004
LC.0273</t>
        </is>
      </c>
      <c r="Q1380" s="269" t="inlineStr">
        <is>
          <t>TA NM252 (pour la partie ISO 3166)
TA NM258 (organisation supra nationales)</t>
        </is>
      </c>
      <c r="R1380" s="241" t="inlineStr">
        <is>
          <t>NA</t>
        </is>
      </c>
      <c r="S1380" s="309" t="inlineStr">
        <is>
          <t>NA</t>
        </is>
      </c>
      <c r="T1380" s="313" t="inlineStr">
        <is>
          <t>ALPHA</t>
        </is>
      </c>
      <c r="U1380" s="237" t="inlineStr">
        <is>
          <t>NA</t>
        </is>
      </c>
      <c r="V1380" s="238" t="inlineStr">
        <is>
          <t>NA</t>
        </is>
      </c>
      <c r="W1380" s="257" t="n">
        <v>2</v>
      </c>
      <c r="X1380" s="945" t="inlineStr">
        <is>
          <t>NA</t>
        </is>
      </c>
      <c r="Y1380" s="237" t="n">
        <v>40</v>
      </c>
      <c r="Z1380" s="237" t="inlineStr">
        <is>
          <t>NA</t>
        </is>
      </c>
      <c r="AA1380" s="270" t="inlineStr">
        <is>
          <t>45.00</t>
        </is>
      </c>
      <c r="AB1380" s="994" t="inlineStr">
        <is>
          <t>USAGE ZP</t>
        </is>
      </c>
      <c r="AC1380" s="231" t="inlineStr">
        <is>
          <t>ND</t>
        </is>
      </c>
      <c r="AD1380" s="257" t="inlineStr">
        <is>
          <t>N</t>
        </is>
      </c>
      <c r="AE1380" s="1401" t="inlineStr">
        <is>
          <t>IAS</t>
        </is>
      </c>
      <c r="AF1380" s="257" t="inlineStr">
        <is>
          <t>NA</t>
        </is>
      </c>
      <c r="AG1380" s="258" t="inlineStr">
        <is>
          <t>NA</t>
        </is>
      </c>
      <c r="AH1380" s="89" t="n"/>
      <c r="AI1380" s="1403" t="n"/>
      <c r="AJ1380" s="931" t="n"/>
      <c r="AK1380" s="958" t="n"/>
      <c r="AL1380" s="1402" t="n"/>
      <c r="AM1380" s="318" t="inlineStr">
        <is>
          <t>Si elle est renseignée, la valeur doit être connue du Langage Commun associé</t>
        </is>
      </c>
      <c r="AN1380" s="317" t="inlineStr">
        <is>
          <t>If specified, the value must be known to the associated Common Language</t>
        </is>
      </c>
      <c r="AO1380" s="257" t="n">
        <v>7</v>
      </c>
      <c r="AP1380" s="258" t="inlineStr">
        <is>
          <t>TIG0001</t>
        </is>
      </c>
      <c r="AQ1380" s="318" t="n"/>
      <c r="AR1380" s="317" t="n"/>
      <c r="AS1380" s="257" t="n"/>
      <c r="AT1380" s="258" t="n"/>
      <c r="AU1380" s="318" t="n"/>
      <c r="AV1380" s="317" t="n"/>
      <c r="AW1380" s="257" t="n"/>
      <c r="AX1380" s="258" t="n"/>
      <c r="AY1380" s="318" t="n"/>
      <c r="AZ1380" s="317" t="n"/>
      <c r="BA1380" s="257" t="n"/>
      <c r="BB1380" s="258" t="n"/>
      <c r="BC1380" s="316" t="n"/>
      <c r="BD1380" s="317" t="n"/>
      <c r="BE1380" s="257" t="n"/>
      <c r="BF1380" s="258" t="n"/>
      <c r="BG1380" s="89" t="n"/>
      <c r="BH13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80">
        <f>_xlfn.LET(r,ROW(),oc,INDEX($A:$A,r),cv,TRIM(INDEX($Y:$Y,r)&amp;""),IF(oc&lt;&gt;"P1","",IF(cv="45","V45 - novo, nao alimentado pelo spool atual","V44 - alimentado pelo spool atual")))</f>
        <v/>
      </c>
    </row>
    <row r="1381" ht="54" customFormat="1" customHeight="1" s="90">
      <c r="A1381" s="306" t="inlineStr">
        <is>
          <t>M1</t>
        </is>
      </c>
      <c r="B1381" s="307" t="n">
        <v>86</v>
      </c>
      <c r="C1381" s="269" t="inlineStr">
        <is>
          <t>15 - Caractéristiques Sureté</t>
        </is>
      </c>
      <c r="D1381" s="310" t="inlineStr">
        <is>
          <t>15 - Safety characteristics</t>
        </is>
      </c>
      <c r="E1381" s="307" t="inlineStr">
        <is>
          <t>M1 8.17</t>
        </is>
      </c>
      <c r="F1381" s="308" t="inlineStr">
        <is>
          <t>Indicateur location gérance</t>
        </is>
      </c>
      <c r="G1381" s="309" t="inlineStr">
        <is>
          <t>Indicator lease management</t>
        </is>
      </c>
      <c r="H1381" s="309" t="n"/>
      <c r="I1381" s="241" t="inlineStr">
        <is>
          <t>Pour nantissement de fonds de commerce, permet de déterminer si le fonds est en location gérance</t>
        </is>
      </c>
      <c r="J1381" s="309" t="inlineStr">
        <is>
          <t>For pledge of business, allows to determine if the fund is leased managed</t>
        </is>
      </c>
      <c r="K1381" s="370" t="inlineStr">
        <is>
          <t>ND</t>
        </is>
      </c>
      <c r="L1381" s="371" t="inlineStr">
        <is>
          <t>ND</t>
        </is>
      </c>
      <c r="M1381" s="1420" t="inlineStr">
        <is>
          <t>indLocationGerance</t>
        </is>
      </c>
      <c r="N1381" s="231" t="inlineStr">
        <is>
          <t>Obligatoire sous conditions</t>
        </is>
      </c>
      <c r="O1381" s="236" t="inlineStr">
        <is>
          <t>Mandatory under conditions</t>
        </is>
      </c>
      <c r="P1381" s="269" t="inlineStr">
        <is>
          <t>LC.0207</t>
        </is>
      </c>
      <c r="Q1381" s="269" t="inlineStr">
        <is>
          <t>TA KVILG</t>
        </is>
      </c>
      <c r="R1381" s="241" t="inlineStr">
        <is>
          <t>NA</t>
        </is>
      </c>
      <c r="S1381" s="309" t="inlineStr">
        <is>
          <t>NA</t>
        </is>
      </c>
      <c r="T1381" s="313" t="inlineStr">
        <is>
          <t>ALPHA</t>
        </is>
      </c>
      <c r="U1381" s="237" t="inlineStr">
        <is>
          <t>NA</t>
        </is>
      </c>
      <c r="V1381" s="238" t="inlineStr">
        <is>
          <t>NA</t>
        </is>
      </c>
      <c r="W1381" s="257" t="n">
        <v>1</v>
      </c>
      <c r="X1381" s="945" t="inlineStr">
        <is>
          <t>NA</t>
        </is>
      </c>
      <c r="Y1381" s="237" t="n">
        <v>40</v>
      </c>
      <c r="Z1381" s="237" t="inlineStr">
        <is>
          <t>NA</t>
        </is>
      </c>
      <c r="AA1381" s="270" t="inlineStr">
        <is>
          <t>NA</t>
        </is>
      </c>
      <c r="AB1381" s="994" t="inlineStr">
        <is>
          <t>USAGE ZP</t>
        </is>
      </c>
      <c r="AC1381" s="231" t="inlineStr">
        <is>
          <t>ND</t>
        </is>
      </c>
      <c r="AD1381" s="257" t="inlineStr">
        <is>
          <t>N</t>
        </is>
      </c>
      <c r="AE1381" s="257" t="inlineStr">
        <is>
          <t xml:space="preserve">
IAS
</t>
        </is>
      </c>
      <c r="AF1381" s="257" t="inlineStr">
        <is>
          <t>NA</t>
        </is>
      </c>
      <c r="AG1381" s="258" t="inlineStr">
        <is>
          <t>NA</t>
        </is>
      </c>
      <c r="AH1381" s="89" t="n"/>
      <c r="AI1381" s="849" t="inlineStr">
        <is>
          <t>La donnée est obligatoire si la nature juridique de la sûreté [M1 5.1] = ‘IAS0101'</t>
        </is>
      </c>
      <c r="AJ1381" s="317" t="inlineStr">
        <is>
          <t>The data is mandatory if Legal nature of the mitigant [M1 5.1] = ‘IAS0101'</t>
        </is>
      </c>
      <c r="AK1381" s="257" t="n">
        <v>6</v>
      </c>
      <c r="AL1381" s="345" t="inlineStr">
        <is>
          <t>TPS0717</t>
        </is>
      </c>
      <c r="AM1381" s="796" t="inlineStr">
        <is>
          <t>Si elle est renseignée, la valeur doit être connue du Langage Commun associé</t>
        </is>
      </c>
      <c r="AN1381" s="797" t="inlineStr">
        <is>
          <t>If specified, the value must be known to the associated Common Language</t>
        </is>
      </c>
      <c r="AO1381" s="474" t="n">
        <v>7</v>
      </c>
      <c r="AP1381" s="469" t="inlineStr">
        <is>
          <t>TIG0001</t>
        </is>
      </c>
      <c r="AQ1381" s="421" t="n"/>
      <c r="AR1381" s="422" t="n"/>
      <c r="AS1381" s="348" t="n"/>
      <c r="AT1381" s="423" t="n"/>
      <c r="AU1381" s="318" t="n"/>
      <c r="AV1381" s="317" t="n"/>
      <c r="AW1381" s="257" t="n"/>
      <c r="AX1381" s="258" t="n"/>
      <c r="AY1381" s="318" t="n"/>
      <c r="AZ1381" s="317" t="n"/>
      <c r="BA1381" s="257" t="n"/>
      <c r="BB1381" s="258" t="n"/>
      <c r="BC1381" s="316" t="n"/>
      <c r="BD1381" s="317" t="n"/>
      <c r="BE1381" s="257" t="n"/>
      <c r="BF1381" s="258" t="n"/>
      <c r="BG1381" s="89" t="n"/>
      <c r="BH13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81">
        <f>_xlfn.LET(r,ROW(),oc,INDEX($A:$A,r),cv,TRIM(INDEX($Y:$Y,r)&amp;""),IF(oc&lt;&gt;"P1","",IF(cv="45","V45 - novo, nao alimentado pelo spool atual","V44 - alimentado pelo spool atual")))</f>
        <v/>
      </c>
    </row>
    <row r="1382" ht="54" customFormat="1" customHeight="1" s="90">
      <c r="A1382" s="306" t="inlineStr">
        <is>
          <t>M1</t>
        </is>
      </c>
      <c r="B1382" s="307" t="n">
        <v>87</v>
      </c>
      <c r="C1382" s="269" t="inlineStr">
        <is>
          <t>15 - Caractéristiques Sureté</t>
        </is>
      </c>
      <c r="D1382" s="310" t="inlineStr">
        <is>
          <t>15 - Safety characteristics</t>
        </is>
      </c>
      <c r="E1382" s="307" t="inlineStr">
        <is>
          <t>M1 8.18</t>
        </is>
      </c>
      <c r="F1382" s="308" t="inlineStr">
        <is>
          <t>Année de mise en service du bien</t>
        </is>
      </c>
      <c r="G1382" s="309" t="inlineStr">
        <is>
          <t>Year of commissioning the property</t>
        </is>
      </c>
      <c r="H1382" s="309" t="n"/>
      <c r="I1382" s="241" t="inlineStr">
        <is>
          <t>Année de mise en service du bien</t>
        </is>
      </c>
      <c r="J1382" s="309" t="inlineStr">
        <is>
          <t>Year asset brought into service</t>
        </is>
      </c>
      <c r="K1382" s="370" t="inlineStr">
        <is>
          <t>ND</t>
        </is>
      </c>
      <c r="L1382" s="371" t="inlineStr">
        <is>
          <t>ND</t>
        </is>
      </c>
      <c r="M1382" s="1420" t="inlineStr">
        <is>
          <t>dtMisServBien</t>
        </is>
      </c>
      <c r="N1382" s="231" t="inlineStr">
        <is>
          <t>Facultatif</t>
        </is>
      </c>
      <c r="O1382" s="236" t="inlineStr">
        <is>
          <t>Optional</t>
        </is>
      </c>
      <c r="P1382" s="269" t="inlineStr">
        <is>
          <t>NA</t>
        </is>
      </c>
      <c r="Q1382" s="269" t="inlineStr">
        <is>
          <t>NA</t>
        </is>
      </c>
      <c r="R1382" s="241" t="inlineStr">
        <is>
          <t>A renseigner obligatoirement pour les avions et navires</t>
        </is>
      </c>
      <c r="S1382" s="309" t="inlineStr">
        <is>
          <t>Must be completed for aircraft and ships</t>
        </is>
      </c>
      <c r="T1382" s="313" t="inlineStr">
        <is>
          <t>NUM</t>
        </is>
      </c>
      <c r="U1382" s="237" t="inlineStr">
        <is>
          <t>NA</t>
        </is>
      </c>
      <c r="V1382" s="238" t="inlineStr">
        <is>
          <t>NA</t>
        </is>
      </c>
      <c r="W1382" s="257" t="n">
        <v>4</v>
      </c>
      <c r="X1382" s="945" t="inlineStr">
        <is>
          <t>NA</t>
        </is>
      </c>
      <c r="Y1382" s="237" t="n">
        <v>40</v>
      </c>
      <c r="Z1382" s="237" t="inlineStr">
        <is>
          <t>NA</t>
        </is>
      </c>
      <c r="AA1382" s="270" t="inlineStr">
        <is>
          <t>NA</t>
        </is>
      </c>
      <c r="AB1382" s="994" t="inlineStr">
        <is>
          <t>CALCULS PRUDENTIELS, LOAN TAPE</t>
        </is>
      </c>
      <c r="AC1382" s="231" t="inlineStr">
        <is>
          <t>ND</t>
        </is>
      </c>
      <c r="AD1382" s="257" t="inlineStr">
        <is>
          <t>N</t>
        </is>
      </c>
      <c r="AE1382" s="257" t="inlineStr">
        <is>
          <t>REE-TAS</t>
        </is>
      </c>
      <c r="AF1382" s="257" t="inlineStr">
        <is>
          <t>NA</t>
        </is>
      </c>
      <c r="AG1382" s="258" t="inlineStr">
        <is>
          <t>NA</t>
        </is>
      </c>
      <c r="AH1382" s="89" t="n"/>
      <c r="AI1382" s="849" t="n"/>
      <c r="AJ1382" s="317" t="n"/>
      <c r="AK1382" s="257" t="n"/>
      <c r="AL1382" s="366" t="n"/>
      <c r="AM1382" s="318" t="n"/>
      <c r="AN1382" s="317" t="n"/>
      <c r="AO1382" s="257" t="n"/>
      <c r="AP1382" s="258" t="n"/>
      <c r="AQ1382" s="318" t="n"/>
      <c r="AR1382" s="317" t="n"/>
      <c r="AS1382" s="257" t="n"/>
      <c r="AT1382" s="258" t="n"/>
      <c r="AU1382" s="318" t="n"/>
      <c r="AV1382" s="317" t="n"/>
      <c r="AW1382" s="257" t="n"/>
      <c r="AX1382" s="258" t="n"/>
      <c r="AY1382" s="318" t="inlineStr">
        <is>
          <t> </t>
        </is>
      </c>
      <c r="AZ1382" s="317" t="n"/>
      <c r="BA1382" s="257" t="n"/>
      <c r="BB1382" s="258" t="n"/>
      <c r="BC1382" s="316" t="n"/>
      <c r="BD1382" s="317" t="n"/>
      <c r="BE1382" s="257" t="n"/>
      <c r="BF1382" s="258" t="n"/>
      <c r="BG1382" s="89" t="n"/>
      <c r="BH13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82">
        <f>_xlfn.LET(r,ROW(),oc,INDEX($A:$A,r),cv,TRIM(INDEX($Y:$Y,r)&amp;""),IF(oc&lt;&gt;"P1","",IF(cv="45","V45 - novo, nao alimentado pelo spool atual","V44 - alimentado pelo spool atual")))</f>
        <v/>
      </c>
    </row>
    <row r="1383" ht="54" customFormat="1" customHeight="1" s="90">
      <c r="A1383" s="306" t="inlineStr">
        <is>
          <t>M1</t>
        </is>
      </c>
      <c r="B1383" s="307" t="n">
        <v>88</v>
      </c>
      <c r="C1383" s="269" t="inlineStr">
        <is>
          <t>15 - Caractéristiques Sureté</t>
        </is>
      </c>
      <c r="D1383" s="310" t="inlineStr">
        <is>
          <t>15 - Safety characteristics</t>
        </is>
      </c>
      <c r="E1383" s="307" t="inlineStr">
        <is>
          <t>M1 8.19</t>
        </is>
      </c>
      <c r="F1383" s="308" t="inlineStr">
        <is>
          <t>Année de construction du bien</t>
        </is>
      </c>
      <c r="G1383" s="309" t="inlineStr">
        <is>
          <t>Year asset built</t>
        </is>
      </c>
      <c r="H1383" s="309" t="n"/>
      <c r="I1383" s="241" t="inlineStr">
        <is>
          <t>Année de construction du bien</t>
        </is>
      </c>
      <c r="J1383" s="309" t="inlineStr">
        <is>
          <t xml:space="preserve">Year asset built
</t>
        </is>
      </c>
      <c r="K1383" s="370" t="inlineStr">
        <is>
          <t>ND</t>
        </is>
      </c>
      <c r="L1383" s="371" t="inlineStr">
        <is>
          <t>ND</t>
        </is>
      </c>
      <c r="M1383" s="1420" t="inlineStr">
        <is>
          <t>dtConsBien</t>
        </is>
      </c>
      <c r="N1383" s="231" t="inlineStr">
        <is>
          <t>Facultatif</t>
        </is>
      </c>
      <c r="O1383" s="236" t="inlineStr">
        <is>
          <t>Optional</t>
        </is>
      </c>
      <c r="P1383" s="269" t="inlineStr">
        <is>
          <t>NA</t>
        </is>
      </c>
      <c r="Q1383" s="269" t="inlineStr">
        <is>
          <t>NA</t>
        </is>
      </c>
      <c r="R1383" s="241" t="inlineStr">
        <is>
          <t>A renseigner obligatoirement pour les avions et navires</t>
        </is>
      </c>
      <c r="S1383" s="309" t="inlineStr">
        <is>
          <t>Must be completed for aircraft and ships</t>
        </is>
      </c>
      <c r="T1383" s="313" t="inlineStr">
        <is>
          <t>NUM</t>
        </is>
      </c>
      <c r="U1383" s="237" t="inlineStr">
        <is>
          <t>NA</t>
        </is>
      </c>
      <c r="V1383" s="238" t="inlineStr">
        <is>
          <t>NA</t>
        </is>
      </c>
      <c r="W1383" s="257" t="n">
        <v>4</v>
      </c>
      <c r="X1383" s="945" t="inlineStr">
        <is>
          <t>NA</t>
        </is>
      </c>
      <c r="Y1383" s="237" t="n">
        <v>40</v>
      </c>
      <c r="Z1383" s="237" t="inlineStr">
        <is>
          <t>NA</t>
        </is>
      </c>
      <c r="AA1383" s="270" t="inlineStr">
        <is>
          <t>NA</t>
        </is>
      </c>
      <c r="AB1383" s="994" t="inlineStr">
        <is>
          <t>CALCULS PRUDENTIELS, LOAN TAPE</t>
        </is>
      </c>
      <c r="AC1383" s="231" t="inlineStr">
        <is>
          <t>ND</t>
        </is>
      </c>
      <c r="AD1383" s="257" t="inlineStr">
        <is>
          <t>N</t>
        </is>
      </c>
      <c r="AE1383" s="257" t="inlineStr">
        <is>
          <t>REE-TAS</t>
        </is>
      </c>
      <c r="AF1383" s="257" t="inlineStr">
        <is>
          <t>NA</t>
        </is>
      </c>
      <c r="AG1383" s="258" t="inlineStr">
        <is>
          <t>NA</t>
        </is>
      </c>
      <c r="AH1383" s="89" t="n"/>
      <c r="AI1383" s="849" t="n"/>
      <c r="AJ1383" s="317" t="n"/>
      <c r="AK1383" s="257" t="n"/>
      <c r="AL1383" s="366" t="n"/>
      <c r="AM1383" s="318" t="n"/>
      <c r="AN1383" s="317" t="n"/>
      <c r="AO1383" s="257" t="n"/>
      <c r="AP1383" s="258" t="n"/>
      <c r="AQ1383" s="318" t="n"/>
      <c r="AR1383" s="317" t="n"/>
      <c r="AS1383" s="257" t="n"/>
      <c r="AT1383" s="258" t="n"/>
      <c r="AU1383" s="318" t="n"/>
      <c r="AV1383" s="317" t="n"/>
      <c r="AW1383" s="257" t="n"/>
      <c r="AX1383" s="258" t="n"/>
      <c r="AY1383" s="318" t="n"/>
      <c r="AZ1383" s="317" t="n"/>
      <c r="BA1383" s="257" t="n"/>
      <c r="BB1383" s="258" t="n"/>
      <c r="BC1383" s="316" t="n"/>
      <c r="BD1383" s="317" t="n"/>
      <c r="BE1383" s="257" t="n"/>
      <c r="BF1383" s="258" t="n"/>
      <c r="BG1383" s="89" t="n"/>
      <c r="BH13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83">
        <f>_xlfn.LET(r,ROW(),oc,INDEX($A:$A,r),cv,TRIM(INDEX($Y:$Y,r)&amp;""),IF(oc&lt;&gt;"P1","",IF(cv="45","V45 - novo, nao alimentado pelo spool atual","V44 - alimentado pelo spool atual")))</f>
        <v/>
      </c>
    </row>
    <row r="1384" ht="54" customFormat="1" customHeight="1" s="90">
      <c r="A1384" s="306" t="inlineStr">
        <is>
          <t>M1</t>
        </is>
      </c>
      <c r="B1384" s="307" t="n">
        <v>89</v>
      </c>
      <c r="C1384" s="269" t="inlineStr">
        <is>
          <t>15 - Caractéristiques Sureté</t>
        </is>
      </c>
      <c r="D1384" s="310" t="inlineStr">
        <is>
          <t>15 - Safety characteristics</t>
        </is>
      </c>
      <c r="E1384" s="307" t="inlineStr">
        <is>
          <t>M1 8.27</t>
        </is>
      </c>
      <c r="F1384" s="308" t="inlineStr">
        <is>
          <t>Méthode de valorisation du bien</t>
        </is>
      </c>
      <c r="G1384" s="309" t="inlineStr">
        <is>
          <t>Asset valuation method.</t>
        </is>
      </c>
      <c r="H1384" s="309" t="n"/>
      <c r="I1384" s="241" t="inlineStr">
        <is>
          <t>Méthode de valorisation du bien</t>
        </is>
      </c>
      <c r="J1384" s="309" t="inlineStr">
        <is>
          <t>Asset valuation method</t>
        </is>
      </c>
      <c r="K1384" s="370" t="inlineStr">
        <is>
          <t>ND</t>
        </is>
      </c>
      <c r="L1384" s="371" t="inlineStr">
        <is>
          <t>ND</t>
        </is>
      </c>
      <c r="M1384" s="1420" t="inlineStr">
        <is>
          <t>cdMetRev</t>
        </is>
      </c>
      <c r="N1384" s="231" t="inlineStr">
        <is>
          <t>Obligatoire sous conditions</t>
        </is>
      </c>
      <c r="O1384" s="236" t="inlineStr">
        <is>
          <t>Mandatory under conditions</t>
        </is>
      </c>
      <c r="P1384" s="269" t="inlineStr">
        <is>
          <t>LC.0057</t>
        </is>
      </c>
      <c r="Q1384" s="269" t="inlineStr">
        <is>
          <t>TA KVVALOR</t>
        </is>
      </c>
      <c r="R1384" s="241" t="inlineStr">
        <is>
          <t>NA</t>
        </is>
      </c>
      <c r="S1384" s="309" t="inlineStr">
        <is>
          <t>NA</t>
        </is>
      </c>
      <c r="T1384" s="313" t="inlineStr">
        <is>
          <t>ALPHA</t>
        </is>
      </c>
      <c r="U1384" s="237" t="inlineStr">
        <is>
          <t>NA</t>
        </is>
      </c>
      <c r="V1384" s="238" t="inlineStr">
        <is>
          <t>NA</t>
        </is>
      </c>
      <c r="W1384" s="257" t="n">
        <v>1</v>
      </c>
      <c r="X1384" s="945" t="inlineStr">
        <is>
          <t>NA</t>
        </is>
      </c>
      <c r="Y1384" s="237" t="n">
        <v>40</v>
      </c>
      <c r="Z1384" s="237" t="inlineStr">
        <is>
          <t>NA</t>
        </is>
      </c>
      <c r="AA1384" s="978" t="inlineStr">
        <is>
          <t>NA</t>
        </is>
      </c>
      <c r="AB1384" s="994" t="inlineStr">
        <is>
          <t>ANACREDIT, LOAN TAPE</t>
        </is>
      </c>
      <c r="AC1384" s="231" t="inlineStr">
        <is>
          <t>ND</t>
        </is>
      </c>
      <c r="AD1384" s="257" t="inlineStr">
        <is>
          <t>N</t>
        </is>
      </c>
      <c r="AE1384" s="257" t="inlineStr">
        <is>
          <t>REE-TAS</t>
        </is>
      </c>
      <c r="AF1384" s="257" t="inlineStr">
        <is>
          <t>NA</t>
        </is>
      </c>
      <c r="AG1384" s="258" t="inlineStr">
        <is>
          <t>NA</t>
        </is>
      </c>
      <c r="AH1384" s="89" t="n"/>
      <c r="AI1384" s="849" t="inlineStr">
        <is>
          <t>La donnée est obligatoire si la nature juridique de la sûreté [M1 5.1] = ‘REE01xx' ou ‘TASxxxx'</t>
        </is>
      </c>
      <c r="AJ1384" s="317" t="inlineStr">
        <is>
          <t>The data is mandatory if Legal nature of the mitigant [M1 5.1] = ‘REE01xx' or ‘TASxxxx'</t>
        </is>
      </c>
      <c r="AK1384" s="257" t="n">
        <v>5</v>
      </c>
      <c r="AL1384" s="345" t="inlineStr">
        <is>
          <t>TPS0718</t>
        </is>
      </c>
      <c r="AM1384" s="318" t="inlineStr">
        <is>
          <t>Si elle est renseignée, la valeur doit être connue du Langage Commun associé</t>
        </is>
      </c>
      <c r="AN1384" s="317" t="inlineStr">
        <is>
          <t>If specified, the value must be known to the associated Common Language</t>
        </is>
      </c>
      <c r="AO1384" s="257" t="n">
        <v>7</v>
      </c>
      <c r="AP1384" s="258" t="inlineStr">
        <is>
          <t>TIG0001</t>
        </is>
      </c>
      <c r="AQ1384" s="318" t="n"/>
      <c r="AR1384" s="317" t="n"/>
      <c r="AS1384" s="257" t="n"/>
      <c r="AT1384" s="258" t="n"/>
      <c r="AU1384" s="318" t="n"/>
      <c r="AV1384" s="317" t="n"/>
      <c r="AW1384" s="257" t="n"/>
      <c r="AX1384" s="258" t="n"/>
      <c r="AY1384" s="318" t="n"/>
      <c r="AZ1384" s="317" t="n"/>
      <c r="BA1384" s="257" t="n"/>
      <c r="BB1384" s="258" t="n"/>
      <c r="BC1384" s="316" t="n"/>
      <c r="BD1384" s="317" t="n"/>
      <c r="BE1384" s="257" t="n"/>
      <c r="BF1384" s="258" t="n"/>
      <c r="BG1384" s="89" t="n"/>
      <c r="BH13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84">
        <f>_xlfn.LET(r,ROW(),oc,INDEX($A:$A,r),cv,TRIM(INDEX($Y:$Y,r)&amp;""),IF(oc&lt;&gt;"P1","",IF(cv="45","V45 - novo, nao alimentado pelo spool atual","V44 - alimentado pelo spool atual")))</f>
        <v/>
      </c>
    </row>
    <row r="1385" ht="54" customFormat="1" customHeight="1" s="90">
      <c r="A1385" s="306" t="inlineStr">
        <is>
          <t>M1</t>
        </is>
      </c>
      <c r="B1385" s="307" t="n">
        <v>90</v>
      </c>
      <c r="C1385" s="269" t="inlineStr">
        <is>
          <t>15 - Caractéristiques Sureté</t>
        </is>
      </c>
      <c r="D1385" s="310" t="inlineStr">
        <is>
          <t>15 - Safety characteristics</t>
        </is>
      </c>
      <c r="E1385" s="307" t="inlineStr">
        <is>
          <t>M1 8.28</t>
        </is>
      </c>
      <c r="F1385" s="495" t="inlineStr">
        <is>
          <t>Qualité du montage Repossession</t>
        </is>
      </c>
      <c r="G1385" s="309" t="inlineStr">
        <is>
          <t>Quality of structure Repossession</t>
        </is>
      </c>
      <c r="H1385" s="309" t="n"/>
      <c r="I1385" s="869" t="inlineStr">
        <is>
          <t>Qualité du montage Repossession</t>
        </is>
      </c>
      <c r="J1385" s="309" t="inlineStr">
        <is>
          <t>Quality of structure Repossession</t>
        </is>
      </c>
      <c r="K1385" s="370" t="inlineStr">
        <is>
          <t>ND</t>
        </is>
      </c>
      <c r="L1385" s="371" t="inlineStr">
        <is>
          <t>ND</t>
        </is>
      </c>
      <c r="M1385" s="1420" t="inlineStr">
        <is>
          <t>indQltMontage</t>
        </is>
      </c>
      <c r="N1385" s="1007" t="inlineStr">
        <is>
          <t>Facultatif</t>
        </is>
      </c>
      <c r="O1385" s="1006" t="inlineStr">
        <is>
          <t>Optional</t>
        </is>
      </c>
      <c r="P1385" s="269" t="inlineStr">
        <is>
          <t>LC.0059</t>
        </is>
      </c>
      <c r="Q1385" s="269" t="inlineStr">
        <is>
          <t>TA KVQUALIT</t>
        </is>
      </c>
      <c r="R1385" s="241" t="inlineStr">
        <is>
          <t>NA</t>
        </is>
      </c>
      <c r="S1385" s="309" t="inlineStr">
        <is>
          <t>NA</t>
        </is>
      </c>
      <c r="T1385" s="313" t="inlineStr">
        <is>
          <t>ALPHA</t>
        </is>
      </c>
      <c r="U1385" s="237" t="inlineStr">
        <is>
          <t>NA</t>
        </is>
      </c>
      <c r="V1385" s="238" t="inlineStr">
        <is>
          <t>NA</t>
        </is>
      </c>
      <c r="W1385" s="257" t="n">
        <v>1</v>
      </c>
      <c r="X1385" s="945" t="inlineStr">
        <is>
          <t>NA</t>
        </is>
      </c>
      <c r="Y1385" s="237" t="n">
        <v>40</v>
      </c>
      <c r="Z1385" s="237" t="inlineStr">
        <is>
          <t>NA</t>
        </is>
      </c>
      <c r="AA1385" s="270" t="inlineStr">
        <is>
          <t>45.00</t>
        </is>
      </c>
      <c r="AB1385" s="994" t="inlineStr">
        <is>
          <t>USAGE ZP</t>
        </is>
      </c>
      <c r="AC1385" s="231" t="inlineStr">
        <is>
          <t>ND</t>
        </is>
      </c>
      <c r="AD1385" s="257" t="inlineStr">
        <is>
          <t>N</t>
        </is>
      </c>
      <c r="AE1385" s="1401" t="inlineStr">
        <is>
          <t>REE-TAS</t>
        </is>
      </c>
      <c r="AF1385" s="257" t="inlineStr">
        <is>
          <t>NA</t>
        </is>
      </c>
      <c r="AG1385" s="258" t="inlineStr">
        <is>
          <t>NA</t>
        </is>
      </c>
      <c r="AH1385" s="89" t="n"/>
      <c r="AI1385" s="1403" t="n"/>
      <c r="AJ1385" s="931" t="n"/>
      <c r="AK1385" s="958" t="n"/>
      <c r="AL1385" s="1402" t="n"/>
      <c r="AM1385" s="318" t="inlineStr">
        <is>
          <t>Si elle est renseignée, la valeur doit être connue du Langage Commun associé</t>
        </is>
      </c>
      <c r="AN1385" s="317" t="inlineStr">
        <is>
          <t>If specified, the value must be known to the associated Common Language</t>
        </is>
      </c>
      <c r="AO1385" s="257" t="n">
        <v>7</v>
      </c>
      <c r="AP1385" s="258" t="inlineStr">
        <is>
          <t>TIG0001</t>
        </is>
      </c>
      <c r="AQ1385" s="318" t="n"/>
      <c r="AR1385" s="317" t="n"/>
      <c r="AS1385" s="257" t="n"/>
      <c r="AT1385" s="258" t="n"/>
      <c r="AU1385" s="318" t="n"/>
      <c r="AV1385" s="317" t="n"/>
      <c r="AW1385" s="257" t="n"/>
      <c r="AX1385" s="258" t="n"/>
      <c r="AY1385" s="318" t="n"/>
      <c r="AZ1385" s="317" t="n"/>
      <c r="BA1385" s="257" t="n"/>
      <c r="BB1385" s="258" t="n"/>
      <c r="BC1385" s="316" t="n"/>
      <c r="BD1385" s="317" t="n"/>
      <c r="BE1385" s="257" t="n"/>
      <c r="BF1385" s="258" t="n"/>
      <c r="BG1385" s="89" t="n"/>
      <c r="BH13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85">
        <f>_xlfn.LET(r,ROW(),oc,INDEX($A:$A,r),cv,TRIM(INDEX($Y:$Y,r)&amp;""),IF(oc&lt;&gt;"P1","",IF(cv="45","V45 - novo, nao alimentado pelo spool atual","V44 - alimentado pelo spool atual")))</f>
        <v/>
      </c>
    </row>
    <row r="1386" ht="54" customFormat="1" customHeight="1" s="90">
      <c r="A1386" s="306" t="inlineStr">
        <is>
          <t>M1</t>
        </is>
      </c>
      <c r="B1386" s="307" t="n">
        <v>91</v>
      </c>
      <c r="C1386" s="269" t="inlineStr">
        <is>
          <t>15 - Caractéristiques Sureté</t>
        </is>
      </c>
      <c r="D1386" s="310" t="inlineStr">
        <is>
          <t>15 - Safety characteristics</t>
        </is>
      </c>
      <c r="E1386" s="307" t="inlineStr">
        <is>
          <t>M1 8.29</t>
        </is>
      </c>
      <c r="F1386" s="308" t="inlineStr">
        <is>
          <t>Qualité de l'actif immobilier</t>
        </is>
      </c>
      <c r="G1386" s="309" t="inlineStr">
        <is>
          <t>Quality of real-estate asset</t>
        </is>
      </c>
      <c r="H1386" s="309" t="n"/>
      <c r="I1386" s="241" t="inlineStr">
        <is>
          <t>Qualité de l'actif immobilier</t>
        </is>
      </c>
      <c r="J1386" s="309" t="inlineStr">
        <is>
          <t>Quality of real-estate asset</t>
        </is>
      </c>
      <c r="K1386" s="370" t="inlineStr">
        <is>
          <t>ND</t>
        </is>
      </c>
      <c r="L1386" s="371" t="inlineStr">
        <is>
          <t>ND</t>
        </is>
      </c>
      <c r="M1386" s="1420" t="inlineStr">
        <is>
          <t>indQltBien</t>
        </is>
      </c>
      <c r="N1386" s="231" t="inlineStr">
        <is>
          <t>Facultatif</t>
        </is>
      </c>
      <c r="O1386" s="236" t="inlineStr">
        <is>
          <t>Optional</t>
        </is>
      </c>
      <c r="P1386" s="269" t="inlineStr">
        <is>
          <t>LC.0060</t>
        </is>
      </c>
      <c r="Q1386" s="269" t="inlineStr">
        <is>
          <t>TA KVACTIF</t>
        </is>
      </c>
      <c r="R1386" s="241" t="inlineStr">
        <is>
          <t>NA</t>
        </is>
      </c>
      <c r="S1386" s="309" t="inlineStr">
        <is>
          <t>NA</t>
        </is>
      </c>
      <c r="T1386" s="313" t="inlineStr">
        <is>
          <t>ALPHA</t>
        </is>
      </c>
      <c r="U1386" s="237" t="inlineStr">
        <is>
          <t>NA</t>
        </is>
      </c>
      <c r="V1386" s="238" t="inlineStr">
        <is>
          <t>NA</t>
        </is>
      </c>
      <c r="W1386" s="257" t="n">
        <v>1</v>
      </c>
      <c r="X1386" s="945" t="inlineStr">
        <is>
          <t>NA</t>
        </is>
      </c>
      <c r="Y1386" s="237" t="n">
        <v>40</v>
      </c>
      <c r="Z1386" s="237" t="inlineStr">
        <is>
          <t>NA</t>
        </is>
      </c>
      <c r="AA1386" s="283" t="inlineStr">
        <is>
          <t>NA</t>
        </is>
      </c>
      <c r="AB1386" s="269" t="inlineStr">
        <is>
          <t>USAGE ZP</t>
        </is>
      </c>
      <c r="AC1386" s="231" t="inlineStr">
        <is>
          <t>ND</t>
        </is>
      </c>
      <c r="AD1386" s="257" t="inlineStr">
        <is>
          <t>N</t>
        </is>
      </c>
      <c r="AE1386" s="257" t="inlineStr">
        <is>
          <t>REE-TAS</t>
        </is>
      </c>
      <c r="AF1386" s="257" t="inlineStr">
        <is>
          <t>NA</t>
        </is>
      </c>
      <c r="AG1386" s="258" t="inlineStr">
        <is>
          <t>NA</t>
        </is>
      </c>
      <c r="AH1386" s="89" t="n"/>
      <c r="AI1386" s="849" t="n"/>
      <c r="AJ1386" s="317" t="n"/>
      <c r="AK1386" s="257" t="n"/>
      <c r="AL1386" s="366" t="n"/>
      <c r="AM1386" s="318" t="inlineStr">
        <is>
          <t>Si elle est renseignée, la valeur doit être connue du Langage Commun associé</t>
        </is>
      </c>
      <c r="AN1386" s="317" t="inlineStr">
        <is>
          <t>If specified, the value must be known to the associated Common Language</t>
        </is>
      </c>
      <c r="AO1386" s="257" t="n">
        <v>7</v>
      </c>
      <c r="AP1386" s="258" t="inlineStr">
        <is>
          <t>TIG0001</t>
        </is>
      </c>
      <c r="AQ1386" s="318" t="n"/>
      <c r="AR1386" s="317" t="n"/>
      <c r="AS1386" s="257" t="n"/>
      <c r="AT1386" s="258" t="n"/>
      <c r="AU1386" s="318" t="n"/>
      <c r="AV1386" s="317" t="n"/>
      <c r="AW1386" s="257" t="n"/>
      <c r="AX1386" s="258" t="n"/>
      <c r="AY1386" s="318" t="n"/>
      <c r="AZ1386" s="317" t="n"/>
      <c r="BA1386" s="257" t="n"/>
      <c r="BB1386" s="258" t="n"/>
      <c r="BC1386" s="316" t="n"/>
      <c r="BD1386" s="317" t="n"/>
      <c r="BE1386" s="257" t="n"/>
      <c r="BF1386" s="258" t="n"/>
      <c r="BG1386" s="89" t="n"/>
      <c r="BH13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86">
        <f>_xlfn.LET(r,ROW(),oc,INDEX($A:$A,r),cv,TRIM(INDEX($Y:$Y,r)&amp;""),IF(oc&lt;&gt;"P1","",IF(cv="45","V45 - novo, nao alimentado pelo spool atual","V44 - alimentado pelo spool atual")))</f>
        <v/>
      </c>
    </row>
    <row r="1387" ht="54" customFormat="1" customHeight="1" s="90">
      <c r="A1387" s="306" t="inlineStr">
        <is>
          <t>M1</t>
        </is>
      </c>
      <c r="B1387" s="307" t="n">
        <v>92</v>
      </c>
      <c r="C1387" s="269" t="inlineStr">
        <is>
          <t>15 - Caractéristiques Sureté</t>
        </is>
      </c>
      <c r="D1387" s="310" t="inlineStr">
        <is>
          <t>15 - Safety characteristics</t>
        </is>
      </c>
      <c r="E1387" s="307" t="inlineStr">
        <is>
          <t>M1 8.34</t>
        </is>
      </c>
      <c r="F1387" s="484" t="inlineStr">
        <is>
          <t>Montant d'hypothèque</t>
        </is>
      </c>
      <c r="G1387" s="309" t="inlineStr">
        <is>
          <t>Mortgage amount</t>
        </is>
      </c>
      <c r="H1387" s="309" t="n"/>
      <c r="I1387" s="241" t="inlineStr">
        <is>
          <t>Le montant inscrit de l'hypothèque correspond au montant maximum que la Banque pourra récupérer lors de la réalisation de la sûreté</t>
        </is>
      </c>
      <c r="J1387" s="233" t="inlineStr">
        <is>
          <t>The amount indicated on the mortgage represents the maximum amount that the Bank could recover upon calling in the mitigant</t>
        </is>
      </c>
      <c r="K1387" s="269" t="inlineStr">
        <is>
          <t>ND</t>
        </is>
      </c>
      <c r="L1387" s="310" t="inlineStr">
        <is>
          <t>ND</t>
        </is>
      </c>
      <c r="M1387" s="1420" t="inlineStr">
        <is>
          <t>mtHyp</t>
        </is>
      </c>
      <c r="N1387" s="231" t="inlineStr">
        <is>
          <t>Obligatoire sous conditions</t>
        </is>
      </c>
      <c r="O1387" s="236" t="inlineStr">
        <is>
          <t>Mandatory under conditions</t>
        </is>
      </c>
      <c r="P1387" s="269" t="inlineStr">
        <is>
          <t>NA</t>
        </is>
      </c>
      <c r="Q1387" s="269" t="inlineStr">
        <is>
          <t>NA</t>
        </is>
      </c>
      <c r="R1387" s="241" t="inlineStr">
        <is>
          <t xml:space="preserve">Obligatoire pour les sûretés immobilières </t>
        </is>
      </c>
      <c r="S1387" s="233" t="inlineStr">
        <is>
          <t xml:space="preserve">Mandatory for real estate collateral </t>
        </is>
      </c>
      <c r="T1387" s="313" t="inlineStr">
        <is>
          <t>NUM</t>
        </is>
      </c>
      <c r="U1387" s="237" t="inlineStr">
        <is>
          <t>19 dont signe et 2 décimales</t>
        </is>
      </c>
      <c r="V1387" s="238" t="inlineStr">
        <is>
          <t>19 including sign and 2 decimals</t>
        </is>
      </c>
      <c r="W1387" s="257" t="n">
        <v>19</v>
      </c>
      <c r="X1387" s="945" t="inlineStr">
        <is>
          <t>NA</t>
        </is>
      </c>
      <c r="Y1387" s="237" t="n">
        <v>40</v>
      </c>
      <c r="Z1387" s="237" t="inlineStr">
        <is>
          <t>NA</t>
        </is>
      </c>
      <c r="AA1387" s="270" t="inlineStr">
        <is>
          <t>NA</t>
        </is>
      </c>
      <c r="AB1387" s="1287" t="inlineStr">
        <is>
          <t>USAGE ZP</t>
        </is>
      </c>
      <c r="AC1387" s="231" t="inlineStr">
        <is>
          <t>ND</t>
        </is>
      </c>
      <c r="AD1387" s="257" t="inlineStr">
        <is>
          <t>N</t>
        </is>
      </c>
      <c r="AE1387" s="257" t="inlineStr">
        <is>
          <t>REE-TAS</t>
        </is>
      </c>
      <c r="AF1387" s="257" t="inlineStr">
        <is>
          <t>NA</t>
        </is>
      </c>
      <c r="AG1387" s="258" t="inlineStr">
        <is>
          <t>NA</t>
        </is>
      </c>
      <c r="AH1387" s="89" t="n"/>
      <c r="AI1387" s="849" t="inlineStr">
        <is>
          <t>La donnée est obligatoire si la nature juridique de la sûreté [M1 5.1] = ‘REE01xx'</t>
        </is>
      </c>
      <c r="AJ1387" s="317" t="inlineStr">
        <is>
          <t>The data is mandatory if Legal nature of the mitigant [M1 5.1] = ‘REE01xx'</t>
        </is>
      </c>
      <c r="AK1387" s="257" t="n">
        <v>6</v>
      </c>
      <c r="AL1387" s="535" t="inlineStr">
        <is>
          <t>TPS0719</t>
        </is>
      </c>
      <c r="AM1387" s="318" t="n"/>
      <c r="AN1387" s="317" t="n"/>
      <c r="AO1387" s="257" t="n"/>
      <c r="AP1387" s="258" t="n"/>
      <c r="AQ1387" s="343" t="inlineStr">
        <is>
          <t>Si renseignée, la donnée doit être positive (supérieure ou égale à 0)</t>
        </is>
      </c>
      <c r="AR1387" s="317" t="inlineStr">
        <is>
          <t xml:space="preserve">If filled, data must be positive (greater or equal to 0) </t>
        </is>
      </c>
      <c r="AS1387" s="344" t="n">
        <v>7</v>
      </c>
      <c r="AT1387" s="345" t="inlineStr">
        <is>
          <t>TVG0001</t>
        </is>
      </c>
      <c r="AU1387" s="318" t="n"/>
      <c r="AV1387" s="317" t="n"/>
      <c r="AW1387" s="257" t="n"/>
      <c r="AX1387" s="258" t="n"/>
      <c r="AY1387" s="318" t="n"/>
      <c r="AZ1387" s="317" t="n"/>
      <c r="BA1387" s="257" t="n"/>
      <c r="BB1387" s="258" t="n"/>
      <c r="BC1387" s="316" t="n"/>
      <c r="BD1387" s="317" t="n"/>
      <c r="BE1387" s="257" t="n"/>
      <c r="BF1387" s="258" t="n"/>
      <c r="BG1387" s="89" t="n"/>
      <c r="BH13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87">
        <f>_xlfn.LET(r,ROW(),oc,INDEX($A:$A,r),cv,TRIM(INDEX($Y:$Y,r)&amp;""),IF(oc&lt;&gt;"P1","",IF(cv="45","V45 - novo, nao alimentado pelo spool atual","V44 - alimentado pelo spool atual")))</f>
        <v/>
      </c>
    </row>
    <row r="1388" ht="54" customFormat="1" customHeight="1" s="90">
      <c r="A1388" s="306" t="inlineStr">
        <is>
          <t>M1</t>
        </is>
      </c>
      <c r="B1388" s="307" t="n">
        <v>93</v>
      </c>
      <c r="C1388" s="269" t="inlineStr">
        <is>
          <t>15 - Caractéristiques Sureté</t>
        </is>
      </c>
      <c r="D1388" s="310" t="inlineStr">
        <is>
          <t>15 - Safety characteristics</t>
        </is>
      </c>
      <c r="E1388" s="307" t="inlineStr">
        <is>
          <t>M1 8.39</t>
        </is>
      </c>
      <c r="F1388" s="308" t="inlineStr">
        <is>
          <t xml:space="preserve">Indicateur borrowing base </t>
        </is>
      </c>
      <c r="G1388" s="309" t="inlineStr">
        <is>
          <t xml:space="preserve">Indicator Borrowing base </t>
        </is>
      </c>
      <c r="H1388" s="309" t="n"/>
      <c r="I1388" s="241" t="inlineStr">
        <is>
          <t>Une Borrowing Base est une méthode de détermination du montant maximal prêté à un client, basée sur la valeur d'une sûreté apportée en garantie. Si cette sûreté comprend cet indicateur alors le montant prêté est plafonné à un pourcentage de la valeur de cette sûreté</t>
        </is>
      </c>
      <c r="J1388" s="309" t="inlineStr">
        <is>
          <t>A Borrowing Base is a method of determining the maximum amount loaned to a customer, based on the value of a guarantee security. If this collateral includes this indicator then the amount lent is capped at a percentage of the value of this collateral</t>
        </is>
      </c>
      <c r="K1388" s="370" t="inlineStr">
        <is>
          <t>ND</t>
        </is>
      </c>
      <c r="L1388" s="371" t="inlineStr">
        <is>
          <t>ND</t>
        </is>
      </c>
      <c r="M1388" s="1420" t="inlineStr">
        <is>
          <t>indBorrBase</t>
        </is>
      </c>
      <c r="N1388" s="231" t="inlineStr">
        <is>
          <t>Obligatoire sous conditions</t>
        </is>
      </c>
      <c r="O1388" s="236" t="inlineStr">
        <is>
          <t>Mandatory under conditions</t>
        </is>
      </c>
      <c r="P1388" s="269" t="inlineStr">
        <is>
          <t>LC.0482</t>
        </is>
      </c>
      <c r="Q1388" s="269" t="inlineStr">
        <is>
          <t>TA Z8IBBASE</t>
        </is>
      </c>
      <c r="R1388" s="241" t="inlineStr">
        <is>
          <t>Pour le type de risque IAS, obligatoire si la nature juridique de la sûreté (M1 5.1) est égale à IAS0398 (Sûretés sur nantissement de créances )
Pour le type de risque REE-TAS, obligatoire si la nature juridique de la sûreté (M1 5.1) est égale à :
- Nantissement de marchandises et stocks (TAS0401)
- Nantissements de matériel et outillages (TAS0501)
- Gages sur véhicules automobiles (TAS0601)</t>
        </is>
      </c>
      <c r="S1388" s="309" t="inlineStr">
        <is>
          <t>For the IAS risk type, mandatory if the legal nature of the security interest (M1 5.1) is equal to IAS0398 (debts pledge security interests )
For the REE-TAS risk type, mandatory if the legal nature of the security interest (M1 5.1) is equal to:
- Pledge of goods and stocks (TAS0401)
- equipment Pledges and toolings (TAS0501)
- car vehicle assets (TAS0601)</t>
        </is>
      </c>
      <c r="T1388" s="313" t="inlineStr">
        <is>
          <t>ALPHA</t>
        </is>
      </c>
      <c r="U1388" s="237" t="inlineStr">
        <is>
          <t>NA</t>
        </is>
      </c>
      <c r="V1388" s="238" t="inlineStr">
        <is>
          <t>NA</t>
        </is>
      </c>
      <c r="W1388" s="257" t="n">
        <v>1</v>
      </c>
      <c r="X1388" s="945" t="inlineStr">
        <is>
          <t>NA</t>
        </is>
      </c>
      <c r="Y1388" s="237" t="n">
        <v>40</v>
      </c>
      <c r="Z1388" s="237" t="inlineStr">
        <is>
          <t>NA</t>
        </is>
      </c>
      <c r="AA1388" s="270" t="inlineStr">
        <is>
          <t>NA</t>
        </is>
      </c>
      <c r="AB1388" s="1287" t="inlineStr">
        <is>
          <t>USAGE ZP</t>
        </is>
      </c>
      <c r="AC1388" s="231" t="inlineStr">
        <is>
          <t>ND</t>
        </is>
      </c>
      <c r="AD1388" s="257" t="inlineStr">
        <is>
          <t>N</t>
        </is>
      </c>
      <c r="AE1388" s="257" t="inlineStr">
        <is>
          <t>IAS
REE-TAS</t>
        </is>
      </c>
      <c r="AF1388" s="257" t="inlineStr">
        <is>
          <t>NA</t>
        </is>
      </c>
      <c r="AG1388" s="258" t="inlineStr">
        <is>
          <t>NA</t>
        </is>
      </c>
      <c r="AH1388" s="89" t="n"/>
      <c r="AI1388" s="369" t="inlineStr">
        <is>
          <t>La donnée est obligatoire si la nature juridique de la sûreté [M1 5.1] = ‘TAS0401', ‘TAS0501', ‘TAS0601', ‘IAS0398'</t>
        </is>
      </c>
      <c r="AJ1388" s="317" t="inlineStr">
        <is>
          <t>The data is mandatory if Legal nature of the mitigant [M1 5.1] = ‘TAS0401', ‘TAS0501', ‘TAS0601', ‘IAS0398'</t>
        </is>
      </c>
      <c r="AK1388" s="257" t="n">
        <v>6</v>
      </c>
      <c r="AL1388" s="345" t="inlineStr">
        <is>
          <t>TPS0720</t>
        </is>
      </c>
      <c r="AM1388" s="318" t="inlineStr">
        <is>
          <t>Si elle est renseignée, la valeur doit être connue du Langage Commun associé</t>
        </is>
      </c>
      <c r="AN1388" s="317" t="inlineStr">
        <is>
          <t>If specified, the value must be known to the associated Common Language</t>
        </is>
      </c>
      <c r="AO1388" s="257" t="n">
        <v>7</v>
      </c>
      <c r="AP1388" s="469" t="inlineStr">
        <is>
          <t>TIG0001</t>
        </is>
      </c>
      <c r="AQ1388" s="421" t="n"/>
      <c r="AR1388" s="422" t="n"/>
      <c r="AS1388" s="348" t="n"/>
      <c r="AT1388" s="868" t="n"/>
      <c r="AU1388" s="318" t="n"/>
      <c r="AV1388" s="317" t="n"/>
      <c r="AW1388" s="257" t="n"/>
      <c r="AX1388" s="258" t="n"/>
      <c r="AY1388" s="318" t="n"/>
      <c r="AZ1388" s="317" t="n"/>
      <c r="BA1388" s="257" t="n"/>
      <c r="BB1388" s="258" t="n"/>
      <c r="BC1388" s="316" t="n"/>
      <c r="BD1388" s="317" t="n"/>
      <c r="BE1388" s="257" t="n"/>
      <c r="BF1388" s="258" t="n"/>
      <c r="BG1388" s="89" t="n"/>
      <c r="BH13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88">
        <f>_xlfn.LET(r,ROW(),oc,INDEX($A:$A,r),cv,TRIM(INDEX($Y:$Y,r)&amp;""),IF(oc&lt;&gt;"P1","",IF(cv="45","V45 - novo, nao alimentado pelo spool atual","V44 - alimentado pelo spool atual")))</f>
        <v/>
      </c>
    </row>
    <row r="1389" ht="54" customFormat="1" customHeight="1" s="90">
      <c r="A1389" s="306" t="inlineStr">
        <is>
          <t>M1</t>
        </is>
      </c>
      <c r="B1389" s="307" t="n">
        <v>94</v>
      </c>
      <c r="C1389" s="269" t="inlineStr">
        <is>
          <t>15 - Caractéristiques Sureté</t>
        </is>
      </c>
      <c r="D1389" s="310" t="inlineStr">
        <is>
          <t>15 - Safety characteristics</t>
        </is>
      </c>
      <c r="E1389" s="307" t="inlineStr">
        <is>
          <t>M1 8.42</t>
        </is>
      </c>
      <c r="F1389" s="278" t="inlineStr">
        <is>
          <t>Type de bien immobilier</t>
        </is>
      </c>
      <c r="G1389" s="160" t="inlineStr">
        <is>
          <t>Type of property</t>
        </is>
      </c>
      <c r="H1389" s="160" t="n"/>
      <c r="I1389" s="278" t="inlineStr">
        <is>
          <t>Type de bien immobilier
Il s'agit d'un attribut spécifique à chaque garantie</t>
        </is>
      </c>
      <c r="J1389" s="160" t="inlineStr">
        <is>
          <t>Type of property
This is an attribute specific to each guarantee</t>
        </is>
      </c>
      <c r="K1389" s="370" t="inlineStr">
        <is>
          <t>ND</t>
        </is>
      </c>
      <c r="L1389" s="371" t="inlineStr">
        <is>
          <t>ND</t>
        </is>
      </c>
      <c r="M1389" s="1420" t="inlineStr">
        <is>
          <t>cdUsBien</t>
        </is>
      </c>
      <c r="N1389" s="231" t="inlineStr">
        <is>
          <t>Obligatoire sous conditions</t>
        </is>
      </c>
      <c r="O1389" s="236" t="inlineStr">
        <is>
          <t>Mandatory under conditions</t>
        </is>
      </c>
      <c r="P1389" s="269" t="inlineStr">
        <is>
          <t>LC.0166</t>
        </is>
      </c>
      <c r="Q1389" s="269" t="inlineStr">
        <is>
          <t>TA KVUSGBI</t>
        </is>
      </c>
      <c r="R1389" s="870" t="inlineStr">
        <is>
          <t>Cette donnée n'impacte pas la détermination des pondérations du périmètre immobilier : exposition garantie par un bien immobilier</t>
        </is>
      </c>
      <c r="S1389" s="309" t="inlineStr">
        <is>
          <t>This data does not affect the determination of the weightings of the real estate scope: exposure guaranteed by a real estate asset</t>
        </is>
      </c>
      <c r="T1389" s="313" t="inlineStr">
        <is>
          <t>ALPHA</t>
        </is>
      </c>
      <c r="U1389" s="237" t="inlineStr">
        <is>
          <t>NA</t>
        </is>
      </c>
      <c r="V1389" s="238" t="inlineStr">
        <is>
          <t>NA</t>
        </is>
      </c>
      <c r="W1389" s="257" t="n">
        <v>1</v>
      </c>
      <c r="X1389" s="945" t="inlineStr">
        <is>
          <t>NA</t>
        </is>
      </c>
      <c r="Y1389" s="237" t="n">
        <v>41</v>
      </c>
      <c r="Z1389" s="237" t="inlineStr">
        <is>
          <t>NA</t>
        </is>
      </c>
      <c r="AA1389" s="978" t="inlineStr">
        <is>
          <t>NA</t>
        </is>
      </c>
      <c r="AB1389" s="994" t="inlineStr">
        <is>
          <t>ESG PILIER 3, LOAN TAPE, RISQUE PHYSIQUE</t>
        </is>
      </c>
      <c r="AC1389" s="231" t="inlineStr">
        <is>
          <t>ND</t>
        </is>
      </c>
      <c r="AD1389" s="257" t="inlineStr">
        <is>
          <t>N</t>
        </is>
      </c>
      <c r="AE1389" s="257" t="inlineStr">
        <is>
          <t>REE-TAS</t>
        </is>
      </c>
      <c r="AF1389" s="257" t="inlineStr">
        <is>
          <t>NA</t>
        </is>
      </c>
      <c r="AG1389" s="258" t="inlineStr">
        <is>
          <t>NA</t>
        </is>
      </c>
      <c r="AH1389" s="89" t="n"/>
      <c r="AI1389" s="461" t="inlineStr">
        <is>
          <t>La donnée est obligatoire si la nature juridique de la sûreté [M1 5.1] = 'REE*'</t>
        </is>
      </c>
      <c r="AJ1389" s="317" t="inlineStr">
        <is>
          <t>The data is mandatory if Legal nature of the mitigant [M1 5.1] = 'REE*'</t>
        </is>
      </c>
      <c r="AK1389" s="257" t="n">
        <v>6</v>
      </c>
      <c r="AL1389" s="345" t="inlineStr">
        <is>
          <t>TPS0721</t>
        </is>
      </c>
      <c r="AM1389" s="436" t="inlineStr">
        <is>
          <t>Si elle est renseignée, la valeur doit être connue du Langage Commun associé</t>
        </is>
      </c>
      <c r="AN1389" s="317" t="inlineStr">
        <is>
          <t>If specified, the value must be known to the associated Common Language</t>
        </is>
      </c>
      <c r="AO1389" s="257" t="n">
        <v>7</v>
      </c>
      <c r="AP1389" s="469" t="inlineStr">
        <is>
          <t>TIG0001</t>
        </is>
      </c>
      <c r="AQ1389" s="318" t="n"/>
      <c r="AR1389" s="317" t="n"/>
      <c r="AS1389" s="257" t="n"/>
      <c r="AT1389" s="258" t="n"/>
      <c r="AU1389" s="318" t="n"/>
      <c r="AV1389" s="317" t="n"/>
      <c r="AW1389" s="257" t="n"/>
      <c r="AX1389" s="258" t="n"/>
      <c r="AY1389" s="318" t="n"/>
      <c r="AZ1389" s="317" t="n"/>
      <c r="BA1389" s="257" t="n"/>
      <c r="BB1389" s="258" t="n"/>
      <c r="BC1389" s="316" t="n"/>
      <c r="BD1389" s="317" t="n"/>
      <c r="BE1389" s="257" t="n"/>
      <c r="BF1389" s="258" t="n"/>
      <c r="BG1389" s="89" t="n"/>
      <c r="BH13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89">
        <f>_xlfn.LET(r,ROW(),oc,INDEX($A:$A,r),cv,TRIM(INDEX($Y:$Y,r)&amp;""),IF(oc&lt;&gt;"P1","",IF(cv="45","V45 - novo, nao alimentado pelo spool atual","V44 - alimentado pelo spool atual")))</f>
        <v/>
      </c>
    </row>
    <row r="1390" ht="54" customFormat="1" customHeight="1" s="90">
      <c r="A1390" s="306" t="inlineStr">
        <is>
          <t>M1</t>
        </is>
      </c>
      <c r="B1390" s="307" t="n">
        <v>95</v>
      </c>
      <c r="C1390" s="269" t="inlineStr">
        <is>
          <t>27 - Caractéristiques extra-financière</t>
        </is>
      </c>
      <c r="D1390" s="236" t="inlineStr">
        <is>
          <t>27 - Extra-financial caracteristics</t>
        </is>
      </c>
      <c r="E1390" s="307" t="inlineStr">
        <is>
          <t>M1 9.1</t>
        </is>
      </c>
      <c r="F1390" s="308" t="inlineStr">
        <is>
          <t>Pays de localisation du patrimoine du garant</t>
        </is>
      </c>
      <c r="G1390" s="309" t="inlineStr">
        <is>
          <t>Country in which guarantor's assets are located</t>
        </is>
      </c>
      <c r="H1390" s="309" t="n"/>
      <c r="I1390" s="241" t="inlineStr">
        <is>
          <t>Pays de localisation du patrimoine du garant</t>
        </is>
      </c>
      <c r="J1390" s="309" t="inlineStr">
        <is>
          <t>Country in which guarantor's assets are located</t>
        </is>
      </c>
      <c r="K1390" s="370" t="inlineStr">
        <is>
          <t>ND</t>
        </is>
      </c>
      <c r="L1390" s="371" t="inlineStr">
        <is>
          <t>ND</t>
        </is>
      </c>
      <c r="M1390" s="1420" t="inlineStr">
        <is>
          <t>cdPayAct</t>
        </is>
      </c>
      <c r="N1390" s="231" t="inlineStr">
        <is>
          <t>Obligatoire sous conditions</t>
        </is>
      </c>
      <c r="O1390" s="236" t="inlineStr">
        <is>
          <t>Mandatory under conditions</t>
        </is>
      </c>
      <c r="P1390" s="269" t="inlineStr">
        <is>
          <t>LC.0004
LC.0273</t>
        </is>
      </c>
      <c r="Q1390" s="269" t="inlineStr">
        <is>
          <t>TA NM252 (pour la partie ISO 3166)
TA NM258 (organisation supra nationales)</t>
        </is>
      </c>
      <c r="R1390" s="241" t="inlineStr">
        <is>
          <t>NA</t>
        </is>
      </c>
      <c r="S1390" s="309" t="inlineStr">
        <is>
          <t>NA</t>
        </is>
      </c>
      <c r="T1390" s="313" t="inlineStr">
        <is>
          <t>ALPHA</t>
        </is>
      </c>
      <c r="U1390" s="237" t="inlineStr">
        <is>
          <t>NA</t>
        </is>
      </c>
      <c r="V1390" s="238" t="inlineStr">
        <is>
          <t>NA</t>
        </is>
      </c>
      <c r="W1390" s="257" t="n">
        <v>2</v>
      </c>
      <c r="X1390" s="945" t="inlineStr">
        <is>
          <t>NA</t>
        </is>
      </c>
      <c r="Y1390" s="237" t="n">
        <v>40</v>
      </c>
      <c r="Z1390" s="237" t="inlineStr">
        <is>
          <t>NA</t>
        </is>
      </c>
      <c r="AA1390" s="270" t="inlineStr">
        <is>
          <t>NA</t>
        </is>
      </c>
      <c r="AB1390" s="1287" t="inlineStr">
        <is>
          <t>USAGE ZP</t>
        </is>
      </c>
      <c r="AC1390" s="231" t="inlineStr">
        <is>
          <t>ND</t>
        </is>
      </c>
      <c r="AD1390" s="257" t="inlineStr">
        <is>
          <t>N</t>
        </is>
      </c>
      <c r="AE1390" s="257" t="inlineStr">
        <is>
          <t xml:space="preserve">
GUA-CDE
</t>
        </is>
      </c>
      <c r="AF1390" s="257" t="inlineStr">
        <is>
          <t>NA</t>
        </is>
      </c>
      <c r="AG1390" s="258" t="inlineStr">
        <is>
          <t>NA</t>
        </is>
      </c>
      <c r="AH1390" s="89" t="n"/>
      <c r="AI1390" s="316" t="inlineStr">
        <is>
          <t>La donnée est obligatoire, si la nature juridique de la sûreté [M1 5.1] commence par ('GUA**')</t>
        </is>
      </c>
      <c r="AJ1390" s="317" t="inlineStr">
        <is>
          <t>The data is mandatory, if Legal nature of the mitigant [M1 5.1] starts with ('GUA**')</t>
        </is>
      </c>
      <c r="AK1390" s="257" t="n">
        <v>6</v>
      </c>
      <c r="AL1390" s="366" t="inlineStr">
        <is>
          <t>TPS0709</t>
        </is>
      </c>
      <c r="AM1390" s="318" t="inlineStr">
        <is>
          <t>Si elle est renseignée, la valeur doit être connue du Langage Commun associé</t>
        </is>
      </c>
      <c r="AN1390" s="317" t="inlineStr">
        <is>
          <t>If specified, the value must be known to the associated Common Language</t>
        </is>
      </c>
      <c r="AO1390" s="257" t="n">
        <v>7</v>
      </c>
      <c r="AP1390" s="258" t="inlineStr">
        <is>
          <t>TIG0001</t>
        </is>
      </c>
      <c r="AQ1390" s="318" t="n"/>
      <c r="AR1390" s="317" t="n"/>
      <c r="AS1390" s="257" t="n"/>
      <c r="AT1390" s="258" t="n"/>
      <c r="AU1390" s="318" t="n"/>
      <c r="AV1390" s="317" t="n"/>
      <c r="AW1390" s="257" t="n"/>
      <c r="AX1390" s="258" t="n"/>
      <c r="AY1390" s="318" t="n"/>
      <c r="AZ1390" s="317" t="n"/>
      <c r="BA1390" s="257" t="n"/>
      <c r="BB1390" s="258" t="n"/>
      <c r="BC1390" s="316" t="n"/>
      <c r="BD1390" s="317" t="n"/>
      <c r="BE1390" s="257" t="n"/>
      <c r="BF1390" s="258" t="n"/>
      <c r="BG1390" s="89" t="n"/>
      <c r="BH13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90">
        <f>_xlfn.LET(r,ROW(),oc,INDEX($A:$A,r),cv,TRIM(INDEX($Y:$Y,r)&amp;""),IF(oc&lt;&gt;"P1","",IF(cv="45","V45 - novo, nao alimentado pelo spool atual","V44 - alimentado pelo spool atual")))</f>
        <v/>
      </c>
    </row>
    <row r="1391" ht="54" customFormat="1" customHeight="1" s="55">
      <c r="A1391" s="325" t="inlineStr">
        <is>
          <t>M1</t>
        </is>
      </c>
      <c r="B1391" s="326" t="n">
        <v>96</v>
      </c>
      <c r="C1391" s="284" t="inlineStr">
        <is>
          <t>NA</t>
        </is>
      </c>
      <c r="D1391" s="244" t="inlineStr">
        <is>
          <t>NA</t>
        </is>
      </c>
      <c r="E1391" s="326" t="inlineStr">
        <is>
          <t>M1 9.99</t>
        </is>
      </c>
      <c r="F1391" s="327" t="inlineStr">
        <is>
          <t>Filler</t>
        </is>
      </c>
      <c r="G1391" s="327" t="inlineStr">
        <is>
          <t>Filler</t>
        </is>
      </c>
      <c r="H1391" s="327" t="n"/>
      <c r="I1391" s="247" t="inlineStr">
        <is>
          <t>Zone libre</t>
        </is>
      </c>
      <c r="J1391" s="327" t="inlineStr">
        <is>
          <t>Free zone</t>
        </is>
      </c>
      <c r="K1391" s="388" t="inlineStr">
        <is>
          <t>NA</t>
        </is>
      </c>
      <c r="L1391" s="388" t="inlineStr">
        <is>
          <t>NA</t>
        </is>
      </c>
      <c r="M1391" s="1421" t="inlineStr">
        <is>
          <t>ZoneLibre9</t>
        </is>
      </c>
      <c r="N1391" s="284" t="inlineStr">
        <is>
          <t>NA</t>
        </is>
      </c>
      <c r="O1391" s="388" t="inlineStr">
        <is>
          <t>NA</t>
        </is>
      </c>
      <c r="P1391" s="284" t="inlineStr">
        <is>
          <t>NA</t>
        </is>
      </c>
      <c r="Q1391" s="284" t="inlineStr">
        <is>
          <t>NA</t>
        </is>
      </c>
      <c r="R1391" s="247" t="inlineStr">
        <is>
          <t>Laisser à vide</t>
        </is>
      </c>
      <c r="S1391" s="247" t="inlineStr">
        <is>
          <t>Leave empty</t>
        </is>
      </c>
      <c r="T1391" s="326" t="inlineStr">
        <is>
          <t>ALPHA</t>
        </is>
      </c>
      <c r="U1391" s="248" t="inlineStr">
        <is>
          <t>NA</t>
        </is>
      </c>
      <c r="V1391" s="248" t="inlineStr">
        <is>
          <t>NA</t>
        </is>
      </c>
      <c r="W1391" s="284" t="n">
        <v>20</v>
      </c>
      <c r="X1391" s="244" t="inlineStr">
        <is>
          <t>NA</t>
        </is>
      </c>
      <c r="Y1391" s="248" t="inlineStr">
        <is>
          <t>NA</t>
        </is>
      </c>
      <c r="Z1391" s="248" t="inlineStr">
        <is>
          <t>NA</t>
        </is>
      </c>
      <c r="AA1391" s="248" t="inlineStr">
        <is>
          <t>NA</t>
        </is>
      </c>
      <c r="AB1391" s="284" t="inlineStr">
        <is>
          <t>NA</t>
        </is>
      </c>
      <c r="AC1391" s="244" t="inlineStr">
        <is>
          <t>NA</t>
        </is>
      </c>
      <c r="AD1391" s="284" t="inlineStr">
        <is>
          <t>N</t>
        </is>
      </c>
      <c r="AE1391" s="284" t="inlineStr">
        <is>
          <t>NA</t>
        </is>
      </c>
      <c r="AF1391" s="284" t="inlineStr">
        <is>
          <t>NA</t>
        </is>
      </c>
      <c r="AG1391" s="285" t="inlineStr">
        <is>
          <t>NA</t>
        </is>
      </c>
      <c r="AH1391" s="89" t="n"/>
      <c r="AI1391" s="330" t="n"/>
      <c r="AJ1391" s="331" t="n"/>
      <c r="AK1391" s="284" t="n"/>
      <c r="AL1391" s="285" t="n"/>
      <c r="AM1391" s="331" t="n"/>
      <c r="AN1391" s="331" t="n"/>
      <c r="AO1391" s="284" t="n"/>
      <c r="AP1391" s="285" t="n"/>
      <c r="AQ1391" s="331" t="n"/>
      <c r="AR1391" s="331" t="n"/>
      <c r="AS1391" s="284" t="n"/>
      <c r="AT1391" s="285" t="n"/>
      <c r="AU1391" s="331" t="n"/>
      <c r="AV1391" s="331" t="n"/>
      <c r="AW1391" s="284" t="n"/>
      <c r="AX1391" s="285" t="n"/>
      <c r="AY1391" s="331" t="n"/>
      <c r="AZ1391" s="331" t="n"/>
      <c r="BA1391" s="284" t="n"/>
      <c r="BB1391" s="285" t="n"/>
      <c r="BC1391" s="330" t="n"/>
      <c r="BD1391" s="331" t="n"/>
      <c r="BE1391" s="284" t="n"/>
      <c r="BF1391" s="285" t="n"/>
      <c r="BG1391" s="89" t="n"/>
      <c r="BH13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91">
        <f>_xlfn.LET(r,ROW(),oc,INDEX($A:$A,r),cv,TRIM(INDEX($Y:$Y,r)&amp;""),IF(oc&lt;&gt;"P1","",IF(cv="45","V45 - novo, nao alimentado pelo spool atual","V44 - alimentado pelo spool atual")))</f>
        <v/>
      </c>
    </row>
    <row r="1392" ht="54" customFormat="1" customHeight="1" s="90">
      <c r="A1392" s="306" t="inlineStr">
        <is>
          <t>M1</t>
        </is>
      </c>
      <c r="B1392" s="307" t="n">
        <v>97</v>
      </c>
      <c r="C1392" s="269" t="inlineStr">
        <is>
          <t>15 - Caractéristiques Sureté</t>
        </is>
      </c>
      <c r="D1392" s="236" t="inlineStr">
        <is>
          <t>15 - Safety characteristics</t>
        </is>
      </c>
      <c r="E1392" s="307" t="inlineStr">
        <is>
          <t>M1 10.1</t>
        </is>
      </c>
      <c r="F1392" s="871" t="inlineStr">
        <is>
          <t>Pourcentage de couverture du risque politique</t>
        </is>
      </c>
      <c r="G1392" s="309" t="inlineStr">
        <is>
          <t>Percentage of coverage of political risk</t>
        </is>
      </c>
      <c r="H1392" s="309" t="n"/>
      <c r="I1392" s="1248" t="inlineStr">
        <is>
          <t>Pourcentage de couverture du risque politique
Exprimé en %</t>
        </is>
      </c>
      <c r="J1392" s="309" t="inlineStr">
        <is>
          <t>Percentage of coverage of political risk
Expressed as %</t>
        </is>
      </c>
      <c r="K1392" s="370" t="inlineStr">
        <is>
          <t>ND</t>
        </is>
      </c>
      <c r="L1392" s="371" t="inlineStr">
        <is>
          <t>ND</t>
        </is>
      </c>
      <c r="M1392" s="1420" t="inlineStr">
        <is>
          <t>txCouvRisqPolitique</t>
        </is>
      </c>
      <c r="N1392" s="1007" t="inlineStr">
        <is>
          <t>Facultatif</t>
        </is>
      </c>
      <c r="O1392" s="1006" t="inlineStr">
        <is>
          <t>Optional</t>
        </is>
      </c>
      <c r="P1392" s="269" t="inlineStr">
        <is>
          <t>NA</t>
        </is>
      </c>
      <c r="Q1392" s="269" t="inlineStr">
        <is>
          <t>NA</t>
        </is>
      </c>
      <c r="R1392" s="241" t="inlineStr">
        <is>
          <t>NA</t>
        </is>
      </c>
      <c r="S1392" s="309" t="inlineStr">
        <is>
          <t>NA</t>
        </is>
      </c>
      <c r="T1392" s="313" t="inlineStr">
        <is>
          <t>NUM</t>
        </is>
      </c>
      <c r="U1392" s="237" t="inlineStr">
        <is>
          <t>10 dont signe et 5 décimales</t>
        </is>
      </c>
      <c r="V1392" s="238" t="inlineStr">
        <is>
          <t>10 including sign and 5 decimals</t>
        </is>
      </c>
      <c r="W1392" s="257" t="n">
        <v>10</v>
      </c>
      <c r="X1392" s="945" t="inlineStr">
        <is>
          <t>NA</t>
        </is>
      </c>
      <c r="Y1392" s="237" t="n">
        <v>40</v>
      </c>
      <c r="Z1392" s="237" t="inlineStr">
        <is>
          <t>NA</t>
        </is>
      </c>
      <c r="AA1392" s="270" t="inlineStr">
        <is>
          <t>45.00</t>
        </is>
      </c>
      <c r="AB1392" s="1287" t="inlineStr">
        <is>
          <t>USAGE ZP</t>
        </is>
      </c>
      <c r="AC1392" s="231" t="inlineStr">
        <is>
          <t>ND</t>
        </is>
      </c>
      <c r="AD1392" s="257" t="inlineStr">
        <is>
          <t>N</t>
        </is>
      </c>
      <c r="AE1392" s="1401" t="inlineStr">
        <is>
          <t>INS</t>
        </is>
      </c>
      <c r="AF1392" s="257" t="inlineStr">
        <is>
          <t>NA</t>
        </is>
      </c>
      <c r="AG1392" s="258" t="inlineStr">
        <is>
          <t>NA</t>
        </is>
      </c>
      <c r="AH1392" s="89" t="n"/>
      <c r="AI1392" s="1403" t="n"/>
      <c r="AJ1392" s="931" t="n"/>
      <c r="AK1392" s="958" t="n"/>
      <c r="AL1392" s="1402" t="n"/>
      <c r="AM1392" s="318" t="n"/>
      <c r="AN1392" s="317" t="n"/>
      <c r="AO1392" s="257" t="n"/>
      <c r="AP1392" s="258" t="n"/>
      <c r="AQ1392" s="381" t="inlineStr">
        <is>
          <t>Si renseignée ET si la Nature juridique de la sûreté [M1 5.1] commence par ‘INS', ‘NOT', alors la valeur doit être comprise entre 0 et 100</t>
        </is>
      </c>
      <c r="AR1392" s="317" t="inlineStr">
        <is>
          <t>If filled AND the Legal nature of the mitigant [M1 5.1] starts with INS', ‘NOT', then the value must be between 0 and 100</t>
        </is>
      </c>
      <c r="AS1392" s="257" t="n">
        <v>7</v>
      </c>
      <c r="AT1392" s="355" t="inlineStr">
        <is>
          <t>TVS0747</t>
        </is>
      </c>
      <c r="AU1392" s="318" t="n"/>
      <c r="AV1392" s="317" t="n"/>
      <c r="AW1392" s="257" t="n"/>
      <c r="AX1392" s="258" t="n"/>
      <c r="AY1392" s="318" t="n"/>
      <c r="AZ1392" s="317" t="n"/>
      <c r="BA1392" s="257" t="n"/>
      <c r="BB1392" s="258" t="n"/>
      <c r="BC1392" s="316" t="n"/>
      <c r="BD1392" s="317" t="n"/>
      <c r="BE1392" s="257" t="n"/>
      <c r="BF1392" s="258" t="n"/>
      <c r="BG1392" s="89" t="n"/>
      <c r="BH13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92">
        <f>_xlfn.LET(r,ROW(),oc,INDEX($A:$A,r),cv,TRIM(INDEX($Y:$Y,r)&amp;""),IF(oc&lt;&gt;"P1","",IF(cv="45","V45 - novo, nao alimentado pelo spool atual","V44 - alimentado pelo spool atual")))</f>
        <v/>
      </c>
    </row>
    <row r="1393" ht="54" customFormat="1" customHeight="1" s="90">
      <c r="A1393" s="306" t="inlineStr">
        <is>
          <t>M1</t>
        </is>
      </c>
      <c r="B1393" s="307" t="n">
        <v>98</v>
      </c>
      <c r="C1393" s="269" t="inlineStr">
        <is>
          <t>15 - Caractéristiques Sureté</t>
        </is>
      </c>
      <c r="D1393" s="236" t="inlineStr">
        <is>
          <t>15 - Safety characteristics</t>
        </is>
      </c>
      <c r="E1393" s="307" t="inlineStr">
        <is>
          <t>M1 10.2</t>
        </is>
      </c>
      <c r="F1393" s="871" t="inlineStr">
        <is>
          <t>Pourcentage de couverture du risque commercial</t>
        </is>
      </c>
      <c r="G1393" s="309" t="inlineStr">
        <is>
          <t>Business risk coverage percentage</t>
        </is>
      </c>
      <c r="H1393" s="309" t="n"/>
      <c r="I1393" s="1248" t="inlineStr">
        <is>
          <t>Pourcentage de couverture du risque commercial
Exprimé en %</t>
        </is>
      </c>
      <c r="J1393" s="309" t="inlineStr">
        <is>
          <t>Business risk coverage percentage
Expressed as %</t>
        </is>
      </c>
      <c r="K1393" s="370" t="inlineStr">
        <is>
          <t>ND</t>
        </is>
      </c>
      <c r="L1393" s="371" t="inlineStr">
        <is>
          <t>ND</t>
        </is>
      </c>
      <c r="M1393" s="1420" t="inlineStr">
        <is>
          <t>txCouvRisqCommerc</t>
        </is>
      </c>
      <c r="N1393" s="1007" t="inlineStr">
        <is>
          <t>Facultatif</t>
        </is>
      </c>
      <c r="O1393" s="1006" t="inlineStr">
        <is>
          <t>Optional</t>
        </is>
      </c>
      <c r="P1393" s="269" t="inlineStr">
        <is>
          <t>NA</t>
        </is>
      </c>
      <c r="Q1393" s="269" t="inlineStr">
        <is>
          <t>NA</t>
        </is>
      </c>
      <c r="R1393" s="241" t="inlineStr">
        <is>
          <t>NA</t>
        </is>
      </c>
      <c r="S1393" s="309" t="inlineStr">
        <is>
          <t>NA</t>
        </is>
      </c>
      <c r="T1393" s="313" t="inlineStr">
        <is>
          <t>NUM</t>
        </is>
      </c>
      <c r="U1393" s="237" t="inlineStr">
        <is>
          <t>10 dont signe et 5 décimales</t>
        </is>
      </c>
      <c r="V1393" s="238" t="inlineStr">
        <is>
          <t>10 including sign and 5 decimals</t>
        </is>
      </c>
      <c r="W1393" s="257" t="n">
        <v>10</v>
      </c>
      <c r="X1393" s="945" t="inlineStr">
        <is>
          <t>NA</t>
        </is>
      </c>
      <c r="Y1393" s="237" t="n">
        <v>40</v>
      </c>
      <c r="Z1393" s="237" t="inlineStr">
        <is>
          <t>NA</t>
        </is>
      </c>
      <c r="AA1393" s="270" t="inlineStr">
        <is>
          <t>45.00</t>
        </is>
      </c>
      <c r="AB1393" s="1287" t="inlineStr">
        <is>
          <t>USAGE ZP</t>
        </is>
      </c>
      <c r="AC1393" s="231" t="inlineStr">
        <is>
          <t>ND</t>
        </is>
      </c>
      <c r="AD1393" s="257" t="inlineStr">
        <is>
          <t>N</t>
        </is>
      </c>
      <c r="AE1393" s="1401" t="inlineStr">
        <is>
          <t>INS</t>
        </is>
      </c>
      <c r="AF1393" s="257" t="inlineStr">
        <is>
          <t>NA</t>
        </is>
      </c>
      <c r="AG1393" s="258" t="inlineStr">
        <is>
          <t>NA</t>
        </is>
      </c>
      <c r="AH1393" s="89" t="n"/>
      <c r="AI1393" s="1403" t="n"/>
      <c r="AJ1393" s="931" t="n"/>
      <c r="AK1393" s="958" t="n"/>
      <c r="AL1393" s="1402" t="n"/>
      <c r="AM1393" s="318" t="n"/>
      <c r="AN1393" s="317" t="n"/>
      <c r="AO1393" s="257" t="n"/>
      <c r="AP1393" s="258" t="n"/>
      <c r="AQ1393" s="381" t="inlineStr">
        <is>
          <t>Si renseignée ET si la Nature juridique de la sûreté [M1 5.1] commence par ‘INS', ‘NOT', alors la valeur doit être comprise entre 0 et 100</t>
        </is>
      </c>
      <c r="AR1393" s="317" t="inlineStr">
        <is>
          <t>If filled AND the Legal nature of the mitigant [M1 5.1] starts with INS', ‘NOT', then the value must be between 0 and 100</t>
        </is>
      </c>
      <c r="AS1393" s="257" t="n">
        <v>7</v>
      </c>
      <c r="AT1393" s="355" t="inlineStr">
        <is>
          <t>TVS0747</t>
        </is>
      </c>
      <c r="AU1393" s="318" t="n"/>
      <c r="AV1393" s="317" t="n"/>
      <c r="AW1393" s="257" t="n"/>
      <c r="AX1393" s="258" t="n"/>
      <c r="AY1393" s="318" t="n"/>
      <c r="AZ1393" s="317" t="n"/>
      <c r="BA1393" s="257" t="n"/>
      <c r="BB1393" s="258" t="n"/>
      <c r="BC1393" s="316" t="n"/>
      <c r="BD1393" s="317" t="n"/>
      <c r="BE1393" s="257" t="n"/>
      <c r="BF1393" s="258" t="n"/>
      <c r="BG1393" s="89" t="n"/>
      <c r="BH13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93">
        <f>_xlfn.LET(r,ROW(),oc,INDEX($A:$A,r),cv,TRIM(INDEX($Y:$Y,r)&amp;""),IF(oc&lt;&gt;"P1","",IF(cv="45","V45 - novo, nao alimentado pelo spool atual","V44 - alimentado pelo spool atual")))</f>
        <v/>
      </c>
    </row>
    <row r="1394" ht="54" customFormat="1" customHeight="1" s="55">
      <c r="A1394" s="325" t="inlineStr">
        <is>
          <t>M1</t>
        </is>
      </c>
      <c r="B1394" s="326" t="n">
        <v>99</v>
      </c>
      <c r="C1394" s="284" t="inlineStr">
        <is>
          <t>NA</t>
        </is>
      </c>
      <c r="D1394" s="244" t="inlineStr">
        <is>
          <t>NA</t>
        </is>
      </c>
      <c r="E1394" s="326" t="inlineStr">
        <is>
          <t>M1 10.99</t>
        </is>
      </c>
      <c r="F1394" s="327" t="inlineStr">
        <is>
          <t>Filler</t>
        </is>
      </c>
      <c r="G1394" s="327" t="inlineStr">
        <is>
          <t>Filler</t>
        </is>
      </c>
      <c r="H1394" s="327" t="n"/>
      <c r="I1394" s="247" t="inlineStr">
        <is>
          <t>Zone libre</t>
        </is>
      </c>
      <c r="J1394" s="327" t="inlineStr">
        <is>
          <t>Free zone</t>
        </is>
      </c>
      <c r="K1394" s="388" t="inlineStr">
        <is>
          <t>NA</t>
        </is>
      </c>
      <c r="L1394" s="388" t="inlineStr">
        <is>
          <t>NA</t>
        </is>
      </c>
      <c r="M1394" s="1421" t="inlineStr">
        <is>
          <t>ZoneLibre10</t>
        </is>
      </c>
      <c r="N1394" s="284" t="inlineStr">
        <is>
          <t>NA</t>
        </is>
      </c>
      <c r="O1394" s="388" t="inlineStr">
        <is>
          <t>NA</t>
        </is>
      </c>
      <c r="P1394" s="284" t="inlineStr">
        <is>
          <t>NA</t>
        </is>
      </c>
      <c r="Q1394" s="284" t="inlineStr">
        <is>
          <t>NA</t>
        </is>
      </c>
      <c r="R1394" s="247" t="inlineStr">
        <is>
          <t>Laisser à vide</t>
        </is>
      </c>
      <c r="S1394" s="247" t="inlineStr">
        <is>
          <t>Leave empty</t>
        </is>
      </c>
      <c r="T1394" s="326" t="inlineStr">
        <is>
          <t>ALPHA</t>
        </is>
      </c>
      <c r="U1394" s="248" t="inlineStr">
        <is>
          <t>NA</t>
        </is>
      </c>
      <c r="V1394" s="248" t="inlineStr">
        <is>
          <t>NA</t>
        </is>
      </c>
      <c r="W1394" s="284" t="n">
        <v>20</v>
      </c>
      <c r="X1394" s="244" t="inlineStr">
        <is>
          <t>NA</t>
        </is>
      </c>
      <c r="Y1394" s="248" t="inlineStr">
        <is>
          <t>NA</t>
        </is>
      </c>
      <c r="Z1394" s="248" t="inlineStr">
        <is>
          <t>NA</t>
        </is>
      </c>
      <c r="AA1394" s="248" t="inlineStr">
        <is>
          <t>NA</t>
        </is>
      </c>
      <c r="AB1394" s="284" t="inlineStr">
        <is>
          <t>NA</t>
        </is>
      </c>
      <c r="AC1394" s="244" t="inlineStr">
        <is>
          <t>NA</t>
        </is>
      </c>
      <c r="AD1394" s="284" t="inlineStr">
        <is>
          <t>N</t>
        </is>
      </c>
      <c r="AE1394" s="284" t="inlineStr">
        <is>
          <t>NA</t>
        </is>
      </c>
      <c r="AF1394" s="284" t="inlineStr">
        <is>
          <t>NA</t>
        </is>
      </c>
      <c r="AG1394" s="285" t="inlineStr">
        <is>
          <t>NA</t>
        </is>
      </c>
      <c r="AH1394" s="89" t="n"/>
      <c r="AI1394" s="330" t="n"/>
      <c r="AJ1394" s="331" t="n"/>
      <c r="AK1394" s="284" t="n"/>
      <c r="AL1394" s="285" t="n"/>
      <c r="AM1394" s="331" t="n"/>
      <c r="AN1394" s="331" t="n"/>
      <c r="AO1394" s="284" t="n"/>
      <c r="AP1394" s="285" t="n"/>
      <c r="AQ1394" s="331" t="n"/>
      <c r="AR1394" s="331" t="n"/>
      <c r="AS1394" s="284" t="n"/>
      <c r="AT1394" s="285" t="n"/>
      <c r="AU1394" s="331" t="n"/>
      <c r="AV1394" s="331" t="n"/>
      <c r="AW1394" s="284" t="n"/>
      <c r="AX1394" s="285" t="n"/>
      <c r="AY1394" s="331" t="n"/>
      <c r="AZ1394" s="331" t="n"/>
      <c r="BA1394" s="284" t="n"/>
      <c r="BB1394" s="285" t="n"/>
      <c r="BC1394" s="330" t="n"/>
      <c r="BD1394" s="331" t="n"/>
      <c r="BE1394" s="284" t="n"/>
      <c r="BF1394" s="285" t="n"/>
      <c r="BG1394" s="89" t="n"/>
      <c r="BH13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94">
        <f>_xlfn.LET(r,ROW(),oc,INDEX($A:$A,r),cv,TRIM(INDEX($Y:$Y,r)&amp;""),IF(oc&lt;&gt;"P1","",IF(cv="45","V45 - novo, nao alimentado pelo spool atual","V44 - alimentado pelo spool atual")))</f>
        <v/>
      </c>
    </row>
    <row r="1395" ht="54" customFormat="1" customHeight="1" s="90">
      <c r="A1395" s="306" t="inlineStr">
        <is>
          <t>M1</t>
        </is>
      </c>
      <c r="B1395" s="307" t="n">
        <v>100</v>
      </c>
      <c r="C1395" s="269" t="inlineStr">
        <is>
          <t>15 - Caractéristiques Sureté</t>
        </is>
      </c>
      <c r="D1395" s="236" t="inlineStr">
        <is>
          <t>15 - Safety characteristics</t>
        </is>
      </c>
      <c r="E1395" s="307" t="inlineStr">
        <is>
          <t>M1 11.1</t>
        </is>
      </c>
      <c r="F1395" s="872" t="inlineStr">
        <is>
          <t>Indicateur contrôle du covenant</t>
        </is>
      </c>
      <c r="G1395" s="309" t="inlineStr">
        <is>
          <t>Indicator covenant check</t>
        </is>
      </c>
      <c r="H1395" s="309" t="n"/>
      <c r="I1395" s="241" t="inlineStr">
        <is>
          <t>Clause d'un contrat de prêt qui en cas de non-respect des objectifs peut entraîner le remboursement anticipé du prêt
Le covenant permet donc au prêteur d'exiger le remboursement anticipé des prêts dans la mesure où les prévisions financières de l'entreprise ne sont pas tenues et dans la mesure où la structure financière de l'emprunteur se dégrade (non-respect de ratios)</t>
        </is>
      </c>
      <c r="J1395" s="233" t="inlineStr">
        <is>
          <t>Clause in a loan agreement that may lead to the early repayment of the loan where the targets are not respected
The covenant thus allows the lender to demand the early repayment of loans where the company's financial forecasts are not achieved and where the borrower's financial structure deteriorates (failure to respect ratios)</t>
        </is>
      </c>
      <c r="K1395" s="269" t="inlineStr">
        <is>
          <t>ND</t>
        </is>
      </c>
      <c r="L1395" s="310" t="inlineStr">
        <is>
          <t>ND</t>
        </is>
      </c>
      <c r="M1395" s="1420" t="inlineStr">
        <is>
          <t>indCtrlCovenant</t>
        </is>
      </c>
      <c r="N1395" s="231" t="inlineStr">
        <is>
          <t>Obligatoire sous conditions</t>
        </is>
      </c>
      <c r="O1395" s="236" t="inlineStr">
        <is>
          <t>Mandatory under conditions</t>
        </is>
      </c>
      <c r="P1395" s="269" t="inlineStr">
        <is>
          <t>LC.0206</t>
        </is>
      </c>
      <c r="Q1395" s="269" t="inlineStr">
        <is>
          <t>TA KVICTCOV</t>
        </is>
      </c>
      <c r="R1395" s="241" t="inlineStr">
        <is>
          <t>NA</t>
        </is>
      </c>
      <c r="S1395" s="309" t="inlineStr">
        <is>
          <t>NA</t>
        </is>
      </c>
      <c r="T1395" s="313" t="inlineStr">
        <is>
          <t>ALPHA</t>
        </is>
      </c>
      <c r="U1395" s="237" t="inlineStr">
        <is>
          <t>NA</t>
        </is>
      </c>
      <c r="V1395" s="238" t="inlineStr">
        <is>
          <t>NA</t>
        </is>
      </c>
      <c r="W1395" s="257" t="n">
        <v>1</v>
      </c>
      <c r="X1395" s="945" t="inlineStr">
        <is>
          <t>NA</t>
        </is>
      </c>
      <c r="Y1395" s="237" t="n">
        <v>40</v>
      </c>
      <c r="Z1395" s="237" t="inlineStr">
        <is>
          <t>NA</t>
        </is>
      </c>
      <c r="AA1395" s="270" t="inlineStr">
        <is>
          <t>NA</t>
        </is>
      </c>
      <c r="AB1395" s="994" t="inlineStr">
        <is>
          <t>USAGE ZP</t>
        </is>
      </c>
      <c r="AC1395" s="231" t="inlineStr">
        <is>
          <t>ND</t>
        </is>
      </c>
      <c r="AD1395" s="257" t="inlineStr">
        <is>
          <t>N</t>
        </is>
      </c>
      <c r="AE1395" s="257" t="inlineStr">
        <is>
          <t xml:space="preserve">
INS</t>
        </is>
      </c>
      <c r="AF1395" s="257" t="inlineStr">
        <is>
          <t>NA</t>
        </is>
      </c>
      <c r="AG1395" s="258" t="inlineStr">
        <is>
          <t>NA</t>
        </is>
      </c>
      <c r="AH1395" s="89" t="n"/>
      <c r="AI1395" s="461" t="inlineStr">
        <is>
          <t>La donnée est obligatoire si la nature juridique de la sûreté [M1 5.1] = ‘NOT03xx'</t>
        </is>
      </c>
      <c r="AJ1395" s="317" t="inlineStr">
        <is>
          <t>The data is mandatory if Legal nature of the mitigant [M1 5.1] = ‘NOT03xx'</t>
        </is>
      </c>
      <c r="AK1395" s="257" t="n">
        <v>6</v>
      </c>
      <c r="AL1395" s="366" t="inlineStr">
        <is>
          <t>TPS0723</t>
        </is>
      </c>
      <c r="AM1395" s="318" t="inlineStr">
        <is>
          <t>Si elle est renseignée, la valeur doit être connue du Langage Commun associé</t>
        </is>
      </c>
      <c r="AN1395" s="317" t="inlineStr">
        <is>
          <t>If specified, the value must be known to the associated Common Language</t>
        </is>
      </c>
      <c r="AO1395" s="257" t="n">
        <v>7</v>
      </c>
      <c r="AP1395" s="469" t="inlineStr">
        <is>
          <t>TIG0001</t>
        </is>
      </c>
      <c r="AQ1395" s="421" t="n"/>
      <c r="AR1395" s="422" t="n"/>
      <c r="AS1395" s="348" t="n"/>
      <c r="AT1395" s="423" t="n"/>
      <c r="AU1395" s="318" t="n"/>
      <c r="AV1395" s="317" t="n"/>
      <c r="AW1395" s="257" t="n"/>
      <c r="AX1395" s="258" t="n"/>
      <c r="AY1395" s="318" t="n"/>
      <c r="AZ1395" s="317" t="n"/>
      <c r="BA1395" s="257" t="n"/>
      <c r="BB1395" s="258" t="n"/>
      <c r="BC1395" s="316" t="n"/>
      <c r="BD1395" s="317" t="n"/>
      <c r="BE1395" s="257" t="n"/>
      <c r="BF1395" s="258" t="n"/>
      <c r="BG1395" s="89" t="n"/>
      <c r="BH13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95">
        <f>_xlfn.LET(r,ROW(),oc,INDEX($A:$A,r),cv,TRIM(INDEX($Y:$Y,r)&amp;""),IF(oc&lt;&gt;"P1","",IF(cv="45","V45 - novo, nao alimentado pelo spool atual","V44 - alimentado pelo spool atual")))</f>
        <v/>
      </c>
    </row>
    <row r="1396" ht="54" customFormat="1" customHeight="1" s="90">
      <c r="A1396" s="306" t="inlineStr">
        <is>
          <t>M1</t>
        </is>
      </c>
      <c r="B1396" s="307" t="n">
        <v>101</v>
      </c>
      <c r="C1396" s="269" t="inlineStr">
        <is>
          <t>15 - Caractéristiques Sureté</t>
        </is>
      </c>
      <c r="D1396" s="236" t="inlineStr">
        <is>
          <t>15 - Safety characteristics</t>
        </is>
      </c>
      <c r="E1396" s="307" t="inlineStr">
        <is>
          <t>M1 11.2</t>
        </is>
      </c>
      <c r="F1396" s="308" t="inlineStr">
        <is>
          <t>Date du contrôle</t>
        </is>
      </c>
      <c r="G1396" s="309" t="inlineStr">
        <is>
          <t>Date of check</t>
        </is>
      </c>
      <c r="H1396" s="309" t="n"/>
      <c r="I1396" s="241" t="inlineStr">
        <is>
          <t>Date à laquelle le dernier contrôle du covenant a été réalisé</t>
        </is>
      </c>
      <c r="J1396" s="309" t="inlineStr">
        <is>
          <t>Date of the most recent covenant check</t>
        </is>
      </c>
      <c r="K1396" s="370" t="inlineStr">
        <is>
          <t>ND</t>
        </is>
      </c>
      <c r="L1396" s="371" t="inlineStr">
        <is>
          <t>ND</t>
        </is>
      </c>
      <c r="M1396" s="1420" t="inlineStr">
        <is>
          <t>dtCtrl</t>
        </is>
      </c>
      <c r="N1396" s="1007" t="inlineStr">
        <is>
          <t>Facultatif</t>
        </is>
      </c>
      <c r="O1396" s="1006" t="inlineStr">
        <is>
          <t>Optional</t>
        </is>
      </c>
      <c r="P1396" s="269" t="inlineStr">
        <is>
          <t>NA</t>
        </is>
      </c>
      <c r="Q1396" s="269" t="inlineStr">
        <is>
          <t>NA</t>
        </is>
      </c>
      <c r="R1396" s="241" t="inlineStr">
        <is>
          <t>NA</t>
        </is>
      </c>
      <c r="S1396" s="233" t="inlineStr">
        <is>
          <t>NA</t>
        </is>
      </c>
      <c r="T1396" s="206" t="inlineStr">
        <is>
          <t>DATE</t>
        </is>
      </c>
      <c r="U1396" s="237" t="inlineStr">
        <is>
          <t>AAAAMMJJ</t>
        </is>
      </c>
      <c r="V1396" s="238" t="inlineStr">
        <is>
          <t>YYYYMMDD</t>
        </is>
      </c>
      <c r="W1396" s="257" t="n">
        <v>8</v>
      </c>
      <c r="X1396" s="945" t="inlineStr">
        <is>
          <t>NA</t>
        </is>
      </c>
      <c r="Y1396" s="237" t="n">
        <v>40</v>
      </c>
      <c r="Z1396" s="237" t="inlineStr">
        <is>
          <t>NA</t>
        </is>
      </c>
      <c r="AA1396" s="270" t="inlineStr">
        <is>
          <t>45.00</t>
        </is>
      </c>
      <c r="AB1396" s="994" t="inlineStr">
        <is>
          <t>USAGE ZP</t>
        </is>
      </c>
      <c r="AC1396" s="231" t="inlineStr">
        <is>
          <t>ND</t>
        </is>
      </c>
      <c r="AD1396" s="257" t="inlineStr">
        <is>
          <t>N</t>
        </is>
      </c>
      <c r="AE1396" s="1401" t="inlineStr">
        <is>
          <t>INS</t>
        </is>
      </c>
      <c r="AF1396" s="257" t="inlineStr">
        <is>
          <t>NA</t>
        </is>
      </c>
      <c r="AG1396" s="258" t="inlineStr">
        <is>
          <t>NA</t>
        </is>
      </c>
      <c r="AH1396" s="89" t="n"/>
      <c r="AI1396" s="1404" t="n"/>
      <c r="AJ1396" s="931" t="n"/>
      <c r="AK1396" s="958" t="n"/>
      <c r="AL1396" s="1402" t="n"/>
      <c r="AM1396" s="318" t="n"/>
      <c r="AN1396" s="317" t="n"/>
      <c r="AO1396" s="257" t="n"/>
      <c r="AP1396" s="258" t="n"/>
      <c r="AQ1396" s="318" t="n"/>
      <c r="AR1396" s="317" t="n"/>
      <c r="AS1396" s="257" t="n"/>
      <c r="AT1396" s="258" t="n"/>
      <c r="AU1396" s="318" t="n"/>
      <c r="AV1396" s="317" t="n"/>
      <c r="AW1396" s="257" t="n"/>
      <c r="AX1396" s="258" t="n"/>
      <c r="AY1396" s="318" t="n"/>
      <c r="AZ1396" s="317" t="n"/>
      <c r="BA1396" s="257" t="n"/>
      <c r="BB1396" s="258" t="n"/>
      <c r="BC1396" s="316" t="n"/>
      <c r="BD1396" s="317" t="n"/>
      <c r="BE1396" s="257" t="n"/>
      <c r="BF1396" s="258" t="n"/>
      <c r="BG1396" s="89" t="n"/>
      <c r="BH13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96">
        <f>_xlfn.LET(r,ROW(),oc,INDEX($A:$A,r),cv,TRIM(INDEX($Y:$Y,r)&amp;""),IF(oc&lt;&gt;"P1","",IF(cv="45","V45 - novo, nao alimentado pelo spool atual","V44 - alimentado pelo spool atual")))</f>
        <v/>
      </c>
    </row>
    <row r="1397" ht="54" customFormat="1" customHeight="1" s="90">
      <c r="A1397" s="306" t="inlineStr">
        <is>
          <t>M1</t>
        </is>
      </c>
      <c r="B1397" s="307" t="n">
        <v>102</v>
      </c>
      <c r="C1397" s="269" t="inlineStr">
        <is>
          <t>15 - Caractéristiques Sureté</t>
        </is>
      </c>
      <c r="D1397" s="236" t="inlineStr">
        <is>
          <t>15 - Safety characteristics</t>
        </is>
      </c>
      <c r="E1397" s="307" t="inlineStr">
        <is>
          <t>M1 11.3</t>
        </is>
      </c>
      <c r="F1397" s="308" t="inlineStr">
        <is>
          <t>Périodicité du contrôle</t>
        </is>
      </c>
      <c r="G1397" s="309" t="inlineStr">
        <is>
          <t>Periodicity of checks</t>
        </is>
      </c>
      <c r="H1397" s="309" t="n"/>
      <c r="I1397" s="241" t="inlineStr">
        <is>
          <t>Correspond au nombre de jours définissant la périodicité du contrôle du covenant</t>
        </is>
      </c>
      <c r="J1397" s="309" t="inlineStr">
        <is>
          <t>Represents the number of days specifying the periodicity at which the covenant is checked</t>
        </is>
      </c>
      <c r="K1397" s="370" t="inlineStr">
        <is>
          <t>ND</t>
        </is>
      </c>
      <c r="L1397" s="371" t="inlineStr">
        <is>
          <t>ND</t>
        </is>
      </c>
      <c r="M1397" s="1420" t="inlineStr">
        <is>
          <t>prdCtrl</t>
        </is>
      </c>
      <c r="N1397" s="1007" t="inlineStr">
        <is>
          <t>Facultatif</t>
        </is>
      </c>
      <c r="O1397" s="1006" t="inlineStr">
        <is>
          <t>Optional</t>
        </is>
      </c>
      <c r="P1397" s="269" t="inlineStr">
        <is>
          <t>NA</t>
        </is>
      </c>
      <c r="Q1397" s="269" t="inlineStr">
        <is>
          <t>NA</t>
        </is>
      </c>
      <c r="R1397" s="241" t="inlineStr">
        <is>
          <t>Obligatoire pour les types de sûretés "NOTxxxx"</t>
        </is>
      </c>
      <c r="S1397" s="309" t="inlineStr">
        <is>
          <t>Mandatory for security interest types "NOTxxxx"</t>
        </is>
      </c>
      <c r="T1397" s="313" t="inlineStr">
        <is>
          <t>NUM</t>
        </is>
      </c>
      <c r="U1397" s="237" t="inlineStr">
        <is>
          <t>NA</t>
        </is>
      </c>
      <c r="V1397" s="238" t="inlineStr">
        <is>
          <t>NA</t>
        </is>
      </c>
      <c r="W1397" s="257" t="n">
        <v>5</v>
      </c>
      <c r="X1397" s="945" t="inlineStr">
        <is>
          <t>NA</t>
        </is>
      </c>
      <c r="Y1397" s="237" t="n">
        <v>40</v>
      </c>
      <c r="Z1397" s="237" t="inlineStr">
        <is>
          <t>NA</t>
        </is>
      </c>
      <c r="AA1397" s="270" t="inlineStr">
        <is>
          <t>45.00</t>
        </is>
      </c>
      <c r="AB1397" s="994" t="inlineStr">
        <is>
          <t>USAGE ZP</t>
        </is>
      </c>
      <c r="AC1397" s="231" t="inlineStr">
        <is>
          <t>ND</t>
        </is>
      </c>
      <c r="AD1397" s="257" t="inlineStr">
        <is>
          <t>N</t>
        </is>
      </c>
      <c r="AE1397" s="1401" t="inlineStr">
        <is>
          <t>INS</t>
        </is>
      </c>
      <c r="AF1397" s="257" t="inlineStr">
        <is>
          <t>NA</t>
        </is>
      </c>
      <c r="AG1397" s="258" t="inlineStr">
        <is>
          <t>NA</t>
        </is>
      </c>
      <c r="AH1397" s="89" t="n"/>
      <c r="AI1397" s="1404" t="n"/>
      <c r="AJ1397" s="931" t="n"/>
      <c r="AK1397" s="958" t="n"/>
      <c r="AL1397" s="1402" t="n"/>
      <c r="AM1397" s="318" t="n"/>
      <c r="AN1397" s="317" t="n"/>
      <c r="AO1397" s="257" t="n"/>
      <c r="AP1397" s="258" t="n"/>
      <c r="AQ1397" s="318" t="n"/>
      <c r="AR1397" s="317" t="n"/>
      <c r="AS1397" s="257" t="n"/>
      <c r="AT1397" s="258" t="n"/>
      <c r="AU1397" s="318" t="n"/>
      <c r="AV1397" s="317" t="n"/>
      <c r="AW1397" s="257" t="n"/>
      <c r="AX1397" s="258" t="n"/>
      <c r="AY1397" s="318" t="n"/>
      <c r="AZ1397" s="317" t="n"/>
      <c r="BA1397" s="257" t="n"/>
      <c r="BB1397" s="258" t="n"/>
      <c r="BC1397" s="316" t="n"/>
      <c r="BD1397" s="317" t="n"/>
      <c r="BE1397" s="257" t="n"/>
      <c r="BF1397" s="258" t="n"/>
      <c r="BG1397" s="89" t="n"/>
      <c r="BH13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97">
        <f>_xlfn.LET(r,ROW(),oc,INDEX($A:$A,r),cv,TRIM(INDEX($Y:$Y,r)&amp;""),IF(oc&lt;&gt;"P1","",IF(cv="45","V45 - novo, nao alimentado pelo spool atual","V44 - alimentado pelo spool atual")))</f>
        <v/>
      </c>
    </row>
    <row r="1398" ht="54" customFormat="1" customHeight="1" s="90">
      <c r="A1398" s="306" t="inlineStr">
        <is>
          <t>M1</t>
        </is>
      </c>
      <c r="B1398" s="307" t="n">
        <v>103</v>
      </c>
      <c r="C1398" s="269" t="inlineStr">
        <is>
          <t>03 - Caractéristiques Générales</t>
        </is>
      </c>
      <c r="D1398" s="236" t="inlineStr">
        <is>
          <t>03 - General characteristics</t>
        </is>
      </c>
      <c r="E1398" s="307" t="inlineStr">
        <is>
          <t>M1 8.40</t>
        </is>
      </c>
      <c r="F1398" s="566" t="inlineStr">
        <is>
          <t>Montant minimum de transfert de l'appel de marge</t>
        </is>
      </c>
      <c r="G1398" s="309" t="inlineStr">
        <is>
          <t>Minimum amount of margin call transfer</t>
        </is>
      </c>
      <c r="H1398" s="309" t="n"/>
      <c r="I1398" s="308" t="inlineStr">
        <is>
          <t>Montant minimum de transfert de l'appel de marge</t>
        </is>
      </c>
      <c r="J1398" s="309" t="inlineStr">
        <is>
          <t>Minimum amount of margin call transfer</t>
        </is>
      </c>
      <c r="K1398" s="370" t="inlineStr">
        <is>
          <t>ND</t>
        </is>
      </c>
      <c r="L1398" s="371" t="inlineStr">
        <is>
          <t>ND</t>
        </is>
      </c>
      <c r="M1398" s="1420" t="inlineStr">
        <is>
          <t>mtMinTransAppMarg</t>
        </is>
      </c>
      <c r="N1398" s="231" t="inlineStr">
        <is>
          <t>Obligatoire sous conditions</t>
        </is>
      </c>
      <c r="O1398" s="236" t="inlineStr">
        <is>
          <t>Mandatory under conditions</t>
        </is>
      </c>
      <c r="P1398" s="269" t="inlineStr">
        <is>
          <t>NA</t>
        </is>
      </c>
      <c r="Q1398" s="269" t="inlineStr">
        <is>
          <t>NA</t>
        </is>
      </c>
      <c r="R1398" s="241" t="inlineStr">
        <is>
          <t>NA</t>
        </is>
      </c>
      <c r="S1398" s="309" t="inlineStr">
        <is>
          <t>NA</t>
        </is>
      </c>
      <c r="T1398" s="313" t="inlineStr">
        <is>
          <t>NUM</t>
        </is>
      </c>
      <c r="U1398" s="237" t="inlineStr">
        <is>
          <t>19 dont signe et 2 décimales</t>
        </is>
      </c>
      <c r="V1398" s="238" t="inlineStr">
        <is>
          <t>19 including sign and 2 decimals</t>
        </is>
      </c>
      <c r="W1398" s="257" t="n">
        <v>19</v>
      </c>
      <c r="X1398" s="945" t="inlineStr">
        <is>
          <t>NA</t>
        </is>
      </c>
      <c r="Y1398" s="237" t="n">
        <v>40</v>
      </c>
      <c r="Z1398" s="237" t="inlineStr">
        <is>
          <t>NA</t>
        </is>
      </c>
      <c r="AA1398" s="270" t="inlineStr">
        <is>
          <t>NA</t>
        </is>
      </c>
      <c r="AB1398" s="994" t="inlineStr">
        <is>
          <t>SA-CCR</t>
        </is>
      </c>
      <c r="AC1398" s="231" t="inlineStr">
        <is>
          <t>ND</t>
        </is>
      </c>
      <c r="AD1398" s="257" t="inlineStr">
        <is>
          <t>N</t>
        </is>
      </c>
      <c r="AE1398" s="257" t="inlineStr">
        <is>
          <t xml:space="preserve">SEC-CAS-COL
</t>
        </is>
      </c>
      <c r="AF1398" s="257" t="inlineStr">
        <is>
          <t>NA</t>
        </is>
      </c>
      <c r="AG1398" s="258" t="inlineStr">
        <is>
          <t>NA</t>
        </is>
      </c>
      <c r="AH1398" s="89" t="n"/>
      <c r="AI1398" s="849" t="inlineStr">
        <is>
          <t>La donnée est obligatoire si la nature juridique de la sûreté [M1 5.1] = ‘COL01xx'</t>
        </is>
      </c>
      <c r="AJ1398" s="317" t="inlineStr">
        <is>
          <t xml:space="preserve">The data is mandatory if Legal nature of the mitigant [M1 5.1] = ‘COL01xx' </t>
        </is>
      </c>
      <c r="AK1398" s="257" t="n">
        <v>6</v>
      </c>
      <c r="AL1398" s="366" t="inlineStr">
        <is>
          <t>TPS0710</t>
        </is>
      </c>
      <c r="AM1398" s="318" t="n"/>
      <c r="AN1398" s="317" t="n"/>
      <c r="AO1398" s="257" t="n"/>
      <c r="AP1398" s="258" t="n"/>
      <c r="AQ1398" s="343" t="inlineStr">
        <is>
          <t>Si renseignée, la donnée doit être positive (supérieure ou égale à 0)</t>
        </is>
      </c>
      <c r="AR1398" s="317" t="inlineStr">
        <is>
          <t xml:space="preserve">If filled, data must be positive (greater or equal to 0) </t>
        </is>
      </c>
      <c r="AS1398" s="344" t="n">
        <v>7</v>
      </c>
      <c r="AT1398" s="345" t="inlineStr">
        <is>
          <t>TVG0001</t>
        </is>
      </c>
      <c r="AU1398" s="318" t="n"/>
      <c r="AV1398" s="317" t="n"/>
      <c r="AW1398" s="257" t="n"/>
      <c r="AX1398" s="258" t="n"/>
      <c r="AY1398" s="318" t="n"/>
      <c r="AZ1398" s="317" t="n"/>
      <c r="BA1398" s="257" t="n"/>
      <c r="BB1398" s="258" t="n"/>
      <c r="BC1398" s="316" t="n"/>
      <c r="BD1398" s="317" t="n"/>
      <c r="BE1398" s="257" t="n"/>
      <c r="BF1398" s="258" t="n"/>
      <c r="BG1398" s="89" t="n"/>
      <c r="BH13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98">
        <f>_xlfn.LET(r,ROW(),oc,INDEX($A:$A,r),cv,TRIM(INDEX($Y:$Y,r)&amp;""),IF(oc&lt;&gt;"P1","",IF(cv="45","V45 - novo, nao alimentado pelo spool atual","V44 - alimentado pelo spool atual")))</f>
        <v/>
      </c>
    </row>
    <row r="1399" ht="54" customFormat="1" customHeight="1" s="90">
      <c r="A1399" s="306" t="inlineStr">
        <is>
          <t>M1</t>
        </is>
      </c>
      <c r="B1399" s="307" t="n">
        <v>104</v>
      </c>
      <c r="C1399" s="269" t="inlineStr">
        <is>
          <t>03 - Caractéristiques Générales</t>
        </is>
      </c>
      <c r="D1399" s="236" t="inlineStr">
        <is>
          <t>03 - General characteristics</t>
        </is>
      </c>
      <c r="E1399" s="307" t="inlineStr">
        <is>
          <t>M1 8.41</t>
        </is>
      </c>
      <c r="F1399" s="308" t="inlineStr">
        <is>
          <t>Devise du montant minimum de transfert de l'appel de marge</t>
        </is>
      </c>
      <c r="G1399" s="309" t="inlineStr">
        <is>
          <t>Currency of the minimum amount of margin call transfer</t>
        </is>
      </c>
      <c r="H1399" s="309" t="n"/>
      <c r="I1399" s="241" t="inlineStr">
        <is>
          <t>Devise du montant minimum de transfert de l'appel de marge</t>
        </is>
      </c>
      <c r="J1399" s="309" t="inlineStr">
        <is>
          <t>Currency of the minimum amount of margin call transfer</t>
        </is>
      </c>
      <c r="K1399" s="370" t="inlineStr">
        <is>
          <t>ND</t>
        </is>
      </c>
      <c r="L1399" s="371" t="inlineStr">
        <is>
          <t>ND</t>
        </is>
      </c>
      <c r="M1399" s="1420" t="inlineStr">
        <is>
          <t>cdDevMtMinTransAppMarg</t>
        </is>
      </c>
      <c r="N1399" s="231" t="inlineStr">
        <is>
          <t>Obligatoire sous conditions</t>
        </is>
      </c>
      <c r="O1399" s="236" t="inlineStr">
        <is>
          <t>Mandatory under conditions</t>
        </is>
      </c>
      <c r="P1399" s="269" t="inlineStr">
        <is>
          <t>LC.0005</t>
        </is>
      </c>
      <c r="Q1399" s="269" t="inlineStr">
        <is>
          <t>TA NM253</t>
        </is>
      </c>
      <c r="R1399" s="241" t="inlineStr">
        <is>
          <t>NA</t>
        </is>
      </c>
      <c r="S1399" s="309" t="inlineStr">
        <is>
          <t>NA</t>
        </is>
      </c>
      <c r="T1399" s="313" t="inlineStr">
        <is>
          <t>ALPHA</t>
        </is>
      </c>
      <c r="U1399" s="237" t="inlineStr">
        <is>
          <t>NA</t>
        </is>
      </c>
      <c r="V1399" s="238" t="inlineStr">
        <is>
          <t>NA</t>
        </is>
      </c>
      <c r="W1399" s="257" t="n">
        <v>3</v>
      </c>
      <c r="X1399" s="945" t="inlineStr">
        <is>
          <t>NA</t>
        </is>
      </c>
      <c r="Y1399" s="237" t="n">
        <v>40</v>
      </c>
      <c r="Z1399" s="237" t="inlineStr">
        <is>
          <t>NA</t>
        </is>
      </c>
      <c r="AA1399" s="270" t="inlineStr">
        <is>
          <t>NA</t>
        </is>
      </c>
      <c r="AB1399" s="994" t="inlineStr">
        <is>
          <t>SA-CCR</t>
        </is>
      </c>
      <c r="AC1399" s="231" t="inlineStr">
        <is>
          <t>ND</t>
        </is>
      </c>
      <c r="AD1399" s="257" t="inlineStr">
        <is>
          <t>N</t>
        </is>
      </c>
      <c r="AE1399" s="257" t="inlineStr">
        <is>
          <t xml:space="preserve">SEC-CAS-COL
</t>
        </is>
      </c>
      <c r="AF1399" s="257" t="inlineStr">
        <is>
          <t>NA</t>
        </is>
      </c>
      <c r="AG1399" s="258" t="inlineStr">
        <is>
          <t>NA</t>
        </is>
      </c>
      <c r="AH1399" s="89" t="n"/>
      <c r="AI1399" s="873" t="inlineStr">
        <is>
          <t>La donnée est obligatoire, si Montant minimum de transfert de l'appel de marge [M1 8.40] est renseigné</t>
        </is>
      </c>
      <c r="AJ1399" s="317" t="inlineStr">
        <is>
          <t>The data is mandatory, if Minimum amount of margin call transfer [M1 8.40] is filled</t>
        </is>
      </c>
      <c r="AK1399" s="257" t="n">
        <v>7</v>
      </c>
      <c r="AL1399" s="447" t="inlineStr">
        <is>
          <t>TPG0002</t>
        </is>
      </c>
      <c r="AM1399" s="452" t="inlineStr">
        <is>
          <t>Si elle est renseignée, la valeur doit être connue du Langage Commun associé</t>
        </is>
      </c>
      <c r="AN1399" s="377" t="inlineStr">
        <is>
          <t>If specified, the value must be known to the associated Common Language</t>
        </is>
      </c>
      <c r="AO1399" s="257" t="n">
        <v>7</v>
      </c>
      <c r="AP1399" s="258" t="inlineStr">
        <is>
          <t>TIG0001</t>
        </is>
      </c>
      <c r="AQ1399" s="318" t="n"/>
      <c r="AR1399" s="317" t="n"/>
      <c r="AS1399" s="257" t="n"/>
      <c r="AT1399" s="258" t="n"/>
      <c r="AU1399" s="318" t="n"/>
      <c r="AV1399" s="317" t="n"/>
      <c r="AW1399" s="257" t="n"/>
      <c r="AX1399" s="258" t="n"/>
      <c r="AY1399" s="318" t="n"/>
      <c r="AZ1399" s="317" t="n"/>
      <c r="BA1399" s="257" t="n"/>
      <c r="BB1399" s="258" t="n"/>
      <c r="BC1399" s="316" t="n"/>
      <c r="BD1399" s="317" t="n"/>
      <c r="BE1399" s="257" t="n"/>
      <c r="BF1399" s="258" t="n"/>
      <c r="BG1399" s="89" t="n"/>
      <c r="BH13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399">
        <f>_xlfn.LET(r,ROW(),oc,INDEX($A:$A,r),cv,TRIM(INDEX($Y:$Y,r)&amp;""),IF(oc&lt;&gt;"P1","",IF(cv="45","V45 - novo, nao alimentado pelo spool atual","V44 - alimentado pelo spool atual")))</f>
        <v/>
      </c>
    </row>
    <row r="1400" ht="54" customFormat="1" customHeight="1" s="55">
      <c r="A1400" s="325" t="inlineStr">
        <is>
          <t>M1</t>
        </is>
      </c>
      <c r="B1400" s="326" t="n">
        <v>105</v>
      </c>
      <c r="C1400" s="284" t="inlineStr">
        <is>
          <t>03 - Caractéristiques Générales</t>
        </is>
      </c>
      <c r="D1400" s="244" t="inlineStr">
        <is>
          <t>03 - General characteristics</t>
        </is>
      </c>
      <c r="E1400" s="326" t="inlineStr">
        <is>
          <t>M1 7.15</t>
        </is>
      </c>
      <c r="F1400" s="327" t="inlineStr">
        <is>
          <t>Zone libre (Ex Pays de localisation de l'actif)</t>
        </is>
      </c>
      <c r="G1400" s="327" t="inlineStr">
        <is>
          <t>Free zone (Ex Pays de localisation de l'actif)</t>
        </is>
      </c>
      <c r="H1400" s="327" t="n"/>
      <c r="I1400" s="245" t="inlineStr">
        <is>
          <t>Zone libre</t>
        </is>
      </c>
      <c r="J1400" s="245" t="inlineStr">
        <is>
          <t>Free zone</t>
        </is>
      </c>
      <c r="K1400" s="328" t="inlineStr">
        <is>
          <t>NA</t>
        </is>
      </c>
      <c r="L1400" s="328" t="inlineStr">
        <is>
          <t>NA</t>
        </is>
      </c>
      <c r="M1400" s="1421" t="inlineStr">
        <is>
          <t>ZoneLibre7_15</t>
        </is>
      </c>
      <c r="N1400" s="284" t="inlineStr">
        <is>
          <t>NA</t>
        </is>
      </c>
      <c r="O1400" s="284" t="inlineStr">
        <is>
          <t>NA</t>
        </is>
      </c>
      <c r="P1400" s="284" t="inlineStr">
        <is>
          <t>NA</t>
        </is>
      </c>
      <c r="Q1400" s="284" t="inlineStr">
        <is>
          <t>NA</t>
        </is>
      </c>
      <c r="R1400" s="245" t="inlineStr">
        <is>
          <t>NA</t>
        </is>
      </c>
      <c r="S1400" s="245" t="inlineStr">
        <is>
          <t>NA</t>
        </is>
      </c>
      <c r="T1400" s="245" t="inlineStr">
        <is>
          <t>ALPHA</t>
        </is>
      </c>
      <c r="U1400" s="248" t="inlineStr">
        <is>
          <t>NA</t>
        </is>
      </c>
      <c r="V1400" s="248" t="inlineStr">
        <is>
          <t>NA</t>
        </is>
      </c>
      <c r="W1400" s="284" t="n">
        <v>2</v>
      </c>
      <c r="X1400" s="244" t="inlineStr">
        <is>
          <t>NA</t>
        </is>
      </c>
      <c r="Y1400" s="248" t="inlineStr">
        <is>
          <t>NA</t>
        </is>
      </c>
      <c r="Z1400" s="248" t="inlineStr">
        <is>
          <t>NA</t>
        </is>
      </c>
      <c r="AA1400" s="248" t="inlineStr">
        <is>
          <t>NA</t>
        </is>
      </c>
      <c r="AB1400" s="284" t="inlineStr">
        <is>
          <t>NA</t>
        </is>
      </c>
      <c r="AC1400" s="244" t="inlineStr">
        <is>
          <t>NA</t>
        </is>
      </c>
      <c r="AD1400" s="284" t="inlineStr">
        <is>
          <t>N</t>
        </is>
      </c>
      <c r="AE1400" s="284" t="inlineStr">
        <is>
          <t>NA</t>
        </is>
      </c>
      <c r="AF1400" s="284" t="inlineStr">
        <is>
          <t>NA</t>
        </is>
      </c>
      <c r="AG1400" s="285" t="inlineStr">
        <is>
          <t>NA</t>
        </is>
      </c>
      <c r="AH1400" s="89" t="n"/>
      <c r="AI1400" s="330" t="n"/>
      <c r="AJ1400" s="331" t="n"/>
      <c r="AK1400" s="284" t="n"/>
      <c r="AL1400" s="285" t="n"/>
      <c r="AM1400" s="331" t="n"/>
      <c r="AN1400" s="331" t="n"/>
      <c r="AO1400" s="284" t="n"/>
      <c r="AP1400" s="285" t="n"/>
      <c r="AQ1400" s="331" t="n"/>
      <c r="AR1400" s="331" t="n"/>
      <c r="AS1400" s="284" t="n"/>
      <c r="AT1400" s="285" t="n"/>
      <c r="AU1400" s="331" t="n"/>
      <c r="AV1400" s="331" t="n"/>
      <c r="AW1400" s="284" t="n"/>
      <c r="AX1400" s="285" t="n"/>
      <c r="AY1400" s="331" t="n"/>
      <c r="AZ1400" s="331" t="n"/>
      <c r="BA1400" s="284" t="n"/>
      <c r="BB1400" s="285" t="n"/>
      <c r="BC1400" s="330" t="n"/>
      <c r="BD1400" s="331" t="n"/>
      <c r="BE1400" s="284" t="n"/>
      <c r="BF1400" s="285" t="n"/>
      <c r="BG1400" s="89" t="n"/>
      <c r="BH14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00">
        <f>_xlfn.LET(r,ROW(),oc,INDEX($A:$A,r),cv,TRIM(INDEX($Y:$Y,r)&amp;""),IF(oc&lt;&gt;"P1","",IF(cv="45","V45 - novo, nao alimentado pelo spool atual","V44 - alimentado pelo spool atual")))</f>
        <v/>
      </c>
    </row>
    <row r="1401" ht="54" customFormat="1" customHeight="1" s="90">
      <c r="A1401" s="306" t="inlineStr">
        <is>
          <t>M1</t>
        </is>
      </c>
      <c r="B1401" s="307" t="n">
        <v>106</v>
      </c>
      <c r="C1401" s="269" t="inlineStr">
        <is>
          <t>02 - Caractéristiques d'identification fonctionnelles</t>
        </is>
      </c>
      <c r="D1401" s="236" t="inlineStr">
        <is>
          <t>02 - Functional identification characteristics</t>
        </is>
      </c>
      <c r="E1401" s="307" t="inlineStr">
        <is>
          <t>M1 7.16</t>
        </is>
      </c>
      <c r="F1401" s="375" t="inlineStr">
        <is>
          <t>Référence unique de la sûreté reçue</t>
        </is>
      </c>
      <c r="G1401" s="309" t="inlineStr">
        <is>
          <t>Unique reference of the received surety</t>
        </is>
      </c>
      <c r="H1401" s="309" t="n"/>
      <c r="I1401" s="750" t="inlineStr">
        <is>
          <t>Référence unique de la sûreté dans le SI de gestion local de l'entité</t>
        </is>
      </c>
      <c r="J1401" s="309" t="inlineStr">
        <is>
          <t>Unique reference of the received sureties in the local management IT system of the entity</t>
        </is>
      </c>
      <c r="K1401" s="370" t="inlineStr">
        <is>
          <t>ND</t>
        </is>
      </c>
      <c r="L1401" s="371" t="inlineStr">
        <is>
          <t>ND</t>
        </is>
      </c>
      <c r="M1401" s="1420" t="inlineStr">
        <is>
          <t>cdCt</t>
        </is>
      </c>
      <c r="N1401" s="231" t="inlineStr">
        <is>
          <t>Facultatif</t>
        </is>
      </c>
      <c r="O1401" s="236" t="inlineStr">
        <is>
          <t>Optional</t>
        </is>
      </c>
      <c r="P1401" s="269" t="inlineStr">
        <is>
          <t>NA</t>
        </is>
      </c>
      <c r="Q1401" s="269" t="inlineStr">
        <is>
          <t>NA</t>
        </is>
      </c>
      <c r="R1401" s="241" t="inlineStr">
        <is>
          <t>NA</t>
        </is>
      </c>
      <c r="S1401" s="309" t="inlineStr">
        <is>
          <t>NA</t>
        </is>
      </c>
      <c r="T1401" s="313" t="inlineStr">
        <is>
          <t>ALPHA</t>
        </is>
      </c>
      <c r="U1401" s="237" t="inlineStr">
        <is>
          <t>NA</t>
        </is>
      </c>
      <c r="V1401" s="238" t="inlineStr">
        <is>
          <t>NA</t>
        </is>
      </c>
      <c r="W1401" s="269" t="n">
        <v>40</v>
      </c>
      <c r="X1401" s="231" t="inlineStr">
        <is>
          <t>NA</t>
        </is>
      </c>
      <c r="Y1401" s="237" t="n">
        <v>41</v>
      </c>
      <c r="Z1401" s="237" t="inlineStr">
        <is>
          <t>NA</t>
        </is>
      </c>
      <c r="AA1401" s="978" t="inlineStr">
        <is>
          <t>45.00</t>
        </is>
      </c>
      <c r="AB1401" s="932" t="inlineStr">
        <is>
          <t>ANACREDIT, LIQUIDITE, MREL, NPE, NSFR</t>
        </is>
      </c>
      <c r="AC1401" s="231" t="inlineStr">
        <is>
          <t>ND</t>
        </is>
      </c>
      <c r="AD1401" s="257" t="inlineStr">
        <is>
          <t>N</t>
        </is>
      </c>
      <c r="AE1401" s="257" t="inlineStr">
        <is>
          <t>SEC-CAS-COL
IAS
GUA-CDE
INS
REE-TAS</t>
        </is>
      </c>
      <c r="AF1401" s="257" t="inlineStr">
        <is>
          <t>NA</t>
        </is>
      </c>
      <c r="AG1401" s="258" t="inlineStr">
        <is>
          <t>NA</t>
        </is>
      </c>
      <c r="AH1401" s="89" t="n"/>
      <c r="AI1401" s="316" t="n"/>
      <c r="AJ1401" s="317" t="n"/>
      <c r="AK1401" s="257" t="n"/>
      <c r="AL1401" s="258" t="n"/>
      <c r="AM1401" s="318" t="n"/>
      <c r="AN1401" s="317" t="n"/>
      <c r="AO1401" s="257" t="n"/>
      <c r="AP1401" s="258" t="n"/>
      <c r="AQ1401" s="318" t="n"/>
      <c r="AR1401" s="317" t="n"/>
      <c r="AS1401" s="257" t="n"/>
      <c r="AT1401" s="258" t="n"/>
      <c r="AU1401" s="318" t="n"/>
      <c r="AV1401" s="317" t="n"/>
      <c r="AW1401" s="257" t="n"/>
      <c r="AX1401" s="258" t="n"/>
      <c r="AY1401" s="318" t="n"/>
      <c r="AZ1401" s="317" t="n"/>
      <c r="BA1401" s="257" t="n"/>
      <c r="BB1401" s="258" t="n"/>
      <c r="BC1401" s="316" t="n"/>
      <c r="BD1401" s="317" t="n"/>
      <c r="BE1401" s="257" t="n"/>
      <c r="BF1401" s="258" t="n"/>
      <c r="BG1401" s="89" t="n"/>
      <c r="BH14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01">
        <f>_xlfn.LET(r,ROW(),oc,INDEX($A:$A,r),cv,TRIM(INDEX($Y:$Y,r)&amp;""),IF(oc&lt;&gt;"P1","",IF(cv="45","V45 - novo, nao alimentado pelo spool atual","V44 - alimentado pelo spool atual")))</f>
        <v/>
      </c>
    </row>
    <row r="1402" ht="54" customFormat="1" customHeight="1" s="90">
      <c r="A1402" s="306" t="inlineStr">
        <is>
          <t>M1</t>
        </is>
      </c>
      <c r="B1402" s="307" t="n">
        <v>107</v>
      </c>
      <c r="C1402" s="269" t="inlineStr">
        <is>
          <t>02 - Caractéristiques d'identification fonctionnelles</t>
        </is>
      </c>
      <c r="D1402" s="236" t="inlineStr">
        <is>
          <t>02 - Functional identification characteristics</t>
        </is>
      </c>
      <c r="E1402" s="307" t="inlineStr">
        <is>
          <t>M1 7.17</t>
        </is>
      </c>
      <c r="F1402" s="375" t="inlineStr">
        <is>
          <t>Référence unique de l'élément de contrat</t>
        </is>
      </c>
      <c r="G1402" s="309" t="inlineStr">
        <is>
          <t>Unique contract element reference</t>
        </is>
      </c>
      <c r="H1402" s="309" t="n"/>
      <c r="I1402" s="241" t="inlineStr">
        <is>
          <t>Référence unique de l'élément de contrat</t>
        </is>
      </c>
      <c r="J1402" s="309" t="inlineStr">
        <is>
          <t>Unique contract element reference</t>
        </is>
      </c>
      <c r="K1402" s="370" t="inlineStr">
        <is>
          <t>ND</t>
        </is>
      </c>
      <c r="L1402" s="371" t="inlineStr">
        <is>
          <t>ND</t>
        </is>
      </c>
      <c r="M1402" s="1420" t="inlineStr">
        <is>
          <t>cdEDC</t>
        </is>
      </c>
      <c r="N1402" s="231" t="inlineStr">
        <is>
          <t>Facultatif</t>
        </is>
      </c>
      <c r="O1402" s="236" t="inlineStr">
        <is>
          <t>Optional</t>
        </is>
      </c>
      <c r="P1402" s="269" t="inlineStr">
        <is>
          <t>NA</t>
        </is>
      </c>
      <c r="Q1402" s="269" t="inlineStr">
        <is>
          <t>NA</t>
        </is>
      </c>
      <c r="R1402" s="241" t="inlineStr">
        <is>
          <t>NA</t>
        </is>
      </c>
      <c r="S1402" s="309" t="inlineStr">
        <is>
          <t>NA</t>
        </is>
      </c>
      <c r="T1402" s="313" t="inlineStr">
        <is>
          <t>ALPHA</t>
        </is>
      </c>
      <c r="U1402" s="237" t="inlineStr">
        <is>
          <t>NA</t>
        </is>
      </c>
      <c r="V1402" s="238" t="inlineStr">
        <is>
          <t>NA</t>
        </is>
      </c>
      <c r="W1402" s="269" t="n">
        <v>40</v>
      </c>
      <c r="X1402" s="231" t="inlineStr">
        <is>
          <t>NA</t>
        </is>
      </c>
      <c r="Y1402" s="237" t="n">
        <v>41</v>
      </c>
      <c r="Z1402" s="237" t="inlineStr">
        <is>
          <t>NA</t>
        </is>
      </c>
      <c r="AA1402" s="978" t="inlineStr">
        <is>
          <t>45.00</t>
        </is>
      </c>
      <c r="AB1402" s="932" t="inlineStr">
        <is>
          <t>LIQUIDITE, MREL, NPE, NSFR</t>
        </is>
      </c>
      <c r="AC1402" s="231" t="inlineStr">
        <is>
          <t>ND</t>
        </is>
      </c>
      <c r="AD1402" s="257" t="inlineStr">
        <is>
          <t>N</t>
        </is>
      </c>
      <c r="AE1402" s="257" t="inlineStr">
        <is>
          <t>SEC-CAS-COL
IAS
GUA-CDE
INS
REE-TAS</t>
        </is>
      </c>
      <c r="AF1402" s="257" t="inlineStr">
        <is>
          <t>NA</t>
        </is>
      </c>
      <c r="AG1402" s="258" t="inlineStr">
        <is>
          <t>NA</t>
        </is>
      </c>
      <c r="AH1402" s="89" t="n"/>
      <c r="AI1402" s="316" t="n"/>
      <c r="AJ1402" s="317" t="n"/>
      <c r="AK1402" s="257" t="n"/>
      <c r="AL1402" s="258" t="n"/>
      <c r="AM1402" s="318" t="n"/>
      <c r="AN1402" s="317" t="n"/>
      <c r="AO1402" s="257" t="n"/>
      <c r="AP1402" s="258" t="n"/>
      <c r="AQ1402" s="318" t="n"/>
      <c r="AR1402" s="317" t="n"/>
      <c r="AS1402" s="257" t="n"/>
      <c r="AT1402" s="258" t="n"/>
      <c r="AU1402" s="318" t="n"/>
      <c r="AV1402" s="317" t="n"/>
      <c r="AW1402" s="257" t="n"/>
      <c r="AX1402" s="258" t="n"/>
      <c r="AY1402" s="318" t="n"/>
      <c r="AZ1402" s="317" t="n"/>
      <c r="BA1402" s="257" t="n"/>
      <c r="BB1402" s="258" t="n"/>
      <c r="BC1402" s="316" t="n"/>
      <c r="BD1402" s="317" t="n"/>
      <c r="BE1402" s="257" t="n"/>
      <c r="BF1402" s="258" t="n"/>
      <c r="BG1402" s="89" t="n"/>
      <c r="BH14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02">
        <f>_xlfn.LET(r,ROW(),oc,INDEX($A:$A,r),cv,TRIM(INDEX($Y:$Y,r)&amp;""),IF(oc&lt;&gt;"P1","",IF(cv="45","V45 - novo, nao alimentado pelo spool atual","V44 - alimentado pelo spool atual")))</f>
        <v/>
      </c>
    </row>
    <row r="1403" ht="54" customFormat="1" customHeight="1" s="90">
      <c r="A1403" s="306" t="inlineStr">
        <is>
          <t>M1</t>
        </is>
      </c>
      <c r="B1403" s="307" t="n">
        <v>108</v>
      </c>
      <c r="C1403" s="269" t="inlineStr">
        <is>
          <t>27 - Caractéristiques extra-financière</t>
        </is>
      </c>
      <c r="D1403" s="236" t="inlineStr">
        <is>
          <t>27 - Extra-financial caracteristics</t>
        </is>
      </c>
      <c r="E1403" s="307" t="inlineStr">
        <is>
          <t>M1 7.18</t>
        </is>
      </c>
      <c r="F1403" s="375" t="inlineStr">
        <is>
          <t>Localisation de l'actif dans la norme NUTS</t>
        </is>
      </c>
      <c r="G1403" s="309" t="inlineStr">
        <is>
          <t>Location of the asset according to the NUTS standard</t>
        </is>
      </c>
      <c r="H1403" s="309" t="n"/>
      <c r="I1403" s="241" t="inlineStr">
        <is>
          <t>Localisation de l'actif dans la norme NUTS</t>
        </is>
      </c>
      <c r="J1403" s="309" t="inlineStr">
        <is>
          <t>Location of the asset according to the NUTS standard</t>
        </is>
      </c>
      <c r="K1403" s="370" t="inlineStr">
        <is>
          <t>ND</t>
        </is>
      </c>
      <c r="L1403" s="371" t="inlineStr">
        <is>
          <t>ND</t>
        </is>
      </c>
      <c r="M1403" s="1420" t="inlineStr">
        <is>
          <t>cdLocalisActifNUTS</t>
        </is>
      </c>
      <c r="N1403" s="231" t="inlineStr">
        <is>
          <t>Obligatoire sous conditions</t>
        </is>
      </c>
      <c r="O1403" s="236" t="inlineStr">
        <is>
          <t>Mandatory under conditions</t>
        </is>
      </c>
      <c r="P1403" s="206" t="inlineStr">
        <is>
          <t>LC.0265</t>
        </is>
      </c>
      <c r="Q1403" s="206" t="inlineStr">
        <is>
          <t>TA NMNUTS</t>
        </is>
      </c>
      <c r="R1403" s="874" t="inlineStr">
        <is>
          <t>Pour les garanties personnelles, la localisation de l'actif correspondra à la localisation (norme NUTS) du patrimoine du garant
La valeur doit être connue de la nomenclature ‘NUTS3 ‘ table pays régions' pour les sûretés localisées dans un pays de l'Union Européenne et de la table pays pour les sûretés localisées hors UE</t>
        </is>
      </c>
      <c r="S1403" s="363" t="inlineStr">
        <is>
          <t>For personal guarantees, the location of the asset will correspond to the location (NUTS standard) of the guarantor's assets
The value can be found in the nomenclature 'NUTS3' country table regions' for mitigants located in the European Union countries and the country table for mitigants located outside the EU</t>
        </is>
      </c>
      <c r="T1403" s="313" t="inlineStr">
        <is>
          <t>ALPHA</t>
        </is>
      </c>
      <c r="U1403" s="237" t="inlineStr">
        <is>
          <t>NA</t>
        </is>
      </c>
      <c r="V1403" s="238" t="inlineStr">
        <is>
          <t>NA</t>
        </is>
      </c>
      <c r="W1403" s="269" t="n">
        <v>5</v>
      </c>
      <c r="X1403" s="231" t="inlineStr">
        <is>
          <t>NA</t>
        </is>
      </c>
      <c r="Y1403" s="237" t="n">
        <v>41</v>
      </c>
      <c r="Z1403" s="237" t="inlineStr">
        <is>
          <t>NA</t>
        </is>
      </c>
      <c r="AA1403" s="283" t="inlineStr">
        <is>
          <t>NA</t>
        </is>
      </c>
      <c r="AB1403" s="269" t="inlineStr">
        <is>
          <t>ANACREDIT, ESG PILIER 3, LOAN TAPE</t>
        </is>
      </c>
      <c r="AC1403" s="231" t="inlineStr">
        <is>
          <t>ND</t>
        </is>
      </c>
      <c r="AD1403" s="257" t="inlineStr">
        <is>
          <t>N</t>
        </is>
      </c>
      <c r="AE1403" s="257" t="inlineStr">
        <is>
          <t>SEC-CAS-COL
IAS
GUA-CDE
INS
REE-TAS</t>
        </is>
      </c>
      <c r="AF1403" s="257" t="inlineStr">
        <is>
          <t>NA</t>
        </is>
      </c>
      <c r="AG1403" s="258" t="inlineStr">
        <is>
          <t>NA</t>
        </is>
      </c>
      <c r="AH1403" s="89" t="n"/>
      <c r="AI1403" s="849" t="inlineStr">
        <is>
          <t>La donnée est obligatoire si la nature juridique de la sûreté [M1 5.1] = ‘REE01xx'</t>
        </is>
      </c>
      <c r="AJ1403" s="317" t="inlineStr">
        <is>
          <t>The data is mandatory if Legal nature of the mitigant [M1 5.1] = ‘REE01xx'</t>
        </is>
      </c>
      <c r="AK1403" s="269" t="n">
        <v>6</v>
      </c>
      <c r="AL1403" s="366" t="inlineStr">
        <is>
          <t>TPS0719</t>
        </is>
      </c>
      <c r="AM1403" s="452" t="inlineStr">
        <is>
          <t>Si elle est renseignée, la valeur doit être connue du Langage Commun associé</t>
        </is>
      </c>
      <c r="AN1403" s="377" t="inlineStr">
        <is>
          <t>If specified, the value must be known to the associated Common Language</t>
        </is>
      </c>
      <c r="AO1403" s="257" t="n">
        <v>7</v>
      </c>
      <c r="AP1403" s="258" t="inlineStr">
        <is>
          <t>TIG0001</t>
        </is>
      </c>
      <c r="AQ1403" s="318" t="n"/>
      <c r="AR1403" s="317" t="n"/>
      <c r="AS1403" s="257" t="n"/>
      <c r="AT1403" s="258" t="n"/>
      <c r="AU1403" s="318" t="n"/>
      <c r="AV1403" s="317" t="n"/>
      <c r="AW1403" s="257" t="n"/>
      <c r="AX1403" s="258" t="n"/>
      <c r="AY1403" s="318" t="n"/>
      <c r="AZ1403" s="317" t="n"/>
      <c r="BA1403" s="257" t="n"/>
      <c r="BB1403" s="258" t="n"/>
      <c r="BC1403" s="316" t="n"/>
      <c r="BD1403" s="317" t="n"/>
      <c r="BE1403" s="257" t="n"/>
      <c r="BF1403" s="258" t="n"/>
      <c r="BG1403" s="89" t="n"/>
      <c r="BH14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03">
        <f>_xlfn.LET(r,ROW(),oc,INDEX($A:$A,r),cv,TRIM(INDEX($Y:$Y,r)&amp;""),IF(oc&lt;&gt;"P1","",IF(cv="45","V45 - novo, nao alimentado pelo spool atual","V44 - alimentado pelo spool atual")))</f>
        <v/>
      </c>
    </row>
    <row r="1404" ht="54" customFormat="1" customHeight="1" s="90">
      <c r="A1404" s="306" t="inlineStr">
        <is>
          <t>M1</t>
        </is>
      </c>
      <c r="B1404" s="307" t="n">
        <v>109</v>
      </c>
      <c r="C1404" s="269" t="inlineStr">
        <is>
          <t>17 - Caractéristiques Titres</t>
        </is>
      </c>
      <c r="D1404" s="236" t="inlineStr">
        <is>
          <t>17 - Securities characteristics</t>
        </is>
      </c>
      <c r="E1404" s="372" t="inlineStr">
        <is>
          <t>M1 8.43</t>
        </is>
      </c>
      <c r="F1404" s="484" t="inlineStr">
        <is>
          <t>Montant nominal du titre reçu en collatéral</t>
        </is>
      </c>
      <c r="G1404" s="309" t="inlineStr">
        <is>
          <t>Nominal amount of collateral received</t>
        </is>
      </c>
      <c r="H1404" s="309" t="n"/>
      <c r="I1404" s="241" t="inlineStr">
        <is>
          <t>Valeur du capital social divisé par le nombre de titres pour les actions</t>
        </is>
      </c>
      <c r="J1404" s="309" t="inlineStr">
        <is>
          <t>Value of the share capital divided by the number of securities for the equities</t>
        </is>
      </c>
      <c r="K1404" s="370" t="inlineStr">
        <is>
          <t>ND</t>
        </is>
      </c>
      <c r="L1404" s="371" t="inlineStr">
        <is>
          <t>ND</t>
        </is>
      </c>
      <c r="M1404" s="1420" t="inlineStr">
        <is>
          <t>mtNomTitreGar</t>
        </is>
      </c>
      <c r="N1404" s="231" t="inlineStr">
        <is>
          <t>Obligatoire sous conditions</t>
        </is>
      </c>
      <c r="O1404" s="236" t="inlineStr">
        <is>
          <t>Mandatory under conditions</t>
        </is>
      </c>
      <c r="P1404" s="269" t="inlineStr">
        <is>
          <t>NA</t>
        </is>
      </c>
      <c r="Q1404" s="269" t="inlineStr">
        <is>
          <t>NA</t>
        </is>
      </c>
      <c r="R1404" s="241" t="inlineStr">
        <is>
          <t>NA</t>
        </is>
      </c>
      <c r="S1404" s="309" t="inlineStr">
        <is>
          <t>NA</t>
        </is>
      </c>
      <c r="T1404" s="313" t="inlineStr">
        <is>
          <t>NUM</t>
        </is>
      </c>
      <c r="U1404" s="237" t="inlineStr">
        <is>
          <t>19 dont signe et 2 décimales</t>
        </is>
      </c>
      <c r="V1404" s="238" t="inlineStr">
        <is>
          <t>19 including sign and 2 decimals</t>
        </is>
      </c>
      <c r="W1404" s="257" t="n">
        <v>19</v>
      </c>
      <c r="X1404" s="945" t="inlineStr">
        <is>
          <t>NA</t>
        </is>
      </c>
      <c r="Y1404" s="237" t="n">
        <v>42</v>
      </c>
      <c r="Z1404" s="237" t="inlineStr">
        <is>
          <t>NA</t>
        </is>
      </c>
      <c r="AA1404" s="237" t="inlineStr">
        <is>
          <t>NA</t>
        </is>
      </c>
      <c r="AB1404" s="269" t="inlineStr">
        <is>
          <t>AER, CONGLOMERATS, MREL, SRB VALUATION</t>
        </is>
      </c>
      <c r="AC1404" s="231" t="inlineStr">
        <is>
          <t>ND</t>
        </is>
      </c>
      <c r="AD1404" s="257" t="inlineStr">
        <is>
          <t>N</t>
        </is>
      </c>
      <c r="AE1404" s="257" t="inlineStr">
        <is>
          <t xml:space="preserve">SEC-CAS-COL
</t>
        </is>
      </c>
      <c r="AF1404" s="257" t="inlineStr">
        <is>
          <t>NA</t>
        </is>
      </c>
      <c r="AG1404" s="258" t="inlineStr">
        <is>
          <t>NA</t>
        </is>
      </c>
      <c r="AH1404" s="89" t="n"/>
      <c r="AI1404" s="849" t="inlineStr">
        <is>
          <t>La donnée est obligatoire si la nature juridique de la sûreté [M1 5.1] = ‘SEC01xx'</t>
        </is>
      </c>
      <c r="AJ1404" s="317" t="inlineStr">
        <is>
          <t>The data is mandatory if Legal nature of the mitigant [M1 5.1] = SEC01xx</t>
        </is>
      </c>
      <c r="AK1404" s="257" t="n">
        <v>6</v>
      </c>
      <c r="AL1404" s="366" t="inlineStr">
        <is>
          <t>TPS0713</t>
        </is>
      </c>
      <c r="AM1404" s="318" t="n"/>
      <c r="AN1404" s="317" t="n"/>
      <c r="AO1404" s="257" t="n"/>
      <c r="AP1404" s="258" t="n"/>
      <c r="AQ1404" s="343" t="inlineStr">
        <is>
          <t>Si renseignée, la donnée doit être positive (supérieure ou égale à 0)</t>
        </is>
      </c>
      <c r="AR1404" s="317" t="inlineStr">
        <is>
          <t xml:space="preserve">If filled, data must be positive (greater or equal to 0) </t>
        </is>
      </c>
      <c r="AS1404" s="344" t="n">
        <v>7</v>
      </c>
      <c r="AT1404" s="345" t="inlineStr">
        <is>
          <t>TVG0001</t>
        </is>
      </c>
      <c r="AU1404" s="318" t="n"/>
      <c r="AV1404" s="317" t="n"/>
      <c r="AW1404" s="257" t="n"/>
      <c r="AX1404" s="258" t="n"/>
      <c r="AY1404" s="318" t="n"/>
      <c r="AZ1404" s="317" t="n"/>
      <c r="BA1404" s="257" t="n"/>
      <c r="BB1404" s="258" t="n"/>
      <c r="BC1404" s="316" t="n"/>
      <c r="BD1404" s="317" t="n"/>
      <c r="BE1404" s="257" t="n"/>
      <c r="BF1404" s="258" t="n"/>
      <c r="BG1404" s="89" t="n"/>
      <c r="BH14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04">
        <f>_xlfn.LET(r,ROW(),oc,INDEX($A:$A,r),cv,TRIM(INDEX($Y:$Y,r)&amp;""),IF(oc&lt;&gt;"P1","",IF(cv="45","V45 - novo, nao alimentado pelo spool atual","V44 - alimentado pelo spool atual")))</f>
        <v/>
      </c>
    </row>
    <row r="1405" ht="54" customFormat="1" customHeight="1" s="90">
      <c r="A1405" s="306" t="inlineStr">
        <is>
          <t>M1</t>
        </is>
      </c>
      <c r="B1405" s="307" t="n">
        <v>110</v>
      </c>
      <c r="C1405" s="269" t="inlineStr">
        <is>
          <t>17 - Caractéristiques Titres</t>
        </is>
      </c>
      <c r="D1405" s="236" t="inlineStr">
        <is>
          <t>17 - Securities characteristics</t>
        </is>
      </c>
      <c r="E1405" s="372" t="inlineStr">
        <is>
          <t>M1 8.44</t>
        </is>
      </c>
      <c r="F1405" s="308" t="inlineStr">
        <is>
          <t>Devise du montant nominal du titre reçu en collatéral</t>
        </is>
      </c>
      <c r="G1405" s="309" t="inlineStr">
        <is>
          <t>Currency of amount of collateral received</t>
        </is>
      </c>
      <c r="H1405" s="309" t="n"/>
      <c r="I1405" s="241" t="inlineStr">
        <is>
          <t xml:space="preserve">Devise du montant nominal du titre reçu en collatéral </t>
        </is>
      </c>
      <c r="J1405" s="309" t="inlineStr">
        <is>
          <t xml:space="preserve">Currency of nominal amount of collateral received </t>
        </is>
      </c>
      <c r="K1405" s="370" t="inlineStr">
        <is>
          <t>ND</t>
        </is>
      </c>
      <c r="L1405" s="371" t="inlineStr">
        <is>
          <t>ND</t>
        </is>
      </c>
      <c r="M1405" s="1420" t="inlineStr">
        <is>
          <t>cdDevMtNomTitreGar</t>
        </is>
      </c>
      <c r="N1405" s="231" t="inlineStr">
        <is>
          <t>Obligatoire sous conditions</t>
        </is>
      </c>
      <c r="O1405" s="236" t="inlineStr">
        <is>
          <t>Mandatory under conditions</t>
        </is>
      </c>
      <c r="P1405" s="269" t="inlineStr">
        <is>
          <t>LC.0005</t>
        </is>
      </c>
      <c r="Q1405" s="269" t="inlineStr">
        <is>
          <t>TA NM253</t>
        </is>
      </c>
      <c r="R1405" s="241" t="inlineStr">
        <is>
          <t>NA</t>
        </is>
      </c>
      <c r="S1405" s="309" t="inlineStr">
        <is>
          <t>NA</t>
        </is>
      </c>
      <c r="T1405" s="313" t="inlineStr">
        <is>
          <t>ALPHA</t>
        </is>
      </c>
      <c r="U1405" s="237" t="inlineStr">
        <is>
          <t>NA</t>
        </is>
      </c>
      <c r="V1405" s="238" t="inlineStr">
        <is>
          <t>NA</t>
        </is>
      </c>
      <c r="W1405" s="257" t="n">
        <v>3</v>
      </c>
      <c r="X1405" s="945" t="inlineStr">
        <is>
          <t>NA</t>
        </is>
      </c>
      <c r="Y1405" s="237" t="n">
        <v>42</v>
      </c>
      <c r="Z1405" s="237" t="inlineStr">
        <is>
          <t>NA</t>
        </is>
      </c>
      <c r="AA1405" s="237" t="inlineStr">
        <is>
          <t>NA</t>
        </is>
      </c>
      <c r="AB1405" s="269" t="inlineStr">
        <is>
          <t>AER, CONGLOMERATS, MREL, SRB VALUATION</t>
        </is>
      </c>
      <c r="AC1405" s="231" t="inlineStr">
        <is>
          <t>ND</t>
        </is>
      </c>
      <c r="AD1405" s="257" t="inlineStr">
        <is>
          <t>N</t>
        </is>
      </c>
      <c r="AE1405" s="257" t="inlineStr">
        <is>
          <t xml:space="preserve">SEC-CAS-COL
</t>
        </is>
      </c>
      <c r="AF1405" s="257" t="inlineStr">
        <is>
          <t>NA</t>
        </is>
      </c>
      <c r="AG1405" s="258" t="inlineStr">
        <is>
          <t>NA</t>
        </is>
      </c>
      <c r="AH1405" s="89" t="n"/>
      <c r="AI1405" s="856" t="inlineStr">
        <is>
          <t>La donnée est obligatoire, si Montant nominal du titre reçu en collatéral [M1 8.43] est renseigné</t>
        </is>
      </c>
      <c r="AJ1405" s="317" t="inlineStr">
        <is>
          <t>The data is mandatory, if Nominal amount of collateral received [M1 8.43] is filled</t>
        </is>
      </c>
      <c r="AK1405" s="257" t="n">
        <v>7</v>
      </c>
      <c r="AL1405" s="447" t="inlineStr">
        <is>
          <t>TPG0002</t>
        </is>
      </c>
      <c r="AM1405" s="452" t="inlineStr">
        <is>
          <t>Si elle est renseignée, la valeur doit être connue du Langage Commun associé</t>
        </is>
      </c>
      <c r="AN1405" s="377" t="inlineStr">
        <is>
          <t>If specified, the value must be known to the associated Common Language</t>
        </is>
      </c>
      <c r="AO1405" s="257" t="n">
        <v>7</v>
      </c>
      <c r="AP1405" s="258" t="inlineStr">
        <is>
          <t>TIG0001</t>
        </is>
      </c>
      <c r="AQ1405" s="318" t="n"/>
      <c r="AR1405" s="317" t="n"/>
      <c r="AS1405" s="257" t="n"/>
      <c r="AT1405" s="258" t="n"/>
      <c r="AU1405" s="318" t="n"/>
      <c r="AV1405" s="317" t="n"/>
      <c r="AW1405" s="257" t="n"/>
      <c r="AX1405" s="258" t="n"/>
      <c r="AY1405" s="318" t="n"/>
      <c r="AZ1405" s="317" t="n"/>
      <c r="BA1405" s="257" t="n"/>
      <c r="BB1405" s="258" t="n"/>
      <c r="BC1405" s="316" t="n"/>
      <c r="BD1405" s="317" t="n"/>
      <c r="BE1405" s="257" t="n"/>
      <c r="BF1405" s="258" t="n"/>
      <c r="BG1405" s="89" t="n"/>
      <c r="BH14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05">
        <f>_xlfn.LET(r,ROW(),oc,INDEX($A:$A,r),cv,TRIM(INDEX($Y:$Y,r)&amp;""),IF(oc&lt;&gt;"P1","",IF(cv="45","V45 - novo, nao alimentado pelo spool atual","V44 - alimentado pelo spool atual")))</f>
        <v/>
      </c>
    </row>
    <row r="1406" ht="54" customFormat="1" customHeight="1" s="90">
      <c r="A1406" s="306" t="inlineStr">
        <is>
          <t>M1</t>
        </is>
      </c>
      <c r="B1406" s="307" t="n">
        <v>111</v>
      </c>
      <c r="C1406" s="269" t="inlineStr">
        <is>
          <t>17 - Caractéristiques Titres</t>
        </is>
      </c>
      <c r="D1406" s="236" t="inlineStr">
        <is>
          <t>17 - Securities characteristics</t>
        </is>
      </c>
      <c r="E1406" s="372" t="inlineStr">
        <is>
          <t>M1 8.45</t>
        </is>
      </c>
      <c r="F1406" s="484" t="inlineStr">
        <is>
          <t>Montant des coupons courus non échus du titre reçu en collatéral</t>
        </is>
      </c>
      <c r="G1406" s="309" t="inlineStr">
        <is>
          <t>Amount of accrued coupons of received collateral</t>
        </is>
      </c>
      <c r="H1406" s="309" t="n"/>
      <c r="I1406" s="308" t="inlineStr">
        <is>
          <t>Montant des coupons courus non échus du titre reçu en collatéral</t>
        </is>
      </c>
      <c r="J1406" s="309" t="inlineStr">
        <is>
          <t>Amount of accrued coupons of received collateral</t>
        </is>
      </c>
      <c r="K1406" s="370" t="inlineStr">
        <is>
          <t>ND</t>
        </is>
      </c>
      <c r="L1406" s="371" t="inlineStr">
        <is>
          <t>ND</t>
        </is>
      </c>
      <c r="M1406" s="1420" t="inlineStr">
        <is>
          <t>mtCoupTitreGar</t>
        </is>
      </c>
      <c r="N1406" s="231" t="inlineStr">
        <is>
          <t>Obligatoire sous conditions</t>
        </is>
      </c>
      <c r="O1406" s="236" t="inlineStr">
        <is>
          <t>Mandatory under conditions</t>
        </is>
      </c>
      <c r="P1406" s="269" t="inlineStr">
        <is>
          <t>NA</t>
        </is>
      </c>
      <c r="Q1406" s="269" t="inlineStr">
        <is>
          <t>NA</t>
        </is>
      </c>
      <c r="R1406" s="241" t="inlineStr">
        <is>
          <t>NA</t>
        </is>
      </c>
      <c r="S1406" s="309" t="inlineStr">
        <is>
          <t>NA</t>
        </is>
      </c>
      <c r="T1406" s="313" t="inlineStr">
        <is>
          <t>NUM</t>
        </is>
      </c>
      <c r="U1406" s="237" t="inlineStr">
        <is>
          <t>19 dont signe et 2 décimales</t>
        </is>
      </c>
      <c r="V1406" s="238" t="inlineStr">
        <is>
          <t>19 including sign and 2 decimals</t>
        </is>
      </c>
      <c r="W1406" s="257" t="n">
        <v>19</v>
      </c>
      <c r="X1406" s="945" t="inlineStr">
        <is>
          <t>NA</t>
        </is>
      </c>
      <c r="Y1406" s="237" t="n">
        <v>42</v>
      </c>
      <c r="Z1406" s="237" t="inlineStr">
        <is>
          <t>NA</t>
        </is>
      </c>
      <c r="AA1406" s="237" t="inlineStr">
        <is>
          <t>NA</t>
        </is>
      </c>
      <c r="AB1406" s="269" t="inlineStr">
        <is>
          <t>AER</t>
        </is>
      </c>
      <c r="AC1406" s="231" t="inlineStr">
        <is>
          <t>ND</t>
        </is>
      </c>
      <c r="AD1406" s="257" t="inlineStr">
        <is>
          <t>N</t>
        </is>
      </c>
      <c r="AE1406" s="257" t="inlineStr">
        <is>
          <t xml:space="preserve">SEC-CAS-COL
</t>
        </is>
      </c>
      <c r="AF1406" s="257" t="inlineStr">
        <is>
          <t>NA</t>
        </is>
      </c>
      <c r="AG1406" s="258" t="inlineStr">
        <is>
          <t>NA</t>
        </is>
      </c>
      <c r="AH1406" s="89" t="n"/>
      <c r="AI1406" s="849" t="inlineStr">
        <is>
          <t>La donnée est obligatoire si la nature juridique de la sûreté [M1 5.1] = ‘SEC01xx'</t>
        </is>
      </c>
      <c r="AJ1406" s="317" t="inlineStr">
        <is>
          <t>The data is mandatory if the legal nature of the collateral [M1 5.1] starts with 'SEC01'</t>
        </is>
      </c>
      <c r="AK1406" s="257" t="n">
        <v>6</v>
      </c>
      <c r="AL1406" s="366" t="inlineStr">
        <is>
          <t>TPS0713</t>
        </is>
      </c>
      <c r="AM1406" s="318" t="n"/>
      <c r="AN1406" s="317" t="n"/>
      <c r="AO1406" s="257" t="n"/>
      <c r="AP1406" s="258" t="n"/>
      <c r="AQ1406" s="421" t="n"/>
      <c r="AR1406" s="422" t="n"/>
      <c r="AS1406" s="348" t="n"/>
      <c r="AT1406" s="258" t="n"/>
      <c r="AU1406" s="421" t="n"/>
      <c r="AV1406" s="422" t="n"/>
      <c r="AW1406" s="348" t="n"/>
      <c r="AX1406" s="258" t="n"/>
      <c r="AY1406" s="318" t="n"/>
      <c r="AZ1406" s="317" t="n"/>
      <c r="BA1406" s="257" t="n"/>
      <c r="BB1406" s="258" t="n"/>
      <c r="BC1406" s="316" t="n"/>
      <c r="BD1406" s="317" t="n"/>
      <c r="BE1406" s="257" t="n"/>
      <c r="BF1406" s="258" t="n"/>
      <c r="BG1406" s="89" t="n"/>
      <c r="BH14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06">
        <f>_xlfn.LET(r,ROW(),oc,INDEX($A:$A,r),cv,TRIM(INDEX($Y:$Y,r)&amp;""),IF(oc&lt;&gt;"P1","",IF(cv="45","V45 - novo, nao alimentado pelo spool atual","V44 - alimentado pelo spool atual")))</f>
        <v/>
      </c>
    </row>
    <row r="1407" ht="54" customFormat="1" customHeight="1" s="90">
      <c r="A1407" s="306" t="inlineStr">
        <is>
          <t>M1</t>
        </is>
      </c>
      <c r="B1407" s="307" t="n">
        <v>112</v>
      </c>
      <c r="C1407" s="269" t="inlineStr">
        <is>
          <t>17 - Caractéristiques Titres</t>
        </is>
      </c>
      <c r="D1407" s="236" t="inlineStr">
        <is>
          <t>17 - Securities characteristics</t>
        </is>
      </c>
      <c r="E1407" s="372" t="inlineStr">
        <is>
          <t>M1 8.46</t>
        </is>
      </c>
      <c r="F1407" s="308" t="inlineStr">
        <is>
          <t>Devise du montant des coupons courus non échus du titre reçu en collatéral</t>
        </is>
      </c>
      <c r="G1407" s="309" t="inlineStr">
        <is>
          <t>Currency of amount of accrued coupons of received collateral</t>
        </is>
      </c>
      <c r="H1407" s="309" t="n"/>
      <c r="I1407" s="241" t="inlineStr">
        <is>
          <t xml:space="preserve">Devise du montant des coupons courus non échus du titre reçu en collatéral </t>
        </is>
      </c>
      <c r="J1407" s="309" t="inlineStr">
        <is>
          <t xml:space="preserve">Currency of amount of accrued coupons of received collateral </t>
        </is>
      </c>
      <c r="K1407" s="370" t="inlineStr">
        <is>
          <t>ND</t>
        </is>
      </c>
      <c r="L1407" s="371" t="inlineStr">
        <is>
          <t>ND</t>
        </is>
      </c>
      <c r="M1407" s="1420" t="inlineStr">
        <is>
          <t>cdDevMtCoupTitreGar</t>
        </is>
      </c>
      <c r="N1407" s="231" t="inlineStr">
        <is>
          <t>Obligatoire sous conditions</t>
        </is>
      </c>
      <c r="O1407" s="236" t="inlineStr">
        <is>
          <t>Mandatory under conditions</t>
        </is>
      </c>
      <c r="P1407" s="269" t="inlineStr">
        <is>
          <t>LC.0005</t>
        </is>
      </c>
      <c r="Q1407" s="269" t="inlineStr">
        <is>
          <t>TA NM253</t>
        </is>
      </c>
      <c r="R1407" s="241" t="inlineStr">
        <is>
          <t>NA</t>
        </is>
      </c>
      <c r="S1407" s="309" t="inlineStr">
        <is>
          <t>NA</t>
        </is>
      </c>
      <c r="T1407" s="313" t="inlineStr">
        <is>
          <t>ALPHA</t>
        </is>
      </c>
      <c r="U1407" s="237" t="inlineStr">
        <is>
          <t>NA</t>
        </is>
      </c>
      <c r="V1407" s="238" t="inlineStr">
        <is>
          <t>NA</t>
        </is>
      </c>
      <c r="W1407" s="257" t="n">
        <v>3</v>
      </c>
      <c r="X1407" s="945" t="inlineStr">
        <is>
          <t>NA</t>
        </is>
      </c>
      <c r="Y1407" s="237" t="n">
        <v>42</v>
      </c>
      <c r="Z1407" s="237" t="inlineStr">
        <is>
          <t>NA</t>
        </is>
      </c>
      <c r="AA1407" s="237" t="inlineStr">
        <is>
          <t>NA</t>
        </is>
      </c>
      <c r="AB1407" s="269" t="inlineStr">
        <is>
          <t>AER</t>
        </is>
      </c>
      <c r="AC1407" s="231" t="inlineStr">
        <is>
          <t>ND</t>
        </is>
      </c>
      <c r="AD1407" s="257" t="inlineStr">
        <is>
          <t>N</t>
        </is>
      </c>
      <c r="AE1407" s="257" t="inlineStr">
        <is>
          <t xml:space="preserve">SEC-CAS-COL
</t>
        </is>
      </c>
      <c r="AF1407" s="257" t="inlineStr">
        <is>
          <t>NA</t>
        </is>
      </c>
      <c r="AG1407" s="258" t="inlineStr">
        <is>
          <t>NA</t>
        </is>
      </c>
      <c r="AH1407" s="89" t="n"/>
      <c r="AI1407" s="856" t="inlineStr">
        <is>
          <t>La donnée est obligatoire, si Montant des coupons courus non échus du titre reçu en collatéral [M1 8.45] est renseigné</t>
        </is>
      </c>
      <c r="AJ1407" s="317" t="inlineStr">
        <is>
          <t>The data is mandatory, if Amount of accrued coupons of received collateral [M1 8.45] is filled</t>
        </is>
      </c>
      <c r="AK1407" s="257" t="n">
        <v>7</v>
      </c>
      <c r="AL1407" s="447" t="inlineStr">
        <is>
          <t>TPG0002</t>
        </is>
      </c>
      <c r="AM1407" s="452" t="inlineStr">
        <is>
          <t>Si elle est renseignée, la valeur doit être connue du Langage Commun associé</t>
        </is>
      </c>
      <c r="AN1407" s="377" t="inlineStr">
        <is>
          <t>If specified, the value must be known to the associated Common Language</t>
        </is>
      </c>
      <c r="AO1407" s="257" t="n">
        <v>7</v>
      </c>
      <c r="AP1407" s="258" t="inlineStr">
        <is>
          <t>TIG0001</t>
        </is>
      </c>
      <c r="AQ1407" s="318" t="n"/>
      <c r="AR1407" s="317" t="n"/>
      <c r="AS1407" s="257" t="n"/>
      <c r="AT1407" s="258" t="n"/>
      <c r="AU1407" s="318" t="n"/>
      <c r="AV1407" s="317" t="n"/>
      <c r="AW1407" s="257" t="n"/>
      <c r="AX1407" s="258" t="n"/>
      <c r="AY1407" s="318" t="n"/>
      <c r="AZ1407" s="317" t="n"/>
      <c r="BA1407" s="257" t="n"/>
      <c r="BB1407" s="258" t="n"/>
      <c r="BC1407" s="316" t="n"/>
      <c r="BD1407" s="317" t="n"/>
      <c r="BE1407" s="257" t="n"/>
      <c r="BF1407" s="258" t="n"/>
      <c r="BG1407" s="89" t="n"/>
      <c r="BH14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07">
        <f>_xlfn.LET(r,ROW(),oc,INDEX($A:$A,r),cv,TRIM(INDEX($Y:$Y,r)&amp;""),IF(oc&lt;&gt;"P1","",IF(cv="45","V45 - novo, nao alimentado pelo spool atual","V44 - alimentado pelo spool atual")))</f>
        <v/>
      </c>
    </row>
    <row r="1408" ht="54" customFormat="1" customHeight="1" s="90">
      <c r="A1408" s="306" t="inlineStr">
        <is>
          <t>M1</t>
        </is>
      </c>
      <c r="B1408" s="307" t="n">
        <v>113</v>
      </c>
      <c r="C1408" s="269" t="inlineStr">
        <is>
          <t>15 - Caractéristiques Sureté</t>
        </is>
      </c>
      <c r="D1408" s="236" t="inlineStr">
        <is>
          <t>15 - Safety characteristics</t>
        </is>
      </c>
      <c r="E1408" s="372" t="inlineStr">
        <is>
          <t>M1 6.8</t>
        </is>
      </c>
      <c r="F1408" s="308" t="inlineStr">
        <is>
          <t>Montant initial de la sûreté en euros à la date de signature du contrat</t>
        </is>
      </c>
      <c r="G1408" s="309" t="inlineStr">
        <is>
          <t>Initial amount of the guarantee in euros at the date of signature of contract</t>
        </is>
      </c>
      <c r="H1408" s="309" t="n"/>
      <c r="I1408" s="308" t="inlineStr">
        <is>
          <t>Montant initial de sûreté en euros à la date de mise en place du contrat (invariable sur la durée du contrat)</t>
        </is>
      </c>
      <c r="J1408" s="309" t="inlineStr">
        <is>
          <t>Initial amount of the guarantee in euros at the start date of the contract (invariable over the duration of the contract)</t>
        </is>
      </c>
      <c r="K1408" s="370" t="inlineStr">
        <is>
          <t>ND</t>
        </is>
      </c>
      <c r="L1408" s="371" t="inlineStr">
        <is>
          <t>ND</t>
        </is>
      </c>
      <c r="M1408" s="1420" t="inlineStr">
        <is>
          <t>MtIniEuro</t>
        </is>
      </c>
      <c r="N1408" s="231" t="inlineStr">
        <is>
          <t>Obligatoire</t>
        </is>
      </c>
      <c r="O1408" s="236" t="inlineStr">
        <is>
          <t>Mandatory</t>
        </is>
      </c>
      <c r="P1408" s="269" t="inlineStr">
        <is>
          <t>NA</t>
        </is>
      </c>
      <c r="Q1408" s="269" t="inlineStr">
        <is>
          <t>NA</t>
        </is>
      </c>
      <c r="R1408" s="241" t="inlineStr">
        <is>
          <t>NA</t>
        </is>
      </c>
      <c r="S1408" s="309" t="inlineStr">
        <is>
          <t>NA</t>
        </is>
      </c>
      <c r="T1408" s="313" t="inlineStr">
        <is>
          <t>NUM</t>
        </is>
      </c>
      <c r="U1408" s="237" t="inlineStr">
        <is>
          <t>19 dont signe et 2 décimales</t>
        </is>
      </c>
      <c r="V1408" s="238" t="inlineStr">
        <is>
          <t>19 including sign and 2 decimals</t>
        </is>
      </c>
      <c r="W1408" s="257" t="n">
        <v>19</v>
      </c>
      <c r="X1408" s="945" t="inlineStr">
        <is>
          <t>NA</t>
        </is>
      </c>
      <c r="Y1408" s="237" t="n">
        <v>43</v>
      </c>
      <c r="Z1408" s="237" t="inlineStr">
        <is>
          <t>NA</t>
        </is>
      </c>
      <c r="AA1408" s="270" t="inlineStr">
        <is>
          <t>NA</t>
        </is>
      </c>
      <c r="AB1408" s="269" t="inlineStr">
        <is>
          <t>ANACREDIT, CONGLOMERATS</t>
        </is>
      </c>
      <c r="AC1408" s="231" t="inlineStr">
        <is>
          <t>ND</t>
        </is>
      </c>
      <c r="AD1408" s="257" t="inlineStr">
        <is>
          <t>N</t>
        </is>
      </c>
      <c r="AE1408" s="257" t="inlineStr">
        <is>
          <t>SEC-CAS-COL
IAS
GUA-CDE
INS
REE-TAS</t>
        </is>
      </c>
      <c r="AF1408" s="257" t="inlineStr">
        <is>
          <t>NA</t>
        </is>
      </c>
      <c r="AG1408" s="258" t="inlineStr">
        <is>
          <t>NA</t>
        </is>
      </c>
      <c r="AH1408" s="89" t="n"/>
      <c r="AI1408" s="316" t="inlineStr">
        <is>
          <t>La donnée est obligatoire</t>
        </is>
      </c>
      <c r="AJ1408" s="317" t="inlineStr">
        <is>
          <t>The data is mandatory</t>
        </is>
      </c>
      <c r="AK1408" s="257" t="n">
        <v>6</v>
      </c>
      <c r="AL1408" s="469" t="inlineStr">
        <is>
          <t>TPG0001</t>
        </is>
      </c>
      <c r="AM1408" s="318" t="n"/>
      <c r="AN1408" s="317" t="n"/>
      <c r="AO1408" s="257" t="n"/>
      <c r="AP1408" s="258" t="n"/>
      <c r="AQ1408" s="318" t="inlineStr">
        <is>
          <t>Si renseignée, la donnée doit être strictement supérieure à 0</t>
        </is>
      </c>
      <c r="AR1408" s="317" t="inlineStr">
        <is>
          <t>If filled, data must strictly be greater than 0</t>
        </is>
      </c>
      <c r="AS1408" s="257" t="n">
        <v>7</v>
      </c>
      <c r="AT1408" s="258" t="inlineStr">
        <is>
          <t>TVG0003</t>
        </is>
      </c>
      <c r="AU1408" s="318" t="n"/>
      <c r="AV1408" s="317" t="n"/>
      <c r="AW1408" s="257" t="n"/>
      <c r="AX1408" s="258" t="n"/>
      <c r="AY1408" s="318" t="n"/>
      <c r="AZ1408" s="317" t="n"/>
      <c r="BA1408" s="257" t="n"/>
      <c r="BB1408" s="258" t="n"/>
      <c r="BC1408" s="316" t="n"/>
      <c r="BD1408" s="317" t="n"/>
      <c r="BE1408" s="257" t="n"/>
      <c r="BF1408" s="258" t="n"/>
      <c r="BG1408" s="89" t="n"/>
      <c r="BH14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08">
        <f>_xlfn.LET(r,ROW(),oc,INDEX($A:$A,r),cv,TRIM(INDEX($Y:$Y,r)&amp;""),IF(oc&lt;&gt;"P1","",IF(cv="45","V45 - novo, nao alimentado pelo spool atual","V44 - alimentado pelo spool atual")))</f>
        <v/>
      </c>
    </row>
    <row r="1409" ht="54" customFormat="1" customHeight="1" s="90">
      <c r="A1409" s="306" t="inlineStr">
        <is>
          <t>M1</t>
        </is>
      </c>
      <c r="B1409" s="307" t="n">
        <v>114</v>
      </c>
      <c r="C1409" s="269" t="inlineStr">
        <is>
          <t>15 - Caractéristiques Sureté</t>
        </is>
      </c>
      <c r="D1409" s="236" t="inlineStr">
        <is>
          <t>15 - Safety characteristics</t>
        </is>
      </c>
      <c r="E1409" s="372" t="inlineStr">
        <is>
          <t>M1 6.9</t>
        </is>
      </c>
      <c r="F1409" s="308" t="inlineStr">
        <is>
          <t>Montant de la sûreté non prioritaire sur la créance</t>
        </is>
      </c>
      <c r="G1409" s="309" t="inlineStr">
        <is>
          <t xml:space="preserve">Amount of non-priority guarantee on the claim </t>
        </is>
      </c>
      <c r="H1409" s="309" t="n"/>
      <c r="I1409" s="308" t="inlineStr">
        <is>
          <t>Part de la sûreté (en montant ) sur laquelle l'entité n'est pas prioritaire sur cette créance</t>
        </is>
      </c>
      <c r="J1409" s="309" t="inlineStr">
        <is>
          <t>Part of the mitigant (in amount) on which the entity does not have priority on this claim</t>
        </is>
      </c>
      <c r="K1409" s="370" t="inlineStr">
        <is>
          <t>ND</t>
        </is>
      </c>
      <c r="L1409" s="371" t="inlineStr">
        <is>
          <t>ND</t>
        </is>
      </c>
      <c r="M1409" s="1420" t="inlineStr">
        <is>
          <t>MtIniNonPrio</t>
        </is>
      </c>
      <c r="N1409" s="231" t="inlineStr">
        <is>
          <t>Obligatoire sous conditions</t>
        </is>
      </c>
      <c r="O1409" s="236" t="inlineStr">
        <is>
          <t>Mandatory under conditions</t>
        </is>
      </c>
      <c r="P1409" s="269" t="inlineStr">
        <is>
          <t>NA</t>
        </is>
      </c>
      <c r="Q1409" s="269" t="inlineStr">
        <is>
          <t>NA</t>
        </is>
      </c>
      <c r="R1409" s="241" t="inlineStr">
        <is>
          <t>NA</t>
        </is>
      </c>
      <c r="S1409" s="309" t="inlineStr">
        <is>
          <t>NA</t>
        </is>
      </c>
      <c r="T1409" s="313" t="inlineStr">
        <is>
          <t>NUM</t>
        </is>
      </c>
      <c r="U1409" s="237" t="inlineStr">
        <is>
          <t>19 dont signe et 2 décimales</t>
        </is>
      </c>
      <c r="V1409" s="238" t="inlineStr">
        <is>
          <t>19 including sign and 2 decimals</t>
        </is>
      </c>
      <c r="W1409" s="257" t="n">
        <v>19</v>
      </c>
      <c r="X1409" s="945" t="inlineStr">
        <is>
          <t>NA</t>
        </is>
      </c>
      <c r="Y1409" s="237" t="n">
        <v>43</v>
      </c>
      <c r="Z1409" s="237" t="inlineStr">
        <is>
          <t>NA</t>
        </is>
      </c>
      <c r="AA1409" s="270" t="inlineStr">
        <is>
          <t>NA</t>
        </is>
      </c>
      <c r="AB1409" s="269" t="inlineStr">
        <is>
          <t>ANACREDIT, LOAN TAPE</t>
        </is>
      </c>
      <c r="AC1409" s="231" t="inlineStr">
        <is>
          <t>ND</t>
        </is>
      </c>
      <c r="AD1409" s="257" t="inlineStr">
        <is>
          <t>N</t>
        </is>
      </c>
      <c r="AE1409" s="257" t="inlineStr">
        <is>
          <t>SEC-CAS-COL
IAS
GUA-CDE
INS
REE-TAS</t>
        </is>
      </c>
      <c r="AF1409" s="257" t="inlineStr">
        <is>
          <t>NA</t>
        </is>
      </c>
      <c r="AG1409" s="258" t="inlineStr">
        <is>
          <t>NA</t>
        </is>
      </c>
      <c r="AH1409" s="89" t="n"/>
      <c r="AI1409" s="316" t="inlineStr">
        <is>
          <t>La donnée est obligatoire si la donnée Rang de la sûreté [M1 7.7] est renseignée et différente de '1' et si la garantie couvre un engagement (P1 ou P2) éligible à l'outil ANACREDIT ("Eligibilité outil central ANACREDIT" [P1 ou P2 27.3] = '2') et s'il n'y a pas de motif d'exclusion à la déclaration ANACREDIT ("Motif d'exclusion à la déclaration ANACREDIT" [P1 ou P2 27.4] n'est pas renseignée)</t>
        </is>
      </c>
      <c r="AJ1409" s="317" t="inlineStr">
        <is>
          <t>The data is mandatory if the data Security Rank [M1 7.7] is filled in and different from '1' and if the guarantee covers a funds in use (P1 or P2) eligible for the ANACREDIT tool ("Eligibility core tool ANACREDIT" [P1 or P2 27.3] = '2') and there is no exclusion reason for the ANACREDIT declaration ("Exclusion reason for ANACREDIT declaration" [P1 or P2 27.4] is not filled in)</t>
        </is>
      </c>
      <c r="AK1409" s="257" t="n">
        <v>5</v>
      </c>
      <c r="AL1409" s="258" t="inlineStr">
        <is>
          <t>TP0674</t>
        </is>
      </c>
      <c r="AM1409" s="318" t="n"/>
      <c r="AN1409" s="317" t="n"/>
      <c r="AO1409" s="257" t="n"/>
      <c r="AP1409" s="258" t="n"/>
      <c r="AQ1409" s="343" t="inlineStr">
        <is>
          <t>Si renseignée, la donnée doit être positive (supérieure ou égale à 0)</t>
        </is>
      </c>
      <c r="AR1409" s="317" t="inlineStr">
        <is>
          <t xml:space="preserve">If filled, data must be positive (greater or equal to 0) </t>
        </is>
      </c>
      <c r="AS1409" s="344" t="n">
        <v>7</v>
      </c>
      <c r="AT1409" s="345" t="inlineStr">
        <is>
          <t>TVG0001</t>
        </is>
      </c>
      <c r="AU1409" s="318" t="n"/>
      <c r="AV1409" s="317" t="n"/>
      <c r="AW1409" s="257" t="n"/>
      <c r="AX1409" s="258" t="n"/>
      <c r="AY1409" s="318" t="n"/>
      <c r="AZ1409" s="317" t="n"/>
      <c r="BA1409" s="257" t="n"/>
      <c r="BB1409" s="258" t="n"/>
      <c r="BC1409" s="316" t="n"/>
      <c r="BD1409" s="317" t="n"/>
      <c r="BE1409" s="257" t="n"/>
      <c r="BF1409" s="258" t="n"/>
      <c r="BG1409" s="89" t="n"/>
      <c r="BH14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09">
        <f>_xlfn.LET(r,ROW(),oc,INDEX($A:$A,r),cv,TRIM(INDEX($Y:$Y,r)&amp;""),IF(oc&lt;&gt;"P1","",IF(cv="45","V45 - novo, nao alimentado pelo spool atual","V44 - alimentado pelo spool atual")))</f>
        <v/>
      </c>
    </row>
    <row r="1410" ht="54" customFormat="1" customHeight="1" s="90">
      <c r="A1410" s="306" t="inlineStr">
        <is>
          <t>M1</t>
        </is>
      </c>
      <c r="B1410" s="307" t="n">
        <v>115</v>
      </c>
      <c r="C1410" s="269" t="inlineStr">
        <is>
          <t>15 - Caractéristiques Sureté</t>
        </is>
      </c>
      <c r="D1410" s="236" t="inlineStr">
        <is>
          <t>15 - Safety characteristics</t>
        </is>
      </c>
      <c r="E1410" s="372" t="inlineStr">
        <is>
          <t>M1 6.10</t>
        </is>
      </c>
      <c r="F1410" s="308" t="inlineStr">
        <is>
          <t xml:space="preserve">Devise du montant de la sûreté non prioritaire sur la créance </t>
        </is>
      </c>
      <c r="G1410" s="309" t="inlineStr">
        <is>
          <t xml:space="preserve">Currency of amount of non-priority guarantee on the claim </t>
        </is>
      </c>
      <c r="H1410" s="309" t="n"/>
      <c r="I1410" s="241" t="inlineStr">
        <is>
          <t>Devise du montant de la sûreté non prioritaire sur la créance</t>
        </is>
      </c>
      <c r="J1410" s="309" t="inlineStr">
        <is>
          <t>Currency of amount of non-priority guarantee on the claim</t>
        </is>
      </c>
      <c r="K1410" s="370" t="inlineStr">
        <is>
          <t>ND</t>
        </is>
      </c>
      <c r="L1410" s="371" t="inlineStr">
        <is>
          <t>ND</t>
        </is>
      </c>
      <c r="M1410" s="1420" t="inlineStr">
        <is>
          <t>cdDevSurNonPrio</t>
        </is>
      </c>
      <c r="N1410" s="231" t="inlineStr">
        <is>
          <t>Obligatoire sous conditions</t>
        </is>
      </c>
      <c r="O1410" s="236" t="inlineStr">
        <is>
          <t>Mandatory under conditions</t>
        </is>
      </c>
      <c r="P1410" s="269" t="inlineStr">
        <is>
          <t>LC.0005</t>
        </is>
      </c>
      <c r="Q1410" s="269" t="inlineStr">
        <is>
          <t>TA NM253</t>
        </is>
      </c>
      <c r="R1410" s="241" t="inlineStr">
        <is>
          <t>NA</t>
        </is>
      </c>
      <c r="S1410" s="309" t="inlineStr">
        <is>
          <t>NA</t>
        </is>
      </c>
      <c r="T1410" s="313" t="inlineStr">
        <is>
          <t>ALPHA</t>
        </is>
      </c>
      <c r="U1410" s="237" t="inlineStr">
        <is>
          <t>NA</t>
        </is>
      </c>
      <c r="V1410" s="238" t="inlineStr">
        <is>
          <t>NA</t>
        </is>
      </c>
      <c r="W1410" s="257" t="n">
        <v>3</v>
      </c>
      <c r="X1410" s="945" t="inlineStr">
        <is>
          <t>NA</t>
        </is>
      </c>
      <c r="Y1410" s="237" t="n">
        <v>43</v>
      </c>
      <c r="Z1410" s="237" t="inlineStr">
        <is>
          <t>NA</t>
        </is>
      </c>
      <c r="AA1410" s="239" t="inlineStr">
        <is>
          <t>NA</t>
        </is>
      </c>
      <c r="AB1410" s="269" t="inlineStr">
        <is>
          <t>ANACREDIT</t>
        </is>
      </c>
      <c r="AC1410" s="231" t="inlineStr">
        <is>
          <t>ND</t>
        </is>
      </c>
      <c r="AD1410" s="257" t="inlineStr">
        <is>
          <t>N</t>
        </is>
      </c>
      <c r="AE1410" s="257" t="inlineStr">
        <is>
          <t>SEC-CAS-COL
IAS
GUA-CDE
INS
REE-TAS</t>
        </is>
      </c>
      <c r="AF1410" s="257" t="inlineStr">
        <is>
          <t>NA</t>
        </is>
      </c>
      <c r="AG1410" s="258" t="inlineStr">
        <is>
          <t>NA</t>
        </is>
      </c>
      <c r="AH1410" s="89" t="n"/>
      <c r="AI1410" s="316" t="inlineStr">
        <is>
          <t>La donnée est obligatoire si la donnée Montant de la sûreté non prioritaire sur la créance [M1 6.9] est renseignée</t>
        </is>
      </c>
      <c r="AJ1410" s="317" t="inlineStr">
        <is>
          <t>The data is mandatory if the data item Amount of non-priority security right in the claim [M1 6.9] is filled</t>
        </is>
      </c>
      <c r="AK1410" s="257" t="n">
        <v>7</v>
      </c>
      <c r="AL1410" s="335" t="inlineStr">
        <is>
          <t>TPG0002</t>
        </is>
      </c>
      <c r="AM1410" s="452" t="inlineStr">
        <is>
          <t>Si elle est renseignée, la valeur doit être connue du Langage Commun associé</t>
        </is>
      </c>
      <c r="AN1410" s="377" t="inlineStr">
        <is>
          <t>If specified, the value must be known to the associated Common Language</t>
        </is>
      </c>
      <c r="AO1410" s="257" t="n">
        <v>7</v>
      </c>
      <c r="AP1410" s="258" t="inlineStr">
        <is>
          <t>TIG0001</t>
        </is>
      </c>
      <c r="AQ1410" s="318" t="n"/>
      <c r="AR1410" s="317" t="n"/>
      <c r="AS1410" s="257" t="n"/>
      <c r="AT1410" s="258" t="n"/>
      <c r="AU1410" s="318" t="n"/>
      <c r="AV1410" s="317" t="n"/>
      <c r="AW1410" s="257" t="n"/>
      <c r="AX1410" s="258" t="n"/>
      <c r="AY1410" s="318" t="n"/>
      <c r="AZ1410" s="317" t="n"/>
      <c r="BA1410" s="257" t="n"/>
      <c r="BB1410" s="258" t="n"/>
      <c r="BC1410" s="316" t="n"/>
      <c r="BD1410" s="317" t="n"/>
      <c r="BE1410" s="257" t="n"/>
      <c r="BF1410" s="258" t="n"/>
      <c r="BG1410" s="89" t="n"/>
      <c r="BH14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10">
        <f>_xlfn.LET(r,ROW(),oc,INDEX($A:$A,r),cv,TRIM(INDEX($Y:$Y,r)&amp;""),IF(oc&lt;&gt;"P1","",IF(cv="45","V45 - novo, nao alimentado pelo spool atual","V44 - alimentado pelo spool atual")))</f>
        <v/>
      </c>
    </row>
    <row r="1411" ht="54" customFormat="1" customHeight="1" s="90">
      <c r="A1411" s="306" t="inlineStr">
        <is>
          <t>M1</t>
        </is>
      </c>
      <c r="B1411" s="307" t="n">
        <v>116</v>
      </c>
      <c r="C1411" s="269" t="inlineStr">
        <is>
          <t>03 - Caractéristiques Générales</t>
        </is>
      </c>
      <c r="D1411" s="236" t="inlineStr">
        <is>
          <t>03 - General characteristics</t>
        </is>
      </c>
      <c r="E1411" s="372" t="inlineStr">
        <is>
          <t>M1 1.40</t>
        </is>
      </c>
      <c r="F1411" s="308" t="inlineStr">
        <is>
          <t>Système de gestion source</t>
        </is>
      </c>
      <c r="G1411" s="309" t="inlineStr">
        <is>
          <t>Source management system</t>
        </is>
      </c>
      <c r="H1411" s="309" t="n"/>
      <c r="I1411" s="241" t="inlineStr">
        <is>
          <t xml:space="preserve">Code ou nom du système opérationnel de gestion de la sûreté reçue </t>
        </is>
      </c>
      <c r="J1411" s="309" t="inlineStr">
        <is>
          <t xml:space="preserve">Code or name of the operational management system within entity for the security received </t>
        </is>
      </c>
      <c r="K1411" s="370" t="inlineStr">
        <is>
          <t>ND</t>
        </is>
      </c>
      <c r="L1411" s="371" t="inlineStr">
        <is>
          <t>ND</t>
        </is>
      </c>
      <c r="M1411" s="1420" t="inlineStr">
        <is>
          <t>appliSysGestSource</t>
        </is>
      </c>
      <c r="N1411" s="231" t="inlineStr">
        <is>
          <t>Obligatoire</t>
        </is>
      </c>
      <c r="O1411" s="236" t="inlineStr">
        <is>
          <t>Mandatory</t>
        </is>
      </c>
      <c r="P1411" s="269" t="inlineStr">
        <is>
          <t>NA</t>
        </is>
      </c>
      <c r="Q1411" s="269" t="inlineStr">
        <is>
          <t>NA</t>
        </is>
      </c>
      <c r="R1411" s="241" t="inlineStr">
        <is>
          <t>Codification libre.
Le système de gestion source de la sûreté recue peut-être différent du système de gestion source de l'engagement couvert</t>
        </is>
      </c>
      <c r="S1411" s="309" t="inlineStr">
        <is>
          <t>Free codification
The source management system of the mitigant received may be different from the source management system of the covered commitment</t>
        </is>
      </c>
      <c r="T1411" s="313" t="inlineStr">
        <is>
          <t>ALPHA</t>
        </is>
      </c>
      <c r="U1411" s="237" t="inlineStr">
        <is>
          <t>NA</t>
        </is>
      </c>
      <c r="V1411" s="238" t="inlineStr">
        <is>
          <t>NA</t>
        </is>
      </c>
      <c r="W1411" s="257" t="n">
        <v>20</v>
      </c>
      <c r="X1411" s="945" t="inlineStr">
        <is>
          <t>NA</t>
        </is>
      </c>
      <c r="Y1411" s="237" t="n">
        <v>43</v>
      </c>
      <c r="Z1411" s="237" t="inlineStr">
        <is>
          <t>NA</t>
        </is>
      </c>
      <c r="AA1411" s="239" t="inlineStr">
        <is>
          <t>NA</t>
        </is>
      </c>
      <c r="AB1411" s="269" t="inlineStr">
        <is>
          <t>USAGE ZP</t>
        </is>
      </c>
      <c r="AC1411" s="231" t="inlineStr">
        <is>
          <t>ND</t>
        </is>
      </c>
      <c r="AD1411" s="257" t="inlineStr">
        <is>
          <t>N</t>
        </is>
      </c>
      <c r="AE1411" s="257" t="inlineStr">
        <is>
          <t>SEC-CAS-COL
IAS
GUA-CDE
INS
REE-TAS</t>
        </is>
      </c>
      <c r="AF1411" s="257" t="inlineStr">
        <is>
          <t>NA</t>
        </is>
      </c>
      <c r="AG1411" s="258" t="inlineStr">
        <is>
          <t>NA</t>
        </is>
      </c>
      <c r="AH1411" s="89" t="n"/>
      <c r="AI1411" s="316" t="inlineStr">
        <is>
          <t>La donnée est obligatoire</t>
        </is>
      </c>
      <c r="AJ1411" s="317" t="inlineStr">
        <is>
          <t>The data is mandatory</t>
        </is>
      </c>
      <c r="AK1411" s="257" t="n">
        <v>7</v>
      </c>
      <c r="AL1411" s="335" t="inlineStr">
        <is>
          <t>TPG0001</t>
        </is>
      </c>
      <c r="AM1411" s="318" t="n"/>
      <c r="AN1411" s="317" t="n"/>
      <c r="AO1411" s="257" t="n"/>
      <c r="AP1411" s="258" t="n"/>
      <c r="AQ1411" s="318" t="n"/>
      <c r="AR1411" s="317" t="n"/>
      <c r="AS1411" s="257" t="n"/>
      <c r="AT1411" s="258" t="n"/>
      <c r="AU1411" s="318" t="n"/>
      <c r="AV1411" s="317" t="n"/>
      <c r="AW1411" s="257" t="n"/>
      <c r="AX1411" s="258" t="n"/>
      <c r="AY1411" s="318" t="n"/>
      <c r="AZ1411" s="317" t="n"/>
      <c r="BA1411" s="257" t="n"/>
      <c r="BB1411" s="258" t="n"/>
      <c r="BC1411" s="316" t="n"/>
      <c r="BD1411" s="317" t="n"/>
      <c r="BE1411" s="257" t="n"/>
      <c r="BF1411" s="258" t="n"/>
      <c r="BG1411" s="89" t="n"/>
      <c r="BH14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11">
        <f>_xlfn.LET(r,ROW(),oc,INDEX($A:$A,r),cv,TRIM(INDEX($Y:$Y,r)&amp;""),IF(oc&lt;&gt;"P1","",IF(cv="45","V45 - novo, nao alimentado pelo spool atual","V44 - alimentado pelo spool atual")))</f>
        <v/>
      </c>
    </row>
    <row r="1412" ht="54" customFormat="1" customHeight="1" s="90">
      <c r="A1412" s="306" t="inlineStr">
        <is>
          <t>M1</t>
        </is>
      </c>
      <c r="B1412" s="307" t="n">
        <v>117</v>
      </c>
      <c r="C1412" s="269" t="inlineStr">
        <is>
          <t>03 - Caractéristiques Générales</t>
        </is>
      </c>
      <c r="D1412" s="236" t="inlineStr">
        <is>
          <t>03 - General characteristics</t>
        </is>
      </c>
      <c r="E1412" s="307" t="inlineStr">
        <is>
          <t>M1 12.1</t>
        </is>
      </c>
      <c r="F1412" s="308" t="inlineStr">
        <is>
          <t>Code entité de la succursale à l'origine de l'opération</t>
        </is>
      </c>
      <c r="G1412" s="309" t="inlineStr">
        <is>
          <t>Accounting consolidation code of branch responsible of the contract</t>
        </is>
      </c>
      <c r="H1412" s="309" t="n"/>
      <c r="I1412" s="875" t="inlineStr">
        <is>
          <t>Permet d'indiquer le code consolidation de la succursale qui a fait l'opération/contrat dans le cas où les engagements sont portés par la maison mère</t>
        </is>
      </c>
      <c r="J1412" s="309" t="inlineStr">
        <is>
          <t>Allows to indicate the consolidation code of the branch that made the transaction/contract in the case where the commitments are brought by the main company</t>
        </is>
      </c>
      <c r="K1412" s="370" t="inlineStr">
        <is>
          <t>ND</t>
        </is>
      </c>
      <c r="L1412" s="371" t="inlineStr">
        <is>
          <t>ND</t>
        </is>
      </c>
      <c r="M1412" s="1420" t="inlineStr">
        <is>
          <t>CdEntSucc</t>
        </is>
      </c>
      <c r="N1412" s="231" t="inlineStr">
        <is>
          <t>Facultatif</t>
        </is>
      </c>
      <c r="O1412" s="236" t="inlineStr">
        <is>
          <t>Optional</t>
        </is>
      </c>
      <c r="P1412" s="269" t="inlineStr">
        <is>
          <t>LC.0475</t>
        </is>
      </c>
      <c r="Q1412" s="269" t="inlineStr">
        <is>
          <t>TA H8ENTITY</t>
        </is>
      </c>
      <c r="R1412" s="311" t="inlineStr">
        <is>
          <t>Demandé pour les entités qui ont des succursales (ex : CACEIS)</t>
        </is>
      </c>
      <c r="S1412" s="312" t="inlineStr">
        <is>
          <t>Required for entities that have branches (eg: CACEIS)</t>
        </is>
      </c>
      <c r="T1412" s="313" t="inlineStr">
        <is>
          <t xml:space="preserve"> ALPHA</t>
        </is>
      </c>
      <c r="U1412" s="237" t="inlineStr">
        <is>
          <t>NA</t>
        </is>
      </c>
      <c r="V1412" s="238" t="inlineStr">
        <is>
          <t>NA</t>
        </is>
      </c>
      <c r="W1412" s="257" t="n">
        <v>5</v>
      </c>
      <c r="X1412" s="945" t="inlineStr">
        <is>
          <t>NA</t>
        </is>
      </c>
      <c r="Y1412" s="237" t="n">
        <v>43</v>
      </c>
      <c r="Z1412" s="237" t="inlineStr">
        <is>
          <t>NA</t>
        </is>
      </c>
      <c r="AA1412" s="270" t="inlineStr">
        <is>
          <t>NA</t>
        </is>
      </c>
      <c r="AB1412" s="269" t="inlineStr">
        <is>
          <t>USAGE ZP</t>
        </is>
      </c>
      <c r="AC1412" s="231" t="inlineStr">
        <is>
          <t>ND</t>
        </is>
      </c>
      <c r="AD1412" s="257" t="inlineStr">
        <is>
          <t>N</t>
        </is>
      </c>
      <c r="AE1412" s="257" t="inlineStr">
        <is>
          <t>SEC-CAS-COL
IAS
GUA-CDE
INS
REE-TAS</t>
        </is>
      </c>
      <c r="AF1412" s="257" t="inlineStr">
        <is>
          <t>NA</t>
        </is>
      </c>
      <c r="AG1412" s="258" t="inlineStr">
        <is>
          <t>NA</t>
        </is>
      </c>
      <c r="AH1412" s="89" t="n"/>
      <c r="AI1412" s="316" t="n"/>
      <c r="AJ1412" s="317" t="n"/>
      <c r="AK1412" s="257" t="n"/>
      <c r="AL1412" s="258" t="n"/>
      <c r="AM1412" s="452" t="inlineStr">
        <is>
          <t>Si elle est renseignée, la valeur doit être connue du Langage Commun associé</t>
        </is>
      </c>
      <c r="AN1412" s="377" t="inlineStr">
        <is>
          <t>If specified, the value must be known to the associated Common Language</t>
        </is>
      </c>
      <c r="AO1412" s="257" t="n">
        <v>7</v>
      </c>
      <c r="AP1412" s="258" t="inlineStr">
        <is>
          <t>TIG0001</t>
        </is>
      </c>
      <c r="AQ1412" s="318" t="n"/>
      <c r="AR1412" s="317" t="n"/>
      <c r="AS1412" s="257" t="n"/>
      <c r="AT1412" s="258" t="n"/>
      <c r="AU1412" s="318" t="n"/>
      <c r="AV1412" s="317" t="n"/>
      <c r="AW1412" s="257" t="n"/>
      <c r="AX1412" s="258" t="n"/>
      <c r="AY1412" s="318" t="n"/>
      <c r="AZ1412" s="317" t="n"/>
      <c r="BA1412" s="257" t="n"/>
      <c r="BB1412" s="258" t="n"/>
      <c r="BC1412" s="316" t="n"/>
      <c r="BD1412" s="317" t="n"/>
      <c r="BE1412" s="257" t="n"/>
      <c r="BF1412" s="258" t="n"/>
      <c r="BG1412" s="89" t="n"/>
      <c r="BH141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12">
        <f>_xlfn.LET(r,ROW(),oc,INDEX($A:$A,r),cv,TRIM(INDEX($Y:$Y,r)&amp;""),IF(oc&lt;&gt;"P1","",IF(cv="45","V45 - novo, nao alimentado pelo spool atual","V44 - alimentado pelo spool atual")))</f>
        <v/>
      </c>
    </row>
    <row r="1413" ht="54" customFormat="1" customHeight="1" s="90">
      <c r="A1413" s="306" t="inlineStr">
        <is>
          <t>M1</t>
        </is>
      </c>
      <c r="B1413" s="307" t="n">
        <v>118</v>
      </c>
      <c r="C1413" s="269" t="inlineStr">
        <is>
          <t>02 - Caractéristiques d'identification fonctionnelles</t>
        </is>
      </c>
      <c r="D1413" s="236" t="inlineStr">
        <is>
          <t>02 - Functional identification characteristics</t>
        </is>
      </c>
      <c r="E1413" s="372" t="inlineStr">
        <is>
          <t>M1 7.23</t>
        </is>
      </c>
      <c r="F1413" s="375" t="inlineStr">
        <is>
          <t>Référence unique de la sûreté reçue à l'origine</t>
        </is>
      </c>
      <c r="G1413" s="309" t="inlineStr">
        <is>
          <t>Unique reference of the received mitigant at origination</t>
        </is>
      </c>
      <c r="H1413" s="309" t="n"/>
      <c r="I1413" s="241" t="inlineStr">
        <is>
          <t>Permet de conserver la référence unique de la sûreté reçue à l'origine lorsque l'entité change de système de gestion local</t>
        </is>
      </c>
      <c r="J1413" s="309" t="inlineStr">
        <is>
          <t>Keeps the unique received mitigant reference at origination when the entity changes the local management system</t>
        </is>
      </c>
      <c r="K1413" s="370" t="inlineStr">
        <is>
          <t>ND</t>
        </is>
      </c>
      <c r="L1413" s="371" t="inlineStr">
        <is>
          <t>ND</t>
        </is>
      </c>
      <c r="M1413" s="1420" t="inlineStr">
        <is>
          <t>cdCtOri</t>
        </is>
      </c>
      <c r="N1413" s="231" t="inlineStr">
        <is>
          <t>Facultatif</t>
        </is>
      </c>
      <c r="O1413" s="236" t="inlineStr">
        <is>
          <t>Optional</t>
        </is>
      </c>
      <c r="P1413" s="269" t="inlineStr">
        <is>
          <t>NA</t>
        </is>
      </c>
      <c r="Q1413" s="269" t="inlineStr">
        <is>
          <t>NA</t>
        </is>
      </c>
      <c r="R1413" s="241" t="inlineStr">
        <is>
          <t>NA</t>
        </is>
      </c>
      <c r="S1413" s="309" t="inlineStr">
        <is>
          <t>NA</t>
        </is>
      </c>
      <c r="T1413" s="313" t="inlineStr">
        <is>
          <t>ALPHA</t>
        </is>
      </c>
      <c r="U1413" s="237" t="inlineStr">
        <is>
          <t>NA</t>
        </is>
      </c>
      <c r="V1413" s="238" t="inlineStr">
        <is>
          <t>NA</t>
        </is>
      </c>
      <c r="W1413" s="269" t="n">
        <v>40</v>
      </c>
      <c r="X1413" s="231" t="inlineStr">
        <is>
          <t>NA</t>
        </is>
      </c>
      <c r="Y1413" s="237" t="n">
        <v>43</v>
      </c>
      <c r="Z1413" s="237" t="inlineStr">
        <is>
          <t>NA</t>
        </is>
      </c>
      <c r="AA1413" s="239" t="inlineStr">
        <is>
          <t>NA</t>
        </is>
      </c>
      <c r="AB1413" s="269" t="inlineStr">
        <is>
          <t>ANACREDIT</t>
        </is>
      </c>
      <c r="AC1413" s="231" t="inlineStr">
        <is>
          <t>ND</t>
        </is>
      </c>
      <c r="AD1413" s="257" t="inlineStr">
        <is>
          <t>N</t>
        </is>
      </c>
      <c r="AE1413" s="257" t="inlineStr">
        <is>
          <t>SEC-CAS-COL
IAS
GUA-CDE
INS
REE-TAS</t>
        </is>
      </c>
      <c r="AF1413" s="257" t="inlineStr">
        <is>
          <t>NA</t>
        </is>
      </c>
      <c r="AG1413" s="258" t="inlineStr">
        <is>
          <t>NA</t>
        </is>
      </c>
      <c r="AH1413" s="89" t="n"/>
      <c r="AI1413" s="316" t="n"/>
      <c r="AJ1413" s="317" t="n"/>
      <c r="AK1413" s="257" t="n"/>
      <c r="AL1413" s="258" t="n"/>
      <c r="AM1413" s="318" t="n"/>
      <c r="AN1413" s="317" t="n"/>
      <c r="AO1413" s="257" t="n"/>
      <c r="AP1413" s="258" t="n"/>
      <c r="AQ1413" s="318" t="n"/>
      <c r="AR1413" s="317" t="n"/>
      <c r="AS1413" s="257" t="n"/>
      <c r="AT1413" s="258" t="n"/>
      <c r="AU1413" s="318" t="n"/>
      <c r="AV1413" s="317" t="n"/>
      <c r="AW1413" s="257" t="n"/>
      <c r="AX1413" s="258" t="n"/>
      <c r="AY1413" s="318" t="n"/>
      <c r="AZ1413" s="317" t="n"/>
      <c r="BA1413" s="257" t="n"/>
      <c r="BB1413" s="258" t="n"/>
      <c r="BC1413" s="316" t="n"/>
      <c r="BD1413" s="317" t="n"/>
      <c r="BE1413" s="257" t="n"/>
      <c r="BF1413" s="258" t="n"/>
      <c r="BG1413" s="89" t="n"/>
      <c r="BH141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13">
        <f>_xlfn.LET(r,ROW(),oc,INDEX($A:$A,r),cv,TRIM(INDEX($Y:$Y,r)&amp;""),IF(oc&lt;&gt;"P1","",IF(cv="45","V45 - novo, nao alimentado pelo spool atual","V44 - alimentado pelo spool atual")))</f>
        <v/>
      </c>
    </row>
    <row r="1414" ht="54" customFormat="1" customHeight="1" s="91">
      <c r="A1414" s="306" t="inlineStr">
        <is>
          <t>M1</t>
        </is>
      </c>
      <c r="B1414" s="307" t="n">
        <v>119</v>
      </c>
      <c r="C1414" s="269" t="inlineStr">
        <is>
          <t>02 - Caractéristiques d'identification fonctionnelles</t>
        </is>
      </c>
      <c r="D1414" s="236" t="inlineStr">
        <is>
          <t>02 - Functional identification characteristics</t>
        </is>
      </c>
      <c r="E1414" s="372" t="inlineStr">
        <is>
          <t>M1 7.24</t>
        </is>
      </c>
      <c r="F1414" s="375" t="inlineStr">
        <is>
          <t>Référence unique de l'élément de contrat à l'origine</t>
        </is>
      </c>
      <c r="G1414" s="309" t="inlineStr">
        <is>
          <t>Unique contract element reference at origination</t>
        </is>
      </c>
      <c r="H1414" s="309" t="n"/>
      <c r="I1414" s="241" t="inlineStr">
        <is>
          <t>Permet de conserver la référence unique de l'élément de contrat à l'origine lorsque l'entié change de système de gestion local</t>
        </is>
      </c>
      <c r="J1414" s="309" t="inlineStr">
        <is>
          <t>Keeps the unique contract element reference at origination when the entity changes the local management system</t>
        </is>
      </c>
      <c r="K1414" s="370" t="inlineStr">
        <is>
          <t>ND</t>
        </is>
      </c>
      <c r="L1414" s="371" t="inlineStr">
        <is>
          <t>ND</t>
        </is>
      </c>
      <c r="M1414" s="1420" t="inlineStr">
        <is>
          <t>cdEDCOri</t>
        </is>
      </c>
      <c r="N1414" s="231" t="inlineStr">
        <is>
          <t>Facultatif</t>
        </is>
      </c>
      <c r="O1414" s="236" t="inlineStr">
        <is>
          <t>Optional</t>
        </is>
      </c>
      <c r="P1414" s="269" t="inlineStr">
        <is>
          <t>NA</t>
        </is>
      </c>
      <c r="Q1414" s="269" t="inlineStr">
        <is>
          <t>NA</t>
        </is>
      </c>
      <c r="R1414" s="241" t="inlineStr">
        <is>
          <t>NA</t>
        </is>
      </c>
      <c r="S1414" s="309" t="inlineStr">
        <is>
          <t>NA</t>
        </is>
      </c>
      <c r="T1414" s="313" t="inlineStr">
        <is>
          <t>ALPHA</t>
        </is>
      </c>
      <c r="U1414" s="237" t="inlineStr">
        <is>
          <t>NA</t>
        </is>
      </c>
      <c r="V1414" s="238" t="inlineStr">
        <is>
          <t>NA</t>
        </is>
      </c>
      <c r="W1414" s="269" t="n">
        <v>40</v>
      </c>
      <c r="X1414" s="231" t="inlineStr">
        <is>
          <t>NA</t>
        </is>
      </c>
      <c r="Y1414" s="237" t="n">
        <v>43</v>
      </c>
      <c r="Z1414" s="237" t="inlineStr">
        <is>
          <t>NA</t>
        </is>
      </c>
      <c r="AA1414" s="239" t="inlineStr">
        <is>
          <t>NA</t>
        </is>
      </c>
      <c r="AB1414" s="269" t="inlineStr">
        <is>
          <t>ANACREDIT</t>
        </is>
      </c>
      <c r="AC1414" s="231" t="inlineStr">
        <is>
          <t>ND</t>
        </is>
      </c>
      <c r="AD1414" s="257" t="inlineStr">
        <is>
          <t>N</t>
        </is>
      </c>
      <c r="AE1414" s="257" t="inlineStr">
        <is>
          <t>SEC-CAS-COL
IAS
GUA-CDE
INS
REE-TAS</t>
        </is>
      </c>
      <c r="AF1414" s="257" t="inlineStr">
        <is>
          <t>NA</t>
        </is>
      </c>
      <c r="AG1414" s="258" t="inlineStr">
        <is>
          <t>NA</t>
        </is>
      </c>
      <c r="AH1414" s="89" t="n"/>
      <c r="AI1414" s="316" t="n"/>
      <c r="AJ1414" s="317" t="n"/>
      <c r="AK1414" s="257" t="n"/>
      <c r="AL1414" s="258" t="n"/>
      <c r="AM1414" s="318" t="n"/>
      <c r="AN1414" s="317" t="n"/>
      <c r="AO1414" s="257" t="n"/>
      <c r="AP1414" s="258" t="n"/>
      <c r="AQ1414" s="318" t="n"/>
      <c r="AR1414" s="317" t="n"/>
      <c r="AS1414" s="257" t="n"/>
      <c r="AT1414" s="258" t="n"/>
      <c r="AU1414" s="318" t="n"/>
      <c r="AV1414" s="317" t="n"/>
      <c r="AW1414" s="257" t="n"/>
      <c r="AX1414" s="258" t="n"/>
      <c r="AY1414" s="318" t="n"/>
      <c r="AZ1414" s="317" t="n"/>
      <c r="BA1414" s="257" t="n"/>
      <c r="BB1414" s="258" t="n"/>
      <c r="BC1414" s="316" t="n"/>
      <c r="BD1414" s="317" t="n"/>
      <c r="BE1414" s="257" t="n"/>
      <c r="BF1414" s="258" t="n"/>
      <c r="BG1414" s="89" t="n"/>
      <c r="BH141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14">
        <f>_xlfn.LET(r,ROW(),oc,INDEX($A:$A,r),cv,TRIM(INDEX($Y:$Y,r)&amp;""),IF(oc&lt;&gt;"P1","",IF(cv="45","V45 - novo, nao alimentado pelo spool atual","V44 - alimentado pelo spool atual")))</f>
        <v/>
      </c>
    </row>
    <row r="1415" ht="54" customFormat="1" customHeight="1" s="91">
      <c r="A1415" s="306" t="inlineStr">
        <is>
          <t>M1</t>
        </is>
      </c>
      <c r="B1415" s="307" t="n">
        <v>120</v>
      </c>
      <c r="C1415" s="269" t="inlineStr">
        <is>
          <t>15 - Caractéristiques Sureté</t>
        </is>
      </c>
      <c r="D1415" s="236" t="inlineStr">
        <is>
          <t>15 - Safety characteristics</t>
        </is>
      </c>
      <c r="E1415" s="372" t="inlineStr">
        <is>
          <t>M1 7.25</t>
        </is>
      </c>
      <c r="F1415" s="308" t="inlineStr">
        <is>
          <t>Identifiant technique d'échange de la sûreté à l'origine</t>
        </is>
      </c>
      <c r="G1415" s="309" t="inlineStr">
        <is>
          <t>Technical exchange identifier of the mitigant at origination</t>
        </is>
      </c>
      <c r="H1415" s="309" t="n"/>
      <c r="I1415" s="241" t="inlineStr">
        <is>
          <t>Permet de conserver l'identifiant technique d'échange de la sûreté à l'origine lorsque l'entité change de système de gestion local</t>
        </is>
      </c>
      <c r="J1415" s="309" t="inlineStr">
        <is>
          <t>Keeps the ID of mitigant received at origination when the entity changes the local management system</t>
        </is>
      </c>
      <c r="K1415" s="370" t="inlineStr">
        <is>
          <t>ND</t>
        </is>
      </c>
      <c r="L1415" s="371" t="inlineStr">
        <is>
          <t>ND</t>
        </is>
      </c>
      <c r="M1415" s="1420" t="inlineStr">
        <is>
          <t>IdSurRecueOri</t>
        </is>
      </c>
      <c r="N1415" s="231" t="inlineStr">
        <is>
          <t>Facultatif</t>
        </is>
      </c>
      <c r="O1415" s="236" t="inlineStr">
        <is>
          <t>Optional</t>
        </is>
      </c>
      <c r="P1415" s="269" t="inlineStr">
        <is>
          <t>NA</t>
        </is>
      </c>
      <c r="Q1415" s="269" t="inlineStr">
        <is>
          <t>NA</t>
        </is>
      </c>
      <c r="R1415" s="241" t="inlineStr">
        <is>
          <t>NA</t>
        </is>
      </c>
      <c r="S1415" s="309" t="inlineStr">
        <is>
          <t>NA</t>
        </is>
      </c>
      <c r="T1415" s="313" t="inlineStr">
        <is>
          <t>ALPHA</t>
        </is>
      </c>
      <c r="U1415" s="237" t="inlineStr">
        <is>
          <t>NA</t>
        </is>
      </c>
      <c r="V1415" s="238" t="inlineStr">
        <is>
          <t>NA</t>
        </is>
      </c>
      <c r="W1415" s="257" t="n">
        <v>40</v>
      </c>
      <c r="X1415" s="945" t="inlineStr">
        <is>
          <t>NA</t>
        </is>
      </c>
      <c r="Y1415" s="237" t="n">
        <v>43</v>
      </c>
      <c r="Z1415" s="237" t="inlineStr">
        <is>
          <t>NA</t>
        </is>
      </c>
      <c r="AA1415" s="239" t="inlineStr">
        <is>
          <t>NA</t>
        </is>
      </c>
      <c r="AB1415" s="269" t="inlineStr">
        <is>
          <t>ANACREDIT</t>
        </is>
      </c>
      <c r="AC1415" s="231" t="inlineStr">
        <is>
          <t>ND</t>
        </is>
      </c>
      <c r="AD1415" s="257" t="inlineStr">
        <is>
          <t>N</t>
        </is>
      </c>
      <c r="AE1415" s="257" t="inlineStr">
        <is>
          <t>SEC-CAS-COL
IAS
GUA-CDE
INS
REE-TAS</t>
        </is>
      </c>
      <c r="AF1415" s="257" t="inlineStr">
        <is>
          <t>NA</t>
        </is>
      </c>
      <c r="AG1415" s="258" t="inlineStr">
        <is>
          <t>NA</t>
        </is>
      </c>
      <c r="AH1415" s="89" t="n"/>
      <c r="AI1415" s="316" t="n"/>
      <c r="AJ1415" s="317" t="n"/>
      <c r="AK1415" s="257" t="n"/>
      <c r="AL1415" s="258" t="n"/>
      <c r="AM1415" s="318" t="n"/>
      <c r="AN1415" s="317" t="n"/>
      <c r="AO1415" s="257" t="n"/>
      <c r="AP1415" s="258" t="n"/>
      <c r="AQ1415" s="318" t="n"/>
      <c r="AR1415" s="317" t="n"/>
      <c r="AS1415" s="257" t="n"/>
      <c r="AT1415" s="258" t="n"/>
      <c r="AU1415" s="318" t="n"/>
      <c r="AV1415" s="317" t="n"/>
      <c r="AW1415" s="257" t="n"/>
      <c r="AX1415" s="258" t="n"/>
      <c r="AY1415" s="318" t="n"/>
      <c r="AZ1415" s="317" t="n"/>
      <c r="BA1415" s="257" t="n"/>
      <c r="BB1415" s="258" t="n"/>
      <c r="BC1415" s="316" t="n"/>
      <c r="BD1415" s="317" t="n"/>
      <c r="BE1415" s="257" t="n"/>
      <c r="BF1415" s="258" t="n"/>
      <c r="BG1415" s="89" t="n"/>
      <c r="BH141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15">
        <f>_xlfn.LET(r,ROW(),oc,INDEX($A:$A,r),cv,TRIM(INDEX($Y:$Y,r)&amp;""),IF(oc&lt;&gt;"P1","",IF(cv="45","V45 - novo, nao alimentado pelo spool atual","V44 - alimentado pelo spool atual")))</f>
        <v/>
      </c>
    </row>
    <row r="1416" ht="54" customFormat="1" customHeight="1" s="90">
      <c r="A1416" s="306" t="inlineStr">
        <is>
          <t>M1</t>
        </is>
      </c>
      <c r="B1416" s="307" t="n">
        <v>121</v>
      </c>
      <c r="C1416" s="269" t="inlineStr">
        <is>
          <t>27 - Caractéristiques extra-financière</t>
        </is>
      </c>
      <c r="D1416" s="236" t="inlineStr">
        <is>
          <t>27 - Extra-financial caracteristics</t>
        </is>
      </c>
      <c r="E1416" s="307" t="inlineStr">
        <is>
          <t>M1 8.53</t>
        </is>
      </c>
      <c r="F1416" s="683" t="inlineStr">
        <is>
          <t>Localisation du bien principal : Numéro et libellé de la voie</t>
        </is>
      </c>
      <c r="G1416" s="309" t="inlineStr">
        <is>
          <t>Location of the principal asset: Number and street name</t>
        </is>
      </c>
      <c r="H1416" s="309" t="n"/>
      <c r="I1416" s="241" t="inlineStr">
        <is>
          <t>Localisation physique géographique du bien immobilier apporté en garantie, pour déterminer le risque auquel est soumis le bien</t>
        </is>
      </c>
      <c r="J1416" s="309" t="inlineStr">
        <is>
          <t>Physical geographical position of the real estate property received as a guarantee, to determine the risk the property is exposed</t>
        </is>
      </c>
      <c r="K1416" s="370" t="inlineStr">
        <is>
          <t>ND</t>
        </is>
      </c>
      <c r="L1416" s="371" t="inlineStr">
        <is>
          <t>ND</t>
        </is>
      </c>
      <c r="M1416" s="1420" t="inlineStr">
        <is>
          <t>descAdrBien</t>
        </is>
      </c>
      <c r="N1416" s="231" t="inlineStr">
        <is>
          <t>Facultatif</t>
        </is>
      </c>
      <c r="O1416" s="236" t="inlineStr">
        <is>
          <t>Optional</t>
        </is>
      </c>
      <c r="P1416" s="269" t="inlineStr">
        <is>
          <t>NA</t>
        </is>
      </c>
      <c r="Q1416" s="269" t="inlineStr">
        <is>
          <t>NA</t>
        </is>
      </c>
      <c r="R1416" s="1249" t="inlineStr">
        <is>
          <t>S'il n'est pas possible de splitter l'adresse du bien sur les champs (M1 8.53, M1 8.54, M1 8.55, M1 8.56, M1 8.57 et M1 8.58), l'adresse complète pourra être renseignée au niveau de ce champ</t>
        </is>
      </c>
      <c r="S1416" s="309" t="inlineStr">
        <is>
          <t>If it is not possible to split the property address over the fields (M1 8.53, M1 8.54, M1 8.55, M1 8.56, M1 8.57 and M1 8.58), the complete address can be entered in this field</t>
        </is>
      </c>
      <c r="T1416" s="313" t="inlineStr">
        <is>
          <t>ALPHA</t>
        </is>
      </c>
      <c r="U1416" s="237" t="inlineStr">
        <is>
          <t>NA</t>
        </is>
      </c>
      <c r="V1416" s="238" t="inlineStr">
        <is>
          <t>NA</t>
        </is>
      </c>
      <c r="W1416" s="257" t="n">
        <v>40</v>
      </c>
      <c r="X1416" s="945" t="inlineStr">
        <is>
          <t>NA</t>
        </is>
      </c>
      <c r="Y1416" s="237" t="n">
        <v>43</v>
      </c>
      <c r="Z1416" s="237" t="inlineStr">
        <is>
          <t>NA</t>
        </is>
      </c>
      <c r="AA1416" s="270" t="inlineStr">
        <is>
          <t>NA</t>
        </is>
      </c>
      <c r="AB1416" s="269" t="inlineStr">
        <is>
          <t>ESG PILIER 3, LOAN TAPE, RISQUE PHYSIQUE</t>
        </is>
      </c>
      <c r="AC1416" s="231" t="inlineStr">
        <is>
          <t>ND</t>
        </is>
      </c>
      <c r="AD1416" s="257" t="inlineStr">
        <is>
          <t>N</t>
        </is>
      </c>
      <c r="AE1416" s="257" t="inlineStr">
        <is>
          <t>REE-TAS</t>
        </is>
      </c>
      <c r="AF1416" s="257" t="inlineStr">
        <is>
          <t>NA</t>
        </is>
      </c>
      <c r="AG1416" s="258" t="inlineStr">
        <is>
          <t>NA</t>
        </is>
      </c>
      <c r="AH1416" s="89" t="n"/>
      <c r="AI1416" s="316" t="n"/>
      <c r="AJ1416" s="317" t="n"/>
      <c r="AK1416" s="257" t="n"/>
      <c r="AL1416" s="366" t="n"/>
      <c r="AM1416" s="318" t="n"/>
      <c r="AN1416" s="317" t="n"/>
      <c r="AO1416" s="257" t="n"/>
      <c r="AP1416" s="258" t="n"/>
      <c r="AQ1416" s="318" t="n"/>
      <c r="AR1416" s="317" t="n"/>
      <c r="AS1416" s="257" t="n"/>
      <c r="AT1416" s="258" t="n"/>
      <c r="AU1416" s="318" t="n"/>
      <c r="AV1416" s="317" t="n"/>
      <c r="AW1416" s="257" t="n"/>
      <c r="AX1416" s="258" t="n"/>
      <c r="AY1416" s="318" t="n"/>
      <c r="AZ1416" s="317" t="n"/>
      <c r="BA1416" s="257" t="n"/>
      <c r="BB1416" s="258" t="n"/>
      <c r="BC1416" s="316" t="n"/>
      <c r="BD1416" s="317" t="n"/>
      <c r="BE1416" s="257" t="n"/>
      <c r="BF1416" s="258" t="n"/>
      <c r="BG1416" s="89" t="n"/>
      <c r="BH141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16">
        <f>_xlfn.LET(r,ROW(),oc,INDEX($A:$A,r),cv,TRIM(INDEX($Y:$Y,r)&amp;""),IF(oc&lt;&gt;"P1","",IF(cv="45","V45 - novo, nao alimentado pelo spool atual","V44 - alimentado pelo spool atual")))</f>
        <v/>
      </c>
    </row>
    <row r="1417" ht="54" customFormat="1" customHeight="1" s="90">
      <c r="A1417" s="306" t="inlineStr">
        <is>
          <t>M1</t>
        </is>
      </c>
      <c r="B1417" s="307" t="n">
        <v>122</v>
      </c>
      <c r="C1417" s="269" t="inlineStr">
        <is>
          <t>27 - Caractéristiques extra-financière</t>
        </is>
      </c>
      <c r="D1417" s="236" t="inlineStr">
        <is>
          <t>27 - Extra-financial caracteristics</t>
        </is>
      </c>
      <c r="E1417" s="307" t="inlineStr">
        <is>
          <t>M1 8.54</t>
        </is>
      </c>
      <c r="F1417" s="683" t="inlineStr">
        <is>
          <t>Localisation du bien principal : Complément d'adresse</t>
        </is>
      </c>
      <c r="G1417" s="309" t="inlineStr">
        <is>
          <t>Location of the principal asset: Additional address</t>
        </is>
      </c>
      <c r="H1417" s="309" t="n"/>
      <c r="I1417" s="876" t="inlineStr">
        <is>
          <t>Localisation physique géographique du bien immobilier apporté en garantie, pour déterminer le risque auquel est soumis le bien</t>
        </is>
      </c>
      <c r="J1417" s="309" t="inlineStr">
        <is>
          <t>Physical geographical position of the real estate property received as a collateral, to determine the risk the property is exposed</t>
        </is>
      </c>
      <c r="K1417" s="370" t="inlineStr">
        <is>
          <t>ND</t>
        </is>
      </c>
      <c r="L1417" s="371" t="inlineStr">
        <is>
          <t>ND</t>
        </is>
      </c>
      <c r="M1417" s="1420" t="inlineStr">
        <is>
          <t>descAdrCompBien</t>
        </is>
      </c>
      <c r="N1417" s="231" t="inlineStr">
        <is>
          <t>Facultatif</t>
        </is>
      </c>
      <c r="O1417" s="236" t="inlineStr">
        <is>
          <t>Optional</t>
        </is>
      </c>
      <c r="P1417" s="269" t="inlineStr">
        <is>
          <t>NA</t>
        </is>
      </c>
      <c r="Q1417" s="269" t="inlineStr">
        <is>
          <t>NA</t>
        </is>
      </c>
      <c r="R1417" s="241" t="inlineStr">
        <is>
          <t>NA</t>
        </is>
      </c>
      <c r="S1417" s="309" t="inlineStr">
        <is>
          <t>NA</t>
        </is>
      </c>
      <c r="T1417" s="313" t="inlineStr">
        <is>
          <t>ALPHA</t>
        </is>
      </c>
      <c r="U1417" s="237" t="inlineStr">
        <is>
          <t>NA</t>
        </is>
      </c>
      <c r="V1417" s="238" t="inlineStr">
        <is>
          <t>NA</t>
        </is>
      </c>
      <c r="W1417" s="257" t="n">
        <v>40</v>
      </c>
      <c r="X1417" s="945" t="inlineStr">
        <is>
          <t>NA</t>
        </is>
      </c>
      <c r="Y1417" s="237" t="n">
        <v>43</v>
      </c>
      <c r="Z1417" s="237" t="inlineStr">
        <is>
          <t>NA</t>
        </is>
      </c>
      <c r="AA1417" s="270" t="inlineStr">
        <is>
          <t>NA</t>
        </is>
      </c>
      <c r="AB1417" s="269" t="inlineStr">
        <is>
          <t>ESG PILIER 3, LOAN TAPE, RISQUE PHYSIQUE</t>
        </is>
      </c>
      <c r="AC1417" s="231" t="inlineStr">
        <is>
          <t>ND</t>
        </is>
      </c>
      <c r="AD1417" s="257" t="inlineStr">
        <is>
          <t>N</t>
        </is>
      </c>
      <c r="AE1417" s="257" t="inlineStr">
        <is>
          <t>REE-TAS</t>
        </is>
      </c>
      <c r="AF1417" s="257" t="inlineStr">
        <is>
          <t>NA</t>
        </is>
      </c>
      <c r="AG1417" s="258" t="inlineStr">
        <is>
          <t>NA</t>
        </is>
      </c>
      <c r="AH1417" s="89" t="n"/>
      <c r="AI1417" s="316" t="n"/>
      <c r="AJ1417" s="317" t="n"/>
      <c r="AK1417" s="257" t="n"/>
      <c r="AL1417" s="469" t="n"/>
      <c r="AM1417" s="318" t="n"/>
      <c r="AN1417" s="317" t="n"/>
      <c r="AO1417" s="257" t="n"/>
      <c r="AP1417" s="258" t="n"/>
      <c r="AQ1417" s="318" t="n"/>
      <c r="AR1417" s="317" t="n"/>
      <c r="AS1417" s="257" t="n"/>
      <c r="AT1417" s="258" t="n"/>
      <c r="AU1417" s="318" t="n"/>
      <c r="AV1417" s="317" t="n"/>
      <c r="AW1417" s="257" t="n"/>
      <c r="AX1417" s="258" t="n"/>
      <c r="AY1417" s="318" t="n"/>
      <c r="AZ1417" s="317" t="n"/>
      <c r="BA1417" s="257" t="n"/>
      <c r="BB1417" s="258" t="n"/>
      <c r="BC1417" s="316" t="n"/>
      <c r="BD1417" s="317" t="n"/>
      <c r="BE1417" s="257" t="n"/>
      <c r="BF1417" s="258" t="n"/>
      <c r="BG1417" s="89" t="n"/>
      <c r="BH141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17">
        <f>_xlfn.LET(r,ROW(),oc,INDEX($A:$A,r),cv,TRIM(INDEX($Y:$Y,r)&amp;""),IF(oc&lt;&gt;"P1","",IF(cv="45","V45 - novo, nao alimentado pelo spool atual","V44 - alimentado pelo spool atual")))</f>
        <v/>
      </c>
    </row>
    <row r="1418" ht="54" customFormat="1" customHeight="1" s="90">
      <c r="A1418" s="306" t="inlineStr">
        <is>
          <t>M1</t>
        </is>
      </c>
      <c r="B1418" s="307" t="n">
        <v>123</v>
      </c>
      <c r="C1418" s="269" t="inlineStr">
        <is>
          <t>27 - Caractéristiques extra-financière</t>
        </is>
      </c>
      <c r="D1418" s="236" t="inlineStr">
        <is>
          <t>27 - Extra-financial caracteristics</t>
        </is>
      </c>
      <c r="E1418" s="307" t="inlineStr">
        <is>
          <t>M1 8.55</t>
        </is>
      </c>
      <c r="F1418" s="683" t="inlineStr">
        <is>
          <t>Localisation du bien principal : Lieu-dit / Service particulier de distribution</t>
        </is>
      </c>
      <c r="G1418" s="309" t="inlineStr">
        <is>
          <t xml:space="preserve">Location of the principal asset: Locality / special delivery service </t>
        </is>
      </c>
      <c r="H1418" s="309" t="n"/>
      <c r="I1418" s="308" t="inlineStr">
        <is>
          <t>Localisation physique géographique du bien immobilier apporté en garantie, pour déterminer le risque auquel est soumis le bien</t>
        </is>
      </c>
      <c r="J1418" s="309" t="inlineStr">
        <is>
          <t>Physical geographical position of the real estate property received as a collateral, to determine the risk the property is exposed</t>
        </is>
      </c>
      <c r="K1418" s="370" t="inlineStr">
        <is>
          <t>ND</t>
        </is>
      </c>
      <c r="L1418" s="371" t="inlineStr">
        <is>
          <t>ND</t>
        </is>
      </c>
      <c r="M1418" s="1420" t="inlineStr">
        <is>
          <t>descAdrLDBien</t>
        </is>
      </c>
      <c r="N1418" s="231" t="inlineStr">
        <is>
          <t>Facultatif</t>
        </is>
      </c>
      <c r="O1418" s="236" t="inlineStr">
        <is>
          <t>Optional</t>
        </is>
      </c>
      <c r="P1418" s="269" t="inlineStr">
        <is>
          <t>NA</t>
        </is>
      </c>
      <c r="Q1418" s="269" t="inlineStr">
        <is>
          <t>NA</t>
        </is>
      </c>
      <c r="R1418" s="241" t="inlineStr">
        <is>
          <t>NA</t>
        </is>
      </c>
      <c r="S1418" s="489" t="inlineStr">
        <is>
          <t>NA</t>
        </is>
      </c>
      <c r="T1418" s="313" t="inlineStr">
        <is>
          <t>ALPHA</t>
        </is>
      </c>
      <c r="U1418" s="237" t="inlineStr">
        <is>
          <t>NA</t>
        </is>
      </c>
      <c r="V1418" s="238" t="inlineStr">
        <is>
          <t>NA</t>
        </is>
      </c>
      <c r="W1418" s="257" t="n">
        <v>40</v>
      </c>
      <c r="X1418" s="945" t="inlineStr">
        <is>
          <t>NA</t>
        </is>
      </c>
      <c r="Y1418" s="237" t="n">
        <v>43</v>
      </c>
      <c r="Z1418" s="237" t="inlineStr">
        <is>
          <t>NA</t>
        </is>
      </c>
      <c r="AA1418" s="270" t="inlineStr">
        <is>
          <t>NA</t>
        </is>
      </c>
      <c r="AB1418" s="269" t="inlineStr">
        <is>
          <t>ESG PILIER 3, LOAN TAPE, RISQUE PHYSIQUE</t>
        </is>
      </c>
      <c r="AC1418" s="231" t="inlineStr">
        <is>
          <t>ND</t>
        </is>
      </c>
      <c r="AD1418" s="257" t="inlineStr">
        <is>
          <t>N</t>
        </is>
      </c>
      <c r="AE1418" s="257" t="inlineStr">
        <is>
          <t>REE-TAS</t>
        </is>
      </c>
      <c r="AF1418" s="257" t="inlineStr">
        <is>
          <t>NA</t>
        </is>
      </c>
      <c r="AG1418" s="258" t="inlineStr">
        <is>
          <t>NA</t>
        </is>
      </c>
      <c r="AH1418" s="89" t="n"/>
      <c r="AI1418" s="316" t="n"/>
      <c r="AJ1418" s="317" t="n"/>
      <c r="AK1418" s="257" t="n"/>
      <c r="AL1418" s="258" t="n"/>
      <c r="AM1418" s="318" t="n"/>
      <c r="AN1418" s="317" t="n"/>
      <c r="AO1418" s="257" t="n"/>
      <c r="AP1418" s="258" t="n"/>
      <c r="AQ1418" s="318" t="n"/>
      <c r="AR1418" s="317" t="n"/>
      <c r="AS1418" s="257" t="n"/>
      <c r="AT1418" s="258" t="n"/>
      <c r="AU1418" s="318" t="n"/>
      <c r="AV1418" s="317" t="n"/>
      <c r="AW1418" s="257" t="n"/>
      <c r="AX1418" s="258" t="n"/>
      <c r="AY1418" s="318" t="n"/>
      <c r="AZ1418" s="317" t="n"/>
      <c r="BA1418" s="257" t="n"/>
      <c r="BB1418" s="258" t="n"/>
      <c r="BC1418" s="316" t="n"/>
      <c r="BD1418" s="317" t="n"/>
      <c r="BE1418" s="257" t="n"/>
      <c r="BF1418" s="258" t="n"/>
      <c r="BG1418" s="89" t="n"/>
      <c r="BH141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18">
        <f>_xlfn.LET(r,ROW(),oc,INDEX($A:$A,r),cv,TRIM(INDEX($Y:$Y,r)&amp;""),IF(oc&lt;&gt;"P1","",IF(cv="45","V45 - novo, nao alimentado pelo spool atual","V44 - alimentado pelo spool atual")))</f>
        <v/>
      </c>
    </row>
    <row r="1419" ht="54" customFormat="1" customHeight="1" s="90">
      <c r="A1419" s="306" t="inlineStr">
        <is>
          <t>M1</t>
        </is>
      </c>
      <c r="B1419" s="307" t="n">
        <v>124</v>
      </c>
      <c r="C1419" s="269" t="inlineStr">
        <is>
          <t>27 - Caractéristiques extra-financière</t>
        </is>
      </c>
      <c r="D1419" s="236" t="inlineStr">
        <is>
          <t>27 - Extra-financial caracteristics</t>
        </is>
      </c>
      <c r="E1419" s="307" t="inlineStr">
        <is>
          <t>M1 8.56</t>
        </is>
      </c>
      <c r="F1419" s="683" t="inlineStr">
        <is>
          <t>Localisation du bien principal : Code postal (ou code ZIP)</t>
        </is>
      </c>
      <c r="G1419" s="309" t="inlineStr">
        <is>
          <t>Location of the principal asset: Postcode (or ZIP code)</t>
        </is>
      </c>
      <c r="H1419" s="309" t="n"/>
      <c r="I1419" s="308" t="inlineStr">
        <is>
          <t>Localisation physique géographique du bien immobilier apporté en garantie, pour déterminer le risque auquel est soumis le bien</t>
        </is>
      </c>
      <c r="J1419" s="309" t="inlineStr">
        <is>
          <t>Physical geographical position of the real estate property received as a collateral, to determine the risk the property is exposed</t>
        </is>
      </c>
      <c r="K1419" s="370" t="inlineStr">
        <is>
          <t>ND</t>
        </is>
      </c>
      <c r="L1419" s="371" t="inlineStr">
        <is>
          <t>ND</t>
        </is>
      </c>
      <c r="M1419" s="1420" t="inlineStr">
        <is>
          <t>cdCPBien</t>
        </is>
      </c>
      <c r="N1419" s="231" t="inlineStr">
        <is>
          <t>Obligatoire sous conditions</t>
        </is>
      </c>
      <c r="O1419" s="236" t="inlineStr">
        <is>
          <t>Mandatory under conditions</t>
        </is>
      </c>
      <c r="P1419" s="269" t="inlineStr">
        <is>
          <t>LC.0369</t>
        </is>
      </c>
      <c r="Q1419" s="269" t="inlineStr">
        <is>
          <t>TA COMU0001 à COMU0098</t>
        </is>
      </c>
      <c r="R1419" s="241" t="inlineStr">
        <is>
          <t>NA</t>
        </is>
      </c>
      <c r="S1419" s="489" t="inlineStr">
        <is>
          <t>NA</t>
        </is>
      </c>
      <c r="T1419" s="313" t="inlineStr">
        <is>
          <t>ALPHA</t>
        </is>
      </c>
      <c r="U1419" s="237" t="inlineStr">
        <is>
          <t>NA</t>
        </is>
      </c>
      <c r="V1419" s="238" t="inlineStr">
        <is>
          <t>NA</t>
        </is>
      </c>
      <c r="W1419" s="257" t="n">
        <v>15</v>
      </c>
      <c r="X1419" s="945" t="inlineStr">
        <is>
          <t>NA</t>
        </is>
      </c>
      <c r="Y1419" s="237" t="n">
        <v>43</v>
      </c>
      <c r="Z1419" s="237" t="inlineStr">
        <is>
          <t>NA</t>
        </is>
      </c>
      <c r="AA1419" s="270" t="inlineStr">
        <is>
          <t>NA</t>
        </is>
      </c>
      <c r="AB1419" s="269" t="inlineStr">
        <is>
          <t>ESG PILIER 3, LOAN TAPE, RISQUE PHYSIQUE</t>
        </is>
      </c>
      <c r="AC1419" s="231" t="inlineStr">
        <is>
          <t>ND</t>
        </is>
      </c>
      <c r="AD1419" s="257" t="inlineStr">
        <is>
          <t>N</t>
        </is>
      </c>
      <c r="AE1419" s="257" t="inlineStr">
        <is>
          <t>REE-TAS</t>
        </is>
      </c>
      <c r="AF1419" s="257" t="inlineStr">
        <is>
          <t>NA</t>
        </is>
      </c>
      <c r="AG1419" s="258" t="inlineStr">
        <is>
          <t>NA</t>
        </is>
      </c>
      <c r="AH1419" s="89" t="n"/>
      <c r="AI1419" s="316" t="inlineStr">
        <is>
          <t>La donnée est obligatoire si la nature de la sûreté juridique [M1 5.1] = 'REE01xx' et si la donnée usage du bien immobilier apporté en garantie [M1 8.42] = '1' ou '2'</t>
        </is>
      </c>
      <c r="AJ1419" s="317" t="inlineStr">
        <is>
          <t>The data is mandatory if the nature of the legal security [M1 5.1] = 'REE01xx' and if the data use of the immovable property brought into guarantee [M1 8.42] = '1' or '2'</t>
        </is>
      </c>
      <c r="AK1419" s="257" t="n">
        <v>6</v>
      </c>
      <c r="AL1419" s="366" t="inlineStr">
        <is>
          <t>TPS0724</t>
        </is>
      </c>
      <c r="AM1419" s="318" t="inlineStr">
        <is>
          <t>Si Localisation du bien principal : Pays [M1 8.58] = 'FR', alors la valeur renseignée doit être connue du Langage Commun (colonne RQCDPOST)</t>
        </is>
      </c>
      <c r="AN1419" s="377" t="inlineStr">
        <is>
          <t>If Location of the principal asset: Country [M1 8.58] = 'FR', then the value filled must be known to the Common Language (column RQCDPOST)</t>
        </is>
      </c>
      <c r="AO1419" s="257" t="n">
        <v>7</v>
      </c>
      <c r="AP1419" s="877" t="inlineStr">
        <is>
          <t>TI0085</t>
        </is>
      </c>
      <c r="AQ1419" s="318" t="n"/>
      <c r="AR1419" s="317" t="n"/>
      <c r="AS1419" s="257" t="n"/>
      <c r="AT1419" s="258" t="n"/>
      <c r="AU1419" s="318" t="n"/>
      <c r="AV1419" s="317" t="n"/>
      <c r="AW1419" s="257" t="n"/>
      <c r="AX1419" s="258" t="n"/>
      <c r="AY1419" s="318" t="n"/>
      <c r="AZ1419" s="317" t="n"/>
      <c r="BA1419" s="257" t="n"/>
      <c r="BB1419" s="258" t="n"/>
      <c r="BC1419" s="316" t="n"/>
      <c r="BD1419" s="317" t="n"/>
      <c r="BE1419" s="257" t="n"/>
      <c r="BF1419" s="258" t="n"/>
      <c r="BG1419" s="89" t="n"/>
      <c r="BH141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19">
        <f>_xlfn.LET(r,ROW(),oc,INDEX($A:$A,r),cv,TRIM(INDEX($Y:$Y,r)&amp;""),IF(oc&lt;&gt;"P1","",IF(cv="45","V45 - novo, nao alimentado pelo spool atual","V44 - alimentado pelo spool atual")))</f>
        <v/>
      </c>
    </row>
    <row r="1420" ht="54" customFormat="1" customHeight="1" s="90">
      <c r="A1420" s="306" t="inlineStr">
        <is>
          <t>M1</t>
        </is>
      </c>
      <c r="B1420" s="307" t="n">
        <v>125</v>
      </c>
      <c r="C1420" s="269" t="inlineStr">
        <is>
          <t>27 - Caractéristiques extra-financière</t>
        </is>
      </c>
      <c r="D1420" s="236" t="inlineStr">
        <is>
          <t>27 - Extra-financial caracteristics</t>
        </is>
      </c>
      <c r="E1420" s="307" t="inlineStr">
        <is>
          <t>M1 8.57</t>
        </is>
      </c>
      <c r="F1420" s="683" t="inlineStr">
        <is>
          <t>Localisation du bien principal : Nom de la commune</t>
        </is>
      </c>
      <c r="G1420" s="309" t="inlineStr">
        <is>
          <t>Location of the principal asset: Name of the town</t>
        </is>
      </c>
      <c r="H1420" s="309" t="n"/>
      <c r="I1420" s="308" t="inlineStr">
        <is>
          <t>Localisation physique géographique du bien immobilier apporté en garantie, pour déterminer le risque auquel est soumis le bien</t>
        </is>
      </c>
      <c r="J1420" s="309" t="inlineStr">
        <is>
          <t>Physical geographical position of the real estate property received as a collateral, to determine the risk the property is exposed</t>
        </is>
      </c>
      <c r="K1420" s="370" t="inlineStr">
        <is>
          <t>ND</t>
        </is>
      </c>
      <c r="L1420" s="371" t="inlineStr">
        <is>
          <t>ND</t>
        </is>
      </c>
      <c r="M1420" s="1420" t="inlineStr">
        <is>
          <t>descComBien</t>
        </is>
      </c>
      <c r="N1420" s="231" t="inlineStr">
        <is>
          <t>Facultatif</t>
        </is>
      </c>
      <c r="O1420" s="236" t="inlineStr">
        <is>
          <t>Optional</t>
        </is>
      </c>
      <c r="P1420" s="269" t="inlineStr">
        <is>
          <t>LC.0369</t>
        </is>
      </c>
      <c r="Q1420" s="269" t="inlineStr">
        <is>
          <t>TA COMU0001 à COMU0098</t>
        </is>
      </c>
      <c r="R1420" s="241" t="inlineStr">
        <is>
          <t>NA</t>
        </is>
      </c>
      <c r="S1420" s="489" t="inlineStr">
        <is>
          <t>NA</t>
        </is>
      </c>
      <c r="T1420" s="313" t="inlineStr">
        <is>
          <t>ALPHA</t>
        </is>
      </c>
      <c r="U1420" s="237" t="inlineStr">
        <is>
          <t>NA</t>
        </is>
      </c>
      <c r="V1420" s="238" t="inlineStr">
        <is>
          <t>NA</t>
        </is>
      </c>
      <c r="W1420" s="257" t="n">
        <v>40</v>
      </c>
      <c r="X1420" s="945" t="inlineStr">
        <is>
          <t>NA</t>
        </is>
      </c>
      <c r="Y1420" s="237" t="n">
        <v>43</v>
      </c>
      <c r="Z1420" s="237" t="inlineStr">
        <is>
          <t>NA</t>
        </is>
      </c>
      <c r="AA1420" s="270" t="inlineStr">
        <is>
          <t>NA</t>
        </is>
      </c>
      <c r="AB1420" s="269" t="inlineStr">
        <is>
          <t>ESG PILIER 3, LOAN TAPE, RISQUE PHYSIQUE</t>
        </is>
      </c>
      <c r="AC1420" s="231" t="inlineStr">
        <is>
          <t>ND</t>
        </is>
      </c>
      <c r="AD1420" s="257" t="inlineStr">
        <is>
          <t>N</t>
        </is>
      </c>
      <c r="AE1420" s="257" t="inlineStr">
        <is>
          <t>REE-TAS</t>
        </is>
      </c>
      <c r="AF1420" s="257" t="inlineStr">
        <is>
          <t>NA</t>
        </is>
      </c>
      <c r="AG1420" s="258" t="inlineStr">
        <is>
          <t>NA</t>
        </is>
      </c>
      <c r="AH1420" s="89" t="n"/>
      <c r="AI1420" s="878" t="n"/>
      <c r="AJ1420" s="317" t="n"/>
      <c r="AK1420" s="257" t="n"/>
      <c r="AL1420" s="366" t="n"/>
      <c r="AM1420" s="318" t="n"/>
      <c r="AN1420" s="317" t="n"/>
      <c r="AO1420" s="257" t="n"/>
      <c r="AP1420" s="258" t="n"/>
      <c r="AQ1420" s="318" t="n"/>
      <c r="AR1420" s="317" t="n"/>
      <c r="AS1420" s="257" t="n"/>
      <c r="AT1420" s="258" t="n"/>
      <c r="AU1420" s="318" t="n"/>
      <c r="AV1420" s="317" t="n"/>
      <c r="AW1420" s="257" t="n"/>
      <c r="AX1420" s="258" t="n"/>
      <c r="AY1420" s="318" t="n"/>
      <c r="AZ1420" s="317" t="n"/>
      <c r="BA1420" s="257" t="n"/>
      <c r="BB1420" s="258" t="n"/>
      <c r="BC1420" s="316" t="n"/>
      <c r="BD1420" s="317" t="n"/>
      <c r="BE1420" s="257" t="n"/>
      <c r="BF1420" s="258" t="n"/>
      <c r="BG1420" s="89" t="n"/>
      <c r="BH142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20">
        <f>_xlfn.LET(r,ROW(),oc,INDEX($A:$A,r),cv,TRIM(INDEX($Y:$Y,r)&amp;""),IF(oc&lt;&gt;"P1","",IF(cv="45","V45 - novo, nao alimentado pelo spool atual","V44 - alimentado pelo spool atual")))</f>
        <v/>
      </c>
    </row>
    <row r="1421" ht="54" customFormat="1" customHeight="1" s="90">
      <c r="A1421" s="306" t="inlineStr">
        <is>
          <t>M1</t>
        </is>
      </c>
      <c r="B1421" s="307" t="n">
        <v>126</v>
      </c>
      <c r="C1421" s="269" t="inlineStr">
        <is>
          <t>27 - Caractéristiques extra-financière</t>
        </is>
      </c>
      <c r="D1421" s="236" t="inlineStr">
        <is>
          <t>27 - Extra-financial caracteristics</t>
        </is>
      </c>
      <c r="E1421" s="307" t="inlineStr">
        <is>
          <t>M1 8.58</t>
        </is>
      </c>
      <c r="F1421" s="683" t="inlineStr">
        <is>
          <t>Localisation du bien principal : Pays</t>
        </is>
      </c>
      <c r="G1421" s="309" t="inlineStr">
        <is>
          <t>Location of the principal asset: Country</t>
        </is>
      </c>
      <c r="H1421" s="309" t="n"/>
      <c r="I1421" s="308" t="inlineStr">
        <is>
          <t>Localisation physique géographique du bien immobilier apporté en garantie, pour déterminer le risque auquel est soumis le bien</t>
        </is>
      </c>
      <c r="J1421" s="309" t="inlineStr">
        <is>
          <t>Physical geographical position of the real estate property received as a collateral, to determine the risk the property is exposed</t>
        </is>
      </c>
      <c r="K1421" s="370" t="inlineStr">
        <is>
          <t>ND</t>
        </is>
      </c>
      <c r="L1421" s="371" t="inlineStr">
        <is>
          <t>ND</t>
        </is>
      </c>
      <c r="M1421" s="1420" t="inlineStr">
        <is>
          <t>descPay</t>
        </is>
      </c>
      <c r="N1421" s="231" t="inlineStr">
        <is>
          <t>Obligatoire sous conditions</t>
        </is>
      </c>
      <c r="O1421" s="236" t="inlineStr">
        <is>
          <t>Mandatory under conditions</t>
        </is>
      </c>
      <c r="P1421" s="269" t="inlineStr">
        <is>
          <t>LC.0004
LC.0273</t>
        </is>
      </c>
      <c r="Q1421" s="269" t="inlineStr">
        <is>
          <t>TA NM252 (pour la partie ISO 3166)
TA NM258 (organisation supra nationales)</t>
        </is>
      </c>
      <c r="R1421" s="241" t="inlineStr">
        <is>
          <t>NA</t>
        </is>
      </c>
      <c r="S1421" s="489" t="inlineStr">
        <is>
          <t>NA</t>
        </is>
      </c>
      <c r="T1421" s="313" t="inlineStr">
        <is>
          <t>ALPHA</t>
        </is>
      </c>
      <c r="U1421" s="237" t="inlineStr">
        <is>
          <t>NA</t>
        </is>
      </c>
      <c r="V1421" s="238" t="inlineStr">
        <is>
          <t>NA</t>
        </is>
      </c>
      <c r="W1421" s="257" t="n">
        <v>2</v>
      </c>
      <c r="X1421" s="945" t="inlineStr">
        <is>
          <t>NA</t>
        </is>
      </c>
      <c r="Y1421" s="237" t="n">
        <v>43</v>
      </c>
      <c r="Z1421" s="237" t="inlineStr">
        <is>
          <t>NA</t>
        </is>
      </c>
      <c r="AA1421" s="283" t="inlineStr">
        <is>
          <t>NA</t>
        </is>
      </c>
      <c r="AB1421" s="269" t="inlineStr">
        <is>
          <t>ASTRE, ESG PILIER 3, LOAN TAPE, RISQUE PHYSIQUE</t>
        </is>
      </c>
      <c r="AC1421" s="231" t="inlineStr">
        <is>
          <t>ND</t>
        </is>
      </c>
      <c r="AD1421" s="257" t="inlineStr">
        <is>
          <t>N</t>
        </is>
      </c>
      <c r="AE1421" s="257" t="inlineStr">
        <is>
          <t>REE-TAS</t>
        </is>
      </c>
      <c r="AF1421" s="257" t="inlineStr">
        <is>
          <t>NA</t>
        </is>
      </c>
      <c r="AG1421" s="258" t="inlineStr">
        <is>
          <t>NA</t>
        </is>
      </c>
      <c r="AH1421" s="89" t="n"/>
      <c r="AI1421" s="316" t="inlineStr">
        <is>
          <t>La donnée est obligatoire si la nature de la sûreté juridique [M1 5.1] = 'REE01xx' et si la donnée usage du bien immobilier apporté en garantie [M1 8.42] = '1' ou '2'</t>
        </is>
      </c>
      <c r="AJ1421" s="317" t="inlineStr">
        <is>
          <t>The data is mandatory if the nature of the legal security [M1 5.1] = 'REE01xx' and if the data use of the immovable property brought into guarantee [M1 8.42] = '1' or '2'</t>
        </is>
      </c>
      <c r="AK1421" s="257" t="n">
        <v>6</v>
      </c>
      <c r="AL1421" s="366" t="inlineStr">
        <is>
          <t>TPS0724</t>
        </is>
      </c>
      <c r="AM1421" s="452" t="inlineStr">
        <is>
          <t>Si elle est renseignée, la valeur doit être connue du Langage Commun associé</t>
        </is>
      </c>
      <c r="AN1421" s="377" t="inlineStr">
        <is>
          <t>If specified, the value must be known to the associated Common Language</t>
        </is>
      </c>
      <c r="AO1421" s="257" t="n">
        <v>7</v>
      </c>
      <c r="AP1421" s="258" t="inlineStr">
        <is>
          <t>TIG0001</t>
        </is>
      </c>
      <c r="AQ1421" s="318" t="n"/>
      <c r="AR1421" s="317" t="n"/>
      <c r="AS1421" s="257" t="n"/>
      <c r="AT1421" s="258" t="n"/>
      <c r="AU1421" s="318" t="n"/>
      <c r="AV1421" s="317" t="n"/>
      <c r="AW1421" s="257" t="n"/>
      <c r="AX1421" s="258" t="n"/>
      <c r="AY1421" s="318" t="n"/>
      <c r="AZ1421" s="317" t="n"/>
      <c r="BA1421" s="257" t="n"/>
      <c r="BB1421" s="258" t="n"/>
      <c r="BC1421" s="316" t="n"/>
      <c r="BD1421" s="317" t="n"/>
      <c r="BE1421" s="257" t="n"/>
      <c r="BF1421" s="258" t="n"/>
      <c r="BG1421" s="89" t="n"/>
      <c r="BH142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21">
        <f>_xlfn.LET(r,ROW(),oc,INDEX($A:$A,r),cv,TRIM(INDEX($Y:$Y,r)&amp;""),IF(oc&lt;&gt;"P1","",IF(cv="45","V45 - novo, nao alimentado pelo spool atual","V44 - alimentado pelo spool atual")))</f>
        <v/>
      </c>
    </row>
    <row r="1422" ht="54" customFormat="1" customHeight="1" s="90">
      <c r="A1422" s="306" t="inlineStr">
        <is>
          <t>M1</t>
        </is>
      </c>
      <c r="B1422" s="307" t="n">
        <v>127</v>
      </c>
      <c r="C1422" s="269" t="inlineStr">
        <is>
          <t>03 - Caractéristiques Générales</t>
        </is>
      </c>
      <c r="D1422" s="236" t="inlineStr">
        <is>
          <t>03 - General characteristics</t>
        </is>
      </c>
      <c r="E1422" s="307" t="inlineStr">
        <is>
          <t>M1 8.59</t>
        </is>
      </c>
      <c r="F1422" s="361" t="inlineStr">
        <is>
          <t>Coordonnées GPS - Latitude</t>
        </is>
      </c>
      <c r="G1422" s="309" t="inlineStr">
        <is>
          <t>Coordinates GPS - Latitude</t>
        </is>
      </c>
      <c r="H1422" s="309" t="n"/>
      <c r="I1422" s="755" t="inlineStr">
        <is>
          <t>Latitude de la localisation géographique (GPS) exprimée en degrés décimaux (DD) du bien immobilier financé</t>
        </is>
      </c>
      <c r="J1422" s="309" t="inlineStr">
        <is>
          <t>Latitude of the geographical location (GPS) expressed in decimal degrees (DD) of the funded property</t>
        </is>
      </c>
      <c r="K1422" s="370" t="inlineStr">
        <is>
          <t>ND</t>
        </is>
      </c>
      <c r="L1422" s="371" t="inlineStr">
        <is>
          <t>ND</t>
        </is>
      </c>
      <c r="M1422" s="1420" t="inlineStr">
        <is>
          <t>cdGPSLat</t>
        </is>
      </c>
      <c r="N1422" s="231" t="inlineStr">
        <is>
          <t>Facultatif</t>
        </is>
      </c>
      <c r="O1422" s="236" t="inlineStr">
        <is>
          <t>Optional</t>
        </is>
      </c>
      <c r="P1422" s="269" t="inlineStr">
        <is>
          <t>NA</t>
        </is>
      </c>
      <c r="Q1422" s="269" t="inlineStr">
        <is>
          <t>NA</t>
        </is>
      </c>
      <c r="R1422" s="1249" t="inlineStr">
        <is>
          <t>Format : +-NN.DDDDDDD avec NN situé entre -90 et +90, selon la norme WGS84.
Les coordonnées GPS sont utilisées pour déterminer les sensibilités aux risques physiques à cette position.
Les coordonnées GPS sont requises si l'adresse du bien immobilier financé n'est pas renseignée</t>
        </is>
      </c>
      <c r="S1422" s="233" t="inlineStr">
        <is>
          <t>Format: +-NN.DDDDD with NN between -90 and +90, in accordance with WGS84.
GPS coordinates are used to determine sensitivity to physical risks at this position.
GPS coordinates are required if the address of the property financed is not provided</t>
        </is>
      </c>
      <c r="T1422" s="756" t="inlineStr">
        <is>
          <t>NUM</t>
        </is>
      </c>
      <c r="U1422" s="237" t="inlineStr">
        <is>
          <t>11 dont signe, séparateur et 7 décimales</t>
        </is>
      </c>
      <c r="V1422" s="238" t="inlineStr">
        <is>
          <t>11 including sign, separator and 7 decimals</t>
        </is>
      </c>
      <c r="W1422" s="257" t="n">
        <v>11</v>
      </c>
      <c r="X1422" s="945" t="inlineStr">
        <is>
          <t>NA</t>
        </is>
      </c>
      <c r="Y1422" s="237" t="n">
        <v>43</v>
      </c>
      <c r="Z1422" s="237" t="inlineStr">
        <is>
          <t>NA</t>
        </is>
      </c>
      <c r="AA1422" s="270" t="inlineStr">
        <is>
          <t>NA</t>
        </is>
      </c>
      <c r="AB1422" s="269" t="inlineStr">
        <is>
          <t>ESG PILIER 3, LOAN TAPE, RISQUE PHYSIQUE</t>
        </is>
      </c>
      <c r="AC1422" s="231" t="inlineStr">
        <is>
          <t>ND</t>
        </is>
      </c>
      <c r="AD1422" s="257" t="inlineStr">
        <is>
          <t>N</t>
        </is>
      </c>
      <c r="AE1422" s="257" t="inlineStr">
        <is>
          <t>REE-TAS</t>
        </is>
      </c>
      <c r="AF1422" s="257" t="inlineStr">
        <is>
          <t>NA</t>
        </is>
      </c>
      <c r="AG1422" s="258" t="inlineStr">
        <is>
          <t>NA</t>
        </is>
      </c>
      <c r="AH1422" s="89" t="n"/>
      <c r="AI1422" s="878" t="n"/>
      <c r="AJ1422" s="317" t="n"/>
      <c r="AK1422" s="454" t="n"/>
      <c r="AL1422" s="366" t="n"/>
      <c r="AM1422" s="318" t="n"/>
      <c r="AN1422" s="317" t="n"/>
      <c r="AO1422" s="257" t="n"/>
      <c r="AP1422" s="258" t="n"/>
      <c r="AQ1422" s="318" t="n"/>
      <c r="AR1422" s="317" t="n"/>
      <c r="AS1422" s="257" t="n"/>
      <c r="AT1422" s="345" t="n"/>
      <c r="AU1422" s="318" t="n"/>
      <c r="AV1422" s="317" t="n"/>
      <c r="AW1422" s="257" t="n"/>
      <c r="AX1422" s="258" t="n"/>
      <c r="AY1422" s="318" t="n"/>
      <c r="AZ1422" s="317" t="n"/>
      <c r="BA1422" s="257" t="n"/>
      <c r="BB1422" s="258" t="n"/>
      <c r="BC1422" s="316" t="n"/>
      <c r="BD1422" s="317" t="n"/>
      <c r="BE1422" s="257" t="n"/>
      <c r="BF1422" s="258" t="n"/>
      <c r="BG1422" s="89" t="n"/>
      <c r="BH142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22">
        <f>_xlfn.LET(r,ROW(),oc,INDEX($A:$A,r),cv,TRIM(INDEX($Y:$Y,r)&amp;""),IF(oc&lt;&gt;"P1","",IF(cv="45","V45 - novo, nao alimentado pelo spool atual","V44 - alimentado pelo spool atual")))</f>
        <v/>
      </c>
    </row>
    <row r="1423" ht="54" customFormat="1" customHeight="1" s="90">
      <c r="A1423" s="306" t="inlineStr">
        <is>
          <t>M1</t>
        </is>
      </c>
      <c r="B1423" s="307" t="n">
        <v>128</v>
      </c>
      <c r="C1423" s="269" t="inlineStr">
        <is>
          <t>03 - Caractéristiques Générales</t>
        </is>
      </c>
      <c r="D1423" s="236" t="inlineStr">
        <is>
          <t>03 - General characteristics</t>
        </is>
      </c>
      <c r="E1423" s="307" t="inlineStr">
        <is>
          <t>M1 8.60</t>
        </is>
      </c>
      <c r="F1423" s="361" t="inlineStr">
        <is>
          <t>Coordonnées GPS - Longitude</t>
        </is>
      </c>
      <c r="G1423" s="309" t="inlineStr">
        <is>
          <t>Coordinates GPS - Longitude</t>
        </is>
      </c>
      <c r="H1423" s="309" t="n"/>
      <c r="I1423" s="755" t="inlineStr">
        <is>
          <t>Longitude de la localisation géographique (GPS) exprimée en degrés décimaux (DD) du bien immobilier financé</t>
        </is>
      </c>
      <c r="J1423" s="309" t="inlineStr">
        <is>
          <t>Longitude of the geographical location (GPS) expressed in decimal degrees (DD) of the funded property</t>
        </is>
      </c>
      <c r="K1423" s="370" t="inlineStr">
        <is>
          <t>ND</t>
        </is>
      </c>
      <c r="L1423" s="371" t="inlineStr">
        <is>
          <t>ND</t>
        </is>
      </c>
      <c r="M1423" s="1420" t="inlineStr">
        <is>
          <t>cdGPSLong</t>
        </is>
      </c>
      <c r="N1423" s="231" t="inlineStr">
        <is>
          <t>Facultatif</t>
        </is>
      </c>
      <c r="O1423" s="236" t="inlineStr">
        <is>
          <t>Optional</t>
        </is>
      </c>
      <c r="P1423" s="269" t="inlineStr">
        <is>
          <t>NA</t>
        </is>
      </c>
      <c r="Q1423" s="269" t="inlineStr">
        <is>
          <t>NA</t>
        </is>
      </c>
      <c r="R1423" s="1249" t="inlineStr">
        <is>
          <t>Format : +-NNN.DDDDDDD avec NNN situé entre -180 et +180, selon la norme WGS84.
Les coordonnées GPS sont utilisées pour déterminer les sensibilités aux risques physiques à cette position.
Les coordonnées GPS sont requises si l'adresse du bien immobilier financé n'est pas renseignée</t>
        </is>
      </c>
      <c r="S1423" s="233" t="inlineStr">
        <is>
          <t>Format: +-NNN.DDDDDD with NNN between -180 and +180, in accordance with WGS84.
GPS coordinates are used to determine sensitivity to physical risks at this position.
GPS coordinates are required if the address of the property financed is not provided</t>
        </is>
      </c>
      <c r="T1423" s="756" t="inlineStr">
        <is>
          <t>NUM</t>
        </is>
      </c>
      <c r="U1423" s="237" t="inlineStr">
        <is>
          <t>12 dont signe, separateur et 7 décimales</t>
        </is>
      </c>
      <c r="V1423" s="238" t="inlineStr">
        <is>
          <t>12 including sign, separator and 7 decimals</t>
        </is>
      </c>
      <c r="W1423" s="257" t="n">
        <v>12</v>
      </c>
      <c r="X1423" s="945" t="inlineStr">
        <is>
          <t>NA</t>
        </is>
      </c>
      <c r="Y1423" s="237" t="n">
        <v>43</v>
      </c>
      <c r="Z1423" s="237" t="inlineStr">
        <is>
          <t>NA</t>
        </is>
      </c>
      <c r="AA1423" s="270" t="inlineStr">
        <is>
          <t>NA</t>
        </is>
      </c>
      <c r="AB1423" s="269" t="inlineStr">
        <is>
          <t>ESG PILIER 3, LOAN TAPE, RISQUE PHYSIQUE</t>
        </is>
      </c>
      <c r="AC1423" s="231" t="inlineStr">
        <is>
          <t>ND</t>
        </is>
      </c>
      <c r="AD1423" s="257" t="inlineStr">
        <is>
          <t>N</t>
        </is>
      </c>
      <c r="AE1423" s="257" t="inlineStr">
        <is>
          <t>REE-TAS</t>
        </is>
      </c>
      <c r="AF1423" s="257" t="inlineStr">
        <is>
          <t>NA</t>
        </is>
      </c>
      <c r="AG1423" s="258" t="inlineStr">
        <is>
          <t>NA</t>
        </is>
      </c>
      <c r="AH1423" s="89" t="n"/>
      <c r="AI1423" s="878" t="n"/>
      <c r="AJ1423" s="317" t="n"/>
      <c r="AK1423" s="454" t="n"/>
      <c r="AL1423" s="366" t="n"/>
      <c r="AM1423" s="318" t="n"/>
      <c r="AN1423" s="317" t="n"/>
      <c r="AO1423" s="257" t="n"/>
      <c r="AP1423" s="258" t="n"/>
      <c r="AQ1423" s="318" t="n"/>
      <c r="AR1423" s="317" t="n"/>
      <c r="AS1423" s="257" t="n"/>
      <c r="AT1423" s="345" t="n"/>
      <c r="AU1423" s="318" t="n"/>
      <c r="AV1423" s="317" t="n"/>
      <c r="AW1423" s="257" t="n"/>
      <c r="AX1423" s="258" t="n"/>
      <c r="AY1423" s="318" t="n"/>
      <c r="AZ1423" s="317" t="n"/>
      <c r="BA1423" s="257" t="n"/>
      <c r="BB1423" s="258" t="n"/>
      <c r="BC1423" s="316" t="n"/>
      <c r="BD1423" s="317" t="n"/>
      <c r="BE1423" s="257" t="n"/>
      <c r="BF1423" s="258" t="n"/>
      <c r="BG1423" s="89" t="n"/>
      <c r="BH142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23">
        <f>_xlfn.LET(r,ROW(),oc,INDEX($A:$A,r),cv,TRIM(INDEX($Y:$Y,r)&amp;""),IF(oc&lt;&gt;"P1","",IF(cv="45","V45 - novo, nao alimentado pelo spool atual","V44 - alimentado pelo spool atual")))</f>
        <v/>
      </c>
    </row>
    <row r="1424" ht="54" customFormat="1" customHeight="1" s="90">
      <c r="A1424" s="306" t="inlineStr">
        <is>
          <t>M1</t>
        </is>
      </c>
      <c r="B1424" s="307" t="n">
        <v>129</v>
      </c>
      <c r="C1424" s="269" t="inlineStr">
        <is>
          <t>03 - Caractéristiques Générales</t>
        </is>
      </c>
      <c r="D1424" s="236" t="inlineStr">
        <is>
          <t>03 - General characteristics</t>
        </is>
      </c>
      <c r="E1424" s="372" t="inlineStr">
        <is>
          <t>M1 8.49</t>
        </is>
      </c>
      <c r="F1424" s="308" t="inlineStr">
        <is>
          <t>Etat du bien apporté en garantie</t>
        </is>
      </c>
      <c r="G1424" s="309" t="inlineStr">
        <is>
          <t>Status of the real estate provided in guarantee</t>
        </is>
      </c>
      <c r="H1424" s="309" t="n"/>
      <c r="I1424" s="241" t="inlineStr">
        <is>
          <t>Etat du bien apporté en garantie (Bien achevé, bien en construction)</t>
        </is>
      </c>
      <c r="J1424" s="309" t="inlineStr">
        <is>
          <t>Status of the real estate provided in guarantee (Existing, under development)</t>
        </is>
      </c>
      <c r="K1424" s="370" t="inlineStr">
        <is>
          <t>ND</t>
        </is>
      </c>
      <c r="L1424" s="371" t="inlineStr">
        <is>
          <t>ND</t>
        </is>
      </c>
      <c r="M1424" s="1420" t="inlineStr">
        <is>
          <t>cdEtatBien</t>
        </is>
      </c>
      <c r="N1424" s="231" t="inlineStr">
        <is>
          <t>Obligatoire sous conditions</t>
        </is>
      </c>
      <c r="O1424" s="236" t="inlineStr">
        <is>
          <t>Mandatory under conditions</t>
        </is>
      </c>
      <c r="P1424" s="269" t="inlineStr">
        <is>
          <t>LC.0334</t>
        </is>
      </c>
      <c r="Q1424" s="269" t="inlineStr">
        <is>
          <t>TA Z8EBIMMO</t>
        </is>
      </c>
      <c r="R1424" s="241" t="inlineStr">
        <is>
          <t>NA</t>
        </is>
      </c>
      <c r="S1424" s="309" t="inlineStr">
        <is>
          <t>NA</t>
        </is>
      </c>
      <c r="T1424" s="313" t="inlineStr">
        <is>
          <t>ALPHA</t>
        </is>
      </c>
      <c r="U1424" s="237" t="inlineStr">
        <is>
          <t>NA</t>
        </is>
      </c>
      <c r="V1424" s="238" t="inlineStr">
        <is>
          <t>NA</t>
        </is>
      </c>
      <c r="W1424" s="257" t="n">
        <v>1</v>
      </c>
      <c r="X1424" s="945" t="inlineStr">
        <is>
          <t>NA</t>
        </is>
      </c>
      <c r="Y1424" s="237" t="n">
        <v>43</v>
      </c>
      <c r="Z1424" s="237" t="inlineStr">
        <is>
          <t>NA</t>
        </is>
      </c>
      <c r="AA1424" s="239" t="inlineStr">
        <is>
          <t>NA</t>
        </is>
      </c>
      <c r="AB1424" s="269" t="inlineStr">
        <is>
          <t>LOAN TAPE</t>
        </is>
      </c>
      <c r="AC1424" s="231" t="inlineStr">
        <is>
          <t>ND</t>
        </is>
      </c>
      <c r="AD1424" s="257" t="inlineStr">
        <is>
          <t>N</t>
        </is>
      </c>
      <c r="AE1424" s="257" t="inlineStr">
        <is>
          <t>REE-TAS</t>
        </is>
      </c>
      <c r="AF1424" s="257" t="inlineStr">
        <is>
          <t>NA</t>
        </is>
      </c>
      <c r="AG1424" s="258" t="inlineStr">
        <is>
          <t>NA</t>
        </is>
      </c>
      <c r="AH1424" s="89" t="n"/>
      <c r="AI1424" s="369" t="inlineStr">
        <is>
          <t>La donnée est obligatoire si la donnée Type de bien immobilier [M1 8.42] = '1' ou '2'</t>
        </is>
      </c>
      <c r="AJ1424" s="317" t="inlineStr">
        <is>
          <t>The data is mandatory if the data Type of property [M1 8.42] = '1' or '2'</t>
        </is>
      </c>
      <c r="AK1424" s="257" t="n">
        <v>5</v>
      </c>
      <c r="AL1424" s="345" t="inlineStr">
        <is>
          <t>TPS0725</t>
        </is>
      </c>
      <c r="AM1424" s="452" t="inlineStr">
        <is>
          <t>Si elle est renseignée, la valeur doit être connue du Langage Commun associé</t>
        </is>
      </c>
      <c r="AN1424" s="377" t="inlineStr">
        <is>
          <t>If specified, the value must be known to the associated Common Language</t>
        </is>
      </c>
      <c r="AO1424" s="257" t="n">
        <v>7</v>
      </c>
      <c r="AP1424" s="258" t="inlineStr">
        <is>
          <t>TIG0001</t>
        </is>
      </c>
      <c r="AQ1424" s="318" t="n"/>
      <c r="AR1424" s="317" t="n"/>
      <c r="AS1424" s="257" t="n"/>
      <c r="AT1424" s="258" t="n"/>
      <c r="AU1424" s="318" t="n"/>
      <c r="AV1424" s="317" t="n"/>
      <c r="AW1424" s="257" t="n"/>
      <c r="AX1424" s="258" t="n"/>
      <c r="AY1424" s="318" t="n"/>
      <c r="AZ1424" s="317" t="n"/>
      <c r="BA1424" s="257" t="n"/>
      <c r="BB1424" s="258" t="n"/>
      <c r="BC1424" s="316" t="n"/>
      <c r="BD1424" s="317" t="n"/>
      <c r="BE1424" s="257" t="n"/>
      <c r="BF1424" s="258" t="n"/>
      <c r="BG1424" s="89" t="n"/>
      <c r="BH142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24">
        <f>_xlfn.LET(r,ROW(),oc,INDEX($A:$A,r),cv,TRIM(INDEX($Y:$Y,r)&amp;""),IF(oc&lt;&gt;"P1","",IF(cv="45","V45 - novo, nao alimentado pelo spool atual","V44 - alimentado pelo spool atual")))</f>
        <v/>
      </c>
    </row>
    <row r="1425" ht="54" customFormat="1" customHeight="1" s="90">
      <c r="A1425" s="306" t="inlineStr">
        <is>
          <t>M1</t>
        </is>
      </c>
      <c r="B1425" s="307" t="n">
        <v>130</v>
      </c>
      <c r="C1425" s="269" t="inlineStr">
        <is>
          <t>03 - Caractéristiques Générales</t>
        </is>
      </c>
      <c r="D1425" s="236" t="inlineStr">
        <is>
          <t>03 - General characteristics</t>
        </is>
      </c>
      <c r="E1425" s="372" t="inlineStr">
        <is>
          <t>M1 8.50</t>
        </is>
      </c>
      <c r="F1425" s="308" t="inlineStr">
        <is>
          <t>Catégorie énergétique du bien immobilier</t>
        </is>
      </c>
      <c r="G1425" s="309" t="inlineStr">
        <is>
          <t>Energy classification of real estate</t>
        </is>
      </c>
      <c r="H1425" s="309" t="n"/>
      <c r="I1425" s="241" t="inlineStr">
        <is>
          <t>Catégorie énergétique du bien immobilier apporté en garantie</t>
        </is>
      </c>
      <c r="J1425" s="309" t="inlineStr">
        <is>
          <t>Energy classification of real estate provided in guarantee</t>
        </is>
      </c>
      <c r="K1425" s="370" t="inlineStr">
        <is>
          <t>ND</t>
        </is>
      </c>
      <c r="L1425" s="371" t="inlineStr">
        <is>
          <t>ND</t>
        </is>
      </c>
      <c r="M1425" s="1420" t="inlineStr">
        <is>
          <t>cdClassNrjBien</t>
        </is>
      </c>
      <c r="N1425" s="231" t="inlineStr">
        <is>
          <t>Facultatif</t>
        </is>
      </c>
      <c r="O1425" s="236" t="inlineStr">
        <is>
          <t>Optional</t>
        </is>
      </c>
      <c r="P1425" s="269" t="inlineStr">
        <is>
          <t>LC.0335</t>
        </is>
      </c>
      <c r="Q1425" s="269" t="inlineStr">
        <is>
          <t>RB 0503</t>
        </is>
      </c>
      <c r="R1425" s="241" t="inlineStr">
        <is>
          <t>NA</t>
        </is>
      </c>
      <c r="S1425" s="309" t="inlineStr">
        <is>
          <t>NA</t>
        </is>
      </c>
      <c r="T1425" s="313" t="inlineStr">
        <is>
          <t>ALPHA</t>
        </is>
      </c>
      <c r="U1425" s="237" t="inlineStr">
        <is>
          <t>NA</t>
        </is>
      </c>
      <c r="V1425" s="238" t="inlineStr">
        <is>
          <t>NA</t>
        </is>
      </c>
      <c r="W1425" s="257" t="n">
        <v>1</v>
      </c>
      <c r="X1425" s="945" t="inlineStr">
        <is>
          <t>NA</t>
        </is>
      </c>
      <c r="Y1425" s="237" t="n">
        <v>43</v>
      </c>
      <c r="Z1425" s="237" t="inlineStr">
        <is>
          <t>NA</t>
        </is>
      </c>
      <c r="AA1425" s="270" t="inlineStr">
        <is>
          <t>NA</t>
        </is>
      </c>
      <c r="AB1425" s="269" t="inlineStr">
        <is>
          <t>ESG PILIER 3, LOAN TAPE</t>
        </is>
      </c>
      <c r="AC1425" s="231" t="inlineStr">
        <is>
          <t>ND</t>
        </is>
      </c>
      <c r="AD1425" s="257" t="inlineStr">
        <is>
          <t>N</t>
        </is>
      </c>
      <c r="AE1425" s="257" t="inlineStr">
        <is>
          <t>REE-TAS</t>
        </is>
      </c>
      <c r="AF1425" s="257" t="inlineStr">
        <is>
          <t>NA</t>
        </is>
      </c>
      <c r="AG1425" s="258" t="inlineStr">
        <is>
          <t>NA</t>
        </is>
      </c>
      <c r="AH1425" s="89" t="n"/>
      <c r="AI1425" s="316" t="n"/>
      <c r="AJ1425" s="317" t="n"/>
      <c r="AK1425" s="257" t="n"/>
      <c r="AL1425" s="366" t="n"/>
      <c r="AM1425" s="452" t="inlineStr">
        <is>
          <t>Si elle est renseignée, la valeur doit être connue du Langage Commun associé</t>
        </is>
      </c>
      <c r="AN1425" s="377" t="inlineStr">
        <is>
          <t>If specified, the value must be known to the associated Common Language</t>
        </is>
      </c>
      <c r="AO1425" s="257" t="n">
        <v>7</v>
      </c>
      <c r="AP1425" s="258" t="inlineStr">
        <is>
          <t>TIG0001</t>
        </is>
      </c>
      <c r="AQ1425" s="533" t="inlineStr">
        <is>
          <t>Si renseignée, la donnée doit être différente de 'Y' ou 'Z'</t>
        </is>
      </c>
      <c r="AR1425" s="317" t="inlineStr">
        <is>
          <t>If filled in, the data must be different of 'Y' or 'Z'</t>
        </is>
      </c>
      <c r="AS1425" s="257" t="n">
        <v>7</v>
      </c>
      <c r="AT1425" s="469" t="inlineStr">
        <is>
          <t>TVS0732</t>
        </is>
      </c>
      <c r="AU1425" s="318" t="n"/>
      <c r="AV1425" s="317" t="n"/>
      <c r="AW1425" s="257" t="n"/>
      <c r="AX1425" s="258" t="n"/>
      <c r="AY1425" s="318" t="n"/>
      <c r="AZ1425" s="317" t="n"/>
      <c r="BA1425" s="257" t="n"/>
      <c r="BB1425" s="258" t="n"/>
      <c r="BC1425" s="316" t="n"/>
      <c r="BD1425" s="317" t="n"/>
      <c r="BE1425" s="257" t="n"/>
      <c r="BF1425" s="258" t="n"/>
      <c r="BG1425" s="89" t="n"/>
      <c r="BH142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25">
        <f>_xlfn.LET(r,ROW(),oc,INDEX($A:$A,r),cv,TRIM(INDEX($Y:$Y,r)&amp;""),IF(oc&lt;&gt;"P1","",IF(cv="45","V45 - novo, nao alimentado pelo spool atual","V44 - alimentado pelo spool atual")))</f>
        <v/>
      </c>
    </row>
    <row r="1426" ht="54" customFormat="1" customHeight="1" s="90">
      <c r="A1426" s="306" t="inlineStr">
        <is>
          <t>M1</t>
        </is>
      </c>
      <c r="B1426" s="307" t="n">
        <v>131</v>
      </c>
      <c r="C1426" s="269" t="inlineStr">
        <is>
          <t>03 - Caractéristiques Générales</t>
        </is>
      </c>
      <c r="D1426" s="236" t="inlineStr">
        <is>
          <t>03 - General characteristics</t>
        </is>
      </c>
      <c r="E1426" s="372" t="inlineStr">
        <is>
          <t>M1 8.51</t>
        </is>
      </c>
      <c r="F1426" s="308" t="inlineStr">
        <is>
          <t>Indicateur permis de construire</t>
        </is>
      </c>
      <c r="G1426" s="309" t="inlineStr">
        <is>
          <t>Building permit indicator</t>
        </is>
      </c>
      <c r="H1426" s="309" t="n"/>
      <c r="I1426" s="407" t="inlineStr">
        <is>
          <t>Terrains apportés en garantie avec / sans permis de construire</t>
        </is>
      </c>
      <c r="J1426" s="309" t="inlineStr">
        <is>
          <t>Land provided as collateral with / without building permit</t>
        </is>
      </c>
      <c r="K1426" s="370" t="inlineStr">
        <is>
          <t>ND</t>
        </is>
      </c>
      <c r="L1426" s="371" t="inlineStr">
        <is>
          <t>ND</t>
        </is>
      </c>
      <c r="M1426" s="1420" t="inlineStr">
        <is>
          <t>cdIndPermisCons</t>
        </is>
      </c>
      <c r="N1426" s="231" t="inlineStr">
        <is>
          <t>Obligatoire sous conditions</t>
        </is>
      </c>
      <c r="O1426" s="236" t="inlineStr">
        <is>
          <t>Mandatory under conditions</t>
        </is>
      </c>
      <c r="P1426" s="269" t="inlineStr">
        <is>
          <t>LC.0336</t>
        </is>
      </c>
      <c r="Q1426" s="269" t="inlineStr">
        <is>
          <t>TA Z8IPCONS</t>
        </is>
      </c>
      <c r="R1426" s="241" t="inlineStr">
        <is>
          <t>NA</t>
        </is>
      </c>
      <c r="S1426" s="309" t="inlineStr">
        <is>
          <t>NA</t>
        </is>
      </c>
      <c r="T1426" s="313" t="inlineStr">
        <is>
          <t>ALPHA</t>
        </is>
      </c>
      <c r="U1426" s="237" t="inlineStr">
        <is>
          <t>NA</t>
        </is>
      </c>
      <c r="V1426" s="238" t="inlineStr">
        <is>
          <t>NA</t>
        </is>
      </c>
      <c r="W1426" s="257" t="n">
        <v>1</v>
      </c>
      <c r="X1426" s="945" t="inlineStr">
        <is>
          <t>NA</t>
        </is>
      </c>
      <c r="Y1426" s="237" t="n">
        <v>43</v>
      </c>
      <c r="Z1426" s="237" t="inlineStr">
        <is>
          <t>NA</t>
        </is>
      </c>
      <c r="AA1426" s="239" t="inlineStr">
        <is>
          <t>NA</t>
        </is>
      </c>
      <c r="AB1426" s="269" t="inlineStr">
        <is>
          <t>LOAN TAPE</t>
        </is>
      </c>
      <c r="AC1426" s="231" t="inlineStr">
        <is>
          <t>ND</t>
        </is>
      </c>
      <c r="AD1426" s="257" t="inlineStr">
        <is>
          <t>N</t>
        </is>
      </c>
      <c r="AE1426" s="257" t="inlineStr">
        <is>
          <t>REE-TAS</t>
        </is>
      </c>
      <c r="AF1426" s="257" t="inlineStr">
        <is>
          <t>NA</t>
        </is>
      </c>
      <c r="AG1426" s="258" t="inlineStr">
        <is>
          <t>NA</t>
        </is>
      </c>
      <c r="AH1426" s="89" t="n"/>
      <c r="AI1426" s="316" t="inlineStr">
        <is>
          <t>La donnée est obligatoire si la donnée état du bien apporté en garantie [M1 8.49] = '2'</t>
        </is>
      </c>
      <c r="AJ1426" s="317" t="inlineStr">
        <is>
          <t>The data is mandatory if the data is for the goods brought in guarantee [M1 8.49] = '2'</t>
        </is>
      </c>
      <c r="AK1426" s="257" t="n">
        <v>6</v>
      </c>
      <c r="AL1426" s="345" t="inlineStr">
        <is>
          <t>TPS0726</t>
        </is>
      </c>
      <c r="AM1426" s="452" t="inlineStr">
        <is>
          <t>Si elle est renseignée, la valeur doit être connue du Langage Commun associé</t>
        </is>
      </c>
      <c r="AN1426" s="377" t="inlineStr">
        <is>
          <t>If specified, the value must be known to the associated Common Language</t>
        </is>
      </c>
      <c r="AO1426" s="257" t="n">
        <v>7</v>
      </c>
      <c r="AP1426" s="258" t="inlineStr">
        <is>
          <t>TIG0001</t>
        </is>
      </c>
      <c r="AQ1426" s="318" t="n"/>
      <c r="AR1426" s="317" t="n"/>
      <c r="AS1426" s="257" t="n"/>
      <c r="AT1426" s="258" t="n"/>
      <c r="AU1426" s="318" t="n"/>
      <c r="AV1426" s="317" t="n"/>
      <c r="AW1426" s="257" t="n"/>
      <c r="AX1426" s="258" t="n"/>
      <c r="AY1426" s="318" t="n"/>
      <c r="AZ1426" s="317" t="n"/>
      <c r="BA1426" s="257" t="n"/>
      <c r="BB1426" s="258" t="n"/>
      <c r="BC1426" s="316" t="n"/>
      <c r="BD1426" s="317" t="n"/>
      <c r="BE1426" s="257" t="n"/>
      <c r="BF1426" s="258" t="n"/>
      <c r="BG1426" s="89" t="n"/>
      <c r="BH142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26">
        <f>_xlfn.LET(r,ROW(),oc,INDEX($A:$A,r),cv,TRIM(INDEX($Y:$Y,r)&amp;""),IF(oc&lt;&gt;"P1","",IF(cv="45","V45 - novo, nao alimentado pelo spool atual","V44 - alimentado pelo spool atual")))</f>
        <v/>
      </c>
    </row>
    <row r="1427" ht="54" customFormat="1" customHeight="1" s="55">
      <c r="A1427" s="325" t="inlineStr">
        <is>
          <t>M1</t>
        </is>
      </c>
      <c r="B1427" s="326" t="n">
        <v>132</v>
      </c>
      <c r="C1427" s="284" t="inlineStr">
        <is>
          <t>03 - Caractéristiques Générales</t>
        </is>
      </c>
      <c r="D1427" s="244" t="inlineStr">
        <is>
          <t>03 - General characteristics</t>
        </is>
      </c>
      <c r="E1427" s="333" t="inlineStr">
        <is>
          <t>M1 8.52</t>
        </is>
      </c>
      <c r="F1427" s="327" t="inlineStr">
        <is>
          <t>Zone libre (ex Nature des terrains apportés en garantie)</t>
        </is>
      </c>
      <c r="G1427" s="327" t="inlineStr">
        <is>
          <t>Free zone (Ex Nature of land provided in guarantee)</t>
        </is>
      </c>
      <c r="H1427" s="327" t="n"/>
      <c r="I1427" s="245" t="inlineStr">
        <is>
          <t>Zone libre</t>
        </is>
      </c>
      <c r="J1427" s="245" t="inlineStr">
        <is>
          <t>Free zone</t>
        </is>
      </c>
      <c r="K1427" s="284" t="inlineStr">
        <is>
          <t>NA</t>
        </is>
      </c>
      <c r="L1427" s="284" t="inlineStr">
        <is>
          <t>NA</t>
        </is>
      </c>
      <c r="M1427" s="1421" t="inlineStr">
        <is>
          <t>ZoneLibre8_52</t>
        </is>
      </c>
      <c r="N1427" s="284" t="inlineStr">
        <is>
          <t>NA</t>
        </is>
      </c>
      <c r="O1427" s="244" t="inlineStr">
        <is>
          <t>NA</t>
        </is>
      </c>
      <c r="P1427" s="284" t="inlineStr">
        <is>
          <t>NA</t>
        </is>
      </c>
      <c r="Q1427" s="284" t="inlineStr">
        <is>
          <t>NA</t>
        </is>
      </c>
      <c r="R1427" s="412" t="inlineStr">
        <is>
          <t>Laisser à vide</t>
        </is>
      </c>
      <c r="S1427" s="245" t="inlineStr">
        <is>
          <t>Leave empty</t>
        </is>
      </c>
      <c r="T1427" s="326" t="inlineStr">
        <is>
          <t>ALPHA</t>
        </is>
      </c>
      <c r="U1427" s="248" t="inlineStr">
        <is>
          <t>NA</t>
        </is>
      </c>
      <c r="V1427" s="248" t="inlineStr">
        <is>
          <t>NA</t>
        </is>
      </c>
      <c r="W1427" s="284" t="n">
        <v>1</v>
      </c>
      <c r="X1427" s="244" t="inlineStr">
        <is>
          <t>NA</t>
        </is>
      </c>
      <c r="Y1427" s="248" t="n">
        <v>43</v>
      </c>
      <c r="Z1427" s="248" t="n">
        <v>43</v>
      </c>
      <c r="AA1427" s="249" t="inlineStr">
        <is>
          <t>NA</t>
        </is>
      </c>
      <c r="AB1427" s="284" t="inlineStr">
        <is>
          <t>NA</t>
        </is>
      </c>
      <c r="AC1427" s="244" t="inlineStr">
        <is>
          <t>NA</t>
        </is>
      </c>
      <c r="AD1427" s="284" t="inlineStr">
        <is>
          <t>N</t>
        </is>
      </c>
      <c r="AE1427" s="284" t="inlineStr">
        <is>
          <t>NA</t>
        </is>
      </c>
      <c r="AF1427" s="284" t="inlineStr">
        <is>
          <t>NA</t>
        </is>
      </c>
      <c r="AG1427" s="285" t="inlineStr">
        <is>
          <t>NA</t>
        </is>
      </c>
      <c r="AH1427" s="89" t="n"/>
      <c r="AI1427" s="330" t="n"/>
      <c r="AJ1427" s="331" t="n"/>
      <c r="AK1427" s="284" t="n"/>
      <c r="AL1427" s="285" t="n"/>
      <c r="AM1427" s="331" t="n"/>
      <c r="AN1427" s="331" t="n"/>
      <c r="AO1427" s="284" t="n"/>
      <c r="AP1427" s="285" t="n"/>
      <c r="AQ1427" s="331" t="n"/>
      <c r="AR1427" s="331" t="n"/>
      <c r="AS1427" s="284" t="n"/>
      <c r="AT1427" s="285" t="n"/>
      <c r="AU1427" s="331" t="n"/>
      <c r="AV1427" s="331" t="n"/>
      <c r="AW1427" s="284" t="n"/>
      <c r="AX1427" s="285" t="n"/>
      <c r="AY1427" s="331" t="n"/>
      <c r="AZ1427" s="331" t="n"/>
      <c r="BA1427" s="284" t="n"/>
      <c r="BB1427" s="285" t="n"/>
      <c r="BC1427" s="330" t="n"/>
      <c r="BD1427" s="331" t="n"/>
      <c r="BE1427" s="284" t="n"/>
      <c r="BF1427" s="285" t="n"/>
      <c r="BG1427" s="89" t="n"/>
      <c r="BH142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27">
        <f>_xlfn.LET(r,ROW(),oc,INDEX($A:$A,r),cv,TRIM(INDEX($Y:$Y,r)&amp;""),IF(oc&lt;&gt;"P1","",IF(cv="45","V45 - novo, nao alimentado pelo spool atual","V44 - alimentado pelo spool atual")))</f>
        <v/>
      </c>
    </row>
    <row r="1428" ht="54" customFormat="1" customHeight="1" s="90">
      <c r="A1428" s="306" t="inlineStr">
        <is>
          <t>M1</t>
        </is>
      </c>
      <c r="B1428" s="307" t="n">
        <v>133</v>
      </c>
      <c r="C1428" s="269" t="inlineStr">
        <is>
          <t>03 - Caractéristiques Générales</t>
        </is>
      </c>
      <c r="D1428" s="236" t="inlineStr">
        <is>
          <t>03 - General characteristics</t>
        </is>
      </c>
      <c r="E1428" s="372" t="inlineStr">
        <is>
          <t>M1 7.22</t>
        </is>
      </c>
      <c r="F1428" s="308" t="inlineStr">
        <is>
          <t>Description de la protection</t>
        </is>
      </c>
      <c r="G1428" s="309" t="inlineStr">
        <is>
          <t>Description of protection</t>
        </is>
      </c>
      <c r="H1428" s="309" t="n"/>
      <c r="I1428" s="241" t="inlineStr">
        <is>
          <t>Ce champ permet de décrire le bien apporté en garantie du financement, exemple : indiquer le nom du bâtiment ou le nom du projet immobilier</t>
        </is>
      </c>
      <c r="J1428" s="309" t="inlineStr">
        <is>
          <t>This field allows to describe the property provided as guarantee for the credit, for example : indicate the name of the building or the name of the real estate project</t>
        </is>
      </c>
      <c r="K1428" s="370" t="inlineStr">
        <is>
          <t>ND</t>
        </is>
      </c>
      <c r="L1428" s="371" t="inlineStr">
        <is>
          <t>ND</t>
        </is>
      </c>
      <c r="M1428" s="1420" t="inlineStr">
        <is>
          <t>descProtec</t>
        </is>
      </c>
      <c r="N1428" s="231" t="inlineStr">
        <is>
          <t>Obligatoire sous conditions</t>
        </is>
      </c>
      <c r="O1428" s="236" t="inlineStr">
        <is>
          <t>Mandatory under conditions</t>
        </is>
      </c>
      <c r="P1428" s="269" t="inlineStr">
        <is>
          <t>NA</t>
        </is>
      </c>
      <c r="Q1428" s="269" t="inlineStr">
        <is>
          <t>NA</t>
        </is>
      </c>
      <c r="R1428" s="241" t="inlineStr">
        <is>
          <t>NA</t>
        </is>
      </c>
      <c r="S1428" s="309" t="inlineStr">
        <is>
          <t>NA</t>
        </is>
      </c>
      <c r="T1428" s="313" t="inlineStr">
        <is>
          <t>ALPHA</t>
        </is>
      </c>
      <c r="U1428" s="237" t="inlineStr">
        <is>
          <t>NA</t>
        </is>
      </c>
      <c r="V1428" s="238" t="inlineStr">
        <is>
          <t>NA</t>
        </is>
      </c>
      <c r="W1428" s="257" t="n">
        <v>100</v>
      </c>
      <c r="X1428" s="945" t="inlineStr">
        <is>
          <t>NA</t>
        </is>
      </c>
      <c r="Y1428" s="237" t="n">
        <v>43</v>
      </c>
      <c r="Z1428" s="237" t="inlineStr">
        <is>
          <t>NA</t>
        </is>
      </c>
      <c r="AA1428" s="239" t="inlineStr">
        <is>
          <t>NA</t>
        </is>
      </c>
      <c r="AB1428" s="269" t="inlineStr">
        <is>
          <t>OCTROI DE CREDIT</t>
        </is>
      </c>
      <c r="AC1428" s="231" t="inlineStr">
        <is>
          <t>ND</t>
        </is>
      </c>
      <c r="AD1428" s="257" t="inlineStr">
        <is>
          <t>N</t>
        </is>
      </c>
      <c r="AE1428" s="257" t="inlineStr">
        <is>
          <t>SEC-CAS-COL
IAS
GUA-CDE
INS
REE-TAS</t>
        </is>
      </c>
      <c r="AF1428" s="257" t="inlineStr">
        <is>
          <t>NA</t>
        </is>
      </c>
      <c r="AG1428" s="258" t="inlineStr">
        <is>
          <t>NA</t>
        </is>
      </c>
      <c r="AH1428" s="89" t="n"/>
      <c r="AI1428" s="240" t="inlineStr">
        <is>
          <t>La donnée est obligatoire si la donnée méthodologie de notation [C1 4.3] du tiers en risque = 'M1 ', 'M2', 'M41', 'M43' ou 'M44'</t>
        </is>
      </c>
      <c r="AJ1428" s="317" t="inlineStr">
        <is>
          <t>The data is mandatory if the rating methodology data [C1 4.3] of the third party in risk = 'M1 ', 'M2', 'M41', 'M43' or 'M44'</t>
        </is>
      </c>
      <c r="AK1428" s="257" t="n">
        <v>5</v>
      </c>
      <c r="AL1428" s="258" t="inlineStr">
        <is>
          <t>TP0675</t>
        </is>
      </c>
      <c r="AM1428" s="318" t="n"/>
      <c r="AN1428" s="317" t="n"/>
      <c r="AO1428" s="257" t="n"/>
      <c r="AP1428" s="258" t="n"/>
      <c r="AQ1428" s="318" t="n"/>
      <c r="AR1428" s="317" t="n"/>
      <c r="AS1428" s="257" t="n"/>
      <c r="AT1428" s="258" t="n"/>
      <c r="AU1428" s="318" t="n"/>
      <c r="AV1428" s="317" t="n"/>
      <c r="AW1428" s="257" t="n"/>
      <c r="AX1428" s="258" t="n"/>
      <c r="AY1428" s="318" t="n"/>
      <c r="AZ1428" s="317" t="n"/>
      <c r="BA1428" s="257" t="n"/>
      <c r="BB1428" s="258" t="n"/>
      <c r="BC1428" s="316" t="n"/>
      <c r="BD1428" s="317" t="n"/>
      <c r="BE1428" s="257" t="n"/>
      <c r="BF1428" s="258" t="n"/>
      <c r="BG1428" s="89" t="n"/>
      <c r="BH142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28">
        <f>_xlfn.LET(r,ROW(),oc,INDEX($A:$A,r),cv,TRIM(INDEX($Y:$Y,r)&amp;""),IF(oc&lt;&gt;"P1","",IF(cv="45","V45 - novo, nao alimentado pelo spool atual","V44 - alimentado pelo spool atual")))</f>
        <v/>
      </c>
    </row>
    <row r="1429" ht="54" customFormat="1" customHeight="1" s="90">
      <c r="A1429" s="306" t="inlineStr">
        <is>
          <t>M1</t>
        </is>
      </c>
      <c r="B1429" s="307" t="n">
        <v>134</v>
      </c>
      <c r="C1429" s="269" t="inlineStr">
        <is>
          <t>03 - Caractéristiques Générales</t>
        </is>
      </c>
      <c r="D1429" s="236" t="inlineStr">
        <is>
          <t>03 - General characteristics</t>
        </is>
      </c>
      <c r="E1429" s="372" t="inlineStr">
        <is>
          <t>M1 8.61</t>
        </is>
      </c>
      <c r="F1429" s="650" t="inlineStr">
        <is>
          <t>Indicateur litige sur marge à échanger</t>
        </is>
      </c>
      <c r="G1429" s="309" t="inlineStr">
        <is>
          <t>Dispute indicator on margin to be exchanged</t>
        </is>
      </c>
      <c r="H1429" s="309" t="n"/>
      <c r="I1429" s="241" t="inlineStr">
        <is>
          <t>Indique s'il y a litige lorsque les deux entités ne sont pas d'accord sur le montant de marge à échanger</t>
        </is>
      </c>
      <c r="J1429" s="309" t="inlineStr">
        <is>
          <t>Indicates a dispute arises when the two entities do not agree on the amount of margin to be exchanged</t>
        </is>
      </c>
      <c r="K1429" s="370" t="inlineStr">
        <is>
          <t>ND</t>
        </is>
      </c>
      <c r="L1429" s="371" t="inlineStr">
        <is>
          <t>ND</t>
        </is>
      </c>
      <c r="M1429" s="1420" t="inlineStr">
        <is>
          <t>indLitigeMarg</t>
        </is>
      </c>
      <c r="N1429" s="231" t="inlineStr">
        <is>
          <t>Obligatoire sous conditions</t>
        </is>
      </c>
      <c r="O1429" s="236" t="inlineStr">
        <is>
          <t>Mandatory under conditions</t>
        </is>
      </c>
      <c r="P1429" s="269" t="inlineStr">
        <is>
          <t>LC.0367</t>
        </is>
      </c>
      <c r="Q1429" s="269" t="inlineStr">
        <is>
          <t>TA Z8ILSMAE</t>
        </is>
      </c>
      <c r="R1429" s="241" t="inlineStr">
        <is>
          <t>NA</t>
        </is>
      </c>
      <c r="S1429" s="309" t="inlineStr">
        <is>
          <t>NA</t>
        </is>
      </c>
      <c r="T1429" s="313" t="inlineStr">
        <is>
          <t>ALPHA</t>
        </is>
      </c>
      <c r="U1429" s="237" t="inlineStr">
        <is>
          <t>NA</t>
        </is>
      </c>
      <c r="V1429" s="238" t="inlineStr">
        <is>
          <t>NA</t>
        </is>
      </c>
      <c r="W1429" s="257" t="n">
        <v>1</v>
      </c>
      <c r="X1429" s="945" t="inlineStr">
        <is>
          <t>NA</t>
        </is>
      </c>
      <c r="Y1429" s="237" t="n">
        <v>43</v>
      </c>
      <c r="Z1429" s="237" t="inlineStr">
        <is>
          <t>NA</t>
        </is>
      </c>
      <c r="AA1429" s="978" t="inlineStr">
        <is>
          <t>NA</t>
        </is>
      </c>
      <c r="AB1429" s="994" t="inlineStr">
        <is>
          <t>GRR, SA-CCR</t>
        </is>
      </c>
      <c r="AC1429" s="231" t="inlineStr">
        <is>
          <t>ND</t>
        </is>
      </c>
      <c r="AD1429" s="257" t="inlineStr">
        <is>
          <t>N</t>
        </is>
      </c>
      <c r="AE1429" s="257" t="inlineStr">
        <is>
          <t xml:space="preserve">SEC-CAS-COL
</t>
        </is>
      </c>
      <c r="AF1429" s="257" t="inlineStr">
        <is>
          <t>NA</t>
        </is>
      </c>
      <c r="AG1429" s="258" t="inlineStr">
        <is>
          <t>NA</t>
        </is>
      </c>
      <c r="AH1429" s="89" t="n"/>
      <c r="AI1429" s="849" t="inlineStr">
        <is>
          <t>La donnée est obligatoire si la nature juridique de la sûreté [M1 5.1] = 'COL0101'</t>
        </is>
      </c>
      <c r="AJ1429" s="317" t="inlineStr">
        <is>
          <t>The data is mandatory if legal nature of security [M1 5.1] = 'COL0101'</t>
        </is>
      </c>
      <c r="AK1429" s="257" t="n">
        <v>6</v>
      </c>
      <c r="AL1429" s="345" t="inlineStr">
        <is>
          <t>TPS0727</t>
        </is>
      </c>
      <c r="AM1429" s="452" t="inlineStr">
        <is>
          <t>Si elle est renseignée, la valeur doit être connue du Langage Commun associé</t>
        </is>
      </c>
      <c r="AN1429" s="377" t="inlineStr">
        <is>
          <t>If specified, the value must be known to the associated Common Language</t>
        </is>
      </c>
      <c r="AO1429" s="257" t="n">
        <v>7</v>
      </c>
      <c r="AP1429" s="258" t="inlineStr">
        <is>
          <t>TIG0001</t>
        </is>
      </c>
      <c r="AQ1429" s="318" t="n"/>
      <c r="AR1429" s="317" t="n"/>
      <c r="AS1429" s="257" t="n"/>
      <c r="AT1429" s="258" t="n"/>
      <c r="AU1429" s="318" t="n"/>
      <c r="AV1429" s="317" t="n"/>
      <c r="AW1429" s="257" t="n"/>
      <c r="AX1429" s="258" t="n"/>
      <c r="AY1429" s="318" t="n"/>
      <c r="AZ1429" s="317" t="n"/>
      <c r="BA1429" s="257" t="n"/>
      <c r="BB1429" s="258" t="n"/>
      <c r="BC1429" s="316" t="n"/>
      <c r="BD1429" s="317" t="n"/>
      <c r="BE1429" s="257" t="n"/>
      <c r="BF1429" s="258" t="n"/>
      <c r="BG1429" s="89" t="n"/>
      <c r="BH142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29">
        <f>_xlfn.LET(r,ROW(),oc,INDEX($A:$A,r),cv,TRIM(INDEX($Y:$Y,r)&amp;""),IF(oc&lt;&gt;"P1","",IF(cv="45","V45 - novo, nao alimentado pelo spool atual","V44 - alimentado pelo spool atual")))</f>
        <v/>
      </c>
    </row>
    <row r="1430" ht="54" customFormat="1" customHeight="1" s="55">
      <c r="A1430" s="325" t="inlineStr">
        <is>
          <t>M1</t>
        </is>
      </c>
      <c r="B1430" s="326" t="n">
        <v>135</v>
      </c>
      <c r="C1430" s="284" t="inlineStr">
        <is>
          <t>NA</t>
        </is>
      </c>
      <c r="D1430" s="244" t="inlineStr">
        <is>
          <t>NA</t>
        </is>
      </c>
      <c r="E1430" s="333" t="inlineStr">
        <is>
          <t>M1 12.99</t>
        </is>
      </c>
      <c r="F1430" s="327" t="inlineStr">
        <is>
          <t>Filler</t>
        </is>
      </c>
      <c r="G1430" s="327" t="inlineStr">
        <is>
          <t>Filler</t>
        </is>
      </c>
      <c r="H1430" s="327" t="n"/>
      <c r="I1430" s="247" t="inlineStr">
        <is>
          <t>Zone libre</t>
        </is>
      </c>
      <c r="J1430" s="327" t="inlineStr">
        <is>
          <t>Free zone</t>
        </is>
      </c>
      <c r="K1430" s="388" t="inlineStr">
        <is>
          <t>NA</t>
        </is>
      </c>
      <c r="L1430" s="388" t="inlineStr">
        <is>
          <t>NA</t>
        </is>
      </c>
      <c r="M1430" s="1421" t="inlineStr">
        <is>
          <t>ZoneLibre12</t>
        </is>
      </c>
      <c r="N1430" s="284" t="inlineStr">
        <is>
          <t>NA</t>
        </is>
      </c>
      <c r="O1430" s="388" t="inlineStr">
        <is>
          <t>NA</t>
        </is>
      </c>
      <c r="P1430" s="284" t="inlineStr">
        <is>
          <t>NA</t>
        </is>
      </c>
      <c r="Q1430" s="284" t="inlineStr">
        <is>
          <t>NA</t>
        </is>
      </c>
      <c r="R1430" s="247" t="inlineStr">
        <is>
          <t>Laisser à vide</t>
        </is>
      </c>
      <c r="S1430" s="247" t="inlineStr">
        <is>
          <t>Leave empty</t>
        </is>
      </c>
      <c r="T1430" s="326" t="inlineStr">
        <is>
          <t>ALPHA</t>
        </is>
      </c>
      <c r="U1430" s="248" t="inlineStr">
        <is>
          <t>NA</t>
        </is>
      </c>
      <c r="V1430" s="248" t="inlineStr">
        <is>
          <t>NA</t>
        </is>
      </c>
      <c r="W1430" s="284" t="n">
        <v>50</v>
      </c>
      <c r="X1430" s="244" t="inlineStr">
        <is>
          <t>NA</t>
        </is>
      </c>
      <c r="Y1430" s="248" t="n">
        <v>43</v>
      </c>
      <c r="Z1430" s="248" t="inlineStr">
        <is>
          <t>NA</t>
        </is>
      </c>
      <c r="AA1430" s="249" t="inlineStr">
        <is>
          <t>NA</t>
        </is>
      </c>
      <c r="AB1430" s="284" t="inlineStr">
        <is>
          <t>NA</t>
        </is>
      </c>
      <c r="AC1430" s="244" t="inlineStr">
        <is>
          <t>NA</t>
        </is>
      </c>
      <c r="AD1430" s="284" t="inlineStr">
        <is>
          <t>N</t>
        </is>
      </c>
      <c r="AE1430" s="284" t="inlineStr">
        <is>
          <t>NA</t>
        </is>
      </c>
      <c r="AF1430" s="284" t="inlineStr">
        <is>
          <t>NA</t>
        </is>
      </c>
      <c r="AG1430" s="285" t="inlineStr">
        <is>
          <t>NA</t>
        </is>
      </c>
      <c r="AH1430" s="89" t="n"/>
      <c r="AI1430" s="330" t="n"/>
      <c r="AJ1430" s="331" t="n"/>
      <c r="AK1430" s="284" t="n"/>
      <c r="AL1430" s="285" t="n"/>
      <c r="AM1430" s="331" t="n"/>
      <c r="AN1430" s="331" t="n"/>
      <c r="AO1430" s="284" t="n"/>
      <c r="AP1430" s="285" t="n"/>
      <c r="AQ1430" s="331" t="n"/>
      <c r="AR1430" s="331" t="n"/>
      <c r="AS1430" s="284" t="n"/>
      <c r="AT1430" s="285" t="n"/>
      <c r="AU1430" s="331" t="n"/>
      <c r="AV1430" s="331" t="n"/>
      <c r="AW1430" s="284" t="n"/>
      <c r="AX1430" s="285" t="n"/>
      <c r="AY1430" s="331" t="n"/>
      <c r="AZ1430" s="331" t="n"/>
      <c r="BA1430" s="284" t="n"/>
      <c r="BB1430" s="285" t="n"/>
      <c r="BC1430" s="330" t="n"/>
      <c r="BD1430" s="331" t="n"/>
      <c r="BE1430" s="284" t="n"/>
      <c r="BF1430" s="285" t="n"/>
      <c r="BG1430" s="89" t="n"/>
      <c r="BH143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30">
        <f>_xlfn.LET(r,ROW(),oc,INDEX($A:$A,r),cv,TRIM(INDEX($Y:$Y,r)&amp;""),IF(oc&lt;&gt;"P1","",IF(cv="45","V45 - novo, nao alimentado pelo spool atual","V44 - alimentado pelo spool atual")))</f>
        <v/>
      </c>
    </row>
    <row r="1431" ht="54" customFormat="1" customHeight="1" s="90">
      <c r="A1431" s="306" t="inlineStr">
        <is>
          <t>M1</t>
        </is>
      </c>
      <c r="B1431" s="307" t="n">
        <v>136</v>
      </c>
      <c r="C1431" s="269" t="inlineStr">
        <is>
          <t xml:space="preserve">19 - Données comptables </t>
        </is>
      </c>
      <c r="D1431" s="236" t="inlineStr">
        <is>
          <t>19 - Accounting data</t>
        </is>
      </c>
      <c r="E1431" s="307" t="inlineStr">
        <is>
          <t>M1 50.1</t>
        </is>
      </c>
      <c r="F1431" s="308" t="inlineStr">
        <is>
          <t>Devise de liasse de l'entité</t>
        </is>
      </c>
      <c r="G1431" s="309" t="inlineStr">
        <is>
          <t>Package currency of the entity</t>
        </is>
      </c>
      <c r="H1431" s="309" t="n"/>
      <c r="I1431" s="650" t="inlineStr">
        <is>
          <t xml:space="preserve">Devise de liasse comptable de l'entité porteuse de risque à la date d'arrêté </t>
        </is>
      </c>
      <c r="J1431" s="309" t="inlineStr">
        <is>
          <t>Accounting package currency of the risk bearing entity at closing date</t>
        </is>
      </c>
      <c r="K1431" s="370" t="inlineStr">
        <is>
          <t>ND</t>
        </is>
      </c>
      <c r="L1431" s="371" t="inlineStr">
        <is>
          <t>ND</t>
        </is>
      </c>
      <c r="M1431" s="1420" t="inlineStr">
        <is>
          <t>cdDevEntCmpt</t>
        </is>
      </c>
      <c r="N1431" s="231" t="inlineStr">
        <is>
          <t>Obligatoire</t>
        </is>
      </c>
      <c r="O1431" s="236" t="inlineStr">
        <is>
          <t>Mandatory</t>
        </is>
      </c>
      <c r="P1431" s="269" t="inlineStr">
        <is>
          <t>LC.0005</t>
        </is>
      </c>
      <c r="Q1431" s="269" t="inlineStr">
        <is>
          <t>TA NM253</t>
        </is>
      </c>
      <c r="R1431" s="241" t="inlineStr">
        <is>
          <t>NA</t>
        </is>
      </c>
      <c r="S1431" s="309" t="inlineStr">
        <is>
          <t>NA</t>
        </is>
      </c>
      <c r="T1431" s="313" t="inlineStr">
        <is>
          <t>ALPHA</t>
        </is>
      </c>
      <c r="U1431" s="237" t="inlineStr">
        <is>
          <t>NA</t>
        </is>
      </c>
      <c r="V1431" s="238" t="inlineStr">
        <is>
          <t>NA</t>
        </is>
      </c>
      <c r="W1431" s="257" t="n">
        <v>3</v>
      </c>
      <c r="X1431" s="945" t="inlineStr">
        <is>
          <t>NA</t>
        </is>
      </c>
      <c r="Y1431" s="237" t="n">
        <v>43</v>
      </c>
      <c r="Z1431" s="237" t="inlineStr">
        <is>
          <t>NA</t>
        </is>
      </c>
      <c r="AA1431" s="239" t="inlineStr">
        <is>
          <t>NA</t>
        </is>
      </c>
      <c r="AB1431" s="269" t="inlineStr">
        <is>
          <t>USAGE ZP</t>
        </is>
      </c>
      <c r="AC1431" s="231" t="inlineStr">
        <is>
          <t>ND</t>
        </is>
      </c>
      <c r="AD1431" s="257" t="inlineStr">
        <is>
          <t>N</t>
        </is>
      </c>
      <c r="AE1431" s="257" t="inlineStr">
        <is>
          <t>SEC-CAS-COL
IAS
GUA-CDE
INS
REE-TAS</t>
        </is>
      </c>
      <c r="AF1431" s="257" t="inlineStr">
        <is>
          <t>NA</t>
        </is>
      </c>
      <c r="AG1431" s="258" t="inlineStr">
        <is>
          <t>NA</t>
        </is>
      </c>
      <c r="AH1431" s="89" t="n"/>
      <c r="AI1431" s="316" t="inlineStr">
        <is>
          <t>La donnée est obligatoire</t>
        </is>
      </c>
      <c r="AJ1431" s="317" t="inlineStr">
        <is>
          <t>The data is mandatory</t>
        </is>
      </c>
      <c r="AK1431" s="257" t="n">
        <v>7</v>
      </c>
      <c r="AL1431" s="335" t="inlineStr">
        <is>
          <t>TPG0001</t>
        </is>
      </c>
      <c r="AM1431" s="452" t="inlineStr">
        <is>
          <t>Si elle est renseignée, la valeur doit être connue du Langage Commun associé</t>
        </is>
      </c>
      <c r="AN1431" s="377" t="inlineStr">
        <is>
          <t>If specified, the value must be known to the associated Common Language</t>
        </is>
      </c>
      <c r="AO1431" s="257" t="n">
        <v>7</v>
      </c>
      <c r="AP1431" s="258" t="inlineStr">
        <is>
          <t>TIG0001</t>
        </is>
      </c>
      <c r="AQ1431" s="318" t="n"/>
      <c r="AR1431" s="317" t="n"/>
      <c r="AS1431" s="257" t="n"/>
      <c r="AT1431" s="258" t="n"/>
      <c r="AU1431" s="318" t="n"/>
      <c r="AV1431" s="317" t="n"/>
      <c r="AW1431" s="257" t="n"/>
      <c r="AX1431" s="258" t="n"/>
      <c r="AY1431" s="318" t="n"/>
      <c r="AZ1431" s="317" t="n"/>
      <c r="BA1431" s="257" t="n"/>
      <c r="BB1431" s="258" t="n"/>
      <c r="BC1431" s="316" t="n"/>
      <c r="BD1431" s="317" t="n"/>
      <c r="BE1431" s="257" t="n"/>
      <c r="BF1431" s="258" t="n"/>
      <c r="BG1431" s="89" t="n"/>
      <c r="BH143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31">
        <f>_xlfn.LET(r,ROW(),oc,INDEX($A:$A,r),cv,TRIM(INDEX($Y:$Y,r)&amp;""),IF(oc&lt;&gt;"P1","",IF(cv="45","V45 - novo, nao alimentado pelo spool atual","V44 - alimentado pelo spool atual")))</f>
        <v/>
      </c>
    </row>
    <row r="1432" ht="54" customFormat="1" customHeight="1" s="90">
      <c r="A1432" s="306" t="inlineStr">
        <is>
          <t>M1</t>
        </is>
      </c>
      <c r="B1432" s="307" t="n">
        <v>137</v>
      </c>
      <c r="C1432" s="269" t="inlineStr">
        <is>
          <t xml:space="preserve">19 - Données comptables </t>
        </is>
      </c>
      <c r="D1432" s="236" t="inlineStr">
        <is>
          <t>19 - Accounting data</t>
        </is>
      </c>
      <c r="E1432" s="307" t="inlineStr">
        <is>
          <t>M1 50.2</t>
        </is>
      </c>
      <c r="F1432" s="524" t="inlineStr">
        <is>
          <t>PCCO - Montant du principal 1</t>
        </is>
      </c>
      <c r="G1432" s="309" t="inlineStr">
        <is>
          <t xml:space="preserve">PCCO - Amount of principal 1 </t>
        </is>
      </c>
      <c r="H1432" s="309" t="n"/>
      <c r="I1432" s="525" t="inlineStr">
        <is>
          <t>Code du compte dans le Plan de comptes consolidé prudentiel
Le compte "PCCO - Montant du principal 1" correspond : 
 - au compte de l'actif comptabilisé au bilan (en juste valeur ou en coût amorti selon sa classification comptable), classé en nature d'opération NAT01 (Opérations de trésorerie et interbancaires), NAT02 (Opérations avec la clientèle) or NAT03 (Opérations sur titres hors repos),
- au compte comptabilisé au hors-bilan, classé en nature d'opération NAT06 (Engagements de garanties donnés), NAT07 (Engagements de financement donnés) ou en NAT08 (Engagements de garanties reçus), 
- au compte de l'actif comptabilisant au bilan la juste valeur comptable du dérivé, classé en nature d'opération NAT10B (Instruments financiers à terme (Bilan)),
- au compte de l'actif comptabilisant la valeur des titres pour les cessions temporaires de titres classé en nature d'opération NAT04 (Pensions)</t>
        </is>
      </c>
      <c r="J1432" s="309" t="inlineStr">
        <is>
          <t>Account code in the prudential consolidated chart of accounts
The "PCCO - Amount of Principal 1" account corresponds of :
 - the asset account recognized in the balance sheet (at fair value or amortized cost according to its accounting classification), classified as transaction type NAT01 (Treasury and interbank operations), NAT02 (Customer operations) or NAT03 (Securities transactions (excluded repos)),
- the account of the assets recognized on the off-balance sheet, classified as a transaction type NAT06 (Guarantee commitments given) and NAT07 (Funding commitments given) or NAT08 (Guarantee commitments received),
- the asset account recognized in the balance sheet the accounting fair value of derivative, classified as transaction type NAT10B (Financial futures instruments (Balance sheet)),
- the account accounting for the value of the securities for temporary securities sales, classified as transaction type NAT04 (Repos)</t>
        </is>
      </c>
      <c r="K1432" s="370" t="inlineStr">
        <is>
          <t>ND</t>
        </is>
      </c>
      <c r="L1432" s="371" t="inlineStr">
        <is>
          <t>ND</t>
        </is>
      </c>
      <c r="M1432" s="1420" t="inlineStr">
        <is>
          <t>cdPCCOVP1</t>
        </is>
      </c>
      <c r="N1432" s="231" t="inlineStr">
        <is>
          <t>Obligatoire</t>
        </is>
      </c>
      <c r="O1432" s="236" t="inlineStr">
        <is>
          <t>Mandatory</t>
        </is>
      </c>
      <c r="P1432" s="269" t="inlineStr">
        <is>
          <t>LC.0111</t>
        </is>
      </c>
      <c r="Q1432" s="269" t="inlineStr">
        <is>
          <t>TA H8PCCO</t>
        </is>
      </c>
      <c r="R1432" s="241" t="inlineStr">
        <is>
          <t>NA</t>
        </is>
      </c>
      <c r="S1432" s="309" t="inlineStr">
        <is>
          <t>NA</t>
        </is>
      </c>
      <c r="T1432" s="313" t="inlineStr">
        <is>
          <t>ALPHA</t>
        </is>
      </c>
      <c r="U1432" s="237" t="inlineStr">
        <is>
          <t>NA</t>
        </is>
      </c>
      <c r="V1432" s="238" t="inlineStr">
        <is>
          <t>NA</t>
        </is>
      </c>
      <c r="W1432" s="257" t="n">
        <v>12</v>
      </c>
      <c r="X1432" s="945" t="inlineStr">
        <is>
          <t>NA</t>
        </is>
      </c>
      <c r="Y1432" s="237" t="n">
        <v>43</v>
      </c>
      <c r="Z1432" s="237" t="inlineStr">
        <is>
          <t>NA</t>
        </is>
      </c>
      <c r="AA1432" s="239" t="inlineStr">
        <is>
          <t>45.00</t>
        </is>
      </c>
      <c r="AB1432" s="932" t="inlineStr">
        <is>
          <t>LIQUIDITE, MREL</t>
        </is>
      </c>
      <c r="AC1432" s="231" t="inlineStr">
        <is>
          <t>ND</t>
        </is>
      </c>
      <c r="AD1432" s="257" t="inlineStr">
        <is>
          <t>N</t>
        </is>
      </c>
      <c r="AE1432" s="257" t="inlineStr">
        <is>
          <t>SEC-CAS-COL
IAS
GUA-CDE
INS
REE-TAS</t>
        </is>
      </c>
      <c r="AF1432" s="257" t="inlineStr">
        <is>
          <t>NA</t>
        </is>
      </c>
      <c r="AG1432" s="258" t="inlineStr">
        <is>
          <t>NA</t>
        </is>
      </c>
      <c r="AH1432" s="89" t="n"/>
      <c r="AI1432" s="879" t="inlineStr">
        <is>
          <t>La donnée est obligatoire</t>
        </is>
      </c>
      <c r="AJ1432" s="321" t="inlineStr">
        <is>
          <t>The data is mandatory</t>
        </is>
      </c>
      <c r="AK1432" s="313" t="n">
        <v>7</v>
      </c>
      <c r="AL1432" s="335" t="inlineStr">
        <is>
          <t>TPG0001</t>
        </is>
      </c>
      <c r="AM1432" s="452" t="inlineStr">
        <is>
          <t>Si elle est renseignée, la valeur doit être connue du Langage Commun associé</t>
        </is>
      </c>
      <c r="AN1432" s="377" t="inlineStr">
        <is>
          <t>If specified, the value must be known to the associated Common Language</t>
        </is>
      </c>
      <c r="AO1432" s="257" t="n">
        <v>7</v>
      </c>
      <c r="AP1432" s="258" t="inlineStr">
        <is>
          <t>TIG0001</t>
        </is>
      </c>
      <c r="AQ1432" s="318" t="n"/>
      <c r="AR1432" s="317" t="n"/>
      <c r="AS1432" s="257" t="n"/>
      <c r="AT1432" s="258" t="n"/>
      <c r="AU1432" s="318" t="n"/>
      <c r="AV1432" s="317" t="n"/>
      <c r="AW1432" s="257" t="n"/>
      <c r="AX1432" s="258" t="n"/>
      <c r="AY1432" s="318" t="n"/>
      <c r="AZ1432" s="317" t="n"/>
      <c r="BA1432" s="257" t="n"/>
      <c r="BB1432" s="258" t="n"/>
      <c r="BC1432" s="316" t="n"/>
      <c r="BD1432" s="317" t="n"/>
      <c r="BE1432" s="257" t="n"/>
      <c r="BF1432" s="258" t="n"/>
      <c r="BG1432" s="89" t="n"/>
      <c r="BH143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32">
        <f>_xlfn.LET(r,ROW(),oc,INDEX($A:$A,r),cv,TRIM(INDEX($Y:$Y,r)&amp;""),IF(oc&lt;&gt;"P1","",IF(cv="45","V45 - novo, nao alimentado pelo spool atual","V44 - alimentado pelo spool atual")))</f>
        <v/>
      </c>
    </row>
    <row r="1433" ht="54" customFormat="1" customHeight="1" s="90">
      <c r="A1433" s="306" t="inlineStr">
        <is>
          <t>M1</t>
        </is>
      </c>
      <c r="B1433" s="307" t="n">
        <v>138</v>
      </c>
      <c r="C1433" s="269" t="inlineStr">
        <is>
          <t xml:space="preserve">19 - Données comptables </t>
        </is>
      </c>
      <c r="D1433" s="236" t="inlineStr">
        <is>
          <t>19 - Accounting data</t>
        </is>
      </c>
      <c r="E1433" s="307" t="inlineStr">
        <is>
          <t>M1 50.3</t>
        </is>
      </c>
      <c r="F1433" s="524" t="inlineStr">
        <is>
          <t xml:space="preserve">Montant du principal 1 </t>
        </is>
      </c>
      <c r="G1433" s="309" t="inlineStr">
        <is>
          <t xml:space="preserve">Amount of principal 1 </t>
        </is>
      </c>
      <c r="H1433" s="309" t="n"/>
      <c r="I1433" s="524" t="inlineStr">
        <is>
          <t>Il s'agit du solde du compte déclaré dans le champ "PCCO Montant du principal 1", en devise de liasse comptable de l'entité porteuse de risques, à la date d'arrêté</t>
        </is>
      </c>
      <c r="J1433" s="309" t="inlineStr">
        <is>
          <t>This is the account balance declared in the "PCCO Amount of Principal 1" field, in the accounting package currency of the risk-bearing entity, on the closing date</t>
        </is>
      </c>
      <c r="K1433" s="370" t="inlineStr">
        <is>
          <t>ND</t>
        </is>
      </c>
      <c r="L1433" s="371" t="inlineStr">
        <is>
          <t>ND</t>
        </is>
      </c>
      <c r="M1433" s="1420" t="inlineStr">
        <is>
          <t>mtPCCO1</t>
        </is>
      </c>
      <c r="N1433" s="231" t="inlineStr">
        <is>
          <t>Obligatoire sous conditions</t>
        </is>
      </c>
      <c r="O1433" s="236" t="inlineStr">
        <is>
          <t>Mandatory under conditions</t>
        </is>
      </c>
      <c r="P1433" s="269" t="inlineStr">
        <is>
          <t>NA</t>
        </is>
      </c>
      <c r="Q1433" s="269" t="inlineStr">
        <is>
          <t>NA</t>
        </is>
      </c>
      <c r="R1433" s="241" t="inlineStr">
        <is>
          <t>NA</t>
        </is>
      </c>
      <c r="S1433" s="309" t="inlineStr">
        <is>
          <t>NA</t>
        </is>
      </c>
      <c r="T1433" s="313" t="inlineStr">
        <is>
          <t>NUM</t>
        </is>
      </c>
      <c r="U1433" s="237" t="inlineStr">
        <is>
          <t>19 dont signe et 2 décimales</t>
        </is>
      </c>
      <c r="V1433" s="238" t="inlineStr">
        <is>
          <t>19 including sign and 2 decimals</t>
        </is>
      </c>
      <c r="W1433" s="257" t="n">
        <v>19</v>
      </c>
      <c r="X1433" s="945" t="inlineStr">
        <is>
          <t>NA</t>
        </is>
      </c>
      <c r="Y1433" s="237" t="n">
        <v>43</v>
      </c>
      <c r="Z1433" s="237" t="inlineStr">
        <is>
          <t>NA</t>
        </is>
      </c>
      <c r="AA1433" s="239" t="inlineStr">
        <is>
          <t>45.00</t>
        </is>
      </c>
      <c r="AB1433" s="932" t="inlineStr">
        <is>
          <t>LIQUIDITE, MREL</t>
        </is>
      </c>
      <c r="AC1433" s="231" t="inlineStr">
        <is>
          <t>ND</t>
        </is>
      </c>
      <c r="AD1433" s="257" t="inlineStr">
        <is>
          <t>N</t>
        </is>
      </c>
      <c r="AE1433" s="257" t="inlineStr">
        <is>
          <t>SEC-CAS-COL
IAS
GUA-CDE
INS
REE-TAS</t>
        </is>
      </c>
      <c r="AF1433" s="257" t="inlineStr">
        <is>
          <t>NA</t>
        </is>
      </c>
      <c r="AG1433" s="258" t="inlineStr">
        <is>
          <t>NA</t>
        </is>
      </c>
      <c r="AH1433" s="89" t="n"/>
      <c r="AI1433" s="702" t="inlineStr">
        <is>
          <t>La donnée est obligatoire si la donnée PCCO - Montant du principal 1 [M1 50.2] est renseignée</t>
        </is>
      </c>
      <c r="AJ1433" s="317" t="inlineStr">
        <is>
          <t>The data is mandatory if the PCCO - Amount of principal 1 [M1 50.2] data is filled</t>
        </is>
      </c>
      <c r="AK1433" s="257" t="n">
        <v>7</v>
      </c>
      <c r="AL1433" s="345" t="inlineStr">
        <is>
          <t>TPS0728</t>
        </is>
      </c>
      <c r="AM1433" s="318" t="n"/>
      <c r="AN1433" s="317" t="n"/>
      <c r="AO1433" s="257" t="n"/>
      <c r="AP1433" s="258" t="n"/>
      <c r="AQ1433" s="318" t="n"/>
      <c r="AR1433" s="317" t="n"/>
      <c r="AS1433" s="257" t="n"/>
      <c r="AT1433" s="258" t="n"/>
      <c r="AU1433" s="318" t="n"/>
      <c r="AV1433" s="317" t="n"/>
      <c r="AW1433" s="257" t="n"/>
      <c r="AX1433" s="258" t="n"/>
      <c r="AY1433" s="318" t="n"/>
      <c r="AZ1433" s="317" t="n"/>
      <c r="BA1433" s="257" t="n"/>
      <c r="BB1433" s="258" t="n"/>
      <c r="BC1433" s="316" t="n"/>
      <c r="BD1433" s="317" t="n"/>
      <c r="BE1433" s="257" t="n"/>
      <c r="BF1433" s="258" t="n"/>
      <c r="BG1433" s="89" t="n"/>
      <c r="BH143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33">
        <f>_xlfn.LET(r,ROW(),oc,INDEX($A:$A,r),cv,TRIM(INDEX($Y:$Y,r)&amp;""),IF(oc&lt;&gt;"P1","",IF(cv="45","V45 - novo, nao alimentado pelo spool atual","V44 - alimentado pelo spool atual")))</f>
        <v/>
      </c>
    </row>
    <row r="1434" ht="54" customFormat="1" customHeight="1" s="90">
      <c r="A1434" s="306" t="inlineStr">
        <is>
          <t>M1</t>
        </is>
      </c>
      <c r="B1434" s="307" t="n">
        <v>139</v>
      </c>
      <c r="C1434" s="269" t="inlineStr">
        <is>
          <t>31 - Paramètres bâlois</t>
        </is>
      </c>
      <c r="D1434" s="236" t="inlineStr">
        <is>
          <t>31 - Basel settings</t>
        </is>
      </c>
      <c r="E1434" s="307" t="inlineStr">
        <is>
          <t>M1 18.1</t>
        </is>
      </c>
      <c r="F1434" s="862" t="inlineStr">
        <is>
          <t>Perte en cas de défaut (LGD) associée au garant</t>
        </is>
      </c>
      <c r="G1434" s="309" t="inlineStr">
        <is>
          <t xml:space="preserve">Loss Given Default (LGD) </t>
        </is>
      </c>
      <c r="H1434" s="309" t="n"/>
      <c r="I1434" s="308" t="inlineStr">
        <is>
          <t>LGD Exprimée en pourcentage calculée par l'entité</t>
        </is>
      </c>
      <c r="J1434" s="309" t="inlineStr">
        <is>
          <t>LGD in percentage calculated by the entity</t>
        </is>
      </c>
      <c r="K1434" s="370" t="inlineStr">
        <is>
          <t>ND</t>
        </is>
      </c>
      <c r="L1434" s="371" t="inlineStr">
        <is>
          <t>ND</t>
        </is>
      </c>
      <c r="M1434" s="1420" t="inlineStr">
        <is>
          <t>txLGDgar</t>
        </is>
      </c>
      <c r="N1434" s="880" t="inlineStr">
        <is>
          <t>Obligatoire sous conditions</t>
        </is>
      </c>
      <c r="O1434" s="236" t="inlineStr">
        <is>
          <t>Mandatory under conditions</t>
        </is>
      </c>
      <c r="P1434" s="269" t="inlineStr">
        <is>
          <t>NA</t>
        </is>
      </c>
      <c r="Q1434" s="269" t="inlineStr">
        <is>
          <t>NA</t>
        </is>
      </c>
      <c r="R1434" s="1249" t="inlineStr">
        <is>
          <t>Donnée utilisée par le moteur IRB A et utilisée pour les engagements de certaines activités du groupe.
'il s'agit de la LGD du modèle IRBA pour le garant</t>
        </is>
      </c>
      <c r="S1434" s="235" t="inlineStr">
        <is>
          <t>Data used by the IRB A engine and used for the commitments of some group activities.
It is the LGD of the IRBA model for the guarantor</t>
        </is>
      </c>
      <c r="T1434" s="313" t="inlineStr">
        <is>
          <t>NUM</t>
        </is>
      </c>
      <c r="U1434" s="237" t="inlineStr">
        <is>
          <t>10 dont signe et 5 décimales</t>
        </is>
      </c>
      <c r="V1434" s="238" t="inlineStr">
        <is>
          <t>10 including sign and 5 decimals</t>
        </is>
      </c>
      <c r="W1434" s="257" t="n">
        <v>10</v>
      </c>
      <c r="X1434" s="994" t="inlineStr">
        <is>
          <t>NA</t>
        </is>
      </c>
      <c r="Y1434" s="237" t="n">
        <v>44</v>
      </c>
      <c r="Z1434" s="237" t="inlineStr">
        <is>
          <t>NA</t>
        </is>
      </c>
      <c r="AA1434" s="270" t="inlineStr">
        <is>
          <t>NA</t>
        </is>
      </c>
      <c r="AB1434" s="1286" t="inlineStr">
        <is>
          <t>CALCULS PRUDENTIELS</t>
        </is>
      </c>
      <c r="AC1434" s="231" t="inlineStr">
        <is>
          <t>ND</t>
        </is>
      </c>
      <c r="AD1434" s="257" t="inlineStr">
        <is>
          <t>N</t>
        </is>
      </c>
      <c r="AE1434" s="257" t="inlineStr">
        <is>
          <t>NA</t>
        </is>
      </c>
      <c r="AF1434" s="257" t="inlineStr">
        <is>
          <t>NA</t>
        </is>
      </c>
      <c r="AG1434" s="258" t="inlineStr">
        <is>
          <t>NA</t>
        </is>
      </c>
      <c r="AH1434" s="89" t="n"/>
      <c r="AI1434" s="881" t="inlineStr">
        <is>
          <t xml:space="preserve">La donnée est obligatoire, si la méthodologie bâloise du garant [M1 13.13] = ‘IRB A' </t>
        </is>
      </c>
      <c r="AJ1434" s="434" t="inlineStr">
        <is>
          <t>The data is mandatory, if Guarantor Basel methodology [M1 13.13] = ‘IRB A'</t>
        </is>
      </c>
      <c r="AK1434" s="588" t="n">
        <v>6</v>
      </c>
      <c r="AL1434" s="345" t="inlineStr">
        <is>
          <t>TPS0729</t>
        </is>
      </c>
      <c r="AM1434" s="712" t="n"/>
      <c r="AN1434" s="434" t="n"/>
      <c r="AO1434" s="588" t="n"/>
      <c r="AP1434" s="713" t="n"/>
      <c r="AQ1434" s="712" t="n"/>
      <c r="AR1434" s="434" t="n"/>
      <c r="AS1434" s="588" t="n"/>
      <c r="AT1434" s="713" t="n"/>
      <c r="AU1434" s="712" t="n"/>
      <c r="AV1434" s="434" t="n"/>
      <c r="AW1434" s="588" t="n"/>
      <c r="AX1434" s="713" t="n"/>
      <c r="AY1434" s="712" t="n"/>
      <c r="AZ1434" s="434" t="n"/>
      <c r="BA1434" s="588" t="n"/>
      <c r="BB1434" s="713" t="n"/>
      <c r="BC1434" s="712" t="n"/>
      <c r="BD1434" s="434" t="n"/>
      <c r="BE1434" s="588" t="n"/>
      <c r="BF1434" s="713" t="n"/>
      <c r="BG1434" s="89" t="n"/>
      <c r="BH143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34">
        <f>_xlfn.LET(r,ROW(),oc,INDEX($A:$A,r),cv,TRIM(INDEX($Y:$Y,r)&amp;""),IF(oc&lt;&gt;"P1","",IF(cv="45","V45 - novo, nao alimentado pelo spool atual","V44 - alimentado pelo spool atual")))</f>
        <v/>
      </c>
    </row>
    <row r="1435" ht="54" customFormat="1" customHeight="1" s="90">
      <c r="A1435" s="306" t="inlineStr">
        <is>
          <t>M1</t>
        </is>
      </c>
      <c r="B1435" s="307" t="n">
        <v>140</v>
      </c>
      <c r="C1435" s="269" t="inlineStr">
        <is>
          <t>31 - Paramètres bâlois</t>
        </is>
      </c>
      <c r="D1435" s="236" t="inlineStr">
        <is>
          <t>31 - Basel settings</t>
        </is>
      </c>
      <c r="E1435" s="307" t="inlineStr">
        <is>
          <t>M1 13.11</t>
        </is>
      </c>
      <c r="F1435" s="308" t="inlineStr">
        <is>
          <t>Indicateur d'utilisation de la sûreté réelle dans le modèle LGD</t>
        </is>
      </c>
      <c r="G1435" s="309" t="inlineStr">
        <is>
          <t>indicator Use of security in the LGD model</t>
        </is>
      </c>
      <c r="H1435" s="309" t="n"/>
      <c r="I1435" s="308" t="inlineStr">
        <is>
          <t>Indique si la sûreté réelle est utilisée dans le modèle pour obtenir la LGD IRBA de la part couverte de l'encours</t>
        </is>
      </c>
      <c r="J1435" s="309" t="inlineStr">
        <is>
          <t>Indicates if the security is used in the model to obtain the LGD IRBA of the secured part of the outstanding</t>
        </is>
      </c>
      <c r="K1435" s="370" t="inlineStr">
        <is>
          <t>ND</t>
        </is>
      </c>
      <c r="L1435" s="371" t="inlineStr">
        <is>
          <t>ND</t>
        </is>
      </c>
      <c r="M1435" s="1420" t="inlineStr">
        <is>
          <t>indSurLGD</t>
        </is>
      </c>
      <c r="N1435" s="231" t="inlineStr">
        <is>
          <t>Obligatoire sous conditions</t>
        </is>
      </c>
      <c r="O1435" s="236" t="inlineStr">
        <is>
          <t>Mandatory under conditions</t>
        </is>
      </c>
      <c r="P1435" s="269" t="inlineStr">
        <is>
          <t>LC.0510</t>
        </is>
      </c>
      <c r="Q1435" s="269" t="inlineStr">
        <is>
          <t>TA Z8IUSLGD</t>
        </is>
      </c>
      <c r="R1435" s="241" t="inlineStr">
        <is>
          <t>Donnée utilisée par le moteur IRB A dans le cas d'utilisation de sûretés réelles dans le modèle LGD</t>
        </is>
      </c>
      <c r="S1435" s="235" t="inlineStr">
        <is>
          <t>Data used by IRB A engine for use of security interest in LGD model</t>
        </is>
      </c>
      <c r="T1435" s="313" t="inlineStr">
        <is>
          <t>ALPHA</t>
        </is>
      </c>
      <c r="U1435" s="237" t="inlineStr">
        <is>
          <t>NA</t>
        </is>
      </c>
      <c r="V1435" s="238" t="inlineStr">
        <is>
          <t>NA</t>
        </is>
      </c>
      <c r="W1435" s="257" t="n">
        <v>1</v>
      </c>
      <c r="X1435" s="994" t="inlineStr">
        <is>
          <t>NA</t>
        </is>
      </c>
      <c r="Y1435" s="237" t="n">
        <v>44</v>
      </c>
      <c r="Z1435" s="237" t="inlineStr">
        <is>
          <t>NA</t>
        </is>
      </c>
      <c r="AA1435" s="270" t="inlineStr">
        <is>
          <t>NA</t>
        </is>
      </c>
      <c r="AB1435" s="1286" t="inlineStr">
        <is>
          <t>CALCULS PRUDENTIELS</t>
        </is>
      </c>
      <c r="AC1435" s="231" t="inlineStr">
        <is>
          <t>ND</t>
        </is>
      </c>
      <c r="AD1435" s="257" t="inlineStr">
        <is>
          <t>N</t>
        </is>
      </c>
      <c r="AE1435" s="842" t="inlineStr">
        <is>
          <t>SEC-CAS-COL
IAS
CDE
REE-TAS</t>
        </is>
      </c>
      <c r="AF1435" s="257" t="inlineStr">
        <is>
          <t>NA</t>
        </is>
      </c>
      <c r="AG1435" s="258" t="inlineStr">
        <is>
          <t>NA</t>
        </is>
      </c>
      <c r="AH1435" s="1364" t="n"/>
      <c r="AI1435" s="881" t="inlineStr">
        <is>
          <t>La donnée est obligatoire si la nature juridique de la sûreté [M1 5.1] est différente de NOT*, INS*, GUA*, CDE0101, CDE0201, CAS* et si la méthodologie bâloise [F2 2.17] de l'autorisation associée est égale à 'IRB A'
---
La donnée est obligatoire si la nature juridique de la sûreté [M1 5.1] = CAS* et le lieu de dépôt de la sûreté réelle [M1 8.11] = '2' et si la méthodologie bâloise [F2 2.17] de l'autorisation associée est égale à 'IRB A'</t>
        </is>
      </c>
      <c r="AJ1435" s="779" t="inlineStr">
        <is>
          <t>The data is mandatory if the legal nature of the mitigant [M1 5.1] is different from NOT*, INS*, GUA*, CDE0101, CDE0201, CAS* and if the basel 2 methodology [F2 2.17] of the associated facility line is 'IRB A'
---
The data is mandatory if the legal nature of the mitigant [M1 5.1] = CAS* and the place of deposit of real security [M1 8.11] = '2' and if the basel 2 methodology [F2 2.17] of the associated facility line is 'IRB A'</t>
        </is>
      </c>
      <c r="AK1435" s="882" t="n">
        <v>6</v>
      </c>
      <c r="AL1435" s="469" t="inlineStr">
        <is>
          <t>TP0830
TP0831</t>
        </is>
      </c>
      <c r="AM1435" s="712" t="inlineStr">
        <is>
          <t>Si elle est renseignée, la valeur doit être connue du Langage Commun associé</t>
        </is>
      </c>
      <c r="AN1435" s="434" t="inlineStr">
        <is>
          <t>If specified, the value must be known to the associated Common Language</t>
        </is>
      </c>
      <c r="AO1435" s="588" t="n">
        <v>7</v>
      </c>
      <c r="AP1435" s="762" t="inlineStr">
        <is>
          <t>TIG0001</t>
        </is>
      </c>
      <c r="AQ1435" s="712" t="n"/>
      <c r="AR1435" s="434" t="n"/>
      <c r="AS1435" s="588" t="n"/>
      <c r="AT1435" s="713" t="n"/>
      <c r="AU1435" s="712" t="n"/>
      <c r="AV1435" s="434" t="n"/>
      <c r="AW1435" s="588" t="n"/>
      <c r="AX1435" s="713" t="n"/>
      <c r="AY1435" s="712" t="n"/>
      <c r="AZ1435" s="434" t="n"/>
      <c r="BA1435" s="588" t="n"/>
      <c r="BB1435" s="713" t="n"/>
      <c r="BC1435" s="712" t="n"/>
      <c r="BD1435" s="434" t="n"/>
      <c r="BE1435" s="588" t="n"/>
      <c r="BF1435" s="713" t="n"/>
      <c r="BG1435" s="89" t="n"/>
      <c r="BH143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35">
        <f>_xlfn.LET(r,ROW(),oc,INDEX($A:$A,r),cv,TRIM(INDEX($Y:$Y,r)&amp;""),IF(oc&lt;&gt;"P1","",IF(cv="45","V45 - novo, nao alimentado pelo spool atual","V44 - alimentado pelo spool atual")))</f>
        <v/>
      </c>
    </row>
    <row r="1436" ht="54" customFormat="1" customHeight="1" s="90">
      <c r="A1436" s="306" t="inlineStr">
        <is>
          <t>M1</t>
        </is>
      </c>
      <c r="B1436" s="307" t="n">
        <v>141</v>
      </c>
      <c r="C1436" s="269" t="inlineStr">
        <is>
          <t>31 - Paramètres bâlois</t>
        </is>
      </c>
      <c r="D1436" s="236" t="inlineStr">
        <is>
          <t>31 - Basel settings</t>
        </is>
      </c>
      <c r="E1436" s="307" t="inlineStr">
        <is>
          <t>M1 13.12</t>
        </is>
      </c>
      <c r="F1436" s="883" t="inlineStr">
        <is>
          <t>Eligibilité de la garantie personnelle au modèle IRBA</t>
        </is>
      </c>
      <c r="G1436" s="309" t="inlineStr">
        <is>
          <t>Guarantee eligibility for IRBA model</t>
        </is>
      </c>
      <c r="H1436" s="309" t="n"/>
      <c r="I1436" s="308" t="inlineStr">
        <is>
          <t>Précise si la garantie personnelle est éligible tout le temps, éligible uniquement pour un encours sain ou non éligible dans le cadre des modèles Corporate IRBA</t>
        </is>
      </c>
      <c r="J1436" s="309" t="inlineStr">
        <is>
          <t>Indicates whether the personal guarantee is eligible all the time, eligible only for non defaulted outstanding or not eligible under the Corporate IRBA models</t>
        </is>
      </c>
      <c r="K1436" s="370" t="inlineStr">
        <is>
          <t>ND</t>
        </is>
      </c>
      <c r="L1436" s="371" t="inlineStr">
        <is>
          <t>ND</t>
        </is>
      </c>
      <c r="M1436" s="1420" t="inlineStr">
        <is>
          <t>EligGarPersoIRBA</t>
        </is>
      </c>
      <c r="N1436" s="231" t="inlineStr">
        <is>
          <t>Obligatoire sous conditions</t>
        </is>
      </c>
      <c r="O1436" s="236" t="inlineStr">
        <is>
          <t>Mandatory under conditions</t>
        </is>
      </c>
      <c r="P1436" s="269" t="inlineStr">
        <is>
          <t>LC.0484</t>
        </is>
      </c>
      <c r="Q1436" s="269" t="inlineStr">
        <is>
          <t>TA Z8EGPIRB</t>
        </is>
      </c>
      <c r="R1436" s="241" t="inlineStr">
        <is>
          <t>Donnée utilisée par le moteur IRB A dans le cas d'utilisation de garantie personnelle dans le modèle Coprorate</t>
        </is>
      </c>
      <c r="S1436" s="235" t="inlineStr">
        <is>
          <t>The data used by the IRB A engine when using personal guarantee in the Corporate template</t>
        </is>
      </c>
      <c r="T1436" s="313" t="inlineStr">
        <is>
          <t>ALPHA</t>
        </is>
      </c>
      <c r="U1436" s="237" t="inlineStr">
        <is>
          <t>NA</t>
        </is>
      </c>
      <c r="V1436" s="238" t="inlineStr">
        <is>
          <t>NA</t>
        </is>
      </c>
      <c r="W1436" s="257" t="n">
        <v>1</v>
      </c>
      <c r="X1436" s="994" t="inlineStr">
        <is>
          <t>NA</t>
        </is>
      </c>
      <c r="Y1436" s="237" t="n">
        <v>44</v>
      </c>
      <c r="Z1436" s="237" t="inlineStr">
        <is>
          <t>NA</t>
        </is>
      </c>
      <c r="AA1436" s="270" t="inlineStr">
        <is>
          <t>NA</t>
        </is>
      </c>
      <c r="AB1436" s="1286" t="inlineStr">
        <is>
          <t>CALCULS PRUDENTIELS</t>
        </is>
      </c>
      <c r="AC1436" s="231" t="inlineStr">
        <is>
          <t>ND</t>
        </is>
      </c>
      <c r="AD1436" s="257" t="inlineStr">
        <is>
          <t>N</t>
        </is>
      </c>
      <c r="AE1436" s="842" t="inlineStr">
        <is>
          <t>INS
GUA
CDE0101
CDE0201
CDE9998
CAS</t>
        </is>
      </c>
      <c r="AF1436" s="257" t="inlineStr">
        <is>
          <t>NA</t>
        </is>
      </c>
      <c r="AG1436" s="258" t="inlineStr">
        <is>
          <t>NA</t>
        </is>
      </c>
      <c r="AH1436" s="1364" t="n"/>
      <c r="AI1436" s="881" t="inlineStr">
        <is>
          <t>La donnée est obligatoire si la nature juridique de la sûreté [M1 5.1] = (INS*, GUA*, CDE0101, CDE0201, CDE9998) ET (lorsque la méthodologie bâloise du garant [M1 13.13] = ‘IRB A' OU la méthodologie bâloise du garant pour le calcul en simulation [M1 13.14] = ‘IRB A')
---
La donnée est obligatoire si la nature juridique de la sûreté [M1 5.1] = CAS* ET le lieu de dépôt de la sûreté réelle [M1 8.11] = '0' ou ‘1' ET (lorsque la méthodologie bâloise du garant [M1 13.13] = ‘IRB A' OU la méthodologie bâloise du garant pour le calcul en simulation [M1 13.14] = ‘IRB A')</t>
        </is>
      </c>
      <c r="AJ1436" s="434" t="inlineStr">
        <is>
          <t>The data is mandatory if the legal nature of the mitigant [M1 5.1] = (INS*, GUA*, CDE0101, CDE0201, CDE9998) AND (when the Guarantor Basel methodology [M1 13.13] = ‘IRB A' OR the Guarantor Basel methodology for calculation in simulation [M1 13.14] = ‘IRB A')
---
The data is mandatory if the legal nature of the mitigant [M1 5.1] = CAS* AND the place of deposit of real security [M1 8.11] = '0' or ‘1' AND (when the Guarantor Basel methodology [M1 13.13] = ‘IRB A' OR the Guarantor Basel methodology for calculation in simulation [M1 13.14] = ‘IRB A')</t>
        </is>
      </c>
      <c r="AK1436" s="882" t="n">
        <v>6</v>
      </c>
      <c r="AL1436" s="378" t="inlineStr">
        <is>
          <t>TPS0730
TPS0731</t>
        </is>
      </c>
      <c r="AM1436" s="712" t="inlineStr">
        <is>
          <t>Si elle est renseignée, la valeur doit être connue du Langage Commun associé</t>
        </is>
      </c>
      <c r="AN1436" s="434" t="inlineStr">
        <is>
          <t>If specified, the value must be known to the associated Common Language</t>
        </is>
      </c>
      <c r="AO1436" s="588" t="n">
        <v>7</v>
      </c>
      <c r="AP1436" s="762" t="inlineStr">
        <is>
          <t>TIG0001</t>
        </is>
      </c>
      <c r="AQ1436" s="712" t="n"/>
      <c r="AR1436" s="434" t="n"/>
      <c r="AS1436" s="588" t="n"/>
      <c r="AT1436" s="713" t="n"/>
      <c r="AU1436" s="712" t="n"/>
      <c r="AV1436" s="434" t="n"/>
      <c r="AW1436" s="588" t="n"/>
      <c r="AX1436" s="713" t="n"/>
      <c r="AY1436" s="712" t="n"/>
      <c r="AZ1436" s="434" t="n"/>
      <c r="BA1436" s="588" t="n"/>
      <c r="BB1436" s="713" t="n"/>
      <c r="BC1436" s="712" t="n"/>
      <c r="BD1436" s="434" t="n"/>
      <c r="BE1436" s="588" t="n"/>
      <c r="BF1436" s="713" t="n"/>
      <c r="BG1436" s="89" t="n"/>
      <c r="BH143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36">
        <f>_xlfn.LET(r,ROW(),oc,INDEX($A:$A,r),cv,TRIM(INDEX($Y:$Y,r)&amp;""),IF(oc&lt;&gt;"P1","",IF(cv="45","V45 - novo, nao alimentado pelo spool atual","V44 - alimentado pelo spool atual")))</f>
        <v/>
      </c>
    </row>
    <row r="1437" ht="54" customFormat="1" customHeight="1" s="90">
      <c r="A1437" s="306" t="inlineStr">
        <is>
          <t>M1</t>
        </is>
      </c>
      <c r="B1437" s="307" t="n">
        <v>142</v>
      </c>
      <c r="C1437" s="269" t="inlineStr">
        <is>
          <t>31 - Paramètres bâlois</t>
        </is>
      </c>
      <c r="D1437" s="236" t="inlineStr">
        <is>
          <t>31 - Basel settings</t>
        </is>
      </c>
      <c r="E1437" s="307" t="inlineStr">
        <is>
          <t>M1 13.13</t>
        </is>
      </c>
      <c r="F1437" s="308" t="inlineStr">
        <is>
          <t>Méthodologie Bâloise du garant</t>
        </is>
      </c>
      <c r="G1437" s="309" t="inlineStr">
        <is>
          <t>Guarantor Basel methodology</t>
        </is>
      </c>
      <c r="H1437" s="309" t="n"/>
      <c r="I1437" s="308" t="inlineStr">
        <is>
          <t>Correspond à la méthode de calcul des risques pondérés dans Bâle pour le garant</t>
        </is>
      </c>
      <c r="J1437" s="309" t="inlineStr">
        <is>
          <t>Corresponds to the weighted risk calculation method in Basel for the guarantor</t>
        </is>
      </c>
      <c r="K1437" s="370" t="inlineStr">
        <is>
          <t>ND</t>
        </is>
      </c>
      <c r="L1437" s="371" t="inlineStr">
        <is>
          <t>ND</t>
        </is>
      </c>
      <c r="M1437" s="1420" t="inlineStr">
        <is>
          <t>cdMethBalGar</t>
        </is>
      </c>
      <c r="N1437" s="231" t="inlineStr">
        <is>
          <t>Obligatoire sous conditions</t>
        </is>
      </c>
      <c r="O1437" s="236" t="inlineStr">
        <is>
          <t>Mandatory under conditions</t>
        </is>
      </c>
      <c r="P1437" s="269" t="inlineStr">
        <is>
          <t>LC.0068</t>
        </is>
      </c>
      <c r="Q1437" s="269" t="inlineStr">
        <is>
          <t xml:space="preserve">TA KVBAL22 </t>
        </is>
      </c>
      <c r="R1437" s="241" t="inlineStr">
        <is>
          <t xml:space="preserve">A alimenter pour les garanties personnelles </t>
        </is>
      </c>
      <c r="S1437" s="235" t="inlineStr">
        <is>
          <t xml:space="preserve">To be filled for personal guarantees </t>
        </is>
      </c>
      <c r="T1437" s="313" t="inlineStr">
        <is>
          <t>ALPHA</t>
        </is>
      </c>
      <c r="U1437" s="237" t="inlineStr">
        <is>
          <t>NA</t>
        </is>
      </c>
      <c r="V1437" s="238" t="inlineStr">
        <is>
          <t>NA</t>
        </is>
      </c>
      <c r="W1437" s="257" t="n">
        <v>7</v>
      </c>
      <c r="X1437" s="994" t="inlineStr">
        <is>
          <t>NA</t>
        </is>
      </c>
      <c r="Y1437" s="237" t="n">
        <v>44</v>
      </c>
      <c r="Z1437" s="237" t="inlineStr">
        <is>
          <t>NA</t>
        </is>
      </c>
      <c r="AA1437" s="270" t="inlineStr">
        <is>
          <t>NA</t>
        </is>
      </c>
      <c r="AB1437" s="1286" t="inlineStr">
        <is>
          <t>CALCULS PRUDENTIELS</t>
        </is>
      </c>
      <c r="AC1437" s="231" t="inlineStr">
        <is>
          <t>ND</t>
        </is>
      </c>
      <c r="AD1437" s="257" t="inlineStr">
        <is>
          <t>N</t>
        </is>
      </c>
      <c r="AE1437" s="884" t="inlineStr">
        <is>
          <t>INS (hors INS0903)
GUA
CDE0101
CDE0201
CDE9998
CAS</t>
        </is>
      </c>
      <c r="AF1437" s="257" t="inlineStr">
        <is>
          <t>NA</t>
        </is>
      </c>
      <c r="AG1437" s="258" t="inlineStr">
        <is>
          <t>NA</t>
        </is>
      </c>
      <c r="AH1437" s="1364" t="n"/>
      <c r="AI1437" s="768" t="inlineStr">
        <is>
          <t>La donnée est obligatoire si la nature juridique de la sûreté [M1 5.1] = (INS* (hors INS0903), GUA*, CDE0101, CDE0201, CDE9998)
---
La donnée est obligatoire si la nature juridique de la sûreté [M1 5.1] = CAS* et le lieu de dépôt de la sûreté réelle [M1 8.11] = '0' ou ‘1'</t>
        </is>
      </c>
      <c r="AJ1437" s="779" t="inlineStr">
        <is>
          <t>The data is mandatory if the legal nature of the mitigant [M1 5.1] = (INS* (except INS0903), GUA*, CDE0101, CDE0201, CDE9998)
---
The data is mandatory if the legal nature of the mitigant [M1 5.1] = CAS* and the place of deposit of real security [M1 8.11] = '0' ou ‘1'</t>
        </is>
      </c>
      <c r="AK1437" s="882" t="n">
        <v>7</v>
      </c>
      <c r="AL1437" s="378" t="inlineStr">
        <is>
          <t>TPS0732
TPS0733</t>
        </is>
      </c>
      <c r="AM1437" s="712" t="inlineStr">
        <is>
          <t>Si elle est renseignée, la valeur doit être connue du Langage Commun associé</t>
        </is>
      </c>
      <c r="AN1437" s="434" t="inlineStr">
        <is>
          <t>If specified, the value must be known to the associated Common Language</t>
        </is>
      </c>
      <c r="AO1437" s="588" t="n">
        <v>7</v>
      </c>
      <c r="AP1437" s="762" t="inlineStr">
        <is>
          <t>TIG0001</t>
        </is>
      </c>
      <c r="AQ1437" s="712" t="n"/>
      <c r="AR1437" s="434" t="n"/>
      <c r="AS1437" s="588" t="n"/>
      <c r="AT1437" s="713" t="n"/>
      <c r="AU1437" s="712" t="n"/>
      <c r="AV1437" s="434" t="n"/>
      <c r="AW1437" s="588" t="n"/>
      <c r="AX1437" s="713" t="n"/>
      <c r="AY1437" s="712" t="n"/>
      <c r="AZ1437" s="434" t="n"/>
      <c r="BA1437" s="588" t="n"/>
      <c r="BB1437" s="713" t="n"/>
      <c r="BC1437" s="712" t="n"/>
      <c r="BD1437" s="434" t="n"/>
      <c r="BE1437" s="588" t="n"/>
      <c r="BF1437" s="713" t="n"/>
      <c r="BG1437" s="89" t="n"/>
      <c r="BH143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37">
        <f>_xlfn.LET(r,ROW(),oc,INDEX($A:$A,r),cv,TRIM(INDEX($Y:$Y,r)&amp;""),IF(oc&lt;&gt;"P1","",IF(cv="45","V45 - novo, nao alimentado pelo spool atual","V44 - alimentado pelo spool atual")))</f>
        <v/>
      </c>
    </row>
    <row r="1438" ht="54" customFormat="1" customHeight="1" s="90">
      <c r="A1438" s="306" t="inlineStr">
        <is>
          <t>M1</t>
        </is>
      </c>
      <c r="B1438" s="307" t="n">
        <v>143</v>
      </c>
      <c r="C1438" s="269" t="inlineStr">
        <is>
          <t>31 - Paramètres bâlois</t>
        </is>
      </c>
      <c r="D1438" s="236" t="inlineStr">
        <is>
          <t>31 - Basel settings</t>
        </is>
      </c>
      <c r="E1438" s="307" t="inlineStr">
        <is>
          <t>M1 13.14</t>
        </is>
      </c>
      <c r="F1438" s="308" t="inlineStr">
        <is>
          <t>Méthodologie Bâloise du garant pour le calcul en simulation</t>
        </is>
      </c>
      <c r="G1438" s="309" t="inlineStr">
        <is>
          <t>Guarantor Basel methodology for calculation in simulation</t>
        </is>
      </c>
      <c r="H1438" s="309" t="n"/>
      <c r="I1438" s="308" t="inlineStr">
        <is>
          <t>Correspond à la méthode de calcul des risques pondérés dans Bâle pour le garant à utiliser pour le calcul lancé en simulation</t>
        </is>
      </c>
      <c r="J1438" s="309" t="inlineStr">
        <is>
          <t>Corresponds to the weighted risk calculation method in Basel for the guarantor to be used for the calculation launched in simulation</t>
        </is>
      </c>
      <c r="K1438" s="370" t="inlineStr">
        <is>
          <t>ND</t>
        </is>
      </c>
      <c r="L1438" s="371" t="inlineStr">
        <is>
          <t>ND</t>
        </is>
      </c>
      <c r="M1438" s="1420" t="inlineStr">
        <is>
          <t>cdMethBalGarSimul</t>
        </is>
      </c>
      <c r="N1438" s="718" t="inlineStr">
        <is>
          <t>Facultatif</t>
        </is>
      </c>
      <c r="O1438" s="236" t="inlineStr">
        <is>
          <t>Optional</t>
        </is>
      </c>
      <c r="P1438" s="269" t="inlineStr">
        <is>
          <t>LC.0068</t>
        </is>
      </c>
      <c r="Q1438" s="269" t="inlineStr">
        <is>
          <t xml:space="preserve">TA KVBAL22 </t>
        </is>
      </c>
      <c r="R1438" s="1249" t="inlineStr">
        <is>
          <t>A alimenter pour les garanties personnelles.
Champ lié au code traitement moteur déclaré sur l'encours associé</t>
        </is>
      </c>
      <c r="S1438" s="235" t="inlineStr">
        <is>
          <t xml:space="preserve">To be filled for personal guarantees.
Field linked to the engine processing code declared on the associated outstanding
</t>
        </is>
      </c>
      <c r="T1438" s="313" t="inlineStr">
        <is>
          <t>ALPHA</t>
        </is>
      </c>
      <c r="U1438" s="237" t="inlineStr">
        <is>
          <t>NA</t>
        </is>
      </c>
      <c r="V1438" s="238" t="inlineStr">
        <is>
          <t>NA</t>
        </is>
      </c>
      <c r="W1438" s="257" t="n">
        <v>7</v>
      </c>
      <c r="X1438" s="994" t="inlineStr">
        <is>
          <t>NA</t>
        </is>
      </c>
      <c r="Y1438" s="237" t="n">
        <v>44</v>
      </c>
      <c r="Z1438" s="237" t="inlineStr">
        <is>
          <t>NA</t>
        </is>
      </c>
      <c r="AA1438" s="270" t="inlineStr">
        <is>
          <t>NA</t>
        </is>
      </c>
      <c r="AB1438" s="1286" t="inlineStr">
        <is>
          <t>CALCULS PRUDENTIELS</t>
        </is>
      </c>
      <c r="AC1438" s="231" t="inlineStr">
        <is>
          <t>ND</t>
        </is>
      </c>
      <c r="AD1438" s="257" t="inlineStr">
        <is>
          <t>N</t>
        </is>
      </c>
      <c r="AE1438" s="842" t="inlineStr">
        <is>
          <t>INS
GUA
CDE0101
CDE0201
CDE9998
CAS</t>
        </is>
      </c>
      <c r="AF1438" s="257" t="inlineStr">
        <is>
          <t>NA</t>
        </is>
      </c>
      <c r="AG1438" s="258" t="inlineStr">
        <is>
          <t>NA</t>
        </is>
      </c>
      <c r="AH1438" s="1364" t="n"/>
      <c r="AI1438" s="768" t="n"/>
      <c r="AJ1438" s="779" t="n"/>
      <c r="AK1438" s="882" t="n"/>
      <c r="AL1438" s="713" t="n"/>
      <c r="AM1438" s="712" t="inlineStr">
        <is>
          <t>Si elle est renseignée, la valeur doit être connue du Langage Commun associé</t>
        </is>
      </c>
      <c r="AN1438" s="434" t="inlineStr">
        <is>
          <t>If specified, the value must be known to the associated Common Language</t>
        </is>
      </c>
      <c r="AO1438" s="588" t="n">
        <v>7</v>
      </c>
      <c r="AP1438" s="762" t="inlineStr">
        <is>
          <t>TIG0001</t>
        </is>
      </c>
      <c r="AQ1438" s="712" t="n"/>
      <c r="AR1438" s="434" t="n"/>
      <c r="AS1438" s="588" t="n"/>
      <c r="AT1438" s="713" t="n"/>
      <c r="AU1438" s="712" t="n"/>
      <c r="AV1438" s="434" t="n"/>
      <c r="AW1438" s="588" t="n"/>
      <c r="AX1438" s="713" t="n"/>
      <c r="AY1438" s="712" t="n"/>
      <c r="AZ1438" s="434" t="n"/>
      <c r="BA1438" s="588" t="n"/>
      <c r="BB1438" s="713" t="n"/>
      <c r="BC1438" s="712" t="n"/>
      <c r="BD1438" s="434" t="n"/>
      <c r="BE1438" s="588" t="n"/>
      <c r="BF1438" s="713" t="n"/>
      <c r="BG1438" s="89" t="n"/>
      <c r="BH143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38">
        <f>_xlfn.LET(r,ROW(),oc,INDEX($A:$A,r),cv,TRIM(INDEX($Y:$Y,r)&amp;""),IF(oc&lt;&gt;"P1","",IF(cv="45","V45 - novo, nao alimentado pelo spool atual","V44 - alimentado pelo spool atual")))</f>
        <v/>
      </c>
    </row>
    <row r="1439" ht="54" customFormat="1" customHeight="1" s="90">
      <c r="A1439" s="325" t="inlineStr">
        <is>
          <t>M1</t>
        </is>
      </c>
      <c r="B1439" s="326" t="n">
        <v>144</v>
      </c>
      <c r="C1439" s="284" t="inlineStr">
        <is>
          <t>27 - Caractéristiques extra-financière</t>
        </is>
      </c>
      <c r="D1439" s="244" t="inlineStr">
        <is>
          <t>27 - Extra-financial caracteristics</t>
        </is>
      </c>
      <c r="E1439" s="326" t="inlineStr">
        <is>
          <t>M1 21.73</t>
        </is>
      </c>
      <c r="F1439" s="327" t="inlineStr">
        <is>
          <t>Localisation du bien apporté en garantie : Extension</t>
        </is>
      </c>
      <c r="G1439" s="327" t="inlineStr">
        <is>
          <t>Location of the real estate provided in guarantee: Extension</t>
        </is>
      </c>
      <c r="H1439" s="327" t="n"/>
      <c r="I1439" s="327" t="inlineStr">
        <is>
          <t>Localisation du bien apporté en garantie : extension (bis, ter…)</t>
        </is>
      </c>
      <c r="J1439" s="327" t="inlineStr">
        <is>
          <t>Location of the real estate provided in guarantee: Extension</t>
        </is>
      </c>
      <c r="K1439" s="388" t="inlineStr">
        <is>
          <t>NA</t>
        </is>
      </c>
      <c r="L1439" s="388" t="inlineStr">
        <is>
          <t>NA</t>
        </is>
      </c>
      <c r="M1439" s="1421" t="inlineStr">
        <is>
          <t>ExtNumBienGar</t>
        </is>
      </c>
      <c r="N1439" s="244" t="inlineStr">
        <is>
          <t>NA</t>
        </is>
      </c>
      <c r="O1439" s="244" t="inlineStr">
        <is>
          <t>NA</t>
        </is>
      </c>
      <c r="P1439" s="284" t="inlineStr">
        <is>
          <t>NA</t>
        </is>
      </c>
      <c r="Q1439" s="284" t="inlineStr">
        <is>
          <t>NA</t>
        </is>
      </c>
      <c r="R1439" s="245" t="inlineStr">
        <is>
          <t>NA</t>
        </is>
      </c>
      <c r="S1439" s="327" t="inlineStr">
        <is>
          <t>NA</t>
        </is>
      </c>
      <c r="T1439" s="326" t="inlineStr">
        <is>
          <t>ALPHA</t>
        </is>
      </c>
      <c r="U1439" s="248" t="inlineStr">
        <is>
          <t>NA</t>
        </is>
      </c>
      <c r="V1439" s="248" t="inlineStr">
        <is>
          <t>NA</t>
        </is>
      </c>
      <c r="W1439" s="284" t="n">
        <v>40</v>
      </c>
      <c r="X1439" s="284" t="inlineStr">
        <is>
          <t>NA</t>
        </is>
      </c>
      <c r="Y1439" s="248" t="n">
        <v>44</v>
      </c>
      <c r="Z1439" s="248" t="n">
        <v>44</v>
      </c>
      <c r="AA1439" s="782" t="inlineStr">
        <is>
          <t>NA</t>
        </is>
      </c>
      <c r="AB1439" s="284" t="inlineStr">
        <is>
          <t>RISQUE PHYSIQUE</t>
        </is>
      </c>
      <c r="AC1439" s="244" t="inlineStr">
        <is>
          <t>NA</t>
        </is>
      </c>
      <c r="AD1439" s="284" t="inlineStr">
        <is>
          <t>N</t>
        </is>
      </c>
      <c r="AE1439" s="284" t="inlineStr">
        <is>
          <t>REE</t>
        </is>
      </c>
      <c r="AF1439" s="284" t="inlineStr">
        <is>
          <t>NA</t>
        </is>
      </c>
      <c r="AG1439" s="285" t="inlineStr">
        <is>
          <t>NA</t>
        </is>
      </c>
      <c r="AH1439" s="89" t="n"/>
      <c r="AI1439" s="714" t="n"/>
      <c r="AJ1439" s="434" t="n"/>
      <c r="AK1439" s="588" t="n"/>
      <c r="AL1439" s="713" t="n"/>
      <c r="AM1439" s="712" t="n"/>
      <c r="AN1439" s="434" t="n"/>
      <c r="AO1439" s="588" t="n"/>
      <c r="AP1439" s="713" t="n"/>
      <c r="AQ1439" s="712" t="n"/>
      <c r="AR1439" s="434" t="n"/>
      <c r="AS1439" s="588" t="n"/>
      <c r="AT1439" s="713" t="n"/>
      <c r="AU1439" s="712" t="n"/>
      <c r="AV1439" s="434" t="n"/>
      <c r="AW1439" s="588" t="n"/>
      <c r="AX1439" s="713" t="n"/>
      <c r="AY1439" s="712" t="n"/>
      <c r="AZ1439" s="434" t="n"/>
      <c r="BA1439" s="588" t="n"/>
      <c r="BB1439" s="713" t="n"/>
      <c r="BC1439" s="712" t="n"/>
      <c r="BD1439" s="434" t="n"/>
      <c r="BE1439" s="588" t="n"/>
      <c r="BF1439" s="713" t="n"/>
      <c r="BG1439" s="89" t="n"/>
      <c r="BH143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39">
        <f>_xlfn.LET(r,ROW(),oc,INDEX($A:$A,r),cv,TRIM(INDEX($Y:$Y,r)&amp;""),IF(oc&lt;&gt;"P1","",IF(cv="45","V45 - novo, nao alimentado pelo spool atual","V44 - alimentado pelo spool atual")))</f>
        <v/>
      </c>
    </row>
    <row r="1440" ht="54" customFormat="1" customHeight="1" s="90">
      <c r="A1440" s="325" t="inlineStr">
        <is>
          <t>M1</t>
        </is>
      </c>
      <c r="B1440" s="326" t="n">
        <v>145</v>
      </c>
      <c r="C1440" s="284" t="inlineStr">
        <is>
          <t>27 - Caractéristiques extra-financière</t>
        </is>
      </c>
      <c r="D1440" s="244" t="inlineStr">
        <is>
          <t>27 - Extra-financial caracteristics</t>
        </is>
      </c>
      <c r="E1440" s="326" t="inlineStr">
        <is>
          <t>M1 21.75</t>
        </is>
      </c>
      <c r="F1440" s="327" t="inlineStr">
        <is>
          <t>Localisation du bien apporté en garantie : libellé de la voie</t>
        </is>
      </c>
      <c r="G1440" s="327" t="inlineStr">
        <is>
          <t>Location of the real estate provided in guarantee: road name</t>
        </is>
      </c>
      <c r="H1440" s="327" t="n"/>
      <c r="I1440" s="327" t="inlineStr">
        <is>
          <t>Localisation du bien apporté en garantie : libellé de la voie</t>
        </is>
      </c>
      <c r="J1440" s="327" t="inlineStr">
        <is>
          <t>Location of the real estate provided in guarantee: road name</t>
        </is>
      </c>
      <c r="K1440" s="388" t="inlineStr">
        <is>
          <t>NA</t>
        </is>
      </c>
      <c r="L1440" s="388" t="inlineStr">
        <is>
          <t>NA</t>
        </is>
      </c>
      <c r="M1440" s="1421" t="inlineStr">
        <is>
          <t>LibVoieBienGar</t>
        </is>
      </c>
      <c r="N1440" s="244" t="inlineStr">
        <is>
          <t>NA</t>
        </is>
      </c>
      <c r="O1440" s="244" t="inlineStr">
        <is>
          <t>NA</t>
        </is>
      </c>
      <c r="P1440" s="284" t="inlineStr">
        <is>
          <t>NA</t>
        </is>
      </c>
      <c r="Q1440" s="284" t="inlineStr">
        <is>
          <t>NA</t>
        </is>
      </c>
      <c r="R1440" s="245" t="inlineStr">
        <is>
          <t>NA</t>
        </is>
      </c>
      <c r="S1440" s="327" t="inlineStr">
        <is>
          <t>NA</t>
        </is>
      </c>
      <c r="T1440" s="326" t="inlineStr">
        <is>
          <t>ALPHA</t>
        </is>
      </c>
      <c r="U1440" s="248" t="inlineStr">
        <is>
          <t>NA</t>
        </is>
      </c>
      <c r="V1440" s="248" t="inlineStr">
        <is>
          <t>NA</t>
        </is>
      </c>
      <c r="W1440" s="284" t="n">
        <v>40</v>
      </c>
      <c r="X1440" s="284" t="inlineStr">
        <is>
          <t>NA</t>
        </is>
      </c>
      <c r="Y1440" s="248" t="n">
        <v>44</v>
      </c>
      <c r="Z1440" s="248" t="n">
        <v>44</v>
      </c>
      <c r="AA1440" s="782" t="inlineStr">
        <is>
          <t>NA</t>
        </is>
      </c>
      <c r="AB1440" s="284" t="inlineStr">
        <is>
          <t>RISQUE PHYSIQUE</t>
        </is>
      </c>
      <c r="AC1440" s="244" t="inlineStr">
        <is>
          <t>NA</t>
        </is>
      </c>
      <c r="AD1440" s="284" t="inlineStr">
        <is>
          <t>N</t>
        </is>
      </c>
      <c r="AE1440" s="284" t="inlineStr">
        <is>
          <t>REE</t>
        </is>
      </c>
      <c r="AF1440" s="284" t="inlineStr">
        <is>
          <t>NA</t>
        </is>
      </c>
      <c r="AG1440" s="285" t="inlineStr">
        <is>
          <t>NA</t>
        </is>
      </c>
      <c r="AH1440" s="89" t="n"/>
      <c r="AI1440" s="711" t="n"/>
      <c r="AJ1440" s="434" t="n"/>
      <c r="AK1440" s="588" t="n"/>
      <c r="AL1440" s="713" t="n"/>
      <c r="AM1440" s="712" t="n"/>
      <c r="AN1440" s="434" t="n"/>
      <c r="AO1440" s="588" t="n"/>
      <c r="AP1440" s="713" t="n"/>
      <c r="AQ1440" s="712" t="n"/>
      <c r="AR1440" s="434" t="n"/>
      <c r="AS1440" s="588" t="n"/>
      <c r="AT1440" s="713" t="n"/>
      <c r="AU1440" s="712" t="n"/>
      <c r="AV1440" s="434" t="n"/>
      <c r="AW1440" s="588" t="n"/>
      <c r="AX1440" s="713" t="n"/>
      <c r="AY1440" s="712" t="n"/>
      <c r="AZ1440" s="434" t="n"/>
      <c r="BA1440" s="588" t="n"/>
      <c r="BB1440" s="713" t="n"/>
      <c r="BC1440" s="712" t="n"/>
      <c r="BD1440" s="434" t="n"/>
      <c r="BE1440" s="588" t="n"/>
      <c r="BF1440" s="713" t="n"/>
      <c r="BG1440" s="89" t="n"/>
      <c r="BH144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40">
        <f>_xlfn.LET(r,ROW(),oc,INDEX($A:$A,r),cv,TRIM(INDEX($Y:$Y,r)&amp;""),IF(oc&lt;&gt;"P1","",IF(cv="45","V45 - novo, nao alimentado pelo spool atual","V44 - alimentado pelo spool atual")))</f>
        <v/>
      </c>
    </row>
    <row r="1441" ht="54" customFormat="1" customHeight="1" s="90">
      <c r="A1441" s="1365" t="inlineStr">
        <is>
          <t>M1</t>
        </is>
      </c>
      <c r="B1441" s="1303" t="n">
        <v>146</v>
      </c>
      <c r="C1441" s="1377" t="inlineStr">
        <is>
          <t>03 - Caractéristiques Générales</t>
        </is>
      </c>
      <c r="D1441" s="1393" t="inlineStr">
        <is>
          <t>03 - General characteristics</t>
        </is>
      </c>
      <c r="E1441" s="1303" t="inlineStr">
        <is>
          <t>M1 202</t>
        </is>
      </c>
      <c r="F1441" s="1366" t="inlineStr">
        <is>
          <t>Code produit local</t>
        </is>
      </c>
      <c r="G1441" s="1367" t="inlineStr">
        <is>
          <t>Local product code</t>
        </is>
      </c>
      <c r="H1441" s="1367" t="n"/>
      <c r="I1441" s="1368" t="inlineStr">
        <is>
          <t>Nom du produit dans le référentiel local de l'entité</t>
        </is>
      </c>
      <c r="J1441" s="1367" t="inlineStr">
        <is>
          <t>Product name in the entity's local referential</t>
        </is>
      </c>
      <c r="K1441" s="1369" t="inlineStr">
        <is>
          <t>ND</t>
        </is>
      </c>
      <c r="L1441" s="1370" t="inlineStr">
        <is>
          <t>ND</t>
        </is>
      </c>
      <c r="M1441" s="1427" t="inlineStr">
        <is>
          <t>CdProdLoc</t>
        </is>
      </c>
      <c r="N1441" s="1303" t="inlineStr">
        <is>
          <t>Facultatif</t>
        </is>
      </c>
      <c r="O1441" s="1309" t="inlineStr">
        <is>
          <t>Optional</t>
        </is>
      </c>
      <c r="P1441" s="1371" t="inlineStr">
        <is>
          <t>NA</t>
        </is>
      </c>
      <c r="Q1441" s="1371" t="inlineStr">
        <is>
          <t>NA</t>
        </is>
      </c>
      <c r="R1441" s="1307" t="inlineStr">
        <is>
          <t>Codification libre</t>
        </is>
      </c>
      <c r="S1441" s="1302" t="inlineStr">
        <is>
          <t>Free codification</t>
        </is>
      </c>
      <c r="T1441" s="1371" t="inlineStr">
        <is>
          <t>ALPHA</t>
        </is>
      </c>
      <c r="U1441" s="1372" t="inlineStr">
        <is>
          <t>NA</t>
        </is>
      </c>
      <c r="V1441" s="1373" t="inlineStr">
        <is>
          <t>NA</t>
        </is>
      </c>
      <c r="W1441" s="1371" t="n">
        <v>50</v>
      </c>
      <c r="X1441" s="1374" t="inlineStr">
        <is>
          <t>NA</t>
        </is>
      </c>
      <c r="Y1441" s="1372" t="inlineStr">
        <is>
          <t>45</t>
        </is>
      </c>
      <c r="Z1441" s="1375" t="inlineStr">
        <is>
          <t>NA</t>
        </is>
      </c>
      <c r="AA1441" s="1376" t="inlineStr">
        <is>
          <t>NA</t>
        </is>
      </c>
      <c r="AB1441" s="1377" t="inlineStr">
        <is>
          <t>LIQUIDITE, MREL</t>
        </is>
      </c>
      <c r="AC1441" s="1369" t="inlineStr">
        <is>
          <t>ND</t>
        </is>
      </c>
      <c r="AD1441" s="1348" t="inlineStr">
        <is>
          <t>N</t>
        </is>
      </c>
      <c r="AE1441" s="1348" t="inlineStr">
        <is>
          <t>NA</t>
        </is>
      </c>
      <c r="AF1441" s="1369" t="inlineStr">
        <is>
          <t xml:space="preserve">NA </t>
        </is>
      </c>
      <c r="AG1441" s="1378" t="inlineStr">
        <is>
          <t xml:space="preserve">NA </t>
        </is>
      </c>
      <c r="AH1441" s="1379" t="n"/>
      <c r="AI1441" s="1380" t="n"/>
      <c r="AJ1441" s="1381" t="n"/>
      <c r="AK1441" s="1382" t="n"/>
      <c r="AL1441" s="1316" t="n"/>
      <c r="AM1441" s="1321" t="n"/>
      <c r="AN1441" s="1322" t="n"/>
      <c r="AO1441" s="1323" t="n"/>
      <c r="AP1441" s="1324" t="n"/>
      <c r="AQ1441" s="1383" t="n"/>
      <c r="AR1441" s="1384" t="n"/>
      <c r="AS1441" s="1385" t="n"/>
      <c r="AT1441" s="1386" t="n"/>
      <c r="AU1441" s="1387" t="n"/>
      <c r="AV1441" s="1302" t="n"/>
      <c r="AW1441" s="1385" t="n"/>
      <c r="AX1441" s="1386" t="n"/>
      <c r="AY1441" s="1387" t="n"/>
      <c r="AZ1441" s="1302" t="n"/>
      <c r="BA1441" s="1388" t="n"/>
      <c r="BB1441" s="1389" t="n"/>
      <c r="BC1441" s="1390" t="n"/>
      <c r="BD1441" s="1302" t="n"/>
      <c r="BE1441" s="1385" t="n"/>
      <c r="BF1441" s="1386" t="n"/>
      <c r="BG1441" s="89" t="n"/>
      <c r="BH144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41">
        <f>_xlfn.LET(r,ROW(),oc,INDEX($A:$A,r),cv,TRIM(INDEX($Y:$Y,r)&amp;""),IF(oc&lt;&gt;"P1","",IF(cv="45","V45 - novo, nao alimentado pelo spool atual","V44 - alimentado pelo spool atual")))</f>
        <v/>
      </c>
    </row>
    <row r="1442" ht="54" customFormat="1" customHeight="1" s="90">
      <c r="A1442" s="1365" t="inlineStr">
        <is>
          <t>M1</t>
        </is>
      </c>
      <c r="B1442" s="1303" t="n">
        <v>147</v>
      </c>
      <c r="C1442" s="1377" t="inlineStr">
        <is>
          <t>03 - Caractéristiques Générales</t>
        </is>
      </c>
      <c r="D1442" s="1393" t="inlineStr">
        <is>
          <t>03 - General characteristics</t>
        </is>
      </c>
      <c r="E1442" s="1303" t="inlineStr">
        <is>
          <t>M1 500</t>
        </is>
      </c>
      <c r="F1442" s="1366" t="inlineStr">
        <is>
          <t>Plan Produit Liquidité</t>
        </is>
      </c>
      <c r="G1442" s="1367" t="inlineStr">
        <is>
          <t xml:space="preserve">Liquidity product plan </t>
        </is>
      </c>
      <c r="H1442" s="1367" t="n"/>
      <c r="I1442" s="1368" t="inlineStr">
        <is>
          <t>Code produit exploité pour la construction du bilan de Liquidité</t>
        </is>
      </c>
      <c r="J1442" s="1367" t="inlineStr">
        <is>
          <t>Product code used for the construction of the liquidity balancesheet</t>
        </is>
      </c>
      <c r="K1442" s="1369" t="inlineStr">
        <is>
          <t>ND</t>
        </is>
      </c>
      <c r="L1442" s="1370" t="inlineStr">
        <is>
          <t>ND</t>
        </is>
      </c>
      <c r="M1442" s="1427" t="inlineStr">
        <is>
          <t>TBD</t>
        </is>
      </c>
      <c r="N1442" s="1303" t="inlineStr">
        <is>
          <t>Obligatoire</t>
        </is>
      </c>
      <c r="O1442" s="1309" t="inlineStr">
        <is>
          <t>Mandatory</t>
        </is>
      </c>
      <c r="P1442" s="1371" t="inlineStr">
        <is>
          <t>LC.0550</t>
        </is>
      </c>
      <c r="Q1442" s="1371" t="inlineStr">
        <is>
          <t>RB Z8COPRLQ</t>
        </is>
      </c>
      <c r="R1442" s="1307" t="inlineStr">
        <is>
          <t>NA</t>
        </is>
      </c>
      <c r="S1442" s="1302" t="inlineStr">
        <is>
          <t>NA</t>
        </is>
      </c>
      <c r="T1442" s="1371" t="inlineStr">
        <is>
          <t>ALPHA</t>
        </is>
      </c>
      <c r="U1442" s="1372" t="inlineStr">
        <is>
          <t>NA</t>
        </is>
      </c>
      <c r="V1442" s="1373" t="inlineStr">
        <is>
          <t>NA</t>
        </is>
      </c>
      <c r="W1442" s="1371" t="n">
        <v>12</v>
      </c>
      <c r="X1442" s="1374" t="inlineStr">
        <is>
          <t>NA</t>
        </is>
      </c>
      <c r="Y1442" s="1372" t="inlineStr">
        <is>
          <t>45</t>
        </is>
      </c>
      <c r="Z1442" s="1375" t="inlineStr">
        <is>
          <t>NA</t>
        </is>
      </c>
      <c r="AA1442" s="1376" t="inlineStr">
        <is>
          <t>NA</t>
        </is>
      </c>
      <c r="AB1442" s="1377" t="inlineStr">
        <is>
          <t>LIQUIDITE</t>
        </is>
      </c>
      <c r="AC1442" s="1369" t="inlineStr">
        <is>
          <t>ND</t>
        </is>
      </c>
      <c r="AD1442" s="1348" t="inlineStr">
        <is>
          <t>N</t>
        </is>
      </c>
      <c r="AE1442" s="1369" t="inlineStr">
        <is>
          <t>NA</t>
        </is>
      </c>
      <c r="AF1442" s="1369" t="inlineStr">
        <is>
          <t>NA</t>
        </is>
      </c>
      <c r="AG1442" s="1378" t="inlineStr">
        <is>
          <t>NA</t>
        </is>
      </c>
      <c r="AH1442" s="1379" t="n"/>
      <c r="AI1442" s="1391" t="inlineStr">
        <is>
          <t>La donnée est obligatoire</t>
        </is>
      </c>
      <c r="AJ1442" s="1392" t="inlineStr">
        <is>
          <t>The data is mandatory</t>
        </is>
      </c>
      <c r="AK1442" s="1382" t="n">
        <v>7</v>
      </c>
      <c r="AL1442" s="1316" t="inlineStr">
        <is>
          <t>TPG0001</t>
        </is>
      </c>
      <c r="AM1442" s="1321" t="inlineStr">
        <is>
          <t>Si elle est renseignée, la valeur doit être connue du Langage Commun associé</t>
        </is>
      </c>
      <c r="AN1442" s="1322" t="inlineStr">
        <is>
          <t>If specified, the value must be known to the associated Common Language</t>
        </is>
      </c>
      <c r="AO1442" s="1323" t="n">
        <v>7</v>
      </c>
      <c r="AP1442" s="1324" t="inlineStr">
        <is>
          <t>TIG0001</t>
        </is>
      </c>
      <c r="AQ1442" s="1383" t="n"/>
      <c r="AR1442" s="1384" t="n"/>
      <c r="AS1442" s="1385" t="n"/>
      <c r="AT1442" s="1386" t="n"/>
      <c r="AU1442" s="1387" t="n"/>
      <c r="AV1442" s="1302" t="n"/>
      <c r="AW1442" s="1385" t="n"/>
      <c r="AX1442" s="1386" t="n"/>
      <c r="AY1442" s="1387" t="n"/>
      <c r="AZ1442" s="1302" t="n"/>
      <c r="BA1442" s="1388" t="n"/>
      <c r="BB1442" s="1389" t="n"/>
      <c r="BC1442" s="1390" t="n"/>
      <c r="BD1442" s="1302" t="n"/>
      <c r="BE1442" s="1385" t="n"/>
      <c r="BF1442" s="1386" t="n"/>
      <c r="BG1442" s="89" t="n"/>
      <c r="BH144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42">
        <f>_xlfn.LET(r,ROW(),oc,INDEX($A:$A,r),cv,TRIM(INDEX($Y:$Y,r)&amp;""),IF(oc&lt;&gt;"P1","",IF(cv="45","V45 - novo, nao alimentado pelo spool atual","V44 - alimentado pelo spool atual")))</f>
        <v/>
      </c>
    </row>
    <row r="1443" ht="54" customFormat="1" customHeight="1" s="90">
      <c r="A1443" s="1365" t="inlineStr">
        <is>
          <t>M1</t>
        </is>
      </c>
      <c r="B1443" s="1303" t="n">
        <v>148</v>
      </c>
      <c r="C1443" s="1377" t="inlineStr">
        <is>
          <t>03 - Caractéristiques Générales</t>
        </is>
      </c>
      <c r="D1443" s="1393" t="inlineStr">
        <is>
          <t>03 - General characteristics</t>
        </is>
      </c>
      <c r="E1443" s="1303" t="inlineStr">
        <is>
          <t>M1 4.44</t>
        </is>
      </c>
      <c r="F1443" s="1366" t="inlineStr">
        <is>
          <t>Ligne Produit</t>
        </is>
      </c>
      <c r="G1443" s="1367" t="inlineStr">
        <is>
          <t>Product Line</t>
        </is>
      </c>
      <c r="H1443" s="1367" t="n"/>
      <c r="I1443" s="1368" t="inlineStr">
        <is>
          <t>Code Ligne de Produit dans la codification locale - donnée réservée CACIB</t>
        </is>
      </c>
      <c r="J1443" s="1367" t="inlineStr">
        <is>
          <t>Product line code in local codification - data reserved for CACIB</t>
        </is>
      </c>
      <c r="K1443" s="1369" t="inlineStr">
        <is>
          <t>ND</t>
        </is>
      </c>
      <c r="L1443" s="1370" t="inlineStr">
        <is>
          <t>ND</t>
        </is>
      </c>
      <c r="M1443" s="1427" t="inlineStr">
        <is>
          <t>cdPrdtLigne</t>
        </is>
      </c>
      <c r="N1443" s="1303" t="inlineStr">
        <is>
          <t>Obligatoire (SC)</t>
        </is>
      </c>
      <c r="O1443" s="1309" t="inlineStr">
        <is>
          <t>Mandatory (SC)</t>
        </is>
      </c>
      <c r="P1443" s="1371" t="inlineStr">
        <is>
          <t>NA</t>
        </is>
      </c>
      <c r="Q1443" s="1371" t="inlineStr">
        <is>
          <t>NA</t>
        </is>
      </c>
      <c r="R1443" s="1307" t="inlineStr">
        <is>
          <t>Donnée réservée à CACIB - A laisser à vide si pas concerné</t>
        </is>
      </c>
      <c r="S1443" s="1302" t="inlineStr">
        <is>
          <t>Data reserved for CACIB - To be left empty if not concerned</t>
        </is>
      </c>
      <c r="T1443" s="1371" t="inlineStr">
        <is>
          <t>ALPHA</t>
        </is>
      </c>
      <c r="U1443" s="1372" t="inlineStr">
        <is>
          <t>NA</t>
        </is>
      </c>
      <c r="V1443" s="1373" t="inlineStr">
        <is>
          <t>NA</t>
        </is>
      </c>
      <c r="W1443" s="1371" t="n">
        <v>5</v>
      </c>
      <c r="X1443" s="1374" t="inlineStr">
        <is>
          <t>NA</t>
        </is>
      </c>
      <c r="Y1443" s="1372" t="inlineStr">
        <is>
          <t>45</t>
        </is>
      </c>
      <c r="Z1443" s="1375" t="inlineStr">
        <is>
          <t>NA</t>
        </is>
      </c>
      <c r="AA1443" s="1376" t="inlineStr">
        <is>
          <t>NA</t>
        </is>
      </c>
      <c r="AB1443" s="1377" t="inlineStr">
        <is>
          <t>LIQUIDITE</t>
        </is>
      </c>
      <c r="AC1443" s="1369" t="inlineStr">
        <is>
          <t>ND</t>
        </is>
      </c>
      <c r="AD1443" s="1348" t="inlineStr">
        <is>
          <t>N</t>
        </is>
      </c>
      <c r="AE1443" s="1369" t="inlineStr">
        <is>
          <t>NA</t>
        </is>
      </c>
      <c r="AF1443" s="1369" t="inlineStr">
        <is>
          <t>NA</t>
        </is>
      </c>
      <c r="AG1443" s="1378" t="inlineStr">
        <is>
          <t>NA</t>
        </is>
      </c>
      <c r="AH1443" s="1379" t="n"/>
      <c r="AI1443" s="1391" t="n"/>
      <c r="AJ1443" s="1392" t="n"/>
      <c r="AK1443" s="1382" t="n"/>
      <c r="AL1443" s="1316" t="n"/>
      <c r="AM1443" s="1321" t="inlineStr">
        <is>
          <t>Si elle est renseignée, la valeur doit être connue du Langage Commun associé</t>
        </is>
      </c>
      <c r="AN1443" s="1322" t="inlineStr">
        <is>
          <t>If specified, the value must be known to the associated Common Language</t>
        </is>
      </c>
      <c r="AO1443" s="1323" t="n">
        <v>7</v>
      </c>
      <c r="AP1443" s="1324" t="inlineStr">
        <is>
          <t>TIG0001</t>
        </is>
      </c>
      <c r="AQ1443" s="1383" t="n"/>
      <c r="AR1443" s="1384" t="n"/>
      <c r="AS1443" s="1385" t="n"/>
      <c r="AT1443" s="1386" t="n"/>
      <c r="AU1443" s="1387" t="n"/>
      <c r="AV1443" s="1302" t="n"/>
      <c r="AW1443" s="1385" t="n"/>
      <c r="AX1443" s="1386" t="n"/>
      <c r="AY1443" s="1387" t="n"/>
      <c r="AZ1443" s="1302" t="n"/>
      <c r="BA1443" s="1388" t="n"/>
      <c r="BB1443" s="1389" t="n"/>
      <c r="BC1443" s="1390" t="n"/>
      <c r="BD1443" s="1302" t="n"/>
      <c r="BE1443" s="1385" t="n"/>
      <c r="BF1443" s="1386" t="n"/>
      <c r="BG1443" s="89" t="n"/>
      <c r="BH144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43">
        <f>_xlfn.LET(r,ROW(),oc,INDEX($A:$A,r),cv,TRIM(INDEX($Y:$Y,r)&amp;""),IF(oc&lt;&gt;"P1","",IF(cv="45","V45 - novo, nao alimentado pelo spool atual","V44 - alimentado pelo spool atual")))</f>
        <v/>
      </c>
    </row>
    <row r="1444" ht="54" customFormat="1" customHeight="1" s="90">
      <c r="A1444" s="1365" t="inlineStr">
        <is>
          <t>M1</t>
        </is>
      </c>
      <c r="B1444" s="1303" t="n">
        <v>149</v>
      </c>
      <c r="C1444" s="1377" t="inlineStr">
        <is>
          <t>03 - Caractéristiques Générales</t>
        </is>
      </c>
      <c r="D1444" s="1393" t="inlineStr">
        <is>
          <t>03 - General characteristics</t>
        </is>
      </c>
      <c r="E1444" s="1303" t="inlineStr">
        <is>
          <t>M1 512</t>
        </is>
      </c>
      <c r="F1444" s="1366" t="inlineStr">
        <is>
          <t>Segment de Clientèle au sens de la liquidité</t>
        </is>
      </c>
      <c r="G1444" s="1367" t="inlineStr">
        <is>
          <t>Customer segment in terms of liquidity</t>
        </is>
      </c>
      <c r="H1444" s="1367" t="n"/>
      <c r="I1444" s="1368" t="inlineStr">
        <is>
          <t>Classification permettant d'identifier le segment de clientèle auquel est rattachée l'opération pour la construction du bilan de Liquidité (Marché ou Clientèle)</t>
        </is>
      </c>
      <c r="J1444" s="1367" t="inlineStr">
        <is>
          <t>Classification permettant d'identifier le segment de clientèle auquel est rattachée l'opération pour la construction du bilan de Liquidité (Marché ou Clientèle)</t>
        </is>
      </c>
      <c r="K1444" s="1369" t="inlineStr">
        <is>
          <t>ND</t>
        </is>
      </c>
      <c r="L1444" s="1370" t="inlineStr">
        <is>
          <t>ND</t>
        </is>
      </c>
      <c r="M1444" s="1427" t="inlineStr">
        <is>
          <t>TBD</t>
        </is>
      </c>
      <c r="N1444" s="1303" t="inlineStr">
        <is>
          <t>Obligatoire</t>
        </is>
      </c>
      <c r="O1444" s="1309" t="inlineStr">
        <is>
          <t>Mandatory</t>
        </is>
      </c>
      <c r="P1444" s="1371" t="inlineStr">
        <is>
          <t>LC.0562</t>
        </is>
      </c>
      <c r="Q1444" s="1371" t="inlineStr">
        <is>
          <t>RB Z8SEGCLI</t>
        </is>
      </c>
      <c r="R1444" s="1307" t="inlineStr">
        <is>
          <t>NA</t>
        </is>
      </c>
      <c r="S1444" s="1302" t="inlineStr">
        <is>
          <t>NA</t>
        </is>
      </c>
      <c r="T1444" s="1371" t="inlineStr">
        <is>
          <t>ALPHA</t>
        </is>
      </c>
      <c r="U1444" s="1372" t="inlineStr">
        <is>
          <t>NA</t>
        </is>
      </c>
      <c r="V1444" s="1373" t="inlineStr">
        <is>
          <t>NA</t>
        </is>
      </c>
      <c r="W1444" s="1371" t="n">
        <v>3</v>
      </c>
      <c r="X1444" s="1374" t="inlineStr">
        <is>
          <t>NA</t>
        </is>
      </c>
      <c r="Y1444" s="1372" t="inlineStr">
        <is>
          <t>45</t>
        </is>
      </c>
      <c r="Z1444" s="1375" t="inlineStr">
        <is>
          <t>NA</t>
        </is>
      </c>
      <c r="AA1444" s="1376" t="inlineStr">
        <is>
          <t>NA</t>
        </is>
      </c>
      <c r="AB1444" s="1377" t="inlineStr">
        <is>
          <t>LIQUIDITE</t>
        </is>
      </c>
      <c r="AC1444" s="1369" t="inlineStr">
        <is>
          <t>ND</t>
        </is>
      </c>
      <c r="AD1444" s="1348" t="inlineStr">
        <is>
          <t>N</t>
        </is>
      </c>
      <c r="AE1444" s="1369" t="inlineStr">
        <is>
          <t>NA</t>
        </is>
      </c>
      <c r="AF1444" s="1369" t="inlineStr">
        <is>
          <t>NA</t>
        </is>
      </c>
      <c r="AG1444" s="1378" t="inlineStr">
        <is>
          <t>NA</t>
        </is>
      </c>
      <c r="AH1444" s="1379" t="n"/>
      <c r="AI1444" s="1391" t="inlineStr">
        <is>
          <t>La donnée est obligatoire</t>
        </is>
      </c>
      <c r="AJ1444" s="1392" t="inlineStr">
        <is>
          <t>The data is mandatory</t>
        </is>
      </c>
      <c r="AK1444" s="1382" t="n">
        <v>6</v>
      </c>
      <c r="AL1444" s="1316" t="inlineStr">
        <is>
          <t>TPG0001</t>
        </is>
      </c>
      <c r="AM1444" s="1321" t="inlineStr">
        <is>
          <t>Si elle est renseignée, la valeur doit être connue du Langage Commun associé</t>
        </is>
      </c>
      <c r="AN1444" s="1322" t="inlineStr">
        <is>
          <t>If specified, the value must be known to the associated Common Language</t>
        </is>
      </c>
      <c r="AO1444" s="1323" t="n">
        <v>7</v>
      </c>
      <c r="AP1444" s="1324" t="inlineStr">
        <is>
          <t>TIG0001</t>
        </is>
      </c>
      <c r="AQ1444" s="1383" t="n"/>
      <c r="AR1444" s="1384" t="n"/>
      <c r="AS1444" s="1385" t="n"/>
      <c r="AT1444" s="1386" t="n"/>
      <c r="AU1444" s="1387" t="n"/>
      <c r="AV1444" s="1302" t="n"/>
      <c r="AW1444" s="1385" t="n"/>
      <c r="AX1444" s="1386" t="n"/>
      <c r="AY1444" s="1387" t="n"/>
      <c r="AZ1444" s="1302" t="n"/>
      <c r="BA1444" s="1388" t="n"/>
      <c r="BB1444" s="1389" t="n"/>
      <c r="BC1444" s="1390" t="n"/>
      <c r="BD1444" s="1302" t="n"/>
      <c r="BE1444" s="1385" t="n"/>
      <c r="BF1444" s="1386" t="n"/>
      <c r="BG1444" s="89" t="n"/>
      <c r="BH144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44">
        <f>_xlfn.LET(r,ROW(),oc,INDEX($A:$A,r),cv,TRIM(INDEX($Y:$Y,r)&amp;""),IF(oc&lt;&gt;"P1","",IF(cv="45","V45 - novo, nao alimentado pelo spool atual","V44 - alimentado pelo spool atual")))</f>
        <v/>
      </c>
    </row>
    <row r="1445" ht="54" customFormat="1" customHeight="1" s="90">
      <c r="A1445" s="1365" t="inlineStr">
        <is>
          <t>M1</t>
        </is>
      </c>
      <c r="B1445" s="1303" t="n">
        <v>150</v>
      </c>
      <c r="C1445" s="1377" t="inlineStr">
        <is>
          <t>03 - Caractéristiques Générales</t>
        </is>
      </c>
      <c r="D1445" s="1393" t="inlineStr">
        <is>
          <t>03 - General characteristics</t>
        </is>
      </c>
      <c r="E1445" s="1303" t="inlineStr">
        <is>
          <t>M1 149</t>
        </is>
      </c>
      <c r="F1445" s="1366" t="inlineStr">
        <is>
          <t>Sous entité</t>
        </is>
      </c>
      <c r="G1445" s="1367" t="inlineStr">
        <is>
          <t>Sub-entity</t>
        </is>
      </c>
      <c r="H1445" s="1367" t="n"/>
      <c r="I1445" s="1368" t="inlineStr">
        <is>
          <t>Indique la segmentation des entités en filières ALM, Trésorerie, Back to Back et autres</t>
        </is>
      </c>
      <c r="J1445" s="1367" t="inlineStr">
        <is>
          <t>Indicates the segmentation of entities into ALM, Treasury, Back to Back and other streams</t>
        </is>
      </c>
      <c r="K1445" s="1369" t="inlineStr">
        <is>
          <t>ND</t>
        </is>
      </c>
      <c r="L1445" s="1370" t="inlineStr">
        <is>
          <t>ND</t>
        </is>
      </c>
      <c r="M1445" s="1427" t="inlineStr">
        <is>
          <t>cdssentity</t>
        </is>
      </c>
      <c r="N1445" s="1303" t="inlineStr">
        <is>
          <t>Facultatif</t>
        </is>
      </c>
      <c r="O1445" s="1309" t="inlineStr">
        <is>
          <t>Optional</t>
        </is>
      </c>
      <c r="P1445" s="1371" t="inlineStr">
        <is>
          <t>LC.0530</t>
        </is>
      </c>
      <c r="Q1445" s="1371" t="inlineStr">
        <is>
          <t>RB XPSOUENT</t>
        </is>
      </c>
      <c r="R1445" s="1307" t="inlineStr">
        <is>
          <t>NA</t>
        </is>
      </c>
      <c r="S1445" s="1302" t="inlineStr">
        <is>
          <t>NA</t>
        </is>
      </c>
      <c r="T1445" s="1371" t="inlineStr">
        <is>
          <t>ALPHA</t>
        </is>
      </c>
      <c r="U1445" s="1372" t="n">
        <v>5</v>
      </c>
      <c r="V1445" s="1373" t="n">
        <v>5</v>
      </c>
      <c r="W1445" s="1371" t="n">
        <v>5</v>
      </c>
      <c r="X1445" s="1374" t="inlineStr">
        <is>
          <t>NA</t>
        </is>
      </c>
      <c r="Y1445" s="1372" t="inlineStr">
        <is>
          <t>45</t>
        </is>
      </c>
      <c r="Z1445" s="1375" t="inlineStr">
        <is>
          <t>NA</t>
        </is>
      </c>
      <c r="AA1445" s="1376" t="inlineStr">
        <is>
          <t>NA</t>
        </is>
      </c>
      <c r="AB1445" s="1377" t="inlineStr">
        <is>
          <t>LIQUIDITE, MREL, PALMA</t>
        </is>
      </c>
      <c r="AC1445" s="1369" t="inlineStr">
        <is>
          <t>ND</t>
        </is>
      </c>
      <c r="AD1445" s="1348" t="inlineStr">
        <is>
          <t>N</t>
        </is>
      </c>
      <c r="AE1445" s="1369" t="inlineStr">
        <is>
          <t>NA</t>
        </is>
      </c>
      <c r="AF1445" s="1369" t="inlineStr">
        <is>
          <t>NA</t>
        </is>
      </c>
      <c r="AG1445" s="1378" t="inlineStr">
        <is>
          <t>NA</t>
        </is>
      </c>
      <c r="AH1445" s="1379" t="n"/>
      <c r="AI1445" s="1380" t="n"/>
      <c r="AJ1445" s="1381" t="n"/>
      <c r="AK1445" s="1382" t="n"/>
      <c r="AL1445" s="1316" t="n"/>
      <c r="AM1445" s="1321" t="inlineStr">
        <is>
          <t>Si elle est renseignée, la valeur doit être connue du Langage Commun associé</t>
        </is>
      </c>
      <c r="AN1445" s="1322" t="inlineStr">
        <is>
          <t>If specified, the value must be known to the associated Common Language</t>
        </is>
      </c>
      <c r="AO1445" s="1323" t="n">
        <v>7</v>
      </c>
      <c r="AP1445" s="1324" t="inlineStr">
        <is>
          <t>TIG0001</t>
        </is>
      </c>
      <c r="AQ1445" s="1383" t="n"/>
      <c r="AR1445" s="1384" t="n"/>
      <c r="AS1445" s="1385" t="n"/>
      <c r="AT1445" s="1386" t="n"/>
      <c r="AU1445" s="1387" t="n"/>
      <c r="AV1445" s="1302" t="n"/>
      <c r="AW1445" s="1385" t="n"/>
      <c r="AX1445" s="1386" t="n"/>
      <c r="AY1445" s="1387" t="n"/>
      <c r="AZ1445" s="1302" t="n"/>
      <c r="BA1445" s="1388" t="n"/>
      <c r="BB1445" s="1389" t="n"/>
      <c r="BC1445" s="1390" t="n"/>
      <c r="BD1445" s="1302" t="n"/>
      <c r="BE1445" s="1385" t="n"/>
      <c r="BF1445" s="1386" t="n"/>
      <c r="BG1445" s="89" t="n"/>
      <c r="BH144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45">
        <f>_xlfn.LET(r,ROW(),oc,INDEX($A:$A,r),cv,TRIM(INDEX($Y:$Y,r)&amp;""),IF(oc&lt;&gt;"P1","",IF(cv="45","V45 - novo, nao alimentado pelo spool atual","V44 - alimentado pelo spool atual")))</f>
        <v/>
      </c>
    </row>
    <row r="1446" ht="54" customFormat="1" customHeight="1" s="90">
      <c r="A1446" s="1365" t="inlineStr">
        <is>
          <t>M1</t>
        </is>
      </c>
      <c r="B1446" s="1303" t="n">
        <v>151</v>
      </c>
      <c r="C1446" s="1377" t="inlineStr">
        <is>
          <t>03 - Caractéristiques Générales</t>
        </is>
      </c>
      <c r="D1446" s="1393" t="inlineStr">
        <is>
          <t>03 - General characteristics</t>
        </is>
      </c>
      <c r="E1446" s="1303" t="inlineStr">
        <is>
          <t>M1 522</t>
        </is>
      </c>
      <c r="F1446" s="1366" t="inlineStr">
        <is>
          <t>Indicateur Collateral réutilisable</t>
        </is>
      </c>
      <c r="G1446" s="1367" t="inlineStr">
        <is>
          <t>Indicator Collateral reusable</t>
        </is>
      </c>
      <c r="H1446" s="1367" t="n"/>
      <c r="I1446" s="1394" t="inlineStr">
        <is>
          <t>Indicateur permettant d'identifier si le collateral de l'opération peut être réutilisé dans le cadre d'une opération</t>
        </is>
      </c>
      <c r="J1446" s="1343" t="inlineStr">
        <is>
          <t>Indicator to identify whether the collateral of the operation can be reused in the context of an operation.</t>
        </is>
      </c>
      <c r="K1446" s="1369" t="inlineStr">
        <is>
          <t>ND</t>
        </is>
      </c>
      <c r="L1446" s="1370" t="inlineStr">
        <is>
          <t>ND</t>
        </is>
      </c>
      <c r="M1446" s="1427" t="inlineStr">
        <is>
          <t>TBD</t>
        </is>
      </c>
      <c r="N1446" s="1303" t="inlineStr">
        <is>
          <t>Facultatif</t>
        </is>
      </c>
      <c r="O1446" s="1309" t="inlineStr">
        <is>
          <t>Optional</t>
        </is>
      </c>
      <c r="P1446" s="1371" t="inlineStr">
        <is>
          <t>LC.0570</t>
        </is>
      </c>
      <c r="Q1446" s="1371" t="inlineStr">
        <is>
          <t>RB Z8INDCOR</t>
        </is>
      </c>
      <c r="R1446" s="1307" t="inlineStr">
        <is>
          <t>NA</t>
        </is>
      </c>
      <c r="S1446" s="1302" t="inlineStr">
        <is>
          <t>NA</t>
        </is>
      </c>
      <c r="T1446" s="1371" t="inlineStr">
        <is>
          <t>ALPHA</t>
        </is>
      </c>
      <c r="U1446" s="1372" t="inlineStr">
        <is>
          <t>NA</t>
        </is>
      </c>
      <c r="V1446" s="1373" t="inlineStr">
        <is>
          <t>NA</t>
        </is>
      </c>
      <c r="W1446" s="1371" t="n">
        <v>1</v>
      </c>
      <c r="X1446" s="1374" t="inlineStr">
        <is>
          <t>NA</t>
        </is>
      </c>
      <c r="Y1446" s="1372" t="inlineStr">
        <is>
          <t>45</t>
        </is>
      </c>
      <c r="Z1446" s="1375" t="inlineStr">
        <is>
          <t>NA</t>
        </is>
      </c>
      <c r="AA1446" s="1376" t="inlineStr">
        <is>
          <t>NA</t>
        </is>
      </c>
      <c r="AB1446" s="1377" t="inlineStr">
        <is>
          <t>LIQUIDITE</t>
        </is>
      </c>
      <c r="AC1446" s="1369" t="inlineStr">
        <is>
          <t>ND</t>
        </is>
      </c>
      <c r="AD1446" s="1348" t="inlineStr">
        <is>
          <t>N</t>
        </is>
      </c>
      <c r="AE1446" s="1377" t="inlineStr">
        <is>
          <t>SEC CAS COL</t>
        </is>
      </c>
      <c r="AF1446" s="1369" t="inlineStr">
        <is>
          <t>NA</t>
        </is>
      </c>
      <c r="AG1446" s="1378" t="inlineStr">
        <is>
          <t>NA</t>
        </is>
      </c>
      <c r="AH1446" s="1379" t="n"/>
      <c r="AI1446" s="1380" t="n"/>
      <c r="AJ1446" s="1381" t="n"/>
      <c r="AK1446" s="1382" t="n"/>
      <c r="AL1446" s="1316" t="n"/>
      <c r="AM1446" s="1321" t="inlineStr">
        <is>
          <t>Si elle est renseignée, la valeur doit être connue du Langage Commun associé</t>
        </is>
      </c>
      <c r="AN1446" s="1322" t="inlineStr">
        <is>
          <t>If specified, the value must be known to the associated Common Language</t>
        </is>
      </c>
      <c r="AO1446" s="1323" t="n">
        <v>7</v>
      </c>
      <c r="AP1446" s="1324" t="inlineStr">
        <is>
          <t>TIG0001</t>
        </is>
      </c>
      <c r="AQ1446" s="1383" t="n"/>
      <c r="AR1446" s="1384" t="n"/>
      <c r="AS1446" s="1385" t="n"/>
      <c r="AT1446" s="1386" t="n"/>
      <c r="AU1446" s="1387" t="n"/>
      <c r="AV1446" s="1302" t="n"/>
      <c r="AW1446" s="1385" t="n"/>
      <c r="AX1446" s="1386" t="n"/>
      <c r="AY1446" s="1387" t="n"/>
      <c r="AZ1446" s="1302" t="n"/>
      <c r="BA1446" s="1388" t="n"/>
      <c r="BB1446" s="1389" t="n"/>
      <c r="BC1446" s="1390" t="n"/>
      <c r="BD1446" s="1302" t="n"/>
      <c r="BE1446" s="1385" t="n"/>
      <c r="BF1446" s="1386" t="n"/>
      <c r="BG1446" s="89" t="n"/>
      <c r="BH144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46">
        <f>_xlfn.LET(r,ROW(),oc,INDEX($A:$A,r),cv,TRIM(INDEX($Y:$Y,r)&amp;""),IF(oc&lt;&gt;"P1","",IF(cv="45","V45 - novo, nao alimentado pelo spool atual","V44 - alimentado pelo spool atual")))</f>
        <v/>
      </c>
    </row>
    <row r="1447" ht="54" customFormat="1" customHeight="1" s="90">
      <c r="A1447" s="1328" t="inlineStr">
        <is>
          <t>M1</t>
        </is>
      </c>
      <c r="B1447" s="1303" t="n">
        <v>152</v>
      </c>
      <c r="C1447" s="1329" t="inlineStr">
        <is>
          <t>15 - Caractéristiques Sureté</t>
        </is>
      </c>
      <c r="D1447" s="1330" t="inlineStr">
        <is>
          <t>15 - Safety characteristics</t>
        </is>
      </c>
      <c r="E1447" s="1331" t="inlineStr">
        <is>
          <t>M1 636</t>
        </is>
      </c>
      <c r="F1447" s="1332" t="inlineStr">
        <is>
          <t>Valeur prudente initiale</t>
        </is>
      </c>
      <c r="G1447" s="1333" t="inlineStr">
        <is>
          <t>Initial conservative value</t>
        </is>
      </c>
      <c r="H1447" s="1333" t="n"/>
      <c r="I1447" s="1332" t="inlineStr">
        <is>
          <t xml:space="preserve">Valeur de la sûreté immobilière à la date d’octroi du financement (date de transaction) évaluée de façon prudente (Art. 229.1) :
Les anticipations d’appréciation future ne sont pas prises en compte
L’estimation est ajustée pour tenir compte du fait que la valeur de marché courante peut être sensiblement supérieure à ce que serait la valeur durable du bien jusqu’à l’échéance du prêt
Pour les Caisses régionales, la valeur prudente d’une sûreté immobilière à usage résidentiel correspond au champ Valeur prudente initiale disponible dans Green (alimenté à partir du champ Fourchette basse disponible dans Khôme)
</t>
        </is>
      </c>
      <c r="J1447" s="1333" t="inlineStr">
        <is>
          <t>Value of the security right at the date of grant of the financing (transaction date) conservatively assessed (Art. 229.1):
Expectations of future appreciation are not taken into account
The estimate is adjusted to take account of the fact that the current market value may be significantly higher than the durable value of the asset until the maturity of the loan
For the Regional Banks, the prudent value of a residential real estate security right corresponds to the Initial prudent value field available in Green (populated from the Low range field available in Khôme)</t>
        </is>
      </c>
      <c r="K1447" s="1334" t="inlineStr">
        <is>
          <t>ND</t>
        </is>
      </c>
      <c r="L1447" s="1330" t="inlineStr">
        <is>
          <t>ND</t>
        </is>
      </c>
      <c r="M1447" s="1426" t="inlineStr">
        <is>
          <t>TBD</t>
        </is>
      </c>
      <c r="N1447" s="1291" t="inlineStr">
        <is>
          <t>Obligatoire sous conditions</t>
        </is>
      </c>
      <c r="O1447" s="1292" t="inlineStr">
        <is>
          <t>Mandatory under conditions</t>
        </is>
      </c>
      <c r="P1447" s="1334" t="inlineStr">
        <is>
          <t>NA</t>
        </is>
      </c>
      <c r="Q1447" s="1334" t="inlineStr">
        <is>
          <t>NA</t>
        </is>
      </c>
      <c r="R1447" s="1352" t="inlineStr">
        <is>
          <t>NA</t>
        </is>
      </c>
      <c r="S1447" s="1333" t="inlineStr">
        <is>
          <t>NA</t>
        </is>
      </c>
      <c r="T1447" s="1337" t="inlineStr">
        <is>
          <t>NUM</t>
        </is>
      </c>
      <c r="U1447" s="1331" t="inlineStr">
        <is>
          <t>19 dont signe et 2 décimales</t>
        </is>
      </c>
      <c r="V1447" s="1353" t="inlineStr">
        <is>
          <t>19 including sign and 2 decimals</t>
        </is>
      </c>
      <c r="W1447" s="1337" t="n">
        <v>19</v>
      </c>
      <c r="X1447" s="1337" t="inlineStr">
        <is>
          <t>NA</t>
        </is>
      </c>
      <c r="Y1447" s="1339" t="n">
        <v>45</v>
      </c>
      <c r="Z1447" s="1334" t="inlineStr">
        <is>
          <t>NA</t>
        </is>
      </c>
      <c r="AA1447" s="1334" t="inlineStr">
        <is>
          <t>NA</t>
        </is>
      </c>
      <c r="AB1447" s="1331" t="inlineStr">
        <is>
          <t>CALCULS PRUDENTIELS</t>
        </is>
      </c>
      <c r="AC1447" s="1334" t="inlineStr">
        <is>
          <t>ND</t>
        </is>
      </c>
      <c r="AD1447" s="1334" t="inlineStr">
        <is>
          <t>N</t>
        </is>
      </c>
      <c r="AE1447" s="1334" t="inlineStr">
        <is>
          <t>REE</t>
        </is>
      </c>
      <c r="AF1447" s="1334" t="inlineStr">
        <is>
          <t>NA</t>
        </is>
      </c>
      <c r="AG1447" s="1340" t="inlineStr">
        <is>
          <t>NA</t>
        </is>
      </c>
      <c r="AH1447" s="1341" t="n"/>
      <c r="AI1447" s="1342" t="inlineStr">
        <is>
          <t>La donnée est obligatoire si la nature juridique de la sûreté [M1 5.1] = 'REE*' ET si Type de bien immobilier [M1 8.42] = '1 ou 2'</t>
        </is>
      </c>
      <c r="AJ1447" s="1343" t="inlineStr">
        <is>
          <t>The data is mandatory if Legal nature of the mitigant [M1 5.1] = 'REE*' AND if Type of property [M1 8.42] = '1 or 2'</t>
        </is>
      </c>
      <c r="AK1447" s="1344" t="n">
        <v>6</v>
      </c>
      <c r="AL1447" s="1345" t="inlineStr">
        <is>
          <t>TPSxxx</t>
        </is>
      </c>
      <c r="AM1447" s="1321" t="n"/>
      <c r="AN1447" s="1343" t="n"/>
      <c r="AO1447" s="1344" t="n"/>
      <c r="AP1447" s="1319" t="n"/>
      <c r="AQ1447" s="1321" t="n"/>
      <c r="AR1447" s="1343" t="n"/>
      <c r="AS1447" s="1320" t="n"/>
      <c r="AT1447" s="1324" t="n"/>
      <c r="AU1447" s="1321" t="n"/>
      <c r="AV1447" s="1343" t="n"/>
      <c r="AW1447" s="1320" t="n"/>
      <c r="AX1447" s="1324" t="n"/>
      <c r="AY1447" s="1321" t="n"/>
      <c r="AZ1447" s="1349" t="n"/>
      <c r="BA1447" s="1344" t="n"/>
      <c r="BB1447" s="1324" t="n"/>
      <c r="BC1447" s="1321" t="n"/>
      <c r="BD1447" s="1350" t="n"/>
      <c r="BE1447" s="1344" t="n"/>
      <c r="BF1447" s="1324" t="n"/>
      <c r="BG1447" s="89" t="n"/>
      <c r="BH144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47">
        <f>_xlfn.LET(r,ROW(),oc,INDEX($A:$A,r),cv,TRIM(INDEX($Y:$Y,r)&amp;""),IF(oc&lt;&gt;"P1","",IF(cv="45","V45 - novo, nao alimentado pelo spool atual","V44 - alimentado pelo spool atual")))</f>
        <v/>
      </c>
    </row>
    <row r="1448" ht="54" customFormat="1" customHeight="1" s="90">
      <c r="A1448" s="1328" t="inlineStr">
        <is>
          <t>M1</t>
        </is>
      </c>
      <c r="B1448" s="1303" t="n">
        <v>153</v>
      </c>
      <c r="C1448" s="1329" t="inlineStr">
        <is>
          <t>15 - Caractéristiques Sureté</t>
        </is>
      </c>
      <c r="D1448" s="1330" t="inlineStr">
        <is>
          <t>15 - Safety characteristics</t>
        </is>
      </c>
      <c r="E1448" s="1331" t="inlineStr">
        <is>
          <t>M1 636.1</t>
        </is>
      </c>
      <c r="F1448" s="1332" t="inlineStr">
        <is>
          <t>Devise de la valeur prudente initiale</t>
        </is>
      </c>
      <c r="G1448" s="1333" t="inlineStr">
        <is>
          <t>Currency of initial conservative value</t>
        </is>
      </c>
      <c r="H1448" s="1333" t="n"/>
      <c r="I1448" s="1332" t="inlineStr">
        <is>
          <t>Devise de la valeur prudente initiale</t>
        </is>
      </c>
      <c r="J1448" s="1333" t="inlineStr">
        <is>
          <t>Currency of initial conservative value</t>
        </is>
      </c>
      <c r="K1448" s="1334" t="inlineStr">
        <is>
          <t>ND</t>
        </is>
      </c>
      <c r="L1448" s="1330" t="inlineStr">
        <is>
          <t>ND</t>
        </is>
      </c>
      <c r="M1448" s="1426" t="inlineStr">
        <is>
          <t>TBD</t>
        </is>
      </c>
      <c r="N1448" s="1291" t="inlineStr">
        <is>
          <t>Obligatoire sous conditions</t>
        </is>
      </c>
      <c r="O1448" s="1292" t="inlineStr">
        <is>
          <t>Mandatory under conditions</t>
        </is>
      </c>
      <c r="P1448" s="1334" t="inlineStr">
        <is>
          <t>LC.0005</t>
        </is>
      </c>
      <c r="Q1448" s="1334" t="inlineStr">
        <is>
          <t>TA NM253</t>
        </is>
      </c>
      <c r="R1448" s="1352" t="inlineStr">
        <is>
          <t>NA</t>
        </is>
      </c>
      <c r="S1448" s="1333" t="inlineStr">
        <is>
          <t>NA</t>
        </is>
      </c>
      <c r="T1448" s="1337" t="inlineStr">
        <is>
          <t>ALPHA</t>
        </is>
      </c>
      <c r="U1448" s="1337" t="inlineStr">
        <is>
          <t>NA</t>
        </is>
      </c>
      <c r="V1448" s="1338" t="inlineStr">
        <is>
          <t>NA</t>
        </is>
      </c>
      <c r="W1448" s="1337" t="n">
        <v>3</v>
      </c>
      <c r="X1448" s="1337" t="inlineStr">
        <is>
          <t>NA</t>
        </is>
      </c>
      <c r="Y1448" s="1339" t="n">
        <v>45</v>
      </c>
      <c r="Z1448" s="1334" t="inlineStr">
        <is>
          <t>NA</t>
        </is>
      </c>
      <c r="AA1448" s="1334" t="inlineStr">
        <is>
          <t>NA</t>
        </is>
      </c>
      <c r="AB1448" s="1331" t="inlineStr">
        <is>
          <t>CALCULS PRUDENTIELS</t>
        </is>
      </c>
      <c r="AC1448" s="1334" t="inlineStr">
        <is>
          <t>ND</t>
        </is>
      </c>
      <c r="AD1448" s="1334" t="inlineStr">
        <is>
          <t>N</t>
        </is>
      </c>
      <c r="AE1448" s="1334" t="inlineStr">
        <is>
          <t>REE</t>
        </is>
      </c>
      <c r="AF1448" s="1334" t="inlineStr">
        <is>
          <t>NA</t>
        </is>
      </c>
      <c r="AG1448" s="1340" t="inlineStr">
        <is>
          <t>NA</t>
        </is>
      </c>
      <c r="AH1448" s="1341" t="n"/>
      <c r="AI1448" s="1342" t="inlineStr">
        <is>
          <t>La donnée est obligatoire si Valeur prudente initiale [M1 636] est renseignée</t>
        </is>
      </c>
      <c r="AJ1448" s="1343" t="inlineStr">
        <is>
          <t>The data is mandatory if Initial conservative value [M1 636] data is filled</t>
        </is>
      </c>
      <c r="AK1448" s="1344" t="n">
        <v>7</v>
      </c>
      <c r="AL1448" s="1345" t="inlineStr">
        <is>
          <t>TPG0002</t>
        </is>
      </c>
      <c r="AM1448" s="1321" t="inlineStr">
        <is>
          <t>Si elle est renseignée, la valeur doit être connue du Langage Commun associé</t>
        </is>
      </c>
      <c r="AN1448" s="1343" t="inlineStr">
        <is>
          <t>If specified, the value must be known to the associated Common Language</t>
        </is>
      </c>
      <c r="AO1448" s="1344" t="n">
        <v>7</v>
      </c>
      <c r="AP1448" s="1319" t="inlineStr">
        <is>
          <t>TIG0001</t>
        </is>
      </c>
      <c r="AQ1448" s="1321" t="n"/>
      <c r="AR1448" s="1343" t="n"/>
      <c r="AS1448" s="1320" t="n"/>
      <c r="AT1448" s="1324" t="n"/>
      <c r="AU1448" s="1321" t="n"/>
      <c r="AV1448" s="1343" t="n"/>
      <c r="AW1448" s="1320" t="n"/>
      <c r="AX1448" s="1324" t="n"/>
      <c r="AY1448" s="1321" t="n"/>
      <c r="AZ1448" s="1349" t="n"/>
      <c r="BA1448" s="1344" t="n"/>
      <c r="BB1448" s="1324" t="n"/>
      <c r="BC1448" s="1321" t="n"/>
      <c r="BD1448" s="1350" t="n"/>
      <c r="BE1448" s="1344" t="n"/>
      <c r="BF1448" s="1324" t="n"/>
      <c r="BG1448" s="89" t="n"/>
      <c r="BH144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48">
        <f>_xlfn.LET(r,ROW(),oc,INDEX($A:$A,r),cv,TRIM(INDEX($Y:$Y,r)&amp;""),IF(oc&lt;&gt;"P1","",IF(cv="45","V45 - novo, nao alimentado pelo spool atual","V44 - alimentado pelo spool atual")))</f>
        <v/>
      </c>
    </row>
    <row r="1449" ht="54" customFormat="1" customHeight="1" s="90">
      <c r="A1449" s="1328" t="inlineStr">
        <is>
          <t>M1</t>
        </is>
      </c>
      <c r="B1449" s="1303" t="n">
        <v>154</v>
      </c>
      <c r="C1449" s="1329" t="inlineStr">
        <is>
          <t>15 - Caractéristiques Sureté</t>
        </is>
      </c>
      <c r="D1449" s="1330" t="inlineStr">
        <is>
          <t>15 - Safety characteristics</t>
        </is>
      </c>
      <c r="E1449" s="1331" t="inlineStr">
        <is>
          <t>M1 637</t>
        </is>
      </c>
      <c r="F1449" s="1332" t="inlineStr">
        <is>
          <t>Valeur prudente revalorisée</t>
        </is>
      </c>
      <c r="G1449" s="1333" t="inlineStr">
        <is>
          <t>Prudent Value Revalued</t>
        </is>
      </c>
      <c r="H1449" s="1333" t="n"/>
      <c r="I1449" s="1332" t="inlineStr">
        <is>
          <t>Valeur de la sûreté immobilière à la date d’arrêté évaluée de façon prudente
Pour les Caisses régionales, la valeur prudente revalorisée (cf. champ Green Valeur prudente revalorisée) d’une sûreté immobilière à usage résidentiel correspond à la valeur prudente initiale à laquelle est appliquée une revalorisation indicielle (par ex : PERVAL)</t>
        </is>
      </c>
      <c r="J1449" s="1333" t="inlineStr">
        <is>
          <t>Value of the security right at the reporting date conservatively assessed
For the Regional Banks, the revalued prudent value (see the Green Revalued Prudent Value field) of a residential real estate security right corresponds to the initial prudent value to which an index revaluation is applied (e.g. PERVAL)</t>
        </is>
      </c>
      <c r="K1449" s="1334" t="inlineStr">
        <is>
          <t>ND</t>
        </is>
      </c>
      <c r="L1449" s="1330" t="inlineStr">
        <is>
          <t>ND</t>
        </is>
      </c>
      <c r="M1449" s="1426" t="inlineStr">
        <is>
          <t>TBD</t>
        </is>
      </c>
      <c r="N1449" s="1291" t="inlineStr">
        <is>
          <t>Obligatoire sous conditions</t>
        </is>
      </c>
      <c r="O1449" s="1292" t="inlineStr">
        <is>
          <t>Mandatory under conditions</t>
        </is>
      </c>
      <c r="P1449" s="1334" t="inlineStr">
        <is>
          <t>NA</t>
        </is>
      </c>
      <c r="Q1449" s="1334" t="inlineStr">
        <is>
          <t>NA</t>
        </is>
      </c>
      <c r="R1449" s="1352" t="inlineStr">
        <is>
          <t>NA</t>
        </is>
      </c>
      <c r="S1449" s="1333" t="inlineStr">
        <is>
          <t>NA</t>
        </is>
      </c>
      <c r="T1449" s="1337" t="inlineStr">
        <is>
          <t>NUM</t>
        </is>
      </c>
      <c r="U1449" s="1331" t="inlineStr">
        <is>
          <t>19 dont signe et 2 décimales</t>
        </is>
      </c>
      <c r="V1449" s="1353" t="inlineStr">
        <is>
          <t>19 including sign and 2 decimals</t>
        </is>
      </c>
      <c r="W1449" s="1337" t="n">
        <v>19</v>
      </c>
      <c r="X1449" s="1337" t="inlineStr">
        <is>
          <t>NA</t>
        </is>
      </c>
      <c r="Y1449" s="1339" t="n">
        <v>45</v>
      </c>
      <c r="Z1449" s="1334" t="inlineStr">
        <is>
          <t>NA</t>
        </is>
      </c>
      <c r="AA1449" s="1334" t="inlineStr">
        <is>
          <t>NA</t>
        </is>
      </c>
      <c r="AB1449" s="1331" t="inlineStr">
        <is>
          <t>CALCULS PRUDENTIELS</t>
        </is>
      </c>
      <c r="AC1449" s="1334" t="inlineStr">
        <is>
          <t>ND</t>
        </is>
      </c>
      <c r="AD1449" s="1334" t="inlineStr">
        <is>
          <t>N</t>
        </is>
      </c>
      <c r="AE1449" s="1334" t="inlineStr">
        <is>
          <t>REE</t>
        </is>
      </c>
      <c r="AF1449" s="1334" t="inlineStr">
        <is>
          <t>NA</t>
        </is>
      </c>
      <c r="AG1449" s="1340" t="inlineStr">
        <is>
          <t>NA</t>
        </is>
      </c>
      <c r="AH1449" s="1341" t="n"/>
      <c r="AI1449" s="1342" t="inlineStr">
        <is>
          <t>La donnée est obligatoire si la nature juridique de la sûreté [M1 5.1] = 'REE*' ET si Type de bien immobilier [M1 8.42] = '1 ou 2'</t>
        </is>
      </c>
      <c r="AJ1449" s="1343" t="inlineStr">
        <is>
          <t>The data is mandatory if Legal nature of the mitigant [M1 5.1] = 'REE*' AND if Type of property [M1 8.42] = '1 or 2'</t>
        </is>
      </c>
      <c r="AK1449" s="1344" t="n">
        <v>6</v>
      </c>
      <c r="AL1449" s="1345" t="inlineStr">
        <is>
          <t>TPSxxx</t>
        </is>
      </c>
      <c r="AM1449" s="1321" t="n"/>
      <c r="AN1449" s="1343" t="n"/>
      <c r="AO1449" s="1344" t="n"/>
      <c r="AP1449" s="1319" t="n"/>
      <c r="AQ1449" s="1321" t="n"/>
      <c r="AR1449" s="1343" t="n"/>
      <c r="AS1449" s="1320" t="n"/>
      <c r="AT1449" s="1324" t="n"/>
      <c r="AU1449" s="1321" t="n"/>
      <c r="AV1449" s="1343" t="n"/>
      <c r="AW1449" s="1320" t="n"/>
      <c r="AX1449" s="1324" t="n"/>
      <c r="AY1449" s="1321" t="n"/>
      <c r="AZ1449" s="1349" t="n"/>
      <c r="BA1449" s="1344" t="n"/>
      <c r="BB1449" s="1324" t="n"/>
      <c r="BC1449" s="1321" t="n"/>
      <c r="BD1449" s="1350" t="n"/>
      <c r="BE1449" s="1344" t="n"/>
      <c r="BF1449" s="1324" t="n"/>
      <c r="BG1449" s="89" t="n"/>
      <c r="BH144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49">
        <f>_xlfn.LET(r,ROW(),oc,INDEX($A:$A,r),cv,TRIM(INDEX($Y:$Y,r)&amp;""),IF(oc&lt;&gt;"P1","",IF(cv="45","V45 - novo, nao alimentado pelo spool atual","V44 - alimentado pelo spool atual")))</f>
        <v/>
      </c>
    </row>
    <row r="1450" ht="54" customFormat="1" customHeight="1" s="90">
      <c r="A1450" s="1328" t="inlineStr">
        <is>
          <t>M1</t>
        </is>
      </c>
      <c r="B1450" s="1303" t="n">
        <v>155</v>
      </c>
      <c r="C1450" s="1329" t="inlineStr">
        <is>
          <t>15 - Caractéristiques Sureté</t>
        </is>
      </c>
      <c r="D1450" s="1330" t="inlineStr">
        <is>
          <t>15 - Safety characteristics</t>
        </is>
      </c>
      <c r="E1450" s="1331" t="inlineStr">
        <is>
          <t>M1 637.1</t>
        </is>
      </c>
      <c r="F1450" s="1332" t="inlineStr">
        <is>
          <t>Devise de la valeur prudente revalorisée</t>
        </is>
      </c>
      <c r="G1450" s="1333" t="inlineStr">
        <is>
          <t>Currency of prudent Value Revalued</t>
        </is>
      </c>
      <c r="H1450" s="1333" t="n"/>
      <c r="I1450" s="1332" t="inlineStr">
        <is>
          <t>Devise de la valeur prudente revalorisée</t>
        </is>
      </c>
      <c r="J1450" s="1333" t="inlineStr">
        <is>
          <t>Currency of prudent Value Revalued</t>
        </is>
      </c>
      <c r="K1450" s="1334" t="inlineStr">
        <is>
          <t>ND</t>
        </is>
      </c>
      <c r="L1450" s="1330" t="inlineStr">
        <is>
          <t>ND</t>
        </is>
      </c>
      <c r="M1450" s="1426" t="inlineStr">
        <is>
          <t>TBD</t>
        </is>
      </c>
      <c r="N1450" s="1291" t="inlineStr">
        <is>
          <t>Obligatoire sous conditions</t>
        </is>
      </c>
      <c r="O1450" s="1292" t="inlineStr">
        <is>
          <t>Mandatory under conditions</t>
        </is>
      </c>
      <c r="P1450" s="1334" t="inlineStr">
        <is>
          <t>LC.0005</t>
        </is>
      </c>
      <c r="Q1450" s="1334" t="inlineStr">
        <is>
          <t>TA NM253</t>
        </is>
      </c>
      <c r="R1450" s="1352" t="inlineStr">
        <is>
          <t>NA</t>
        </is>
      </c>
      <c r="S1450" s="1333" t="inlineStr">
        <is>
          <t>NA</t>
        </is>
      </c>
      <c r="T1450" s="1337" t="inlineStr">
        <is>
          <t>ALPHA</t>
        </is>
      </c>
      <c r="U1450" s="1337" t="inlineStr">
        <is>
          <t>NA</t>
        </is>
      </c>
      <c r="V1450" s="1338" t="inlineStr">
        <is>
          <t>NA</t>
        </is>
      </c>
      <c r="W1450" s="1337" t="n">
        <v>3</v>
      </c>
      <c r="X1450" s="1337" t="inlineStr">
        <is>
          <t>NA</t>
        </is>
      </c>
      <c r="Y1450" s="1339" t="n">
        <v>45</v>
      </c>
      <c r="Z1450" s="1334" t="inlineStr">
        <is>
          <t>NA</t>
        </is>
      </c>
      <c r="AA1450" s="1334" t="inlineStr">
        <is>
          <t>NA</t>
        </is>
      </c>
      <c r="AB1450" s="1331" t="inlineStr">
        <is>
          <t>CALCULS PRUDENTIELS</t>
        </is>
      </c>
      <c r="AC1450" s="1334" t="inlineStr">
        <is>
          <t>ND</t>
        </is>
      </c>
      <c r="AD1450" s="1334" t="inlineStr">
        <is>
          <t>N</t>
        </is>
      </c>
      <c r="AE1450" s="1334" t="inlineStr">
        <is>
          <t>REE</t>
        </is>
      </c>
      <c r="AF1450" s="1334" t="inlineStr">
        <is>
          <t>NA</t>
        </is>
      </c>
      <c r="AG1450" s="1340" t="inlineStr">
        <is>
          <t>NA</t>
        </is>
      </c>
      <c r="AH1450" s="1341" t="n"/>
      <c r="AI1450" s="1342" t="inlineStr">
        <is>
          <t>La donnée est obligatoire si Valeur prudente revalorisée [M1 637] est renseignée</t>
        </is>
      </c>
      <c r="AJ1450" s="1343" t="inlineStr">
        <is>
          <t>The data is mandatory if Prudent value revalued [M1 637] data is filled</t>
        </is>
      </c>
      <c r="AK1450" s="1344" t="n">
        <v>7</v>
      </c>
      <c r="AL1450" s="1345" t="inlineStr">
        <is>
          <t>TPG0002</t>
        </is>
      </c>
      <c r="AM1450" s="1321" t="inlineStr">
        <is>
          <t>Si elle est renseignée, la valeur doit être connue du Langage Commun associé</t>
        </is>
      </c>
      <c r="AN1450" s="1343" t="inlineStr">
        <is>
          <t>If specified, the value must be known to the associated Common Language</t>
        </is>
      </c>
      <c r="AO1450" s="1344" t="n">
        <v>7</v>
      </c>
      <c r="AP1450" s="1319" t="inlineStr">
        <is>
          <t>TIG0001</t>
        </is>
      </c>
      <c r="AQ1450" s="1321" t="n"/>
      <c r="AR1450" s="1343" t="n"/>
      <c r="AS1450" s="1320" t="n"/>
      <c r="AT1450" s="1324" t="n"/>
      <c r="AU1450" s="1321" t="n"/>
      <c r="AV1450" s="1343" t="n"/>
      <c r="AW1450" s="1320" t="n"/>
      <c r="AX1450" s="1324" t="n"/>
      <c r="AY1450" s="1321" t="n"/>
      <c r="AZ1450" s="1349" t="n"/>
      <c r="BA1450" s="1344" t="n"/>
      <c r="BB1450" s="1324" t="n"/>
      <c r="BC1450" s="1321" t="n"/>
      <c r="BD1450" s="1350" t="n"/>
      <c r="BE1450" s="1344" t="n"/>
      <c r="BF1450" s="1324" t="n"/>
      <c r="BG1450" s="89" t="n"/>
      <c r="BH145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50">
        <f>_xlfn.LET(r,ROW(),oc,INDEX($A:$A,r),cv,TRIM(INDEX($Y:$Y,r)&amp;""),IF(oc&lt;&gt;"P1","",IF(cv="45","V45 - novo, nao alimentado pelo spool atual","V44 - alimentado pelo spool atual")))</f>
        <v/>
      </c>
    </row>
    <row r="1451" ht="54" customFormat="1" customHeight="1" s="90">
      <c r="A1451" s="1328" t="inlineStr">
        <is>
          <t>M1</t>
        </is>
      </c>
      <c r="B1451" s="1303" t="n">
        <v>156</v>
      </c>
      <c r="C1451" s="1329" t="inlineStr">
        <is>
          <t>15 - Caractéristiques Sureté</t>
        </is>
      </c>
      <c r="D1451" s="1330" t="inlineStr">
        <is>
          <t>15 - Safety characteristics</t>
        </is>
      </c>
      <c r="E1451" s="1331" t="inlineStr">
        <is>
          <t>M1 638</t>
        </is>
      </c>
      <c r="F1451" s="1332" t="inlineStr">
        <is>
          <t>Valeur moyenne de long terme</t>
        </is>
      </c>
      <c r="G1451" s="1333" t="inlineStr">
        <is>
          <t>Long-term average value</t>
        </is>
      </c>
      <c r="H1451" s="1333" t="n"/>
      <c r="I1451" s="1332" t="inlineStr">
        <is>
          <t>Valeur moyenne à la date d’arrêté d’une sûreté immobilière, ou d’un bien comparable, observée au cours des six dernières années pour un bien immobilier résidentiel ou des huit dernières années pour un bien immobilier commercial
La moyenne est calculée à partir de valeurs de biens observées à intervalles égaux ; la période de référence comprend au moins trois points de données.
Pour les Caisses régionales, le montant moyen long terme d’une sûreté immobilière correspond au champ Valeur moyenne long terme disponible dans Green</t>
        </is>
      </c>
      <c r="J1451" s="1333" t="inlineStr">
        <is>
          <t>Average value at the cut-off date of a security right in immovable property, or a comparable asset, observed over the last six years for residential immovable property or over the last eight years for commercial immovable property
The average shall be calculated from values of goods observed at equal intervals; the reference period shall comprise at least three data points.
For the Regional Banks, the average long-term amount of a security right corresponds to the field "Average long-term value available in Green</t>
        </is>
      </c>
      <c r="K1451" s="1334" t="inlineStr">
        <is>
          <t>ND</t>
        </is>
      </c>
      <c r="L1451" s="1330" t="inlineStr">
        <is>
          <t>ND</t>
        </is>
      </c>
      <c r="M1451" s="1426" t="inlineStr">
        <is>
          <t>TBD</t>
        </is>
      </c>
      <c r="N1451" s="1291" t="inlineStr">
        <is>
          <t>Obligatoire sous conditions</t>
        </is>
      </c>
      <c r="O1451" s="1292" t="inlineStr">
        <is>
          <t>Mandatory under conditions</t>
        </is>
      </c>
      <c r="P1451" s="1334" t="inlineStr">
        <is>
          <t>NA</t>
        </is>
      </c>
      <c r="Q1451" s="1334" t="inlineStr">
        <is>
          <t>NA</t>
        </is>
      </c>
      <c r="R1451" s="1352" t="inlineStr">
        <is>
          <t>NA</t>
        </is>
      </c>
      <c r="S1451" s="1333" t="inlineStr">
        <is>
          <t>NA</t>
        </is>
      </c>
      <c r="T1451" s="1337" t="inlineStr">
        <is>
          <t>NUM</t>
        </is>
      </c>
      <c r="U1451" s="1331" t="inlineStr">
        <is>
          <t>19 dont signe et 2 décimales</t>
        </is>
      </c>
      <c r="V1451" s="1353" t="inlineStr">
        <is>
          <t>19 including sign and 2 decimals</t>
        </is>
      </c>
      <c r="W1451" s="1337" t="n">
        <v>19</v>
      </c>
      <c r="X1451" s="1337" t="inlineStr">
        <is>
          <t>NA</t>
        </is>
      </c>
      <c r="Y1451" s="1339" t="n">
        <v>45</v>
      </c>
      <c r="Z1451" s="1334" t="inlineStr">
        <is>
          <t>NA</t>
        </is>
      </c>
      <c r="AA1451" s="1334" t="inlineStr">
        <is>
          <t>NA</t>
        </is>
      </c>
      <c r="AB1451" s="1331" t="inlineStr">
        <is>
          <t>CALCULS PRUDENTIELS</t>
        </is>
      </c>
      <c r="AC1451" s="1334" t="inlineStr">
        <is>
          <t>ND</t>
        </is>
      </c>
      <c r="AD1451" s="1334" t="inlineStr">
        <is>
          <t>N</t>
        </is>
      </c>
      <c r="AE1451" s="1334" t="inlineStr">
        <is>
          <t>REE</t>
        </is>
      </c>
      <c r="AF1451" s="1334" t="inlineStr">
        <is>
          <t>NA</t>
        </is>
      </c>
      <c r="AG1451" s="1340" t="inlineStr">
        <is>
          <t>NA</t>
        </is>
      </c>
      <c r="AH1451" s="1341" t="n"/>
      <c r="AI1451" s="1342" t="inlineStr">
        <is>
          <t>La donnée est obligatoire si la nature juridique de la sûreté [M1 5.1] = 'REE*' ET si Type de bien immobilier [M1 8.42] = '1 ou 2'</t>
        </is>
      </c>
      <c r="AJ1451" s="1343" t="inlineStr">
        <is>
          <t>The data is mandatory if Legal nature of the mitigant [M1 5.1] = 'REE*' AND if Type of property [M1 8.42] = '1 or 2'</t>
        </is>
      </c>
      <c r="AK1451" s="1344" t="n">
        <v>6</v>
      </c>
      <c r="AL1451" s="1345" t="inlineStr">
        <is>
          <t>TPSxxx</t>
        </is>
      </c>
      <c r="AM1451" s="1321" t="n"/>
      <c r="AN1451" s="1343" t="n"/>
      <c r="AO1451" s="1344" t="n"/>
      <c r="AP1451" s="1319" t="n"/>
      <c r="AQ1451" s="1321" t="n"/>
      <c r="AR1451" s="1343" t="n"/>
      <c r="AS1451" s="1320" t="n"/>
      <c r="AT1451" s="1324" t="n"/>
      <c r="AU1451" s="1321" t="n"/>
      <c r="AV1451" s="1343" t="n"/>
      <c r="AW1451" s="1320" t="n"/>
      <c r="AX1451" s="1324" t="n"/>
      <c r="AY1451" s="1321" t="n"/>
      <c r="AZ1451" s="1349" t="n"/>
      <c r="BA1451" s="1344" t="n"/>
      <c r="BB1451" s="1324" t="n"/>
      <c r="BC1451" s="1321" t="n"/>
      <c r="BD1451" s="1350" t="n"/>
      <c r="BE1451" s="1344" t="n"/>
      <c r="BF1451" s="1324" t="n"/>
      <c r="BG1451" s="89" t="n"/>
      <c r="BH145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51">
        <f>_xlfn.LET(r,ROW(),oc,INDEX($A:$A,r),cv,TRIM(INDEX($Y:$Y,r)&amp;""),IF(oc&lt;&gt;"P1","",IF(cv="45","V45 - novo, nao alimentado pelo spool atual","V44 - alimentado pelo spool atual")))</f>
        <v/>
      </c>
    </row>
    <row r="1452" ht="54" customFormat="1" customHeight="1" s="90">
      <c r="A1452" s="1328" t="inlineStr">
        <is>
          <t>M1</t>
        </is>
      </c>
      <c r="B1452" s="1303" t="n">
        <v>157</v>
      </c>
      <c r="C1452" s="1329" t="inlineStr">
        <is>
          <t>15 - Caractéristiques Sureté</t>
        </is>
      </c>
      <c r="D1452" s="1330" t="inlineStr">
        <is>
          <t>15 - Safety characteristics</t>
        </is>
      </c>
      <c r="E1452" s="1331" t="inlineStr">
        <is>
          <t>M1 638.1</t>
        </is>
      </c>
      <c r="F1452" s="1332" t="inlineStr">
        <is>
          <t>Devise de la valeur moyenne de long terme</t>
        </is>
      </c>
      <c r="G1452" s="1333" t="inlineStr">
        <is>
          <t>Currency of long-term average value</t>
        </is>
      </c>
      <c r="H1452" s="1333" t="n"/>
      <c r="I1452" s="1332" t="inlineStr">
        <is>
          <t>Devise de la valeur moyenne de long terme</t>
        </is>
      </c>
      <c r="J1452" s="1333" t="inlineStr">
        <is>
          <t>Currency of long-term average value</t>
        </is>
      </c>
      <c r="K1452" s="1334" t="inlineStr">
        <is>
          <t>ND</t>
        </is>
      </c>
      <c r="L1452" s="1330" t="inlineStr">
        <is>
          <t>ND</t>
        </is>
      </c>
      <c r="M1452" s="1426" t="inlineStr">
        <is>
          <t>TBD</t>
        </is>
      </c>
      <c r="N1452" s="1291" t="inlineStr">
        <is>
          <t>Obligatoire sous conditions</t>
        </is>
      </c>
      <c r="O1452" s="1292" t="inlineStr">
        <is>
          <t>Mandatory under conditions</t>
        </is>
      </c>
      <c r="P1452" s="1334" t="inlineStr">
        <is>
          <t>LC.0005</t>
        </is>
      </c>
      <c r="Q1452" s="1334" t="inlineStr">
        <is>
          <t>TA NM253</t>
        </is>
      </c>
      <c r="R1452" s="1352" t="inlineStr">
        <is>
          <t>NA</t>
        </is>
      </c>
      <c r="S1452" s="1333" t="inlineStr">
        <is>
          <t>NA</t>
        </is>
      </c>
      <c r="T1452" s="1337" t="inlineStr">
        <is>
          <t>ALPHA</t>
        </is>
      </c>
      <c r="U1452" s="1337" t="inlineStr">
        <is>
          <t>NA</t>
        </is>
      </c>
      <c r="V1452" s="1338" t="inlineStr">
        <is>
          <t>NA</t>
        </is>
      </c>
      <c r="W1452" s="1337" t="n">
        <v>3</v>
      </c>
      <c r="X1452" s="1337" t="inlineStr">
        <is>
          <t>NA</t>
        </is>
      </c>
      <c r="Y1452" s="1339" t="n">
        <v>45</v>
      </c>
      <c r="Z1452" s="1334" t="inlineStr">
        <is>
          <t>NA</t>
        </is>
      </c>
      <c r="AA1452" s="1334" t="inlineStr">
        <is>
          <t>NA</t>
        </is>
      </c>
      <c r="AB1452" s="1331" t="inlineStr">
        <is>
          <t>CALCULS PRUDENTIELS</t>
        </is>
      </c>
      <c r="AC1452" s="1334" t="inlineStr">
        <is>
          <t>ND</t>
        </is>
      </c>
      <c r="AD1452" s="1334" t="inlineStr">
        <is>
          <t>N</t>
        </is>
      </c>
      <c r="AE1452" s="1334" t="inlineStr">
        <is>
          <t>REE</t>
        </is>
      </c>
      <c r="AF1452" s="1334" t="inlineStr">
        <is>
          <t>NA</t>
        </is>
      </c>
      <c r="AG1452" s="1340" t="inlineStr">
        <is>
          <t>NA</t>
        </is>
      </c>
      <c r="AH1452" s="1341" t="n"/>
      <c r="AI1452" s="1342" t="inlineStr">
        <is>
          <t>La donnée est obligatoire si Valeur moyenne de long terme [M1 638] est renseignée</t>
        </is>
      </c>
      <c r="AJ1452" s="1343" t="inlineStr">
        <is>
          <t>The data is mandatory if Long-term average value [M1 638] data is filled</t>
        </is>
      </c>
      <c r="AK1452" s="1344" t="n">
        <v>7</v>
      </c>
      <c r="AL1452" s="1345" t="inlineStr">
        <is>
          <t>TPG0002</t>
        </is>
      </c>
      <c r="AM1452" s="1321" t="inlineStr">
        <is>
          <t>Si elle est renseignée, la valeur doit être connue du Langage Commun associé</t>
        </is>
      </c>
      <c r="AN1452" s="1343" t="inlineStr">
        <is>
          <t>If specified, the value must be known to the associated Common Language</t>
        </is>
      </c>
      <c r="AO1452" s="1344" t="n">
        <v>7</v>
      </c>
      <c r="AP1452" s="1319" t="inlineStr">
        <is>
          <t>TIG0001</t>
        </is>
      </c>
      <c r="AQ1452" s="1321" t="n"/>
      <c r="AR1452" s="1343" t="n"/>
      <c r="AS1452" s="1320" t="n"/>
      <c r="AT1452" s="1324" t="n"/>
      <c r="AU1452" s="1321" t="n"/>
      <c r="AV1452" s="1343" t="n"/>
      <c r="AW1452" s="1320" t="n"/>
      <c r="AX1452" s="1324" t="n"/>
      <c r="AY1452" s="1321" t="n"/>
      <c r="AZ1452" s="1349" t="n"/>
      <c r="BA1452" s="1344" t="n"/>
      <c r="BB1452" s="1324" t="n"/>
      <c r="BC1452" s="1321" t="n"/>
      <c r="BD1452" s="1350" t="n"/>
      <c r="BE1452" s="1344" t="n"/>
      <c r="BF1452" s="1324" t="n"/>
      <c r="BG1452" s="89" t="n"/>
      <c r="BH145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52">
        <f>_xlfn.LET(r,ROW(),oc,INDEX($A:$A,r),cv,TRIM(INDEX($Y:$Y,r)&amp;""),IF(oc&lt;&gt;"P1","",IF(cv="45","V45 - novo, nao alimentado pelo spool atual","V44 - alimentado pelo spool atual")))</f>
        <v/>
      </c>
    </row>
    <row r="1453" ht="54" customFormat="1" customHeight="1" s="60" thickBot="1">
      <c r="A1453" s="1196" t="inlineStr">
        <is>
          <t>M1</t>
        </is>
      </c>
      <c r="B1453" s="1197" t="n">
        <v>158</v>
      </c>
      <c r="C1453" s="1185" t="inlineStr">
        <is>
          <t>NA</t>
        </is>
      </c>
      <c r="D1453" s="1185" t="inlineStr">
        <is>
          <t>NA</t>
        </is>
      </c>
      <c r="E1453" s="1197" t="inlineStr">
        <is>
          <t>M1 99.99</t>
        </is>
      </c>
      <c r="F1453" s="1198" t="inlineStr">
        <is>
          <t>Filler</t>
        </is>
      </c>
      <c r="G1453" s="1198" t="inlineStr">
        <is>
          <t>Filler</t>
        </is>
      </c>
      <c r="H1453" s="1198" t="n"/>
      <c r="I1453" s="1186" t="inlineStr">
        <is>
          <t>Zone libre</t>
        </is>
      </c>
      <c r="J1453" s="1198" t="inlineStr">
        <is>
          <t>Free zone</t>
        </is>
      </c>
      <c r="K1453" s="1199" t="inlineStr">
        <is>
          <t>NA</t>
        </is>
      </c>
      <c r="L1453" s="1199" t="inlineStr">
        <is>
          <t>NA</t>
        </is>
      </c>
      <c r="M1453" s="1422" t="inlineStr">
        <is>
          <t>ZoneLibre99</t>
        </is>
      </c>
      <c r="N1453" s="1201" t="inlineStr">
        <is>
          <t>NA</t>
        </is>
      </c>
      <c r="O1453" s="1199" t="inlineStr">
        <is>
          <t>NA</t>
        </is>
      </c>
      <c r="P1453" s="1201" t="inlineStr">
        <is>
          <t>NA</t>
        </is>
      </c>
      <c r="Q1453" s="1201" t="inlineStr">
        <is>
          <t>NA</t>
        </is>
      </c>
      <c r="R1453" s="1186" t="inlineStr">
        <is>
          <t>Laisser à vide</t>
        </is>
      </c>
      <c r="S1453" s="1186" t="inlineStr">
        <is>
          <t>Leave empty</t>
        </is>
      </c>
      <c r="T1453" s="1197" t="inlineStr">
        <is>
          <t>ALPHA</t>
        </is>
      </c>
      <c r="U1453" s="1188" t="inlineStr">
        <is>
          <t>NA</t>
        </is>
      </c>
      <c r="V1453" s="1188" t="inlineStr">
        <is>
          <t>NA</t>
        </is>
      </c>
      <c r="W1453" s="1216">
        <f>8000-(SUM(W1296:W1452)+COUNT(W1296:W1452))</f>
        <v/>
      </c>
      <c r="X1453" s="1185" t="inlineStr">
        <is>
          <t>NA</t>
        </is>
      </c>
      <c r="Y1453" s="1188" t="n">
        <v>43</v>
      </c>
      <c r="Z1453" s="1188" t="inlineStr">
        <is>
          <t>NA</t>
        </is>
      </c>
      <c r="AA1453" s="1190" t="inlineStr">
        <is>
          <t>45.00</t>
        </is>
      </c>
      <c r="AB1453" s="1201" t="inlineStr">
        <is>
          <t>NA</t>
        </is>
      </c>
      <c r="AC1453" s="1185" t="inlineStr">
        <is>
          <t>NA</t>
        </is>
      </c>
      <c r="AD1453" s="1201" t="inlineStr">
        <is>
          <t>N</t>
        </is>
      </c>
      <c r="AE1453" s="1201" t="inlineStr">
        <is>
          <t>NA</t>
        </is>
      </c>
      <c r="AF1453" s="1201" t="inlineStr">
        <is>
          <t>NA</t>
        </is>
      </c>
      <c r="AG1453" s="1203" t="inlineStr">
        <is>
          <t>NA</t>
        </is>
      </c>
      <c r="AH1453" s="1360" t="n"/>
      <c r="AI1453" s="1204" t="n"/>
      <c r="AJ1453" s="1205" t="n"/>
      <c r="AK1453" s="1201" t="n"/>
      <c r="AL1453" s="1203" t="n"/>
      <c r="AM1453" s="1205" t="n"/>
      <c r="AN1453" s="1205" t="n"/>
      <c r="AO1453" s="1201" t="n"/>
      <c r="AP1453" s="1203" t="n"/>
      <c r="AQ1453" s="1205" t="n"/>
      <c r="AR1453" s="1205" t="n"/>
      <c r="AS1453" s="1201" t="n"/>
      <c r="AT1453" s="1203" t="n"/>
      <c r="AU1453" s="1205" t="n"/>
      <c r="AV1453" s="1205" t="n"/>
      <c r="AW1453" s="1201" t="n"/>
      <c r="AX1453" s="1203" t="n"/>
      <c r="AY1453" s="1205" t="n"/>
      <c r="AZ1453" s="1205" t="n"/>
      <c r="BA1453" s="1201" t="n"/>
      <c r="BB1453" s="1203" t="n"/>
      <c r="BC1453" s="1204" t="n"/>
      <c r="BD1453" s="1205" t="n"/>
      <c r="BE1453" s="1201" t="n"/>
      <c r="BF1453" s="1203" t="n"/>
      <c r="BG1453" s="1360" t="n"/>
      <c r="BH145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53">
        <f>_xlfn.LET(r,ROW(),oc,INDEX($A:$A,r),cv,TRIM(INDEX($Y:$Y,r)&amp;""),IF(oc&lt;&gt;"P1","",IF(cv="45","V45 - novo, nao alimentado pelo spool atual","V44 - alimentado pelo spool atual")))</f>
        <v/>
      </c>
    </row>
    <row r="1454" ht="54" customFormat="1" customHeight="1" s="90">
      <c r="A1454" s="286" t="inlineStr">
        <is>
          <t>P9</t>
        </is>
      </c>
      <c r="B1454" s="287" t="n">
        <v>1</v>
      </c>
      <c r="C1454" s="292" t="inlineStr">
        <is>
          <t>02 - Caractéristiques d'identification fonctionnelles</t>
        </is>
      </c>
      <c r="D1454" s="293" t="inlineStr">
        <is>
          <t>02 - Functional identification characteristics</t>
        </is>
      </c>
      <c r="E1454" s="287" t="inlineStr">
        <is>
          <t>0.1 (P9)</t>
        </is>
      </c>
      <c r="F1454" s="288" t="inlineStr">
        <is>
          <t xml:space="preserve">Date d'arrêté </t>
        </is>
      </c>
      <c r="G1454" s="289" t="inlineStr">
        <is>
          <t>Closing date</t>
        </is>
      </c>
      <c r="H1454" s="289" t="n"/>
      <c r="I1454" s="290" t="inlineStr">
        <is>
          <t>Correspond à la date d'arrêté des données transmises (dernier jour calendaire du mois)</t>
        </is>
      </c>
      <c r="J1454" s="291" t="inlineStr">
        <is>
          <t>Represents the cut-off date of the data transmitted (final calendar day of the month)</t>
        </is>
      </c>
      <c r="K1454" s="402" t="inlineStr">
        <is>
          <t>ND</t>
        </is>
      </c>
      <c r="L1454" s="403" t="inlineStr">
        <is>
          <t>ND</t>
        </is>
      </c>
      <c r="M1454" s="1419" t="inlineStr">
        <is>
          <t>SttmDt</t>
        </is>
      </c>
      <c r="N1454" s="294" t="inlineStr">
        <is>
          <t>Obligatoire</t>
        </is>
      </c>
      <c r="O1454" s="295" t="inlineStr">
        <is>
          <t>Mandatory</t>
        </is>
      </c>
      <c r="P1454" s="292" t="inlineStr">
        <is>
          <t>NA</t>
        </is>
      </c>
      <c r="Q1454" s="292" t="inlineStr">
        <is>
          <t>NA</t>
        </is>
      </c>
      <c r="R1454" s="290" t="inlineStr">
        <is>
          <t>Il doit y avoir unicité de la date d'arrêté au sein du flux</t>
        </is>
      </c>
      <c r="S1454" s="291" t="inlineStr">
        <is>
          <t>The cut-off date must be the same across the flow</t>
        </is>
      </c>
      <c r="T1454" s="195" t="inlineStr">
        <is>
          <t>DATE</t>
        </is>
      </c>
      <c r="U1454" s="296" t="inlineStr">
        <is>
          <t>AAAAMMJJ</t>
        </is>
      </c>
      <c r="V1454" s="297" t="inlineStr">
        <is>
          <t>YYYYMMDD</t>
        </is>
      </c>
      <c r="W1454" s="298" t="n">
        <v>8</v>
      </c>
      <c r="X1454" s="1041" t="inlineStr">
        <is>
          <t>NA</t>
        </is>
      </c>
      <c r="Y1454" s="296" t="inlineStr">
        <is>
          <t>40</t>
        </is>
      </c>
      <c r="Z1454" s="296" t="inlineStr">
        <is>
          <t>NA</t>
        </is>
      </c>
      <c r="AA1454" s="270" t="inlineStr">
        <is>
          <t>NA</t>
        </is>
      </c>
      <c r="AB1454" s="1286" t="inlineStr">
        <is>
          <t>CALCULS PRUDENTIELS</t>
        </is>
      </c>
      <c r="AC1454" s="294" t="inlineStr">
        <is>
          <t>ND</t>
        </is>
      </c>
      <c r="AD1454" s="298" t="inlineStr">
        <is>
          <t>N</t>
        </is>
      </c>
      <c r="AE1454" s="298" t="inlineStr">
        <is>
          <t>NA</t>
        </is>
      </c>
      <c r="AF1454" s="298" t="inlineStr">
        <is>
          <t>NA</t>
        </is>
      </c>
      <c r="AG1454" s="300" t="inlineStr">
        <is>
          <t>NA</t>
        </is>
      </c>
      <c r="AH1454" s="89" t="n"/>
      <c r="AI1454" s="301" t="inlineStr">
        <is>
          <t>La donnée est obligatoire</t>
        </is>
      </c>
      <c r="AJ1454" s="302" t="inlineStr">
        <is>
          <t>The data is mandatory</t>
        </is>
      </c>
      <c r="AK1454" s="303" t="n"/>
      <c r="AL1454" s="304" t="inlineStr">
        <is>
          <t>EN0011</t>
        </is>
      </c>
      <c r="AM1454" s="305" t="n"/>
      <c r="AN1454" s="302" t="n"/>
      <c r="AO1454" s="303" t="n"/>
      <c r="AP1454" s="304" t="n"/>
      <c r="AQ1454"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454" s="302"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454" s="303" t="n"/>
      <c r="AT1454" s="304" t="inlineStr">
        <is>
          <t>EN0017
EN0019</t>
        </is>
      </c>
      <c r="AU1454"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454" s="302"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454" s="303" t="n"/>
      <c r="AX1454" s="304" t="inlineStr">
        <is>
          <t>EN001B</t>
        </is>
      </c>
      <c r="AY1454" s="305" t="n"/>
      <c r="AZ1454" s="302" t="n"/>
      <c r="BA1454" s="303" t="n"/>
      <c r="BB1454" s="304" t="n"/>
      <c r="BC1454" s="301" t="n"/>
      <c r="BD1454" s="302" t="n"/>
      <c r="BE1454" s="303" t="n"/>
      <c r="BF1454" s="304" t="n"/>
      <c r="BG1454" s="89" t="n"/>
      <c r="BH145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54">
        <f>_xlfn.LET(r,ROW(),oc,INDEX($A:$A,r),cv,TRIM(INDEX($Y:$Y,r)&amp;""),IF(oc&lt;&gt;"P1","",IF(cv="45","V45 - novo, nao alimentado pelo spool atual","V44 - alimentado pelo spool atual")))</f>
        <v/>
      </c>
    </row>
    <row r="1455" ht="54" customFormat="1" customHeight="1" s="90">
      <c r="A1455" s="306" t="inlineStr">
        <is>
          <t>P9</t>
        </is>
      </c>
      <c r="B1455" s="307" t="n">
        <v>2</v>
      </c>
      <c r="C1455" s="269" t="inlineStr">
        <is>
          <t>02 - Caractéristiques d'identification fonctionnelles</t>
        </is>
      </c>
      <c r="D1455" s="310" t="inlineStr">
        <is>
          <t>02 - Functional identification characteristics</t>
        </is>
      </c>
      <c r="E1455" s="307" t="inlineStr">
        <is>
          <t>0.2 (P9)</t>
        </is>
      </c>
      <c r="F1455" s="308" t="inlineStr">
        <is>
          <t>Entité Porteuse de Risques</t>
        </is>
      </c>
      <c r="G1455" s="309" t="inlineStr">
        <is>
          <t>Risk taker entity</t>
        </is>
      </c>
      <c r="H1455" s="309" t="n"/>
      <c r="I1455" s="241" t="inlineStr">
        <is>
          <t>Correspond au code consolidation comptable de l'Entité porteuse de risque dans les comptes de Crédit Agricole S.A.</t>
        </is>
      </c>
      <c r="J1455" s="309" t="inlineStr">
        <is>
          <t xml:space="preserve">Represents the accounting consolidation code of the Entity in the financial statements of Crédit Agricole S.A. </t>
        </is>
      </c>
      <c r="K1455" s="370" t="inlineStr">
        <is>
          <t>ND</t>
        </is>
      </c>
      <c r="L1455" s="371" t="inlineStr">
        <is>
          <t>ND</t>
        </is>
      </c>
      <c r="M1455" s="1420" t="inlineStr">
        <is>
          <t>EntPortRisq</t>
        </is>
      </c>
      <c r="N1455" s="231" t="inlineStr">
        <is>
          <t>Obligatoire</t>
        </is>
      </c>
      <c r="O1455" s="236" t="inlineStr">
        <is>
          <t>Mandatory</t>
        </is>
      </c>
      <c r="P1455" s="269" t="inlineStr">
        <is>
          <t>LC.0003</t>
        </is>
      </c>
      <c r="Q1455" s="269" t="inlineStr">
        <is>
          <t>TA FI59</t>
        </is>
      </c>
      <c r="R1455" s="241" t="inlineStr">
        <is>
          <t>NA</t>
        </is>
      </c>
      <c r="S1455" s="233" t="inlineStr">
        <is>
          <t>NA</t>
        </is>
      </c>
      <c r="T1455" s="313" t="inlineStr">
        <is>
          <t>ALPHA</t>
        </is>
      </c>
      <c r="U1455" s="237" t="inlineStr">
        <is>
          <t>NA</t>
        </is>
      </c>
      <c r="V1455" s="238" t="inlineStr">
        <is>
          <t>NA</t>
        </is>
      </c>
      <c r="W1455" s="257" t="n">
        <v>5</v>
      </c>
      <c r="X1455" s="945" t="inlineStr">
        <is>
          <t>NA</t>
        </is>
      </c>
      <c r="Y1455" s="237" t="inlineStr">
        <is>
          <t>40</t>
        </is>
      </c>
      <c r="Z1455" s="237" t="inlineStr">
        <is>
          <t>NA</t>
        </is>
      </c>
      <c r="AA1455" s="270" t="inlineStr">
        <is>
          <t>NA</t>
        </is>
      </c>
      <c r="AB1455" s="1286" t="inlineStr">
        <is>
          <t>CALCULS PRUDENTIELS</t>
        </is>
      </c>
      <c r="AC1455" s="231" t="inlineStr">
        <is>
          <t>ND</t>
        </is>
      </c>
      <c r="AD1455" s="257" t="inlineStr">
        <is>
          <t>N</t>
        </is>
      </c>
      <c r="AE1455" s="257" t="inlineStr">
        <is>
          <t>NA</t>
        </is>
      </c>
      <c r="AF1455" s="257" t="inlineStr">
        <is>
          <t>NA</t>
        </is>
      </c>
      <c r="AG1455" s="258" t="inlineStr">
        <is>
          <t>NA</t>
        </is>
      </c>
      <c r="AH1455" s="89" t="n"/>
      <c r="AI1455" s="316" t="inlineStr">
        <is>
          <t>La donnée est obligatoire</t>
        </is>
      </c>
      <c r="AJ1455" s="317" t="inlineStr">
        <is>
          <t>The data is mandatory</t>
        </is>
      </c>
      <c r="AK1455" s="257" t="n"/>
      <c r="AL1455" s="258" t="inlineStr">
        <is>
          <t>EN0021</t>
        </is>
      </c>
      <c r="AM1455"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1455" s="317"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1455" s="313" t="n"/>
      <c r="AP1455" s="319" t="inlineStr">
        <is>
          <t>EN0023</t>
        </is>
      </c>
      <c r="AQ1455" s="318" t="n"/>
      <c r="AR1455" s="317" t="n"/>
      <c r="AS1455" s="257" t="n"/>
      <c r="AT1455" s="258" t="n"/>
      <c r="AU1455" s="318" t="n"/>
      <c r="AV1455" s="317" t="n"/>
      <c r="AW1455" s="257" t="n"/>
      <c r="AX1455" s="258" t="n"/>
      <c r="AY1455" s="159" t="inlineStr">
        <is>
          <t>Unicité au sein de l'entité porteuse de risque</t>
        </is>
      </c>
      <c r="AZ1455" s="160" t="inlineStr">
        <is>
          <t>Uniqueness within the entity bearing the risk</t>
        </is>
      </c>
      <c r="BA1455" s="257" t="n">
        <v>7</v>
      </c>
      <c r="BB1455" s="320" t="inlineStr">
        <is>
          <t>TU0001</t>
        </is>
      </c>
      <c r="BC1455" s="316" t="n"/>
      <c r="BD1455" s="317" t="n"/>
      <c r="BE1455" s="257" t="n"/>
      <c r="BF1455" s="258" t="n"/>
      <c r="BG1455" s="89" t="n"/>
      <c r="BH145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55">
        <f>_xlfn.LET(r,ROW(),oc,INDEX($A:$A,r),cv,TRIM(INDEX($Y:$Y,r)&amp;""),IF(oc&lt;&gt;"P1","",IF(cv="45","V45 - novo, nao alimentado pelo spool atual","V44 - alimentado pelo spool atual")))</f>
        <v/>
      </c>
    </row>
    <row r="1456" ht="54" customFormat="1" customHeight="1" s="90">
      <c r="A1456" s="306" t="inlineStr">
        <is>
          <t>P9</t>
        </is>
      </c>
      <c r="B1456" s="307" t="n">
        <v>3</v>
      </c>
      <c r="C1456" s="269" t="inlineStr">
        <is>
          <t>02 - Caractéristiques d'identification fonctionnelles</t>
        </is>
      </c>
      <c r="D1456" s="310" t="inlineStr">
        <is>
          <t>02 - Functional identification characteristics</t>
        </is>
      </c>
      <c r="E1456" s="307" t="inlineStr">
        <is>
          <t>0.3 (P9)</t>
        </is>
      </c>
      <c r="F1456" s="308" t="inlineStr">
        <is>
          <t>Application source</t>
        </is>
      </c>
      <c r="G1456" s="309" t="inlineStr">
        <is>
          <t>Source application</t>
        </is>
      </c>
      <c r="H1456" s="309" t="n"/>
      <c r="I1456" s="241" t="inlineStr">
        <is>
          <t>Correspond au code du Système d'Information utilisé en local pour générer le flux
Dans le flux Grande Clientèle, il faut préfixer par la lettre ‘C' le code application source</t>
        </is>
      </c>
      <c r="J1456" s="233" t="inlineStr">
        <is>
          <t xml:space="preserve">Represents the code of the Information System used locally to generate the flow
In Corporate flow, the source application code must be prefix with the letter 'C' </t>
        </is>
      </c>
      <c r="K1456" s="370" t="inlineStr">
        <is>
          <t>ND</t>
        </is>
      </c>
      <c r="L1456" s="371" t="inlineStr">
        <is>
          <t>ND</t>
        </is>
      </c>
      <c r="M1456" s="1420" t="inlineStr">
        <is>
          <t>AppliSource</t>
        </is>
      </c>
      <c r="N1456" s="231" t="inlineStr">
        <is>
          <t>Obligatoire</t>
        </is>
      </c>
      <c r="O1456" s="236" t="inlineStr">
        <is>
          <t>Mandatory</t>
        </is>
      </c>
      <c r="P1456" s="994" t="inlineStr">
        <is>
          <t>NA</t>
        </is>
      </c>
      <c r="Q1456" s="206" t="inlineStr">
        <is>
          <t>TA KVAPPBK</t>
        </is>
      </c>
      <c r="R1456"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1456"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1456" s="313" t="inlineStr">
        <is>
          <t>ALPHA</t>
        </is>
      </c>
      <c r="U1456" s="237" t="inlineStr">
        <is>
          <t>NA</t>
        </is>
      </c>
      <c r="V1456" s="238" t="inlineStr">
        <is>
          <t>NA</t>
        </is>
      </c>
      <c r="W1456" s="257" t="n">
        <v>12</v>
      </c>
      <c r="X1456" s="945" t="inlineStr">
        <is>
          <t>NA</t>
        </is>
      </c>
      <c r="Y1456" s="237" t="inlineStr">
        <is>
          <t>40</t>
        </is>
      </c>
      <c r="Z1456" s="237" t="inlineStr">
        <is>
          <t>NA</t>
        </is>
      </c>
      <c r="AA1456" s="237" t="inlineStr">
        <is>
          <t>NA</t>
        </is>
      </c>
      <c r="AB1456" s="269" t="inlineStr">
        <is>
          <t>USAGE ZP</t>
        </is>
      </c>
      <c r="AC1456" s="231" t="inlineStr">
        <is>
          <t>ND</t>
        </is>
      </c>
      <c r="AD1456" s="257" t="inlineStr">
        <is>
          <t>N</t>
        </is>
      </c>
      <c r="AE1456" s="257" t="inlineStr">
        <is>
          <t>NA</t>
        </is>
      </c>
      <c r="AF1456" s="257" t="inlineStr">
        <is>
          <t>NA</t>
        </is>
      </c>
      <c r="AG1456" s="258" t="inlineStr">
        <is>
          <t>NA</t>
        </is>
      </c>
      <c r="AH1456" s="89" t="n"/>
      <c r="AI1456" s="316" t="inlineStr">
        <is>
          <t>La donnée est obligatoire</t>
        </is>
      </c>
      <c r="AJ1456" s="321" t="inlineStr">
        <is>
          <t>The data is mandatory</t>
        </is>
      </c>
      <c r="AK1456" s="313" t="n"/>
      <c r="AL1456" s="319" t="inlineStr">
        <is>
          <t>EN0031</t>
        </is>
      </c>
      <c r="AM1456" s="210" t="inlineStr">
        <is>
          <t>Si elle est renseignée, la valeur doit être connue du Langage Commun associé</t>
        </is>
      </c>
      <c r="AN1456" s="211" t="inlineStr">
        <is>
          <t>If specified, the value must be known to the associated Common Language</t>
        </is>
      </c>
      <c r="AO1456" s="313" t="n"/>
      <c r="AP1456" s="258" t="inlineStr">
        <is>
          <t>EN0035</t>
        </is>
      </c>
      <c r="AQ1456" s="318" t="n"/>
      <c r="AR1456" s="317" t="n"/>
      <c r="AS1456" s="257" t="n"/>
      <c r="AT1456" s="258" t="n"/>
      <c r="AU1456" s="318" t="n"/>
      <c r="AV1456" s="317" t="n"/>
      <c r="AW1456" s="257" t="n"/>
      <c r="AX1456" s="258" t="n"/>
      <c r="AY1456" s="318" t="n"/>
      <c r="AZ1456" s="317" t="n"/>
      <c r="BA1456" s="257" t="n"/>
      <c r="BB1456" s="258" t="n"/>
      <c r="BC1456" s="316" t="n"/>
      <c r="BD1456" s="317" t="n"/>
      <c r="BE1456" s="257" t="n"/>
      <c r="BF1456" s="258" t="n"/>
      <c r="BG1456" s="89" t="n"/>
      <c r="BH145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56">
        <f>_xlfn.LET(r,ROW(),oc,INDEX($A:$A,r),cv,TRIM(INDEX($Y:$Y,r)&amp;""),IF(oc&lt;&gt;"P1","",IF(cv="45","V45 - novo, nao alimentado pelo spool atual","V44 - alimentado pelo spool atual")))</f>
        <v/>
      </c>
    </row>
    <row r="1457" ht="54" customFormat="1" customHeight="1" s="90">
      <c r="A1457" s="306" t="inlineStr">
        <is>
          <t>P9</t>
        </is>
      </c>
      <c r="B1457" s="307" t="n">
        <v>4</v>
      </c>
      <c r="C1457" s="269" t="inlineStr">
        <is>
          <t>01 - Caractéristiques d'identification techniques</t>
        </is>
      </c>
      <c r="D1457" s="310" t="inlineStr">
        <is>
          <t>01 - Technical identification characteristics</t>
        </is>
      </c>
      <c r="E1457" s="307" t="inlineStr">
        <is>
          <t>0.4 (P9)</t>
        </is>
      </c>
      <c r="F1457" s="308" t="inlineStr">
        <is>
          <t>Fréquence de transmission</t>
        </is>
      </c>
      <c r="G1457" s="309" t="inlineStr">
        <is>
          <t>Transmission frequency</t>
        </is>
      </c>
      <c r="H1457" s="309" t="n"/>
      <c r="I1457" s="234" t="inlineStr">
        <is>
          <t>Permet d'identifier le flux dans les traitements</t>
        </is>
      </c>
      <c r="J1457" s="235" t="inlineStr">
        <is>
          <t>Makes it possible to identify the flow in the treatments</t>
        </is>
      </c>
      <c r="K1457" s="370" t="inlineStr">
        <is>
          <t>ND</t>
        </is>
      </c>
      <c r="L1457" s="371" t="inlineStr">
        <is>
          <t>ND</t>
        </is>
      </c>
      <c r="M1457" s="1420" t="inlineStr">
        <is>
          <t>FreqTrans</t>
        </is>
      </c>
      <c r="N1457" s="231" t="inlineStr">
        <is>
          <t>Obligatoire</t>
        </is>
      </c>
      <c r="O1457" s="236" t="inlineStr">
        <is>
          <t>Mandatory</t>
        </is>
      </c>
      <c r="P1457" s="269" t="inlineStr">
        <is>
          <t>NA</t>
        </is>
      </c>
      <c r="Q1457" s="269" t="inlineStr">
        <is>
          <t>NA</t>
        </is>
      </c>
      <c r="R1457" s="234" t="inlineStr">
        <is>
          <t>La seule valeur admise est 'M' pour mensuel</t>
        </is>
      </c>
      <c r="S1457" s="235" t="inlineStr">
        <is>
          <t>The only permitted value is 'M' for month</t>
        </is>
      </c>
      <c r="T1457" s="313" t="inlineStr">
        <is>
          <t>ALPHA</t>
        </is>
      </c>
      <c r="U1457" s="237" t="inlineStr">
        <is>
          <t>NA</t>
        </is>
      </c>
      <c r="V1457" s="238" t="inlineStr">
        <is>
          <t>NA</t>
        </is>
      </c>
      <c r="W1457" s="257" t="n">
        <v>1</v>
      </c>
      <c r="X1457" s="945" t="inlineStr">
        <is>
          <t>NA</t>
        </is>
      </c>
      <c r="Y1457" s="237" t="inlineStr">
        <is>
          <t>40</t>
        </is>
      </c>
      <c r="Z1457" s="237" t="inlineStr">
        <is>
          <t>NA</t>
        </is>
      </c>
      <c r="AA1457" s="237" t="inlineStr">
        <is>
          <t>NA</t>
        </is>
      </c>
      <c r="AB1457" s="269" t="inlineStr">
        <is>
          <t>USAGE ZP</t>
        </is>
      </c>
      <c r="AC1457" s="231" t="inlineStr">
        <is>
          <t>ND</t>
        </is>
      </c>
      <c r="AD1457" s="257" t="inlineStr">
        <is>
          <t>N</t>
        </is>
      </c>
      <c r="AE1457" s="257" t="inlineStr">
        <is>
          <t>NA</t>
        </is>
      </c>
      <c r="AF1457" s="257" t="inlineStr">
        <is>
          <t>NA</t>
        </is>
      </c>
      <c r="AG1457" s="258" t="inlineStr">
        <is>
          <t>NA</t>
        </is>
      </c>
      <c r="AH1457" s="89" t="n"/>
      <c r="AI1457" s="316" t="inlineStr">
        <is>
          <t>La donnée est obligatoire</t>
        </is>
      </c>
      <c r="AJ1457" s="317" t="inlineStr">
        <is>
          <t>The data is mandatory</t>
        </is>
      </c>
      <c r="AK1457" s="257" t="n"/>
      <c r="AL1457" s="258" t="inlineStr">
        <is>
          <t>EN0041</t>
        </is>
      </c>
      <c r="AM1457" s="318" t="n"/>
      <c r="AN1457" s="317" t="n"/>
      <c r="AO1457" s="257" t="n"/>
      <c r="AP1457" s="258" t="n"/>
      <c r="AQ1457" s="318" t="inlineStr">
        <is>
          <t>Si renseignée, la donnée doit être égale à 'M' ou 'C'.</t>
        </is>
      </c>
      <c r="AR1457" s="317" t="inlineStr">
        <is>
          <t>If filled in, the data must be equal to 'M' or 'C'.</t>
        </is>
      </c>
      <c r="AS1457" s="257" t="n"/>
      <c r="AT1457" s="258" t="inlineStr">
        <is>
          <t>EN0043</t>
        </is>
      </c>
      <c r="AU1457" s="318" t="n"/>
      <c r="AV1457" s="317" t="n"/>
      <c r="AW1457" s="257" t="n"/>
      <c r="AX1457" s="258" t="n"/>
      <c r="AY1457" s="318" t="n"/>
      <c r="AZ1457" s="317" t="n"/>
      <c r="BA1457" s="257" t="n"/>
      <c r="BB1457" s="258" t="n"/>
      <c r="BC1457" s="316" t="n"/>
      <c r="BD1457" s="317" t="n"/>
      <c r="BE1457" s="257" t="n"/>
      <c r="BF1457" s="258" t="n"/>
      <c r="BG1457" s="89" t="n"/>
      <c r="BH145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57">
        <f>_xlfn.LET(r,ROW(),oc,INDEX($A:$A,r),cv,TRIM(INDEX($Y:$Y,r)&amp;""),IF(oc&lt;&gt;"P1","",IF(cv="45","V45 - novo, nao alimentado pelo spool atual","V44 - alimentado pelo spool atual")))</f>
        <v/>
      </c>
    </row>
    <row r="1458" ht="54" customFormat="1" customHeight="1" s="90">
      <c r="A1458" s="306" t="inlineStr">
        <is>
          <t>P9</t>
        </is>
      </c>
      <c r="B1458" s="307" t="n">
        <v>5</v>
      </c>
      <c r="C1458" s="269" t="inlineStr">
        <is>
          <t>01 - Caractéristiques d'identification techniques</t>
        </is>
      </c>
      <c r="D1458" s="310" t="inlineStr">
        <is>
          <t>01 - Technical identification characteristics</t>
        </is>
      </c>
      <c r="E1458" s="307" t="inlineStr">
        <is>
          <t>0.5 (P9)</t>
        </is>
      </c>
      <c r="F1458" s="308" t="inlineStr">
        <is>
          <t>Date et Heure de traitement</t>
        </is>
      </c>
      <c r="G1458" s="309" t="inlineStr">
        <is>
          <t>Date and time of processing</t>
        </is>
      </c>
      <c r="H1458" s="309" t="n"/>
      <c r="I1458" s="234" t="inlineStr">
        <is>
          <t>Correspond à la date et heure du début du traitement ayant produit le flux</t>
        </is>
      </c>
      <c r="J1458" s="235" t="inlineStr">
        <is>
          <t>Represents the date and time at which treatment began</t>
        </is>
      </c>
      <c r="K1458" s="370" t="inlineStr">
        <is>
          <t>ND</t>
        </is>
      </c>
      <c r="L1458" s="371" t="inlineStr">
        <is>
          <t>ND</t>
        </is>
      </c>
      <c r="M1458" s="1420" t="inlineStr">
        <is>
          <t>DtHeureTrait</t>
        </is>
      </c>
      <c r="N1458" s="231" t="inlineStr">
        <is>
          <t>Obligatoire</t>
        </is>
      </c>
      <c r="O1458" s="236" t="inlineStr">
        <is>
          <t>Mandatory</t>
        </is>
      </c>
      <c r="P1458" s="269" t="inlineStr">
        <is>
          <t>NA</t>
        </is>
      </c>
      <c r="Q1458" s="269" t="inlineStr">
        <is>
          <t>NA</t>
        </is>
      </c>
      <c r="R1458" s="234" t="inlineStr">
        <is>
          <t>Unicité obligatoire au sein d'un Lot déterminé</t>
        </is>
      </c>
      <c r="S1458" s="235" t="inlineStr">
        <is>
          <t>Has to be unique within a specific Batch</t>
        </is>
      </c>
      <c r="T1458" s="313" t="inlineStr">
        <is>
          <t>ALPHA</t>
        </is>
      </c>
      <c r="U1458" s="237" t="inlineStr">
        <is>
          <t>NA</t>
        </is>
      </c>
      <c r="V1458" s="238" t="inlineStr">
        <is>
          <t>NA</t>
        </is>
      </c>
      <c r="W1458" s="257" t="n">
        <v>12</v>
      </c>
      <c r="X1458" s="945" t="inlineStr">
        <is>
          <t>NA</t>
        </is>
      </c>
      <c r="Y1458" s="237" t="inlineStr">
        <is>
          <t>40</t>
        </is>
      </c>
      <c r="Z1458" s="237" t="inlineStr">
        <is>
          <t>NA</t>
        </is>
      </c>
      <c r="AA1458" s="237" t="inlineStr">
        <is>
          <t>NA</t>
        </is>
      </c>
      <c r="AB1458" s="269" t="inlineStr">
        <is>
          <t>USAGE ZP</t>
        </is>
      </c>
      <c r="AC1458" s="231" t="inlineStr">
        <is>
          <t>ND</t>
        </is>
      </c>
      <c r="AD1458" s="257" t="inlineStr">
        <is>
          <t>N</t>
        </is>
      </c>
      <c r="AE1458" s="257" t="inlineStr">
        <is>
          <t>NA</t>
        </is>
      </c>
      <c r="AF1458" s="257" t="inlineStr">
        <is>
          <t>NA</t>
        </is>
      </c>
      <c r="AG1458" s="258" t="inlineStr">
        <is>
          <t>NA</t>
        </is>
      </c>
      <c r="AH1458" s="89" t="n"/>
      <c r="AI1458" s="316" t="inlineStr">
        <is>
          <t>La donnée est obligatoire</t>
        </is>
      </c>
      <c r="AJ1458" s="317" t="inlineStr">
        <is>
          <t>The data is mandatory</t>
        </is>
      </c>
      <c r="AK1458" s="257" t="n"/>
      <c r="AL1458" s="258" t="inlineStr">
        <is>
          <t>EN0051</t>
        </is>
      </c>
      <c r="AM1458" s="318" t="n"/>
      <c r="AN1458" s="317" t="n"/>
      <c r="AO1458" s="257" t="n"/>
      <c r="AP1458" s="258" t="n"/>
      <c r="AQ1458" s="318" t="n"/>
      <c r="AR1458" s="317" t="n"/>
      <c r="AS1458" s="257" t="n"/>
      <c r="AT1458" s="258" t="n"/>
      <c r="AU1458"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1458" s="317"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1458" s="257" t="n"/>
      <c r="AX1458" s="258" t="inlineStr">
        <is>
          <t>EN0056</t>
        </is>
      </c>
      <c r="AY1458" s="318" t="n"/>
      <c r="AZ1458" s="317" t="n"/>
      <c r="BA1458" s="257" t="n"/>
      <c r="BB1458" s="258" t="n"/>
      <c r="BC1458" s="316" t="n"/>
      <c r="BD1458" s="317" t="n"/>
      <c r="BE1458" s="257" t="n"/>
      <c r="BF1458" s="258" t="n"/>
      <c r="BG1458" s="89" t="n"/>
      <c r="BH145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58">
        <f>_xlfn.LET(r,ROW(),oc,INDEX($A:$A,r),cv,TRIM(INDEX($Y:$Y,r)&amp;""),IF(oc&lt;&gt;"P1","",IF(cv="45","V45 - novo, nao alimentado pelo spool atual","V44 - alimentado pelo spool atual")))</f>
        <v/>
      </c>
    </row>
    <row r="1459" ht="54" customFormat="1" customHeight="1" s="90">
      <c r="A1459" s="306" t="inlineStr">
        <is>
          <t>P9</t>
        </is>
      </c>
      <c r="B1459" s="307" t="n">
        <v>6</v>
      </c>
      <c r="C1459" s="269" t="inlineStr">
        <is>
          <t>01 - Caractéristiques d'identification techniques</t>
        </is>
      </c>
      <c r="D1459" s="310" t="inlineStr">
        <is>
          <t>01 - Technical identification characteristics</t>
        </is>
      </c>
      <c r="E1459" s="307" t="inlineStr">
        <is>
          <t>0.6 (P9)</t>
        </is>
      </c>
      <c r="F1459" s="308" t="inlineStr">
        <is>
          <t>Type d'enregistrement</t>
        </is>
      </c>
      <c r="G1459" s="309" t="inlineStr">
        <is>
          <t>Record type</t>
        </is>
      </c>
      <c r="H1459" s="309" t="n"/>
      <c r="I1459" s="242" t="inlineStr">
        <is>
          <t>Caractérise le type d'enregistrement remonté par l'entité</t>
        </is>
      </c>
      <c r="J1459" s="235" t="inlineStr">
        <is>
          <t>Represents the record type reported by the entity</t>
        </is>
      </c>
      <c r="K1459" s="370" t="inlineStr">
        <is>
          <t>ND</t>
        </is>
      </c>
      <c r="L1459" s="371" t="inlineStr">
        <is>
          <t>ND</t>
        </is>
      </c>
      <c r="M1459" s="1420" t="inlineStr">
        <is>
          <t>TypEnreg</t>
        </is>
      </c>
      <c r="N1459" s="231" t="inlineStr">
        <is>
          <t>Obligatoire</t>
        </is>
      </c>
      <c r="O1459" s="236" t="inlineStr">
        <is>
          <t>Mandatory</t>
        </is>
      </c>
      <c r="P1459" s="269" t="inlineStr">
        <is>
          <t>NA</t>
        </is>
      </c>
      <c r="Q1459" s="269" t="inlineStr">
        <is>
          <t>NA</t>
        </is>
      </c>
      <c r="R1459" s="241" t="inlineStr">
        <is>
          <t>Valeur admise : 'P9' (Domaine Provisions Décotes)</t>
        </is>
      </c>
      <c r="S1459" s="233" t="inlineStr">
        <is>
          <t>Permitted value: 'P9' (Provisions Haircuts Section)</t>
        </is>
      </c>
      <c r="T1459" s="313" t="inlineStr">
        <is>
          <t>ALPHA</t>
        </is>
      </c>
      <c r="U1459" s="237" t="inlineStr">
        <is>
          <t>NA</t>
        </is>
      </c>
      <c r="V1459" s="238" t="inlineStr">
        <is>
          <t>NA</t>
        </is>
      </c>
      <c r="W1459" s="257" t="n">
        <v>2</v>
      </c>
      <c r="X1459" s="945" t="inlineStr">
        <is>
          <t>NA</t>
        </is>
      </c>
      <c r="Y1459" s="237" t="inlineStr">
        <is>
          <t>40</t>
        </is>
      </c>
      <c r="Z1459" s="237" t="inlineStr">
        <is>
          <t>NA</t>
        </is>
      </c>
      <c r="AA1459" s="237" t="inlineStr">
        <is>
          <t>NA</t>
        </is>
      </c>
      <c r="AB1459" s="269" t="inlineStr">
        <is>
          <t>USAGE ZP</t>
        </is>
      </c>
      <c r="AC1459" s="231" t="inlineStr">
        <is>
          <t>ND</t>
        </is>
      </c>
      <c r="AD1459" s="257" t="inlineStr">
        <is>
          <t>N</t>
        </is>
      </c>
      <c r="AE1459" s="257" t="inlineStr">
        <is>
          <t>NA</t>
        </is>
      </c>
      <c r="AF1459" s="257" t="inlineStr">
        <is>
          <t>NA</t>
        </is>
      </c>
      <c r="AG1459" s="258" t="inlineStr">
        <is>
          <t>NA</t>
        </is>
      </c>
      <c r="AH1459" s="89" t="n"/>
      <c r="AI1459" s="316" t="inlineStr">
        <is>
          <t>La donnée est obligatoire</t>
        </is>
      </c>
      <c r="AJ1459" s="317" t="inlineStr">
        <is>
          <t>The data is mandatory</t>
        </is>
      </c>
      <c r="AK1459" s="257" t="n"/>
      <c r="AL1459" s="258" t="inlineStr">
        <is>
          <t>EN0061</t>
        </is>
      </c>
      <c r="AM1459" s="318" t="n"/>
      <c r="AN1459" s="317" t="n"/>
      <c r="AO1459" s="257" t="n"/>
      <c r="AP1459" s="258" t="n"/>
      <c r="AQ1459" s="322" t="inlineStr">
        <is>
          <t>Si renseignée, la donnée doit être égale à 'P9'</t>
        </is>
      </c>
      <c r="AR1459" s="317" t="inlineStr">
        <is>
          <t>If filled in, the data must be equal to 'P9'</t>
        </is>
      </c>
      <c r="AS1459" s="257" t="n"/>
      <c r="AT1459" s="258" t="inlineStr">
        <is>
          <t>EN0061</t>
        </is>
      </c>
      <c r="AU1459" s="318" t="n"/>
      <c r="AV1459" s="317" t="n"/>
      <c r="AW1459" s="257" t="n"/>
      <c r="AX1459" s="258" t="n"/>
      <c r="AY1459" s="318" t="n"/>
      <c r="AZ1459" s="317" t="n"/>
      <c r="BA1459" s="257" t="n"/>
      <c r="BB1459" s="258" t="n"/>
      <c r="BC1459" s="316" t="n"/>
      <c r="BD1459" s="317" t="n"/>
      <c r="BE1459" s="257" t="n"/>
      <c r="BF1459" s="258" t="n"/>
      <c r="BG1459" s="89" t="n"/>
      <c r="BH145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59">
        <f>_xlfn.LET(r,ROW(),oc,INDEX($A:$A,r),cv,TRIM(INDEX($Y:$Y,r)&amp;""),IF(oc&lt;&gt;"P1","",IF(cv="45","V45 - novo, nao alimentado pelo spool atual","V44 - alimentado pelo spool atual")))</f>
        <v/>
      </c>
    </row>
    <row r="1460" ht="54" customFormat="1" customHeight="1" s="90">
      <c r="A1460" s="306" t="inlineStr">
        <is>
          <t>P9</t>
        </is>
      </c>
      <c r="B1460" s="307" t="n">
        <v>7</v>
      </c>
      <c r="C1460" s="269" t="inlineStr">
        <is>
          <t>02 - Caractéristiques d'identification fonctionnelles</t>
        </is>
      </c>
      <c r="D1460" s="310" t="inlineStr">
        <is>
          <t>02 - Functional identification characteristics</t>
        </is>
      </c>
      <c r="E1460" s="307" t="inlineStr">
        <is>
          <t>0.7 (P9)</t>
        </is>
      </c>
      <c r="F1460" s="308" t="inlineStr">
        <is>
          <t>Nature de flux (Zone réservée DRG)</t>
        </is>
      </c>
      <c r="G1460" s="309" t="inlineStr">
        <is>
          <t>Nature of flow (Zone reserved for Group Risk Management Division)</t>
        </is>
      </c>
      <c r="H1460" s="309" t="n"/>
      <c r="I1460" s="241" t="inlineStr">
        <is>
          <t>Nature de flux (Zone réservée DRG)</t>
        </is>
      </c>
      <c r="J1460" s="309" t="inlineStr">
        <is>
          <t>Nature of flow (Zone reserved for Group Risk Management Division)</t>
        </is>
      </c>
      <c r="K1460" s="370" t="inlineStr">
        <is>
          <t>ND</t>
        </is>
      </c>
      <c r="L1460" s="371" t="inlineStr">
        <is>
          <t>ND</t>
        </is>
      </c>
      <c r="M1460" s="1420" t="inlineStr">
        <is>
          <t>NatFlux</t>
        </is>
      </c>
      <c r="N1460" s="231" t="inlineStr">
        <is>
          <t>Facultatif</t>
        </is>
      </c>
      <c r="O1460" s="236" t="inlineStr">
        <is>
          <t>Optional</t>
        </is>
      </c>
      <c r="P1460" s="269" t="inlineStr">
        <is>
          <t>NA</t>
        </is>
      </c>
      <c r="Q1460" s="269" t="inlineStr">
        <is>
          <t>NA</t>
        </is>
      </c>
      <c r="R1460" s="311" t="inlineStr">
        <is>
          <t>Zone réservée DRG</t>
        </is>
      </c>
      <c r="S1460" s="312" t="inlineStr">
        <is>
          <t>Zone reserved for the Group Risk Management Division</t>
        </is>
      </c>
      <c r="T1460" s="313" t="inlineStr">
        <is>
          <t>ALPHA</t>
        </is>
      </c>
      <c r="U1460" s="237" t="inlineStr">
        <is>
          <t>NA</t>
        </is>
      </c>
      <c r="V1460" s="238" t="inlineStr">
        <is>
          <t>NA</t>
        </is>
      </c>
      <c r="W1460" s="257" t="n">
        <v>1</v>
      </c>
      <c r="X1460" s="945" t="inlineStr">
        <is>
          <t>NA</t>
        </is>
      </c>
      <c r="Y1460" s="237" t="inlineStr">
        <is>
          <t>40</t>
        </is>
      </c>
      <c r="Z1460" s="237" t="inlineStr">
        <is>
          <t>NA</t>
        </is>
      </c>
      <c r="AA1460" s="237" t="inlineStr">
        <is>
          <t>NA</t>
        </is>
      </c>
      <c r="AB1460" s="636" t="inlineStr">
        <is>
          <t>USAGE ZP</t>
        </is>
      </c>
      <c r="AC1460" s="231" t="inlineStr">
        <is>
          <t>ND</t>
        </is>
      </c>
      <c r="AD1460" s="257" t="inlineStr">
        <is>
          <t>N</t>
        </is>
      </c>
      <c r="AE1460" s="257" t="inlineStr">
        <is>
          <t>NA</t>
        </is>
      </c>
      <c r="AF1460" s="257" t="inlineStr">
        <is>
          <t>NA</t>
        </is>
      </c>
      <c r="AG1460" s="258" t="inlineStr">
        <is>
          <t>NA</t>
        </is>
      </c>
      <c r="AH1460" s="89" t="n"/>
      <c r="AI1460" s="316" t="n"/>
      <c r="AJ1460" s="317" t="n"/>
      <c r="AK1460" s="257" t="n"/>
      <c r="AL1460" s="258" t="n"/>
      <c r="AM1460" s="318" t="n"/>
      <c r="AN1460" s="317" t="n"/>
      <c r="AO1460" s="257" t="n"/>
      <c r="AP1460" s="258" t="n"/>
      <c r="AQ1460" s="318" t="inlineStr">
        <is>
          <t>Si renseignée et type d'enregistrement (EN [0.6]) est différent de 'Z9', la donnée doit être égale à 'R'.</t>
        </is>
      </c>
      <c r="AR1460" s="317" t="inlineStr">
        <is>
          <t>If entered and record type (EN [0.6]) is different from 'Z9', the data must be equal to 'R'.</t>
        </is>
      </c>
      <c r="AS1460" s="257" t="n"/>
      <c r="AT1460" s="258" t="inlineStr">
        <is>
          <t>EN0071</t>
        </is>
      </c>
      <c r="AU1460" s="318" t="inlineStr">
        <is>
          <t xml:space="preserve">Si renseignée et type d'enregistrement (EN [0.6]) est différent de 'Z9', pour le même BAAPID, il doit exister un lot au statut « intégré / certifié ».
Dans la table INTEGRATED_PARENT, pour le même SCOPE_SRC_CD (= BAAPID), il doit exister un lot avec le statut « QUALITY_OK ». </t>
        </is>
      </c>
      <c r="AV1460" s="317" t="inlineStr">
        <is>
          <t xml:space="preserve">If filled in and type of registration (EN [0.6]) is different from 'Z9', for the same BAAPID, there must be a batch with an ‘integrated/certified' status.
In the INTEGRATED_PARENT table, for the same SCOPE_SRC_CD (= BAAPID), there must be a batch with the status 'QUALITY_OK'. </t>
        </is>
      </c>
      <c r="AW1460" s="257" t="n"/>
      <c r="AX1460" s="258" t="inlineStr">
        <is>
          <t>EN0071</t>
        </is>
      </c>
      <c r="AY1460" s="318" t="n"/>
      <c r="AZ1460" s="317" t="n"/>
      <c r="BA1460" s="257" t="n"/>
      <c r="BB1460" s="258" t="n"/>
      <c r="BC1460" s="316" t="n"/>
      <c r="BD1460" s="317" t="n"/>
      <c r="BE1460" s="257" t="n"/>
      <c r="BF1460" s="258" t="n"/>
      <c r="BG1460" s="89" t="n"/>
      <c r="BH146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60">
        <f>_xlfn.LET(r,ROW(),oc,INDEX($A:$A,r),cv,TRIM(INDEX($Y:$Y,r)&amp;""),IF(oc&lt;&gt;"P1","",IF(cv="45","V45 - novo, nao alimentado pelo spool atual","V44 - alimentado pelo spool atual")))</f>
        <v/>
      </c>
    </row>
    <row r="1461" ht="54" customFormat="1" customHeight="1" s="90">
      <c r="A1461" s="306" t="inlineStr">
        <is>
          <t>P9</t>
        </is>
      </c>
      <c r="B1461" s="307" t="n">
        <v>8</v>
      </c>
      <c r="C1461" s="269" t="inlineStr">
        <is>
          <t>02 - Caractéristiques d'identification fonctionnelles</t>
        </is>
      </c>
      <c r="D1461" s="310" t="inlineStr">
        <is>
          <t>02 - Functional identification characteristics</t>
        </is>
      </c>
      <c r="E1461" s="307" t="inlineStr">
        <is>
          <t>0.8 (P9)</t>
        </is>
      </c>
      <c r="F1461" s="308" t="inlineStr">
        <is>
          <t>Centre de Responsabilité Comptable (Zone réservée CAsa social)</t>
        </is>
      </c>
      <c r="G1461" s="309" t="inlineStr">
        <is>
          <t>Accounting responsibility center (Zone reserved for Crédit Agricole S.A. Holding)</t>
        </is>
      </c>
      <c r="H1461" s="309" t="n"/>
      <c r="I1461" s="241" t="inlineStr">
        <is>
          <t>Pour Crédit Agricole SA entité sociale, indique le numéro de CRC (Centre de Responsabilité Comptable) concerné</t>
        </is>
      </c>
      <c r="J1461" s="309" t="inlineStr">
        <is>
          <t>For CASAes entity, indicate the relevant CRC (Center of accounting responsability) number</t>
        </is>
      </c>
      <c r="K1461" s="370" t="inlineStr">
        <is>
          <t>ND</t>
        </is>
      </c>
      <c r="L1461" s="371" t="inlineStr">
        <is>
          <t>ND</t>
        </is>
      </c>
      <c r="M1461" s="1420" t="inlineStr">
        <is>
          <t>ZoneResCasa</t>
        </is>
      </c>
      <c r="N1461" s="231" t="inlineStr">
        <is>
          <t>Facultatif</t>
        </is>
      </c>
      <c r="O1461" s="236" t="inlineStr">
        <is>
          <t>Optional</t>
        </is>
      </c>
      <c r="P1461" s="269" t="inlineStr">
        <is>
          <t>LC.0072</t>
        </is>
      </c>
      <c r="Q1461" s="269" t="inlineStr">
        <is>
          <t>TA KVCRC</t>
        </is>
      </c>
      <c r="R1461" s="241" t="inlineStr">
        <is>
          <t>Zone exploitée uniquement par les entités déclarant les risques portés par Crédit Agricole S.A.
Décomposition comptable du Siège en Activités (comptabilités auxiliaires). Permet de gérer les opérations pour compte propre Casa</t>
        </is>
      </c>
      <c r="S1461" s="233" t="inlineStr">
        <is>
          <t>Zone only used for entities reporting risks borne by Crédit Agricole S.A.
Accounting breakdown of HQ into Activities (sub-ledgers). Makes it possible to manage Crédit Agricole S.A. proprietary trading</t>
        </is>
      </c>
      <c r="T1461" s="313" t="inlineStr">
        <is>
          <t>ALPHA</t>
        </is>
      </c>
      <c r="U1461" s="237" t="inlineStr">
        <is>
          <t>NA</t>
        </is>
      </c>
      <c r="V1461" s="238" t="inlineStr">
        <is>
          <t>NA</t>
        </is>
      </c>
      <c r="W1461" s="257" t="n">
        <v>2</v>
      </c>
      <c r="X1461" s="945" t="inlineStr">
        <is>
          <t>NA</t>
        </is>
      </c>
      <c r="Y1461" s="237" t="inlineStr">
        <is>
          <t>40</t>
        </is>
      </c>
      <c r="Z1461" s="237" t="inlineStr">
        <is>
          <t>NA</t>
        </is>
      </c>
      <c r="AA1461" s="237" t="inlineStr">
        <is>
          <t>NA</t>
        </is>
      </c>
      <c r="AB1461" s="636" t="inlineStr">
        <is>
          <t>USAGE ZP</t>
        </is>
      </c>
      <c r="AC1461" s="231" t="inlineStr">
        <is>
          <t>ND</t>
        </is>
      </c>
      <c r="AD1461" s="257" t="inlineStr">
        <is>
          <t>N</t>
        </is>
      </c>
      <c r="AE1461" s="257" t="inlineStr">
        <is>
          <t>NA</t>
        </is>
      </c>
      <c r="AF1461" s="257" t="inlineStr">
        <is>
          <t>NA</t>
        </is>
      </c>
      <c r="AG1461" s="258" t="inlineStr">
        <is>
          <t>NA</t>
        </is>
      </c>
      <c r="AH1461" s="89" t="n"/>
      <c r="AI1461" s="323" t="n"/>
      <c r="AJ1461" s="317" t="n"/>
      <c r="AK1461" s="257" t="n"/>
      <c r="AL1461" s="258" t="n"/>
      <c r="AM1461" s="318" t="inlineStr">
        <is>
          <t>Si elle est renseignée, la valeur doit être connue du Langage Commun associé</t>
        </is>
      </c>
      <c r="AN1461" s="317" t="inlineStr">
        <is>
          <t>If specified, the value must be known to the associated Common Language</t>
        </is>
      </c>
      <c r="AO1461" s="257" t="n">
        <v>7</v>
      </c>
      <c r="AP1461" s="469" t="inlineStr">
        <is>
          <t>TIG0001</t>
        </is>
      </c>
      <c r="AQ1461" s="318" t="n"/>
      <c r="AR1461" s="317" t="n"/>
      <c r="AS1461" s="257" t="n"/>
      <c r="AT1461" s="258" t="n"/>
      <c r="AU1461" s="318" t="n"/>
      <c r="AV1461" s="317" t="n"/>
      <c r="AW1461" s="257" t="n"/>
      <c r="AX1461" s="258" t="n"/>
      <c r="AY1461" s="318" t="n"/>
      <c r="AZ1461" s="317" t="n"/>
      <c r="BA1461" s="257" t="n"/>
      <c r="BB1461" s="258" t="n"/>
      <c r="BC1461" s="316" t="n"/>
      <c r="BD1461" s="317" t="n"/>
      <c r="BE1461" s="257" t="n"/>
      <c r="BF1461" s="258" t="n"/>
      <c r="BG1461" s="89" t="n"/>
      <c r="BH146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61">
        <f>_xlfn.LET(r,ROW(),oc,INDEX($A:$A,r),cv,TRIM(INDEX($Y:$Y,r)&amp;""),IF(oc&lt;&gt;"P1","",IF(cv="45","V45 - novo, nao alimentado pelo spool atual","V44 - alimentado pelo spool atual")))</f>
        <v/>
      </c>
    </row>
    <row r="1462" ht="54" customFormat="1" customHeight="1" s="90">
      <c r="A1462" s="306" t="inlineStr">
        <is>
          <t>P9</t>
        </is>
      </c>
      <c r="B1462" s="307" t="n">
        <v>9</v>
      </c>
      <c r="C1462" s="269" t="inlineStr">
        <is>
          <t>02 - Caractéristiques d'identification fonctionnelles</t>
        </is>
      </c>
      <c r="D1462" s="310" t="inlineStr">
        <is>
          <t>02 - Functional identification characteristics</t>
        </is>
      </c>
      <c r="E1462" s="307" t="inlineStr">
        <is>
          <t>0.9 (P9)</t>
        </is>
      </c>
      <c r="F1462" s="308" t="inlineStr">
        <is>
          <t>Unité d'exploitation (Zone réservée CACIB)</t>
        </is>
      </c>
      <c r="G1462" s="309" t="inlineStr">
        <is>
          <t>Operating unit in the risk taker (Zone reserved for CACIB)</t>
        </is>
      </c>
      <c r="H1462" s="309" t="n"/>
      <c r="I1462" s="386" t="inlineStr">
        <is>
          <t>Permet d'indiquer l'unité d'exploitation</t>
        </is>
      </c>
      <c r="J1462" s="309" t="inlineStr">
        <is>
          <t>Allows to indicate operating unit in the risk taker entity</t>
        </is>
      </c>
      <c r="K1462" s="370" t="inlineStr">
        <is>
          <t>ND</t>
        </is>
      </c>
      <c r="L1462" s="371" t="inlineStr">
        <is>
          <t>ND</t>
        </is>
      </c>
      <c r="M1462" s="1420" t="inlineStr">
        <is>
          <t>UniteExploit</t>
        </is>
      </c>
      <c r="N1462" s="231" t="inlineStr">
        <is>
          <t>Obligatoire sous conditions</t>
        </is>
      </c>
      <c r="O1462" s="236" t="inlineStr">
        <is>
          <t>Mandatory under conditions</t>
        </is>
      </c>
      <c r="P1462" s="994" t="inlineStr">
        <is>
          <t>NA</t>
        </is>
      </c>
      <c r="Q1462" s="269" t="inlineStr">
        <is>
          <t>NA</t>
        </is>
      </c>
      <c r="R1462" s="241" t="inlineStr">
        <is>
          <t xml:space="preserve"> Réservé CACIB - laisser à vide si non concerné</t>
        </is>
      </c>
      <c r="S1462" s="233" t="inlineStr">
        <is>
          <t>Zone reserved for CACIB. Leave empty if not concerned</t>
        </is>
      </c>
      <c r="T1462" s="313" t="inlineStr">
        <is>
          <t xml:space="preserve"> ALPHA</t>
        </is>
      </c>
      <c r="U1462" s="237" t="inlineStr">
        <is>
          <t>NA</t>
        </is>
      </c>
      <c r="V1462" s="238" t="inlineStr">
        <is>
          <t>NA</t>
        </is>
      </c>
      <c r="W1462" s="257" t="n">
        <v>4</v>
      </c>
      <c r="X1462" s="945" t="inlineStr">
        <is>
          <t>NA</t>
        </is>
      </c>
      <c r="Y1462" s="237" t="inlineStr">
        <is>
          <t>40</t>
        </is>
      </c>
      <c r="Z1462" s="237" t="inlineStr">
        <is>
          <t>NA</t>
        </is>
      </c>
      <c r="AA1462" s="237" t="inlineStr">
        <is>
          <t>NA</t>
        </is>
      </c>
      <c r="AB1462" s="636" t="inlineStr">
        <is>
          <t>USAGE ZP</t>
        </is>
      </c>
      <c r="AC1462" s="231" t="inlineStr">
        <is>
          <t>ND</t>
        </is>
      </c>
      <c r="AD1462" s="257" t="inlineStr">
        <is>
          <t>N</t>
        </is>
      </c>
      <c r="AE1462" s="257" t="inlineStr">
        <is>
          <t>NA</t>
        </is>
      </c>
      <c r="AF1462" s="257" t="inlineStr">
        <is>
          <t>NA</t>
        </is>
      </c>
      <c r="AG1462" s="258" t="inlineStr">
        <is>
          <t>NA</t>
        </is>
      </c>
      <c r="AH1462" s="89" t="n"/>
      <c r="AI1462" s="316" t="inlineStr">
        <is>
          <t>La donnée est obligatoire si le Type d'enregistrement [0.6 (P9)] est différent de 'C1' et de 'Z9', et que, dans la table START "TA 0990 KVAPPBK", KVBAPPID commence par 'CACI' pour le KVAPPBK valant la concaténation "Entité porteuse de risque" [0.2 (P9)] et "Application source" [0.3 (P9)]</t>
        </is>
      </c>
      <c r="AJ1462" s="317" t="inlineStr">
        <is>
          <t>The data is mandatory if the record type [0.6 (P9)] is different from 'C1' and 'Z9', and in the START table "TA 0990 KVAPPBK", KVBAPPID starts with 'CACI' for the KVAPPBK with the concatenation 'Risk taker entity' [0.2 (P9)]and 'Source application' [0.3 (P9)]</t>
        </is>
      </c>
      <c r="AK1462" s="257" t="n"/>
      <c r="AL1462" s="258" t="inlineStr">
        <is>
          <t>EN0091</t>
        </is>
      </c>
      <c r="AM1462" s="324" t="inlineStr">
        <is>
          <t>Si renseignée, et si le type d'enregistrement [0.6 (P9] est différent de 'C1' et de 'Z9' :
1/ Si dans la table START "TA 0990 KVAPPBK", KVBAPPID commence par 'CACI' pour le KVAPPBK valant la concaténation "Entité porteuse de risque" [0.2 (P9)] et "Application source" [0.3 (P9)], alors, dans la table START "TA TMTAKOBU", la concaténation 'CA-CIB' + un blanc + [0.9 (P9)] + "_" + [0.2 (P9)] doit être présente dans le champ TMNOMOBU.
2/ Sinon, dans la table START "TA TMTAKOBU", la concaténation des 9 premiers caractères du BAPPID + '_' + 0.9 (P9)] doit être présente dans le champ TMNOMOBU.</t>
        </is>
      </c>
      <c r="AN1462" s="317" t="inlineStr">
        <is>
          <t>If filled in, and the type of record [0.6 (P9] is different from 'C1' and 'Z9':
1/ If in the START table "TA 0990 KVAPPBK", KVBAPPID starts with "CACI" for the KVAPPBK with the concatenation "risk carrying Entity" [0.2 (P9)] and "Source application" [0.3 (P9)], then in the START table "TA TMTAKOBU", the concatenation 'CA-CIB' + a blank + [0.9 (P9)] + "_" + [0.2 (P9)] must be present in the TMNOMOBU field.
2/ Otherwise, in the START table "TA TMTAKOBU", the concatenation of the first 9 characters of the BAPPID + '_' + [0.9 (P9)] must be present in the TMNOMOBU field.</t>
        </is>
      </c>
      <c r="AO1462" s="257" t="n"/>
      <c r="AP1462" s="258" t="inlineStr">
        <is>
          <t>EN0092</t>
        </is>
      </c>
      <c r="AQ1462" s="318" t="n"/>
      <c r="AR1462" s="317" t="n"/>
      <c r="AS1462" s="257" t="n"/>
      <c r="AT1462" s="258" t="n"/>
      <c r="AU1462" s="318" t="n"/>
      <c r="AV1462" s="317" t="n"/>
      <c r="AW1462" s="257" t="n"/>
      <c r="AX1462" s="258" t="n"/>
      <c r="AY1462" s="318" t="n"/>
      <c r="AZ1462" s="317" t="n"/>
      <c r="BA1462" s="257" t="n"/>
      <c r="BB1462" s="258" t="n"/>
      <c r="BC1462" s="316" t="n"/>
      <c r="BD1462" s="317" t="n"/>
      <c r="BE1462" s="257" t="n"/>
      <c r="BF1462" s="258" t="n"/>
      <c r="BG1462" s="89" t="n"/>
      <c r="BH146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62">
        <f>_xlfn.LET(r,ROW(),oc,INDEX($A:$A,r),cv,TRIM(INDEX($Y:$Y,r)&amp;""),IF(oc&lt;&gt;"P1","",IF(cv="45","V45 - novo, nao alimentado pelo spool atual","V44 - alimentado pelo spool atual")))</f>
        <v/>
      </c>
    </row>
    <row r="1463" ht="54" customFormat="1" customHeight="1" s="55">
      <c r="A1463" s="325" t="inlineStr">
        <is>
          <t>P9</t>
        </is>
      </c>
      <c r="B1463" s="326" t="n">
        <v>10</v>
      </c>
      <c r="C1463" s="284" t="inlineStr">
        <is>
          <t>NA</t>
        </is>
      </c>
      <c r="D1463" s="284" t="inlineStr">
        <is>
          <t>NA</t>
        </is>
      </c>
      <c r="E1463" s="326" t="inlineStr">
        <is>
          <t>0.99 (P9)</t>
        </is>
      </c>
      <c r="F1463" s="327" t="inlineStr">
        <is>
          <t>Filler</t>
        </is>
      </c>
      <c r="G1463" s="327" t="inlineStr">
        <is>
          <t>Filler</t>
        </is>
      </c>
      <c r="H1463" s="327" t="n"/>
      <c r="I1463" s="247" t="inlineStr">
        <is>
          <t>Zone libre</t>
        </is>
      </c>
      <c r="J1463" s="245" t="inlineStr">
        <is>
          <t>Free zone</t>
        </is>
      </c>
      <c r="K1463" s="284" t="inlineStr">
        <is>
          <t>NA</t>
        </is>
      </c>
      <c r="L1463" s="284" t="inlineStr">
        <is>
          <t>NA</t>
        </is>
      </c>
      <c r="M1463" s="1421" t="inlineStr">
        <is>
          <t>ZoneLibre0</t>
        </is>
      </c>
      <c r="N1463" s="284" t="inlineStr">
        <is>
          <t>NA</t>
        </is>
      </c>
      <c r="O1463" s="284" t="inlineStr">
        <is>
          <t>NA</t>
        </is>
      </c>
      <c r="P1463" s="284" t="inlineStr">
        <is>
          <t>NA</t>
        </is>
      </c>
      <c r="Q1463" s="284" t="inlineStr">
        <is>
          <t>NA</t>
        </is>
      </c>
      <c r="R1463" s="247" t="inlineStr">
        <is>
          <t>Laisser à vide</t>
        </is>
      </c>
      <c r="S1463" s="247" t="inlineStr">
        <is>
          <t>Leave empty</t>
        </is>
      </c>
      <c r="T1463" s="326" t="inlineStr">
        <is>
          <t>ALPHA</t>
        </is>
      </c>
      <c r="U1463" s="248" t="inlineStr">
        <is>
          <t>NA</t>
        </is>
      </c>
      <c r="V1463" s="248" t="inlineStr">
        <is>
          <t>NA</t>
        </is>
      </c>
      <c r="W1463" s="284" t="n">
        <v>3</v>
      </c>
      <c r="X1463" s="244" t="inlineStr">
        <is>
          <t>NA</t>
        </is>
      </c>
      <c r="Y1463" s="248" t="inlineStr">
        <is>
          <t>NA</t>
        </is>
      </c>
      <c r="Z1463" s="248" t="inlineStr">
        <is>
          <t>NA</t>
        </is>
      </c>
      <c r="AA1463" s="248" t="inlineStr">
        <is>
          <t>NA</t>
        </is>
      </c>
      <c r="AB1463" s="284" t="inlineStr">
        <is>
          <t>NA</t>
        </is>
      </c>
      <c r="AC1463" s="244" t="inlineStr">
        <is>
          <t>NA</t>
        </is>
      </c>
      <c r="AD1463" s="284" t="inlineStr">
        <is>
          <t>N</t>
        </is>
      </c>
      <c r="AE1463" s="284" t="inlineStr">
        <is>
          <t>NA</t>
        </is>
      </c>
      <c r="AF1463" s="284" t="inlineStr">
        <is>
          <t>NA</t>
        </is>
      </c>
      <c r="AG1463" s="285" t="inlineStr">
        <is>
          <t>NA</t>
        </is>
      </c>
      <c r="AH1463" s="89" t="n"/>
      <c r="AI1463" s="330" t="n"/>
      <c r="AJ1463" s="331" t="n"/>
      <c r="AK1463" s="284" t="n"/>
      <c r="AL1463" s="285" t="n"/>
      <c r="AM1463" s="331" t="n"/>
      <c r="AN1463" s="331" t="n"/>
      <c r="AO1463" s="284" t="n"/>
      <c r="AP1463" s="285" t="n"/>
      <c r="AQ1463" s="331" t="n"/>
      <c r="AR1463" s="331" t="n"/>
      <c r="AS1463" s="284" t="n"/>
      <c r="AT1463" s="285" t="n"/>
      <c r="AU1463" s="331" t="n"/>
      <c r="AV1463" s="331" t="n"/>
      <c r="AW1463" s="284" t="n"/>
      <c r="AX1463" s="285" t="n"/>
      <c r="AY1463" s="331" t="n"/>
      <c r="AZ1463" s="331" t="n"/>
      <c r="BA1463" s="284" t="n"/>
      <c r="BB1463" s="285" t="n"/>
      <c r="BC1463" s="330" t="n"/>
      <c r="BD1463" s="331" t="n"/>
      <c r="BE1463" s="284" t="n"/>
      <c r="BF1463" s="285" t="n"/>
      <c r="BG1463" s="89" t="n"/>
      <c r="BH146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63">
        <f>_xlfn.LET(r,ROW(),oc,INDEX($A:$A,r),cv,TRIM(INDEX($Y:$Y,r)&amp;""),IF(oc&lt;&gt;"P1","",IF(cv="45","V45 - novo, nao alimentado pelo spool atual","V44 - alimentado pelo spool atual")))</f>
        <v/>
      </c>
    </row>
    <row r="1464" ht="54" customFormat="1" customHeight="1" s="90">
      <c r="A1464" s="306" t="inlineStr">
        <is>
          <t>P9</t>
        </is>
      </c>
      <c r="B1464" s="307" t="n">
        <v>11</v>
      </c>
      <c r="C1464" s="269" t="inlineStr">
        <is>
          <t>16 - Identification Tiers</t>
        </is>
      </c>
      <c r="D1464" s="236" t="inlineStr">
        <is>
          <t>16 - Third party identification</t>
        </is>
      </c>
      <c r="E1464" s="307" t="inlineStr">
        <is>
          <t>1.1 (P9)</t>
        </is>
      </c>
      <c r="F1464" s="308" t="inlineStr">
        <is>
          <t>Identifiant local du tiers en risque</t>
        </is>
      </c>
      <c r="G1464" s="309" t="inlineStr">
        <is>
          <t>Local identifier for the counterparty</t>
        </is>
      </c>
      <c r="H1464" s="309" t="n"/>
      <c r="I1464" s="308" t="inlineStr">
        <is>
          <t>Identifiant du tiers dans le système utilisé pour générer le flux</t>
        </is>
      </c>
      <c r="J1464" s="309" t="inlineStr">
        <is>
          <t>ID of external counterparty in the system used to generate the flow</t>
        </is>
      </c>
      <c r="K1464" s="370" t="inlineStr">
        <is>
          <t>ND</t>
        </is>
      </c>
      <c r="L1464" s="371" t="inlineStr">
        <is>
          <t>ND</t>
        </is>
      </c>
      <c r="M1464" s="1420" t="inlineStr">
        <is>
          <t>IdLocalTiersRisq</t>
        </is>
      </c>
      <c r="N1464" s="231" t="inlineStr">
        <is>
          <t>Obligatoire sous conditions</t>
        </is>
      </c>
      <c r="O1464" s="236" t="inlineStr">
        <is>
          <t>Mandatory under conditions</t>
        </is>
      </c>
      <c r="P1464" s="269" t="inlineStr">
        <is>
          <t>NA</t>
        </is>
      </c>
      <c r="Q1464" s="269" t="inlineStr">
        <is>
          <t>NA</t>
        </is>
      </c>
      <c r="R1464" s="241" t="inlineStr">
        <is>
          <t>Une vérification est réalisée pour s'assurer de l'unicité du tiers au sein du lot</t>
        </is>
      </c>
      <c r="S1464" s="233" t="inlineStr">
        <is>
          <t>A check is carried out to ensure that the external counterparty is unique within the batch</t>
        </is>
      </c>
      <c r="T1464" s="313" t="inlineStr">
        <is>
          <t>ALPHA</t>
        </is>
      </c>
      <c r="U1464" s="237" t="inlineStr">
        <is>
          <t>NA</t>
        </is>
      </c>
      <c r="V1464" s="238" t="inlineStr">
        <is>
          <t>NA</t>
        </is>
      </c>
      <c r="W1464" s="257" t="n">
        <v>20</v>
      </c>
      <c r="X1464" s="945" t="inlineStr">
        <is>
          <t>NA</t>
        </is>
      </c>
      <c r="Y1464" s="237" t="inlineStr">
        <is>
          <t>40</t>
        </is>
      </c>
      <c r="Z1464" s="237" t="inlineStr">
        <is>
          <t>NA</t>
        </is>
      </c>
      <c r="AA1464" s="237" t="inlineStr">
        <is>
          <t>NA</t>
        </is>
      </c>
      <c r="AB1464" s="269" t="inlineStr">
        <is>
          <t>USAGE ZP</t>
        </is>
      </c>
      <c r="AC1464" s="231" t="inlineStr">
        <is>
          <t>ND</t>
        </is>
      </c>
      <c r="AD1464" s="257" t="inlineStr">
        <is>
          <t>N</t>
        </is>
      </c>
      <c r="AE1464" s="257" t="inlineStr">
        <is>
          <t>NA</t>
        </is>
      </c>
      <c r="AF1464" s="257" t="inlineStr">
        <is>
          <t>NA</t>
        </is>
      </c>
      <c r="AG1464" s="258" t="inlineStr">
        <is>
          <t>NA</t>
        </is>
      </c>
      <c r="AH1464" s="89" t="n"/>
      <c r="AI1464" s="702" t="inlineStr">
        <is>
          <t>La donnée est obligatoire, si Périmètre d'affectation de la dépréciation [P9 2.1] = ‘T'</t>
        </is>
      </c>
      <c r="AJ1464" s="317" t="inlineStr">
        <is>
          <t>The data is mandatory, if Scope of allocation of depreciation [P9 2.1] = ‘T'</t>
        </is>
      </c>
      <c r="AK1464" s="257" t="n">
        <v>7</v>
      </c>
      <c r="AL1464" s="345" t="inlineStr">
        <is>
          <t>TPS1780</t>
        </is>
      </c>
      <c r="AM1464" s="318" t="n"/>
      <c r="AN1464" s="317" t="n"/>
      <c r="AO1464" s="257" t="n"/>
      <c r="AP1464" s="258" t="n"/>
      <c r="AQ1464" s="318" t="n"/>
      <c r="AR1464" s="317" t="n"/>
      <c r="AS1464" s="257" t="n"/>
      <c r="AT1464" s="258" t="n"/>
      <c r="AU1464" s="318" t="n"/>
      <c r="AV1464" s="317" t="n"/>
      <c r="AW1464" s="257" t="n"/>
      <c r="AX1464" s="258" t="n"/>
      <c r="AY1464" s="337" t="inlineStr">
        <is>
          <t>Le tiers doit exister (présence du tiers dans TIGRE)</t>
        </is>
      </c>
      <c r="AZ1464" s="317" t="inlineStr">
        <is>
          <t>The third-party must exist (presence of the third-party in TIGRE)</t>
        </is>
      </c>
      <c r="BA1464" s="257" t="n">
        <v>7</v>
      </c>
      <c r="BB1464" s="338" t="inlineStr">
        <is>
          <t>TIG0002</t>
        </is>
      </c>
      <c r="BC1464" s="316" t="n"/>
      <c r="BD1464" s="317" t="n"/>
      <c r="BE1464" s="257" t="n"/>
      <c r="BF1464" s="258" t="n"/>
      <c r="BG1464" s="89" t="n"/>
      <c r="BH146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64">
        <f>_xlfn.LET(r,ROW(),oc,INDEX($A:$A,r),cv,TRIM(INDEX($Y:$Y,r)&amp;""),IF(oc&lt;&gt;"P1","",IF(cv="45","V45 - novo, nao alimentado pelo spool atual","V44 - alimentado pelo spool atual")))</f>
        <v/>
      </c>
    </row>
    <row r="1465" ht="54" customFormat="1" customHeight="1" s="90">
      <c r="A1465" s="306" t="inlineStr">
        <is>
          <t>P9</t>
        </is>
      </c>
      <c r="B1465" s="307" t="n">
        <v>12</v>
      </c>
      <c r="C1465" s="269" t="inlineStr">
        <is>
          <t>16 - Identification Tiers</t>
        </is>
      </c>
      <c r="D1465" s="236" t="inlineStr">
        <is>
          <t>16 - Third party identification</t>
        </is>
      </c>
      <c r="E1465" s="307" t="inlineStr">
        <is>
          <t>1.2 (P9)</t>
        </is>
      </c>
      <c r="F1465" s="350" t="inlineStr">
        <is>
          <t>Identifiant central du tiers en risque</t>
        </is>
      </c>
      <c r="G1465" s="309" t="inlineStr">
        <is>
          <t>Central identifier for the counterparty</t>
        </is>
      </c>
      <c r="H1465" s="309" t="n"/>
      <c r="I1465" s="885" t="inlineStr">
        <is>
          <t>Identifiant du tiers dans le système central DRG</t>
        </is>
      </c>
      <c r="J1465" s="309" t="inlineStr">
        <is>
          <t>ID of the external counterparty in the Group Risk Management Division IT System</t>
        </is>
      </c>
      <c r="K1465" s="370" t="inlineStr">
        <is>
          <t>ND</t>
        </is>
      </c>
      <c r="L1465" s="371" t="inlineStr">
        <is>
          <t>ND</t>
        </is>
      </c>
      <c r="M1465" s="1420" t="inlineStr">
        <is>
          <t>cdCentralTiers</t>
        </is>
      </c>
      <c r="N1465" s="231" t="inlineStr">
        <is>
          <t>Facultatif</t>
        </is>
      </c>
      <c r="O1465" s="236" t="inlineStr">
        <is>
          <t>Optional</t>
        </is>
      </c>
      <c r="P1465" s="269" t="inlineStr">
        <is>
          <t>NA</t>
        </is>
      </c>
      <c r="Q1465" s="269" t="inlineStr">
        <is>
          <t>NA</t>
        </is>
      </c>
      <c r="R1465" s="885" t="inlineStr">
        <is>
          <t>Obligatoire pour entité émettrice de flux FTCA, ne remontant pas de Flux Tiers (C1)
Si renseigné et s'il s'agit d'une provision de niveau tiers ([P90201] = ‘T') et qu'il n'existe pas, dans le lot, d'enregistrement de type C1 de même ‘Identifiant local du tiers en risque', vérification qu'identifiant central et identifiant local du tiers en risque correspondent au même tiers dans le système central</t>
        </is>
      </c>
      <c r="S1465" s="233" t="inlineStr">
        <is>
          <t>Mandatory for entity issuing FTCA flows, not reporting External Counterparty Flows (C1)
If filled in and where it relates to an external counterparty level provision ([P90201] = ‘T') and where, within the batch, there is no C1 type record with the same ‘Local Id of external counterparty at-risk', check that the central ID and local ID of the external counterparty at-risk match the same external counterparty in central system</t>
        </is>
      </c>
      <c r="T1465" s="313" t="inlineStr">
        <is>
          <t>ALPHA</t>
        </is>
      </c>
      <c r="U1465" s="237" t="inlineStr">
        <is>
          <t>NA</t>
        </is>
      </c>
      <c r="V1465" s="238" t="inlineStr">
        <is>
          <t>NA</t>
        </is>
      </c>
      <c r="W1465" s="257" t="n">
        <v>10</v>
      </c>
      <c r="X1465" s="945" t="inlineStr">
        <is>
          <t>NA</t>
        </is>
      </c>
      <c r="Y1465" s="237" t="inlineStr">
        <is>
          <t>40</t>
        </is>
      </c>
      <c r="Z1465" s="237" t="inlineStr">
        <is>
          <t>NA</t>
        </is>
      </c>
      <c r="AA1465" s="270" t="inlineStr">
        <is>
          <t>NA</t>
        </is>
      </c>
      <c r="AB1465" s="1286" t="inlineStr">
        <is>
          <t>CALCULS PRUDENTIELS</t>
        </is>
      </c>
      <c r="AC1465" s="231" t="inlineStr">
        <is>
          <t>ND</t>
        </is>
      </c>
      <c r="AD1465" s="257" t="inlineStr">
        <is>
          <t>N</t>
        </is>
      </c>
      <c r="AE1465" s="257" t="inlineStr">
        <is>
          <t>NA</t>
        </is>
      </c>
      <c r="AF1465" s="257" t="inlineStr">
        <is>
          <t>NA</t>
        </is>
      </c>
      <c r="AG1465" s="258" t="inlineStr">
        <is>
          <t>NA</t>
        </is>
      </c>
      <c r="AH1465" s="89" t="n"/>
      <c r="AI1465" s="316" t="n"/>
      <c r="AJ1465" s="317" t="n"/>
      <c r="AK1465" s="257" t="n"/>
      <c r="AL1465" s="258" t="n"/>
      <c r="AM1465" s="318" t="n"/>
      <c r="AN1465" s="317" t="n"/>
      <c r="AO1465" s="257" t="n"/>
      <c r="AP1465" s="258" t="n"/>
      <c r="AQ1465" s="318" t="n"/>
      <c r="AR1465" s="317" t="n"/>
      <c r="AS1465" s="257" t="n"/>
      <c r="AT1465" s="258" t="n"/>
      <c r="AU1465" s="318" t="n"/>
      <c r="AV1465" s="317" t="n"/>
      <c r="AW1465" s="257" t="n"/>
      <c r="AX1465" s="258" t="n"/>
      <c r="AY1465" s="400" t="inlineStr">
        <is>
          <t>Le couple identifiant local / central (1.1 (P9) et (1.2) P9) doit exister dans TIGRE</t>
        </is>
      </c>
      <c r="AZ1465" s="317" t="inlineStr">
        <is>
          <t>The local/central identifier pair (1.1 (P9) and (1.2) P9) must exist in TIGRE</t>
        </is>
      </c>
      <c r="BA1465" s="257" t="n">
        <v>6</v>
      </c>
      <c r="BB1465" s="352" t="inlineStr">
        <is>
          <t>TIG0004</t>
        </is>
      </c>
      <c r="BC1465" s="316" t="n"/>
      <c r="BD1465" s="317" t="n"/>
      <c r="BE1465" s="257" t="n"/>
      <c r="BF1465" s="258" t="n"/>
      <c r="BG1465" s="89" t="n"/>
      <c r="BH146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65">
        <f>_xlfn.LET(r,ROW(),oc,INDEX($A:$A,r),cv,TRIM(INDEX($Y:$Y,r)&amp;""),IF(oc&lt;&gt;"P1","",IF(cv="45","V45 - novo, nao alimentado pelo spool atual","V44 - alimentado pelo spool atual")))</f>
        <v/>
      </c>
    </row>
    <row r="1466" ht="54" customFormat="1" customHeight="1" s="55">
      <c r="A1466" s="325" t="inlineStr">
        <is>
          <t>P9</t>
        </is>
      </c>
      <c r="B1466" s="326" t="n">
        <v>13</v>
      </c>
      <c r="C1466" s="284" t="inlineStr">
        <is>
          <t>NA</t>
        </is>
      </c>
      <c r="D1466" s="244" t="inlineStr">
        <is>
          <t>NA</t>
        </is>
      </c>
      <c r="E1466" s="326" t="inlineStr">
        <is>
          <t>1.4 (P9)</t>
        </is>
      </c>
      <c r="F1466" s="327" t="inlineStr">
        <is>
          <t xml:space="preserve">Référence de l'Autorisation Mise En Place </t>
        </is>
      </c>
      <c r="G1466" s="327" t="inlineStr">
        <is>
          <t xml:space="preserve">Overall facility reference </t>
        </is>
      </c>
      <c r="H1466" s="327" t="n"/>
      <c r="I1466" s="245" t="inlineStr">
        <is>
          <t>Correspond à la référence de l'Autorisation Mise En Place associée</t>
        </is>
      </c>
      <c r="J1466" s="327" t="inlineStr">
        <is>
          <t xml:space="preserve">Reference code of the overall facility </t>
        </is>
      </c>
      <c r="K1466" s="388" t="inlineStr">
        <is>
          <t>NA</t>
        </is>
      </c>
      <c r="L1466" s="388" t="inlineStr">
        <is>
          <t>NA</t>
        </is>
      </c>
      <c r="M1466" s="1421" t="inlineStr">
        <is>
          <t>IdAuto</t>
        </is>
      </c>
      <c r="N1466" s="244" t="inlineStr">
        <is>
          <t>NA</t>
        </is>
      </c>
      <c r="O1466" s="244" t="inlineStr">
        <is>
          <t>NA</t>
        </is>
      </c>
      <c r="P1466" s="284" t="inlineStr">
        <is>
          <t>NA</t>
        </is>
      </c>
      <c r="Q1466" s="284" t="inlineStr">
        <is>
          <t>NA</t>
        </is>
      </c>
      <c r="R1466" s="247" t="inlineStr">
        <is>
          <t>Laisser à vide</t>
        </is>
      </c>
      <c r="S1466" s="247" t="inlineStr">
        <is>
          <t>Leave empty</t>
        </is>
      </c>
      <c r="T1466" s="326" t="inlineStr">
        <is>
          <t>ALPHA</t>
        </is>
      </c>
      <c r="U1466" s="248" t="inlineStr">
        <is>
          <t>NA</t>
        </is>
      </c>
      <c r="V1466" s="248" t="inlineStr">
        <is>
          <t>NA</t>
        </is>
      </c>
      <c r="W1466" s="284" t="n">
        <v>30</v>
      </c>
      <c r="X1466" s="244" t="inlineStr">
        <is>
          <t>NA</t>
        </is>
      </c>
      <c r="Y1466" s="248" t="inlineStr">
        <is>
          <t>NA</t>
        </is>
      </c>
      <c r="Z1466" s="248" t="n">
        <v>43</v>
      </c>
      <c r="AA1466" s="248" t="inlineStr">
        <is>
          <t>NA</t>
        </is>
      </c>
      <c r="AB1466" s="284" t="inlineStr">
        <is>
          <t>NA</t>
        </is>
      </c>
      <c r="AC1466" s="244" t="inlineStr">
        <is>
          <t>NA</t>
        </is>
      </c>
      <c r="AD1466" s="284" t="inlineStr">
        <is>
          <t>N</t>
        </is>
      </c>
      <c r="AE1466" s="284" t="inlineStr">
        <is>
          <t>NA</t>
        </is>
      </c>
      <c r="AF1466" s="284" t="inlineStr">
        <is>
          <t>NA</t>
        </is>
      </c>
      <c r="AG1466" s="285" t="inlineStr">
        <is>
          <t>NA</t>
        </is>
      </c>
      <c r="AH1466" s="89" t="n"/>
      <c r="AI1466" s="330" t="n"/>
      <c r="AJ1466" s="331" t="n"/>
      <c r="AK1466" s="284" t="n"/>
      <c r="AL1466" s="285" t="n"/>
      <c r="AM1466" s="331" t="n"/>
      <c r="AN1466" s="331" t="n"/>
      <c r="AO1466" s="284" t="n"/>
      <c r="AP1466" s="285" t="n"/>
      <c r="AQ1466" s="331" t="n"/>
      <c r="AR1466" s="331" t="n"/>
      <c r="AS1466" s="284" t="n"/>
      <c r="AT1466" s="285" t="n"/>
      <c r="AU1466" s="331" t="n"/>
      <c r="AV1466" s="331" t="n"/>
      <c r="AW1466" s="284" t="n"/>
      <c r="AX1466" s="285" t="n"/>
      <c r="AY1466" s="331" t="n"/>
      <c r="AZ1466" s="331" t="n"/>
      <c r="BA1466" s="284" t="n"/>
      <c r="BB1466" s="285" t="n"/>
      <c r="BC1466" s="330" t="n"/>
      <c r="BD1466" s="331" t="n"/>
      <c r="BE1466" s="284" t="n"/>
      <c r="BF1466" s="285" t="n"/>
      <c r="BG1466" s="89" t="n"/>
      <c r="BH146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66">
        <f>_xlfn.LET(r,ROW(),oc,INDEX($A:$A,r),cv,TRIM(INDEX($Y:$Y,r)&amp;""),IF(oc&lt;&gt;"P1","",IF(cv="45","V45 - novo, nao alimentado pelo spool atual","V44 - alimentado pelo spool atual")))</f>
        <v/>
      </c>
    </row>
    <row r="1467" ht="54" customFormat="1" customHeight="1" s="55">
      <c r="A1467" s="325" t="inlineStr">
        <is>
          <t>P9</t>
        </is>
      </c>
      <c r="B1467" s="326" t="n">
        <v>14</v>
      </c>
      <c r="C1467" s="284" t="inlineStr">
        <is>
          <t>02 - Caractéristiques d'identification fonctionnelles</t>
        </is>
      </c>
      <c r="D1467" s="244" t="inlineStr">
        <is>
          <t>02 - Functional identification characteristics</t>
        </is>
      </c>
      <c r="E1467" s="326" t="inlineStr">
        <is>
          <t>1.6 (P9)</t>
        </is>
      </c>
      <c r="F1467" s="327" t="inlineStr">
        <is>
          <t>Référence de la ligne de détail de l'Autorisation Mise En Place</t>
        </is>
      </c>
      <c r="G1467" s="327" t="inlineStr">
        <is>
          <t>Facility detail line reference</t>
        </is>
      </c>
      <c r="H1467" s="327" t="n"/>
      <c r="I1467" s="245" t="inlineStr">
        <is>
          <t>Correspond à la référence de la ligne d'Autorisation Mise En Place associée</t>
        </is>
      </c>
      <c r="J1467" s="327" t="inlineStr">
        <is>
          <t>Reference code of the facility detail line</t>
        </is>
      </c>
      <c r="K1467" s="388" t="inlineStr">
        <is>
          <t>NA</t>
        </is>
      </c>
      <c r="L1467" s="388" t="inlineStr">
        <is>
          <t>NA</t>
        </is>
      </c>
      <c r="M1467" s="1421" t="inlineStr">
        <is>
          <t>IdLigneAuto</t>
        </is>
      </c>
      <c r="N1467" s="244" t="inlineStr">
        <is>
          <t>NA</t>
        </is>
      </c>
      <c r="O1467" s="244" t="inlineStr">
        <is>
          <t>NA</t>
        </is>
      </c>
      <c r="P1467" s="284" t="inlineStr">
        <is>
          <t>NA</t>
        </is>
      </c>
      <c r="Q1467" s="284" t="inlineStr">
        <is>
          <t>NA</t>
        </is>
      </c>
      <c r="R1467" s="245" t="inlineStr">
        <is>
          <t>NA pour les provisions de niveau tiers (P9 2.1 = ‘T')
Obligatoire pour les autres provisions décotes de niveau Engagement (P9 2.1 = ‘P'), liées à une autorisation et donc à une ligne de détail</t>
        </is>
      </c>
      <c r="S1467" s="245" t="inlineStr">
        <is>
          <t>NA for external counterparty level provisions (P9 2.1 = ‘T')
Mandatory for the other Commitment level provisions haircuts (P9 2.1 = ‘P'), associated with an facility and hence with a line</t>
        </is>
      </c>
      <c r="T1467" s="326" t="inlineStr">
        <is>
          <t>ALPHA</t>
        </is>
      </c>
      <c r="U1467" s="248" t="inlineStr">
        <is>
          <t>NA</t>
        </is>
      </c>
      <c r="V1467" s="248" t="inlineStr">
        <is>
          <t>NA</t>
        </is>
      </c>
      <c r="W1467" s="284" t="n">
        <v>30</v>
      </c>
      <c r="X1467" s="244" t="inlineStr">
        <is>
          <t>NA</t>
        </is>
      </c>
      <c r="Y1467" s="248" t="n">
        <v>40</v>
      </c>
      <c r="Z1467" s="782" t="inlineStr">
        <is>
          <t>44</t>
        </is>
      </c>
      <c r="AA1467" s="782" t="inlineStr">
        <is>
          <t>NA</t>
        </is>
      </c>
      <c r="AB1467" s="284" t="inlineStr">
        <is>
          <t>USAGE ZP</t>
        </is>
      </c>
      <c r="AC1467" s="244" t="inlineStr">
        <is>
          <t>NA</t>
        </is>
      </c>
      <c r="AD1467" s="284" t="inlineStr">
        <is>
          <t>N</t>
        </is>
      </c>
      <c r="AE1467" s="284" t="inlineStr">
        <is>
          <t>NA</t>
        </is>
      </c>
      <c r="AF1467" s="284" t="inlineStr">
        <is>
          <t>NA</t>
        </is>
      </c>
      <c r="AG1467" s="285" t="inlineStr">
        <is>
          <t>NA</t>
        </is>
      </c>
      <c r="AH1467" s="1362" t="n"/>
      <c r="AI1467" s="330" t="n"/>
      <c r="AJ1467" s="331" t="n"/>
      <c r="AK1467" s="284" t="n"/>
      <c r="AL1467" s="285" t="n"/>
      <c r="AM1467" s="331" t="n"/>
      <c r="AN1467" s="331" t="n"/>
      <c r="AO1467" s="284" t="n"/>
      <c r="AP1467" s="285" t="n"/>
      <c r="AQ1467" s="331" t="n"/>
      <c r="AR1467" s="331" t="n"/>
      <c r="AS1467" s="284" t="n"/>
      <c r="AT1467" s="285" t="n"/>
      <c r="AU1467" s="331" t="n"/>
      <c r="AV1467" s="331" t="n"/>
      <c r="AW1467" s="284" t="n"/>
      <c r="AX1467" s="285" t="n"/>
      <c r="AY1467" s="331" t="n"/>
      <c r="AZ1467" s="331" t="n"/>
      <c r="BA1467" s="284" t="n"/>
      <c r="BB1467" s="285" t="n"/>
      <c r="BC1467" s="330" t="n"/>
      <c r="BD1467" s="331" t="n"/>
      <c r="BE1467" s="284" t="n"/>
      <c r="BF1467" s="285" t="n"/>
      <c r="BG1467" s="89" t="n"/>
      <c r="BH146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67">
        <f>_xlfn.LET(r,ROW(),oc,INDEX($A:$A,r),cv,TRIM(INDEX($Y:$Y,r)&amp;""),IF(oc&lt;&gt;"P1","",IF(cv="45","V45 - novo, nao alimentado pelo spool atual","V44 - alimentado pelo spool atual")))</f>
        <v/>
      </c>
    </row>
    <row r="1468" ht="54" customFormat="1" customHeight="1" s="55">
      <c r="A1468" s="325" t="inlineStr">
        <is>
          <t>P9</t>
        </is>
      </c>
      <c r="B1468" s="326" t="n">
        <v>15</v>
      </c>
      <c r="C1468" s="284" t="inlineStr">
        <is>
          <t>NA</t>
        </is>
      </c>
      <c r="D1468" s="244" t="inlineStr">
        <is>
          <t>NA</t>
        </is>
      </c>
      <c r="E1468" s="326" t="inlineStr">
        <is>
          <t>1.8 (P9)</t>
        </is>
      </c>
      <c r="F1468" s="327" t="inlineStr">
        <is>
          <t>Identifiant de la sûreté reçue</t>
        </is>
      </c>
      <c r="G1468" s="327" t="inlineStr">
        <is>
          <t>Mitigant identifier</t>
        </is>
      </c>
      <c r="H1468" s="327" t="n"/>
      <c r="I1468" s="245" t="inlineStr">
        <is>
          <t>Identifiant de la sûreté reçue</t>
        </is>
      </c>
      <c r="J1468" s="327" t="inlineStr">
        <is>
          <t>ID of mitigant received</t>
        </is>
      </c>
      <c r="K1468" s="284" t="inlineStr">
        <is>
          <t>NA</t>
        </is>
      </c>
      <c r="L1468" s="284" t="inlineStr">
        <is>
          <t>NA</t>
        </is>
      </c>
      <c r="M1468" s="1421" t="inlineStr">
        <is>
          <t>IdSurRecue</t>
        </is>
      </c>
      <c r="N1468" s="284" t="inlineStr">
        <is>
          <t>NA</t>
        </is>
      </c>
      <c r="O1468" s="284" t="inlineStr">
        <is>
          <t>NA</t>
        </is>
      </c>
      <c r="P1468" s="284" t="inlineStr">
        <is>
          <t>NA</t>
        </is>
      </c>
      <c r="Q1468" s="284" t="inlineStr">
        <is>
          <t>NA</t>
        </is>
      </c>
      <c r="R1468" s="245" t="inlineStr">
        <is>
          <t>NA</t>
        </is>
      </c>
      <c r="S1468" s="245" t="inlineStr">
        <is>
          <t>NA</t>
        </is>
      </c>
      <c r="T1468" s="326" t="inlineStr">
        <is>
          <t>ALPHA</t>
        </is>
      </c>
      <c r="U1468" s="248" t="inlineStr">
        <is>
          <t>NA</t>
        </is>
      </c>
      <c r="V1468" s="248" t="inlineStr">
        <is>
          <t>NA</t>
        </is>
      </c>
      <c r="W1468" s="284" t="n">
        <v>40</v>
      </c>
      <c r="X1468" s="244" t="inlineStr">
        <is>
          <t>NA</t>
        </is>
      </c>
      <c r="Y1468" s="248" t="inlineStr">
        <is>
          <t>NA</t>
        </is>
      </c>
      <c r="Z1468" s="248" t="n">
        <v>43</v>
      </c>
      <c r="AA1468" s="248" t="inlineStr">
        <is>
          <t>NA</t>
        </is>
      </c>
      <c r="AB1468" s="328" t="inlineStr">
        <is>
          <t>NA</t>
        </is>
      </c>
      <c r="AC1468" s="244" t="inlineStr">
        <is>
          <t>NA</t>
        </is>
      </c>
      <c r="AD1468" s="284" t="inlineStr">
        <is>
          <t>N</t>
        </is>
      </c>
      <c r="AE1468" s="284" t="inlineStr">
        <is>
          <t>NA</t>
        </is>
      </c>
      <c r="AF1468" s="284" t="inlineStr">
        <is>
          <t>NA</t>
        </is>
      </c>
      <c r="AG1468" s="285" t="inlineStr">
        <is>
          <t>NA</t>
        </is>
      </c>
      <c r="AH1468" s="89" t="n"/>
      <c r="AI1468" s="330" t="n"/>
      <c r="AJ1468" s="331" t="n"/>
      <c r="AK1468" s="284" t="n"/>
      <c r="AL1468" s="285" t="n"/>
      <c r="AM1468" s="331" t="n"/>
      <c r="AN1468" s="331" t="n"/>
      <c r="AO1468" s="284" t="n"/>
      <c r="AP1468" s="285" t="n"/>
      <c r="AQ1468" s="331" t="n"/>
      <c r="AR1468" s="331" t="n"/>
      <c r="AS1468" s="284" t="n"/>
      <c r="AT1468" s="285" t="n"/>
      <c r="AU1468" s="331" t="n"/>
      <c r="AV1468" s="331" t="n"/>
      <c r="AW1468" s="284" t="n"/>
      <c r="AX1468" s="285" t="n"/>
      <c r="AY1468" s="331" t="n"/>
      <c r="AZ1468" s="331" t="n"/>
      <c r="BA1468" s="284" t="n"/>
      <c r="BB1468" s="285" t="n"/>
      <c r="BC1468" s="330" t="n"/>
      <c r="BD1468" s="331" t="n"/>
      <c r="BE1468" s="284" t="n"/>
      <c r="BF1468" s="285" t="n"/>
      <c r="BG1468" s="89" t="n"/>
      <c r="BH146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68">
        <f>_xlfn.LET(r,ROW(),oc,INDEX($A:$A,r),cv,TRIM(INDEX($Y:$Y,r)&amp;""),IF(oc&lt;&gt;"P1","",IF(cv="45","V45 - novo, nao alimentado pelo spool atual","V44 - alimentado pelo spool atual")))</f>
        <v/>
      </c>
    </row>
    <row r="1469" ht="54" customFormat="1" customHeight="1" s="90">
      <c r="A1469" s="306" t="inlineStr">
        <is>
          <t>P9</t>
        </is>
      </c>
      <c r="B1469" s="307" t="n">
        <v>16</v>
      </c>
      <c r="C1469" s="269" t="inlineStr">
        <is>
          <t>02a - Caractéristiques d'identification fonctionnelles (clé)</t>
        </is>
      </c>
      <c r="D1469" s="236" t="inlineStr">
        <is>
          <t>02a - Functional identification characteristics (key)</t>
        </is>
      </c>
      <c r="E1469" s="307" t="inlineStr">
        <is>
          <t>1.11 (P9)</t>
        </is>
      </c>
      <c r="F1469" s="886" t="inlineStr">
        <is>
          <t>Identifiant de l'engagement</t>
        </is>
      </c>
      <c r="G1469" s="309" t="inlineStr">
        <is>
          <t>Commitment identifier</t>
        </is>
      </c>
      <c r="H1469" s="309" t="n"/>
      <c r="I1469" s="241" t="inlineStr">
        <is>
          <t>Identifiant unique de l'engagement provisionné</t>
        </is>
      </c>
      <c r="J1469" s="309" t="inlineStr">
        <is>
          <t>Unique ID of commitment with funded provisions</t>
        </is>
      </c>
      <c r="K1469" s="370" t="inlineStr">
        <is>
          <t>ND</t>
        </is>
      </c>
      <c r="L1469" s="371" t="inlineStr">
        <is>
          <t>ND</t>
        </is>
      </c>
      <c r="M1469" s="1420" t="inlineStr">
        <is>
          <t>IdEng</t>
        </is>
      </c>
      <c r="N1469" s="231" t="inlineStr">
        <is>
          <t>Obligatoire sous conditions</t>
        </is>
      </c>
      <c r="O1469" s="236" t="inlineStr">
        <is>
          <t>Mandatory under conditions</t>
        </is>
      </c>
      <c r="P1469" s="269" t="inlineStr">
        <is>
          <t>NA</t>
        </is>
      </c>
      <c r="Q1469" s="269" t="inlineStr">
        <is>
          <t>NA</t>
        </is>
      </c>
      <c r="R1469" s="887" t="inlineStr">
        <is>
          <t>NA pour les provisions de niveau tiers (P9 2.1 = ‘T').
Obligatoire pour les provisions décotes de niveau Engagement (P9 2.1 = ‘P').
L'engagement peut-être un P1 ou et un P2.
Non applicable pour les provisions de niveau tiers (P9 2.1 = ‘T'), laisser à vide</t>
        </is>
      </c>
      <c r="S1469" s="233" t="inlineStr">
        <is>
          <t>NA for external counterparty level provisions (P9 2.1 = ‘T').
Mandatory for Commitment level provisions haircuts (P9 2.1 = ‘P').
The commitment may be a P1 and or a P2</t>
        </is>
      </c>
      <c r="T1469" s="313" t="inlineStr">
        <is>
          <t>ALPHA</t>
        </is>
      </c>
      <c r="U1469" s="237" t="inlineStr">
        <is>
          <t>NA</t>
        </is>
      </c>
      <c r="V1469" s="238" t="inlineStr">
        <is>
          <t>NA</t>
        </is>
      </c>
      <c r="W1469" s="257" t="n">
        <v>40</v>
      </c>
      <c r="X1469" s="945" t="inlineStr">
        <is>
          <t>NA</t>
        </is>
      </c>
      <c r="Y1469" s="237" t="inlineStr">
        <is>
          <t>40</t>
        </is>
      </c>
      <c r="Z1469" s="237" t="inlineStr">
        <is>
          <t>NA</t>
        </is>
      </c>
      <c r="AA1469" s="270" t="inlineStr">
        <is>
          <t>NA</t>
        </is>
      </c>
      <c r="AB1469" s="1286" t="inlineStr">
        <is>
          <t>CALCULS PRUDENTIELS</t>
        </is>
      </c>
      <c r="AC1469" s="231" t="inlineStr">
        <is>
          <t>ND</t>
        </is>
      </c>
      <c r="AD1469" s="257" t="inlineStr">
        <is>
          <t>N</t>
        </is>
      </c>
      <c r="AE1469" s="257" t="inlineStr">
        <is>
          <t>NA</t>
        </is>
      </c>
      <c r="AF1469" s="257" t="inlineStr">
        <is>
          <t>NA</t>
        </is>
      </c>
      <c r="AG1469" s="258" t="inlineStr">
        <is>
          <t>NA</t>
        </is>
      </c>
      <c r="AH1469" s="89" t="n"/>
      <c r="AI1469" s="316" t="inlineStr">
        <is>
          <t>La donnée est obligatoire si le Périmètre d'affectation de la provision/décote [P9 2.1] = ‘P'</t>
        </is>
      </c>
      <c r="AJ1469" s="317" t="inlineStr">
        <is>
          <t>The data is mandatory if the Scope of allocation of provision/haircut [P9 2.1] = ‘P'</t>
        </is>
      </c>
      <c r="AK1469" s="257" t="n">
        <v>7</v>
      </c>
      <c r="AL1469" s="888" t="inlineStr">
        <is>
          <t>TP0001</t>
        </is>
      </c>
      <c r="AM1469" s="318" t="n"/>
      <c r="AN1469" s="317" t="n"/>
      <c r="AO1469" s="257" t="n"/>
      <c r="AP1469" s="258" t="n"/>
      <c r="AQ1469" s="318" t="n"/>
      <c r="AR1469" s="317" t="n"/>
      <c r="AS1469" s="257" t="n"/>
      <c r="AT1469" s="258" t="n"/>
      <c r="AU1469" s="889" t="inlineStr">
        <is>
          <t xml:space="preserve">Si la référence de la provision sur tiers [1.16 (P9)] est renseignée alors la donnée ne doit pas être renseignée
</t>
        </is>
      </c>
      <c r="AV1469" s="317" t="inlineStr">
        <is>
          <t xml:space="preserve">If the reference for the counterparty provision [1.16 (P9)] is filled, then the data must be not filled
</t>
        </is>
      </c>
      <c r="AW1469" s="890" t="n">
        <v>6</v>
      </c>
      <c r="AX1469" s="345" t="inlineStr">
        <is>
          <t>TCS0762</t>
        </is>
      </c>
      <c r="AY1469" s="889" t="inlineStr">
        <is>
          <t>S'il est renseigné, un enregistrement P1 ou P2 portant l'identifiant de l'engagement doit exister dans le lot</t>
        </is>
      </c>
      <c r="AZ1469" s="317" t="inlineStr">
        <is>
          <t>If filled in, a P1 or P2 record with the funds in use ID must exist in the batch</t>
        </is>
      </c>
      <c r="BA1469" s="890" t="n">
        <v>7</v>
      </c>
      <c r="BB1469" s="535" t="inlineStr">
        <is>
          <t>TC0727</t>
        </is>
      </c>
      <c r="BC1469" s="316" t="n"/>
      <c r="BD1469" s="317" t="n"/>
      <c r="BE1469" s="257" t="n"/>
      <c r="BF1469" s="258" t="n"/>
      <c r="BG1469" s="89" t="n"/>
      <c r="BH146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69">
        <f>_xlfn.LET(r,ROW(),oc,INDEX($A:$A,r),cv,TRIM(INDEX($Y:$Y,r)&amp;""),IF(oc&lt;&gt;"P1","",IF(cv="45","V45 - novo, nao alimentado pelo spool atual","V44 - alimentado pelo spool atual")))</f>
        <v/>
      </c>
    </row>
    <row r="1470" ht="54" customFormat="1" customHeight="1" s="90">
      <c r="A1470" s="306" t="inlineStr">
        <is>
          <t>P9</t>
        </is>
      </c>
      <c r="B1470" s="307" t="n">
        <v>17</v>
      </c>
      <c r="C1470" s="269" t="inlineStr">
        <is>
          <t>02a - Caractéristiques d'identification fonctionnelles (clé)</t>
        </is>
      </c>
      <c r="D1470" s="236" t="inlineStr">
        <is>
          <t>02a - Functional identification characteristics (key)</t>
        </is>
      </c>
      <c r="E1470" s="307" t="inlineStr">
        <is>
          <t>1.16 (P9)</t>
        </is>
      </c>
      <c r="F1470" s="886" t="inlineStr">
        <is>
          <t>Référence de la provision sur tiers</t>
        </is>
      </c>
      <c r="G1470" s="309" t="inlineStr">
        <is>
          <t xml:space="preserve">Reference for the counterparty provision </t>
        </is>
      </c>
      <c r="H1470" s="309" t="n"/>
      <c r="I1470" s="241" t="inlineStr">
        <is>
          <t>Référence unique de la provision de niveau Tiers</t>
        </is>
      </c>
      <c r="J1470" s="309" t="inlineStr">
        <is>
          <t>Represents the unique reference code of the External Counterparty level provision</t>
        </is>
      </c>
      <c r="K1470" s="370" t="inlineStr">
        <is>
          <t>ND</t>
        </is>
      </c>
      <c r="L1470" s="371" t="inlineStr">
        <is>
          <t>ND</t>
        </is>
      </c>
      <c r="M1470" s="1420" t="inlineStr">
        <is>
          <t>IdProvTiers</t>
        </is>
      </c>
      <c r="N1470" s="231" t="inlineStr">
        <is>
          <t>Obligatoire sous conditions</t>
        </is>
      </c>
      <c r="O1470" s="236" t="inlineStr">
        <is>
          <t>Mandatory under conditions</t>
        </is>
      </c>
      <c r="P1470" s="269" t="inlineStr">
        <is>
          <t>NA</t>
        </is>
      </c>
      <c r="Q1470" s="269" t="inlineStr">
        <is>
          <t>NA</t>
        </is>
      </c>
      <c r="R1470" s="241" t="inlineStr">
        <is>
          <t>Pour un lot déterminé, la référence de la provision doit être unique</t>
        </is>
      </c>
      <c r="S1470" s="233" t="inlineStr">
        <is>
          <t>For a given batch, the reference code of the provision must be unique</t>
        </is>
      </c>
      <c r="T1470" s="313" t="inlineStr">
        <is>
          <t>ALPHA</t>
        </is>
      </c>
      <c r="U1470" s="237" t="inlineStr">
        <is>
          <t>NA</t>
        </is>
      </c>
      <c r="V1470" s="238" t="inlineStr">
        <is>
          <t>NA</t>
        </is>
      </c>
      <c r="W1470" s="257" t="n">
        <v>40</v>
      </c>
      <c r="X1470" s="945" t="inlineStr">
        <is>
          <t>NA</t>
        </is>
      </c>
      <c r="Y1470" s="237" t="inlineStr">
        <is>
          <t>40</t>
        </is>
      </c>
      <c r="Z1470" s="237" t="inlineStr">
        <is>
          <t>NA</t>
        </is>
      </c>
      <c r="AA1470" s="270" t="inlineStr">
        <is>
          <t>NA</t>
        </is>
      </c>
      <c r="AB1470" s="1286" t="inlineStr">
        <is>
          <t>CALCULS PRUDENTIELS</t>
        </is>
      </c>
      <c r="AC1470" s="231" t="inlineStr">
        <is>
          <t>ND</t>
        </is>
      </c>
      <c r="AD1470" s="257" t="inlineStr">
        <is>
          <t>N</t>
        </is>
      </c>
      <c r="AE1470" s="257" t="inlineStr">
        <is>
          <t>NA</t>
        </is>
      </c>
      <c r="AF1470" s="257" t="inlineStr">
        <is>
          <t>NA</t>
        </is>
      </c>
      <c r="AG1470" s="258" t="inlineStr">
        <is>
          <t>NA</t>
        </is>
      </c>
      <c r="AH1470" s="89" t="n"/>
      <c r="AI1470" s="891" t="inlineStr">
        <is>
          <t>La donnée est obligatoire, si Périmètre d'affectation de la provision décote [P9 2.1] = ‘T'</t>
        </is>
      </c>
      <c r="AJ1470" s="317" t="inlineStr">
        <is>
          <t>The data is mandatory, if Scope of allocation of provision haircut [P9 2.1] = ‘T'</t>
        </is>
      </c>
      <c r="AK1470" s="257" t="n">
        <v>7</v>
      </c>
      <c r="AL1470" s="888" t="inlineStr">
        <is>
          <t>TP0001</t>
        </is>
      </c>
      <c r="AM1470" s="318" t="n"/>
      <c r="AN1470" s="317" t="n"/>
      <c r="AO1470" s="257" t="n"/>
      <c r="AP1470" s="258" t="n"/>
      <c r="AQ1470" s="318" t="n"/>
      <c r="AR1470" s="317" t="n"/>
      <c r="AS1470" s="257" t="n"/>
      <c r="AT1470" s="258" t="n"/>
      <c r="AU1470" s="381" t="n"/>
      <c r="AV1470" s="317" t="n"/>
      <c r="AW1470" s="257" t="n"/>
      <c r="AX1470" s="345" t="n"/>
      <c r="AY1470" s="398" t="inlineStr">
        <is>
          <t>Vérification de l'unicité absolue de la donnée au sein du lot
---
Unicité absolue de la donnée au sein du lot</t>
        </is>
      </c>
      <c r="AZ1470" s="317" t="inlineStr">
        <is>
          <t>Verification of the absolute uniqueness of the data within the batch
---
The data must be unique within the batch</t>
        </is>
      </c>
      <c r="BA1470" s="257" t="n">
        <v>7</v>
      </c>
      <c r="BB1470" s="828" t="inlineStr">
        <is>
          <t>TU0006
TU0007</t>
        </is>
      </c>
      <c r="BC1470" s="316" t="n"/>
      <c r="BD1470" s="317" t="n"/>
      <c r="BE1470" s="257" t="n"/>
      <c r="BF1470" s="258" t="n"/>
      <c r="BG1470" s="89" t="n"/>
      <c r="BH147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70">
        <f>_xlfn.LET(r,ROW(),oc,INDEX($A:$A,r),cv,TRIM(INDEX($Y:$Y,r)&amp;""),IF(oc&lt;&gt;"P1","",IF(cv="45","V45 - novo, nao alimentado pelo spool atual","V44 - alimentado pelo spool atual")))</f>
        <v/>
      </c>
    </row>
    <row r="1471" ht="54" customFormat="1" customHeight="1" s="56">
      <c r="A1471" s="325" t="inlineStr">
        <is>
          <t>P9</t>
        </is>
      </c>
      <c r="B1471" s="326" t="n">
        <v>18</v>
      </c>
      <c r="C1471" s="284" t="inlineStr">
        <is>
          <t>NA</t>
        </is>
      </c>
      <c r="D1471" s="244" t="inlineStr">
        <is>
          <t>NA</t>
        </is>
      </c>
      <c r="E1471" s="333" t="inlineStr">
        <is>
          <t>1.99 (P9)</t>
        </is>
      </c>
      <c r="F1471" s="329" t="inlineStr">
        <is>
          <t>Filler</t>
        </is>
      </c>
      <c r="G1471" s="329" t="inlineStr">
        <is>
          <t>Filler</t>
        </is>
      </c>
      <c r="H1471" s="329" t="n"/>
      <c r="I1471" s="247" t="inlineStr">
        <is>
          <t>Zone libre</t>
        </is>
      </c>
      <c r="J1471" s="329" t="inlineStr">
        <is>
          <t>Free zone</t>
        </is>
      </c>
      <c r="K1471" s="328" t="inlineStr">
        <is>
          <t>NA</t>
        </is>
      </c>
      <c r="L1471" s="328" t="inlineStr">
        <is>
          <t>NA</t>
        </is>
      </c>
      <c r="M1471" s="1421" t="inlineStr">
        <is>
          <t>ZoneLibre1</t>
        </is>
      </c>
      <c r="N1471" s="284" t="inlineStr">
        <is>
          <t>NA</t>
        </is>
      </c>
      <c r="O1471" s="328" t="inlineStr">
        <is>
          <t>NA</t>
        </is>
      </c>
      <c r="P1471" s="284" t="inlineStr">
        <is>
          <t>NA</t>
        </is>
      </c>
      <c r="Q1471" s="284" t="inlineStr">
        <is>
          <t>NA</t>
        </is>
      </c>
      <c r="R1471" s="247" t="inlineStr">
        <is>
          <t>Laisser à vide</t>
        </is>
      </c>
      <c r="S1471" s="247" t="inlineStr">
        <is>
          <t>Leave empty</t>
        </is>
      </c>
      <c r="T1471" s="333" t="inlineStr">
        <is>
          <t>ALPHA</t>
        </is>
      </c>
      <c r="U1471" s="256" t="inlineStr">
        <is>
          <t>NA</t>
        </is>
      </c>
      <c r="V1471" s="256" t="inlineStr">
        <is>
          <t>NA</t>
        </is>
      </c>
      <c r="W1471" s="328" t="n">
        <v>11</v>
      </c>
      <c r="X1471" s="244" t="inlineStr">
        <is>
          <t>NA</t>
        </is>
      </c>
      <c r="Y1471" s="248" t="inlineStr">
        <is>
          <t>NA</t>
        </is>
      </c>
      <c r="Z1471" s="256" t="inlineStr">
        <is>
          <t>NA</t>
        </is>
      </c>
      <c r="AA1471" s="256" t="inlineStr">
        <is>
          <t>NA</t>
        </is>
      </c>
      <c r="AB1471" s="284" t="inlineStr">
        <is>
          <t>NA</t>
        </is>
      </c>
      <c r="AC1471" s="244" t="inlineStr">
        <is>
          <t>NA</t>
        </is>
      </c>
      <c r="AD1471" s="284" t="inlineStr">
        <is>
          <t>N</t>
        </is>
      </c>
      <c r="AE1471" s="328" t="inlineStr">
        <is>
          <t>NA</t>
        </is>
      </c>
      <c r="AF1471" s="328" t="inlineStr">
        <is>
          <t>NA</t>
        </is>
      </c>
      <c r="AG1471" s="334" t="inlineStr">
        <is>
          <t>NA</t>
        </is>
      </c>
      <c r="AH1471" s="89" t="n"/>
      <c r="AI1471" s="330" t="n"/>
      <c r="AJ1471" s="331" t="n"/>
      <c r="AK1471" s="284" t="n"/>
      <c r="AL1471" s="285" t="n"/>
      <c r="AM1471" s="331" t="n"/>
      <c r="AN1471" s="331" t="n"/>
      <c r="AO1471" s="284" t="n"/>
      <c r="AP1471" s="285" t="n"/>
      <c r="AQ1471" s="331" t="n"/>
      <c r="AR1471" s="331" t="n"/>
      <c r="AS1471" s="284" t="n"/>
      <c r="AT1471" s="285" t="n"/>
      <c r="AU1471" s="331" t="n"/>
      <c r="AV1471" s="331" t="n"/>
      <c r="AW1471" s="284" t="n"/>
      <c r="AX1471" s="285" t="n"/>
      <c r="AY1471" s="331" t="n"/>
      <c r="AZ1471" s="331" t="n"/>
      <c r="BA1471" s="284" t="n"/>
      <c r="BB1471" s="285" t="n"/>
      <c r="BC1471" s="330" t="n"/>
      <c r="BD1471" s="331" t="n"/>
      <c r="BE1471" s="284" t="n"/>
      <c r="BF1471" s="285" t="n"/>
      <c r="BG1471" s="89" t="n"/>
      <c r="BH147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71">
        <f>_xlfn.LET(r,ROW(),oc,INDEX($A:$A,r),cv,TRIM(INDEX($Y:$Y,r)&amp;""),IF(oc&lt;&gt;"P1","",IF(cv="45","V45 - novo, nao alimentado pelo spool atual","V44 - alimentado pelo spool atual")))</f>
        <v/>
      </c>
    </row>
    <row r="1472" ht="54" customFormat="1" customHeight="1" s="56">
      <c r="A1472" s="325" t="inlineStr">
        <is>
          <t>P9</t>
        </is>
      </c>
      <c r="B1472" s="326" t="n">
        <v>19</v>
      </c>
      <c r="C1472" s="284" t="inlineStr">
        <is>
          <t>NA</t>
        </is>
      </c>
      <c r="D1472" s="244" t="inlineStr">
        <is>
          <t>NA</t>
        </is>
      </c>
      <c r="E1472" s="333" t="inlineStr">
        <is>
          <t>1.98 (P9)</t>
        </is>
      </c>
      <c r="F1472" s="329" t="inlineStr">
        <is>
          <t>Filler</t>
        </is>
      </c>
      <c r="G1472" s="329" t="inlineStr">
        <is>
          <t>Filler</t>
        </is>
      </c>
      <c r="H1472" s="329" t="n"/>
      <c r="I1472" s="247" t="inlineStr">
        <is>
          <t>Zone libre</t>
        </is>
      </c>
      <c r="J1472" s="329" t="inlineStr">
        <is>
          <t>Free zone</t>
        </is>
      </c>
      <c r="K1472" s="328" t="inlineStr">
        <is>
          <t>NA</t>
        </is>
      </c>
      <c r="L1472" s="328" t="inlineStr">
        <is>
          <t>NA</t>
        </is>
      </c>
      <c r="M1472" s="1421" t="inlineStr">
        <is>
          <t>NA</t>
        </is>
      </c>
      <c r="N1472" s="284" t="inlineStr">
        <is>
          <t>NA</t>
        </is>
      </c>
      <c r="O1472" s="328" t="inlineStr">
        <is>
          <t>NA</t>
        </is>
      </c>
      <c r="P1472" s="284" t="inlineStr">
        <is>
          <t>NA</t>
        </is>
      </c>
      <c r="Q1472" s="284" t="inlineStr">
        <is>
          <t>NA</t>
        </is>
      </c>
      <c r="R1472" s="247" t="inlineStr">
        <is>
          <t>Laisser à vide</t>
        </is>
      </c>
      <c r="S1472" s="247" t="inlineStr">
        <is>
          <t>Leave empty</t>
        </is>
      </c>
      <c r="T1472" s="333" t="inlineStr">
        <is>
          <t>ALPHA</t>
        </is>
      </c>
      <c r="U1472" s="256" t="inlineStr">
        <is>
          <t>NA</t>
        </is>
      </c>
      <c r="V1472" s="256" t="inlineStr">
        <is>
          <t>NA</t>
        </is>
      </c>
      <c r="W1472" s="328" t="n">
        <v>7</v>
      </c>
      <c r="X1472" s="244" t="inlineStr">
        <is>
          <t>NA</t>
        </is>
      </c>
      <c r="Y1472" s="248" t="inlineStr">
        <is>
          <t>NA</t>
        </is>
      </c>
      <c r="Z1472" s="256" t="inlineStr">
        <is>
          <t>NA</t>
        </is>
      </c>
      <c r="AA1472" s="256" t="inlineStr">
        <is>
          <t>NA</t>
        </is>
      </c>
      <c r="AB1472" s="284" t="inlineStr">
        <is>
          <t>NA</t>
        </is>
      </c>
      <c r="AC1472" s="244" t="inlineStr">
        <is>
          <t>NA</t>
        </is>
      </c>
      <c r="AD1472" s="284" t="inlineStr">
        <is>
          <t>N</t>
        </is>
      </c>
      <c r="AE1472" s="328" t="inlineStr">
        <is>
          <t>NA</t>
        </is>
      </c>
      <c r="AF1472" s="328" t="inlineStr">
        <is>
          <t>NA</t>
        </is>
      </c>
      <c r="AG1472" s="334" t="inlineStr">
        <is>
          <t>NA</t>
        </is>
      </c>
      <c r="AH1472" s="89" t="n"/>
      <c r="AI1472" s="330" t="n"/>
      <c r="AJ1472" s="331" t="n"/>
      <c r="AK1472" s="284" t="n"/>
      <c r="AL1472" s="285" t="n"/>
      <c r="AM1472" s="331" t="n"/>
      <c r="AN1472" s="331" t="n"/>
      <c r="AO1472" s="284" t="n"/>
      <c r="AP1472" s="285" t="n"/>
      <c r="AQ1472" s="331" t="n"/>
      <c r="AR1472" s="331" t="n"/>
      <c r="AS1472" s="284" t="n"/>
      <c r="AT1472" s="285" t="n"/>
      <c r="AU1472" s="331" t="n"/>
      <c r="AV1472" s="331" t="n"/>
      <c r="AW1472" s="284" t="n"/>
      <c r="AX1472" s="285" t="n"/>
      <c r="AY1472" s="331" t="n"/>
      <c r="AZ1472" s="331" t="n"/>
      <c r="BA1472" s="284" t="n"/>
      <c r="BB1472" s="285" t="n"/>
      <c r="BC1472" s="330" t="n"/>
      <c r="BD1472" s="331" t="n"/>
      <c r="BE1472" s="284" t="n"/>
      <c r="BF1472" s="285" t="n"/>
      <c r="BG1472" s="89" t="n"/>
      <c r="BH147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72">
        <f>_xlfn.LET(r,ROW(),oc,INDEX($A:$A,r),cv,TRIM(INDEX($Y:$Y,r)&amp;""),IF(oc&lt;&gt;"P1","",IF(cv="45","V45 - novo, nao alimentado pelo spool atual","V44 - alimentado pelo spool atual")))</f>
        <v/>
      </c>
    </row>
    <row r="1473" ht="54" customFormat="1" customHeight="1" s="56">
      <c r="A1473" s="325" t="inlineStr">
        <is>
          <t>P9</t>
        </is>
      </c>
      <c r="B1473" s="326" t="n">
        <v>20</v>
      </c>
      <c r="C1473" s="284" t="inlineStr">
        <is>
          <t>NA</t>
        </is>
      </c>
      <c r="D1473" s="244" t="inlineStr">
        <is>
          <t>NA</t>
        </is>
      </c>
      <c r="E1473" s="333" t="inlineStr">
        <is>
          <t>1.97 (P9)</t>
        </is>
      </c>
      <c r="F1473" s="329" t="inlineStr">
        <is>
          <t>Filler</t>
        </is>
      </c>
      <c r="G1473" s="329" t="inlineStr">
        <is>
          <t>Filler</t>
        </is>
      </c>
      <c r="H1473" s="329" t="n"/>
      <c r="I1473" s="247" t="inlineStr">
        <is>
          <t>Zone libre</t>
        </is>
      </c>
      <c r="J1473" s="329" t="inlineStr">
        <is>
          <t>Free zone</t>
        </is>
      </c>
      <c r="K1473" s="328" t="inlineStr">
        <is>
          <t>NA</t>
        </is>
      </c>
      <c r="L1473" s="328" t="inlineStr">
        <is>
          <t>NA</t>
        </is>
      </c>
      <c r="M1473" s="1421" t="inlineStr">
        <is>
          <t>NA</t>
        </is>
      </c>
      <c r="N1473" s="284" t="inlineStr">
        <is>
          <t>NA</t>
        </is>
      </c>
      <c r="O1473" s="328" t="inlineStr">
        <is>
          <t>NA</t>
        </is>
      </c>
      <c r="P1473" s="284" t="inlineStr">
        <is>
          <t>NA</t>
        </is>
      </c>
      <c r="Q1473" s="284" t="inlineStr">
        <is>
          <t>NA</t>
        </is>
      </c>
      <c r="R1473" s="247" t="inlineStr">
        <is>
          <t>Laisser à vide</t>
        </is>
      </c>
      <c r="S1473" s="247" t="inlineStr">
        <is>
          <t>Leave empty</t>
        </is>
      </c>
      <c r="T1473" s="333" t="inlineStr">
        <is>
          <t>ALPHA</t>
        </is>
      </c>
      <c r="U1473" s="256" t="inlineStr">
        <is>
          <t>NA</t>
        </is>
      </c>
      <c r="V1473" s="256" t="inlineStr">
        <is>
          <t>NA</t>
        </is>
      </c>
      <c r="W1473" s="328" t="n">
        <v>2</v>
      </c>
      <c r="X1473" s="244" t="inlineStr">
        <is>
          <t>NA</t>
        </is>
      </c>
      <c r="Y1473" s="248" t="inlineStr">
        <is>
          <t>NA</t>
        </is>
      </c>
      <c r="Z1473" s="256" t="inlineStr">
        <is>
          <t>NA</t>
        </is>
      </c>
      <c r="AA1473" s="256" t="inlineStr">
        <is>
          <t>NA</t>
        </is>
      </c>
      <c r="AB1473" s="284" t="inlineStr">
        <is>
          <t>NA</t>
        </is>
      </c>
      <c r="AC1473" s="244" t="inlineStr">
        <is>
          <t>NA</t>
        </is>
      </c>
      <c r="AD1473" s="284" t="inlineStr">
        <is>
          <t>N</t>
        </is>
      </c>
      <c r="AE1473" s="328" t="inlineStr">
        <is>
          <t>NA</t>
        </is>
      </c>
      <c r="AF1473" s="328" t="inlineStr">
        <is>
          <t>NA</t>
        </is>
      </c>
      <c r="AG1473" s="334" t="inlineStr">
        <is>
          <t>NA</t>
        </is>
      </c>
      <c r="AH1473" s="89" t="n"/>
      <c r="AI1473" s="330" t="n"/>
      <c r="AJ1473" s="331" t="n"/>
      <c r="AK1473" s="284" t="n"/>
      <c r="AL1473" s="285" t="n"/>
      <c r="AM1473" s="331" t="n"/>
      <c r="AN1473" s="331" t="n"/>
      <c r="AO1473" s="284" t="n"/>
      <c r="AP1473" s="285" t="n"/>
      <c r="AQ1473" s="331" t="n"/>
      <c r="AR1473" s="331" t="n"/>
      <c r="AS1473" s="284" t="n"/>
      <c r="AT1473" s="285" t="n"/>
      <c r="AU1473" s="331" t="n"/>
      <c r="AV1473" s="331" t="n"/>
      <c r="AW1473" s="284" t="n"/>
      <c r="AX1473" s="285" t="n"/>
      <c r="AY1473" s="331" t="n"/>
      <c r="AZ1473" s="331" t="n"/>
      <c r="BA1473" s="284" t="n"/>
      <c r="BB1473" s="285" t="n"/>
      <c r="BC1473" s="330" t="n"/>
      <c r="BD1473" s="331" t="n"/>
      <c r="BE1473" s="284" t="n"/>
      <c r="BF1473" s="285" t="n"/>
      <c r="BG1473" s="89" t="n"/>
      <c r="BH147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73">
        <f>_xlfn.LET(r,ROW(),oc,INDEX($A:$A,r),cv,TRIM(INDEX($Y:$Y,r)&amp;""),IF(oc&lt;&gt;"P1","",IF(cv="45","V45 - novo, nao alimentado pelo spool atual","V44 - alimentado pelo spool atual")))</f>
        <v/>
      </c>
    </row>
    <row r="1474" ht="54" customFormat="1" customHeight="1" s="90">
      <c r="A1474" s="306" t="inlineStr">
        <is>
          <t>P9</t>
        </is>
      </c>
      <c r="B1474" s="307" t="n">
        <v>21</v>
      </c>
      <c r="C1474" s="269" t="inlineStr">
        <is>
          <t>03 - Caractéristiques Générales</t>
        </is>
      </c>
      <c r="D1474" s="236" t="inlineStr">
        <is>
          <t>03 - General characteristics</t>
        </is>
      </c>
      <c r="E1474" s="307" t="inlineStr">
        <is>
          <t>P9 2.3</t>
        </is>
      </c>
      <c r="F1474" s="368" t="inlineStr">
        <is>
          <t>Nature de la dépréciation</t>
        </is>
      </c>
      <c r="G1474" s="309" t="inlineStr">
        <is>
          <t>Nature of impairment</t>
        </is>
      </c>
      <c r="H1474" s="309" t="n"/>
      <c r="I1474" s="241" t="inlineStr">
        <is>
          <t>Permet de distinguer les provisions et les décotes</t>
        </is>
      </c>
      <c r="J1474" s="309" t="inlineStr">
        <is>
          <t>Makes it possible to distinguish between provisions and haircuts</t>
        </is>
      </c>
      <c r="K1474" s="370" t="inlineStr">
        <is>
          <t>ND</t>
        </is>
      </c>
      <c r="L1474" s="371" t="inlineStr">
        <is>
          <t>ND</t>
        </is>
      </c>
      <c r="M1474" s="1420" t="inlineStr">
        <is>
          <t>natDep</t>
        </is>
      </c>
      <c r="N1474" s="231" t="inlineStr">
        <is>
          <t>Obligatoire</t>
        </is>
      </c>
      <c r="O1474" s="236" t="inlineStr">
        <is>
          <t>Mandatory</t>
        </is>
      </c>
      <c r="P1474" s="269" t="inlineStr">
        <is>
          <t>LC.0168</t>
        </is>
      </c>
      <c r="Q1474" s="269" t="inlineStr">
        <is>
          <t>TA KVNDEPRE</t>
        </is>
      </c>
      <c r="R1474" s="241" t="inlineStr">
        <is>
          <t>La Nature de la dépréciation indique la nature du montant de provision déclaré (Décote, Provisions sur encours sains non dégradés (Bucket 1), Provisions sur encours sains dégradés (Bucket 2), Provisions sur encours douteux (Bucket 3)</t>
        </is>
      </c>
      <c r="S1474" s="233" t="inlineStr">
        <is>
          <t>The Nature of the depreciation indicates the nature of the amount of the provision declared (Haircut, Provision on healthy undegraded outstandings (Bucket 1), Provision on healthy degraded outstandings (Bucket 2), Provisions on doubtful outstandings (Bucket 3))</t>
        </is>
      </c>
      <c r="T1474" s="313" t="inlineStr">
        <is>
          <t>ALPHA</t>
        </is>
      </c>
      <c r="U1474" s="237" t="inlineStr">
        <is>
          <t>NA</t>
        </is>
      </c>
      <c r="V1474" s="238" t="inlineStr">
        <is>
          <t>NA</t>
        </is>
      </c>
      <c r="W1474" s="257" t="n">
        <v>1</v>
      </c>
      <c r="X1474" s="945" t="inlineStr">
        <is>
          <t>NA</t>
        </is>
      </c>
      <c r="Y1474" s="237" t="n">
        <v>40</v>
      </c>
      <c r="Z1474" s="237" t="inlineStr">
        <is>
          <t>NA</t>
        </is>
      </c>
      <c r="AA1474" s="978" t="inlineStr">
        <is>
          <t>NA</t>
        </is>
      </c>
      <c r="AB1474" s="994" t="inlineStr">
        <is>
          <t>ANACREDIT, ASTRE, CALCULS PRUDENTIELS, DEI, ESG PILIER 3, GRR, LOAN TAPE, OMP</t>
        </is>
      </c>
      <c r="AC1474" s="231" t="inlineStr">
        <is>
          <t>ND</t>
        </is>
      </c>
      <c r="AD1474" s="257" t="inlineStr">
        <is>
          <t>N</t>
        </is>
      </c>
      <c r="AE1474" s="257" t="inlineStr">
        <is>
          <t>NA</t>
        </is>
      </c>
      <c r="AF1474" s="257" t="inlineStr">
        <is>
          <t>NA</t>
        </is>
      </c>
      <c r="AG1474" s="258" t="inlineStr">
        <is>
          <t>NA</t>
        </is>
      </c>
      <c r="AH1474" s="89" t="n"/>
      <c r="AI1474" s="316" t="inlineStr">
        <is>
          <t>La donnée est obligatoire</t>
        </is>
      </c>
      <c r="AJ1474" s="317" t="inlineStr">
        <is>
          <t>The data is mandatory</t>
        </is>
      </c>
      <c r="AK1474" s="257" t="n">
        <v>7</v>
      </c>
      <c r="AL1474" s="335" t="inlineStr">
        <is>
          <t>TPG0001
TP0001</t>
        </is>
      </c>
      <c r="AM1474" s="210" t="inlineStr">
        <is>
          <t>Si elle est renseignée, la valeur doit être connue du Langage Commun associé</t>
        </is>
      </c>
      <c r="AN1474" s="211" t="inlineStr">
        <is>
          <t>If specified, the value must be known to the associated Common Language</t>
        </is>
      </c>
      <c r="AO1474" s="257" t="n">
        <v>7</v>
      </c>
      <c r="AP1474" s="212" t="inlineStr">
        <is>
          <t>TIG0001</t>
        </is>
      </c>
      <c r="AQ1474" s="892" t="n"/>
      <c r="AR1474" s="377" t="n"/>
      <c r="AS1474" s="257" t="n"/>
      <c r="AT1474" s="613" t="n"/>
      <c r="AU1474" s="889" t="n"/>
      <c r="AV1474" s="317" t="n"/>
      <c r="AW1474" s="257" t="n"/>
      <c r="AX1474" s="535" t="n"/>
      <c r="AY1474" s="159" t="inlineStr">
        <is>
          <t>Unicité au sein de l'entité porteuse de risque
---
Si l'encours déprécié est une PNU (type d'enregistrement P2), alors la nature de la dépréciation doit être différente de 'D' (décote)</t>
        </is>
      </c>
      <c r="AZ1474" s="160" t="inlineStr">
        <is>
          <t>Uniqueness within the entity bearing the risk
---
If the impaired outstanding is a PNU (P2 record type), then the nature of the impairment must be different from 'D' (discount)</t>
        </is>
      </c>
      <c r="BA1474" s="893" t="inlineStr">
        <is>
          <t>7
6</t>
        </is>
      </c>
      <c r="BB1474" s="535" t="inlineStr">
        <is>
          <t>TU0001
TC0197</t>
        </is>
      </c>
      <c r="BC1474" s="894" t="inlineStr">
        <is>
          <t>Si la donnée est égale à D, l'encours déprécié est de type ISSxxx ou TRExxx sauf (TRE203, TRE205, TRE206, TRE207, TRE5xx)
---
Si la combinaison de donnée n'est pas trouvée dans la matrice des règles de gestion C32, le contrôle doit se lever</t>
        </is>
      </c>
      <c r="BD1474" s="317" t="inlineStr">
        <is>
          <t>If the data is equal to D, the impaired outstanding is of type ISSxxx or TRExxx except (TRE203, TRE205, TRE206, TRE207, TRE5xx)
---
If the data combinaison is not found in the C32 business rules matrix, the control must trigger</t>
        </is>
      </c>
      <c r="BE1474" s="257" t="n">
        <v>6</v>
      </c>
      <c r="BF1474" s="521" t="inlineStr">
        <is>
          <t>TC0C22
TC0C32</t>
        </is>
      </c>
      <c r="BG1474" s="89" t="n"/>
      <c r="BH147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74">
        <f>_xlfn.LET(r,ROW(),oc,INDEX($A:$A,r),cv,TRIM(INDEX($Y:$Y,r)&amp;""),IF(oc&lt;&gt;"P1","",IF(cv="45","V45 - novo, nao alimentado pelo spool atual","V44 - alimentado pelo spool atual")))</f>
        <v/>
      </c>
    </row>
    <row r="1475" ht="54" customFormat="1" customHeight="1" s="90">
      <c r="A1475" s="306" t="inlineStr">
        <is>
          <t>P9</t>
        </is>
      </c>
      <c r="B1475" s="307" t="n">
        <v>22</v>
      </c>
      <c r="C1475" s="269" t="inlineStr">
        <is>
          <t>03 - Caractéristiques Générales</t>
        </is>
      </c>
      <c r="D1475" s="236" t="inlineStr">
        <is>
          <t>03 - General characteristics</t>
        </is>
      </c>
      <c r="E1475" s="307" t="inlineStr">
        <is>
          <t>P9 2.1</t>
        </is>
      </c>
      <c r="F1475" s="368" t="inlineStr">
        <is>
          <t>Périmètre d'affectation de la dépréciation</t>
        </is>
      </c>
      <c r="G1475" s="309" t="inlineStr">
        <is>
          <t>Scope of allocation of depreciation</t>
        </is>
      </c>
      <c r="H1475" s="309" t="n"/>
      <c r="I1475" s="895" t="inlineStr">
        <is>
          <t>Périmètre d'affectation de la dépréciation</t>
        </is>
      </c>
      <c r="J1475" s="309" t="inlineStr">
        <is>
          <t>Scope of allocation of depreciation</t>
        </is>
      </c>
      <c r="K1475" s="370" t="inlineStr">
        <is>
          <t>ND</t>
        </is>
      </c>
      <c r="L1475" s="371" t="inlineStr">
        <is>
          <t>ND</t>
        </is>
      </c>
      <c r="M1475" s="1420" t="inlineStr">
        <is>
          <t>cdprov</t>
        </is>
      </c>
      <c r="N1475" s="231" t="inlineStr">
        <is>
          <t>Obligatoire</t>
        </is>
      </c>
      <c r="O1475" s="236" t="inlineStr">
        <is>
          <t>Mandatory</t>
        </is>
      </c>
      <c r="P1475" s="269" t="inlineStr">
        <is>
          <t>LC.0167</t>
        </is>
      </c>
      <c r="Q1475" s="269" t="inlineStr">
        <is>
          <t>TA KVAFFPRO</t>
        </is>
      </c>
      <c r="R1475" s="241" t="inlineStr">
        <is>
          <t>NA</t>
        </is>
      </c>
      <c r="S1475" s="233" t="inlineStr">
        <is>
          <t>NA</t>
        </is>
      </c>
      <c r="T1475" s="313" t="inlineStr">
        <is>
          <t>ALPHA</t>
        </is>
      </c>
      <c r="U1475" s="237" t="inlineStr">
        <is>
          <t>NA</t>
        </is>
      </c>
      <c r="V1475" s="238" t="inlineStr">
        <is>
          <t>NA</t>
        </is>
      </c>
      <c r="W1475" s="257" t="n">
        <v>1</v>
      </c>
      <c r="X1475" s="945" t="inlineStr">
        <is>
          <t>NA</t>
        </is>
      </c>
      <c r="Y1475" s="237" t="n">
        <v>40</v>
      </c>
      <c r="Z1475" s="237" t="inlineStr">
        <is>
          <t>NA</t>
        </is>
      </c>
      <c r="AA1475" s="270" t="inlineStr">
        <is>
          <t>NA</t>
        </is>
      </c>
      <c r="AB1475" s="994" t="inlineStr">
        <is>
          <t>ANACREDIT, CALCULS PRUDENTIELS, DEI, GRR, LOAN TAPE</t>
        </is>
      </c>
      <c r="AC1475" s="231" t="inlineStr">
        <is>
          <t>ND</t>
        </is>
      </c>
      <c r="AD1475" s="257" t="inlineStr">
        <is>
          <t>N</t>
        </is>
      </c>
      <c r="AE1475" s="257" t="inlineStr">
        <is>
          <t>NA</t>
        </is>
      </c>
      <c r="AF1475" s="257" t="inlineStr">
        <is>
          <t>NA</t>
        </is>
      </c>
      <c r="AG1475" s="258" t="inlineStr">
        <is>
          <t>NA</t>
        </is>
      </c>
      <c r="AH1475" s="89" t="n"/>
      <c r="AI1475" s="316" t="inlineStr">
        <is>
          <t>La donnée est obligatoire</t>
        </is>
      </c>
      <c r="AJ1475" s="317" t="inlineStr">
        <is>
          <t>The data is mandatory</t>
        </is>
      </c>
      <c r="AK1475" s="257" t="n">
        <v>7</v>
      </c>
      <c r="AL1475" s="335" t="inlineStr">
        <is>
          <t>TPG0001</t>
        </is>
      </c>
      <c r="AM1475" s="210" t="inlineStr">
        <is>
          <t>Si elle est renseignée, la valeur doit être connue du Langage Commun associé</t>
        </is>
      </c>
      <c r="AN1475" s="211" t="inlineStr">
        <is>
          <t>If specified, the value must be known to the associated Common Language</t>
        </is>
      </c>
      <c r="AO1475" s="257" t="n">
        <v>7</v>
      </c>
      <c r="AP1475" s="212" t="inlineStr">
        <is>
          <t>TIG0001</t>
        </is>
      </c>
      <c r="AQ1475" s="381" t="inlineStr">
        <is>
          <t>Si renseignée et si la Nature de la dépréciation [P9 2.3] = ‘D' ou ‘A' ou ‘E', alors la donnée doit être différente de ‘T'</t>
        </is>
      </c>
      <c r="AR1475" s="317" t="inlineStr">
        <is>
          <t>If filled and if Nature of impairment [P9 2.3] = ‘D' or ‘A' or ‘E', then the data must be different from ‘T'</t>
        </is>
      </c>
      <c r="AS1475" s="257" t="n">
        <v>7</v>
      </c>
      <c r="AT1475" s="345" t="inlineStr">
        <is>
          <t>TVS0748</t>
        </is>
      </c>
      <c r="AU1475" s="318" t="n"/>
      <c r="AV1475" s="317" t="n"/>
      <c r="AW1475" s="257" t="n"/>
      <c r="AX1475" s="258" t="n"/>
      <c r="AY1475" s="318" t="n"/>
      <c r="AZ1475" s="317" t="n"/>
      <c r="BA1475" s="257" t="n"/>
      <c r="BB1475" s="258" t="n"/>
      <c r="BC1475" s="316" t="n"/>
      <c r="BD1475" s="317" t="n"/>
      <c r="BE1475" s="257" t="n"/>
      <c r="BF1475" s="258" t="n"/>
      <c r="BG1475" s="89" t="n"/>
      <c r="BH147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75">
        <f>_xlfn.LET(r,ROW(),oc,INDEX($A:$A,r),cv,TRIM(INDEX($Y:$Y,r)&amp;""),IF(oc&lt;&gt;"P1","",IF(cv="45","V45 - novo, nao alimentado pelo spool atual","V44 - alimentado pelo spool atual")))</f>
        <v/>
      </c>
    </row>
    <row r="1476" ht="54" customFormat="1" customHeight="1" s="55">
      <c r="A1476" s="325" t="inlineStr">
        <is>
          <t>P9</t>
        </is>
      </c>
      <c r="B1476" s="326" t="n">
        <v>23</v>
      </c>
      <c r="C1476" s="284" t="inlineStr">
        <is>
          <t>NA</t>
        </is>
      </c>
      <c r="D1476" s="244" t="inlineStr">
        <is>
          <t>NA</t>
        </is>
      </c>
      <c r="E1476" s="326" t="inlineStr">
        <is>
          <t>P9 2.2</t>
        </is>
      </c>
      <c r="F1476" s="329" t="inlineStr">
        <is>
          <t>Filler</t>
        </is>
      </c>
      <c r="G1476" s="329" t="inlineStr">
        <is>
          <t>Filler</t>
        </is>
      </c>
      <c r="H1476" s="329" t="n"/>
      <c r="I1476" s="247" t="inlineStr">
        <is>
          <t>Zone libre</t>
        </is>
      </c>
      <c r="J1476" s="327" t="inlineStr">
        <is>
          <t>Free zone</t>
        </is>
      </c>
      <c r="K1476" s="388" t="inlineStr">
        <is>
          <t>NA</t>
        </is>
      </c>
      <c r="L1476" s="388" t="inlineStr">
        <is>
          <t>NA</t>
        </is>
      </c>
      <c r="M1476" s="1421" t="inlineStr">
        <is>
          <t>ZoneResDRG</t>
        </is>
      </c>
      <c r="N1476" s="284" t="inlineStr">
        <is>
          <t>NA</t>
        </is>
      </c>
      <c r="O1476" s="388" t="inlineStr">
        <is>
          <t>NA</t>
        </is>
      </c>
      <c r="P1476" s="284" t="inlineStr">
        <is>
          <t>NA</t>
        </is>
      </c>
      <c r="Q1476" s="284" t="inlineStr">
        <is>
          <t>NA</t>
        </is>
      </c>
      <c r="R1476" s="247" t="inlineStr">
        <is>
          <t>Laisser à vide</t>
        </is>
      </c>
      <c r="S1476" s="247" t="inlineStr">
        <is>
          <t>Leave empty</t>
        </is>
      </c>
      <c r="T1476" s="326" t="inlineStr">
        <is>
          <t>ALPHA</t>
        </is>
      </c>
      <c r="U1476" s="248" t="inlineStr">
        <is>
          <t>NA</t>
        </is>
      </c>
      <c r="V1476" s="248" t="inlineStr">
        <is>
          <t>NA</t>
        </is>
      </c>
      <c r="W1476" s="284" t="n">
        <v>12</v>
      </c>
      <c r="X1476" s="244" t="inlineStr">
        <is>
          <t>NA</t>
        </is>
      </c>
      <c r="Y1476" s="248" t="inlineStr">
        <is>
          <t>NA</t>
        </is>
      </c>
      <c r="Z1476" s="248" t="inlineStr">
        <is>
          <t>NA</t>
        </is>
      </c>
      <c r="AA1476" s="248" t="inlineStr">
        <is>
          <t>NA</t>
        </is>
      </c>
      <c r="AB1476" s="284" t="inlineStr">
        <is>
          <t>NA</t>
        </is>
      </c>
      <c r="AC1476" s="244" t="inlineStr">
        <is>
          <t>NA</t>
        </is>
      </c>
      <c r="AD1476" s="284" t="inlineStr">
        <is>
          <t>N</t>
        </is>
      </c>
      <c r="AE1476" s="284" t="inlineStr">
        <is>
          <t>NA</t>
        </is>
      </c>
      <c r="AF1476" s="284" t="inlineStr">
        <is>
          <t>NA</t>
        </is>
      </c>
      <c r="AG1476" s="285" t="inlineStr">
        <is>
          <t>NA</t>
        </is>
      </c>
      <c r="AH1476" s="89" t="n"/>
      <c r="AI1476" s="330" t="n"/>
      <c r="AJ1476" s="331" t="n"/>
      <c r="AK1476" s="284" t="n"/>
      <c r="AL1476" s="285" t="n"/>
      <c r="AM1476" s="331" t="n"/>
      <c r="AN1476" s="331" t="n"/>
      <c r="AO1476" s="284" t="n"/>
      <c r="AP1476" s="285" t="n"/>
      <c r="AQ1476" s="331" t="n"/>
      <c r="AR1476" s="331" t="n"/>
      <c r="AS1476" s="284" t="n"/>
      <c r="AT1476" s="285" t="n"/>
      <c r="AU1476" s="331" t="n"/>
      <c r="AV1476" s="331" t="n"/>
      <c r="AW1476" s="284" t="n"/>
      <c r="AX1476" s="285" t="n"/>
      <c r="AY1476" s="331" t="n"/>
      <c r="AZ1476" s="331" t="n"/>
      <c r="BA1476" s="284" t="n"/>
      <c r="BB1476" s="285" t="n"/>
      <c r="BC1476" s="330" t="n"/>
      <c r="BD1476" s="331" t="n"/>
      <c r="BE1476" s="284" t="n"/>
      <c r="BF1476" s="285" t="n"/>
      <c r="BG1476" s="89" t="n"/>
      <c r="BH147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76">
        <f>_xlfn.LET(r,ROW(),oc,INDEX($A:$A,r),cv,TRIM(INDEX($Y:$Y,r)&amp;""),IF(oc&lt;&gt;"P1","",IF(cv="45","V45 - novo, nao alimentado pelo spool atual","V44 - alimentado pelo spool atual")))</f>
        <v/>
      </c>
    </row>
    <row r="1477" ht="54" customFormat="1" customHeight="1" s="90">
      <c r="A1477" s="306" t="inlineStr">
        <is>
          <t>P9</t>
        </is>
      </c>
      <c r="B1477" s="307" t="n">
        <v>24</v>
      </c>
      <c r="C1477" s="269" t="inlineStr">
        <is>
          <t>03 - Caractéristiques Générales</t>
        </is>
      </c>
      <c r="D1477" s="236" t="inlineStr">
        <is>
          <t>03 - General characteristics</t>
        </is>
      </c>
      <c r="E1477" s="372" t="inlineStr">
        <is>
          <t>P9 2.4</t>
        </is>
      </c>
      <c r="F1477" s="308" t="inlineStr">
        <is>
          <t>Origine du calcul de la provision</t>
        </is>
      </c>
      <c r="G1477" s="309" t="inlineStr">
        <is>
          <t>Source of the calculation of the provision</t>
        </is>
      </c>
      <c r="H1477" s="309" t="n"/>
      <c r="I1477" s="241" t="inlineStr">
        <is>
          <t>Permet d'indiquer si la provision sur encours sain déclarée est issue d'un calcul local ou de l'outil mutualisé de provisionnement (OMP)</t>
        </is>
      </c>
      <c r="J1477" s="309" t="inlineStr">
        <is>
          <t>Allows to indicate if the declared provision on healthy outstanding comes from a local calculation or from the mutualized provisioning tool (MPT)</t>
        </is>
      </c>
      <c r="K1477" s="370" t="inlineStr">
        <is>
          <t>ND</t>
        </is>
      </c>
      <c r="L1477" s="371" t="inlineStr">
        <is>
          <t>ND</t>
        </is>
      </c>
      <c r="M1477" s="1420" t="inlineStr">
        <is>
          <t>origCalcProv</t>
        </is>
      </c>
      <c r="N1477" s="231" t="inlineStr">
        <is>
          <t>Obligatoire</t>
        </is>
      </c>
      <c r="O1477" s="236" t="inlineStr">
        <is>
          <t>Mandatory</t>
        </is>
      </c>
      <c r="P1477" s="269" t="inlineStr">
        <is>
          <t>LC.0294</t>
        </is>
      </c>
      <c r="Q1477" s="269" t="inlineStr">
        <is>
          <t>TA KVORCAPR</t>
        </is>
      </c>
      <c r="R1477" s="241" t="inlineStr">
        <is>
          <t>NA</t>
        </is>
      </c>
      <c r="S1477" s="233" t="inlineStr">
        <is>
          <t>NA</t>
        </is>
      </c>
      <c r="T1477" s="313" t="inlineStr">
        <is>
          <t>ALPHA</t>
        </is>
      </c>
      <c r="U1477" s="237" t="inlineStr">
        <is>
          <t>NA</t>
        </is>
      </c>
      <c r="V1477" s="238" t="inlineStr">
        <is>
          <t>NA</t>
        </is>
      </c>
      <c r="W1477" s="257" t="n">
        <v>1</v>
      </c>
      <c r="X1477" s="945" t="inlineStr">
        <is>
          <t>NA</t>
        </is>
      </c>
      <c r="Y1477" s="237" t="n">
        <v>42</v>
      </c>
      <c r="Z1477" s="237" t="inlineStr">
        <is>
          <t>NA</t>
        </is>
      </c>
      <c r="AA1477" s="237" t="inlineStr">
        <is>
          <t>NA</t>
        </is>
      </c>
      <c r="AB1477" s="269" t="inlineStr">
        <is>
          <t>ANACREDIT, OMP</t>
        </is>
      </c>
      <c r="AC1477" s="231" t="inlineStr">
        <is>
          <t>ND</t>
        </is>
      </c>
      <c r="AD1477" s="257" t="inlineStr">
        <is>
          <t>N</t>
        </is>
      </c>
      <c r="AE1477" s="257" t="inlineStr">
        <is>
          <t>NA</t>
        </is>
      </c>
      <c r="AF1477" s="257" t="inlineStr">
        <is>
          <t>NA</t>
        </is>
      </c>
      <c r="AG1477" s="258" t="inlineStr">
        <is>
          <t>NA</t>
        </is>
      </c>
      <c r="AH1477" s="89" t="n"/>
      <c r="AI1477" s="316" t="inlineStr">
        <is>
          <t>La donnée est obligatoire</t>
        </is>
      </c>
      <c r="AJ1477" s="317" t="inlineStr">
        <is>
          <t>The data is mandatory</t>
        </is>
      </c>
      <c r="AK1477" s="257" t="n">
        <v>6</v>
      </c>
      <c r="AL1477" s="335" t="inlineStr">
        <is>
          <t>TPG0001</t>
        </is>
      </c>
      <c r="AM1477" s="210" t="inlineStr">
        <is>
          <t>Si elle est renseignée, la valeur doit être connue du Langage Commun associé</t>
        </is>
      </c>
      <c r="AN1477" s="211" t="inlineStr">
        <is>
          <t>If specified, the value must be known to the associated Common Language</t>
        </is>
      </c>
      <c r="AO1477" s="257" t="n">
        <v>7</v>
      </c>
      <c r="AP1477" s="212" t="inlineStr">
        <is>
          <t>TIG0001</t>
        </is>
      </c>
      <c r="AQ1477" s="318" t="n"/>
      <c r="AR1477" s="317" t="n"/>
      <c r="AS1477" s="257" t="n"/>
      <c r="AT1477" s="258" t="n"/>
      <c r="AU1477" s="318" t="n"/>
      <c r="AV1477" s="317" t="n"/>
      <c r="AW1477" s="257" t="n"/>
      <c r="AX1477" s="258" t="n"/>
      <c r="AY1477" s="318" t="n"/>
      <c r="AZ1477" s="317" t="n"/>
      <c r="BA1477" s="257" t="n"/>
      <c r="BB1477" s="258" t="n"/>
      <c r="BC1477" s="316" t="n"/>
      <c r="BD1477" s="317" t="n"/>
      <c r="BE1477" s="257" t="n"/>
      <c r="BF1477" s="258" t="n"/>
      <c r="BG1477" s="89" t="n"/>
      <c r="BH147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77">
        <f>_xlfn.LET(r,ROW(),oc,INDEX($A:$A,r),cv,TRIM(INDEX($Y:$Y,r)&amp;""),IF(oc&lt;&gt;"P1","",IF(cv="45","V45 - novo, nao alimentado pelo spool atual","V44 - alimentado pelo spool atual")))</f>
        <v/>
      </c>
    </row>
    <row r="1478" ht="54" customFormat="1" customHeight="1" s="90">
      <c r="A1478" s="306" t="inlineStr">
        <is>
          <t>P9</t>
        </is>
      </c>
      <c r="B1478" s="307" t="n">
        <v>25</v>
      </c>
      <c r="C1478" s="269" t="inlineStr">
        <is>
          <t>03 - Caractéristiques Générales</t>
        </is>
      </c>
      <c r="D1478" s="236" t="inlineStr">
        <is>
          <t>03 - General characteristics</t>
        </is>
      </c>
      <c r="E1478" s="307" t="inlineStr">
        <is>
          <t>P9 2.5</t>
        </is>
      </c>
      <c r="F1478" s="314" t="inlineStr">
        <is>
          <t>Type de produit bancaire</t>
        </is>
      </c>
      <c r="G1478" s="309" t="inlineStr">
        <is>
          <t>Banking Product type</t>
        </is>
      </c>
      <c r="H1478" s="309" t="n"/>
      <c r="I1478" s="314" t="inlineStr">
        <is>
          <t>Classification des produits bancaires et financiers</t>
        </is>
      </c>
      <c r="J1478" s="233" t="inlineStr">
        <is>
          <t>Banking and financial products classification</t>
        </is>
      </c>
      <c r="K1478" s="269" t="inlineStr">
        <is>
          <t>ND</t>
        </is>
      </c>
      <c r="L1478" s="310" t="inlineStr">
        <is>
          <t>ND</t>
        </is>
      </c>
      <c r="M1478" s="1420" t="inlineStr">
        <is>
          <t>TypProdCd</t>
        </is>
      </c>
      <c r="N1478" s="231" t="inlineStr">
        <is>
          <t>Obligatoire</t>
        </is>
      </c>
      <c r="O1478" s="236" t="inlineStr">
        <is>
          <t>Mandatory</t>
        </is>
      </c>
      <c r="P1478" s="269" t="inlineStr">
        <is>
          <t>LC.0303</t>
        </is>
      </c>
      <c r="Q1478" s="269" t="inlineStr">
        <is>
          <t xml:space="preserve">TA Z8PRODUI </t>
        </is>
      </c>
      <c r="R1478" s="241" t="inlineStr">
        <is>
          <t>NA</t>
        </is>
      </c>
      <c r="S1478" s="312" t="inlineStr">
        <is>
          <t>NA</t>
        </is>
      </c>
      <c r="T1478" s="313" t="inlineStr">
        <is>
          <t>ALPHA</t>
        </is>
      </c>
      <c r="U1478" s="237" t="inlineStr">
        <is>
          <t>NA</t>
        </is>
      </c>
      <c r="V1478" s="238" t="inlineStr">
        <is>
          <t>NA</t>
        </is>
      </c>
      <c r="W1478" s="257" t="n">
        <v>6</v>
      </c>
      <c r="X1478" s="945" t="inlineStr">
        <is>
          <t>NA</t>
        </is>
      </c>
      <c r="Y1478" s="237" t="n">
        <v>43</v>
      </c>
      <c r="Z1478" s="237" t="inlineStr">
        <is>
          <t>NA</t>
        </is>
      </c>
      <c r="AA1478" s="239" t="inlineStr">
        <is>
          <t>NA</t>
        </is>
      </c>
      <c r="AB1478" s="269" t="inlineStr">
        <is>
          <t>USAGE ZP</t>
        </is>
      </c>
      <c r="AC1478" s="231" t="inlineStr">
        <is>
          <t>ND</t>
        </is>
      </c>
      <c r="AD1478" s="257" t="inlineStr">
        <is>
          <t>N</t>
        </is>
      </c>
      <c r="AE1478" s="257" t="inlineStr">
        <is>
          <t>NA</t>
        </is>
      </c>
      <c r="AF1478" s="257" t="inlineStr">
        <is>
          <t>NA</t>
        </is>
      </c>
      <c r="AG1478" s="258" t="inlineStr">
        <is>
          <t>NA</t>
        </is>
      </c>
      <c r="AH1478" s="89" t="n"/>
      <c r="AI1478" s="353" t="inlineStr">
        <is>
          <t>La donnée est obligatoire</t>
        </is>
      </c>
      <c r="AJ1478" s="317" t="inlineStr">
        <is>
          <t>The data is mandatory</t>
        </is>
      </c>
      <c r="AK1478" s="269" t="n">
        <v>7</v>
      </c>
      <c r="AL1478" s="335" t="inlineStr">
        <is>
          <t>TPG0001</t>
        </is>
      </c>
      <c r="AM1478" s="210" t="inlineStr">
        <is>
          <t>Si elle est renseignée, la valeur doit être connue du Langage Commun associé</t>
        </is>
      </c>
      <c r="AN1478" s="211" t="inlineStr">
        <is>
          <t>If specified, the value must be known to the associated Common Language</t>
        </is>
      </c>
      <c r="AO1478" s="269" t="n">
        <v>7</v>
      </c>
      <c r="AP1478" s="212" t="inlineStr">
        <is>
          <t>TIG0001</t>
        </is>
      </c>
      <c r="AQ1478" s="318" t="n"/>
      <c r="AR1478" s="317" t="n"/>
      <c r="AS1478" s="257" t="n"/>
      <c r="AT1478" s="258" t="n"/>
      <c r="AU1478" s="354" t="inlineStr">
        <is>
          <t>Le type de produit bancaire doit être cohérent avec le type d'enregistrement (la colonne Z8OMZPFR lié au type de produit de la table Z8COPROM doit correspondre à l'objet métier concerné)</t>
        </is>
      </c>
      <c r="AV1478" s="317" t="inlineStr">
        <is>
          <t>The type of banking product must be consistent with the type of record (the Z8OMZPFR column linked to the product type of the Z8COPROM table must correspond to the business object concerned)</t>
        </is>
      </c>
      <c r="AW1478" s="269" t="n">
        <v>7</v>
      </c>
      <c r="AX1478" s="355" t="inlineStr">
        <is>
          <t>TCG0001</t>
        </is>
      </c>
      <c r="AY1478" s="318" t="n"/>
      <c r="AZ1478" s="317" t="n"/>
      <c r="BA1478" s="257" t="n"/>
      <c r="BB1478" s="258" t="n"/>
      <c r="BC1478" s="316" t="n"/>
      <c r="BD1478" s="317" t="n"/>
      <c r="BE1478" s="257" t="n"/>
      <c r="BF1478" s="258" t="n"/>
      <c r="BG1478" s="89" t="n"/>
      <c r="BH147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78">
        <f>_xlfn.LET(r,ROW(),oc,INDEX($A:$A,r),cv,TRIM(INDEX($Y:$Y,r)&amp;""),IF(oc&lt;&gt;"P1","",IF(cv="45","V45 - novo, nao alimentado pelo spool atual","V44 - alimentado pelo spool atual")))</f>
        <v/>
      </c>
    </row>
    <row r="1479" ht="54" customFormat="1" customHeight="1" s="55">
      <c r="A1479" s="325" t="inlineStr">
        <is>
          <t>P9</t>
        </is>
      </c>
      <c r="B1479" s="326" t="n">
        <v>26</v>
      </c>
      <c r="C1479" s="284" t="inlineStr">
        <is>
          <t>NA</t>
        </is>
      </c>
      <c r="D1479" s="244" t="inlineStr">
        <is>
          <t>NA</t>
        </is>
      </c>
      <c r="E1479" s="326" t="inlineStr">
        <is>
          <t>P9 2.99</t>
        </is>
      </c>
      <c r="F1479" s="327" t="inlineStr">
        <is>
          <t>Filler</t>
        </is>
      </c>
      <c r="G1479" s="327" t="inlineStr">
        <is>
          <t>Filler</t>
        </is>
      </c>
      <c r="H1479" s="327" t="n"/>
      <c r="I1479" s="247" t="inlineStr">
        <is>
          <t>Zone libre</t>
        </is>
      </c>
      <c r="J1479" s="327" t="inlineStr">
        <is>
          <t>Free zone</t>
        </is>
      </c>
      <c r="K1479" s="388" t="inlineStr">
        <is>
          <t>NA</t>
        </is>
      </c>
      <c r="L1479" s="388" t="inlineStr">
        <is>
          <t>NA</t>
        </is>
      </c>
      <c r="M1479" s="1421" t="inlineStr">
        <is>
          <t>ZoneLibre2</t>
        </is>
      </c>
      <c r="N1479" s="284" t="inlineStr">
        <is>
          <t>NA</t>
        </is>
      </c>
      <c r="O1479" s="388" t="inlineStr">
        <is>
          <t>NA</t>
        </is>
      </c>
      <c r="P1479" s="284" t="inlineStr">
        <is>
          <t>NA</t>
        </is>
      </c>
      <c r="Q1479" s="284" t="inlineStr">
        <is>
          <t>NA</t>
        </is>
      </c>
      <c r="R1479" s="247" t="inlineStr">
        <is>
          <t>Laisser à vide</t>
        </is>
      </c>
      <c r="S1479" s="247" t="inlineStr">
        <is>
          <t>Leave empty</t>
        </is>
      </c>
      <c r="T1479" s="326" t="inlineStr">
        <is>
          <t>ALPHA</t>
        </is>
      </c>
      <c r="U1479" s="248" t="inlineStr">
        <is>
          <t>NA</t>
        </is>
      </c>
      <c r="V1479" s="248" t="inlineStr">
        <is>
          <t>NA</t>
        </is>
      </c>
      <c r="W1479" s="284" t="n">
        <v>13</v>
      </c>
      <c r="X1479" s="244" t="inlineStr">
        <is>
          <t>NA</t>
        </is>
      </c>
      <c r="Y1479" s="248" t="inlineStr">
        <is>
          <t>NA</t>
        </is>
      </c>
      <c r="Z1479" s="248" t="inlineStr">
        <is>
          <t>NA</t>
        </is>
      </c>
      <c r="AA1479" s="249" t="inlineStr">
        <is>
          <t>NA</t>
        </is>
      </c>
      <c r="AB1479" s="284" t="inlineStr">
        <is>
          <t>NA</t>
        </is>
      </c>
      <c r="AC1479" s="244" t="inlineStr">
        <is>
          <t>NA</t>
        </is>
      </c>
      <c r="AD1479" s="284" t="inlineStr">
        <is>
          <t>N</t>
        </is>
      </c>
      <c r="AE1479" s="284" t="inlineStr">
        <is>
          <t>NA</t>
        </is>
      </c>
      <c r="AF1479" s="284" t="inlineStr">
        <is>
          <t>NA</t>
        </is>
      </c>
      <c r="AG1479" s="285" t="inlineStr">
        <is>
          <t>NA</t>
        </is>
      </c>
      <c r="AH1479" s="89" t="n"/>
      <c r="AI1479" s="330" t="n"/>
      <c r="AJ1479" s="331" t="n"/>
      <c r="AK1479" s="284" t="n"/>
      <c r="AL1479" s="285" t="n"/>
      <c r="AM1479" s="331" t="n"/>
      <c r="AN1479" s="331" t="n"/>
      <c r="AO1479" s="284" t="n"/>
      <c r="AP1479" s="285" t="n"/>
      <c r="AQ1479" s="331" t="n"/>
      <c r="AR1479" s="331" t="n"/>
      <c r="AS1479" s="284" t="n"/>
      <c r="AT1479" s="285" t="n"/>
      <c r="AU1479" s="331" t="n"/>
      <c r="AV1479" s="331" t="n"/>
      <c r="AW1479" s="284" t="n"/>
      <c r="AX1479" s="285" t="n"/>
      <c r="AY1479" s="331" t="n"/>
      <c r="AZ1479" s="331" t="n"/>
      <c r="BA1479" s="284" t="n"/>
      <c r="BB1479" s="285" t="n"/>
      <c r="BC1479" s="330" t="n"/>
      <c r="BD1479" s="331" t="n"/>
      <c r="BE1479" s="284" t="n"/>
      <c r="BF1479" s="285" t="n"/>
      <c r="BG1479" s="89" t="n"/>
      <c r="BH147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79">
        <f>_xlfn.LET(r,ROW(),oc,INDEX($A:$A,r),cv,TRIM(INDEX($Y:$Y,r)&amp;""),IF(oc&lt;&gt;"P1","",IF(cv="45","V45 - novo, nao alimentado pelo spool atual","V44 - alimentado pelo spool atual")))</f>
        <v/>
      </c>
    </row>
    <row r="1480" ht="54" customFormat="1" customHeight="1" s="90">
      <c r="A1480" s="306" t="inlineStr">
        <is>
          <t>P9</t>
        </is>
      </c>
      <c r="B1480" s="307" t="n">
        <v>27</v>
      </c>
      <c r="C1480" s="269" t="inlineStr">
        <is>
          <t>13 - Caractéristiques Provision</t>
        </is>
      </c>
      <c r="D1480" s="236" t="inlineStr">
        <is>
          <t>13 - Provision characteristics</t>
        </is>
      </c>
      <c r="E1480" s="307" t="inlineStr">
        <is>
          <t>P9 3.2</t>
        </is>
      </c>
      <c r="F1480" s="660" t="inlineStr">
        <is>
          <t>Montant de la dépréciation</t>
        </is>
      </c>
      <c r="G1480" s="309" t="inlineStr">
        <is>
          <t>Amount of depreciation</t>
        </is>
      </c>
      <c r="H1480" s="309" t="n"/>
      <c r="I1480" s="896" t="inlineStr">
        <is>
          <t>Montant de la dépréciation</t>
        </is>
      </c>
      <c r="J1480" s="309" t="inlineStr">
        <is>
          <t>Amount of depreciation</t>
        </is>
      </c>
      <c r="K1480" s="370" t="inlineStr">
        <is>
          <t>ND</t>
        </is>
      </c>
      <c r="L1480" s="371" t="inlineStr">
        <is>
          <t>ND</t>
        </is>
      </c>
      <c r="M1480" s="1420" t="inlineStr">
        <is>
          <t>mtProv</t>
        </is>
      </c>
      <c r="N1480" s="231" t="inlineStr">
        <is>
          <t>Obligatoire</t>
        </is>
      </c>
      <c r="O1480" s="236" t="inlineStr">
        <is>
          <t>Mandatory</t>
        </is>
      </c>
      <c r="P1480" s="269" t="inlineStr">
        <is>
          <t>NA</t>
        </is>
      </c>
      <c r="Q1480" s="269" t="inlineStr">
        <is>
          <t>NA</t>
        </is>
      </c>
      <c r="R1480" s="242" t="inlineStr">
        <is>
          <t>- Si la dépréciation est une décote (cas de restructuration de créance), le montant de cette décote doit être renseignée.
- Pour une provision, il s'agit du stock de provision de l'arrêté comptable en cours</t>
        </is>
      </c>
      <c r="S1480" s="633" t="inlineStr">
        <is>
          <t>- If the impairment represents a haircut (case of debt restructuring), the amount of this haircut must be input
- For a provision, this is the cumulative provision for the current accounting reporting period, namely the best estimate of the amount for the current reporting period</t>
        </is>
      </c>
      <c r="T1480" s="313" t="inlineStr">
        <is>
          <t>NUM</t>
        </is>
      </c>
      <c r="U1480" s="237" t="inlineStr">
        <is>
          <t>19 dont signe et 2 décimales</t>
        </is>
      </c>
      <c r="V1480" s="238" t="inlineStr">
        <is>
          <t>19 including sign and 2 decimals</t>
        </is>
      </c>
      <c r="W1480" s="257" t="n">
        <v>19</v>
      </c>
      <c r="X1480" s="945" t="inlineStr">
        <is>
          <t>NA</t>
        </is>
      </c>
      <c r="Y1480" s="237" t="n">
        <v>40</v>
      </c>
      <c r="Z1480" s="237" t="inlineStr">
        <is>
          <t>NA</t>
        </is>
      </c>
      <c r="AA1480" s="270" t="inlineStr">
        <is>
          <t>NA</t>
        </is>
      </c>
      <c r="AB1480" s="994" t="inlineStr">
        <is>
          <t>AER, CALCULS PRUDENTIELS, DEI, ESG PILIER 3, GRR, LOAN TAPE</t>
        </is>
      </c>
      <c r="AC1480" s="231" t="inlineStr">
        <is>
          <t>ND</t>
        </is>
      </c>
      <c r="AD1480" s="257" t="inlineStr">
        <is>
          <t>N</t>
        </is>
      </c>
      <c r="AE1480" s="257" t="inlineStr">
        <is>
          <t>NA</t>
        </is>
      </c>
      <c r="AF1480" s="257" t="inlineStr">
        <is>
          <t>NA</t>
        </is>
      </c>
      <c r="AG1480" s="258" t="inlineStr">
        <is>
          <t>NA</t>
        </is>
      </c>
      <c r="AH1480" s="89" t="n"/>
      <c r="AI1480" s="897" t="inlineStr">
        <is>
          <t>La donnée est obligatoire</t>
        </is>
      </c>
      <c r="AJ1480" s="317" t="inlineStr">
        <is>
          <t>The data is mandatory</t>
        </is>
      </c>
      <c r="AK1480" s="257" t="n">
        <v>7</v>
      </c>
      <c r="AL1480" s="258" t="inlineStr">
        <is>
          <t>TPG0001</t>
        </is>
      </c>
      <c r="AM1480" s="318" t="n"/>
      <c r="AN1480" s="317" t="n"/>
      <c r="AO1480" s="257" t="n"/>
      <c r="AP1480" s="258" t="n"/>
      <c r="AQ1480" s="343" t="inlineStr">
        <is>
          <t>Si renseignée, la donnée doit être positive (supérieure ou égale à 0)</t>
        </is>
      </c>
      <c r="AR1480" s="317" t="inlineStr">
        <is>
          <t xml:space="preserve">If filled, data must be positive (greater or equal to 0) </t>
        </is>
      </c>
      <c r="AS1480" s="344" t="n">
        <v>7</v>
      </c>
      <c r="AT1480" s="345" t="inlineStr">
        <is>
          <t>TVG0001</t>
        </is>
      </c>
      <c r="AU1480" s="318" t="n"/>
      <c r="AV1480" s="317" t="n"/>
      <c r="AW1480" s="257" t="n"/>
      <c r="AX1480" s="258" t="n"/>
      <c r="AY1480" s="318" t="n"/>
      <c r="AZ1480" s="317" t="n"/>
      <c r="BA1480" s="257" t="n"/>
      <c r="BB1480" s="258" t="n"/>
      <c r="BC1480" s="316" t="n"/>
      <c r="BD1480" s="317" t="n"/>
      <c r="BE1480" s="257" t="n"/>
      <c r="BF1480" s="258" t="n"/>
      <c r="BG1480" s="89" t="n"/>
      <c r="BH148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80">
        <f>_xlfn.LET(r,ROW(),oc,INDEX($A:$A,r),cv,TRIM(INDEX($Y:$Y,r)&amp;""),IF(oc&lt;&gt;"P1","",IF(cv="45","V45 - novo, nao alimentado pelo spool atual","V44 - alimentado pelo spool atual")))</f>
        <v/>
      </c>
    </row>
    <row r="1481" ht="54" customFormat="1" customHeight="1" s="55">
      <c r="A1481" s="325" t="inlineStr">
        <is>
          <t>P9</t>
        </is>
      </c>
      <c r="B1481" s="326" t="n">
        <v>28</v>
      </c>
      <c r="C1481" s="284" t="inlineStr">
        <is>
          <t>13 - Caractéristiques Provision</t>
        </is>
      </c>
      <c r="D1481" s="244" t="inlineStr">
        <is>
          <t>13 - Provision characteristics</t>
        </is>
      </c>
      <c r="E1481" s="326" t="inlineStr">
        <is>
          <t>P9 3.3</t>
        </is>
      </c>
      <c r="F1481" s="327" t="inlineStr">
        <is>
          <t>Montant de la provision - arrêté comptable trimestriel précédent</t>
        </is>
      </c>
      <c r="G1481" s="327" t="inlineStr">
        <is>
          <t>Amount of the provision – previous accounting quarter</t>
        </is>
      </c>
      <c r="H1481" s="327" t="n"/>
      <c r="I1481" s="327" t="inlineStr">
        <is>
          <t>Montant de la provision - arrêté comptable trimestriel précédent</t>
        </is>
      </c>
      <c r="J1481" s="327" t="inlineStr">
        <is>
          <t>Amount of the provision – previous accounting quarter</t>
        </is>
      </c>
      <c r="K1481" s="388" t="inlineStr">
        <is>
          <t>NA</t>
        </is>
      </c>
      <c r="L1481" s="388" t="inlineStr">
        <is>
          <t>NA</t>
        </is>
      </c>
      <c r="M1481" s="1421" t="inlineStr">
        <is>
          <t>mtProvArrTrimPrec</t>
        </is>
      </c>
      <c r="N1481" s="244" t="inlineStr">
        <is>
          <t>NA</t>
        </is>
      </c>
      <c r="O1481" s="244" t="inlineStr">
        <is>
          <t>NA</t>
        </is>
      </c>
      <c r="P1481" s="284" t="inlineStr">
        <is>
          <t>NA</t>
        </is>
      </c>
      <c r="Q1481" s="284" t="inlineStr">
        <is>
          <t>NA</t>
        </is>
      </c>
      <c r="R1481" s="245" t="inlineStr">
        <is>
          <t>Obligatoire si [P9 3.2] Montant de la provision décote n'est pas renseigné
Il s'agit du stock de provision du trimestre précédent conforme au COREP produit</t>
        </is>
      </c>
      <c r="S1481" s="245" t="inlineStr">
        <is>
          <t>Mandatory where [P9 3.2} Amount of provision haircut is not filled in
This is the cumulative provision (principal + accrued outstanding interest) in the prior quarter as per the COREP output</t>
        </is>
      </c>
      <c r="T1481" s="326" t="inlineStr">
        <is>
          <t>NUM</t>
        </is>
      </c>
      <c r="U1481" s="248" t="inlineStr">
        <is>
          <t>19 dont signe et 2 décimales</t>
        </is>
      </c>
      <c r="V1481" s="248" t="inlineStr">
        <is>
          <t>19 including sign and 2 decimals</t>
        </is>
      </c>
      <c r="W1481" s="284" t="n">
        <v>19</v>
      </c>
      <c r="X1481" s="244" t="inlineStr">
        <is>
          <t>NA</t>
        </is>
      </c>
      <c r="Y1481" s="248" t="n">
        <v>40</v>
      </c>
      <c r="Z1481" s="248" t="inlineStr">
        <is>
          <t>45</t>
        </is>
      </c>
      <c r="AA1481" s="279" t="inlineStr">
        <is>
          <t>45.00</t>
        </is>
      </c>
      <c r="AB1481" s="975" t="inlineStr">
        <is>
          <t>USAGE ZP</t>
        </is>
      </c>
      <c r="AC1481" s="244" t="inlineStr">
        <is>
          <t>NA</t>
        </is>
      </c>
      <c r="AD1481" s="284" t="inlineStr">
        <is>
          <t>N</t>
        </is>
      </c>
      <c r="AE1481" s="284" t="inlineStr">
        <is>
          <t>NA</t>
        </is>
      </c>
      <c r="AF1481" s="284" t="inlineStr">
        <is>
          <t>NA</t>
        </is>
      </c>
      <c r="AG1481" s="285" t="inlineStr">
        <is>
          <t>NA</t>
        </is>
      </c>
      <c r="AH1481" s="1362" t="n"/>
      <c r="AI1481" s="330" t="n"/>
      <c r="AJ1481" s="331" t="n"/>
      <c r="AK1481" s="284" t="n"/>
      <c r="AL1481" s="285" t="n"/>
      <c r="AM1481" s="331" t="n"/>
      <c r="AN1481" s="331" t="n"/>
      <c r="AO1481" s="284" t="n"/>
      <c r="AP1481" s="285" t="n"/>
      <c r="AQ1481" s="952" t="n"/>
      <c r="AR1481" s="952" t="n"/>
      <c r="AS1481" s="953" t="n"/>
      <c r="AT1481" s="954" t="n"/>
      <c r="AU1481" s="331" t="n"/>
      <c r="AV1481" s="331" t="n"/>
      <c r="AW1481" s="284" t="n"/>
      <c r="AX1481" s="285" t="n"/>
      <c r="AY1481" s="331" t="n"/>
      <c r="AZ1481" s="331" t="n"/>
      <c r="BA1481" s="284" t="n"/>
      <c r="BB1481" s="285" t="n"/>
      <c r="BC1481" s="330" t="n"/>
      <c r="BD1481" s="331" t="n"/>
      <c r="BE1481" s="284" t="n"/>
      <c r="BF1481" s="285" t="n"/>
      <c r="BG1481" s="89" t="n"/>
      <c r="BH148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81">
        <f>_xlfn.LET(r,ROW(),oc,INDEX($A:$A,r),cv,TRIM(INDEX($Y:$Y,r)&amp;""),IF(oc&lt;&gt;"P1","",IF(cv="45","V45 - novo, nao alimentado pelo spool atual","V44 - alimentado pelo spool atual")))</f>
        <v/>
      </c>
    </row>
    <row r="1482" ht="54" customFormat="1" customHeight="1" s="90">
      <c r="A1482" s="306" t="inlineStr">
        <is>
          <t>P9</t>
        </is>
      </c>
      <c r="B1482" s="307" t="n">
        <v>29</v>
      </c>
      <c r="C1482" s="269" t="inlineStr">
        <is>
          <t>13 - Caractéristiques Provision</t>
        </is>
      </c>
      <c r="D1482" s="236" t="inlineStr">
        <is>
          <t>13 - Provision characteristics</t>
        </is>
      </c>
      <c r="E1482" s="307" t="inlineStr">
        <is>
          <t>P9 3.1</t>
        </is>
      </c>
      <c r="F1482" s="524" t="inlineStr">
        <is>
          <t>Devise du montant de la dépréciation</t>
        </is>
      </c>
      <c r="G1482" s="309" t="inlineStr">
        <is>
          <t>Currency of amount of depreciation</t>
        </is>
      </c>
      <c r="H1482" s="309" t="n"/>
      <c r="I1482" s="524" t="inlineStr">
        <is>
          <t>Devise du montant de la dépréciation</t>
        </is>
      </c>
      <c r="J1482" s="309" t="inlineStr">
        <is>
          <t>Currency of amount of depreciation</t>
        </is>
      </c>
      <c r="K1482" s="370" t="inlineStr">
        <is>
          <t>ND</t>
        </is>
      </c>
      <c r="L1482" s="371" t="inlineStr">
        <is>
          <t>ND</t>
        </is>
      </c>
      <c r="M1482" s="1420" t="inlineStr">
        <is>
          <t>cdDevProv</t>
        </is>
      </c>
      <c r="N1482" s="231" t="inlineStr">
        <is>
          <t>Obligatoire</t>
        </is>
      </c>
      <c r="O1482" s="236" t="inlineStr">
        <is>
          <t>Mandatory</t>
        </is>
      </c>
      <c r="P1482" s="269" t="inlineStr">
        <is>
          <t>LC.0005</t>
        </is>
      </c>
      <c r="Q1482" s="269" t="inlineStr">
        <is>
          <t>TA NM253</t>
        </is>
      </c>
      <c r="R1482" s="241" t="inlineStr">
        <is>
          <t>Ce champ correspond à la devise d'expression de tous les montants définis au sein de l'enregistrement</t>
        </is>
      </c>
      <c r="S1482" s="233" t="inlineStr">
        <is>
          <t>This field represents the currency in which all the amounts defined within the record are denominated</t>
        </is>
      </c>
      <c r="T1482" s="313" t="inlineStr">
        <is>
          <t>ALPHA</t>
        </is>
      </c>
      <c r="U1482" s="237" t="inlineStr">
        <is>
          <t>NA</t>
        </is>
      </c>
      <c r="V1482" s="238" t="inlineStr">
        <is>
          <t>NA</t>
        </is>
      </c>
      <c r="W1482" s="257" t="n">
        <v>3</v>
      </c>
      <c r="X1482" s="945" t="inlineStr">
        <is>
          <t>NA</t>
        </is>
      </c>
      <c r="Y1482" s="237" t="n">
        <v>40</v>
      </c>
      <c r="Z1482" s="237" t="inlineStr">
        <is>
          <t>NA</t>
        </is>
      </c>
      <c r="AA1482" s="270" t="inlineStr">
        <is>
          <t>NA</t>
        </is>
      </c>
      <c r="AB1482" s="994" t="inlineStr">
        <is>
          <t>AER, DEI, ESG PILIER 3, GRR, LOAN TAPE</t>
        </is>
      </c>
      <c r="AC1482" s="231" t="inlineStr">
        <is>
          <t>ND</t>
        </is>
      </c>
      <c r="AD1482" s="257" t="inlineStr">
        <is>
          <t>N</t>
        </is>
      </c>
      <c r="AE1482" s="257" t="inlineStr">
        <is>
          <t>NA</t>
        </is>
      </c>
      <c r="AF1482" s="257" t="inlineStr">
        <is>
          <t>NA</t>
        </is>
      </c>
      <c r="AG1482" s="258" t="inlineStr">
        <is>
          <t>NA</t>
        </is>
      </c>
      <c r="AH1482" s="89" t="n"/>
      <c r="AI1482" s="316" t="inlineStr">
        <is>
          <t>La donnée est obligatoire</t>
        </is>
      </c>
      <c r="AJ1482" s="317" t="inlineStr">
        <is>
          <t>The data is mandatory</t>
        </is>
      </c>
      <c r="AK1482" s="257" t="n">
        <v>7</v>
      </c>
      <c r="AL1482" s="335" t="inlineStr">
        <is>
          <t>TPG0001</t>
        </is>
      </c>
      <c r="AM1482" s="210" t="inlineStr">
        <is>
          <t>Si elle est renseignée, la valeur doit être connue du Langage Commun associé</t>
        </is>
      </c>
      <c r="AN1482" s="211" t="inlineStr">
        <is>
          <t>If specified, the value must be known to the associated Common Language</t>
        </is>
      </c>
      <c r="AO1482" s="257" t="n">
        <v>7</v>
      </c>
      <c r="AP1482" s="212" t="inlineStr">
        <is>
          <t>TIG0001</t>
        </is>
      </c>
      <c r="AQ1482" s="318" t="n"/>
      <c r="AR1482" s="317" t="n"/>
      <c r="AS1482" s="257" t="n"/>
      <c r="AT1482" s="258" t="n"/>
      <c r="AU1482" s="318" t="n"/>
      <c r="AV1482" s="317" t="n"/>
      <c r="AW1482" s="257" t="n"/>
      <c r="AX1482" s="258" t="n"/>
      <c r="AY1482" s="318" t="n"/>
      <c r="AZ1482" s="317" t="n"/>
      <c r="BA1482" s="257" t="n"/>
      <c r="BB1482" s="258" t="n"/>
      <c r="BC1482" s="316" t="n"/>
      <c r="BD1482" s="317" t="n"/>
      <c r="BE1482" s="257" t="n"/>
      <c r="BF1482" s="258" t="n"/>
      <c r="BG1482" s="89" t="n"/>
      <c r="BH148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82">
        <f>_xlfn.LET(r,ROW(),oc,INDEX($A:$A,r),cv,TRIM(INDEX($Y:$Y,r)&amp;""),IF(oc&lt;&gt;"P1","",IF(cv="45","V45 - novo, nao alimentado pelo spool atual","V44 - alimentado pelo spool atual")))</f>
        <v/>
      </c>
    </row>
    <row r="1483" ht="54" customFormat="1" customHeight="1" s="55">
      <c r="A1483" s="325" t="inlineStr">
        <is>
          <t>P9</t>
        </is>
      </c>
      <c r="B1483" s="326" t="n">
        <v>30</v>
      </c>
      <c r="C1483" s="284" t="inlineStr">
        <is>
          <t xml:space="preserve">19 - Données comptables </t>
        </is>
      </c>
      <c r="D1483" s="244" t="inlineStr">
        <is>
          <t>19 - Accounting data</t>
        </is>
      </c>
      <c r="E1483" s="326" t="inlineStr">
        <is>
          <t>P9 3.15</t>
        </is>
      </c>
      <c r="F1483" s="327" t="inlineStr">
        <is>
          <t>Zone libre (Ex PCCO - Provision Décote)</t>
        </is>
      </c>
      <c r="G1483" s="327" t="inlineStr">
        <is>
          <t>Free zone (PCCO - Provision Haircut)</t>
        </is>
      </c>
      <c r="H1483" s="327" t="n"/>
      <c r="I1483" s="327" t="inlineStr">
        <is>
          <t>Zone Libre</t>
        </is>
      </c>
      <c r="J1483" s="327" t="inlineStr">
        <is>
          <t>Free zone</t>
        </is>
      </c>
      <c r="K1483" s="328" t="inlineStr">
        <is>
          <t>NA</t>
        </is>
      </c>
      <c r="L1483" s="328" t="inlineStr">
        <is>
          <t>NA</t>
        </is>
      </c>
      <c r="M1483" s="1421" t="inlineStr">
        <is>
          <t>ZoneLibre3</t>
        </is>
      </c>
      <c r="N1483" s="284" t="inlineStr">
        <is>
          <t>NA</t>
        </is>
      </c>
      <c r="O1483" s="244" t="inlineStr">
        <is>
          <t>NA</t>
        </is>
      </c>
      <c r="P1483" s="284" t="inlineStr">
        <is>
          <t>LC.0111</t>
        </is>
      </c>
      <c r="Q1483" s="284" t="inlineStr">
        <is>
          <t>TA H8PCCO</t>
        </is>
      </c>
      <c r="R1483" s="412" t="inlineStr">
        <is>
          <t>Laisser à vide</t>
        </is>
      </c>
      <c r="S1483" s="245" t="inlineStr">
        <is>
          <t>Leave empty</t>
        </is>
      </c>
      <c r="T1483" s="326" t="inlineStr">
        <is>
          <t>ALPHA</t>
        </is>
      </c>
      <c r="U1483" s="248" t="inlineStr">
        <is>
          <t>NA</t>
        </is>
      </c>
      <c r="V1483" s="248" t="inlineStr">
        <is>
          <t>NA</t>
        </is>
      </c>
      <c r="W1483" s="284" t="n">
        <v>12</v>
      </c>
      <c r="X1483" s="244" t="inlineStr">
        <is>
          <t>NA</t>
        </is>
      </c>
      <c r="Y1483" s="248" t="inlineStr">
        <is>
          <t>NA</t>
        </is>
      </c>
      <c r="Z1483" s="248" t="inlineStr">
        <is>
          <t>NA</t>
        </is>
      </c>
      <c r="AA1483" s="249" t="inlineStr">
        <is>
          <t>NA</t>
        </is>
      </c>
      <c r="AB1483" s="284" t="inlineStr">
        <is>
          <t>NA</t>
        </is>
      </c>
      <c r="AC1483" s="244" t="inlineStr">
        <is>
          <t>NA</t>
        </is>
      </c>
      <c r="AD1483" s="284" t="inlineStr">
        <is>
          <t>N</t>
        </is>
      </c>
      <c r="AE1483" s="284" t="inlineStr">
        <is>
          <t>NA</t>
        </is>
      </c>
      <c r="AF1483" s="284" t="inlineStr">
        <is>
          <t>NA</t>
        </is>
      </c>
      <c r="AG1483" s="285" t="inlineStr">
        <is>
          <t>NA</t>
        </is>
      </c>
      <c r="AH1483" s="89" t="n"/>
      <c r="AI1483" s="330" t="n"/>
      <c r="AJ1483" s="331" t="n"/>
      <c r="AK1483" s="284" t="n"/>
      <c r="AL1483" s="285" t="n"/>
      <c r="AM1483" s="331" t="n"/>
      <c r="AN1483" s="331" t="n"/>
      <c r="AO1483" s="284" t="n"/>
      <c r="AP1483" s="285" t="n"/>
      <c r="AQ1483" s="331" t="n"/>
      <c r="AR1483" s="331" t="n"/>
      <c r="AS1483" s="284" t="n"/>
      <c r="AT1483" s="285" t="n"/>
      <c r="AU1483" s="331" t="n"/>
      <c r="AV1483" s="331" t="n"/>
      <c r="AW1483" s="284" t="n"/>
      <c r="AX1483" s="285" t="n"/>
      <c r="AY1483" s="331" t="n"/>
      <c r="AZ1483" s="331" t="n"/>
      <c r="BA1483" s="284" t="n"/>
      <c r="BB1483" s="285" t="n"/>
      <c r="BC1483" s="330" t="n"/>
      <c r="BD1483" s="331" t="n"/>
      <c r="BE1483" s="284" t="n"/>
      <c r="BF1483" s="285" t="n"/>
      <c r="BG1483" s="89" t="n"/>
      <c r="BH148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83">
        <f>_xlfn.LET(r,ROW(),oc,INDEX($A:$A,r),cv,TRIM(INDEX($Y:$Y,r)&amp;""),IF(oc&lt;&gt;"P1","",IF(cv="45","V45 - novo, nao alimentado pelo spool atual","V44 - alimentado pelo spool atual")))</f>
        <v/>
      </c>
    </row>
    <row r="1484" ht="54" customFormat="1" customHeight="1" s="90">
      <c r="A1484" s="306" t="inlineStr">
        <is>
          <t>P9</t>
        </is>
      </c>
      <c r="B1484" s="307" t="n">
        <v>31</v>
      </c>
      <c r="C1484" s="269" t="inlineStr">
        <is>
          <t>02 - Caractéristiques d'identification fonctionnelles</t>
        </is>
      </c>
      <c r="D1484" s="236" t="inlineStr">
        <is>
          <t>02 - Functional identification characteristics</t>
        </is>
      </c>
      <c r="E1484" s="307" t="inlineStr">
        <is>
          <t>P9 1.20</t>
        </is>
      </c>
      <c r="F1484" s="308" t="inlineStr">
        <is>
          <t>Système de gestion source</t>
        </is>
      </c>
      <c r="G1484" s="309" t="inlineStr">
        <is>
          <t>Source management system</t>
        </is>
      </c>
      <c r="H1484" s="309" t="n"/>
      <c r="I1484" s="314" t="inlineStr">
        <is>
          <t>Code ou nom du système opérationnel de gestion de la provision décote de l'entité</t>
        </is>
      </c>
      <c r="J1484" s="309" t="inlineStr">
        <is>
          <t>Code or name of the operational management system within entity for the provision discount</t>
        </is>
      </c>
      <c r="K1484" s="370" t="inlineStr">
        <is>
          <t>ND</t>
        </is>
      </c>
      <c r="L1484" s="371" t="inlineStr">
        <is>
          <t>ND</t>
        </is>
      </c>
      <c r="M1484" s="1420" t="inlineStr">
        <is>
          <t>CdSourceSyst</t>
        </is>
      </c>
      <c r="N1484" s="231" t="inlineStr">
        <is>
          <t>Obligatoire</t>
        </is>
      </c>
      <c r="O1484" s="236" t="inlineStr">
        <is>
          <t>Mandatory</t>
        </is>
      </c>
      <c r="P1484" s="269" t="inlineStr">
        <is>
          <t>NA</t>
        </is>
      </c>
      <c r="Q1484" s="269" t="inlineStr">
        <is>
          <t>NA</t>
        </is>
      </c>
      <c r="R1484" s="898" t="inlineStr">
        <is>
          <t>Codification libre.
Le système de gestion source de la provision décote peut-être différent du système de gestion source de l'engagement couvert</t>
        </is>
      </c>
      <c r="S1484" s="233" t="inlineStr">
        <is>
          <t>Free codification
The source management system of the provision discount may be different from the source management system of the covered commitment</t>
        </is>
      </c>
      <c r="T1484" s="313" t="inlineStr">
        <is>
          <t>ALPHA</t>
        </is>
      </c>
      <c r="U1484" s="237" t="inlineStr">
        <is>
          <t>NA</t>
        </is>
      </c>
      <c r="V1484" s="238" t="inlineStr">
        <is>
          <t>NA</t>
        </is>
      </c>
      <c r="W1484" s="257" t="n">
        <v>20</v>
      </c>
      <c r="X1484" s="945" t="inlineStr">
        <is>
          <t>NA</t>
        </is>
      </c>
      <c r="Y1484" s="237" t="n">
        <v>43</v>
      </c>
      <c r="Z1484" s="237" t="inlineStr">
        <is>
          <t>NA</t>
        </is>
      </c>
      <c r="AA1484" s="239" t="inlineStr">
        <is>
          <t>NA</t>
        </is>
      </c>
      <c r="AB1484" s="269" t="inlineStr">
        <is>
          <t>ESG PILIER 3</t>
        </is>
      </c>
      <c r="AC1484" s="231" t="inlineStr">
        <is>
          <t>ND</t>
        </is>
      </c>
      <c r="AD1484" s="257" t="inlineStr">
        <is>
          <t>N</t>
        </is>
      </c>
      <c r="AE1484" s="257" t="inlineStr">
        <is>
          <t>NA</t>
        </is>
      </c>
      <c r="AF1484" s="257" t="inlineStr">
        <is>
          <t>NA</t>
        </is>
      </c>
      <c r="AG1484" s="258" t="inlineStr">
        <is>
          <t>NA</t>
        </is>
      </c>
      <c r="AH1484" s="89" t="n"/>
      <c r="AI1484" s="316" t="inlineStr">
        <is>
          <t>La donnée est obligatoire</t>
        </is>
      </c>
      <c r="AJ1484" s="317" t="inlineStr">
        <is>
          <t>The data is mandatory</t>
        </is>
      </c>
      <c r="AK1484" s="257" t="n">
        <v>7</v>
      </c>
      <c r="AL1484" s="335" t="inlineStr">
        <is>
          <t>TPG0001</t>
        </is>
      </c>
      <c r="AM1484" s="318" t="n"/>
      <c r="AN1484" s="317" t="n"/>
      <c r="AO1484" s="257" t="n"/>
      <c r="AP1484" s="258" t="n"/>
      <c r="AQ1484" s="318" t="n"/>
      <c r="AR1484" s="317" t="n"/>
      <c r="AS1484" s="257" t="n"/>
      <c r="AT1484" s="258" t="n"/>
      <c r="AU1484" s="318" t="n"/>
      <c r="AV1484" s="317" t="n"/>
      <c r="AW1484" s="257" t="n"/>
      <c r="AX1484" s="258" t="n"/>
      <c r="AY1484" s="318" t="n"/>
      <c r="AZ1484" s="317" t="n"/>
      <c r="BA1484" s="257" t="n"/>
      <c r="BB1484" s="258" t="n"/>
      <c r="BC1484" s="316" t="n"/>
      <c r="BD1484" s="317" t="n"/>
      <c r="BE1484" s="257" t="n"/>
      <c r="BF1484" s="258" t="n"/>
      <c r="BG1484" s="89" t="n"/>
      <c r="BH148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84">
        <f>_xlfn.LET(r,ROW(),oc,INDEX($A:$A,r),cv,TRIM(INDEX($Y:$Y,r)&amp;""),IF(oc&lt;&gt;"P1","",IF(cv="45","V45 - novo, nao alimentado pelo spool atual","V44 - alimentado pelo spool atual")))</f>
        <v/>
      </c>
    </row>
    <row r="1485" ht="54" customFormat="1" customHeight="1" s="90">
      <c r="A1485" s="306" t="inlineStr">
        <is>
          <t>P9</t>
        </is>
      </c>
      <c r="B1485" s="307" t="n">
        <v>32</v>
      </c>
      <c r="C1485" s="269" t="inlineStr">
        <is>
          <t>03 - Caractéristiques Générales</t>
        </is>
      </c>
      <c r="D1485" s="236" t="inlineStr">
        <is>
          <t>03 - General characteristics</t>
        </is>
      </c>
      <c r="E1485" s="307" t="inlineStr">
        <is>
          <t>P9 4.1</t>
        </is>
      </c>
      <c r="F1485" s="308" t="inlineStr">
        <is>
          <t>Code entité de la succursale à l'origine de l'opération</t>
        </is>
      </c>
      <c r="G1485" s="309" t="inlineStr">
        <is>
          <t>Entity code of the branch that originated the transaction</t>
        </is>
      </c>
      <c r="H1485" s="309" t="n"/>
      <c r="I1485" s="899" t="inlineStr">
        <is>
          <t>Code consolidation de la succursale qui a fait l'opération contrat dans le cas où les engagements sont portés par la maison mère</t>
        </is>
      </c>
      <c r="J1485" s="309" t="inlineStr">
        <is>
          <t>Consolidation code of the branch which carried out the operation contract in the event that the commitments are made by the parent company</t>
        </is>
      </c>
      <c r="K1485" s="370" t="inlineStr">
        <is>
          <t>ND</t>
        </is>
      </c>
      <c r="L1485" s="371" t="inlineStr">
        <is>
          <t>ND</t>
        </is>
      </c>
      <c r="M1485" s="1420" t="inlineStr">
        <is>
          <t>CdEntSucc</t>
        </is>
      </c>
      <c r="N1485" s="231" t="inlineStr">
        <is>
          <t>Facultatif</t>
        </is>
      </c>
      <c r="O1485" s="236" t="inlineStr">
        <is>
          <t>Optional</t>
        </is>
      </c>
      <c r="P1485" s="269" t="inlineStr">
        <is>
          <t>LC.0475</t>
        </is>
      </c>
      <c r="Q1485" s="269" t="inlineStr">
        <is>
          <t>TA H8ENTITY</t>
        </is>
      </c>
      <c r="R1485" s="311" t="inlineStr">
        <is>
          <t>Demandé pour les entités qui ont des succursales (ex : CACEIS)</t>
        </is>
      </c>
      <c r="S1485" s="312" t="inlineStr">
        <is>
          <t>Required for entities that have branches (eg: CACEIS)</t>
        </is>
      </c>
      <c r="T1485" s="313" t="inlineStr">
        <is>
          <t xml:space="preserve"> ALPHA</t>
        </is>
      </c>
      <c r="U1485" s="237" t="inlineStr">
        <is>
          <t>NA</t>
        </is>
      </c>
      <c r="V1485" s="238" t="inlineStr">
        <is>
          <t>NA</t>
        </is>
      </c>
      <c r="W1485" s="257" t="n">
        <v>5</v>
      </c>
      <c r="X1485" s="945" t="inlineStr">
        <is>
          <t>NA</t>
        </is>
      </c>
      <c r="Y1485" s="237" t="n">
        <v>43</v>
      </c>
      <c r="Z1485" s="237" t="inlineStr">
        <is>
          <t>NA</t>
        </is>
      </c>
      <c r="AA1485" s="270" t="inlineStr">
        <is>
          <t>NA</t>
        </is>
      </c>
      <c r="AB1485" s="269" t="inlineStr">
        <is>
          <t>USAGE ZP</t>
        </is>
      </c>
      <c r="AC1485" s="231" t="inlineStr">
        <is>
          <t>ND</t>
        </is>
      </c>
      <c r="AD1485" s="257" t="inlineStr">
        <is>
          <t>N</t>
        </is>
      </c>
      <c r="AE1485" s="257" t="inlineStr">
        <is>
          <t>NA</t>
        </is>
      </c>
      <c r="AF1485" s="257" t="inlineStr">
        <is>
          <t>NA</t>
        </is>
      </c>
      <c r="AG1485" s="258" t="inlineStr">
        <is>
          <t>NA</t>
        </is>
      </c>
      <c r="AH1485" s="89" t="n"/>
      <c r="AI1485" s="316" t="n"/>
      <c r="AJ1485" s="317" t="n"/>
      <c r="AK1485" s="257" t="n"/>
      <c r="AL1485" s="258" t="n"/>
      <c r="AM1485" s="210" t="inlineStr">
        <is>
          <t>Si elle est renseignée, la valeur doit être connue du Langage Commun associé</t>
        </is>
      </c>
      <c r="AN1485" s="211" t="inlineStr">
        <is>
          <t>If specified, the value must be known to the associated Common Language</t>
        </is>
      </c>
      <c r="AO1485" s="257" t="n">
        <v>7</v>
      </c>
      <c r="AP1485" s="212" t="inlineStr">
        <is>
          <t>TIG0001</t>
        </is>
      </c>
      <c r="AQ1485" s="318" t="n"/>
      <c r="AR1485" s="317" t="n"/>
      <c r="AS1485" s="257" t="n"/>
      <c r="AT1485" s="258" t="n"/>
      <c r="AU1485" s="318" t="n"/>
      <c r="AV1485" s="317" t="n"/>
      <c r="AW1485" s="257" t="n"/>
      <c r="AX1485" s="258" t="n"/>
      <c r="AY1485" s="318" t="n"/>
      <c r="AZ1485" s="317" t="n"/>
      <c r="BA1485" s="257" t="n"/>
      <c r="BB1485" s="258" t="n"/>
      <c r="BC1485" s="316" t="n"/>
      <c r="BD1485" s="317" t="n"/>
      <c r="BE1485" s="257" t="n"/>
      <c r="BF1485" s="258" t="n"/>
      <c r="BG1485" s="89" t="n"/>
      <c r="BH148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85">
        <f>_xlfn.LET(r,ROW(),oc,INDEX($A:$A,r),cv,TRIM(INDEX($Y:$Y,r)&amp;""),IF(oc&lt;&gt;"P1","",IF(cv="45","V45 - novo, nao alimentado pelo spool atual","V44 - alimentado pelo spool atual")))</f>
        <v/>
      </c>
    </row>
    <row r="1486" ht="54" customFormat="1" customHeight="1" s="55">
      <c r="A1486" s="325" t="inlineStr">
        <is>
          <t>P9</t>
        </is>
      </c>
      <c r="B1486" s="326" t="n">
        <v>33</v>
      </c>
      <c r="C1486" s="284" t="inlineStr">
        <is>
          <t>NA</t>
        </is>
      </c>
      <c r="D1486" s="244" t="inlineStr">
        <is>
          <t>NA</t>
        </is>
      </c>
      <c r="E1486" s="326" t="inlineStr">
        <is>
          <t>P9 4.99</t>
        </is>
      </c>
      <c r="F1486" s="329" t="inlineStr">
        <is>
          <t xml:space="preserve">Filler </t>
        </is>
      </c>
      <c r="G1486" s="329" t="inlineStr">
        <is>
          <t xml:space="preserve">Filler </t>
        </is>
      </c>
      <c r="H1486" s="329" t="n"/>
      <c r="I1486" s="247" t="inlineStr">
        <is>
          <t>Zone libre</t>
        </is>
      </c>
      <c r="J1486" s="329" t="inlineStr">
        <is>
          <t>Free zone</t>
        </is>
      </c>
      <c r="K1486" s="328" t="inlineStr">
        <is>
          <t>NA</t>
        </is>
      </c>
      <c r="L1486" s="328" t="inlineStr">
        <is>
          <t>NA</t>
        </is>
      </c>
      <c r="M1486" s="1421" t="inlineStr">
        <is>
          <t>ZoneLibre4</t>
        </is>
      </c>
      <c r="N1486" s="284" t="inlineStr">
        <is>
          <t>NA</t>
        </is>
      </c>
      <c r="O1486" s="328" t="inlineStr">
        <is>
          <t>NA</t>
        </is>
      </c>
      <c r="P1486" s="284" t="inlineStr">
        <is>
          <t>NA</t>
        </is>
      </c>
      <c r="Q1486" s="284" t="inlineStr">
        <is>
          <t>NA</t>
        </is>
      </c>
      <c r="R1486" s="247" t="inlineStr">
        <is>
          <t>Laisser à vide</t>
        </is>
      </c>
      <c r="S1486" s="247" t="inlineStr">
        <is>
          <t>Leave empty</t>
        </is>
      </c>
      <c r="T1486" s="326" t="inlineStr">
        <is>
          <t>ALPHA</t>
        </is>
      </c>
      <c r="U1486" s="248" t="inlineStr">
        <is>
          <t>NA</t>
        </is>
      </c>
      <c r="V1486" s="248" t="inlineStr">
        <is>
          <t>NA</t>
        </is>
      </c>
      <c r="W1486" s="284" t="n">
        <v>30</v>
      </c>
      <c r="X1486" s="244" t="inlineStr">
        <is>
          <t>NA</t>
        </is>
      </c>
      <c r="Y1486" s="248" t="n">
        <v>43</v>
      </c>
      <c r="Z1486" s="248" t="inlineStr">
        <is>
          <t>NA</t>
        </is>
      </c>
      <c r="AA1486" s="249" t="inlineStr">
        <is>
          <t>NA</t>
        </is>
      </c>
      <c r="AB1486" s="284" t="inlineStr">
        <is>
          <t>NA</t>
        </is>
      </c>
      <c r="AC1486" s="244" t="inlineStr">
        <is>
          <t>NA</t>
        </is>
      </c>
      <c r="AD1486" s="284" t="inlineStr">
        <is>
          <t>N</t>
        </is>
      </c>
      <c r="AE1486" s="284" t="inlineStr">
        <is>
          <t>NA</t>
        </is>
      </c>
      <c r="AF1486" s="284" t="inlineStr">
        <is>
          <t>NA</t>
        </is>
      </c>
      <c r="AG1486" s="285" t="inlineStr">
        <is>
          <t>NA</t>
        </is>
      </c>
      <c r="AH1486" s="89" t="n"/>
      <c r="AI1486" s="330" t="n"/>
      <c r="AJ1486" s="331" t="n"/>
      <c r="AK1486" s="284" t="n"/>
      <c r="AL1486" s="285" t="n"/>
      <c r="AM1486" s="331" t="n"/>
      <c r="AN1486" s="331" t="n"/>
      <c r="AO1486" s="284" t="n"/>
      <c r="AP1486" s="285" t="n"/>
      <c r="AQ1486" s="331" t="n"/>
      <c r="AR1486" s="331" t="n"/>
      <c r="AS1486" s="284" t="n"/>
      <c r="AT1486" s="285" t="n"/>
      <c r="AU1486" s="331" t="n"/>
      <c r="AV1486" s="331" t="n"/>
      <c r="AW1486" s="284" t="n"/>
      <c r="AX1486" s="285" t="n"/>
      <c r="AY1486" s="331" t="n"/>
      <c r="AZ1486" s="331" t="n"/>
      <c r="BA1486" s="284" t="n"/>
      <c r="BB1486" s="285" t="n"/>
      <c r="BC1486" s="330" t="n"/>
      <c r="BD1486" s="331" t="n"/>
      <c r="BE1486" s="284" t="n"/>
      <c r="BF1486" s="285" t="n"/>
      <c r="BG1486" s="89" t="n"/>
      <c r="BH148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86">
        <f>_xlfn.LET(r,ROW(),oc,INDEX($A:$A,r),cv,TRIM(INDEX($Y:$Y,r)&amp;""),IF(oc&lt;&gt;"P1","",IF(cv="45","V45 - novo, nao alimentado pelo spool atual","V44 - alimentado pelo spool atual")))</f>
        <v/>
      </c>
    </row>
    <row r="1487" ht="54" customFormat="1" customHeight="1" s="90">
      <c r="A1487" s="306" t="inlineStr">
        <is>
          <t>P9</t>
        </is>
      </c>
      <c r="B1487" s="307" t="n">
        <v>34</v>
      </c>
      <c r="C1487" s="269" t="inlineStr">
        <is>
          <t xml:space="preserve">19 - Données comptables </t>
        </is>
      </c>
      <c r="D1487" s="236" t="inlineStr">
        <is>
          <t>19 - Accounting data</t>
        </is>
      </c>
      <c r="E1487" s="307" t="inlineStr">
        <is>
          <t>P9 50.1</t>
        </is>
      </c>
      <c r="F1487" s="308" t="inlineStr">
        <is>
          <t>Devise de liasse de l'entité</t>
        </is>
      </c>
      <c r="G1487" s="309" t="inlineStr">
        <is>
          <t>Package currency of the risk bearing entity</t>
        </is>
      </c>
      <c r="H1487" s="309" t="n"/>
      <c r="I1487" s="308" t="inlineStr">
        <is>
          <t xml:space="preserve">Devise de liasse comptable de l'entité porteuse de risque à la date d'arrêté </t>
        </is>
      </c>
      <c r="J1487" s="309" t="inlineStr">
        <is>
          <t>Accounting package currency of the risk bearing entity at closing date</t>
        </is>
      </c>
      <c r="K1487" s="370" t="inlineStr">
        <is>
          <t>ND</t>
        </is>
      </c>
      <c r="L1487" s="371" t="inlineStr">
        <is>
          <t>ND</t>
        </is>
      </c>
      <c r="M1487" s="1420" t="inlineStr">
        <is>
          <t>cdDevEntCmpt</t>
        </is>
      </c>
      <c r="N1487" s="231" t="inlineStr">
        <is>
          <t>Obligatoire</t>
        </is>
      </c>
      <c r="O1487" s="236" t="inlineStr">
        <is>
          <t>Mandatory</t>
        </is>
      </c>
      <c r="P1487" s="269" t="inlineStr">
        <is>
          <t>LC.0005</t>
        </is>
      </c>
      <c r="Q1487" s="269" t="inlineStr">
        <is>
          <t>TA NM253</t>
        </is>
      </c>
      <c r="R1487" s="241" t="inlineStr">
        <is>
          <t>NA</t>
        </is>
      </c>
      <c r="S1487" s="233" t="inlineStr">
        <is>
          <t>NA</t>
        </is>
      </c>
      <c r="T1487" s="313" t="inlineStr">
        <is>
          <t>ALPHA</t>
        </is>
      </c>
      <c r="U1487" s="237" t="inlineStr">
        <is>
          <t>NA</t>
        </is>
      </c>
      <c r="V1487" s="238" t="inlineStr">
        <is>
          <t>NA</t>
        </is>
      </c>
      <c r="W1487" s="257" t="n">
        <v>3</v>
      </c>
      <c r="X1487" s="945" t="inlineStr">
        <is>
          <t>NA</t>
        </is>
      </c>
      <c r="Y1487" s="237" t="n">
        <v>43</v>
      </c>
      <c r="Z1487" s="237" t="inlineStr">
        <is>
          <t>NA</t>
        </is>
      </c>
      <c r="AA1487" s="239" t="inlineStr">
        <is>
          <t>NA</t>
        </is>
      </c>
      <c r="AB1487" s="269" t="inlineStr">
        <is>
          <t>USAGE ZP</t>
        </is>
      </c>
      <c r="AC1487" s="231" t="inlineStr">
        <is>
          <t>ND</t>
        </is>
      </c>
      <c r="AD1487" s="257" t="inlineStr">
        <is>
          <t>N</t>
        </is>
      </c>
      <c r="AE1487" s="257" t="inlineStr">
        <is>
          <t>NA</t>
        </is>
      </c>
      <c r="AF1487" s="257" t="inlineStr">
        <is>
          <t>NA</t>
        </is>
      </c>
      <c r="AG1487" s="258" t="inlineStr">
        <is>
          <t>NA</t>
        </is>
      </c>
      <c r="AH1487" s="89" t="n"/>
      <c r="AI1487" s="316" t="inlineStr">
        <is>
          <t>La donnée est obligatoire</t>
        </is>
      </c>
      <c r="AJ1487" s="317" t="inlineStr">
        <is>
          <t>The data is mandatory</t>
        </is>
      </c>
      <c r="AK1487" s="257" t="n">
        <v>7</v>
      </c>
      <c r="AL1487" s="335" t="inlineStr">
        <is>
          <t>TPG0001</t>
        </is>
      </c>
      <c r="AM1487" s="210" t="inlineStr">
        <is>
          <t>Si elle est renseignée, la valeur doit être connue du Langage Commun associé</t>
        </is>
      </c>
      <c r="AN1487" s="211" t="inlineStr">
        <is>
          <t>If specified, the value must be known to the associated Common Language</t>
        </is>
      </c>
      <c r="AO1487" s="257" t="n">
        <v>7</v>
      </c>
      <c r="AP1487" s="212" t="inlineStr">
        <is>
          <t>TIG0001</t>
        </is>
      </c>
      <c r="AQ1487" s="318" t="n"/>
      <c r="AR1487" s="317" t="n"/>
      <c r="AS1487" s="257" t="n"/>
      <c r="AT1487" s="258" t="n"/>
      <c r="AU1487" s="318" t="n"/>
      <c r="AV1487" s="317" t="n"/>
      <c r="AW1487" s="257" t="n"/>
      <c r="AX1487" s="258" t="n"/>
      <c r="AY1487" s="318" t="n"/>
      <c r="AZ1487" s="317" t="n"/>
      <c r="BA1487" s="257" t="n"/>
      <c r="BB1487" s="258" t="n"/>
      <c r="BC1487" s="316" t="n"/>
      <c r="BD1487" s="317" t="n"/>
      <c r="BE1487" s="257" t="n"/>
      <c r="BF1487" s="258" t="n"/>
      <c r="BG1487" s="89" t="n"/>
      <c r="BH148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87">
        <f>_xlfn.LET(r,ROW(),oc,INDEX($A:$A,r),cv,TRIM(INDEX($Y:$Y,r)&amp;""),IF(oc&lt;&gt;"P1","",IF(cv="45","V45 - novo, nao alimentado pelo spool atual","V44 - alimentado pelo spool atual")))</f>
        <v/>
      </c>
    </row>
    <row r="1488" ht="54" customFormat="1" customHeight="1" s="60">
      <c r="A1488" s="306" t="inlineStr">
        <is>
          <t>P9</t>
        </is>
      </c>
      <c r="B1488" s="307" t="n">
        <v>35</v>
      </c>
      <c r="C1488" s="269" t="inlineStr">
        <is>
          <t xml:space="preserve">19 - Données comptables </t>
        </is>
      </c>
      <c r="D1488" s="236" t="inlineStr">
        <is>
          <t>19 - Accounting data</t>
        </is>
      </c>
      <c r="E1488" s="307" t="inlineStr">
        <is>
          <t>P9 50.10</t>
        </is>
      </c>
      <c r="F1488" s="375" t="inlineStr">
        <is>
          <t>PCCO - Montant des dépréciations</t>
        </is>
      </c>
      <c r="G1488" s="309" t="inlineStr">
        <is>
          <t>PCCO - Amount of impairments</t>
        </is>
      </c>
      <c r="H1488" s="309" t="n"/>
      <c r="I1488" s="232" t="inlineStr">
        <is>
          <t>Code du compte dans le plan de comptes consolidé prudentiel
Le compte "PCCO - Montant des dépréciations" correspond au compte comptabilisant les provisions sur encours sains non dégradés (Bucket 1), les provisions sur encours sains dégradés (Bucket 2) ou les provisions sur encours douteux (Bucket 3)</t>
        </is>
      </c>
      <c r="J1488" s="233" t="inlineStr">
        <is>
          <t>Account code in the prudential consolidated chart of accounts
The "PCCO - Amount of impairments" account corresponds to the account recording the provisions on healthy undegraded outstandings (Bucket 1), the provisions on healthy degraded outstandings (Bucket 2) or the provisions on doubtful outstandings (Bucket 3))</t>
        </is>
      </c>
      <c r="K1488" s="269" t="inlineStr">
        <is>
          <t>ND</t>
        </is>
      </c>
      <c r="L1488" s="310" t="inlineStr">
        <is>
          <t>ND</t>
        </is>
      </c>
      <c r="M1488" s="1420" t="inlineStr">
        <is>
          <t>cdPCCOProvDep</t>
        </is>
      </c>
      <c r="N1488" s="231" t="inlineStr">
        <is>
          <t>Obligatoire</t>
        </is>
      </c>
      <c r="O1488" s="236" t="inlineStr">
        <is>
          <t>Mandatory</t>
        </is>
      </c>
      <c r="P1488" s="269" t="inlineStr">
        <is>
          <t>LC.0111</t>
        </is>
      </c>
      <c r="Q1488" s="269" t="inlineStr">
        <is>
          <t>TA H8PCCO</t>
        </is>
      </c>
      <c r="R1488" s="241" t="inlineStr">
        <is>
          <t>NA</t>
        </is>
      </c>
      <c r="S1488" s="233" t="inlineStr">
        <is>
          <t>NA</t>
        </is>
      </c>
      <c r="T1488" s="307" t="inlineStr">
        <is>
          <t>ALPHA</t>
        </is>
      </c>
      <c r="U1488" s="237" t="inlineStr">
        <is>
          <t>NA</t>
        </is>
      </c>
      <c r="V1488" s="238" t="inlineStr">
        <is>
          <t>NA</t>
        </is>
      </c>
      <c r="W1488" s="269" t="n">
        <v>12</v>
      </c>
      <c r="X1488" s="231" t="inlineStr">
        <is>
          <t>NA</t>
        </is>
      </c>
      <c r="Y1488" s="237" t="n">
        <v>43</v>
      </c>
      <c r="Z1488" s="237" t="inlineStr">
        <is>
          <t>NA</t>
        </is>
      </c>
      <c r="AA1488" s="239" t="inlineStr">
        <is>
          <t>NA</t>
        </is>
      </c>
      <c r="AB1488" s="269" t="inlineStr">
        <is>
          <t>USAGE ZP</t>
        </is>
      </c>
      <c r="AC1488" s="231" t="inlineStr">
        <is>
          <t>ND</t>
        </is>
      </c>
      <c r="AD1488" s="257" t="inlineStr">
        <is>
          <t>N</t>
        </is>
      </c>
      <c r="AE1488" s="269" t="inlineStr">
        <is>
          <t>NA</t>
        </is>
      </c>
      <c r="AF1488" s="269" t="inlineStr">
        <is>
          <t>NA</t>
        </is>
      </c>
      <c r="AG1488" s="364" t="inlineStr">
        <is>
          <t>NA</t>
        </is>
      </c>
      <c r="AH1488" s="89" t="n"/>
      <c r="AI1488" s="897" t="inlineStr">
        <is>
          <t>La donnée est obligatoire</t>
        </is>
      </c>
      <c r="AJ1488" s="317" t="inlineStr">
        <is>
          <t>The data is mandatory</t>
        </is>
      </c>
      <c r="AK1488" s="257" t="n">
        <v>7</v>
      </c>
      <c r="AL1488" s="469" t="inlineStr">
        <is>
          <t>TPG0001</t>
        </is>
      </c>
      <c r="AM1488" s="210" t="inlineStr">
        <is>
          <t>Si elle est renseignée, la valeur doit être connue du Langage Commun associé</t>
        </is>
      </c>
      <c r="AN1488" s="211" t="inlineStr">
        <is>
          <t>If specified, the value must be known to the associated Common Language</t>
        </is>
      </c>
      <c r="AO1488" s="257" t="n">
        <v>7</v>
      </c>
      <c r="AP1488" s="212" t="inlineStr">
        <is>
          <t>TIG0001</t>
        </is>
      </c>
      <c r="AQ1488" s="318" t="n"/>
      <c r="AR1488" s="317" t="n"/>
      <c r="AS1488" s="257" t="n"/>
      <c r="AT1488" s="258" t="n"/>
      <c r="AU1488" s="318" t="n"/>
      <c r="AV1488" s="317" t="n"/>
      <c r="AW1488" s="257" t="n"/>
      <c r="AX1488" s="258" t="n"/>
      <c r="AY1488" s="318" t="n"/>
      <c r="AZ1488" s="317" t="n"/>
      <c r="BA1488" s="257" t="n"/>
      <c r="BB1488" s="258" t="n"/>
      <c r="BC1488" s="316" t="n"/>
      <c r="BD1488" s="317" t="n"/>
      <c r="BE1488" s="257" t="n"/>
      <c r="BF1488" s="258" t="n"/>
      <c r="BG1488" s="89" t="n"/>
      <c r="BH148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88">
        <f>_xlfn.LET(r,ROW(),oc,INDEX($A:$A,r),cv,TRIM(INDEX($Y:$Y,r)&amp;""),IF(oc&lt;&gt;"P1","",IF(cv="45","V45 - novo, nao alimentado pelo spool atual","V44 - alimentado pelo spool atual")))</f>
        <v/>
      </c>
    </row>
    <row r="1489" ht="54" customFormat="1" customHeight="1" s="60">
      <c r="A1489" s="306" t="inlineStr">
        <is>
          <t>P9</t>
        </is>
      </c>
      <c r="B1489" s="307" t="n">
        <v>36</v>
      </c>
      <c r="C1489" s="269" t="inlineStr">
        <is>
          <t xml:space="preserve">19 - Données comptables </t>
        </is>
      </c>
      <c r="D1489" s="236" t="inlineStr">
        <is>
          <t>19 - Accounting data</t>
        </is>
      </c>
      <c r="E1489" s="307" t="inlineStr">
        <is>
          <t>P9 50.11</t>
        </is>
      </c>
      <c r="F1489" s="375" t="inlineStr">
        <is>
          <t xml:space="preserve">Montant des Dépréciations </t>
        </is>
      </c>
      <c r="G1489" s="309" t="inlineStr">
        <is>
          <t xml:space="preserve">Amount of impairments </t>
        </is>
      </c>
      <c r="H1489" s="309" t="n"/>
      <c r="I1489" s="232" t="inlineStr">
        <is>
          <t>Il s'agit du solde du compte déclaré dans le champ "PCCO - Montant des dépréciations" en devise de liasse comptable de l'entité porteuse de risques, à la date d'arrêté</t>
        </is>
      </c>
      <c r="J1489" s="233" t="inlineStr">
        <is>
          <t>This is the account balance declared in the "PCCO - Amount of impairments" field, in the accounting package currency of the risk-bearing entity, on the closing date</t>
        </is>
      </c>
      <c r="K1489" s="269" t="inlineStr">
        <is>
          <t>ND</t>
        </is>
      </c>
      <c r="L1489" s="310" t="inlineStr">
        <is>
          <t>ND</t>
        </is>
      </c>
      <c r="M1489" s="1420" t="inlineStr">
        <is>
          <t>mtProvDep</t>
        </is>
      </c>
      <c r="N1489" s="231" t="inlineStr">
        <is>
          <t>Facultatif</t>
        </is>
      </c>
      <c r="O1489" s="236" t="inlineStr">
        <is>
          <t>Optional</t>
        </is>
      </c>
      <c r="P1489" s="269" t="inlineStr">
        <is>
          <t>NA</t>
        </is>
      </c>
      <c r="Q1489" s="269" t="inlineStr">
        <is>
          <t>NA</t>
        </is>
      </c>
      <c r="R1489" s="241" t="inlineStr">
        <is>
          <t>NA</t>
        </is>
      </c>
      <c r="S1489" s="233" t="inlineStr">
        <is>
          <t>NA</t>
        </is>
      </c>
      <c r="T1489" s="307" t="inlineStr">
        <is>
          <t>NUM</t>
        </is>
      </c>
      <c r="U1489" s="237" t="inlineStr">
        <is>
          <t>19 dont signe et 2 décimales</t>
        </is>
      </c>
      <c r="V1489" s="238" t="inlineStr">
        <is>
          <t>19 including sign and 2 decimals</t>
        </is>
      </c>
      <c r="W1489" s="269" t="n">
        <v>19</v>
      </c>
      <c r="X1489" s="231" t="inlineStr">
        <is>
          <t>NA</t>
        </is>
      </c>
      <c r="Y1489" s="237" t="n">
        <v>43</v>
      </c>
      <c r="Z1489" s="237" t="inlineStr">
        <is>
          <t>NA</t>
        </is>
      </c>
      <c r="AA1489" s="239" t="inlineStr">
        <is>
          <t>NA</t>
        </is>
      </c>
      <c r="AB1489" s="269" t="inlineStr">
        <is>
          <t>USAGE ZP</t>
        </is>
      </c>
      <c r="AC1489" s="231" t="inlineStr">
        <is>
          <t>ND</t>
        </is>
      </c>
      <c r="AD1489" s="257" t="inlineStr">
        <is>
          <t>N</t>
        </is>
      </c>
      <c r="AE1489" s="269" t="inlineStr">
        <is>
          <t>NA</t>
        </is>
      </c>
      <c r="AF1489" s="269" t="inlineStr">
        <is>
          <t>NA</t>
        </is>
      </c>
      <c r="AG1489" s="364" t="inlineStr">
        <is>
          <t>NA</t>
        </is>
      </c>
      <c r="AH1489" s="89" t="n"/>
      <c r="AI1489" s="316" t="n"/>
      <c r="AJ1489" s="317" t="n"/>
      <c r="AK1489" s="257" t="n"/>
      <c r="AL1489" s="258" t="n"/>
      <c r="AM1489" s="318" t="n"/>
      <c r="AN1489" s="317" t="n"/>
      <c r="AO1489" s="257" t="n"/>
      <c r="AP1489" s="258" t="n"/>
      <c r="AQ1489" s="318" t="n"/>
      <c r="AR1489" s="317" t="n"/>
      <c r="AS1489" s="257" t="n"/>
      <c r="AT1489" s="258" t="n"/>
      <c r="AU1489" s="318" t="n"/>
      <c r="AV1489" s="317" t="n"/>
      <c r="AW1489" s="257" t="n"/>
      <c r="AX1489" s="258" t="n"/>
      <c r="AY1489" s="318" t="n"/>
      <c r="AZ1489" s="317" t="n"/>
      <c r="BA1489" s="257" t="n"/>
      <c r="BB1489" s="258" t="n"/>
      <c r="BC1489" s="316" t="n"/>
      <c r="BD1489" s="317" t="n"/>
      <c r="BE1489" s="257" t="n"/>
      <c r="BF1489" s="258" t="n"/>
      <c r="BG1489" s="89" t="n"/>
      <c r="BH148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89">
        <f>_xlfn.LET(r,ROW(),oc,INDEX($A:$A,r),cv,TRIM(INDEX($Y:$Y,r)&amp;""),IF(oc&lt;&gt;"P1","",IF(cv="45","V45 - novo, nao alimentado pelo spool atual","V44 - alimentado pelo spool atual")))</f>
        <v/>
      </c>
    </row>
    <row r="1490" ht="54" customFormat="1" customHeight="1" s="60">
      <c r="A1490" s="306" t="inlineStr">
        <is>
          <t>P9</t>
        </is>
      </c>
      <c r="B1490" s="307" t="n">
        <v>37</v>
      </c>
      <c r="C1490" s="269" t="inlineStr">
        <is>
          <t xml:space="preserve">19 - Données comptables </t>
        </is>
      </c>
      <c r="D1490" s="236" t="inlineStr">
        <is>
          <t>19 - Accounting data</t>
        </is>
      </c>
      <c r="E1490" s="307" t="inlineStr">
        <is>
          <t>P9 50.12</t>
        </is>
      </c>
      <c r="F1490" s="375" t="inlineStr">
        <is>
          <t>PCCO - Montant des surcotes Décotes</t>
        </is>
      </c>
      <c r="G1490" s="309" t="inlineStr">
        <is>
          <t>PCCO - Amount of premiums discounts</t>
        </is>
      </c>
      <c r="H1490" s="309" t="n"/>
      <c r="I1490" s="232" t="inlineStr">
        <is>
          <t>Code du compte dans le plan de comptes consolidé prudentiel
Le compte "PCCO - Montant des surcotes décotes" correspond au compte comptabilisant au bilan les décotes enregistrées lors de la restructuration de créances</t>
        </is>
      </c>
      <c r="J1490" s="233" t="inlineStr">
        <is>
          <t>Account code in the prudential consolidated chart of accounts
The "PCCO - Amount of premiums discounts" account corresponds of the account of haircuts recorded as part of debts restructuring</t>
        </is>
      </c>
      <c r="K1490" s="269" t="inlineStr">
        <is>
          <t>ND</t>
        </is>
      </c>
      <c r="L1490" s="310" t="inlineStr">
        <is>
          <t>ND</t>
        </is>
      </c>
      <c r="M1490" s="1420" t="inlineStr">
        <is>
          <t>cdPCCOProvSurDec</t>
        </is>
      </c>
      <c r="N1490" s="231" t="inlineStr">
        <is>
          <t>Facultatif</t>
        </is>
      </c>
      <c r="O1490" s="236" t="inlineStr">
        <is>
          <t>Optional</t>
        </is>
      </c>
      <c r="P1490" s="269" t="inlineStr">
        <is>
          <t>LC.0111</t>
        </is>
      </c>
      <c r="Q1490" s="269" t="inlineStr">
        <is>
          <t>TA H8PCCO</t>
        </is>
      </c>
      <c r="R1490" s="241" t="inlineStr">
        <is>
          <t>NA</t>
        </is>
      </c>
      <c r="S1490" s="233" t="inlineStr">
        <is>
          <t>NA</t>
        </is>
      </c>
      <c r="T1490" s="307" t="inlineStr">
        <is>
          <t>ALPHA</t>
        </is>
      </c>
      <c r="U1490" s="237" t="inlineStr">
        <is>
          <t>NA</t>
        </is>
      </c>
      <c r="V1490" s="238" t="inlineStr">
        <is>
          <t>NA</t>
        </is>
      </c>
      <c r="W1490" s="269" t="n">
        <v>12</v>
      </c>
      <c r="X1490" s="231" t="inlineStr">
        <is>
          <t>NA</t>
        </is>
      </c>
      <c r="Y1490" s="237" t="n">
        <v>43</v>
      </c>
      <c r="Z1490" s="237" t="inlineStr">
        <is>
          <t>NA</t>
        </is>
      </c>
      <c r="AA1490" s="239" t="inlineStr">
        <is>
          <t>NA</t>
        </is>
      </c>
      <c r="AB1490" s="269" t="inlineStr">
        <is>
          <t>USAGE ZP</t>
        </is>
      </c>
      <c r="AC1490" s="231" t="inlineStr">
        <is>
          <t>ND</t>
        </is>
      </c>
      <c r="AD1490" s="257" t="inlineStr">
        <is>
          <t>N</t>
        </is>
      </c>
      <c r="AE1490" s="269" t="inlineStr">
        <is>
          <t>NA</t>
        </is>
      </c>
      <c r="AF1490" s="269" t="inlineStr">
        <is>
          <t>NA</t>
        </is>
      </c>
      <c r="AG1490" s="364" t="inlineStr">
        <is>
          <t>NA</t>
        </is>
      </c>
      <c r="AH1490" s="89" t="n"/>
      <c r="AI1490" s="316" t="n"/>
      <c r="AJ1490" s="317" t="n"/>
      <c r="AK1490" s="257" t="n"/>
      <c r="AL1490" s="469" t="n"/>
      <c r="AM1490" s="210" t="inlineStr">
        <is>
          <t>Si elle est renseignée, la valeur doit être connue du Langage Commun associé</t>
        </is>
      </c>
      <c r="AN1490" s="211" t="inlineStr">
        <is>
          <t>If specified, the value must be known to the associated Common Language</t>
        </is>
      </c>
      <c r="AO1490" s="257" t="n">
        <v>7</v>
      </c>
      <c r="AP1490" s="212" t="inlineStr">
        <is>
          <t>TIG0001</t>
        </is>
      </c>
      <c r="AQ1490" s="318" t="n"/>
      <c r="AR1490" s="317" t="n"/>
      <c r="AS1490" s="257" t="n"/>
      <c r="AT1490" s="258" t="n"/>
      <c r="AU1490" s="318" t="n"/>
      <c r="AV1490" s="317" t="n"/>
      <c r="AW1490" s="257" t="n"/>
      <c r="AX1490" s="258" t="n"/>
      <c r="AY1490" s="318" t="n"/>
      <c r="AZ1490" s="317" t="n"/>
      <c r="BA1490" s="257" t="n"/>
      <c r="BB1490" s="258" t="n"/>
      <c r="BC1490" s="316" t="n"/>
      <c r="BD1490" s="317" t="n"/>
      <c r="BE1490" s="257" t="n"/>
      <c r="BF1490" s="258" t="n"/>
      <c r="BG1490" s="89" t="n"/>
      <c r="BH149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90">
        <f>_xlfn.LET(r,ROW(),oc,INDEX($A:$A,r),cv,TRIM(INDEX($Y:$Y,r)&amp;""),IF(oc&lt;&gt;"P1","",IF(cv="45","V45 - novo, nao alimentado pelo spool atual","V44 - alimentado pelo spool atual")))</f>
        <v/>
      </c>
    </row>
    <row r="1491" ht="54" customFormat="1" customHeight="1" s="60">
      <c r="A1491" s="306" t="inlineStr">
        <is>
          <t>P9</t>
        </is>
      </c>
      <c r="B1491" s="307" t="n">
        <v>38</v>
      </c>
      <c r="C1491" s="269" t="inlineStr">
        <is>
          <t xml:space="preserve">19 - Données comptables </t>
        </is>
      </c>
      <c r="D1491" s="236" t="inlineStr">
        <is>
          <t>19 - Accounting data</t>
        </is>
      </c>
      <c r="E1491" s="307" t="inlineStr">
        <is>
          <t>P9 50.13</t>
        </is>
      </c>
      <c r="F1491" s="375" t="inlineStr">
        <is>
          <t xml:space="preserve">Montant des surcotes décotes </t>
        </is>
      </c>
      <c r="G1491" s="309" t="inlineStr">
        <is>
          <t>Amount of premiums discounts</t>
        </is>
      </c>
      <c r="H1491" s="309" t="n"/>
      <c r="I1491" s="232" t="inlineStr">
        <is>
          <t>Il s'agit du solde du compte déclaré dans le champ "PCCO - Montant des surcotes Décotes" en devise de liasse comptable de l'entité porteuse de risques, à la date d'arrêté</t>
        </is>
      </c>
      <c r="J1491" s="233" t="inlineStr">
        <is>
          <t>This is the account balance declared in the "PCCO - Amount of premiums discounts" field, in the accounting package currency of the risk-bearing entity, on the closing date</t>
        </is>
      </c>
      <c r="K1491" s="269" t="inlineStr">
        <is>
          <t>ND</t>
        </is>
      </c>
      <c r="L1491" s="310" t="inlineStr">
        <is>
          <t>ND</t>
        </is>
      </c>
      <c r="M1491" s="1420" t="inlineStr">
        <is>
          <t>mtProvSurDec</t>
        </is>
      </c>
      <c r="N1491" s="231" t="inlineStr">
        <is>
          <t>Facultatif</t>
        </is>
      </c>
      <c r="O1491" s="236" t="inlineStr">
        <is>
          <t>Optional</t>
        </is>
      </c>
      <c r="P1491" s="269" t="inlineStr">
        <is>
          <t>NA</t>
        </is>
      </c>
      <c r="Q1491" s="269" t="inlineStr">
        <is>
          <t>NA</t>
        </is>
      </c>
      <c r="R1491" s="241" t="inlineStr">
        <is>
          <t>NA</t>
        </is>
      </c>
      <c r="S1491" s="233" t="inlineStr">
        <is>
          <t>NA</t>
        </is>
      </c>
      <c r="T1491" s="307" t="inlineStr">
        <is>
          <t>NUM</t>
        </is>
      </c>
      <c r="U1491" s="237" t="inlineStr">
        <is>
          <t>19 dont signe et 2 décimales</t>
        </is>
      </c>
      <c r="V1491" s="238" t="inlineStr">
        <is>
          <t>19 including sign and 2 decimals</t>
        </is>
      </c>
      <c r="W1491" s="269" t="n">
        <v>19</v>
      </c>
      <c r="X1491" s="231" t="inlineStr">
        <is>
          <t>NA</t>
        </is>
      </c>
      <c r="Y1491" s="237" t="n">
        <v>43</v>
      </c>
      <c r="Z1491" s="237" t="inlineStr">
        <is>
          <t>NA</t>
        </is>
      </c>
      <c r="AA1491" s="239" t="inlineStr">
        <is>
          <t>NA</t>
        </is>
      </c>
      <c r="AB1491" s="269" t="inlineStr">
        <is>
          <t>USAGE ZP</t>
        </is>
      </c>
      <c r="AC1491" s="231" t="inlineStr">
        <is>
          <t>ND</t>
        </is>
      </c>
      <c r="AD1491" s="257" t="inlineStr">
        <is>
          <t>N</t>
        </is>
      </c>
      <c r="AE1491" s="269" t="inlineStr">
        <is>
          <t>NA</t>
        </is>
      </c>
      <c r="AF1491" s="269" t="inlineStr">
        <is>
          <t>NA</t>
        </is>
      </c>
      <c r="AG1491" s="364" t="inlineStr">
        <is>
          <t>NA</t>
        </is>
      </c>
      <c r="AH1491" s="89" t="n"/>
      <c r="AI1491" s="316" t="n"/>
      <c r="AJ1491" s="317" t="n"/>
      <c r="AK1491" s="257" t="n"/>
      <c r="AL1491" s="258" t="n"/>
      <c r="AM1491" s="318" t="n"/>
      <c r="AN1491" s="317" t="n"/>
      <c r="AO1491" s="257" t="n"/>
      <c r="AP1491" s="258" t="n"/>
      <c r="AQ1491" s="318" t="n"/>
      <c r="AR1491" s="317" t="n"/>
      <c r="AS1491" s="257" t="n"/>
      <c r="AT1491" s="258" t="n"/>
      <c r="AU1491" s="318" t="n"/>
      <c r="AV1491" s="317" t="n"/>
      <c r="AW1491" s="257" t="n"/>
      <c r="AX1491" s="258" t="n"/>
      <c r="AY1491" s="318" t="n"/>
      <c r="AZ1491" s="317" t="n"/>
      <c r="BA1491" s="257" t="n"/>
      <c r="BB1491" s="258" t="n"/>
      <c r="BC1491" s="316" t="n"/>
      <c r="BD1491" s="317" t="n"/>
      <c r="BE1491" s="257" t="n"/>
      <c r="BF1491" s="258" t="n"/>
      <c r="BG1491" s="89" t="n"/>
      <c r="BH149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91">
        <f>_xlfn.LET(r,ROW(),oc,INDEX($A:$A,r),cv,TRIM(INDEX($Y:$Y,r)&amp;""),IF(oc&lt;&gt;"P1","",IF(cv="45","V45 - novo, nao alimentado pelo spool atual","V44 - alimentado pelo spool atual")))</f>
        <v/>
      </c>
    </row>
    <row r="1492" ht="54" customFormat="1" customHeight="1" s="60" thickBot="1">
      <c r="A1492" s="1196" t="inlineStr">
        <is>
          <t>P9</t>
        </is>
      </c>
      <c r="B1492" s="1197" t="n">
        <v>39</v>
      </c>
      <c r="C1492" s="1185" t="inlineStr">
        <is>
          <t>NA</t>
        </is>
      </c>
      <c r="D1492" s="1185" t="inlineStr">
        <is>
          <t>NA</t>
        </is>
      </c>
      <c r="E1492" s="1197" t="inlineStr">
        <is>
          <t>P9 99.99</t>
        </is>
      </c>
      <c r="F1492" s="1198" t="inlineStr">
        <is>
          <t>Filler</t>
        </is>
      </c>
      <c r="G1492" s="1198" t="inlineStr">
        <is>
          <t>Filler</t>
        </is>
      </c>
      <c r="H1492" s="1198" t="n"/>
      <c r="I1492" s="1186" t="inlineStr">
        <is>
          <t>Zone libre</t>
        </is>
      </c>
      <c r="J1492" s="1198" t="inlineStr">
        <is>
          <t>Free zone</t>
        </is>
      </c>
      <c r="K1492" s="1199" t="inlineStr">
        <is>
          <t>NA</t>
        </is>
      </c>
      <c r="L1492" s="1199" t="inlineStr">
        <is>
          <t>NA</t>
        </is>
      </c>
      <c r="M1492" s="1422" t="inlineStr">
        <is>
          <t>ZoneLibre99</t>
        </is>
      </c>
      <c r="N1492" s="1201" t="inlineStr">
        <is>
          <t>NA</t>
        </is>
      </c>
      <c r="O1492" s="1199" t="inlineStr">
        <is>
          <t>NA</t>
        </is>
      </c>
      <c r="P1492" s="1201" t="inlineStr">
        <is>
          <t>NA</t>
        </is>
      </c>
      <c r="Q1492" s="1201" t="inlineStr">
        <is>
          <t>NA</t>
        </is>
      </c>
      <c r="R1492" s="1186" t="inlineStr">
        <is>
          <t>Laisser à vide</t>
        </is>
      </c>
      <c r="S1492" s="1186" t="inlineStr">
        <is>
          <t>Leave empty</t>
        </is>
      </c>
      <c r="T1492" s="1197" t="inlineStr">
        <is>
          <t>ALPHA</t>
        </is>
      </c>
      <c r="U1492" s="1188" t="inlineStr">
        <is>
          <t>NA</t>
        </is>
      </c>
      <c r="V1492" s="1188" t="inlineStr">
        <is>
          <t>NA</t>
        </is>
      </c>
      <c r="W1492" s="1216">
        <f>8000-(SUM(W1454:W1491)+COUNT(W1454:W1491))</f>
        <v/>
      </c>
      <c r="X1492" s="1201" t="inlineStr">
        <is>
          <t>NA</t>
        </is>
      </c>
      <c r="Y1492" s="1188" t="n">
        <v>43</v>
      </c>
      <c r="Z1492" s="1188" t="inlineStr">
        <is>
          <t>NA</t>
        </is>
      </c>
      <c r="AA1492" s="1190" t="inlineStr">
        <is>
          <t>45.00</t>
        </is>
      </c>
      <c r="AB1492" s="1201" t="inlineStr">
        <is>
          <t>NA</t>
        </is>
      </c>
      <c r="AC1492" s="1185" t="inlineStr">
        <is>
          <t>NA</t>
        </is>
      </c>
      <c r="AD1492" s="1201" t="inlineStr">
        <is>
          <t>N</t>
        </is>
      </c>
      <c r="AE1492" s="1201" t="inlineStr">
        <is>
          <t>NA</t>
        </is>
      </c>
      <c r="AF1492" s="1201" t="inlineStr">
        <is>
          <t>NA</t>
        </is>
      </c>
      <c r="AG1492" s="1203" t="inlineStr">
        <is>
          <t>NA</t>
        </is>
      </c>
      <c r="AH1492" s="1360" t="n"/>
      <c r="AI1492" s="1207" t="n"/>
      <c r="AJ1492" s="1208" t="n"/>
      <c r="AK1492" s="1209" t="n"/>
      <c r="AL1492" s="1210" t="n"/>
      <c r="AM1492" s="1208" t="n"/>
      <c r="AN1492" s="1208" t="n"/>
      <c r="AO1492" s="1209" t="n"/>
      <c r="AP1492" s="1210" t="n"/>
      <c r="AQ1492" s="1208" t="n"/>
      <c r="AR1492" s="1208" t="n"/>
      <c r="AS1492" s="1209" t="n"/>
      <c r="AT1492" s="1210" t="n"/>
      <c r="AU1492" s="1208" t="n"/>
      <c r="AV1492" s="1208" t="n"/>
      <c r="AW1492" s="1209" t="n"/>
      <c r="AX1492" s="1210" t="n"/>
      <c r="AY1492" s="1208" t="n"/>
      <c r="AZ1492" s="1208" t="n"/>
      <c r="BA1492" s="1209" t="n"/>
      <c r="BB1492" s="1210" t="n"/>
      <c r="BC1492" s="1207" t="n"/>
      <c r="BD1492" s="1208" t="n"/>
      <c r="BE1492" s="1209" t="n"/>
      <c r="BF1492" s="1210" t="n"/>
      <c r="BG1492" s="1360" t="n"/>
      <c r="BH149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92">
        <f>_xlfn.LET(r,ROW(),oc,INDEX($A:$A,r),cv,TRIM(INDEX($Y:$Y,r)&amp;""),IF(oc&lt;&gt;"P1","",IF(cv="45","V45 - novo, nao alimentado pelo spool atual","V44 - alimentado pelo spool atual")))</f>
        <v/>
      </c>
    </row>
    <row r="1493" ht="54" customFormat="1" customHeight="1" s="91">
      <c r="A1493" s="286" t="inlineStr">
        <is>
          <t>Z9</t>
        </is>
      </c>
      <c r="B1493" s="287" t="n">
        <v>1</v>
      </c>
      <c r="C1493" s="292" t="inlineStr">
        <is>
          <t>02 - Caractéristiques d'identification fonctionnelles</t>
        </is>
      </c>
      <c r="D1493" s="293" t="inlineStr">
        <is>
          <t>02 - Functional identification characteristics</t>
        </is>
      </c>
      <c r="E1493" s="287" t="inlineStr">
        <is>
          <t>0.1 (Z9)</t>
        </is>
      </c>
      <c r="F1493" s="288" t="inlineStr">
        <is>
          <t xml:space="preserve">Date d'arrêté </t>
        </is>
      </c>
      <c r="G1493" s="289" t="inlineStr">
        <is>
          <t>Closing date</t>
        </is>
      </c>
      <c r="H1493" s="289" t="n"/>
      <c r="I1493" s="290" t="inlineStr">
        <is>
          <t>Correspond à la date d'arrêté des données transmises (dernier jour calendaire du mois)</t>
        </is>
      </c>
      <c r="J1493" s="291" t="inlineStr">
        <is>
          <t>Represents the cut-off date of the data transmitted (final calendar day of the month)</t>
        </is>
      </c>
      <c r="K1493" s="402" t="inlineStr">
        <is>
          <t>ND</t>
        </is>
      </c>
      <c r="L1493" s="403" t="inlineStr">
        <is>
          <t>ND</t>
        </is>
      </c>
      <c r="M1493" s="1419" t="inlineStr">
        <is>
          <t>NA</t>
        </is>
      </c>
      <c r="N1493" s="298" t="inlineStr">
        <is>
          <t>Obligatoire</t>
        </is>
      </c>
      <c r="O1493" s="293" t="inlineStr">
        <is>
          <t>Mandatory</t>
        </is>
      </c>
      <c r="P1493" s="402" t="inlineStr">
        <is>
          <t>NA</t>
        </is>
      </c>
      <c r="Q1493" s="402" t="inlineStr">
        <is>
          <t>NA</t>
        </is>
      </c>
      <c r="R1493" s="290" t="inlineStr">
        <is>
          <t>Il doit y avoir unicité de la date d'arrêté au sein du flux</t>
        </is>
      </c>
      <c r="S1493" s="291" t="inlineStr">
        <is>
          <t>The cut-off date must be the same across the flow</t>
        </is>
      </c>
      <c r="T1493" s="195" t="inlineStr">
        <is>
          <t>DATE</t>
        </is>
      </c>
      <c r="U1493" s="296" t="inlineStr">
        <is>
          <t>AAAAMMJJ</t>
        </is>
      </c>
      <c r="V1493" s="297" t="inlineStr">
        <is>
          <t>YYYYMMDD</t>
        </is>
      </c>
      <c r="W1493" s="298" t="n">
        <v>8</v>
      </c>
      <c r="X1493" s="1041" t="inlineStr">
        <is>
          <t>NA</t>
        </is>
      </c>
      <c r="Y1493" s="296" t="inlineStr">
        <is>
          <t>40</t>
        </is>
      </c>
      <c r="Z1493" s="296" t="inlineStr">
        <is>
          <t>NA</t>
        </is>
      </c>
      <c r="AA1493" s="296" t="inlineStr">
        <is>
          <t>NA</t>
        </is>
      </c>
      <c r="AB1493" s="292" t="inlineStr">
        <is>
          <t>USAGE ZP</t>
        </is>
      </c>
      <c r="AC1493" s="294" t="inlineStr">
        <is>
          <t>ND</t>
        </is>
      </c>
      <c r="AD1493" s="298" t="inlineStr">
        <is>
          <t>N</t>
        </is>
      </c>
      <c r="AE1493" s="298" t="inlineStr">
        <is>
          <t>NA</t>
        </is>
      </c>
      <c r="AF1493" s="298" t="inlineStr">
        <is>
          <t>NA</t>
        </is>
      </c>
      <c r="AG1493" s="300" t="inlineStr">
        <is>
          <t>NA</t>
        </is>
      </c>
      <c r="AH1493" s="89" t="n"/>
      <c r="AI1493" s="301" t="inlineStr">
        <is>
          <t>La donnée est obligatoire</t>
        </is>
      </c>
      <c r="AJ1493" s="900" t="inlineStr">
        <is>
          <t>The data is mandatory</t>
        </is>
      </c>
      <c r="AK1493" s="901" t="n"/>
      <c r="AL1493" s="902" t="inlineStr">
        <is>
          <t>EN0011</t>
        </is>
      </c>
      <c r="AM1493" s="903" t="n"/>
      <c r="AN1493" s="900" t="n"/>
      <c r="AO1493" s="901" t="n"/>
      <c r="AP1493" s="902" t="n"/>
      <c r="AQ1493" s="305" t="inlineStr">
        <is>
          <t>Si renseignée, pour un même BAAPID, la date d'arrêté doit être supérieure ou égale à la date d'arrêté du dernier lot intégré.
(= on n'accepte pas de flux sur un arrêté précédent)
Dans la table INTEGRATED_PARENT, pour le même SCOPE_SRC_CD (= BAAPID), la date d'arrêté doit être supérieure ou égale à la dernière date d'arrêté avec le statut « QUALITY_OK ».
---
Si renseignée, la date doit être égale au dernier jour calendaire du mois de l'arrêté en cours (ex : 20190131, 20190228, 20190331, etc.)</t>
        </is>
      </c>
      <c r="AR1493" s="216" t="inlineStr">
        <is>
          <t>If filled in, for the same BAAPID, the cut-off date must be greater than or equal to the cut-off date of the last integrated batch.
(= no flow on previous order accepted)
In the INTEGRATED_PARENT table, for the same SCOPE_SRC_CD (= BAAPID), the stop date must be greater than or equal to the last stop date with the status 'QUALITY_OK'.
—
If filled in, the date must be equal to the last calendar day of the month of the current order (e.g. 20190131, 20190228, 20190331, etc.)</t>
        </is>
      </c>
      <c r="AS1493" s="901" t="n"/>
      <c r="AT1493" s="304" t="inlineStr">
        <is>
          <t>EN0017
EN0019</t>
        </is>
      </c>
      <c r="AU1493" s="305" t="inlineStr">
        <is>
          <t>Si renseignée, pour le même BAAPID, si le dernier lot a un statut "rejeté" ou "à recycler" ou "abandonner", et qu'il n'y a pas d'autres lots en attente, la date d'arrêté doit être inférieure ou égale à la date d'arrêté du dernier lot. 
Dans la table INTEGRATED_PARENT, pour le même SCOPE_SRC_CD (= BAAPID), la date doit être inférieure ou égale à la dernière date (= STTM_DT) avec le statut « QUALITY_KO », « REJECTED » ou « DECERTIFIED ».</t>
        </is>
      </c>
      <c r="AV1493" s="216" t="inlineStr">
        <is>
          <t>If filled in for the same BAAPID, if the last batch has a "rejected" or "to recycle" or "abort" status, and there are no other batches pending, the stop date must be less than or equal to the last batch stop date. 
In the INTEGRATED_PARENT table, for the same SCOPE_SRC_CD (= BAAPID), the date must be less than or equal to the last date (= STTM_DT) with the status “QUALITY_KO”, “REJECTED” or “DECERTIFIED”.</t>
        </is>
      </c>
      <c r="AW1493" s="901" t="n"/>
      <c r="AX1493" s="902" t="inlineStr">
        <is>
          <t>EN001B</t>
        </is>
      </c>
      <c r="AY1493" s="903" t="n"/>
      <c r="AZ1493" s="900" t="n"/>
      <c r="BA1493" s="901" t="n"/>
      <c r="BB1493" s="902" t="n"/>
      <c r="BC1493" s="904" t="n"/>
      <c r="BD1493" s="900" t="n"/>
      <c r="BE1493" s="901" t="n"/>
      <c r="BF1493" s="902" t="n"/>
      <c r="BG1493" s="89" t="n"/>
      <c r="BH149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93">
        <f>_xlfn.LET(r,ROW(),oc,INDEX($A:$A,r),cv,TRIM(INDEX($Y:$Y,r)&amp;""),IF(oc&lt;&gt;"P1","",IF(cv="45","V45 - novo, nao alimentado pelo spool atual","V44 - alimentado pelo spool atual")))</f>
        <v/>
      </c>
    </row>
    <row r="1494" ht="54" customFormat="1" customHeight="1" s="91">
      <c r="A1494" s="306" t="inlineStr">
        <is>
          <t>Z9</t>
        </is>
      </c>
      <c r="B1494" s="307" t="n">
        <v>2</v>
      </c>
      <c r="C1494" s="269" t="inlineStr">
        <is>
          <t>02 - Caractéristiques d'identification fonctionnelles</t>
        </is>
      </c>
      <c r="D1494" s="310" t="inlineStr">
        <is>
          <t>02 - Functional identification characteristics</t>
        </is>
      </c>
      <c r="E1494" s="307" t="inlineStr">
        <is>
          <t>0.2 (Z9)</t>
        </is>
      </c>
      <c r="F1494" s="308" t="inlineStr">
        <is>
          <t>Entité Porteuse de Risques</t>
        </is>
      </c>
      <c r="G1494" s="309" t="inlineStr">
        <is>
          <t>Risk taker entity</t>
        </is>
      </c>
      <c r="H1494" s="309" t="n"/>
      <c r="I1494" s="241" t="inlineStr">
        <is>
          <t>Correspond au code consolidation comptable de l'Entité porteuse de risque dans les comptes de Crédit Agricole S.A.</t>
        </is>
      </c>
      <c r="J1494" s="309" t="inlineStr">
        <is>
          <t xml:space="preserve">Represents the accounting consolidation code of the Entity in the financial statements of Crédit Agricole S.A. </t>
        </is>
      </c>
      <c r="K1494" s="370" t="inlineStr">
        <is>
          <t>ND</t>
        </is>
      </c>
      <c r="L1494" s="371" t="inlineStr">
        <is>
          <t>ND</t>
        </is>
      </c>
      <c r="M1494" s="1420" t="inlineStr">
        <is>
          <t>NA</t>
        </is>
      </c>
      <c r="N1494" s="257" t="inlineStr">
        <is>
          <t>Obligatoire</t>
        </is>
      </c>
      <c r="O1494" s="310" t="inlineStr">
        <is>
          <t>Mandatory</t>
        </is>
      </c>
      <c r="P1494" s="370" t="inlineStr">
        <is>
          <t>LC.0003</t>
        </is>
      </c>
      <c r="Q1494" s="370" t="inlineStr">
        <is>
          <t>TA FI59</t>
        </is>
      </c>
      <c r="R1494" s="241" t="inlineStr">
        <is>
          <t>NA</t>
        </is>
      </c>
      <c r="S1494" s="233" t="inlineStr">
        <is>
          <t>NA</t>
        </is>
      </c>
      <c r="T1494" s="313" t="inlineStr">
        <is>
          <t>ALPHA</t>
        </is>
      </c>
      <c r="U1494" s="237" t="inlineStr">
        <is>
          <t>NA</t>
        </is>
      </c>
      <c r="V1494" s="238" t="inlineStr">
        <is>
          <t>NA</t>
        </is>
      </c>
      <c r="W1494" s="257" t="n">
        <v>5</v>
      </c>
      <c r="X1494" s="945" t="inlineStr">
        <is>
          <t>NA</t>
        </is>
      </c>
      <c r="Y1494" s="237" t="inlineStr">
        <is>
          <t>40</t>
        </is>
      </c>
      <c r="Z1494" s="237" t="inlineStr">
        <is>
          <t>NA</t>
        </is>
      </c>
      <c r="AA1494" s="237" t="inlineStr">
        <is>
          <t>NA</t>
        </is>
      </c>
      <c r="AB1494" s="269" t="inlineStr">
        <is>
          <t>USAGE ZP</t>
        </is>
      </c>
      <c r="AC1494" s="231" t="inlineStr">
        <is>
          <t>ND</t>
        </is>
      </c>
      <c r="AD1494" s="257" t="inlineStr">
        <is>
          <t>N</t>
        </is>
      </c>
      <c r="AE1494" s="257" t="inlineStr">
        <is>
          <t>NA</t>
        </is>
      </c>
      <c r="AF1494" s="257" t="inlineStr">
        <is>
          <t>NA</t>
        </is>
      </c>
      <c r="AG1494" s="258" t="inlineStr">
        <is>
          <t>NA</t>
        </is>
      </c>
      <c r="AH1494" s="89" t="n"/>
      <c r="AI1494" s="316" t="inlineStr">
        <is>
          <t>La donnée est obligatoire</t>
        </is>
      </c>
      <c r="AJ1494" s="905" t="inlineStr">
        <is>
          <t>The data is mandatory</t>
        </is>
      </c>
      <c r="AK1494" s="313" t="n"/>
      <c r="AL1494" s="319" t="inlineStr">
        <is>
          <t>EN0021</t>
        </is>
      </c>
      <c r="AM1494" s="318" t="inlineStr">
        <is>
          <t>Si renseignée,
1/ Si dans la table START "TA 0990 KVAPPBK", il existe un KVBAPPID pour le KVAPPBK valant la concaténation "Entité porteuse de risque" [EN 0.2] et "Application source" [EN 0.3], alors, les 9 premiers caractères de ce KVBAPPID doivent être présents dans la colonne TMNOMOBE de la table TMTAKOBE.
2/ Si pas présent dans TMTAKOBE, l'entité porteuse de risque [EN 0.2] doit exister dans la colonne TMCCONSU de la table TMTAKOBU.</t>
        </is>
      </c>
      <c r="AN1494" s="233" t="inlineStr">
        <is>
          <t>If filled,
1/ If in the START table "TA 0990 KVAPPBK", there is a KVBAPPID for the KVAPPBK with the concatenation "risk-carrying Entity" [EN 0.2] and "Source application" [EN 0.3], then the first 9 characters of this KVBAPPID must be present in the TMNOMOBE column of the TMTAKOBE table.
2/ If not present in TMTAKOBE, the risk carrying entity [EN 0.2] shall exist in the TMCCONSU column of the TMTAKOBU table.</t>
        </is>
      </c>
      <c r="AO1494" s="313" t="n"/>
      <c r="AP1494" s="319" t="inlineStr">
        <is>
          <t>EN0023</t>
        </is>
      </c>
      <c r="AQ1494" s="682" t="n"/>
      <c r="AR1494" s="905" t="n"/>
      <c r="AS1494" s="313" t="n"/>
      <c r="AT1494" s="319" t="n"/>
      <c r="AU1494" s="682" t="n"/>
      <c r="AV1494" s="233" t="n"/>
      <c r="AW1494" s="313" t="n"/>
      <c r="AX1494" s="319" t="n"/>
      <c r="AY1494" s="682" t="n"/>
      <c r="AZ1494" s="905" t="n"/>
      <c r="BA1494" s="313" t="n"/>
      <c r="BB1494" s="319" t="n"/>
      <c r="BC1494" s="879" t="n"/>
      <c r="BD1494" s="905" t="n"/>
      <c r="BE1494" s="313" t="n"/>
      <c r="BF1494" s="319" t="n"/>
      <c r="BG1494" s="89" t="n"/>
      <c r="BH149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94">
        <f>_xlfn.LET(r,ROW(),oc,INDEX($A:$A,r),cv,TRIM(INDEX($Y:$Y,r)&amp;""),IF(oc&lt;&gt;"P1","",IF(cv="45","V45 - novo, nao alimentado pelo spool atual","V44 - alimentado pelo spool atual")))</f>
        <v/>
      </c>
    </row>
    <row r="1495" ht="54" customFormat="1" customHeight="1" s="91">
      <c r="A1495" s="306" t="inlineStr">
        <is>
          <t>Z9</t>
        </is>
      </c>
      <c r="B1495" s="307" t="n">
        <v>3</v>
      </c>
      <c r="C1495" s="269" t="inlineStr">
        <is>
          <t>02 - Caractéristiques d'identification fonctionnelles</t>
        </is>
      </c>
      <c r="D1495" s="310" t="inlineStr">
        <is>
          <t>02 - Functional identification characteristics</t>
        </is>
      </c>
      <c r="E1495" s="307" t="inlineStr">
        <is>
          <t>0.3 (Z9)</t>
        </is>
      </c>
      <c r="F1495" s="308" t="inlineStr">
        <is>
          <t>Application source</t>
        </is>
      </c>
      <c r="G1495" s="309" t="inlineStr">
        <is>
          <t>Source application</t>
        </is>
      </c>
      <c r="H1495" s="309" t="n"/>
      <c r="I1495" s="241" t="inlineStr">
        <is>
          <t>Correspond au code du Système d'Information utilisé en local pour générer le flux
Dans le flux Grande Clientèle, il faut préfixer par la lettre ‘C' le code application source</t>
        </is>
      </c>
      <c r="J1495" s="233" t="inlineStr">
        <is>
          <t xml:space="preserve">Represents the code of the Information System used locally to generate the flow
In Corporate flow, the source application code must be prefix with the letter 'C' </t>
        </is>
      </c>
      <c r="K1495" s="370" t="inlineStr">
        <is>
          <t>ND</t>
        </is>
      </c>
      <c r="L1495" s="371" t="inlineStr">
        <is>
          <t>ND</t>
        </is>
      </c>
      <c r="M1495" s="1420" t="inlineStr">
        <is>
          <t>NA</t>
        </is>
      </c>
      <c r="N1495" s="257" t="inlineStr">
        <is>
          <t>Obligatoire</t>
        </is>
      </c>
      <c r="O1495" s="310" t="inlineStr">
        <is>
          <t>Mandatory</t>
        </is>
      </c>
      <c r="P1495" s="370" t="inlineStr">
        <is>
          <t>NA</t>
        </is>
      </c>
      <c r="Q1495" s="206" t="inlineStr">
        <is>
          <t>TA KVAPPBK</t>
        </is>
      </c>
      <c r="R1495" s="234" t="inlineStr">
        <is>
          <t>La codification est ‘libre' mais doit être obligatoirement préfixé par la valeur "C" (Corporate).
Il convient à chaque entité émettrice du flux de déterminer le(s) code(s) ‘Application source' qu'elle utilise et de le(s) porter à la connaissance de la DRG avant première utilisation dans le flux. Une fois communiqué, le code est définitif
Il s'agit d'un critère discriminant à l'acquisition des flux par CASA DRG</t>
        </is>
      </c>
      <c r="S1495" s="235" t="inlineStr">
        <is>
          <t>The code is entered as ‘Free zone' but must be pre-fixed with "C" (Corporate).
Every entity issuing flows must determine what ‘Source application' code(s) it uses and inform the Group Risk Management Division thereof prior to using them in the flow. Once notified, the code can't be changed
This is a determining factor as regards flow capture by Crédit Agricole S.A. Group Risk Management Division</t>
        </is>
      </c>
      <c r="T1495" s="313" t="inlineStr">
        <is>
          <t>ALPHA</t>
        </is>
      </c>
      <c r="U1495" s="237" t="inlineStr">
        <is>
          <t>NA</t>
        </is>
      </c>
      <c r="V1495" s="238" t="inlineStr">
        <is>
          <t>NA</t>
        </is>
      </c>
      <c r="W1495" s="257" t="n">
        <v>12</v>
      </c>
      <c r="X1495" s="945" t="inlineStr">
        <is>
          <t>NA</t>
        </is>
      </c>
      <c r="Y1495" s="237" t="inlineStr">
        <is>
          <t>40</t>
        </is>
      </c>
      <c r="Z1495" s="237" t="inlineStr">
        <is>
          <t>NA</t>
        </is>
      </c>
      <c r="AA1495" s="237" t="inlineStr">
        <is>
          <t>NA</t>
        </is>
      </c>
      <c r="AB1495" s="269" t="inlineStr">
        <is>
          <t>USAGE ZP</t>
        </is>
      </c>
      <c r="AC1495" s="231" t="inlineStr">
        <is>
          <t>ND</t>
        </is>
      </c>
      <c r="AD1495" s="257" t="inlineStr">
        <is>
          <t>N</t>
        </is>
      </c>
      <c r="AE1495" s="257" t="inlineStr">
        <is>
          <t>NA</t>
        </is>
      </c>
      <c r="AF1495" s="257" t="inlineStr">
        <is>
          <t>NA</t>
        </is>
      </c>
      <c r="AG1495" s="258" t="inlineStr">
        <is>
          <t>NA</t>
        </is>
      </c>
      <c r="AH1495" s="89" t="n"/>
      <c r="AI1495" s="316" t="inlineStr">
        <is>
          <t>La donnée est obligatoire</t>
        </is>
      </c>
      <c r="AJ1495" s="905" t="inlineStr">
        <is>
          <t>The data is mandatory</t>
        </is>
      </c>
      <c r="AK1495" s="313" t="n"/>
      <c r="AL1495" s="319" t="inlineStr">
        <is>
          <t>EN0031</t>
        </is>
      </c>
      <c r="AM1495" s="210" t="inlineStr">
        <is>
          <t>Si elle est renseignée, la valeur doit être connue du Langage Commun associé</t>
        </is>
      </c>
      <c r="AN1495" s="211" t="inlineStr">
        <is>
          <t>If specified, the value must be known to the associated Common Language</t>
        </is>
      </c>
      <c r="AO1495" s="313" t="n"/>
      <c r="AP1495" s="258" t="inlineStr">
        <is>
          <t>EN0035</t>
        </is>
      </c>
      <c r="AQ1495" s="682" t="n"/>
      <c r="AR1495" s="905" t="n"/>
      <c r="AS1495" s="313" t="n"/>
      <c r="AT1495" s="319" t="n"/>
      <c r="AU1495" s="682" t="n"/>
      <c r="AV1495" s="233" t="n"/>
      <c r="AW1495" s="313" t="n"/>
      <c r="AX1495" s="319" t="n"/>
      <c r="AY1495" s="682" t="n"/>
      <c r="AZ1495" s="905" t="n"/>
      <c r="BA1495" s="313" t="n"/>
      <c r="BB1495" s="319" t="n"/>
      <c r="BC1495" s="879" t="n"/>
      <c r="BD1495" s="905" t="n"/>
      <c r="BE1495" s="313" t="n"/>
      <c r="BF1495" s="319" t="n"/>
      <c r="BG1495" s="89" t="n"/>
      <c r="BH149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95">
        <f>_xlfn.LET(r,ROW(),oc,INDEX($A:$A,r),cv,TRIM(INDEX($Y:$Y,r)&amp;""),IF(oc&lt;&gt;"P1","",IF(cv="45","V45 - novo, nao alimentado pelo spool atual","V44 - alimentado pelo spool atual")))</f>
        <v/>
      </c>
    </row>
    <row r="1496" ht="54" customFormat="1" customHeight="1" s="91">
      <c r="A1496" s="306" t="inlineStr">
        <is>
          <t>Z9</t>
        </is>
      </c>
      <c r="B1496" s="307" t="n">
        <v>4</v>
      </c>
      <c r="C1496" s="269" t="inlineStr">
        <is>
          <t>01 - Caractéristiques d'identification techniques</t>
        </is>
      </c>
      <c r="D1496" s="310" t="inlineStr">
        <is>
          <t>01 - Technical identification characteristics</t>
        </is>
      </c>
      <c r="E1496" s="307" t="inlineStr">
        <is>
          <t>0.4 (Z9)</t>
        </is>
      </c>
      <c r="F1496" s="308" t="inlineStr">
        <is>
          <t>Fréquence de transmission</t>
        </is>
      </c>
      <c r="G1496" s="309" t="inlineStr">
        <is>
          <t>Transmission frequency</t>
        </is>
      </c>
      <c r="H1496" s="309" t="n"/>
      <c r="I1496" s="234" t="inlineStr">
        <is>
          <t>Permet d'identifier le flux dans les traitements</t>
        </is>
      </c>
      <c r="J1496" s="235" t="inlineStr">
        <is>
          <t>Makes it possible to identify the flow in the treatments</t>
        </is>
      </c>
      <c r="K1496" s="370" t="inlineStr">
        <is>
          <t>ND</t>
        </is>
      </c>
      <c r="L1496" s="371" t="inlineStr">
        <is>
          <t>ND</t>
        </is>
      </c>
      <c r="M1496" s="1420" t="inlineStr">
        <is>
          <t>NA</t>
        </is>
      </c>
      <c r="N1496" s="257" t="inlineStr">
        <is>
          <t>Obligatoire</t>
        </is>
      </c>
      <c r="O1496" s="310" t="inlineStr">
        <is>
          <t>Mandatory</t>
        </is>
      </c>
      <c r="P1496" s="370" t="inlineStr">
        <is>
          <t>NA</t>
        </is>
      </c>
      <c r="Q1496" s="370" t="inlineStr">
        <is>
          <t>NA</t>
        </is>
      </c>
      <c r="R1496" s="234" t="inlineStr">
        <is>
          <t>La seule valeur admise est 'M' pour mensuel</t>
        </is>
      </c>
      <c r="S1496" s="235" t="inlineStr">
        <is>
          <t>The only permitted value is 'M' for month</t>
        </is>
      </c>
      <c r="T1496" s="313" t="inlineStr">
        <is>
          <t>ALPHA</t>
        </is>
      </c>
      <c r="U1496" s="237" t="inlineStr">
        <is>
          <t>NA</t>
        </is>
      </c>
      <c r="V1496" s="238" t="inlineStr">
        <is>
          <t>NA</t>
        </is>
      </c>
      <c r="W1496" s="257" t="n">
        <v>1</v>
      </c>
      <c r="X1496" s="945" t="inlineStr">
        <is>
          <t>NA</t>
        </is>
      </c>
      <c r="Y1496" s="237" t="inlineStr">
        <is>
          <t>40</t>
        </is>
      </c>
      <c r="Z1496" s="237" t="inlineStr">
        <is>
          <t>NA</t>
        </is>
      </c>
      <c r="AA1496" s="237" t="inlineStr">
        <is>
          <t>NA</t>
        </is>
      </c>
      <c r="AB1496" s="269" t="inlineStr">
        <is>
          <t>USAGE ZP</t>
        </is>
      </c>
      <c r="AC1496" s="231" t="inlineStr">
        <is>
          <t>ND</t>
        </is>
      </c>
      <c r="AD1496" s="257" t="inlineStr">
        <is>
          <t>N</t>
        </is>
      </c>
      <c r="AE1496" s="257" t="inlineStr">
        <is>
          <t>NA</t>
        </is>
      </c>
      <c r="AF1496" s="257" t="inlineStr">
        <is>
          <t>NA</t>
        </is>
      </c>
      <c r="AG1496" s="258" t="inlineStr">
        <is>
          <t>NA</t>
        </is>
      </c>
      <c r="AH1496" s="89" t="n"/>
      <c r="AI1496" s="316" t="inlineStr">
        <is>
          <t>La donnée est obligatoire</t>
        </is>
      </c>
      <c r="AJ1496" s="233" t="inlineStr">
        <is>
          <t>The data is mandatory</t>
        </is>
      </c>
      <c r="AK1496" s="313" t="n"/>
      <c r="AL1496" s="319" t="inlineStr">
        <is>
          <t>EN0041</t>
        </is>
      </c>
      <c r="AM1496" s="682" t="n"/>
      <c r="AN1496" s="905" t="n"/>
      <c r="AO1496" s="313" t="n"/>
      <c r="AP1496" s="319" t="n"/>
      <c r="AQ1496" s="318" t="inlineStr">
        <is>
          <t>Si renseignée, la donnée doit être égale à 'M' ou 'C'.</t>
        </is>
      </c>
      <c r="AR1496" s="233" t="inlineStr">
        <is>
          <t>If filled in, the data must be equal to 'M' or 'C'.</t>
        </is>
      </c>
      <c r="AS1496" s="313" t="n"/>
      <c r="AT1496" s="319" t="inlineStr">
        <is>
          <t>EN0043</t>
        </is>
      </c>
      <c r="AU1496" s="682" t="n"/>
      <c r="AV1496" s="233" t="n"/>
      <c r="AW1496" s="313" t="n"/>
      <c r="AX1496" s="319" t="n"/>
      <c r="AY1496" s="682" t="n"/>
      <c r="AZ1496" s="905" t="n"/>
      <c r="BA1496" s="313" t="n"/>
      <c r="BB1496" s="319" t="n"/>
      <c r="BC1496" s="879" t="n"/>
      <c r="BD1496" s="905" t="n"/>
      <c r="BE1496" s="313" t="n"/>
      <c r="BF1496" s="319" t="n"/>
      <c r="BG1496" s="89" t="n"/>
      <c r="BH149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96">
        <f>_xlfn.LET(r,ROW(),oc,INDEX($A:$A,r),cv,TRIM(INDEX($Y:$Y,r)&amp;""),IF(oc&lt;&gt;"P1","",IF(cv="45","V45 - novo, nao alimentado pelo spool atual","V44 - alimentado pelo spool atual")))</f>
        <v/>
      </c>
    </row>
    <row r="1497" ht="54" customFormat="1" customHeight="1" s="91">
      <c r="A1497" s="306" t="inlineStr">
        <is>
          <t>Z9</t>
        </is>
      </c>
      <c r="B1497" s="307" t="n">
        <v>5</v>
      </c>
      <c r="C1497" s="269" t="inlineStr">
        <is>
          <t>01 - Caractéristiques d'identification techniques</t>
        </is>
      </c>
      <c r="D1497" s="310" t="inlineStr">
        <is>
          <t>01 - Technical identification characteristics</t>
        </is>
      </c>
      <c r="E1497" s="307" t="inlineStr">
        <is>
          <t>0.5 (Z9)</t>
        </is>
      </c>
      <c r="F1497" s="308" t="inlineStr">
        <is>
          <t>Date et Heure de traitement</t>
        </is>
      </c>
      <c r="G1497" s="309" t="inlineStr">
        <is>
          <t>Date and time of processing</t>
        </is>
      </c>
      <c r="H1497" s="309" t="n"/>
      <c r="I1497" s="234" t="inlineStr">
        <is>
          <t>Correspond à la date et heure du début du traitement ayant produit le flux</t>
        </is>
      </c>
      <c r="J1497" s="235" t="inlineStr">
        <is>
          <t>Represents the date and time at which treatment began</t>
        </is>
      </c>
      <c r="K1497" s="370" t="inlineStr">
        <is>
          <t>ND</t>
        </is>
      </c>
      <c r="L1497" s="371" t="inlineStr">
        <is>
          <t>ND</t>
        </is>
      </c>
      <c r="M1497" s="1420" t="inlineStr">
        <is>
          <t>NA</t>
        </is>
      </c>
      <c r="N1497" s="257" t="inlineStr">
        <is>
          <t>Obligatoire</t>
        </is>
      </c>
      <c r="O1497" s="310" t="inlineStr">
        <is>
          <t>Mandatory</t>
        </is>
      </c>
      <c r="P1497" s="370" t="inlineStr">
        <is>
          <t>NA</t>
        </is>
      </c>
      <c r="Q1497" s="370" t="inlineStr">
        <is>
          <t>NA</t>
        </is>
      </c>
      <c r="R1497" s="234" t="inlineStr">
        <is>
          <t>Unicité obligatoire au sein d'un Lot déterminé</t>
        </is>
      </c>
      <c r="S1497" s="235" t="inlineStr">
        <is>
          <t>Has to be unique within a specific Batch</t>
        </is>
      </c>
      <c r="T1497" s="313" t="inlineStr">
        <is>
          <t>ALPHA</t>
        </is>
      </c>
      <c r="U1497" s="237" t="inlineStr">
        <is>
          <t>NA</t>
        </is>
      </c>
      <c r="V1497" s="238" t="inlineStr">
        <is>
          <t>NA</t>
        </is>
      </c>
      <c r="W1497" s="257" t="n">
        <v>12</v>
      </c>
      <c r="X1497" s="945" t="inlineStr">
        <is>
          <t>NA</t>
        </is>
      </c>
      <c r="Y1497" s="237" t="inlineStr">
        <is>
          <t>40</t>
        </is>
      </c>
      <c r="Z1497" s="237" t="inlineStr">
        <is>
          <t>NA</t>
        </is>
      </c>
      <c r="AA1497" s="237" t="inlineStr">
        <is>
          <t>NA</t>
        </is>
      </c>
      <c r="AB1497" s="269" t="inlineStr">
        <is>
          <t>USAGE ZP</t>
        </is>
      </c>
      <c r="AC1497" s="231" t="inlineStr">
        <is>
          <t>ND</t>
        </is>
      </c>
      <c r="AD1497" s="257" t="inlineStr">
        <is>
          <t>N</t>
        </is>
      </c>
      <c r="AE1497" s="257" t="inlineStr">
        <is>
          <t>NA</t>
        </is>
      </c>
      <c r="AF1497" s="257" t="inlineStr">
        <is>
          <t>NA</t>
        </is>
      </c>
      <c r="AG1497" s="258" t="inlineStr">
        <is>
          <t>NA</t>
        </is>
      </c>
      <c r="AH1497" s="89" t="n"/>
      <c r="AI1497" s="316" t="inlineStr">
        <is>
          <t>La donnée est obligatoire</t>
        </is>
      </c>
      <c r="AJ1497" s="233" t="inlineStr">
        <is>
          <t>The data is mandatory</t>
        </is>
      </c>
      <c r="AK1497" s="313" t="n"/>
      <c r="AL1497" s="258" t="inlineStr">
        <is>
          <t>EN0051</t>
        </is>
      </c>
      <c r="AM1497" s="682" t="n"/>
      <c r="AN1497" s="905" t="n"/>
      <c r="AO1497" s="313" t="n"/>
      <c r="AP1497" s="319" t="n"/>
      <c r="AQ1497" s="682" t="n"/>
      <c r="AR1497" s="905" t="n"/>
      <c r="AS1497" s="313" t="n"/>
      <c r="AT1497" s="319" t="n"/>
      <c r="AU1497" s="318" t="inlineStr">
        <is>
          <t xml:space="preserve">Si renseignée, la date doit être strictement supérieure à la date de traitement [EN 0.5] du dernier lot traité et non recyclé.
(= on ne peut pas intégrer un lot déjà présenté sauf si ce lot avait été mis en recyclage)
Dans la table INTEGRATED_PARENT, pour le même SCOPE_SRC_CD (= BAAPID), la date doit être supérieure à la dernière date (= SRC_DT) avec le statut « QUALITY_OK ». </t>
        </is>
      </c>
      <c r="AV1497" s="233" t="inlineStr">
        <is>
          <t xml:space="preserve">If filled in, the date must be strictly greater than the treatment date [EN 0.5] of the last batch processed and not recycled.
(= a previously submitted batch cannot be included unless the batch has been placed in recycling)
In the INTEGRATED_PARENT table, for the same SCOPE_SRC_CD (= BAAPID), the date must be greater than the last date (= SRC_DT) with the status 'QUALITY_OK'. </t>
        </is>
      </c>
      <c r="AW1497" s="313" t="n"/>
      <c r="AX1497" s="319" t="inlineStr">
        <is>
          <t>EN0056</t>
        </is>
      </c>
      <c r="AY1497" s="682" t="n"/>
      <c r="AZ1497" s="905" t="n"/>
      <c r="BA1497" s="313" t="n"/>
      <c r="BB1497" s="319" t="n"/>
      <c r="BC1497" s="879" t="n"/>
      <c r="BD1497" s="905" t="n"/>
      <c r="BE1497" s="313" t="n"/>
      <c r="BF1497" s="319" t="n"/>
      <c r="BG1497" s="89" t="n"/>
      <c r="BH149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97">
        <f>_xlfn.LET(r,ROW(),oc,INDEX($A:$A,r),cv,TRIM(INDEX($Y:$Y,r)&amp;""),IF(oc&lt;&gt;"P1","",IF(cv="45","V45 - novo, nao alimentado pelo spool atual","V44 - alimentado pelo spool atual")))</f>
        <v/>
      </c>
    </row>
    <row r="1498" ht="54" customFormat="1" customHeight="1" s="91">
      <c r="A1498" s="306" t="inlineStr">
        <is>
          <t>Z9</t>
        </is>
      </c>
      <c r="B1498" s="307" t="n">
        <v>6</v>
      </c>
      <c r="C1498" s="269" t="inlineStr">
        <is>
          <t>01 - Caractéristiques d'identification techniques</t>
        </is>
      </c>
      <c r="D1498" s="310" t="inlineStr">
        <is>
          <t>01 - Technical identification characteristics</t>
        </is>
      </c>
      <c r="E1498" s="307" t="inlineStr">
        <is>
          <t>0.6 (Z9)</t>
        </is>
      </c>
      <c r="F1498" s="308" t="inlineStr">
        <is>
          <t>Type d'enregistrement</t>
        </is>
      </c>
      <c r="G1498" s="309" t="inlineStr">
        <is>
          <t>Record type</t>
        </is>
      </c>
      <c r="H1498" s="309" t="n"/>
      <c r="I1498" s="242" t="inlineStr">
        <is>
          <t>Caractérise le type d'enregistrement remonté par l'entité</t>
        </is>
      </c>
      <c r="J1498" s="235" t="inlineStr">
        <is>
          <t>Represents the record type reported by the entity</t>
        </is>
      </c>
      <c r="K1498" s="370" t="inlineStr">
        <is>
          <t>ND</t>
        </is>
      </c>
      <c r="L1498" s="371" t="inlineStr">
        <is>
          <t>ND</t>
        </is>
      </c>
      <c r="M1498" s="1420" t="inlineStr">
        <is>
          <t>NA</t>
        </is>
      </c>
      <c r="N1498" s="257" t="inlineStr">
        <is>
          <t>Obligatoire</t>
        </is>
      </c>
      <c r="O1498" s="310" t="inlineStr">
        <is>
          <t>Mandatory</t>
        </is>
      </c>
      <c r="P1498" s="370" t="inlineStr">
        <is>
          <t>NA</t>
        </is>
      </c>
      <c r="Q1498" s="370" t="inlineStr">
        <is>
          <t>NA</t>
        </is>
      </c>
      <c r="R1498" s="241" t="inlineStr">
        <is>
          <t>NA</t>
        </is>
      </c>
      <c r="S1498" s="233" t="inlineStr">
        <is>
          <t>NA</t>
        </is>
      </c>
      <c r="T1498" s="313" t="inlineStr">
        <is>
          <t>ALPHA</t>
        </is>
      </c>
      <c r="U1498" s="237" t="inlineStr">
        <is>
          <t>NA</t>
        </is>
      </c>
      <c r="V1498" s="238" t="inlineStr">
        <is>
          <t>NA</t>
        </is>
      </c>
      <c r="W1498" s="257" t="n">
        <v>2</v>
      </c>
      <c r="X1498" s="945" t="inlineStr">
        <is>
          <t>NA</t>
        </is>
      </c>
      <c r="Y1498" s="237" t="inlineStr">
        <is>
          <t>40</t>
        </is>
      </c>
      <c r="Z1498" s="237" t="inlineStr">
        <is>
          <t>NA</t>
        </is>
      </c>
      <c r="AA1498" s="237" t="inlineStr">
        <is>
          <t>NA</t>
        </is>
      </c>
      <c r="AB1498" s="269" t="inlineStr">
        <is>
          <t>USAGE ZP</t>
        </is>
      </c>
      <c r="AC1498" s="231" t="inlineStr">
        <is>
          <t>ND</t>
        </is>
      </c>
      <c r="AD1498" s="257" t="inlineStr">
        <is>
          <t>N</t>
        </is>
      </c>
      <c r="AE1498" s="257" t="inlineStr">
        <is>
          <t>NA</t>
        </is>
      </c>
      <c r="AF1498" s="257" t="inlineStr">
        <is>
          <t>NA</t>
        </is>
      </c>
      <c r="AG1498" s="258" t="inlineStr">
        <is>
          <t>NA</t>
        </is>
      </c>
      <c r="AH1498" s="89" t="n"/>
      <c r="AI1498" s="316" t="inlineStr">
        <is>
          <t>La donnée est obligatoire</t>
        </is>
      </c>
      <c r="AJ1498" s="233" t="inlineStr">
        <is>
          <t>The data is mandatory</t>
        </is>
      </c>
      <c r="AK1498" s="313" t="n"/>
      <c r="AL1498" s="258" t="inlineStr">
        <is>
          <t>EN0061</t>
        </is>
      </c>
      <c r="AM1498" s="682" t="n"/>
      <c r="AN1498" s="905" t="n"/>
      <c r="AO1498" s="313" t="n"/>
      <c r="AP1498" s="319" t="n"/>
      <c r="AQ1498" s="322" t="inlineStr">
        <is>
          <t>Si renseignée, la donnée doit être égale à ‘Z9'</t>
        </is>
      </c>
      <c r="AR1498" s="233" t="inlineStr">
        <is>
          <t>If filled in, the data must be equal to 'Z9'</t>
        </is>
      </c>
      <c r="AS1498" s="313" t="n"/>
      <c r="AT1498" s="258" t="inlineStr">
        <is>
          <t>EN0061</t>
        </is>
      </c>
      <c r="AU1498" s="682" t="n"/>
      <c r="AV1498" s="233" t="n"/>
      <c r="AW1498" s="313" t="n"/>
      <c r="AX1498" s="319" t="n"/>
      <c r="AY1498" s="682" t="n"/>
      <c r="AZ1498" s="905" t="n"/>
      <c r="BA1498" s="313" t="n"/>
      <c r="BB1498" s="319" t="n"/>
      <c r="BC1498" s="879" t="n"/>
      <c r="BD1498" s="905" t="n"/>
      <c r="BE1498" s="313" t="n"/>
      <c r="BF1498" s="319" t="n"/>
      <c r="BG1498" s="89" t="n"/>
      <c r="BH149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98">
        <f>_xlfn.LET(r,ROW(),oc,INDEX($A:$A,r),cv,TRIM(INDEX($Y:$Y,r)&amp;""),IF(oc&lt;&gt;"P1","",IF(cv="45","V45 - novo, nao alimentado pelo spool atual","V44 - alimentado pelo spool atual")))</f>
        <v/>
      </c>
    </row>
    <row r="1499" ht="54" customFormat="1" customHeight="1" s="57">
      <c r="A1499" s="325" t="inlineStr">
        <is>
          <t>Z9</t>
        </is>
      </c>
      <c r="B1499" s="326" t="n">
        <v>7</v>
      </c>
      <c r="C1499" s="284" t="inlineStr">
        <is>
          <t>NA</t>
        </is>
      </c>
      <c r="D1499" s="284" t="inlineStr">
        <is>
          <t>NA</t>
        </is>
      </c>
      <c r="E1499" s="326" t="inlineStr">
        <is>
          <t>0.99 (Z9)</t>
        </is>
      </c>
      <c r="F1499" s="327" t="inlineStr">
        <is>
          <t>Filler</t>
        </is>
      </c>
      <c r="G1499" s="327" t="inlineStr">
        <is>
          <t>Filler</t>
        </is>
      </c>
      <c r="H1499" s="327" t="n"/>
      <c r="I1499" s="247" t="inlineStr">
        <is>
          <t>Zone libre</t>
        </is>
      </c>
      <c r="J1499" s="245" t="inlineStr">
        <is>
          <t>Free zone</t>
        </is>
      </c>
      <c r="K1499" s="284" t="inlineStr">
        <is>
          <t>NA</t>
        </is>
      </c>
      <c r="L1499" s="284" t="inlineStr">
        <is>
          <t>NA</t>
        </is>
      </c>
      <c r="M1499" s="1421" t="inlineStr">
        <is>
          <t>NA</t>
        </is>
      </c>
      <c r="N1499" s="284" t="inlineStr">
        <is>
          <t>NA</t>
        </is>
      </c>
      <c r="O1499" s="284" t="inlineStr">
        <is>
          <t>NA</t>
        </is>
      </c>
      <c r="P1499" s="284" t="inlineStr">
        <is>
          <t>NA</t>
        </is>
      </c>
      <c r="Q1499" s="284" t="inlineStr">
        <is>
          <t>NA</t>
        </is>
      </c>
      <c r="R1499" s="247" t="inlineStr">
        <is>
          <t>Laisser à vide</t>
        </is>
      </c>
      <c r="S1499" s="247" t="inlineStr">
        <is>
          <t>Leave empty</t>
        </is>
      </c>
      <c r="T1499" s="326" t="inlineStr">
        <is>
          <t>ALPHA</t>
        </is>
      </c>
      <c r="U1499" s="248" t="inlineStr">
        <is>
          <t>NA</t>
        </is>
      </c>
      <c r="V1499" s="248" t="inlineStr">
        <is>
          <t>NA</t>
        </is>
      </c>
      <c r="W1499" s="284" t="n">
        <v>10</v>
      </c>
      <c r="X1499" s="284" t="inlineStr">
        <is>
          <t>NA</t>
        </is>
      </c>
      <c r="Y1499" s="248" t="inlineStr">
        <is>
          <t>NA</t>
        </is>
      </c>
      <c r="Z1499" s="248" t="inlineStr">
        <is>
          <t>NA</t>
        </is>
      </c>
      <c r="AA1499" s="782" t="inlineStr">
        <is>
          <t>NA</t>
        </is>
      </c>
      <c r="AB1499" s="284" t="inlineStr">
        <is>
          <t>NA</t>
        </is>
      </c>
      <c r="AC1499" s="244" t="inlineStr">
        <is>
          <t>NA</t>
        </is>
      </c>
      <c r="AD1499" s="284" t="inlineStr">
        <is>
          <t>N</t>
        </is>
      </c>
      <c r="AE1499" s="284" t="inlineStr">
        <is>
          <t>NA</t>
        </is>
      </c>
      <c r="AF1499" s="284" t="inlineStr">
        <is>
          <t>NA</t>
        </is>
      </c>
      <c r="AG1499" s="285" t="inlineStr">
        <is>
          <t>NA</t>
        </is>
      </c>
      <c r="AH1499" s="89" t="n"/>
      <c r="AI1499" s="906" t="n"/>
      <c r="AJ1499" s="907" t="n"/>
      <c r="AK1499" s="326" t="n"/>
      <c r="AL1499" s="908" t="n"/>
      <c r="AM1499" s="909" t="n"/>
      <c r="AN1499" s="907" t="n"/>
      <c r="AO1499" s="326" t="n"/>
      <c r="AP1499" s="908" t="n"/>
      <c r="AQ1499" s="909" t="n"/>
      <c r="AR1499" s="907" t="n"/>
      <c r="AS1499" s="326" t="n"/>
      <c r="AT1499" s="908" t="n"/>
      <c r="AU1499" s="909" t="n"/>
      <c r="AV1499" s="245" t="n"/>
      <c r="AW1499" s="326" t="n"/>
      <c r="AX1499" s="908" t="n"/>
      <c r="AY1499" s="909" t="n"/>
      <c r="AZ1499" s="907" t="n"/>
      <c r="BA1499" s="326" t="n"/>
      <c r="BB1499" s="908" t="n"/>
      <c r="BC1499" s="906" t="n"/>
      <c r="BD1499" s="907" t="n"/>
      <c r="BE1499" s="326" t="n"/>
      <c r="BF1499" s="908" t="n"/>
      <c r="BG1499" s="89" t="n"/>
      <c r="BH149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499">
        <f>_xlfn.LET(r,ROW(),oc,INDEX($A:$A,r),cv,TRIM(INDEX($Y:$Y,r)&amp;""),IF(oc&lt;&gt;"P1","",IF(cv="45","V45 - novo, nao alimentado pelo spool atual","V44 - alimentado pelo spool atual")))</f>
        <v/>
      </c>
    </row>
    <row r="1500" ht="54" customFormat="1" customHeight="1" s="91">
      <c r="A1500" s="306" t="inlineStr">
        <is>
          <t>Z9</t>
        </is>
      </c>
      <c r="B1500" s="307" t="n">
        <v>8</v>
      </c>
      <c r="C1500" s="269" t="inlineStr">
        <is>
          <t>01 - Caractéristiques d'identification techniques</t>
        </is>
      </c>
      <c r="D1500" s="236" t="inlineStr">
        <is>
          <t>01 - Technical identification characteristics</t>
        </is>
      </c>
      <c r="E1500" s="910" t="inlineStr">
        <is>
          <t>Z9 1.1</t>
        </is>
      </c>
      <c r="F1500" s="693" t="inlineStr">
        <is>
          <t>Nombre d'enregistrements du fichier</t>
        </is>
      </c>
      <c r="G1500" s="309" t="inlineStr">
        <is>
          <t>Number of records in the file</t>
        </is>
      </c>
      <c r="H1500" s="309" t="n"/>
      <c r="I1500" s="911" t="inlineStr">
        <is>
          <t>Nombre d'enregistrements tous types confondus hors enregistrement de type Z9, en-tête et en-queue</t>
        </is>
      </c>
      <c r="J1500" s="309" t="inlineStr">
        <is>
          <t>Number of records (all types combined) excluding ‘Z9', header and footer records</t>
        </is>
      </c>
      <c r="K1500" s="370" t="inlineStr">
        <is>
          <t>ND</t>
        </is>
      </c>
      <c r="L1500" s="371" t="inlineStr">
        <is>
          <t>ND</t>
        </is>
      </c>
      <c r="M1500" s="1420" t="inlineStr">
        <is>
          <t>NA</t>
        </is>
      </c>
      <c r="N1500" s="257" t="inlineStr">
        <is>
          <t>Obligatoire</t>
        </is>
      </c>
      <c r="O1500" s="310" t="inlineStr">
        <is>
          <t>Mandatory</t>
        </is>
      </c>
      <c r="P1500" s="370" t="inlineStr">
        <is>
          <t>NA</t>
        </is>
      </c>
      <c r="Q1500" s="370" t="inlineStr">
        <is>
          <t>NA</t>
        </is>
      </c>
      <c r="R1500" s="1249" t="inlineStr">
        <is>
          <t xml:space="preserve">Si le PACT est vide, alors le Nombre d'enregistrements du fichier [Z9 1.1] doit être égal à 0
Si le PACT est valorisé, alors le Nombre d'enregistrements du fichier [Z9 1.1] doit être égal au nombre d'enregistrements du PACT (hors Z9, en-tête, en-queue) </t>
        </is>
      </c>
      <c r="S1500" s="233" t="inlineStr">
        <is>
          <t xml:space="preserve">If PACT is empty, then Number of records in the file [Z9 1.1] must be equal to 0
If PACT has values, then Number of records in the file [Z9 1.1] must be equal to the number of records in the file (excluding Z9, header, footer) </t>
        </is>
      </c>
      <c r="T1500" s="313" t="inlineStr">
        <is>
          <t>ALPHA</t>
        </is>
      </c>
      <c r="U1500" s="237" t="inlineStr">
        <is>
          <t>NA</t>
        </is>
      </c>
      <c r="V1500" s="238" t="inlineStr">
        <is>
          <t>NA</t>
        </is>
      </c>
      <c r="W1500" s="257" t="n">
        <v>12</v>
      </c>
      <c r="X1500" s="945" t="inlineStr">
        <is>
          <t>NA</t>
        </is>
      </c>
      <c r="Y1500" s="237" t="inlineStr">
        <is>
          <t>40</t>
        </is>
      </c>
      <c r="Z1500" s="237" t="inlineStr">
        <is>
          <t>NA</t>
        </is>
      </c>
      <c r="AA1500" s="237" t="inlineStr">
        <is>
          <t>NA</t>
        </is>
      </c>
      <c r="AB1500" s="269" t="inlineStr">
        <is>
          <t>USAGE ZP</t>
        </is>
      </c>
      <c r="AC1500" s="231" t="inlineStr">
        <is>
          <t>ND</t>
        </is>
      </c>
      <c r="AD1500" s="257" t="inlineStr">
        <is>
          <t>N</t>
        </is>
      </c>
      <c r="AE1500" s="257" t="inlineStr">
        <is>
          <t>NA</t>
        </is>
      </c>
      <c r="AF1500" s="257" t="inlineStr">
        <is>
          <t>NA</t>
        </is>
      </c>
      <c r="AG1500" s="258" t="inlineStr">
        <is>
          <t>NA</t>
        </is>
      </c>
      <c r="AH1500" s="89" t="n"/>
      <c r="AI1500" s="879" t="n"/>
      <c r="AJ1500" s="905" t="n"/>
      <c r="AK1500" s="313" t="n"/>
      <c r="AL1500" s="319" t="n"/>
      <c r="AM1500" s="682" t="n"/>
      <c r="AN1500" s="905" t="n"/>
      <c r="AO1500" s="313" t="n"/>
      <c r="AP1500" s="319" t="n"/>
      <c r="AQ1500" s="682" t="n"/>
      <c r="AR1500" s="905" t="n"/>
      <c r="AS1500" s="313" t="n"/>
      <c r="AT1500" s="319" t="n"/>
      <c r="AU1500" s="682" t="n"/>
      <c r="AV1500" s="233" t="n"/>
      <c r="AW1500" s="313" t="n"/>
      <c r="AX1500" s="319" t="n"/>
      <c r="AY1500" s="682" t="n"/>
      <c r="AZ1500" s="905" t="n"/>
      <c r="BA1500" s="313" t="n"/>
      <c r="BB1500" s="319" t="n"/>
      <c r="BC1500" s="879" t="n"/>
      <c r="BD1500" s="905" t="n"/>
      <c r="BE1500" s="313" t="n"/>
      <c r="BF1500" s="319" t="n"/>
      <c r="BG1500" s="89" t="n"/>
      <c r="BH150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00">
        <f>_xlfn.LET(r,ROW(),oc,INDEX($A:$A,r),cv,TRIM(INDEX($Y:$Y,r)&amp;""),IF(oc&lt;&gt;"P1","",IF(cv="45","V45 - novo, nao alimentado pelo spool atual","V44 - alimentado pelo spool atual")))</f>
        <v/>
      </c>
    </row>
    <row r="1501" ht="54" customFormat="1" customHeight="1" s="139" thickBot="1">
      <c r="A1501" s="1196" t="inlineStr">
        <is>
          <t>Z9</t>
        </is>
      </c>
      <c r="B1501" s="1197" t="n">
        <v>9</v>
      </c>
      <c r="C1501" s="1185" t="inlineStr">
        <is>
          <t>NA</t>
        </is>
      </c>
      <c r="D1501" s="1185" t="inlineStr">
        <is>
          <t>NA</t>
        </is>
      </c>
      <c r="E1501" s="1197" t="inlineStr">
        <is>
          <t>Z9 99.99</t>
        </is>
      </c>
      <c r="F1501" s="1198" t="inlineStr">
        <is>
          <t>Filler</t>
        </is>
      </c>
      <c r="G1501" s="1198" t="inlineStr">
        <is>
          <t>Filler</t>
        </is>
      </c>
      <c r="H1501" s="1198" t="n"/>
      <c r="I1501" s="1186" t="inlineStr">
        <is>
          <t>Zone libre</t>
        </is>
      </c>
      <c r="J1501" s="1198" t="inlineStr">
        <is>
          <t>Free zone</t>
        </is>
      </c>
      <c r="K1501" s="1199" t="inlineStr">
        <is>
          <t>NA</t>
        </is>
      </c>
      <c r="L1501" s="1199" t="inlineStr">
        <is>
          <t>NA</t>
        </is>
      </c>
      <c r="M1501" s="1422" t="inlineStr">
        <is>
          <t>NA</t>
        </is>
      </c>
      <c r="N1501" s="1201" t="inlineStr">
        <is>
          <t>NA</t>
        </is>
      </c>
      <c r="O1501" s="1201" t="inlineStr">
        <is>
          <t>NA</t>
        </is>
      </c>
      <c r="P1501" s="1199" t="inlineStr">
        <is>
          <t>NA</t>
        </is>
      </c>
      <c r="Q1501" s="1199" t="inlineStr">
        <is>
          <t>NA</t>
        </is>
      </c>
      <c r="R1501" s="1186" t="inlineStr">
        <is>
          <t>Laisser à vide</t>
        </is>
      </c>
      <c r="S1501" s="1186" t="inlineStr">
        <is>
          <t>Leave empty</t>
        </is>
      </c>
      <c r="T1501" s="1197" t="inlineStr">
        <is>
          <t>ALPHA</t>
        </is>
      </c>
      <c r="U1501" s="1188" t="inlineStr">
        <is>
          <t>NA</t>
        </is>
      </c>
      <c r="V1501" s="1188" t="inlineStr">
        <is>
          <t>NA</t>
        </is>
      </c>
      <c r="W1501" s="1216">
        <f>8000-(SUM(W1493:W1500)+COUNT(W1493:W1500))</f>
        <v/>
      </c>
      <c r="X1501" s="1185" t="inlineStr">
        <is>
          <t>NA</t>
        </is>
      </c>
      <c r="Y1501" s="1188" t="n">
        <v>43</v>
      </c>
      <c r="Z1501" s="1188" t="inlineStr">
        <is>
          <t>NA</t>
        </is>
      </c>
      <c r="AA1501" s="1190" t="inlineStr">
        <is>
          <t>45.00</t>
        </is>
      </c>
      <c r="AB1501" s="1201" t="inlineStr">
        <is>
          <t>NA</t>
        </is>
      </c>
      <c r="AC1501" s="1185" t="inlineStr">
        <is>
          <t>NA</t>
        </is>
      </c>
      <c r="AD1501" s="1201" t="inlineStr">
        <is>
          <t>N</t>
        </is>
      </c>
      <c r="AE1501" s="1201" t="inlineStr">
        <is>
          <t>NA</t>
        </is>
      </c>
      <c r="AF1501" s="1201" t="inlineStr">
        <is>
          <t>NA</t>
        </is>
      </c>
      <c r="AG1501" s="1203" t="inlineStr">
        <is>
          <t>NA</t>
        </is>
      </c>
      <c r="AH1501" s="49" t="n"/>
      <c r="AI1501" s="1211" t="n"/>
      <c r="AJ1501" s="1212" t="n"/>
      <c r="AK1501" s="1197" t="n"/>
      <c r="AL1501" s="1213" t="n"/>
      <c r="AM1501" s="1214" t="n"/>
      <c r="AN1501" s="1212" t="n"/>
      <c r="AO1501" s="1197" t="n"/>
      <c r="AP1501" s="1213" t="n"/>
      <c r="AQ1501" s="1214" t="n"/>
      <c r="AR1501" s="1212" t="n"/>
      <c r="AS1501" s="1197" t="n"/>
      <c r="AT1501" s="1213" t="n"/>
      <c r="AU1501" s="1214" t="n"/>
      <c r="AV1501" s="1206" t="n"/>
      <c r="AW1501" s="1197" t="n"/>
      <c r="AX1501" s="1213" t="n"/>
      <c r="AY1501" s="1214" t="n"/>
      <c r="AZ1501" s="1212" t="n"/>
      <c r="BA1501" s="1197" t="n"/>
      <c r="BB1501" s="1213" t="n"/>
      <c r="BC1501" s="1211" t="n"/>
      <c r="BD1501" s="1212" t="n"/>
      <c r="BE1501" s="1197" t="n"/>
      <c r="BF1501" s="1213" t="n"/>
      <c r="BG1501" s="1360" t="n"/>
      <c r="BH150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01">
        <f>_xlfn.LET(r,ROW(),oc,INDEX($A:$A,r),cv,TRIM(INDEX($Y:$Y,r)&amp;""),IF(oc&lt;&gt;"P1","",IF(cv="45","V45 - novo, nao alimentado pelo spool atual","V44 - alimentado pelo spool atual")))</f>
        <v/>
      </c>
    </row>
    <row r="1502" ht="54" customFormat="1" customHeight="1" s="89">
      <c r="A1502" s="912" t="inlineStr">
        <is>
          <t>CRRC</t>
        </is>
      </c>
      <c r="B1502" s="913" t="n">
        <v>1</v>
      </c>
      <c r="C1502" s="913" t="inlineStr">
        <is>
          <t>99 - En-queue du flux</t>
        </is>
      </c>
      <c r="D1502" s="914" t="inlineStr">
        <is>
          <t>99 - File footer</t>
        </is>
      </c>
      <c r="E1502" s="915" t="inlineStr">
        <is>
          <t>CRRC F.ENREG</t>
        </is>
      </c>
      <c r="F1502" s="916" t="inlineStr">
        <is>
          <t>Type d'enregistrement</t>
        </is>
      </c>
      <c r="G1502" s="917" t="inlineStr">
        <is>
          <t>Type of record</t>
        </is>
      </c>
      <c r="H1502" s="917" t="n"/>
      <c r="I1502" s="916" t="inlineStr">
        <is>
          <t>Type d'enregistrement correspondant au bloc En-queue</t>
        </is>
      </c>
      <c r="J1502" s="917" t="inlineStr">
        <is>
          <t>Type of record corresponding to footer block</t>
        </is>
      </c>
      <c r="K1502" s="915" t="inlineStr">
        <is>
          <t>ND</t>
        </is>
      </c>
      <c r="L1502" s="918" t="inlineStr">
        <is>
          <t>ND</t>
        </is>
      </c>
      <c r="M1502" s="1428" t="inlineStr">
        <is>
          <t>ENREG</t>
        </is>
      </c>
      <c r="N1502" s="915" t="inlineStr">
        <is>
          <t>Obligatoire</t>
        </is>
      </c>
      <c r="O1502" s="918" t="inlineStr">
        <is>
          <t>Mandatory</t>
        </is>
      </c>
      <c r="P1502" s="915" t="inlineStr">
        <is>
          <t>NA</t>
        </is>
      </c>
      <c r="Q1502" s="915" t="inlineStr">
        <is>
          <t>NA</t>
        </is>
      </c>
      <c r="R1502" s="916" t="inlineStr">
        <is>
          <t>A alimenter à "99"</t>
        </is>
      </c>
      <c r="S1502" s="917" t="inlineStr">
        <is>
          <t>To be filled with "99"</t>
        </is>
      </c>
      <c r="T1502" s="915" t="inlineStr">
        <is>
          <t>ALPHA</t>
        </is>
      </c>
      <c r="U1502" s="919" t="inlineStr">
        <is>
          <t>NA</t>
        </is>
      </c>
      <c r="V1502" s="920" t="inlineStr">
        <is>
          <t>NA</t>
        </is>
      </c>
      <c r="W1502" s="915" t="n">
        <v>2</v>
      </c>
      <c r="X1502" s="915" t="inlineStr">
        <is>
          <t>NA</t>
        </is>
      </c>
      <c r="Y1502" s="919" t="n">
        <v>43</v>
      </c>
      <c r="Z1502" s="919" t="inlineStr">
        <is>
          <t>NA</t>
        </is>
      </c>
      <c r="AA1502" s="919" t="inlineStr">
        <is>
          <t>NA</t>
        </is>
      </c>
      <c r="AB1502" s="915" t="inlineStr">
        <is>
          <t>USAGE ZP</t>
        </is>
      </c>
      <c r="AC1502" s="294" t="inlineStr">
        <is>
          <t>NA</t>
        </is>
      </c>
      <c r="AD1502" s="915" t="inlineStr">
        <is>
          <t>NA</t>
        </is>
      </c>
      <c r="AE1502" s="915" t="inlineStr">
        <is>
          <t>NA</t>
        </is>
      </c>
      <c r="AF1502" s="915" t="inlineStr">
        <is>
          <t>NA</t>
        </is>
      </c>
      <c r="AG1502" s="921" t="inlineStr">
        <is>
          <t>NA</t>
        </is>
      </c>
      <c r="AI1502" s="904" t="n"/>
      <c r="AJ1502" s="900" t="n"/>
      <c r="AK1502" s="901" t="n"/>
      <c r="AL1502" s="902" t="n"/>
      <c r="AM1502" s="922" t="n"/>
      <c r="AN1502" s="923" t="n"/>
      <c r="AO1502" s="901" t="n"/>
      <c r="AP1502" s="902" t="n"/>
      <c r="AQ1502" s="903" t="n"/>
      <c r="AR1502" s="900" t="n"/>
      <c r="AS1502" s="901" t="n"/>
      <c r="AT1502" s="902" t="n"/>
      <c r="AU1502" s="903" t="n"/>
      <c r="AV1502" s="216" t="n"/>
      <c r="AW1502" s="901" t="n"/>
      <c r="AX1502" s="902" t="n"/>
      <c r="AY1502" s="903" t="n"/>
      <c r="AZ1502" s="900" t="n"/>
      <c r="BA1502" s="901" t="n"/>
      <c r="BB1502" s="902" t="n"/>
      <c r="BC1502" s="879" t="n"/>
      <c r="BD1502" s="905" t="n"/>
      <c r="BE1502" s="313" t="n"/>
      <c r="BF1502" s="319" t="n"/>
      <c r="BH1502">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02">
        <f>_xlfn.LET(r,ROW(),oc,INDEX($A:$A,r),cv,TRIM(INDEX($Y:$Y,r)&amp;""),IF(oc&lt;&gt;"P1","",IF(cv="45","V45 - novo, nao alimentado pelo spool atual","V44 - alimentado pelo spool atual")))</f>
        <v/>
      </c>
    </row>
    <row r="1503" ht="54" customFormat="1" customHeight="1" s="89">
      <c r="A1503" s="926" t="inlineStr">
        <is>
          <t>CRRC</t>
        </is>
      </c>
      <c r="B1503" s="910" t="n">
        <v>2</v>
      </c>
      <c r="C1503" s="910" t="inlineStr">
        <is>
          <t>99 - En-queue du flux</t>
        </is>
      </c>
      <c r="D1503" s="924" t="inlineStr">
        <is>
          <t>99 - File footer</t>
        </is>
      </c>
      <c r="E1503" s="583" t="inlineStr">
        <is>
          <t>CRRC F.QCECENRE</t>
        </is>
      </c>
      <c r="F1503" s="693" t="inlineStr">
        <is>
          <t>Nombre d'enregistrements</t>
        </is>
      </c>
      <c r="G1503" s="489" t="inlineStr">
        <is>
          <t>Number of records</t>
        </is>
      </c>
      <c r="H1503" s="489" t="n"/>
      <c r="I1503" s="693" t="inlineStr">
        <is>
          <t>Nombre total d'enregistrements du fichier y compris l'en-tête et l'en-queue</t>
        </is>
      </c>
      <c r="J1503" s="489" t="inlineStr">
        <is>
          <t>Total number of records included in the file, including the header and footer</t>
        </is>
      </c>
      <c r="K1503" s="687" t="inlineStr">
        <is>
          <t>ND</t>
        </is>
      </c>
      <c r="L1503" s="925" t="inlineStr">
        <is>
          <t>ND</t>
        </is>
      </c>
      <c r="M1503" s="1429" t="inlineStr">
        <is>
          <t>QCECENRE</t>
        </is>
      </c>
      <c r="N1503" s="687" t="inlineStr">
        <is>
          <t>Obligatoire</t>
        </is>
      </c>
      <c r="O1503" s="925" t="inlineStr">
        <is>
          <t>Mandatory</t>
        </is>
      </c>
      <c r="P1503" s="687" t="inlineStr">
        <is>
          <t>NA</t>
        </is>
      </c>
      <c r="Q1503" s="687" t="inlineStr">
        <is>
          <t>NA</t>
        </is>
      </c>
      <c r="R1503" s="693" t="inlineStr">
        <is>
          <t>NA</t>
        </is>
      </c>
      <c r="S1503" s="489" t="inlineStr">
        <is>
          <t>NA</t>
        </is>
      </c>
      <c r="T1503" s="687" t="inlineStr">
        <is>
          <t>NUM</t>
        </is>
      </c>
      <c r="U1503" s="264" t="inlineStr">
        <is>
          <t>NA</t>
        </is>
      </c>
      <c r="V1503" s="265" t="inlineStr">
        <is>
          <t>NA</t>
        </is>
      </c>
      <c r="W1503" s="687" t="n">
        <v>10</v>
      </c>
      <c r="X1503" s="687" t="inlineStr">
        <is>
          <t>NA</t>
        </is>
      </c>
      <c r="Y1503" s="264" t="n">
        <v>43</v>
      </c>
      <c r="Z1503" s="264" t="inlineStr">
        <is>
          <t>NA</t>
        </is>
      </c>
      <c r="AA1503" s="264" t="inlineStr">
        <is>
          <t>NA</t>
        </is>
      </c>
      <c r="AB1503" s="687" t="inlineStr">
        <is>
          <t>USAGE ZP</t>
        </is>
      </c>
      <c r="AC1503" s="231" t="inlineStr">
        <is>
          <t>NA</t>
        </is>
      </c>
      <c r="AD1503" s="687" t="inlineStr">
        <is>
          <t>NA</t>
        </is>
      </c>
      <c r="AE1503" s="687" t="inlineStr">
        <is>
          <t>NA</t>
        </is>
      </c>
      <c r="AF1503" s="687" t="inlineStr">
        <is>
          <t>NA</t>
        </is>
      </c>
      <c r="AG1503" s="688" t="inlineStr">
        <is>
          <t>NA</t>
        </is>
      </c>
      <c r="AI1503" s="879" t="n"/>
      <c r="AJ1503" s="905" t="n"/>
      <c r="AK1503" s="313" t="n"/>
      <c r="AL1503" s="319" t="n"/>
      <c r="AM1503" s="927" t="n"/>
      <c r="AN1503" s="928" t="n"/>
      <c r="AO1503" s="313" t="n"/>
      <c r="AP1503" s="319" t="n"/>
      <c r="AQ1503" s="682" t="n"/>
      <c r="AR1503" s="905" t="n"/>
      <c r="AS1503" s="313" t="n"/>
      <c r="AT1503" s="319" t="n"/>
      <c r="AU1503" s="682" t="n"/>
      <c r="AV1503" s="233" t="n"/>
      <c r="AW1503" s="313" t="n"/>
      <c r="AX1503" s="319" t="n"/>
      <c r="AY1503" s="682" t="n"/>
      <c r="AZ1503" s="905" t="n"/>
      <c r="BA1503" s="313" t="n"/>
      <c r="BB1503" s="319" t="n"/>
      <c r="BC1503" s="879" t="n"/>
      <c r="BD1503" s="905" t="n"/>
      <c r="BE1503" s="313" t="n"/>
      <c r="BF1503" s="319" t="n"/>
      <c r="BH1503">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03">
        <f>_xlfn.LET(r,ROW(),oc,INDEX($A:$A,r),cv,TRIM(INDEX($Y:$Y,r)&amp;""),IF(oc&lt;&gt;"P1","",IF(cv="45","V45 - novo, nao alimentado pelo spool atual","V44 - alimentado pelo spool atual")))</f>
        <v/>
      </c>
    </row>
    <row r="1504" ht="54" customFormat="1" customHeight="1" s="89" thickBot="1">
      <c r="A1504" s="122" t="inlineStr">
        <is>
          <t>CRRC</t>
        </is>
      </c>
      <c r="B1504" s="22" t="n">
        <v>3</v>
      </c>
      <c r="C1504" s="22" t="inlineStr">
        <is>
          <t>99 - En-queue du flux</t>
        </is>
      </c>
      <c r="D1504" s="23" t="inlineStr">
        <is>
          <t>99 - File footer</t>
        </is>
      </c>
      <c r="E1504" s="123" t="inlineStr">
        <is>
          <t>CRRC F.FILLER</t>
        </is>
      </c>
      <c r="F1504" s="24" t="inlineStr">
        <is>
          <t>Filler</t>
        </is>
      </c>
      <c r="G1504" s="25" t="inlineStr">
        <is>
          <t>Filler</t>
        </is>
      </c>
      <c r="H1504" s="25" t="n"/>
      <c r="I1504" s="24" t="inlineStr">
        <is>
          <t>Filler pour évolutions futures</t>
        </is>
      </c>
      <c r="J1504" s="25" t="inlineStr">
        <is>
          <t>Filler for future evolution</t>
        </is>
      </c>
      <c r="K1504" s="26" t="inlineStr">
        <is>
          <t>NA</t>
        </is>
      </c>
      <c r="L1504" s="27" t="inlineStr">
        <is>
          <t>NA</t>
        </is>
      </c>
      <c r="M1504" s="1430" t="inlineStr">
        <is>
          <t>FILLER</t>
        </is>
      </c>
      <c r="N1504" s="26" t="inlineStr">
        <is>
          <t>Facultatif</t>
        </is>
      </c>
      <c r="O1504" s="27" t="inlineStr">
        <is>
          <t>Optional</t>
        </is>
      </c>
      <c r="P1504" s="26" t="inlineStr">
        <is>
          <t>NA</t>
        </is>
      </c>
      <c r="Q1504" s="26" t="inlineStr">
        <is>
          <t>NA</t>
        </is>
      </c>
      <c r="R1504" s="24" t="inlineStr">
        <is>
          <t>NA</t>
        </is>
      </c>
      <c r="S1504" s="25" t="inlineStr">
        <is>
          <t>NA</t>
        </is>
      </c>
      <c r="T1504" s="26" t="inlineStr">
        <is>
          <t>ALPHA</t>
        </is>
      </c>
      <c r="U1504" s="152" t="inlineStr">
        <is>
          <t>NA</t>
        </is>
      </c>
      <c r="V1504" s="153" t="inlineStr">
        <is>
          <t>NA</t>
        </is>
      </c>
      <c r="W1504" s="26">
        <f>8000-(SUM(W1502:W1503)+COUNT(W1502:W1503))</f>
        <v/>
      </c>
      <c r="X1504" s="26" t="inlineStr">
        <is>
          <t>NA</t>
        </is>
      </c>
      <c r="Y1504" s="152" t="n">
        <v>43</v>
      </c>
      <c r="Z1504" s="152" t="inlineStr">
        <is>
          <t>NA</t>
        </is>
      </c>
      <c r="AA1504" s="158" t="inlineStr">
        <is>
          <t>NA</t>
        </is>
      </c>
      <c r="AB1504" s="26" t="inlineStr">
        <is>
          <t>USAGE ZP</t>
        </is>
      </c>
      <c r="AC1504" s="26" t="inlineStr">
        <is>
          <t>NA</t>
        </is>
      </c>
      <c r="AD1504" s="26" t="inlineStr">
        <is>
          <t>NA</t>
        </is>
      </c>
      <c r="AE1504" s="26" t="inlineStr">
        <is>
          <t>NA</t>
        </is>
      </c>
      <c r="AF1504" s="26" t="inlineStr">
        <is>
          <t>NA</t>
        </is>
      </c>
      <c r="AG1504" s="28" t="inlineStr">
        <is>
          <t>NA</t>
        </is>
      </c>
      <c r="AI1504" s="96" t="n"/>
      <c r="AJ1504" s="29" t="n"/>
      <c r="AK1504" s="97" t="n"/>
      <c r="AL1504" s="98" t="n"/>
      <c r="AM1504" s="99" t="n"/>
      <c r="AN1504" s="30" t="n"/>
      <c r="AO1504" s="97" t="n"/>
      <c r="AP1504" s="98" t="n"/>
      <c r="AQ1504" s="100" t="n"/>
      <c r="AR1504" s="29" t="n"/>
      <c r="AS1504" s="97" t="n"/>
      <c r="AT1504" s="98" t="n"/>
      <c r="AU1504" s="100" t="n"/>
      <c r="AV1504" s="29" t="n"/>
      <c r="AW1504" s="97" t="n"/>
      <c r="AX1504" s="98" t="n"/>
      <c r="AY1504" s="100" t="n"/>
      <c r="AZ1504" s="29" t="n"/>
      <c r="BA1504" s="97" t="n"/>
      <c r="BB1504" s="98" t="n"/>
      <c r="BC1504" s="96" t="n"/>
      <c r="BD1504" s="29" t="n"/>
      <c r="BE1504" s="97" t="n"/>
      <c r="BF1504" s="98" t="n"/>
      <c r="BH1504">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04">
        <f>_xlfn.LET(r,ROW(),oc,INDEX($A:$A,r),cv,TRIM(INDEX($Y:$Y,r)&amp;""),IF(oc&lt;&gt;"P1","",IF(cv="45","V45 - novo, nao alimentado pelo spool atual","V44 - alimentado pelo spool atual")))</f>
        <v/>
      </c>
    </row>
    <row r="1505">
      <c r="BH1505">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05">
        <f>_xlfn.LET(r,ROW(),oc,INDEX($A:$A,r),cv,TRIM(INDEX($Y:$Y,r)&amp;""),IF(oc&lt;&gt;"P1","",IF(cv="45","V45 - novo, nao alimentado pelo spool atual","V44 - alimentado pelo spool atual")))</f>
        <v/>
      </c>
    </row>
    <row r="1506">
      <c r="BH1506">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06">
        <f>_xlfn.LET(r,ROW(),oc,INDEX($A:$A,r),cv,TRIM(INDEX($Y:$Y,r)&amp;""),IF(oc&lt;&gt;"P1","",IF(cv="45","V45 - novo, nao alimentado pelo spool atual","V44 - alimentado pelo spool atual")))</f>
        <v/>
      </c>
    </row>
    <row r="1507">
      <c r="BH1507">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07">
        <f>_xlfn.LET(r,ROW(),oc,INDEX($A:$A,r),cv,TRIM(INDEX($Y:$Y,r)&amp;""),IF(oc&lt;&gt;"P1","",IF(cv="45","V45 - novo, nao alimentado pelo spool atual","V44 - alimentado pelo spool atual")))</f>
        <v/>
      </c>
    </row>
    <row r="1508">
      <c r="G1508" s="167" t="n"/>
      <c r="H1508" s="167" t="n"/>
      <c r="AL1508" s="161" t="n"/>
      <c r="AQ1508" s="161" t="inlineStr">
        <is>
          <t> </t>
        </is>
      </c>
      <c r="BH1508">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08">
        <f>_xlfn.LET(r,ROW(),oc,INDEX($A:$A,r),cv,TRIM(INDEX($Y:$Y,r)&amp;""),IF(oc&lt;&gt;"P1","",IF(cv="45","V45 - novo, nao alimentado pelo spool atual","V44 - alimentado pelo spool atual")))</f>
        <v/>
      </c>
    </row>
    <row r="1509">
      <c r="G1509" s="167" t="n"/>
      <c r="H1509" s="167" t="n"/>
      <c r="BH1509">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09">
        <f>_xlfn.LET(r,ROW(),oc,INDEX($A:$A,r),cv,TRIM(INDEX($Y:$Y,r)&amp;""),IF(oc&lt;&gt;"P1","",IF(cv="45","V45 - novo, nao alimentado pelo spool atual","V44 - alimentado pelo spool atual")))</f>
        <v/>
      </c>
    </row>
    <row r="1510">
      <c r="AE1510" s="948" t="n"/>
      <c r="BH1510">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10">
        <f>_xlfn.LET(r,ROW(),oc,INDEX($A:$A,r),cv,TRIM(INDEX($Y:$Y,r)&amp;""),IF(oc&lt;&gt;"P1","",IF(cv="45","V45 - novo, nao alimentado pelo spool atual","V44 - alimentado pelo spool atual")))</f>
        <v/>
      </c>
    </row>
    <row r="1511">
      <c r="AE1511" s="948" t="n"/>
      <c r="BH1511">
        <f>_xlfn.LET(r,ROW(),ref,TRIM(INDEX($E:$E,r)),fmt,UPPER(TRIM(INDEX($T:$T,r))),lng,INDEX($W:$W,r),rule,INDEX($U:$U,r),nm,INDEX($F:$F,r),oc,INDEX($A:$A,r),num,SUBSTITUTE(SUBSTITUTE(SUBSTITUTE(ref,"(P1)",""),"P1","")," ",""),isH,ISNUMBER(SEARCH("(P1)",ref)),col,IF(isH,"P1_H_","P1_")&amp;SUBSTITUTE(num,".","_"),cut,IFERROR(LEFT(rule,SEARCH("cimale",rule)-1),""),cut2,IFERROR(TRIM(LEFT(TRIM(cut),LEN(TRIM(cut))-2)),""),dec,IFERROR(VALUE(TRIM(RIGHT(SUBSTITUTE(cut2," ",REPT(" ",50)),50))),0),sgn,IF(ISNUMBER(SEARCH("signe",rule)),1,0),sep,IF(ISNUMBER(SEARCH("parateur",rule)),1,0),typ,IF(fmt="DATE","DATE",IF(fmt="ALPHA","VARCHAR2("&amp;lng&amp;")",IF(fmt="NUM","NUMBER("&amp;(lng-sgn-sep)&amp;IF(dec&gt;0,","&amp;dec,"")&amp;")","VARCHAR2("&amp;lng&amp;")"))),IF(oc&lt;&gt;"P1","","    "&amp;col&amp;"  "&amp;typ&amp;" ,  -- "&amp;ref&amp;" "&amp;nm))</f>
        <v/>
      </c>
      <c r="BI1511">
        <f>_xlfn.LET(r,ROW(),oc,INDEX($A:$A,r),cv,TRIM(INDEX($Y:$Y,r)&amp;""),IF(oc&lt;&gt;"P1","",IF(cv="45","V45 - novo, nao alimentado pelo spool atual","V44 - alimentado pelo spool atual")))</f>
        <v/>
      </c>
    </row>
  </sheetData>
  <autoFilter ref="A2:BF1504"/>
  <mergeCells count="6">
    <mergeCell ref="AI1:AL1"/>
    <mergeCell ref="AQ1:AT1"/>
    <mergeCell ref="AU1:AX1"/>
    <mergeCell ref="AY1:BB1"/>
    <mergeCell ref="AM1:AP1"/>
    <mergeCell ref="BC1:BF1"/>
  </mergeCells>
  <conditionalFormatting sqref="AX152">
    <cfRule type="duplicateValues" priority="3" dxfId="0"/>
  </conditionalFormatting>
  <conditionalFormatting sqref="AX274">
    <cfRule type="duplicateValues" priority="5" dxfId="0"/>
  </conditionalFormatting>
  <conditionalFormatting sqref="AX278">
    <cfRule type="duplicateValues" priority="7" dxfId="0"/>
  </conditionalFormatting>
  <conditionalFormatting sqref="AX396">
    <cfRule type="duplicateValues" priority="4" dxfId="0"/>
  </conditionalFormatting>
  <conditionalFormatting sqref="AX717">
    <cfRule type="duplicateValues" priority="8" dxfId="0"/>
  </conditionalFormatting>
  <conditionalFormatting sqref="AX939">
    <cfRule type="duplicateValues" priority="6" dxfId="0"/>
  </conditionalFormatting>
  <conditionalFormatting sqref="BA946:BB946">
    <cfRule type="duplicateValues" priority="2" dxfId="0"/>
  </conditionalFormatting>
  <conditionalFormatting sqref="BA1177:BB1177">
    <cfRule type="duplicateValues" priority="1" dxfId="0"/>
  </conditionalFormatting>
  <hyperlinks>
    <hyperlink xmlns:r="http://schemas.openxmlformats.org/officeDocument/2006/relationships" ref="F910" location="'CRR Grande Clientèle'!A1" display="N:\Projets02\SEP\ZIZISOF\AppData\Local\Microsoft\Windows\AppData\AppData\Local\Microsoft\Windows\AppData\lefevan\AppData\Local\Microsoft\Windows\Temporary Internet Files\BANHDAN\AppData\Local\Microsoft\Windows\Temporary Internet Files\Content.MSO\5AA93B56.xls - 'CRR Grande Clientèle'!A1" r:id="rId1"/>
  </hyperlinks>
  <printOptions horizontalCentered="1"/>
  <pageMargins left="0.5511811023622047" right="0.5905511811023623" top="0.3937007874015748" bottom="0.7874015748031497" header="0.5118110236220472" footer="0.5118110236220472"/>
  <pageSetup orientation="landscape" paperSize="9" scale="12" fitToHeight="0" horizontalDpi="300" verticalDpi="300" copies="5"/>
  <headerFooter alignWithMargins="0">
    <oddHeader/>
    <oddFooter>&amp;L02/04/2012&amp;R&amp;"Calibri"&amp;11&amp;K000000&amp;"Arial,Gras"&amp;P/&amp;N&amp;CDomaine Tiers (C1)</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12.75"/>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2:T273"/>
  <sheetViews>
    <sheetView showGridLines="0" topLeftCell="A187" zoomScale="85" zoomScaleNormal="85" workbookViewId="0">
      <selection activeCell="C81" sqref="C81"/>
    </sheetView>
  </sheetViews>
  <sheetFormatPr baseColWidth="10" defaultColWidth="10.7109375" defaultRowHeight="15"/>
  <cols>
    <col width="3.7109375" customWidth="1" style="1064" min="1" max="1"/>
    <col width="38.7109375" bestFit="1" customWidth="1" style="1064" min="2" max="2"/>
    <col width="32.5703125" bestFit="1" customWidth="1" style="1064" min="3" max="3"/>
    <col width="30.42578125" bestFit="1" customWidth="1" style="1064" min="4" max="4"/>
    <col width="25.5703125" bestFit="1" customWidth="1" style="1064" min="5" max="5"/>
    <col width="93.5703125" bestFit="1" customWidth="1" style="1064" min="6" max="6"/>
    <col width="35.5703125" bestFit="1" customWidth="1" style="1064" min="7" max="7"/>
    <col width="28.7109375" bestFit="1" customWidth="1" style="1064" min="8" max="8"/>
    <col width="28.28515625" bestFit="1" customWidth="1" style="1064" min="9" max="9"/>
    <col width="27.5703125" bestFit="1" customWidth="1" style="1064" min="10" max="10"/>
    <col width="19.7109375" bestFit="1" customWidth="1" style="1064" min="11" max="11"/>
    <col width="33.7109375" bestFit="1" customWidth="1" style="1064" min="12" max="12"/>
    <col width="32.5703125" bestFit="1" customWidth="1" style="1064" min="13" max="13"/>
    <col width="30.5703125" bestFit="1" customWidth="1" style="1064" min="14" max="14"/>
    <col width="25.42578125" bestFit="1" customWidth="1" style="1064" min="15" max="15"/>
    <col width="93.5703125" bestFit="1" customWidth="1" style="1064" min="16" max="16"/>
    <col width="35.5703125" bestFit="1" customWidth="1" style="1064" min="17" max="17"/>
    <col width="27.28515625" bestFit="1" customWidth="1" style="1064" min="18" max="18"/>
    <col width="28.5703125" bestFit="1" customWidth="1" style="1064" min="19" max="20"/>
    <col width="10.7109375" customWidth="1" style="1064" min="21" max="16384"/>
  </cols>
  <sheetData>
    <row r="2" ht="26.25" customHeight="1">
      <c r="B2" s="1063" t="inlineStr">
        <is>
          <t>Contrôles de cohérence</t>
        </is>
      </c>
      <c r="L2" s="1063" t="inlineStr">
        <is>
          <t>Consistency controls</t>
        </is>
      </c>
    </row>
    <row r="3" ht="15.75" customHeight="1" thickBot="1">
      <c r="B3" s="1065" t="n"/>
      <c r="L3" s="1065" t="n"/>
    </row>
    <row r="4" ht="70.5" customHeight="1" thickTop="1">
      <c r="B4" s="1513" t="inlineStr">
        <is>
          <t>Principe :
Ces contrôles consistent à vérifier que la valeur portée par une donnée pivot est cohérente avec des données associées.
Un contrôle de cohérence peut porter sur :
· Une ou plusieurs données d’un même objet de collecte
· Plusieurs données de plusieurs objets de collecte</t>
        </is>
      </c>
      <c r="C4" s="1514" t="n"/>
      <c r="D4" s="1514" t="n"/>
      <c r="E4" s="1514" t="n"/>
      <c r="F4" s="1515" t="n"/>
      <c r="G4" s="1066" t="n"/>
      <c r="L4" s="1513" t="inlineStr">
        <is>
          <t>Principle:
These controls are to ensure that the value of a pivot data is consistent with associated data.
A consistency check may cover:
・ One or more data from the same data collection object
・ Several data from several data collection objects</t>
        </is>
      </c>
      <c r="M4" s="1514" t="n"/>
      <c r="N4" s="1514" t="n"/>
      <c r="O4" s="1514" t="n"/>
      <c r="P4" s="1515" t="n"/>
      <c r="Q4" s="1066" t="n"/>
    </row>
    <row r="5">
      <c r="B5" s="1067" t="n"/>
      <c r="C5" s="1068" t="n"/>
      <c r="D5" s="1068" t="n"/>
      <c r="E5" s="1068" t="n"/>
      <c r="F5" s="1069" t="n"/>
      <c r="G5" s="1068" t="n"/>
      <c r="L5" s="1067" t="n"/>
      <c r="M5" s="1068" t="n"/>
      <c r="N5" s="1068" t="n"/>
      <c r="O5" s="1068" t="n"/>
      <c r="P5" s="1069" t="n"/>
      <c r="Q5" s="1068" t="n"/>
    </row>
    <row r="6" ht="63" customHeight="1">
      <c r="B6" s="1516" t="inlineStr">
        <is>
          <t>Périmètre d'application :
- CRR Corporate
- CRR Retail Agrégé
- CRR Adapté</t>
        </is>
      </c>
      <c r="F6" s="1517" t="n"/>
      <c r="G6" s="1068" t="n"/>
      <c r="L6" s="1516" t="inlineStr">
        <is>
          <t>Scope of application:
- CRR Corporate
- CRR Aggregated Retail
- Adapted CRR</t>
        </is>
      </c>
      <c r="P6" s="1517" t="n"/>
      <c r="Q6" s="1068" t="n"/>
    </row>
    <row r="7">
      <c r="B7" s="1070" t="n"/>
      <c r="F7" s="1071" t="n"/>
      <c r="L7" s="1070" t="n"/>
      <c r="P7" s="1071" t="n"/>
    </row>
    <row r="8" ht="79.15000000000001" customHeight="1">
      <c r="B8" s="1518" t="inlineStr">
        <is>
          <t>Fonctionnement :
- Contrôles exécutés en étape E4.4 des traitements ZP (après mise au modèle)
- Contrôles paramétrés en score 6TA (non bloquant)
- Les combinaisons de valeurs conformes sont précisées ci-dessous pour chaque contrôle sauf contrôle TC0C03 pour lequel sont précisées les combinaisons en anomalie. En dehors des combinaisons conformes, la Zone de Partage recensera une anomalie.</t>
        </is>
      </c>
      <c r="F8" s="1517" t="n"/>
      <c r="L8" s="1518" t="inlineStr">
        <is>
          <t>Functions:
- Checks performed in step E4.4 of ZP treatments (after the model has been set)
- Controls configured in scoring 6TA (non-blocking)
- The combinations of conforming values are specified below for each control except control TC0C03 for which the combinations in anomaly are specified. Apart from the compliant combinations, the Sharing Zone will identify an anomaly.</t>
        </is>
      </c>
      <c r="P8" s="1517" t="n"/>
    </row>
    <row r="9">
      <c r="B9" s="1072" t="n"/>
      <c r="F9" s="1071" t="n"/>
      <c r="L9" s="1072" t="n"/>
      <c r="P9" s="1071" t="n"/>
    </row>
    <row r="10" ht="15.75" customHeight="1">
      <c r="B10" s="1073" t="inlineStr">
        <is>
          <t>Légende :</t>
        </is>
      </c>
      <c r="F10" s="1071" t="n"/>
      <c r="L10" s="1073" t="inlineStr">
        <is>
          <t>Legend:</t>
        </is>
      </c>
      <c r="P10" s="1071" t="n"/>
    </row>
    <row r="11">
      <c r="B11" s="1072" t="inlineStr">
        <is>
          <t xml:space="preserve">* : Quelle que soit la valeur </t>
        </is>
      </c>
      <c r="F11" s="1071" t="n"/>
      <c r="L11" s="1072" t="inlineStr">
        <is>
          <t xml:space="preserve">* Whatever the value </t>
        </is>
      </c>
      <c r="P11" s="1071" t="n"/>
    </row>
    <row r="12">
      <c r="B12" s="1074" t="inlineStr">
        <is>
          <t>Donnée pivot</t>
        </is>
      </c>
      <c r="F12" s="1071" t="n"/>
      <c r="L12" s="1074" t="inlineStr">
        <is>
          <t>Pivot data</t>
        </is>
      </c>
      <c r="P12" s="1071" t="n"/>
    </row>
    <row r="13">
      <c r="B13" s="1075" t="inlineStr">
        <is>
          <t>Donnée complémentaire</t>
        </is>
      </c>
      <c r="F13" s="1071" t="n"/>
      <c r="L13" s="1075" t="inlineStr">
        <is>
          <t>Additional data</t>
        </is>
      </c>
      <c r="P13" s="1071" t="n"/>
    </row>
    <row r="14" ht="15.75" customHeight="1" thickBot="1">
      <c r="B14" s="1076" t="n"/>
      <c r="C14" s="1077" t="n"/>
      <c r="D14" s="1077" t="n"/>
      <c r="E14" s="1077" t="n"/>
      <c r="F14" s="1078" t="n"/>
      <c r="L14" s="1079" t="n"/>
      <c r="M14" s="1077" t="n"/>
      <c r="N14" s="1077" t="n"/>
      <c r="O14" s="1077" t="n"/>
      <c r="P14" s="1078" t="n"/>
    </row>
    <row r="15" ht="15.75" customHeight="1" thickTop="1"/>
    <row r="17" ht="15.75" customHeight="1">
      <c r="B17" s="1486" t="inlineStr">
        <is>
          <t>Contrôle TC0C01 : Cohérence Tiers en défaut/Engagement douteux</t>
        </is>
      </c>
      <c r="C17" s="1519" t="n"/>
      <c r="D17" s="1519" t="n"/>
      <c r="E17" s="1498" t="n"/>
      <c r="L17" s="1486" t="inlineStr">
        <is>
          <t>Control TC0C01 : Third party consistency in default/doubtful Funds in use</t>
        </is>
      </c>
      <c r="M17" s="1519" t="n"/>
      <c r="N17" s="1519" t="n"/>
      <c r="O17" s="1498" t="n"/>
    </row>
    <row r="18">
      <c r="B18" s="1487" t="inlineStr">
        <is>
          <t>Description du contrôle</t>
        </is>
      </c>
      <c r="C18" s="1498" t="n"/>
      <c r="D18" s="1487" t="inlineStr">
        <is>
          <t>Périmètre</t>
        </is>
      </c>
      <c r="E18" s="1498" t="n"/>
      <c r="L18" s="1487" t="inlineStr">
        <is>
          <t>Description of control</t>
        </is>
      </c>
      <c r="M18" s="1498" t="n"/>
      <c r="N18" s="1487" t="inlineStr">
        <is>
          <t>Scope</t>
        </is>
      </c>
      <c r="O18" s="1498" t="n"/>
    </row>
    <row r="19">
      <c r="B19" s="1482" t="inlineStr">
        <is>
          <t>Ce contrôle consiste à vérifier la convergence entre les douteux (de niveau engagement) et les défauts (de niveau client)</t>
        </is>
      </c>
      <c r="C19" s="1498" t="n"/>
      <c r="D19" s="1483" t="inlineStr">
        <is>
          <t>Grande Clientèle et Clientèle de détail en méthode IRB</t>
        </is>
      </c>
      <c r="E19" s="1498" t="n"/>
      <c r="L19" s="1484" t="inlineStr">
        <is>
          <t>This control consists in checking the convergence between doubtful (funds in use-level) and flawed (customer-level) assets</t>
        </is>
      </c>
      <c r="M19" s="1498" t="n"/>
      <c r="N19" s="1484" t="inlineStr">
        <is>
          <t>Corporate customers and Retail customers in IRB method</t>
        </is>
      </c>
      <c r="O19" s="1498" t="n"/>
      <c r="P19" s="1080" t="n"/>
      <c r="Q19" s="1080" t="n"/>
      <c r="R19" s="1080" t="n"/>
      <c r="S19" s="1080" t="n"/>
      <c r="T19" s="1080" t="n"/>
    </row>
    <row r="21">
      <c r="B21" s="1081" t="inlineStr">
        <is>
          <t>P1/P2</t>
        </is>
      </c>
      <c r="L21" s="1081" t="inlineStr">
        <is>
          <t>P1/P2</t>
        </is>
      </c>
    </row>
    <row r="22">
      <c r="B22" s="1081" t="n"/>
      <c r="L22" s="1081" t="n"/>
    </row>
    <row r="23">
      <c r="B23" s="1082" t="n"/>
      <c r="C23" s="1485" t="inlineStr">
        <is>
          <t>control entry point</t>
        </is>
      </c>
      <c r="D23" s="1520" t="n"/>
      <c r="E23" s="1520" t="n"/>
      <c r="F23" s="1083" t="n"/>
      <c r="G23" s="1083" t="n"/>
      <c r="L23" s="1082" t="n"/>
      <c r="M23" s="1485" t="inlineStr">
        <is>
          <t>control entry point</t>
        </is>
      </c>
      <c r="N23" s="1520" t="n"/>
      <c r="O23" s="1520" t="n"/>
      <c r="P23" s="1083" t="n"/>
      <c r="Q23" s="1083" t="n"/>
    </row>
    <row r="24" ht="25.5" customHeight="1">
      <c r="B24" s="1084" t="inlineStr">
        <is>
          <t>Identifiant de l'engagement 
(1.11 (P1), 1.11 (P2))</t>
        </is>
      </c>
      <c r="C24" s="1085" t="inlineStr">
        <is>
          <t>Méthodologie Bâloise
(P1 1.1, P2 1.1)</t>
        </is>
      </c>
      <c r="D24" s="1085" t="inlineStr">
        <is>
          <t>Note Interne Retenue 
(C1 4.1)</t>
        </is>
      </c>
      <c r="E24" s="1085" t="inlineStr">
        <is>
          <t>Date d'entrée en défaut 
(C1 4.15)</t>
        </is>
      </c>
      <c r="F24" s="1086" t="inlineStr">
        <is>
          <t>Indicateur 'Engagement Douteux' 
(P1 5.2, P2 5.2)</t>
        </is>
      </c>
      <c r="G24" s="1087" t="inlineStr">
        <is>
          <t>Date de passage en 'Engagement douteux' 
(P1 5.3, P2 5.3)</t>
        </is>
      </c>
      <c r="L24" s="1084" t="inlineStr">
        <is>
          <t>Commitment ID
(1.11 (P1), 1.11 (P2))</t>
        </is>
      </c>
      <c r="M24" s="1085" t="inlineStr">
        <is>
          <t>Basel Methodology
(P1 1.1, P2 1.1)</t>
        </is>
      </c>
      <c r="N24" s="1085" t="inlineStr">
        <is>
          <t>Internal Rating Assigned
(C1 4.1)</t>
        </is>
      </c>
      <c r="O24" s="1085" t="inlineStr">
        <is>
          <t>Default Entry Date
(C1 4.15)</t>
        </is>
      </c>
      <c r="P24" s="1088" t="inlineStr">
        <is>
          <t>Doubtful Commitment' Indicator
(P1 5.2, P2 5.2)</t>
        </is>
      </c>
      <c r="Q24" s="1087" t="inlineStr">
        <is>
          <t>Date of Transfer to 'Doubtful Commitment' 
(P1 5.3, P2 5.3)</t>
        </is>
      </c>
    </row>
    <row r="25">
      <c r="B25" s="1089" t="inlineStr">
        <is>
          <t>*</t>
        </is>
      </c>
      <c r="C25" s="1090" t="inlineStr">
        <is>
          <t>'IRB A' or 'IRB F'</t>
        </is>
      </c>
      <c r="D25" s="1091" t="inlineStr">
        <is>
          <t>F or Z</t>
        </is>
      </c>
      <c r="E25" s="1091" t="inlineStr">
        <is>
          <t>&lt; Date d'arrêté - 1 mois</t>
        </is>
      </c>
      <c r="F25" s="1091" t="inlineStr">
        <is>
          <t>Y</t>
        </is>
      </c>
      <c r="G25" s="1092" t="inlineStr">
        <is>
          <t>(non vide)</t>
        </is>
      </c>
      <c r="L25" s="1089" t="inlineStr">
        <is>
          <t>*</t>
        </is>
      </c>
      <c r="M25" s="1090" t="inlineStr">
        <is>
          <t>'IRB A' or 'IRB F'</t>
        </is>
      </c>
      <c r="N25" s="1091" t="inlineStr">
        <is>
          <t>F or Z</t>
        </is>
      </c>
      <c r="O25" s="1091" t="inlineStr">
        <is>
          <t>&lt; Date d'arrêté - 1 mois</t>
        </is>
      </c>
      <c r="P25" s="1091" t="inlineStr">
        <is>
          <t>Y</t>
        </is>
      </c>
      <c r="Q25" s="1092" t="inlineStr">
        <is>
          <t>(non vide)</t>
        </is>
      </c>
    </row>
    <row r="26">
      <c r="B26" s="1093" t="n"/>
      <c r="C26" s="1094" t="n"/>
      <c r="D26" s="1095" t="n"/>
      <c r="E26" s="1095" t="n"/>
      <c r="F26" s="1095" t="n"/>
      <c r="G26" s="1095" t="n"/>
      <c r="L26" s="1093" t="n"/>
      <c r="M26" s="1094" t="n"/>
      <c r="N26" s="1095" t="n"/>
      <c r="O26" s="1095" t="n"/>
      <c r="P26" s="1095" t="n"/>
      <c r="Q26" s="1095" t="n"/>
    </row>
    <row r="27">
      <c r="B27" s="1082" t="n"/>
      <c r="C27" s="1485" t="inlineStr">
        <is>
          <t>control entry point</t>
        </is>
      </c>
      <c r="D27" s="1520" t="n"/>
      <c r="E27" s="1520" t="n"/>
      <c r="F27" s="1083" t="n"/>
      <c r="G27" s="1083" t="n"/>
      <c r="L27" s="1082" t="n"/>
      <c r="M27" s="1485" t="inlineStr">
        <is>
          <t>control entry point</t>
        </is>
      </c>
      <c r="N27" s="1520" t="n"/>
      <c r="O27" s="1520" t="n"/>
      <c r="P27" s="1083" t="n"/>
      <c r="Q27" s="1083" t="n"/>
    </row>
    <row r="28" ht="38.25" customHeight="1">
      <c r="B28" s="1096" t="inlineStr">
        <is>
          <t>Indicateur 'Engagement Douteux' 
(P1 5.2, P2 5.2)</t>
        </is>
      </c>
      <c r="C28" s="1085" t="inlineStr">
        <is>
          <t>Méthodologie Bâloise
(P1 1.1, P2 1.1)</t>
        </is>
      </c>
      <c r="D28" s="1097" t="inlineStr">
        <is>
          <t>Date de passage en 'Engagement douteux' 
(P1 5.3, P2 5.3)</t>
        </is>
      </c>
      <c r="E28" s="1097" t="inlineStr">
        <is>
          <t>Note Interne Retenue 
(C1 4.1)</t>
        </is>
      </c>
      <c r="F28" s="1097" t="inlineStr">
        <is>
          <t>Date d'entrée en défaut 
(C1 4.15)</t>
        </is>
      </c>
      <c r="L28" s="1098" t="inlineStr">
        <is>
          <t>Doubtful Commitment' Indicator
(P1 5.2, P2 5.2)</t>
        </is>
      </c>
      <c r="M28" s="1085" t="inlineStr">
        <is>
          <t>Basel Methodology
(P1 1.1, P2 1.1)</t>
        </is>
      </c>
      <c r="N28" s="1087" t="inlineStr">
        <is>
          <t>Date of Transfer to 'Doubtful Commitment' 
(P1 5.3, P2 5.3)</t>
        </is>
      </c>
      <c r="O28" s="1085" t="inlineStr">
        <is>
          <t>Internal Rating Assigned
(C1 4.1)</t>
        </is>
      </c>
      <c r="P28" s="1085" t="inlineStr">
        <is>
          <t>Default Entry Date
(C1 4.15)</t>
        </is>
      </c>
    </row>
    <row r="29">
      <c r="B29" s="1099" t="inlineStr">
        <is>
          <t>Y</t>
        </is>
      </c>
      <c r="C29" s="1100" t="inlineStr">
        <is>
          <t>'IRB A' or 'IRB F'</t>
        </is>
      </c>
      <c r="D29" s="1091" t="inlineStr">
        <is>
          <t>&lt; Date d'arrêté - 1 mois</t>
        </is>
      </c>
      <c r="E29" s="1101" t="inlineStr">
        <is>
          <t>F or Z</t>
        </is>
      </c>
      <c r="F29" s="1092" t="inlineStr">
        <is>
          <t>(non vide)</t>
        </is>
      </c>
      <c r="L29" s="1099" t="inlineStr">
        <is>
          <t>Y</t>
        </is>
      </c>
      <c r="M29" s="1100" t="inlineStr">
        <is>
          <t>'IRB A' or 'IRB F'</t>
        </is>
      </c>
      <c r="N29" s="1091" t="inlineStr">
        <is>
          <t>&lt; Date d'arrêté - 1 mois</t>
        </is>
      </c>
      <c r="O29" s="1101" t="inlineStr">
        <is>
          <t>F or Z</t>
        </is>
      </c>
      <c r="P29" s="1092" t="inlineStr">
        <is>
          <t>(non vide)</t>
        </is>
      </c>
    </row>
    <row r="30">
      <c r="B30" s="1093" t="n"/>
      <c r="C30" s="1094" t="n"/>
      <c r="D30" s="1095" t="n"/>
      <c r="E30" s="1095" t="n"/>
      <c r="F30" s="1095" t="n"/>
      <c r="G30" s="1095" t="n"/>
      <c r="L30" s="1093" t="n"/>
      <c r="M30" s="1094" t="n"/>
      <c r="N30" s="1095" t="n"/>
      <c r="O30" s="1095" t="n"/>
      <c r="P30" s="1095" t="n"/>
      <c r="Q30" s="1095" t="n"/>
    </row>
    <row r="33" ht="15.75" customHeight="1">
      <c r="B33" s="1486" t="inlineStr">
        <is>
          <t>Contrôle TC0C03 : Cohérence Données de détermination de la CAP</t>
        </is>
      </c>
      <c r="C33" s="1519" t="n"/>
      <c r="D33" s="1519" t="n"/>
      <c r="E33" s="1498" t="n"/>
      <c r="L33" s="1486" t="inlineStr">
        <is>
          <t>Control TC0C03 : Consistency CAP determination data</t>
        </is>
      </c>
      <c r="M33" s="1519" t="n"/>
      <c r="N33" s="1519" t="n"/>
      <c r="O33" s="1498" t="n"/>
    </row>
    <row r="34">
      <c r="B34" s="1487" t="inlineStr">
        <is>
          <t>Description du contrôle</t>
        </is>
      </c>
      <c r="C34" s="1498" t="n"/>
      <c r="D34" s="1487" t="inlineStr">
        <is>
          <t>Périmètre</t>
        </is>
      </c>
      <c r="E34" s="1498" t="n"/>
      <c r="L34" s="1487" t="inlineStr">
        <is>
          <t>Description of control</t>
        </is>
      </c>
      <c r="M34" s="1498" t="n"/>
      <c r="N34" s="1487" t="inlineStr">
        <is>
          <t>Scope</t>
        </is>
      </c>
      <c r="O34" s="1498" t="n"/>
    </row>
    <row r="35">
      <c r="B35" s="1482" t="inlineStr">
        <is>
          <t>Le contrôle consiste à vérifier la cohérence entre les données qui permettent de déterminer la Classe d’Actifs de Pondération (CAP)</t>
        </is>
      </c>
      <c r="C35" s="1498" t="n"/>
      <c r="D35" s="1484" t="inlineStr">
        <is>
          <t>Grande Clientèle et Clientèle de détail</t>
        </is>
      </c>
      <c r="E35" s="1498" t="n"/>
      <c r="L35" s="1484" t="inlineStr">
        <is>
          <t>The control consists in checking the consistency between the data used to determine the Risk Weighting Asset Class ()</t>
        </is>
      </c>
      <c r="M35" s="1498" t="n"/>
      <c r="N35" s="1484" t="inlineStr">
        <is>
          <t>Corporate customers and Retail customers</t>
        </is>
      </c>
      <c r="O35" s="1498" t="n"/>
      <c r="P35" s="1080" t="n"/>
      <c r="Q35" s="1080" t="n"/>
      <c r="R35" s="1080" t="n"/>
      <c r="S35" s="1080" t="n"/>
      <c r="T35" s="1080" t="n"/>
    </row>
    <row r="37">
      <c r="B37" s="1081" t="inlineStr">
        <is>
          <t>P1/P2</t>
        </is>
      </c>
      <c r="L37" s="1081" t="inlineStr">
        <is>
          <t>P1/P2</t>
        </is>
      </c>
    </row>
    <row r="39" ht="25.5" customHeight="1">
      <c r="B39" s="1096" t="inlineStr">
        <is>
          <t>Portefeuille Bâle Opération
(P1 2.18, P2 2.18)</t>
        </is>
      </c>
      <c r="C39" s="1097" t="inlineStr">
        <is>
          <t>Portefeuille Bâle Tiers 
(C1 4.7)</t>
        </is>
      </c>
      <c r="D39" s="1097" t="inlineStr">
        <is>
          <t>Catégorie de contrepartie 
(C1 4.6)</t>
        </is>
      </c>
      <c r="E39" s="1097" t="inlineStr">
        <is>
          <t>Méthodologie Bâloise 
(P1 1.1, P2 1.1)</t>
        </is>
      </c>
      <c r="F39" s="1102" t="n"/>
      <c r="G39" s="1094" t="n"/>
      <c r="H39" s="1094" t="n"/>
      <c r="L39" s="1096" t="inlineStr">
        <is>
          <t>Basel Portfolio Operation
(P1 2.18, P2 2.18)</t>
        </is>
      </c>
      <c r="M39" s="1097" t="inlineStr">
        <is>
          <t>Basel Portfolio Counterparty
(C1 4.7)</t>
        </is>
      </c>
      <c r="N39" s="1097" t="inlineStr">
        <is>
          <t>Counterparty Category
(C1 4.6)</t>
        </is>
      </c>
      <c r="O39" s="1085" t="inlineStr">
        <is>
          <t>Basel Methodology
(P1 1.1, P2 1.1)</t>
        </is>
      </c>
    </row>
    <row r="40" ht="38.25" customHeight="1">
      <c r="B40" s="1103" t="inlineStr">
        <is>
          <t>061, 062, 063, 064 , 065, 070, 077 or 090</t>
        </is>
      </c>
      <c r="C40" s="1104" t="inlineStr">
        <is>
          <t>022, 030 or 050</t>
        </is>
      </c>
      <c r="D40" s="1105" t="inlineStr">
        <is>
          <t>* 
except PCG10, PC21, PCG22, PCG23, PCG24</t>
        </is>
      </c>
      <c r="E40" s="1090" t="inlineStr">
        <is>
          <t>IRB A, IRB F or STD</t>
        </is>
      </c>
      <c r="F40" s="1102" t="n"/>
      <c r="G40" s="1094" t="n"/>
      <c r="H40" s="1094" t="n"/>
      <c r="L40" s="1103" t="inlineStr">
        <is>
          <t>061, 062, 063, 064 , 065, 070, 077 or 090</t>
        </is>
      </c>
      <c r="M40" s="1104" t="inlineStr">
        <is>
          <t>022, 030 or 050</t>
        </is>
      </c>
      <c r="N40" s="1105" t="inlineStr">
        <is>
          <t>* 
except PCG10, PC21, PCG22, PCG23, PCG24</t>
        </is>
      </c>
      <c r="O40" s="1090" t="inlineStr">
        <is>
          <t>IRB A, IRB F or STD</t>
        </is>
      </c>
    </row>
    <row r="41" ht="38.25" customHeight="1">
      <c r="B41" s="1103" t="inlineStr">
        <is>
          <t>061, 062, 063, 064 , 065, 070, 077 or 090</t>
        </is>
      </c>
      <c r="C41" s="1104" t="inlineStr">
        <is>
          <t>040</t>
        </is>
      </c>
      <c r="D41" s="1105" t="inlineStr">
        <is>
          <t>* 
except PCG10, PC21, PCG22, PCG23, PCG24</t>
        </is>
      </c>
      <c r="E41" s="1090" t="inlineStr">
        <is>
          <t xml:space="preserve"> IRB F or STD</t>
        </is>
      </c>
      <c r="F41" s="1102" t="n"/>
      <c r="G41" s="1094" t="n"/>
      <c r="H41" s="1094" t="n"/>
      <c r="L41" s="1103" t="inlineStr">
        <is>
          <t>061, 062, 063, 064 , 065, 070, 077 or 090</t>
        </is>
      </c>
      <c r="M41" s="1104" t="inlineStr">
        <is>
          <t>040</t>
        </is>
      </c>
      <c r="N41" s="1105" t="inlineStr">
        <is>
          <t>* 
except PCG10, PC21, PCG22, PCG23, PCG24</t>
        </is>
      </c>
      <c r="O41" s="1090" t="inlineStr">
        <is>
          <t xml:space="preserve"> IRB F or STD</t>
        </is>
      </c>
    </row>
    <row r="42" ht="38.25" customHeight="1">
      <c r="B42" s="1104" t="inlineStr">
        <is>
          <t>080 or 081</t>
        </is>
      </c>
      <c r="C42" s="1104" t="inlineStr">
        <is>
          <t>022, 030, 040 or 050</t>
        </is>
      </c>
      <c r="D42" s="1106" t="inlineStr">
        <is>
          <t>* 
except PCG10, PC21, PCG22, PCG23, PCG24</t>
        </is>
      </c>
      <c r="E42" s="1090" t="inlineStr">
        <is>
          <t>STD</t>
        </is>
      </c>
      <c r="F42" s="1102" t="n"/>
      <c r="G42" s="1094" t="n"/>
      <c r="H42" s="1094" t="n"/>
      <c r="L42" s="1104" t="inlineStr">
        <is>
          <t>080 or 081</t>
        </is>
      </c>
      <c r="M42" s="1104" t="inlineStr">
        <is>
          <t>022, 030, 040 or 050</t>
        </is>
      </c>
      <c r="N42" s="1106" t="inlineStr">
        <is>
          <t>* 
except PCG10, PC21, PCG22, PCG23, PCG24</t>
        </is>
      </c>
      <c r="O42" s="1090" t="inlineStr">
        <is>
          <t>STD</t>
        </is>
      </c>
    </row>
    <row r="43" ht="63.75" customHeight="1">
      <c r="B43" s="1107" t="inlineStr">
        <is>
          <t>900</t>
        </is>
      </c>
      <c r="C43" s="1107" t="inlineStr">
        <is>
          <t>040</t>
        </is>
      </c>
      <c r="D43" s="1103" t="inlineStr">
        <is>
          <t>ACG12, ACG13, ACG20, ACG31, ACG32, ACG42, BCG23, BCG24, BCG25, BCG26, BCG27, BCG28, BCG29, FCG11, FCG12, FCG13, FCG21 , FCG24 or SCG10</t>
        </is>
      </c>
      <c r="E43" s="1090" t="inlineStr">
        <is>
          <t xml:space="preserve"> IRB F or STD</t>
        </is>
      </c>
      <c r="F43" s="1102" t="n"/>
      <c r="G43" s="1094" t="n"/>
      <c r="H43" s="1094" t="n"/>
      <c r="L43" s="1107" t="inlineStr">
        <is>
          <t>900</t>
        </is>
      </c>
      <c r="M43" s="1107" t="inlineStr">
        <is>
          <t>040</t>
        </is>
      </c>
      <c r="N43" s="1103" t="inlineStr">
        <is>
          <t>ACG12, ACG13, ACG20, ACG31, ACG32, ACG42, BCG23, BCG24, BCG25, BCG26, BCG27, BCG28, BCG29, FCG11, FCG12, FCG13, FCG21 , FCG24 or SCG10</t>
        </is>
      </c>
      <c r="O43" s="1090" t="inlineStr">
        <is>
          <t xml:space="preserve"> IRB F or STD</t>
        </is>
      </c>
    </row>
    <row r="44" ht="25.5" customHeight="1">
      <c r="B44" s="1107" t="inlineStr">
        <is>
          <t>900</t>
        </is>
      </c>
      <c r="C44" s="1107" t="inlineStr">
        <is>
          <t>050</t>
        </is>
      </c>
      <c r="D44" s="1103" t="inlineStr">
        <is>
          <t>ACG11, ACG12, ACG13, ACG20, SCG10, SCG11 or BCG10</t>
        </is>
      </c>
      <c r="E44" s="1090" t="inlineStr">
        <is>
          <t>IRB A, IRB F or STD</t>
        </is>
      </c>
      <c r="F44" s="1102" t="n"/>
      <c r="G44" s="1094" t="n"/>
      <c r="H44" s="1094" t="n"/>
      <c r="L44" s="1107" t="inlineStr">
        <is>
          <t>900</t>
        </is>
      </c>
      <c r="M44" s="1107" t="inlineStr">
        <is>
          <t>050</t>
        </is>
      </c>
      <c r="N44" s="1103" t="inlineStr">
        <is>
          <t>ACG11, ACG12, ACG13, ACG20, SCG10, SCG11 or BCG10</t>
        </is>
      </c>
      <c r="O44" s="1090" t="inlineStr">
        <is>
          <t>IRB A, IRB F or STD</t>
        </is>
      </c>
    </row>
    <row r="45" ht="102" customHeight="1">
      <c r="B45" s="1107" t="inlineStr">
        <is>
          <t>900</t>
        </is>
      </c>
      <c r="C45" s="1107" t="inlineStr">
        <is>
          <t>030</t>
        </is>
      </c>
      <c r="D45" s="1103" t="inlineStr">
        <is>
          <t>SCG20, ECG11, ECG13, ECG21, ECG31, ECG41, FCG22, FCG23, FCG31, FCG32, FCG33, ICG11, ICG12, ICG21, ICG22, ICG23, ICG30, MCG11, MCG12, MCG21, MCG22, MCG31, MCG32, MCG33, MCG34, MCG35, MCG36, MCG41, MCG42, MCG43, MCG44 or MCG60</t>
        </is>
      </c>
      <c r="E45" s="1090" t="inlineStr">
        <is>
          <t>IRB A, IRB F or STD</t>
        </is>
      </c>
      <c r="F45" s="1102" t="n"/>
      <c r="G45" s="1094" t="n"/>
      <c r="H45" s="1094" t="n"/>
      <c r="L45" s="1107" t="inlineStr">
        <is>
          <t>900</t>
        </is>
      </c>
      <c r="M45" s="1107" t="inlineStr">
        <is>
          <t>030</t>
        </is>
      </c>
      <c r="N45" s="1103" t="inlineStr">
        <is>
          <t>SCG20, ECG11, ECG13, ECG21, ECG31, ECG41, FCG22, FCG23, FCG31, FCG32, FCG33, ICG11, ICG12, ICG21, ICG22, ICG23, ICG30, MCG11, MCG12, MCG21, MCG22, MCG31, MCG32, MCG33, MCG34, MCG35, MCG36, MCG41, MCG42, MCG43, MCG44 or MCG60</t>
        </is>
      </c>
      <c r="O45" s="1090" t="inlineStr">
        <is>
          <t>IRB A, IRB F or STD</t>
        </is>
      </c>
    </row>
    <row r="46">
      <c r="B46" s="1107" t="inlineStr">
        <is>
          <t>900</t>
        </is>
      </c>
      <c r="C46" s="1107" t="inlineStr">
        <is>
          <t>022</t>
        </is>
      </c>
      <c r="D46" s="1108" t="inlineStr">
        <is>
          <t>ECG12, ECG32 or ECG42</t>
        </is>
      </c>
      <c r="E46" s="1090" t="inlineStr">
        <is>
          <t>IRB A, IRB F or STD</t>
        </is>
      </c>
      <c r="F46" s="1102" t="n"/>
      <c r="G46" s="1094" t="n"/>
      <c r="H46" s="1094" t="n"/>
      <c r="L46" s="1107" t="inlineStr">
        <is>
          <t>900</t>
        </is>
      </c>
      <c r="M46" s="1107" t="inlineStr">
        <is>
          <t>022</t>
        </is>
      </c>
      <c r="N46" s="1108" t="inlineStr">
        <is>
          <t>ECG12, ECG32 or ECG42</t>
        </is>
      </c>
      <c r="O46" s="1090" t="inlineStr">
        <is>
          <t>IRB A, IRB F or STD</t>
        </is>
      </c>
    </row>
    <row r="47">
      <c r="B47" s="1109" t="n"/>
      <c r="C47" s="1109" t="n"/>
      <c r="D47" s="1109" t="n"/>
      <c r="E47" s="1102" t="n"/>
      <c r="F47" s="1102" t="n"/>
      <c r="G47" s="1094" t="n"/>
      <c r="H47" s="1094" t="n"/>
      <c r="L47" s="1109" t="n"/>
      <c r="M47" s="1109" t="n"/>
      <c r="N47" s="1109" t="n"/>
      <c r="O47" s="1102" t="n"/>
    </row>
    <row r="48">
      <c r="B48" s="1109" t="n"/>
      <c r="C48" s="1109" t="n"/>
      <c r="D48" s="1109" t="n"/>
      <c r="E48" s="1102" t="n"/>
      <c r="F48" s="1102" t="n"/>
      <c r="G48" s="1094" t="n"/>
      <c r="H48" s="1094" t="n"/>
      <c r="L48" s="1110" t="n"/>
      <c r="M48" s="1110" t="n"/>
      <c r="N48" s="1111" t="n"/>
      <c r="O48" s="1112" t="n"/>
    </row>
    <row r="49" ht="15.75" customHeight="1">
      <c r="B49" s="1486" t="inlineStr">
        <is>
          <t>Contrôle TC0C11 : Cohérence NATO/Domaine CRR</t>
        </is>
      </c>
      <c r="C49" s="1519" t="n"/>
      <c r="D49" s="1519" t="n"/>
      <c r="E49" s="1498" t="n"/>
      <c r="L49" s="1486" t="inlineStr">
        <is>
          <t>Control TC0C11 : NATO/CRR domain consistency</t>
        </is>
      </c>
      <c r="M49" s="1519" t="n"/>
      <c r="N49" s="1519" t="n"/>
      <c r="O49" s="1498" t="n"/>
    </row>
    <row r="50">
      <c r="B50" s="1487" t="inlineStr">
        <is>
          <t>Description du contrôle</t>
        </is>
      </c>
      <c r="C50" s="1498" t="n"/>
      <c r="D50" s="1487" t="inlineStr">
        <is>
          <t>Périmètre</t>
        </is>
      </c>
      <c r="E50" s="1498" t="n"/>
      <c r="L50" s="1487" t="inlineStr">
        <is>
          <t>Description of control</t>
        </is>
      </c>
      <c r="M50" s="1498" t="n"/>
      <c r="N50" s="1487" t="inlineStr">
        <is>
          <t>Scope</t>
        </is>
      </c>
      <c r="O50" s="1498" t="n"/>
    </row>
    <row r="51">
      <c r="B51" s="1484" t="inlineStr">
        <is>
          <t>Ce contrôle consiste à vérifier l’utilisation de la NATO avec les domaines du CRR pour chacun des flux CRR transmis</t>
        </is>
      </c>
      <c r="C51" s="1498" t="n"/>
      <c r="D51" s="1484" t="inlineStr">
        <is>
          <t>Grande Clientèle, Clientèle de détail et Alimentation adaptée</t>
        </is>
      </c>
      <c r="E51" s="1498" t="n"/>
      <c r="L51" s="1484" t="inlineStr">
        <is>
          <t>This control consists in checking the use of the NATO with the CRR domains for each of the CRR flows transmitted</t>
        </is>
      </c>
      <c r="M51" s="1498" t="n"/>
      <c r="N51" s="1484" t="inlineStr">
        <is>
          <t>Corporate customers, Retail customers and Adapted food</t>
        </is>
      </c>
      <c r="O51" s="1498" t="n"/>
      <c r="P51" s="1080" t="n"/>
      <c r="Q51" s="1080" t="n"/>
      <c r="R51" s="1080" t="n"/>
      <c r="S51" s="1080" t="n"/>
      <c r="T51" s="1080" t="n"/>
    </row>
    <row r="53">
      <c r="B53" s="1081" t="inlineStr">
        <is>
          <t>P1/P2/M1</t>
        </is>
      </c>
      <c r="E53" s="1081" t="n"/>
      <c r="G53" s="1081" t="n"/>
      <c r="L53" s="1081" t="inlineStr">
        <is>
          <t>P1/P2/M1</t>
        </is>
      </c>
      <c r="O53" s="1081" t="n"/>
      <c r="Q53" s="1081" t="n"/>
    </row>
    <row r="54">
      <c r="B54" s="1081" t="n"/>
      <c r="E54" s="1081" t="n"/>
      <c r="G54" s="1081" t="n"/>
      <c r="L54" s="1081" t="n"/>
      <c r="O54" s="1081" t="n"/>
      <c r="Q54" s="1081" t="n"/>
    </row>
    <row r="55" ht="25.5" customHeight="1">
      <c r="B55" s="1113" t="n"/>
      <c r="C55" s="1096" t="inlineStr">
        <is>
          <t>Nature d'Opération
(P1 2.29, P2 2.29, M1 2.3)</t>
        </is>
      </c>
      <c r="D55" s="1097" t="inlineStr">
        <is>
          <t>Objet de collecte</t>
        </is>
      </c>
      <c r="E55" s="1081" t="n"/>
      <c r="G55" s="1081" t="n"/>
      <c r="L55" s="1113" t="n"/>
      <c r="M55" s="1096" t="inlineStr">
        <is>
          <t>NATure of funds in use transaction 
(P1 2.29, P2 2.29, M1 2.3)</t>
        </is>
      </c>
      <c r="N55" s="1097" t="inlineStr">
        <is>
          <t>Business object</t>
        </is>
      </c>
      <c r="O55" s="1081" t="n"/>
      <c r="Q55" s="1081" t="n"/>
    </row>
    <row r="56" ht="102" customHeight="1">
      <c r="B56" s="1114" t="inlineStr">
        <is>
          <t>P1 2.29</t>
        </is>
      </c>
      <c r="C56" s="1115" t="inlineStr">
        <is>
          <t>NA010, NA011, NA012, NA020, NA021, NA022, NA300, NA311, NA312, NA321, NA322, NA323, NA330, NA341, NA342, NA343, NA344, NA350, NA361, NA362, NA363, NA364, NA365, NA366, NA367, NA368, NA369, NA370, NA371, NAT41, NAT42, NAT43, NAT44, NAT06, NAT07, NA100, NA101, NA102</t>
        </is>
      </c>
      <c r="D56" s="1116" t="inlineStr">
        <is>
          <t>P1</t>
        </is>
      </c>
      <c r="E56" s="1081" t="n"/>
      <c r="G56" s="1081" t="n"/>
      <c r="L56" s="1114" t="inlineStr">
        <is>
          <t>P1 2.29</t>
        </is>
      </c>
      <c r="M56" s="1115" t="inlineStr">
        <is>
          <t>NA010, NA011, NA012, NA020, NA021, NA022, NA300, NA311, NA312, NA321, NA322, NA323, NA330, NA341, NA342, NA343, NA344, NA350, NA361, NA362, NA363, NA364, NA365, NA366, NA367, NA368, NA369, NA370, NA371, NAT41, NAT42, NAT43, NAT44, NAT06, NAT07, NA100, NA101, NA102</t>
        </is>
      </c>
      <c r="N56" s="1116" t="inlineStr">
        <is>
          <t>P1</t>
        </is>
      </c>
      <c r="O56" s="1081" t="n"/>
      <c r="Q56" s="1081" t="n"/>
    </row>
    <row r="57">
      <c r="B57" s="1117" t="inlineStr">
        <is>
          <t>P2 2.29</t>
        </is>
      </c>
      <c r="C57" s="1118" t="inlineStr">
        <is>
          <t>NAT06, NAT07</t>
        </is>
      </c>
      <c r="D57" s="1116" t="inlineStr">
        <is>
          <t>P2</t>
        </is>
      </c>
      <c r="E57" s="1081" t="n"/>
      <c r="G57" s="1081" t="n"/>
      <c r="L57" s="1117" t="inlineStr">
        <is>
          <t>P2 2.29</t>
        </is>
      </c>
      <c r="M57" s="1118" t="inlineStr">
        <is>
          <t>NAT06, NAT07</t>
        </is>
      </c>
      <c r="N57" s="1116" t="inlineStr">
        <is>
          <t>P2</t>
        </is>
      </c>
      <c r="O57" s="1081" t="n"/>
      <c r="Q57" s="1081" t="n"/>
    </row>
    <row r="58">
      <c r="B58" s="1117" t="inlineStr">
        <is>
          <t>M1 2.3</t>
        </is>
      </c>
      <c r="C58" s="1118" t="inlineStr">
        <is>
          <t>NAT81, NAT82, NAT83, NAT84, NAT85</t>
        </is>
      </c>
      <c r="D58" s="1116" t="inlineStr">
        <is>
          <t>M1</t>
        </is>
      </c>
      <c r="E58" s="1081" t="n"/>
      <c r="G58" s="1081" t="n"/>
      <c r="L58" s="1117" t="inlineStr">
        <is>
          <t>M1 2.3</t>
        </is>
      </c>
      <c r="M58" s="1118" t="inlineStr">
        <is>
          <t>NAT81, NAT82, NAT83, NAT84, NAT85</t>
        </is>
      </c>
      <c r="N58" s="1116" t="inlineStr">
        <is>
          <t>M1</t>
        </is>
      </c>
      <c r="O58" s="1081" t="n"/>
      <c r="Q58" s="1081" t="n"/>
    </row>
    <row r="59">
      <c r="B59" s="1081" t="n"/>
      <c r="E59" s="1081" t="n"/>
      <c r="G59" s="1081" t="n"/>
      <c r="L59" s="1081" t="n"/>
      <c r="O59" s="1081" t="n"/>
      <c r="Q59" s="1081" t="n"/>
    </row>
    <row r="63" ht="15.75" customHeight="1">
      <c r="B63" s="1486" t="inlineStr">
        <is>
          <t>Contrôle TC0C14 : Cohérence Portefeuille Bâle Tiers / Domaine CRRC</t>
        </is>
      </c>
      <c r="C63" s="1519" t="n"/>
      <c r="D63" s="1519" t="n"/>
      <c r="E63" s="1498" t="n"/>
      <c r="L63" s="1486" t="inlineStr">
        <is>
          <t>Control TC0C14 : Third Parties Basel Portfolio / CRRC perimeter consistency</t>
        </is>
      </c>
      <c r="M63" s="1519" t="n"/>
      <c r="N63" s="1519" t="n"/>
      <c r="O63" s="1498" t="n"/>
    </row>
    <row r="64">
      <c r="B64" s="1487" t="inlineStr">
        <is>
          <t>Description du contrôle</t>
        </is>
      </c>
      <c r="C64" s="1498" t="n"/>
      <c r="D64" s="1487" t="inlineStr">
        <is>
          <t>Périmètre</t>
        </is>
      </c>
      <c r="E64" s="1498" t="n"/>
      <c r="L64" s="1487" t="inlineStr">
        <is>
          <t>Description of control</t>
        </is>
      </c>
      <c r="M64" s="1498" t="n"/>
      <c r="N64" s="1487" t="inlineStr">
        <is>
          <t>Scope</t>
        </is>
      </c>
      <c r="O64" s="1498" t="n"/>
    </row>
    <row r="65">
      <c r="B65" s="1484" t="inlineStr">
        <is>
          <t>Le contrôle consiste à vérifier la cohérence de l'utilisation du Portefeuille Bâle Tiers vis-à-vis des domaines du CRR</t>
        </is>
      </c>
      <c r="C65" s="1498" t="n"/>
      <c r="D65" s="1484" t="inlineStr">
        <is>
          <t>Grande Clientèle et Clientèle de détail</t>
        </is>
      </c>
      <c r="E65" s="1498" t="n"/>
      <c r="L65" s="1484" t="inlineStr">
        <is>
          <t>The control consists in checking that the Basel Portfolio of Third Parties is consistent with the CRR fields</t>
        </is>
      </c>
      <c r="M65" s="1498" t="n"/>
      <c r="N65" s="1484" t="inlineStr">
        <is>
          <t>Corporate customers and Retail customers</t>
        </is>
      </c>
      <c r="O65" s="1498" t="n"/>
      <c r="P65" s="1080" t="n"/>
      <c r="Q65" s="1080" t="n"/>
      <c r="R65" s="1080" t="n"/>
      <c r="S65" s="1080" t="n"/>
      <c r="T65" s="1080" t="n"/>
    </row>
    <row r="67">
      <c r="B67" s="1081" t="inlineStr">
        <is>
          <t>P1/P2/M1</t>
        </is>
      </c>
      <c r="C67" s="1120" t="n"/>
      <c r="D67" s="1120" t="n"/>
      <c r="L67" s="1081" t="inlineStr">
        <is>
          <t>P1/P2/M1</t>
        </is>
      </c>
      <c r="M67" s="1120" t="n"/>
      <c r="N67" s="1120" t="n"/>
    </row>
    <row r="68">
      <c r="B68" s="1121" t="n"/>
      <c r="C68" s="1120" t="n"/>
      <c r="D68" s="1120" t="n"/>
      <c r="L68" s="1121" t="n"/>
      <c r="M68" s="1120" t="n"/>
      <c r="N68" s="1120" t="n"/>
    </row>
    <row r="69" ht="25.5" customHeight="1">
      <c r="B69" s="1122" t="inlineStr">
        <is>
          <t>Identifiant de l'objet
(1.11 (P1), 1.11 (P2), 1.8 (M1))</t>
        </is>
      </c>
      <c r="C69" s="1123" t="inlineStr">
        <is>
          <t>Objet de collecte</t>
        </is>
      </c>
      <c r="D69" s="1123" t="inlineStr">
        <is>
          <t>Portefeuille Bâle Tiers
(C1 4.7)</t>
        </is>
      </c>
      <c r="L69" s="1122" t="inlineStr">
        <is>
          <t>Funds in use ID
(1.11 (P1), 1.11 (P2), 1.8 (M1))</t>
        </is>
      </c>
      <c r="M69" s="1123" t="inlineStr">
        <is>
          <t>Business object</t>
        </is>
      </c>
      <c r="N69" s="1123" t="inlineStr">
        <is>
          <t>Basel Portfolio of Third Parties
(C1 4.7)</t>
        </is>
      </c>
    </row>
    <row r="70">
      <c r="B70" s="1124" t="inlineStr">
        <is>
          <t>*</t>
        </is>
      </c>
      <c r="C70" s="1124" t="inlineStr">
        <is>
          <t>P1, P2, M1</t>
        </is>
      </c>
      <c r="D70" s="1125" t="inlineStr">
        <is>
          <t>022, 030, 040, 050</t>
        </is>
      </c>
      <c r="L70" s="1124" t="inlineStr">
        <is>
          <t>*</t>
        </is>
      </c>
      <c r="M70" s="1124" t="inlineStr">
        <is>
          <t>P1, P2, M1</t>
        </is>
      </c>
      <c r="N70" s="1125" t="inlineStr">
        <is>
          <t>022, 030, 040, 050</t>
        </is>
      </c>
    </row>
    <row r="71">
      <c r="B71" s="1121" t="n"/>
      <c r="C71" s="1120" t="n"/>
      <c r="D71" s="1120" t="n"/>
      <c r="L71" s="1121" t="n"/>
      <c r="M71" s="1120" t="n"/>
      <c r="N71" s="1120" t="n"/>
    </row>
    <row r="72">
      <c r="B72" s="1121" t="n"/>
      <c r="C72" s="1120" t="n"/>
      <c r="D72" s="1120" t="n"/>
      <c r="L72" s="1121" t="n"/>
      <c r="M72" s="1120" t="n"/>
      <c r="N72" s="1120" t="n"/>
    </row>
    <row r="73">
      <c r="B73" s="1121" t="n"/>
      <c r="C73" s="1120" t="n"/>
      <c r="D73" s="1120" t="n"/>
      <c r="L73" s="1121" t="n"/>
      <c r="M73" s="1120" t="n"/>
      <c r="N73" s="1120" t="n"/>
    </row>
    <row r="74" ht="15.75" customHeight="1">
      <c r="B74" s="1486" t="inlineStr">
        <is>
          <t>Contrôle TC0C16 : Cohérence Crédit-bail</t>
        </is>
      </c>
      <c r="C74" s="1519" t="n"/>
      <c r="D74" s="1519" t="n"/>
      <c r="E74" s="1498" t="n"/>
      <c r="L74" s="1486" t="inlineStr">
        <is>
          <t>Control TC0C16 : Credit-lease consistency</t>
        </is>
      </c>
      <c r="M74" s="1519" t="n"/>
      <c r="N74" s="1519" t="n"/>
      <c r="O74" s="1498" t="n"/>
    </row>
    <row r="75">
      <c r="B75" s="1487" t="inlineStr">
        <is>
          <t>Description du contrôle</t>
        </is>
      </c>
      <c r="C75" s="1498" t="n"/>
      <c r="D75" s="1487" t="inlineStr">
        <is>
          <t>Périmètre</t>
        </is>
      </c>
      <c r="E75" s="1498" t="n"/>
      <c r="L75" s="1487" t="inlineStr">
        <is>
          <t>Description of control</t>
        </is>
      </c>
      <c r="M75" s="1498" t="n"/>
      <c r="N75" s="1487" t="inlineStr">
        <is>
          <t>Scope</t>
        </is>
      </c>
      <c r="O75" s="1498" t="n"/>
    </row>
    <row r="76">
      <c r="B76" s="1484" t="inlineStr">
        <is>
          <t>Le contrôle consiste à s’assurer que la saisie de certains champs a bien été effectuée pour les expositions
du portefeuille CREDIT BAIL</t>
        </is>
      </c>
      <c r="C76" s="1498" t="n"/>
      <c r="D76" s="1484" t="inlineStr">
        <is>
          <t>Grande Clientèle, Clientèle de détail et Standard en Alimentation adaptée</t>
        </is>
      </c>
      <c r="E76" s="1498" t="n"/>
      <c r="L76" s="1484" t="inlineStr">
        <is>
          <t>The control consists in ensuring that certain fields have been entered for exposures
of the CREDIT BAIL portfolio</t>
        </is>
      </c>
      <c r="M76" s="1498" t="n"/>
      <c r="N76" s="1484" t="inlineStr">
        <is>
          <t>Corporate customers, Retail Customers and Standard in Adapted Feeding</t>
        </is>
      </c>
      <c r="O76" s="1498" t="n"/>
      <c r="P76" s="1080" t="n"/>
      <c r="Q76" s="1080" t="n"/>
      <c r="R76" s="1080" t="n"/>
      <c r="S76" s="1080" t="n"/>
      <c r="T76" s="1080" t="n"/>
    </row>
    <row r="78" customFormat="1" s="1127">
      <c r="B78" s="1130" t="inlineStr">
        <is>
          <t>P1</t>
        </is>
      </c>
      <c r="C78" s="1129" t="n"/>
      <c r="D78" s="1129" t="n"/>
      <c r="E78" s="1129" t="n"/>
      <c r="F78" s="1129" t="n"/>
      <c r="G78" s="1129" t="n"/>
      <c r="H78" s="1129" t="n"/>
      <c r="I78" s="1129" t="n"/>
      <c r="J78" s="1129" t="n"/>
      <c r="L78" s="1130" t="inlineStr">
        <is>
          <t>P1</t>
        </is>
      </c>
      <c r="M78" s="1129" t="n"/>
      <c r="N78" s="1129" t="n"/>
      <c r="O78" s="1129" t="n"/>
      <c r="P78" s="1129" t="n"/>
      <c r="Q78" s="1129" t="n"/>
      <c r="R78" s="1129" t="n"/>
      <c r="S78" s="1129" t="n"/>
      <c r="T78" s="1129" t="n"/>
    </row>
    <row r="80" ht="51" customHeight="1">
      <c r="B80" s="1122" t="inlineStr">
        <is>
          <t>Achat en fin de contrat du bien loué
(P1 3.45)</t>
        </is>
      </c>
      <c r="C80" s="1123" t="inlineStr">
        <is>
          <t>Type de risque
(P1 2.0)</t>
        </is>
      </c>
      <c r="D80" s="1123" t="inlineStr">
        <is>
          <t>Usage du bien immobilier financé
(P1 8.13)</t>
        </is>
      </c>
      <c r="E80" s="1123" t="inlineStr">
        <is>
          <t>Valeur estimée en fin de période du bien loué
(P1 5.19)</t>
        </is>
      </c>
      <c r="F80" s="1123" t="inlineStr">
        <is>
          <t>Devise de la valeur estimée en fin de période du bien loué
(P1 5.20)</t>
        </is>
      </c>
      <c r="G80" s="1123" t="inlineStr">
        <is>
          <t>Valeur hypothécaire du bien immobilier loué à la date d'évaluation
(P1 3.42)</t>
        </is>
      </c>
      <c r="H80" s="1123" t="inlineStr">
        <is>
          <t>Devise de la valeur hypothécaire du bien immobilier loué à la date d'évaluation 
(P1 3.43)</t>
        </is>
      </c>
      <c r="I80" s="1123" t="inlineStr">
        <is>
          <t>Valeur de marché du bien immobilier loué à la dernière date d'évaluation
(P1 3.40)</t>
        </is>
      </c>
      <c r="J80" s="1123" t="inlineStr">
        <is>
          <t>Devise de la valeur de marché du bien immobilier loué à la date d'évaluation
(P1 3.41)</t>
        </is>
      </c>
      <c r="L80" s="1122" t="inlineStr">
        <is>
          <t>Purchase at the end of the lease of the leased property (P1 3.45)</t>
        </is>
      </c>
      <c r="M80" s="1123" t="inlineStr">
        <is>
          <t>Risk type (P1 2.0)</t>
        </is>
      </c>
      <c r="N80" s="1123" t="inlineStr">
        <is>
          <t>Use of real estate (P1 8.13)</t>
        </is>
      </c>
      <c r="O80" s="1123" t="inlineStr">
        <is>
          <t>Estimated value at the end of the period of the leased property (P1 5.19)</t>
        </is>
      </c>
      <c r="P80" s="1123" t="inlineStr">
        <is>
          <t>Currency of the estimated value at the end of the period of the leased property (P1 5.20)</t>
        </is>
      </c>
      <c r="Q80" s="1123" t="inlineStr">
        <is>
          <t>Mortgage value of leased real estate at valuation date (P1 3.42)</t>
        </is>
      </c>
      <c r="R80" s="1123" t="inlineStr">
        <is>
          <t>Currency of the mortgage value of the leased property on the valuation date (P1 3.43)</t>
        </is>
      </c>
      <c r="S80" s="1123" t="inlineStr">
        <is>
          <t>Market value|fair value of leased real estate at the latest valuation date (P1 3.40)</t>
        </is>
      </c>
      <c r="T80" s="1123" t="inlineStr">
        <is>
          <t>Currency of the market value|fair value of leased real estate at valuation date (P1 3.41)</t>
        </is>
      </c>
    </row>
    <row r="81" customFormat="1" s="1127">
      <c r="B81" s="1128" t="n">
        <v>1</v>
      </c>
      <c r="C81" s="1128" t="inlineStr">
        <is>
          <t>TRE502</t>
        </is>
      </c>
      <c r="D81" s="1128" t="n">
        <v>1</v>
      </c>
      <c r="E81" s="1126" t="inlineStr">
        <is>
          <t>≠ 0</t>
        </is>
      </c>
      <c r="F81" s="1128" t="inlineStr">
        <is>
          <t>(Non vide)</t>
        </is>
      </c>
      <c r="G81" s="1126" t="inlineStr">
        <is>
          <t>≠ 0</t>
        </is>
      </c>
      <c r="H81" s="1128" t="inlineStr">
        <is>
          <t>(Non vide)</t>
        </is>
      </c>
      <c r="I81" s="1126" t="inlineStr">
        <is>
          <t>≠ 0</t>
        </is>
      </c>
      <c r="J81" s="1128" t="inlineStr">
        <is>
          <t>(Non vide)</t>
        </is>
      </c>
      <c r="L81" s="1128" t="n">
        <v>1</v>
      </c>
      <c r="M81" s="1128" t="inlineStr">
        <is>
          <t>TRE502</t>
        </is>
      </c>
      <c r="N81" s="1128" t="n">
        <v>1</v>
      </c>
      <c r="O81" s="1126" t="inlineStr">
        <is>
          <t>≠ 0</t>
        </is>
      </c>
      <c r="P81" s="1128" t="inlineStr">
        <is>
          <t>(Non vide)</t>
        </is>
      </c>
      <c r="Q81" s="1126" t="inlineStr">
        <is>
          <t>≠ 0</t>
        </is>
      </c>
      <c r="R81" s="1128" t="inlineStr">
        <is>
          <t>(Non vide)</t>
        </is>
      </c>
      <c r="S81" s="1126" t="inlineStr">
        <is>
          <t>≠ 0</t>
        </is>
      </c>
      <c r="T81" s="1128" t="inlineStr">
        <is>
          <t>(Non vide)</t>
        </is>
      </c>
    </row>
    <row r="82" customFormat="1" s="1127">
      <c r="B82" s="1128" t="n">
        <v>2</v>
      </c>
      <c r="C82" s="1128" t="inlineStr">
        <is>
          <t>TRE502</t>
        </is>
      </c>
      <c r="D82" s="1128" t="n">
        <v>1</v>
      </c>
      <c r="E82" s="1128" t="inlineStr">
        <is>
          <t>*</t>
        </is>
      </c>
      <c r="F82" s="1128" t="inlineStr">
        <is>
          <t>*</t>
        </is>
      </c>
      <c r="G82" s="1126" t="inlineStr">
        <is>
          <t>≠ 0</t>
        </is>
      </c>
      <c r="H82" s="1128" t="inlineStr">
        <is>
          <t>(Non vide)</t>
        </is>
      </c>
      <c r="I82" s="1126" t="inlineStr">
        <is>
          <t>≠ 0</t>
        </is>
      </c>
      <c r="J82" s="1128" t="inlineStr">
        <is>
          <t>(Non vide)</t>
        </is>
      </c>
      <c r="L82" s="1128" t="n">
        <v>2</v>
      </c>
      <c r="M82" s="1128" t="inlineStr">
        <is>
          <t>TRE502</t>
        </is>
      </c>
      <c r="N82" s="1128" t="n">
        <v>1</v>
      </c>
      <c r="O82" s="1128" t="inlineStr">
        <is>
          <t>*</t>
        </is>
      </c>
      <c r="P82" s="1128" t="inlineStr">
        <is>
          <t>*</t>
        </is>
      </c>
      <c r="Q82" s="1126" t="inlineStr">
        <is>
          <t>≠ 0</t>
        </is>
      </c>
      <c r="R82" s="1128" t="inlineStr">
        <is>
          <t>(Non vide)</t>
        </is>
      </c>
      <c r="S82" s="1126" t="inlineStr">
        <is>
          <t>≠ 0</t>
        </is>
      </c>
      <c r="T82" s="1128" t="inlineStr">
        <is>
          <t>(Non vide)</t>
        </is>
      </c>
    </row>
    <row r="83" customFormat="1" s="1127">
      <c r="B83" s="1128" t="n">
        <v>1</v>
      </c>
      <c r="C83" s="1128" t="inlineStr">
        <is>
          <t>TRE502</t>
        </is>
      </c>
      <c r="D83" s="1128" t="n">
        <v>2</v>
      </c>
      <c r="E83" s="1126" t="inlineStr">
        <is>
          <t>≠ 0</t>
        </is>
      </c>
      <c r="F83" s="1128" t="inlineStr">
        <is>
          <t>(Non vide)</t>
        </is>
      </c>
      <c r="G83" s="1128" t="inlineStr">
        <is>
          <t>*</t>
        </is>
      </c>
      <c r="H83" s="1128" t="inlineStr">
        <is>
          <t>*</t>
        </is>
      </c>
      <c r="I83" s="1126" t="inlineStr">
        <is>
          <t>≠ 0</t>
        </is>
      </c>
      <c r="J83" s="1128" t="inlineStr">
        <is>
          <t>(Non vide)</t>
        </is>
      </c>
      <c r="L83" s="1128" t="n">
        <v>1</v>
      </c>
      <c r="M83" s="1128" t="inlineStr">
        <is>
          <t>TRE502</t>
        </is>
      </c>
      <c r="N83" s="1128" t="n">
        <v>2</v>
      </c>
      <c r="O83" s="1126" t="inlineStr">
        <is>
          <t>≠ 0</t>
        </is>
      </c>
      <c r="P83" s="1128" t="inlineStr">
        <is>
          <t>(Non vide)</t>
        </is>
      </c>
      <c r="Q83" s="1128" t="inlineStr">
        <is>
          <t>*</t>
        </is>
      </c>
      <c r="R83" s="1128" t="inlineStr">
        <is>
          <t>*</t>
        </is>
      </c>
      <c r="S83" s="1126" t="inlineStr">
        <is>
          <t>≠ 0</t>
        </is>
      </c>
      <c r="T83" s="1128" t="inlineStr">
        <is>
          <t>(Non vide)</t>
        </is>
      </c>
    </row>
    <row r="84" customFormat="1" s="1127">
      <c r="B84" s="1128" t="n">
        <v>2</v>
      </c>
      <c r="C84" s="1128" t="inlineStr">
        <is>
          <t>TRE502</t>
        </is>
      </c>
      <c r="D84" s="1128" t="n">
        <v>2</v>
      </c>
      <c r="E84" s="1128" t="inlineStr">
        <is>
          <t>*</t>
        </is>
      </c>
      <c r="F84" s="1128" t="inlineStr">
        <is>
          <t>*</t>
        </is>
      </c>
      <c r="G84" s="1128" t="inlineStr">
        <is>
          <t>*</t>
        </is>
      </c>
      <c r="H84" s="1128" t="inlineStr">
        <is>
          <t>*</t>
        </is>
      </c>
      <c r="I84" s="1126" t="inlineStr">
        <is>
          <t>≠ 0</t>
        </is>
      </c>
      <c r="J84" s="1128" t="inlineStr">
        <is>
          <t>(Non vide)</t>
        </is>
      </c>
      <c r="L84" s="1128" t="n">
        <v>2</v>
      </c>
      <c r="M84" s="1128" t="inlineStr">
        <is>
          <t>TRE502</t>
        </is>
      </c>
      <c r="N84" s="1128" t="n">
        <v>2</v>
      </c>
      <c r="O84" s="1128" t="inlineStr">
        <is>
          <t>*</t>
        </is>
      </c>
      <c r="P84" s="1128" t="inlineStr">
        <is>
          <t>*</t>
        </is>
      </c>
      <c r="Q84" s="1128" t="inlineStr">
        <is>
          <t>*</t>
        </is>
      </c>
      <c r="R84" s="1128" t="inlineStr">
        <is>
          <t>*</t>
        </is>
      </c>
      <c r="S84" s="1126" t="inlineStr">
        <is>
          <t>≠ 0</t>
        </is>
      </c>
      <c r="T84" s="1128" t="inlineStr">
        <is>
          <t>(Non vide)</t>
        </is>
      </c>
    </row>
    <row r="85" customFormat="1" s="1127">
      <c r="B85" s="1128" t="n">
        <v>1</v>
      </c>
      <c r="C85" s="1128" t="inlineStr">
        <is>
          <t>TRE501, TRE503, TRE509</t>
        </is>
      </c>
      <c r="D85" s="1128" t="inlineStr">
        <is>
          <t>*</t>
        </is>
      </c>
      <c r="E85" s="1128" t="inlineStr">
        <is>
          <t>≠ 0</t>
        </is>
      </c>
      <c r="F85" s="1128" t="inlineStr">
        <is>
          <t>(Non vide)</t>
        </is>
      </c>
      <c r="G85" s="1128" t="inlineStr">
        <is>
          <t>*</t>
        </is>
      </c>
      <c r="H85" s="1128" t="inlineStr">
        <is>
          <t>*</t>
        </is>
      </c>
      <c r="I85" s="1128" t="inlineStr">
        <is>
          <t>*</t>
        </is>
      </c>
      <c r="J85" s="1128" t="inlineStr">
        <is>
          <t>*</t>
        </is>
      </c>
      <c r="L85" s="1128" t="n">
        <v>1</v>
      </c>
      <c r="M85" s="1128" t="inlineStr">
        <is>
          <t>TRE501, TRE503, TRE509</t>
        </is>
      </c>
      <c r="N85" s="1128" t="inlineStr">
        <is>
          <t>*</t>
        </is>
      </c>
      <c r="O85" s="1128" t="inlineStr">
        <is>
          <t>≠ 0</t>
        </is>
      </c>
      <c r="P85" s="1128" t="inlineStr">
        <is>
          <t>(Non vide)</t>
        </is>
      </c>
      <c r="Q85" s="1128" t="inlineStr">
        <is>
          <t>*</t>
        </is>
      </c>
      <c r="R85" s="1128" t="inlineStr">
        <is>
          <t>*</t>
        </is>
      </c>
      <c r="S85" s="1128" t="inlineStr">
        <is>
          <t>*</t>
        </is>
      </c>
      <c r="T85" s="1128" t="inlineStr">
        <is>
          <t>*</t>
        </is>
      </c>
    </row>
    <row r="86" customFormat="1" s="1132">
      <c r="B86" s="1131" t="n"/>
      <c r="C86" s="1131" t="n"/>
      <c r="D86" s="1131" t="n"/>
      <c r="E86" s="1131" t="n"/>
      <c r="F86" s="1131" t="n"/>
      <c r="G86" s="1131" t="n"/>
      <c r="H86" s="1131" t="n"/>
      <c r="I86" s="1131" t="n"/>
      <c r="J86" s="1131" t="n"/>
      <c r="L86" s="1131" t="n"/>
      <c r="M86" s="1131" t="n"/>
      <c r="N86" s="1131" t="n"/>
      <c r="O86" s="1131" t="n"/>
      <c r="P86" s="1131" t="n"/>
      <c r="Q86" s="1131" t="n"/>
      <c r="R86" s="1131" t="n"/>
      <c r="S86" s="1131" t="n"/>
      <c r="T86" s="1131" t="n"/>
    </row>
    <row r="90" ht="15.75" customHeight="1">
      <c r="B90" s="1486" t="inlineStr">
        <is>
          <t>Contrôle TC0C17 : Cohérence Type de risque et données liées</t>
        </is>
      </c>
      <c r="C90" s="1519" t="n"/>
      <c r="D90" s="1519" t="n"/>
      <c r="E90" s="1498" t="n"/>
      <c r="L90" s="1486" t="inlineStr">
        <is>
          <t>Control TC0C17 : Consistency risk type and related data</t>
        </is>
      </c>
      <c r="M90" s="1519" t="n"/>
      <c r="N90" s="1519" t="n"/>
      <c r="O90" s="1498" t="n"/>
    </row>
    <row r="91">
      <c r="B91" s="1487" t="inlineStr">
        <is>
          <t>Description du contrôle</t>
        </is>
      </c>
      <c r="C91" s="1498" t="n"/>
      <c r="D91" s="1487" t="inlineStr">
        <is>
          <t>Périmètre</t>
        </is>
      </c>
      <c r="E91" s="1498" t="n"/>
      <c r="L91" s="1487" t="inlineStr">
        <is>
          <t>Description of control</t>
        </is>
      </c>
      <c r="M91" s="1498" t="n"/>
      <c r="N91" s="1487" t="inlineStr">
        <is>
          <t>Scope</t>
        </is>
      </c>
      <c r="O91" s="1498" t="n"/>
    </row>
    <row r="92">
      <c r="B92" s="1484" t="inlineStr">
        <is>
          <t>Ce contrôle consiste à vérifier la cohérence entre la donnée Type de risque et l'utilisation de certaines données
risque pour chacun des flux CRR transmis</t>
        </is>
      </c>
      <c r="C92" s="1498" t="n"/>
      <c r="D92" s="1484" t="inlineStr">
        <is>
          <t>Grande Clientèle et Clientèle de détail</t>
        </is>
      </c>
      <c r="E92" s="1498" t="n"/>
      <c r="L92" s="1484" t="inlineStr">
        <is>
          <t>This control consists in checking the consistency between the risk Type data and the use of certain data
risk for each CRR flow transmitted</t>
        </is>
      </c>
      <c r="M92" s="1498" t="n"/>
      <c r="N92" s="1484" t="inlineStr">
        <is>
          <t>Corporate customers and Retail customers</t>
        </is>
      </c>
      <c r="O92" s="1498" t="n"/>
      <c r="P92" s="1080" t="n"/>
      <c r="Q92" s="1080" t="n"/>
      <c r="R92" s="1080" t="n"/>
      <c r="S92" s="1080" t="n"/>
      <c r="T92" s="1080" t="n"/>
    </row>
    <row r="94">
      <c r="B94" s="1081" t="inlineStr">
        <is>
          <t>P1</t>
        </is>
      </c>
      <c r="L94" s="1081" t="inlineStr">
        <is>
          <t>P1</t>
        </is>
      </c>
    </row>
    <row r="95">
      <c r="B95" s="1081" t="n"/>
    </row>
    <row r="96" ht="30" customHeight="1">
      <c r="B96" s="1122" t="inlineStr">
        <is>
          <t>Portefeuille Bâle Opération
(P1 2.18, P2 2.18)</t>
        </is>
      </c>
      <c r="C96" s="1123" t="inlineStr">
        <is>
          <t>Objet de collecte</t>
        </is>
      </c>
      <c r="D96" s="1123" t="inlineStr">
        <is>
          <t>Type de risque
(P1 2.0, P2 2.0)</t>
        </is>
      </c>
      <c r="E96" s="1123" t="inlineStr">
        <is>
          <t>Méthodologie Bâloise
(P1 1.1, P2 1.1)</t>
        </is>
      </c>
      <c r="F96" s="1123" t="inlineStr">
        <is>
          <t>Portefeuille de booking / Intention de Gestion
(P1 2.4, P2 2.4)</t>
        </is>
      </c>
      <c r="G96" s="1123" t="inlineStr">
        <is>
          <t>NATure d'Opération
(P1 2.29, P2 2.29)</t>
        </is>
      </c>
      <c r="H96" s="1123" t="inlineStr">
        <is>
          <t>Nature du Sous Jacent
(P1 12.1)</t>
        </is>
      </c>
      <c r="L96" s="1133" t="inlineStr">
        <is>
          <t>Basel Portfolio Operation
(P1 2.18, P2 2.18)</t>
        </is>
      </c>
      <c r="M96" s="1123" t="inlineStr">
        <is>
          <t>Business object</t>
        </is>
      </c>
      <c r="N96" s="1134" t="inlineStr">
        <is>
          <t>Risk type 
(P1 2.0, P2 2.0)</t>
        </is>
      </c>
      <c r="O96" s="1134" t="inlineStr">
        <is>
          <t>Basel methodology 
(P1 1.1, P2 1.1)</t>
        </is>
      </c>
      <c r="P96" s="1134" t="inlineStr">
        <is>
          <t>Booking portfolio / Management intention 
(P1 2.4, P2 2.4)</t>
        </is>
      </c>
      <c r="Q96" s="1134" t="inlineStr">
        <is>
          <t>NATure of funds in use transaction 
(P1 2.29, P2 2.29)</t>
        </is>
      </c>
      <c r="R96" s="1134" t="inlineStr">
        <is>
          <t>Nature of the Underlying
 (P1 12.1)</t>
        </is>
      </c>
    </row>
    <row r="97" ht="38.25" customHeight="1">
      <c r="B97" s="1135" t="inlineStr">
        <is>
          <t>080</t>
        </is>
      </c>
      <c r="C97" s="1135" t="inlineStr">
        <is>
          <t>P1</t>
        </is>
      </c>
      <c r="D97" s="1124" t="inlineStr">
        <is>
          <t>EQU101</t>
        </is>
      </c>
      <c r="E97" s="1124" t="inlineStr">
        <is>
          <t>STD</t>
        </is>
      </c>
      <c r="F97" s="1125" t="inlineStr">
        <is>
          <t>B</t>
        </is>
      </c>
      <c r="G97" s="1136" t="inlineStr">
        <is>
          <t>NA300, NA311, NA312, NA321, NA322, NA323, NA341, NA342, NA343, NA344, NA350</t>
        </is>
      </c>
      <c r="H97" s="1136" t="inlineStr">
        <is>
          <t>01, 02, 03 ou 98</t>
        </is>
      </c>
      <c r="L97" s="1135" t="inlineStr">
        <is>
          <t>080</t>
        </is>
      </c>
      <c r="M97" s="1135" t="inlineStr">
        <is>
          <t>P1</t>
        </is>
      </c>
      <c r="N97" s="1124" t="inlineStr">
        <is>
          <t>EQU101</t>
        </is>
      </c>
      <c r="O97" s="1124" t="inlineStr">
        <is>
          <t>STD</t>
        </is>
      </c>
      <c r="P97" s="1125" t="inlineStr">
        <is>
          <t>B</t>
        </is>
      </c>
      <c r="Q97" s="1136" t="inlineStr">
        <is>
          <t>NA300, NA311, NA312, NA321, NA322, NA323, NA341, NA342, NA343, NA344, NA350</t>
        </is>
      </c>
      <c r="R97" s="1136" t="inlineStr">
        <is>
          <t>01, 02, 03 ou 98</t>
        </is>
      </c>
    </row>
    <row r="98" ht="38.25" customHeight="1">
      <c r="B98" s="1135" t="inlineStr">
        <is>
          <t>*</t>
        </is>
      </c>
      <c r="C98" s="1135" t="inlineStr">
        <is>
          <t>P1</t>
        </is>
      </c>
      <c r="D98" s="1124" t="inlineStr">
        <is>
          <t>EQU101</t>
        </is>
      </c>
      <c r="E98" s="1124" t="inlineStr">
        <is>
          <t>RM</t>
        </is>
      </c>
      <c r="F98" s="1125" t="inlineStr">
        <is>
          <t>T</t>
        </is>
      </c>
      <c r="G98" s="1136" t="inlineStr">
        <is>
          <t>NA300, NA311, NA312, NA321, NA322, NA323, NA341, NA342, NA343, NA344, NA350</t>
        </is>
      </c>
      <c r="H98" s="1137" t="inlineStr">
        <is>
          <t>01</t>
        </is>
      </c>
      <c r="L98" s="1135" t="inlineStr">
        <is>
          <t>*</t>
        </is>
      </c>
      <c r="M98" s="1135" t="inlineStr">
        <is>
          <t>P1</t>
        </is>
      </c>
      <c r="N98" s="1124" t="inlineStr">
        <is>
          <t>EQU101</t>
        </is>
      </c>
      <c r="O98" s="1124" t="inlineStr">
        <is>
          <t>RM</t>
        </is>
      </c>
      <c r="P98" s="1125" t="inlineStr">
        <is>
          <t>T</t>
        </is>
      </c>
      <c r="Q98" s="1136" t="inlineStr">
        <is>
          <t>NA300, NA311, NA312, NA321, NA322, NA323, NA341, NA342, NA343, NA344, NA350</t>
        </is>
      </c>
      <c r="R98" s="1137" t="inlineStr">
        <is>
          <t>01</t>
        </is>
      </c>
    </row>
    <row r="99">
      <c r="B99" s="1135" t="inlineStr">
        <is>
          <t>080</t>
        </is>
      </c>
      <c r="C99" s="1135" t="inlineStr">
        <is>
          <t>P1</t>
        </is>
      </c>
      <c r="D99" s="1124" t="inlineStr">
        <is>
          <t>EQU201</t>
        </is>
      </c>
      <c r="E99" s="1124" t="inlineStr">
        <is>
          <t>STD</t>
        </is>
      </c>
      <c r="F99" s="1125" t="inlineStr">
        <is>
          <t>B</t>
        </is>
      </c>
      <c r="G99" s="1136" t="inlineStr">
        <is>
          <t>NA323, NA350</t>
        </is>
      </c>
      <c r="H99" s="1135" t="inlineStr">
        <is>
          <t>*</t>
        </is>
      </c>
      <c r="L99" s="1135" t="inlineStr">
        <is>
          <t>080</t>
        </is>
      </c>
      <c r="M99" s="1135" t="inlineStr">
        <is>
          <t>P1</t>
        </is>
      </c>
      <c r="N99" s="1124" t="inlineStr">
        <is>
          <t>EQU201</t>
        </is>
      </c>
      <c r="O99" s="1124" t="inlineStr">
        <is>
          <t>STD</t>
        </is>
      </c>
      <c r="P99" s="1125" t="inlineStr">
        <is>
          <t>B</t>
        </is>
      </c>
      <c r="Q99" s="1136" t="inlineStr">
        <is>
          <t>NA323, NA350</t>
        </is>
      </c>
      <c r="R99" s="1135" t="inlineStr">
        <is>
          <t>*</t>
        </is>
      </c>
    </row>
    <row r="100">
      <c r="B100" s="1135" t="n">
        <v>900</v>
      </c>
      <c r="C100" s="1135" t="inlineStr">
        <is>
          <t>P1</t>
        </is>
      </c>
      <c r="D100" s="1138" t="inlineStr">
        <is>
          <t>TRE100</t>
        </is>
      </c>
      <c r="E100" s="1137" t="inlineStr">
        <is>
          <t>STD</t>
        </is>
      </c>
      <c r="F100" s="1125" t="inlineStr">
        <is>
          <t>B</t>
        </is>
      </c>
      <c r="G100" s="1136" t="inlineStr">
        <is>
          <t>NA011 ou NA012</t>
        </is>
      </c>
      <c r="H100" s="1135" t="inlineStr">
        <is>
          <t>*</t>
        </is>
      </c>
      <c r="L100" s="1135" t="n">
        <v>900</v>
      </c>
      <c r="M100" s="1135" t="inlineStr">
        <is>
          <t>P1</t>
        </is>
      </c>
      <c r="N100" s="1138" t="inlineStr">
        <is>
          <t>TRE100</t>
        </is>
      </c>
      <c r="O100" s="1137" t="inlineStr">
        <is>
          <t>STD</t>
        </is>
      </c>
      <c r="P100" s="1125" t="inlineStr">
        <is>
          <t>B</t>
        </is>
      </c>
      <c r="Q100" s="1136" t="inlineStr">
        <is>
          <t>NA011 ou NA012</t>
        </is>
      </c>
      <c r="R100" s="1135" t="inlineStr">
        <is>
          <t>*</t>
        </is>
      </c>
    </row>
    <row r="101">
      <c r="B101" s="1135" t="n">
        <v>900</v>
      </c>
      <c r="C101" s="1135" t="inlineStr">
        <is>
          <t>P1</t>
        </is>
      </c>
      <c r="D101" s="1138" t="inlineStr">
        <is>
          <t>TRE100</t>
        </is>
      </c>
      <c r="E101" s="1137" t="inlineStr">
        <is>
          <t>IRB F</t>
        </is>
      </c>
      <c r="F101" s="1125" t="inlineStr">
        <is>
          <t>B</t>
        </is>
      </c>
      <c r="G101" s="1136" t="inlineStr">
        <is>
          <t>NA010</t>
        </is>
      </c>
      <c r="H101" s="1135" t="inlineStr">
        <is>
          <t>*</t>
        </is>
      </c>
      <c r="L101" s="1135" t="n">
        <v>900</v>
      </c>
      <c r="M101" s="1135" t="inlineStr">
        <is>
          <t>P1</t>
        </is>
      </c>
      <c r="N101" s="1138" t="inlineStr">
        <is>
          <t>TRE100</t>
        </is>
      </c>
      <c r="O101" s="1137" t="inlineStr">
        <is>
          <t>IRB F</t>
        </is>
      </c>
      <c r="P101" s="1125" t="inlineStr">
        <is>
          <t>B</t>
        </is>
      </c>
      <c r="Q101" s="1136" t="inlineStr">
        <is>
          <t>NA010</t>
        </is>
      </c>
      <c r="R101" s="1135" t="inlineStr">
        <is>
          <t>*</t>
        </is>
      </c>
    </row>
    <row r="102">
      <c r="B102" s="1135" t="inlineStr">
        <is>
          <t>900</t>
        </is>
      </c>
      <c r="C102" s="1135" t="inlineStr">
        <is>
          <t>P2</t>
        </is>
      </c>
      <c r="D102" s="1138" t="inlineStr">
        <is>
          <t>TRE100</t>
        </is>
      </c>
      <c r="E102" s="1138" t="inlineStr">
        <is>
          <t>IRB F ou STD</t>
        </is>
      </c>
      <c r="F102" s="1125" t="inlineStr">
        <is>
          <t>B</t>
        </is>
      </c>
      <c r="G102" s="1136" t="inlineStr">
        <is>
          <t>NAT07</t>
        </is>
      </c>
      <c r="H102" s="1135" t="inlineStr">
        <is>
          <t>*</t>
        </is>
      </c>
      <c r="L102" s="1135" t="inlineStr">
        <is>
          <t>900</t>
        </is>
      </c>
      <c r="M102" s="1135" t="inlineStr">
        <is>
          <t>P2</t>
        </is>
      </c>
      <c r="N102" s="1138" t="inlineStr">
        <is>
          <t>TRE100</t>
        </is>
      </c>
      <c r="O102" s="1138" t="inlineStr">
        <is>
          <t>IRB F ou STD</t>
        </is>
      </c>
      <c r="P102" s="1125" t="inlineStr">
        <is>
          <t>B</t>
        </is>
      </c>
      <c r="Q102" s="1136" t="inlineStr">
        <is>
          <t>NAT07</t>
        </is>
      </c>
      <c r="R102" s="1135" t="inlineStr">
        <is>
          <t>*</t>
        </is>
      </c>
    </row>
    <row r="103" ht="25.5" customHeight="1">
      <c r="B103" s="1139" t="inlineStr">
        <is>
          <t>080</t>
        </is>
      </c>
      <c r="C103" s="1139" t="inlineStr">
        <is>
          <t>P1</t>
        </is>
      </c>
      <c r="D103" s="1140" t="inlineStr">
        <is>
          <t>TRE405 ou TRE406</t>
        </is>
      </c>
      <c r="E103" s="1124" t="inlineStr">
        <is>
          <t>STD</t>
        </is>
      </c>
      <c r="F103" s="1141" t="inlineStr">
        <is>
          <t>B</t>
        </is>
      </c>
      <c r="G103" s="1136" t="inlineStr">
        <is>
          <t>NA361, NA363, NA364, NA365, NA367, NA368, NA369, NA370, NA371</t>
        </is>
      </c>
      <c r="H103" s="1135" t="inlineStr">
        <is>
          <t>*</t>
        </is>
      </c>
      <c r="L103" s="1139" t="inlineStr">
        <is>
          <t>080</t>
        </is>
      </c>
      <c r="M103" s="1139" t="inlineStr">
        <is>
          <t>P1</t>
        </is>
      </c>
      <c r="N103" s="1140" t="inlineStr">
        <is>
          <t>TRE405 ou TRE406</t>
        </is>
      </c>
      <c r="O103" s="1124" t="inlineStr">
        <is>
          <t>STD</t>
        </is>
      </c>
      <c r="P103" s="1141" t="inlineStr">
        <is>
          <t>B</t>
        </is>
      </c>
      <c r="Q103" s="1136" t="inlineStr">
        <is>
          <t>NA361, NA363, NA364, NA365, NA367, NA368, NA369, NA370, NA371</t>
        </is>
      </c>
      <c r="R103" s="1135" t="inlineStr">
        <is>
          <t>*</t>
        </is>
      </c>
    </row>
    <row r="104">
      <c r="B104" s="1135" t="inlineStr">
        <is>
          <t>900, 070 ou 06*</t>
        </is>
      </c>
      <c r="C104" s="1135" t="inlineStr">
        <is>
          <t>P1</t>
        </is>
      </c>
      <c r="D104" s="1138" t="inlineStr">
        <is>
          <t>TRE2*, TRE3* ou TRE4*</t>
        </is>
      </c>
      <c r="E104" s="1137" t="inlineStr">
        <is>
          <t>IRB A ou IRB F</t>
        </is>
      </c>
      <c r="F104" s="1125" t="inlineStr">
        <is>
          <t>B</t>
        </is>
      </c>
      <c r="G104" s="1136" t="inlineStr">
        <is>
          <t>NA010 ou NA020</t>
        </is>
      </c>
      <c r="H104" s="1135" t="inlineStr">
        <is>
          <t>*</t>
        </is>
      </c>
      <c r="L104" s="1135" t="inlineStr">
        <is>
          <t>900, 070 ou 06*</t>
        </is>
      </c>
      <c r="M104" s="1135" t="inlineStr">
        <is>
          <t>P1</t>
        </is>
      </c>
      <c r="N104" s="1138" t="inlineStr">
        <is>
          <t>TRE2*, TRE3* ou TRE4*</t>
        </is>
      </c>
      <c r="O104" s="1137" t="inlineStr">
        <is>
          <t>IRB A ou IRB F</t>
        </is>
      </c>
      <c r="P104" s="1125" t="inlineStr">
        <is>
          <t>B</t>
        </is>
      </c>
      <c r="Q104" s="1136" t="inlineStr">
        <is>
          <t>NA010 ou NA020</t>
        </is>
      </c>
      <c r="R104" s="1135" t="inlineStr">
        <is>
          <t>*</t>
        </is>
      </c>
    </row>
    <row r="105">
      <c r="B105" s="1135" t="inlineStr">
        <is>
          <t>900, 070 ou 06*</t>
        </is>
      </c>
      <c r="C105" s="1135" t="inlineStr">
        <is>
          <t>P1</t>
        </is>
      </c>
      <c r="D105" s="1138" t="inlineStr">
        <is>
          <t>TRE2*, TRE3* ou TRE4*</t>
        </is>
      </c>
      <c r="E105" s="1137" t="inlineStr">
        <is>
          <t>STD</t>
        </is>
      </c>
      <c r="F105" s="1125" t="inlineStr">
        <is>
          <t>B</t>
        </is>
      </c>
      <c r="G105" s="1136" t="inlineStr">
        <is>
          <t>NA011 ou NA012 ou NA021 ou NA022</t>
        </is>
      </c>
      <c r="H105" s="1135" t="inlineStr">
        <is>
          <t>*</t>
        </is>
      </c>
      <c r="L105" s="1135" t="inlineStr">
        <is>
          <t>900, 070 ou 06*</t>
        </is>
      </c>
      <c r="M105" s="1135" t="inlineStr">
        <is>
          <t>P1</t>
        </is>
      </c>
      <c r="N105" s="1138" t="inlineStr">
        <is>
          <t>TRE2*, TRE3* ou TRE4*</t>
        </is>
      </c>
      <c r="O105" s="1137" t="inlineStr">
        <is>
          <t>STD</t>
        </is>
      </c>
      <c r="P105" s="1125" t="inlineStr">
        <is>
          <t>B</t>
        </is>
      </c>
      <c r="Q105" s="1136" t="inlineStr">
        <is>
          <t>NA011 ou NA012 ou NA021 ou NA022</t>
        </is>
      </c>
      <c r="R105" s="1135" t="inlineStr">
        <is>
          <t>*</t>
        </is>
      </c>
    </row>
    <row r="106">
      <c r="B106" s="1135" t="inlineStr">
        <is>
          <t>900, 070 ou 06*</t>
        </is>
      </c>
      <c r="C106" s="1135" t="inlineStr">
        <is>
          <t>P2</t>
        </is>
      </c>
      <c r="D106" s="1138" t="inlineStr">
        <is>
          <t>TRE2*, TRE3* ou TRE4*</t>
        </is>
      </c>
      <c r="E106" s="1137" t="inlineStr">
        <is>
          <t>IRB A ou IRB F ou STD</t>
        </is>
      </c>
      <c r="F106" s="1125" t="inlineStr">
        <is>
          <t>B</t>
        </is>
      </c>
      <c r="G106" s="1136" t="inlineStr">
        <is>
          <t>NAT07</t>
        </is>
      </c>
      <c r="H106" s="1135" t="inlineStr">
        <is>
          <t>*</t>
        </is>
      </c>
      <c r="L106" s="1135" t="inlineStr">
        <is>
          <t>900, 070 ou 06*</t>
        </is>
      </c>
      <c r="M106" s="1135" t="inlineStr">
        <is>
          <t>P2</t>
        </is>
      </c>
      <c r="N106" s="1138" t="inlineStr">
        <is>
          <t>TRE2*, TRE3* ou TRE4*</t>
        </is>
      </c>
      <c r="O106" s="1137" t="inlineStr">
        <is>
          <t>IRB A ou IRB F ou STD</t>
        </is>
      </c>
      <c r="P106" s="1125" t="inlineStr">
        <is>
          <t>B</t>
        </is>
      </c>
      <c r="Q106" s="1136" t="inlineStr">
        <is>
          <t>NAT07</t>
        </is>
      </c>
      <c r="R106" s="1135" t="inlineStr">
        <is>
          <t>*</t>
        </is>
      </c>
    </row>
    <row r="107">
      <c r="B107" s="1135" t="inlineStr">
        <is>
          <t>900 ou 06*</t>
        </is>
      </c>
      <c r="C107" s="1135" t="inlineStr">
        <is>
          <t>P1</t>
        </is>
      </c>
      <c r="D107" s="1138" t="inlineStr">
        <is>
          <t>TRE5*</t>
        </is>
      </c>
      <c r="E107" s="1138" t="inlineStr">
        <is>
          <t>IRB A ou IRB F</t>
        </is>
      </c>
      <c r="F107" s="1125" t="inlineStr">
        <is>
          <t>B</t>
        </is>
      </c>
      <c r="G107" s="1136" t="inlineStr">
        <is>
          <t>NA010 ou NA020</t>
        </is>
      </c>
      <c r="H107" s="1135" t="inlineStr">
        <is>
          <t>*</t>
        </is>
      </c>
      <c r="L107" s="1135" t="inlineStr">
        <is>
          <t>900 ou 06*</t>
        </is>
      </c>
      <c r="M107" s="1135" t="inlineStr">
        <is>
          <t>P1</t>
        </is>
      </c>
      <c r="N107" s="1138" t="inlineStr">
        <is>
          <t>TRE5*</t>
        </is>
      </c>
      <c r="O107" s="1138" t="inlineStr">
        <is>
          <t>IRB A ou IRB F</t>
        </is>
      </c>
      <c r="P107" s="1125" t="inlineStr">
        <is>
          <t>B</t>
        </is>
      </c>
      <c r="Q107" s="1136" t="inlineStr">
        <is>
          <t>NA010 ou NA020</t>
        </is>
      </c>
      <c r="R107" s="1135" t="inlineStr">
        <is>
          <t>*</t>
        </is>
      </c>
    </row>
    <row r="108">
      <c r="B108" s="1135" t="inlineStr">
        <is>
          <t>900 ou 06*</t>
        </is>
      </c>
      <c r="C108" s="1135" t="inlineStr">
        <is>
          <t>P1</t>
        </is>
      </c>
      <c r="D108" s="1138" t="inlineStr">
        <is>
          <t>TRE5*</t>
        </is>
      </c>
      <c r="E108" s="1138" t="inlineStr">
        <is>
          <t>STD</t>
        </is>
      </c>
      <c r="F108" s="1125" t="inlineStr">
        <is>
          <t>B</t>
        </is>
      </c>
      <c r="G108" s="1136" t="inlineStr">
        <is>
          <t>NA011 ou NA012 ou NA021 ou NA022</t>
        </is>
      </c>
      <c r="H108" s="1135" t="inlineStr">
        <is>
          <t>*</t>
        </is>
      </c>
      <c r="L108" s="1135" t="inlineStr">
        <is>
          <t>900 ou 06*</t>
        </is>
      </c>
      <c r="M108" s="1135" t="inlineStr">
        <is>
          <t>P1</t>
        </is>
      </c>
      <c r="N108" s="1138" t="inlineStr">
        <is>
          <t>TRE5*</t>
        </is>
      </c>
      <c r="O108" s="1138" t="inlineStr">
        <is>
          <t>STD</t>
        </is>
      </c>
      <c r="P108" s="1125" t="inlineStr">
        <is>
          <t>B</t>
        </is>
      </c>
      <c r="Q108" s="1136" t="inlineStr">
        <is>
          <t>NA011 ou NA012 ou NA021 ou NA022</t>
        </is>
      </c>
      <c r="R108" s="1135" t="inlineStr">
        <is>
          <t>*</t>
        </is>
      </c>
    </row>
    <row r="109">
      <c r="B109" s="1135" t="inlineStr">
        <is>
          <t>900 ou 06*</t>
        </is>
      </c>
      <c r="C109" s="1135" t="inlineStr">
        <is>
          <t>P2</t>
        </is>
      </c>
      <c r="D109" s="1138" t="inlineStr">
        <is>
          <t>TRE5*</t>
        </is>
      </c>
      <c r="E109" s="1137" t="inlineStr">
        <is>
          <t>IRB A ou IRB F ou STD</t>
        </is>
      </c>
      <c r="F109" s="1125" t="inlineStr">
        <is>
          <t>B</t>
        </is>
      </c>
      <c r="G109" s="1136" t="inlineStr">
        <is>
          <t>NAT07</t>
        </is>
      </c>
      <c r="H109" s="1135" t="inlineStr">
        <is>
          <t>*</t>
        </is>
      </c>
      <c r="L109" s="1135" t="inlineStr">
        <is>
          <t>900 ou 06*</t>
        </is>
      </c>
      <c r="M109" s="1135" t="inlineStr">
        <is>
          <t>P2</t>
        </is>
      </c>
      <c r="N109" s="1138" t="inlineStr">
        <is>
          <t>TRE5*</t>
        </is>
      </c>
      <c r="O109" s="1137" t="inlineStr">
        <is>
          <t>IRB A ou IRB F ou STD</t>
        </is>
      </c>
      <c r="P109" s="1125" t="inlineStr">
        <is>
          <t>B</t>
        </is>
      </c>
      <c r="Q109" s="1136" t="inlineStr">
        <is>
          <t>NAT07</t>
        </is>
      </c>
      <c r="R109" s="1135" t="inlineStr">
        <is>
          <t>*</t>
        </is>
      </c>
    </row>
    <row r="110">
      <c r="B110" s="1135" t="inlineStr">
        <is>
          <t>900 ou 06*</t>
        </is>
      </c>
      <c r="C110" s="1135" t="inlineStr">
        <is>
          <t>P1</t>
        </is>
      </c>
      <c r="D110" s="1138" t="inlineStr">
        <is>
          <t>SIG101, SIG102, SIG103 ou SIG104</t>
        </is>
      </c>
      <c r="E110" s="1137" t="inlineStr">
        <is>
          <t>IRB A ou IRB F ou STD</t>
        </is>
      </c>
      <c r="F110" s="1125" t="inlineStr">
        <is>
          <t>B</t>
        </is>
      </c>
      <c r="G110" s="1136" t="inlineStr">
        <is>
          <t>NAT07</t>
        </is>
      </c>
      <c r="H110" s="1135" t="inlineStr">
        <is>
          <t>*</t>
        </is>
      </c>
      <c r="L110" s="1135" t="inlineStr">
        <is>
          <t>900 ou 06*</t>
        </is>
      </c>
      <c r="M110" s="1135" t="inlineStr">
        <is>
          <t>P1</t>
        </is>
      </c>
      <c r="N110" s="1138" t="inlineStr">
        <is>
          <t>SIG101, SIG102, SIG103 ou SIG104</t>
        </is>
      </c>
      <c r="O110" s="1137" t="inlineStr">
        <is>
          <t>IRB A ou IRB F ou STD</t>
        </is>
      </c>
      <c r="P110" s="1125" t="inlineStr">
        <is>
          <t>B</t>
        </is>
      </c>
      <c r="Q110" s="1136" t="inlineStr">
        <is>
          <t>NAT07</t>
        </is>
      </c>
      <c r="R110" s="1135" t="inlineStr">
        <is>
          <t>*</t>
        </is>
      </c>
    </row>
    <row r="111">
      <c r="B111" s="1135" t="inlineStr">
        <is>
          <t>900 ou 06*</t>
        </is>
      </c>
      <c r="C111" s="1135" t="inlineStr">
        <is>
          <t>P1</t>
        </is>
      </c>
      <c r="D111" s="1138" t="inlineStr">
        <is>
          <t>SIG105, SIG106 ou SIG107</t>
        </is>
      </c>
      <c r="E111" s="1137" t="inlineStr">
        <is>
          <t>IRB A ou IRB F ou STD</t>
        </is>
      </c>
      <c r="F111" s="1125" t="inlineStr">
        <is>
          <t>B</t>
        </is>
      </c>
      <c r="G111" s="1136" t="inlineStr">
        <is>
          <t>NAT06</t>
        </is>
      </c>
      <c r="H111" s="1135" t="inlineStr">
        <is>
          <t>*</t>
        </is>
      </c>
      <c r="L111" s="1135" t="inlineStr">
        <is>
          <t>900 ou 06*</t>
        </is>
      </c>
      <c r="M111" s="1135" t="inlineStr">
        <is>
          <t>P1</t>
        </is>
      </c>
      <c r="N111" s="1138" t="inlineStr">
        <is>
          <t>SIG105, SIG106 ou SIG107</t>
        </is>
      </c>
      <c r="O111" s="1137" t="inlineStr">
        <is>
          <t>IRB A ou IRB F ou STD</t>
        </is>
      </c>
      <c r="P111" s="1125" t="inlineStr">
        <is>
          <t>B</t>
        </is>
      </c>
      <c r="Q111" s="1136" t="inlineStr">
        <is>
          <t>NAT06</t>
        </is>
      </c>
      <c r="R111" s="1135" t="inlineStr">
        <is>
          <t>*</t>
        </is>
      </c>
    </row>
    <row r="112">
      <c r="B112" s="1135" t="inlineStr">
        <is>
          <t>900, 070 ou 06*</t>
        </is>
      </c>
      <c r="C112" s="1135" t="inlineStr">
        <is>
          <t>P1</t>
        </is>
      </c>
      <c r="D112" s="1138" t="inlineStr">
        <is>
          <t>SIG2* ou SIG3*</t>
        </is>
      </c>
      <c r="E112" s="1137" t="inlineStr">
        <is>
          <t>IRB A ou IRB F ou STD</t>
        </is>
      </c>
      <c r="F112" s="1125" t="inlineStr">
        <is>
          <t>B</t>
        </is>
      </c>
      <c r="G112" s="1136" t="inlineStr">
        <is>
          <t>NAT06</t>
        </is>
      </c>
      <c r="H112" s="1135" t="inlineStr">
        <is>
          <t>*</t>
        </is>
      </c>
      <c r="L112" s="1135" t="inlineStr">
        <is>
          <t>900, 070 ou 06*</t>
        </is>
      </c>
      <c r="M112" s="1135" t="inlineStr">
        <is>
          <t>P1</t>
        </is>
      </c>
      <c r="N112" s="1138" t="inlineStr">
        <is>
          <t>SIG2* ou SIG3*</t>
        </is>
      </c>
      <c r="O112" s="1137" t="inlineStr">
        <is>
          <t>IRB A ou IRB F ou STD</t>
        </is>
      </c>
      <c r="P112" s="1125" t="inlineStr">
        <is>
          <t>B</t>
        </is>
      </c>
      <c r="Q112" s="1136" t="inlineStr">
        <is>
          <t>NAT06</t>
        </is>
      </c>
      <c r="R112" s="1135" t="inlineStr">
        <is>
          <t>*</t>
        </is>
      </c>
    </row>
    <row r="113">
      <c r="B113" s="1135" t="inlineStr">
        <is>
          <t>900 ou 06*</t>
        </is>
      </c>
      <c r="C113" s="1135" t="inlineStr">
        <is>
          <t>P2</t>
        </is>
      </c>
      <c r="D113" s="1138" t="inlineStr">
        <is>
          <t>SIG101, SIG102, SIG103 ou SIG104</t>
        </is>
      </c>
      <c r="E113" s="1137" t="inlineStr">
        <is>
          <t>IRB A ou IRB F ou STD</t>
        </is>
      </c>
      <c r="F113" s="1125" t="inlineStr">
        <is>
          <t>B</t>
        </is>
      </c>
      <c r="G113" s="1136" t="inlineStr">
        <is>
          <t>NAT07</t>
        </is>
      </c>
      <c r="H113" s="1135" t="inlineStr">
        <is>
          <t>*</t>
        </is>
      </c>
      <c r="L113" s="1135" t="inlineStr">
        <is>
          <t>900 ou 06*</t>
        </is>
      </c>
      <c r="M113" s="1135" t="inlineStr">
        <is>
          <t>P2</t>
        </is>
      </c>
      <c r="N113" s="1138" t="inlineStr">
        <is>
          <t>SIG101, SIG102, SIG103 ou SIG104</t>
        </is>
      </c>
      <c r="O113" s="1137" t="inlineStr">
        <is>
          <t>IRB A ou IRB F ou STD</t>
        </is>
      </c>
      <c r="P113" s="1125" t="inlineStr">
        <is>
          <t>B</t>
        </is>
      </c>
      <c r="Q113" s="1136" t="inlineStr">
        <is>
          <t>NAT07</t>
        </is>
      </c>
      <c r="R113" s="1135" t="inlineStr">
        <is>
          <t>*</t>
        </is>
      </c>
    </row>
    <row r="114">
      <c r="B114" s="1135" t="inlineStr">
        <is>
          <t>900 ou 06*</t>
        </is>
      </c>
      <c r="C114" s="1135" t="inlineStr">
        <is>
          <t>P2</t>
        </is>
      </c>
      <c r="D114" s="1138" t="inlineStr">
        <is>
          <t>SIG105, SIG106, SIG107</t>
        </is>
      </c>
      <c r="E114" s="1137" t="inlineStr">
        <is>
          <t>IRB A ou IRB F ou STD</t>
        </is>
      </c>
      <c r="F114" s="1125" t="inlineStr">
        <is>
          <t>B</t>
        </is>
      </c>
      <c r="G114" s="1136" t="inlineStr">
        <is>
          <t>NAT06 ou NAT07</t>
        </is>
      </c>
      <c r="H114" s="1135" t="inlineStr">
        <is>
          <t>*</t>
        </is>
      </c>
      <c r="L114" s="1135" t="inlineStr">
        <is>
          <t>900 ou 06*</t>
        </is>
      </c>
      <c r="M114" s="1135" t="inlineStr">
        <is>
          <t>P2</t>
        </is>
      </c>
      <c r="N114" s="1138" t="inlineStr">
        <is>
          <t>SIG105, SIG106, SIG107</t>
        </is>
      </c>
      <c r="O114" s="1137" t="inlineStr">
        <is>
          <t>IRB A ou IRB F ou STD</t>
        </is>
      </c>
      <c r="P114" s="1125" t="inlineStr">
        <is>
          <t>B</t>
        </is>
      </c>
      <c r="Q114" s="1136" t="inlineStr">
        <is>
          <t>NAT06 ou NAT07</t>
        </is>
      </c>
      <c r="R114" s="1135" t="inlineStr">
        <is>
          <t>*</t>
        </is>
      </c>
    </row>
    <row r="115">
      <c r="B115" s="1135" t="inlineStr">
        <is>
          <t>900, 070 ou 06*</t>
        </is>
      </c>
      <c r="C115" s="1135" t="inlineStr">
        <is>
          <t>P2</t>
        </is>
      </c>
      <c r="D115" s="1138" t="inlineStr">
        <is>
          <t>SIG2* ou SIG3*</t>
        </is>
      </c>
      <c r="E115" s="1137" t="inlineStr">
        <is>
          <t>IRB A ou IRB F ou STD</t>
        </is>
      </c>
      <c r="F115" s="1125" t="inlineStr">
        <is>
          <t>B</t>
        </is>
      </c>
      <c r="G115" s="1136" t="inlineStr">
        <is>
          <t>NAT06 ou NAT07</t>
        </is>
      </c>
      <c r="H115" s="1135" t="inlineStr">
        <is>
          <t>*</t>
        </is>
      </c>
      <c r="L115" s="1135" t="inlineStr">
        <is>
          <t>900, 070 ou 06*</t>
        </is>
      </c>
      <c r="M115" s="1135" t="inlineStr">
        <is>
          <t>P2</t>
        </is>
      </c>
      <c r="N115" s="1138" t="inlineStr">
        <is>
          <t>SIG2* ou SIG3*</t>
        </is>
      </c>
      <c r="O115" s="1137" t="inlineStr">
        <is>
          <t>IRB A ou IRB F ou STD</t>
        </is>
      </c>
      <c r="P115" s="1125" t="inlineStr">
        <is>
          <t>B</t>
        </is>
      </c>
      <c r="Q115" s="1136" t="inlineStr">
        <is>
          <t>NAT06 ou NAT07</t>
        </is>
      </c>
      <c r="R115" s="1135" t="inlineStr">
        <is>
          <t>*</t>
        </is>
      </c>
    </row>
    <row r="116">
      <c r="B116" s="1135" t="inlineStr">
        <is>
          <t>900, 070 ou 06*</t>
        </is>
      </c>
      <c r="C116" s="1135" t="inlineStr">
        <is>
          <t>P1</t>
        </is>
      </c>
      <c r="D116" s="1138" t="inlineStr">
        <is>
          <t>VAR* hors VAR105 et VAR302</t>
        </is>
      </c>
      <c r="E116" s="1137" t="inlineStr">
        <is>
          <t>IRB A ou IRB F</t>
        </is>
      </c>
      <c r="F116" s="1125" t="inlineStr">
        <is>
          <t>B ou T</t>
        </is>
      </c>
      <c r="G116" s="1136" t="inlineStr">
        <is>
          <t>NA100</t>
        </is>
      </c>
      <c r="H116" s="1137" t="inlineStr">
        <is>
          <t>*</t>
        </is>
      </c>
      <c r="L116" s="1135" t="inlineStr">
        <is>
          <t>900, 070 ou 06*</t>
        </is>
      </c>
      <c r="M116" s="1135" t="inlineStr">
        <is>
          <t>P1</t>
        </is>
      </c>
      <c r="N116" s="1138" t="inlineStr">
        <is>
          <t>VAR* hors VAR105 et VAR302</t>
        </is>
      </c>
      <c r="O116" s="1137" t="inlineStr">
        <is>
          <t>IRB A ou IRB F</t>
        </is>
      </c>
      <c r="P116" s="1125" t="inlineStr">
        <is>
          <t>B ou T</t>
        </is>
      </c>
      <c r="Q116" s="1136" t="inlineStr">
        <is>
          <t>NA100</t>
        </is>
      </c>
      <c r="R116" s="1137" t="inlineStr">
        <is>
          <t>*</t>
        </is>
      </c>
    </row>
    <row r="117">
      <c r="B117" s="1135" t="inlineStr">
        <is>
          <t>900, 070 ou 06*</t>
        </is>
      </c>
      <c r="C117" s="1135" t="inlineStr">
        <is>
          <t>P1</t>
        </is>
      </c>
      <c r="D117" s="1138" t="inlineStr">
        <is>
          <t>VAR* hors VAR105 et VAR302</t>
        </is>
      </c>
      <c r="E117" s="1137" t="inlineStr">
        <is>
          <t>STD</t>
        </is>
      </c>
      <c r="F117" s="1125" t="inlineStr">
        <is>
          <t>B ou T</t>
        </is>
      </c>
      <c r="G117" s="1136" t="inlineStr">
        <is>
          <t>NA101 ou NA102</t>
        </is>
      </c>
      <c r="H117" s="1137" t="inlineStr">
        <is>
          <t>*</t>
        </is>
      </c>
      <c r="L117" s="1135" t="inlineStr">
        <is>
          <t>900, 070 ou 06*</t>
        </is>
      </c>
      <c r="M117" s="1135" t="inlineStr">
        <is>
          <t>P1</t>
        </is>
      </c>
      <c r="N117" s="1138" t="inlineStr">
        <is>
          <t>VAR* hors VAR105 et VAR302</t>
        </is>
      </c>
      <c r="O117" s="1137" t="inlineStr">
        <is>
          <t>STD</t>
        </is>
      </c>
      <c r="P117" s="1125" t="inlineStr">
        <is>
          <t>B ou T</t>
        </is>
      </c>
      <c r="Q117" s="1136" t="inlineStr">
        <is>
          <t>NA101 ou NA102</t>
        </is>
      </c>
      <c r="R117" s="1137" t="inlineStr">
        <is>
          <t>*</t>
        </is>
      </c>
    </row>
    <row r="118">
      <c r="B118" s="1139" t="inlineStr">
        <is>
          <t>900</t>
        </is>
      </c>
      <c r="C118" s="1139" t="inlineStr">
        <is>
          <t>P1</t>
        </is>
      </c>
      <c r="D118" s="1142" t="inlineStr">
        <is>
          <t>VAR105 ou VAR302</t>
        </is>
      </c>
      <c r="E118" s="1137" t="inlineStr">
        <is>
          <t>IRB A ou IRB F ou STD</t>
        </is>
      </c>
      <c r="F118" s="1141" t="inlineStr">
        <is>
          <t>B ou T</t>
        </is>
      </c>
      <c r="G118" s="1143" t="inlineStr">
        <is>
          <t>NAT4*</t>
        </is>
      </c>
      <c r="H118" s="1144" t="inlineStr">
        <is>
          <t>*</t>
        </is>
      </c>
      <c r="L118" s="1139" t="inlineStr">
        <is>
          <t>900</t>
        </is>
      </c>
      <c r="M118" s="1139" t="inlineStr">
        <is>
          <t>P1</t>
        </is>
      </c>
      <c r="N118" s="1142" t="inlineStr">
        <is>
          <t>VAR105 ou VAR302</t>
        </is>
      </c>
      <c r="O118" s="1137" t="inlineStr">
        <is>
          <t>IRB A ou IRB F ou STD</t>
        </is>
      </c>
      <c r="P118" s="1141" t="inlineStr">
        <is>
          <t>B ou T</t>
        </is>
      </c>
      <c r="Q118" s="1143" t="inlineStr">
        <is>
          <t>NAT4*</t>
        </is>
      </c>
      <c r="R118" s="1144" t="inlineStr">
        <is>
          <t>*</t>
        </is>
      </c>
    </row>
    <row r="119">
      <c r="B119" s="1139" t="inlineStr">
        <is>
          <t>900</t>
        </is>
      </c>
      <c r="C119" s="1139" t="inlineStr">
        <is>
          <t>P1</t>
        </is>
      </c>
      <c r="D119" s="1142" t="inlineStr">
        <is>
          <t>INT*</t>
        </is>
      </c>
      <c r="E119" s="1137" t="inlineStr">
        <is>
          <t>IRB A ou IRB F ou STD</t>
        </is>
      </c>
      <c r="F119" s="1141" t="inlineStr">
        <is>
          <t>B ou T</t>
        </is>
      </c>
      <c r="G119" s="1143" t="inlineStr">
        <is>
          <t>NA3*, NAT4*</t>
        </is>
      </c>
      <c r="H119" s="1144" t="inlineStr">
        <is>
          <t>*</t>
        </is>
      </c>
      <c r="L119" s="1139" t="inlineStr">
        <is>
          <t>900</t>
        </is>
      </c>
      <c r="M119" s="1139" t="inlineStr">
        <is>
          <t>P1</t>
        </is>
      </c>
      <c r="N119" s="1142" t="inlineStr">
        <is>
          <t>INT*</t>
        </is>
      </c>
      <c r="O119" s="1137" t="inlineStr">
        <is>
          <t>IRB A ou IRB F ou STD</t>
        </is>
      </c>
      <c r="P119" s="1141" t="inlineStr">
        <is>
          <t>B ou T</t>
        </is>
      </c>
      <c r="Q119" s="1143" t="inlineStr">
        <is>
          <t>NA3*, NAT4*</t>
        </is>
      </c>
      <c r="R119" s="1144" t="inlineStr">
        <is>
          <t>*</t>
        </is>
      </c>
    </row>
    <row r="120" ht="38.25" customHeight="1">
      <c r="B120" s="1135" t="inlineStr">
        <is>
          <t>*</t>
        </is>
      </c>
      <c r="C120" s="1135" t="inlineStr">
        <is>
          <t>P1</t>
        </is>
      </c>
      <c r="D120" s="1140" t="inlineStr">
        <is>
          <t>ISS100</t>
        </is>
      </c>
      <c r="E120" s="1140" t="inlineStr">
        <is>
          <t>RM</t>
        </is>
      </c>
      <c r="F120" s="1141" t="inlineStr">
        <is>
          <t>T</t>
        </is>
      </c>
      <c r="G120" s="1136" t="inlineStr">
        <is>
          <t>NA300, NA330, NA350, NA361, NA363, NA364, NA365, NA367, NA368, NA369, NA370, NA371</t>
        </is>
      </c>
      <c r="H120" s="1137" t="inlineStr">
        <is>
          <t>06, 07, 08, 09, 10, 11,18, 22, 32 ou 98</t>
        </is>
      </c>
      <c r="L120" s="1135" t="inlineStr">
        <is>
          <t>*</t>
        </is>
      </c>
      <c r="M120" s="1135" t="inlineStr">
        <is>
          <t>P1</t>
        </is>
      </c>
      <c r="N120" s="1140" t="inlineStr">
        <is>
          <t>ISS100</t>
        </is>
      </c>
      <c r="O120" s="1140" t="inlineStr">
        <is>
          <t>RM</t>
        </is>
      </c>
      <c r="P120" s="1141" t="inlineStr">
        <is>
          <t>T</t>
        </is>
      </c>
      <c r="Q120" s="1136" t="inlineStr">
        <is>
          <t>NA300, NA330, NA350, NA361, NA363, NA364, NA365, NA367, NA368, NA369, NA370, NA371</t>
        </is>
      </c>
      <c r="R120" s="1137" t="inlineStr">
        <is>
          <t>06, 07, 08, 09, 10, 11,18, 22, 32 ou 98</t>
        </is>
      </c>
    </row>
    <row r="121" ht="38.25" customHeight="1">
      <c r="B121" s="1139" t="inlineStr">
        <is>
          <t>900</t>
        </is>
      </c>
      <c r="C121" s="1135" t="inlineStr">
        <is>
          <t>P1</t>
        </is>
      </c>
      <c r="D121" s="1138" t="inlineStr">
        <is>
          <t>ISS200 ou ISS300</t>
        </is>
      </c>
      <c r="E121" s="1137" t="inlineStr">
        <is>
          <t>IRB A ou IRB F ou STD</t>
        </is>
      </c>
      <c r="F121" s="1125" t="inlineStr">
        <is>
          <t>B</t>
        </is>
      </c>
      <c r="G121" s="1136" t="inlineStr">
        <is>
          <t>NA300, NA330, NA350, NA361, NA363, NA364, NA365, NA367, NA368, NA369, NA370, NA371</t>
        </is>
      </c>
      <c r="H121" s="1145" t="inlineStr">
        <is>
          <t>06, 07, 08, 10, 11 ou 98</t>
        </is>
      </c>
      <c r="L121" s="1139" t="inlineStr">
        <is>
          <t>900</t>
        </is>
      </c>
      <c r="M121" s="1135" t="inlineStr">
        <is>
          <t>P1</t>
        </is>
      </c>
      <c r="N121" s="1138" t="inlineStr">
        <is>
          <t>ISS200 ou ISS300</t>
        </is>
      </c>
      <c r="O121" s="1137" t="inlineStr">
        <is>
          <t>IRB A ou IRB F ou STD</t>
        </is>
      </c>
      <c r="P121" s="1125" t="inlineStr">
        <is>
          <t>B</t>
        </is>
      </c>
      <c r="Q121" s="1136" t="inlineStr">
        <is>
          <t>NA300, NA330, NA350, NA361, NA363, NA364, NA365, NA367, NA368, NA369, NA370, NA371</t>
        </is>
      </c>
      <c r="R121" s="1145" t="inlineStr">
        <is>
          <t>06, 07, 08, 10, 11 ou 98</t>
        </is>
      </c>
    </row>
    <row r="122">
      <c r="B122" s="1139" t="inlineStr">
        <is>
          <t>070</t>
        </is>
      </c>
      <c r="C122" s="1139" t="inlineStr">
        <is>
          <t>P1</t>
        </is>
      </c>
      <c r="D122" s="1142" t="inlineStr">
        <is>
          <t>ISS200 ou ISS300</t>
        </is>
      </c>
      <c r="E122" s="1137" t="inlineStr">
        <is>
          <t>IRB A ou IRB F ou STD</t>
        </is>
      </c>
      <c r="F122" s="1125" t="inlineStr">
        <is>
          <t>B</t>
        </is>
      </c>
      <c r="G122" s="1136" t="inlineStr">
        <is>
          <t>NA300, NA350, NA369</t>
        </is>
      </c>
      <c r="H122" s="1137" t="inlineStr">
        <is>
          <t>*</t>
        </is>
      </c>
      <c r="L122" s="1139" t="inlineStr">
        <is>
          <t>070</t>
        </is>
      </c>
      <c r="M122" s="1139" t="inlineStr">
        <is>
          <t>P1</t>
        </is>
      </c>
      <c r="N122" s="1142" t="inlineStr">
        <is>
          <t>ISS200 ou ISS300</t>
        </is>
      </c>
      <c r="O122" s="1137" t="inlineStr">
        <is>
          <t>IRB A ou IRB F ou STD</t>
        </is>
      </c>
      <c r="P122" s="1125" t="inlineStr">
        <is>
          <t>B</t>
        </is>
      </c>
      <c r="Q122" s="1136" t="inlineStr">
        <is>
          <t>NA300, NA350, NA369</t>
        </is>
      </c>
      <c r="R122" s="1137" t="inlineStr">
        <is>
          <t>*</t>
        </is>
      </c>
    </row>
    <row r="123">
      <c r="B123" s="1139" t="inlineStr">
        <is>
          <t>077</t>
        </is>
      </c>
      <c r="C123" s="1139" t="inlineStr">
        <is>
          <t>P1</t>
        </is>
      </c>
      <c r="D123" s="1142" t="inlineStr">
        <is>
          <t>ISS200 ou ISS300</t>
        </is>
      </c>
      <c r="E123" s="1137" t="inlineStr">
        <is>
          <t>IRB A ou IRB F ou STD</t>
        </is>
      </c>
      <c r="F123" s="1141" t="inlineStr">
        <is>
          <t>B</t>
        </is>
      </c>
      <c r="G123" s="1136" t="inlineStr">
        <is>
          <t>NA300, NA350</t>
        </is>
      </c>
      <c r="H123" s="1144" t="inlineStr">
        <is>
          <t>09</t>
        </is>
      </c>
      <c r="L123" s="1139" t="inlineStr">
        <is>
          <t>077</t>
        </is>
      </c>
      <c r="M123" s="1139" t="inlineStr">
        <is>
          <t>P1</t>
        </is>
      </c>
      <c r="N123" s="1142" t="inlineStr">
        <is>
          <t>ISS200 ou ISS300</t>
        </is>
      </c>
      <c r="O123" s="1137" t="inlineStr">
        <is>
          <t>IRB A ou IRB F ou STD</t>
        </is>
      </c>
      <c r="P123" s="1141" t="inlineStr">
        <is>
          <t>B</t>
        </is>
      </c>
      <c r="Q123" s="1136" t="inlineStr">
        <is>
          <t>NA300, NA350</t>
        </is>
      </c>
      <c r="R123" s="1144" t="inlineStr">
        <is>
          <t>09</t>
        </is>
      </c>
    </row>
    <row r="124">
      <c r="B124" s="1139" t="inlineStr">
        <is>
          <t>081</t>
        </is>
      </c>
      <c r="C124" s="1139" t="inlineStr">
        <is>
          <t>P1</t>
        </is>
      </c>
      <c r="D124" s="1140" t="inlineStr">
        <is>
          <t>ISS200 ou ISS300</t>
        </is>
      </c>
      <c r="E124" s="1124" t="inlineStr">
        <is>
          <t>STD</t>
        </is>
      </c>
      <c r="F124" s="1141" t="inlineStr">
        <is>
          <t>B</t>
        </is>
      </c>
      <c r="G124" s="1143" t="inlineStr">
        <is>
          <t>NA330</t>
        </is>
      </c>
      <c r="H124" s="1137" t="inlineStr">
        <is>
          <t>12, 13, 14, 15, 16 ou 17</t>
        </is>
      </c>
      <c r="L124" s="1139" t="inlineStr">
        <is>
          <t>081</t>
        </is>
      </c>
      <c r="M124" s="1139" t="inlineStr">
        <is>
          <t>P1</t>
        </is>
      </c>
      <c r="N124" s="1140" t="inlineStr">
        <is>
          <t>ISS200 ou ISS300</t>
        </is>
      </c>
      <c r="O124" s="1124" t="inlineStr">
        <is>
          <t>STD</t>
        </is>
      </c>
      <c r="P124" s="1141" t="inlineStr">
        <is>
          <t>B</t>
        </is>
      </c>
      <c r="Q124" s="1143" t="inlineStr">
        <is>
          <t>NA330</t>
        </is>
      </c>
      <c r="R124" s="1137" t="inlineStr">
        <is>
          <t>12, 13, 14, 15, 16 ou 17</t>
        </is>
      </c>
    </row>
    <row r="128" ht="15.75" customHeight="1">
      <c r="B128" s="1486" t="inlineStr">
        <is>
          <t>Contrôle TC0C22 : Cohérence Nature de la dépréciation/Type de risque</t>
        </is>
      </c>
      <c r="C128" s="1519" t="n"/>
      <c r="D128" s="1519" t="n"/>
      <c r="E128" s="1498" t="n"/>
      <c r="L128" s="1486" t="inlineStr">
        <is>
          <t>Control TC0C22 : Consistency Type of impairment/Type of risk</t>
        </is>
      </c>
      <c r="M128" s="1519" t="n"/>
      <c r="N128" s="1519" t="n"/>
      <c r="O128" s="1498" t="n"/>
    </row>
    <row r="129">
      <c r="B129" s="1487" t="inlineStr">
        <is>
          <t>Description du contrôle</t>
        </is>
      </c>
      <c r="C129" s="1498" t="n"/>
      <c r="D129" s="1487" t="inlineStr">
        <is>
          <t>Périmètre</t>
        </is>
      </c>
      <c r="E129" s="1498" t="n"/>
      <c r="L129" s="1487" t="inlineStr">
        <is>
          <t>Description of control</t>
        </is>
      </c>
      <c r="M129" s="1498" t="n"/>
      <c r="N129" s="1487" t="inlineStr">
        <is>
          <t>Scope</t>
        </is>
      </c>
      <c r="O129" s="1498" t="n"/>
    </row>
    <row r="130">
      <c r="B130" s="1484" t="inlineStr">
        <is>
          <t>Le contrôle consiste à vérifier que si la nature de la dépréciation est une décote alors l’exposition associée
est une opération de trésorerie (hors opérations de crédit-bail) ou un titre de créance durablement déprécié</t>
        </is>
      </c>
      <c r="C130" s="1498" t="n"/>
      <c r="D130" s="1484" t="inlineStr">
        <is>
          <t>Grande Clientèle et et Clientèle de détail</t>
        </is>
      </c>
      <c r="E130" s="1498" t="n"/>
      <c r="L130" s="1484" t="inlineStr">
        <is>
          <t>The control consists in checking that if the nature of the impairment is a discount then the associated exposure
is a cash flow transaction (excl. credit-lease transactions) or a sustainably impaired debt instrument</t>
        </is>
      </c>
      <c r="M130" s="1498" t="n"/>
      <c r="N130" s="1484" t="inlineStr">
        <is>
          <t>LARGE CUSTOMERS and Retail customers</t>
        </is>
      </c>
      <c r="O130" s="1498" t="n"/>
      <c r="P130" s="1080" t="n"/>
      <c r="Q130" s="1080" t="n"/>
      <c r="R130" s="1080" t="n"/>
      <c r="S130" s="1080" t="n"/>
      <c r="T130" s="1080" t="n"/>
    </row>
    <row r="132">
      <c r="B132" s="1148" t="n"/>
      <c r="C132" s="1149" t="n"/>
      <c r="L132" s="1148" t="n"/>
      <c r="M132" s="1149" t="n"/>
    </row>
    <row r="133">
      <c r="B133" s="1081" t="inlineStr">
        <is>
          <t>P9</t>
        </is>
      </c>
      <c r="L133" s="1081" t="inlineStr">
        <is>
          <t>P9</t>
        </is>
      </c>
      <c r="M133" s="1149" t="n"/>
    </row>
    <row r="134">
      <c r="L134" s="1148" t="n"/>
      <c r="M134" s="1149" t="n"/>
    </row>
    <row r="135" ht="30" customHeight="1">
      <c r="B135" s="1133" t="inlineStr">
        <is>
          <t>Nature de la dépréciation
(P9 2.3)</t>
        </is>
      </c>
      <c r="C135" s="1134" t="inlineStr">
        <is>
          <t>Type de risque
(P1 2.0)</t>
        </is>
      </c>
      <c r="L135" s="1133" t="inlineStr">
        <is>
          <t>Nature of impairment (P9 2.3)</t>
        </is>
      </c>
      <c r="M135" s="1134" t="inlineStr">
        <is>
          <t>Risk type (P1 2.0)</t>
        </is>
      </c>
    </row>
    <row r="136" ht="38.25" customHeight="1">
      <c r="B136" s="1146" t="inlineStr">
        <is>
          <t>D</t>
        </is>
      </c>
      <c r="C136" s="1147" t="inlineStr">
        <is>
          <t>TRE* sauf TRE5*/TRE203/TRE205/TRE206/TRE207, ISS200 ou ISS300</t>
        </is>
      </c>
      <c r="L136" s="1146" t="inlineStr">
        <is>
          <t>D</t>
        </is>
      </c>
      <c r="M136" s="1147" t="inlineStr">
        <is>
          <t>TRE* sauf TRE5*/TRE203/TRE205/TRE206/TRE207, ISS200 ou ISS300</t>
        </is>
      </c>
    </row>
    <row r="137">
      <c r="B137" s="1148" t="n"/>
      <c r="C137" s="1149" t="n"/>
    </row>
    <row r="138">
      <c r="B138" s="1148" t="n"/>
      <c r="C138" s="1149" t="n"/>
    </row>
    <row r="140" ht="15.75" customHeight="1">
      <c r="B140" s="1486" t="inlineStr">
        <is>
          <t>Contrôle TC0C25 : Cohérence Portefeuille Bâle Tiers sur NOSTRI &amp; LORI</t>
        </is>
      </c>
      <c r="C140" s="1519" t="n"/>
      <c r="D140" s="1519" t="n"/>
      <c r="E140" s="1498" t="n"/>
      <c r="L140" s="1486" t="inlineStr">
        <is>
          <t>Control TC0C25 : Basel Portfolio compliance of Third Parties on NOSTRI &amp; LORI</t>
        </is>
      </c>
      <c r="M140" s="1519" t="n"/>
      <c r="N140" s="1519" t="n"/>
      <c r="O140" s="1498" t="n"/>
    </row>
    <row r="141">
      <c r="B141" s="1487" t="inlineStr">
        <is>
          <t>Description du contrôle</t>
        </is>
      </c>
      <c r="C141" s="1498" t="n"/>
      <c r="D141" s="1487" t="inlineStr">
        <is>
          <t>Périmètre</t>
        </is>
      </c>
      <c r="E141" s="1498" t="n"/>
      <c r="L141" s="1487" t="inlineStr">
        <is>
          <t>Description of control</t>
        </is>
      </c>
      <c r="M141" s="1498" t="n"/>
      <c r="N141" s="1487" t="inlineStr">
        <is>
          <t>Scope</t>
        </is>
      </c>
      <c r="O141" s="1498" t="n"/>
    </row>
    <row r="142">
      <c r="B142" s="1484" t="inlineStr">
        <is>
          <t>Le contrôle consiste à vérifier que pour les opérations de NOSTRI et LORI, le tiers en risque soit bien un
établissement, ou un souverain</t>
        </is>
      </c>
      <c r="C142" s="1498" t="n"/>
      <c r="D142" s="1484" t="inlineStr">
        <is>
          <t>Grande Clientèle</t>
        </is>
      </c>
      <c r="E142" s="1498" t="n"/>
      <c r="L142" s="1484" t="inlineStr">
        <is>
          <t>The control consists in checking that for NOSTRI and LORI operations, the third party in risk is a
institution, or a sovereign</t>
        </is>
      </c>
      <c r="M142" s="1498" t="n"/>
      <c r="N142" s="1484" t="inlineStr">
        <is>
          <t>LARGE CUSTOMERS</t>
        </is>
      </c>
      <c r="O142" s="1498" t="n"/>
      <c r="P142" s="1080" t="n"/>
      <c r="Q142" s="1080" t="n"/>
      <c r="R142" s="1080" t="n"/>
      <c r="S142" s="1080" t="n"/>
      <c r="T142" s="1080" t="n"/>
    </row>
    <row r="144" ht="30" customHeight="1">
      <c r="B144" s="1133" t="inlineStr">
        <is>
          <t>Type de risque (P1 2.0)</t>
        </is>
      </c>
      <c r="C144" s="1134" t="inlineStr">
        <is>
          <t>Portefeuille Bâle Tiers (C1 4.7)</t>
        </is>
      </c>
      <c r="L144" s="1133" t="inlineStr">
        <is>
          <t>Risk type (P1 2.0)</t>
        </is>
      </c>
      <c r="M144" s="1134" t="inlineStr">
        <is>
          <t>Basel Portfolio of Third Parties (C1 4.7)</t>
        </is>
      </c>
    </row>
    <row r="145">
      <c r="B145" s="1150" t="inlineStr">
        <is>
          <t>TRE100</t>
        </is>
      </c>
      <c r="C145" s="1151" t="inlineStr">
        <is>
          <t>040 ou 050</t>
        </is>
      </c>
      <c r="L145" s="1150" t="inlineStr">
        <is>
          <t>TRE100</t>
        </is>
      </c>
      <c r="M145" s="1151" t="inlineStr">
        <is>
          <t>040 or 050</t>
        </is>
      </c>
    </row>
    <row r="149" ht="15.75" customHeight="1">
      <c r="B149" s="1486" t="inlineStr">
        <is>
          <t>Contrôle TC0C26 : Cohérence NATO/Engagement douteux en STD</t>
        </is>
      </c>
      <c r="C149" s="1519" t="n"/>
      <c r="D149" s="1519" t="n"/>
      <c r="E149" s="1498" t="n"/>
      <c r="L149" s="1486" t="inlineStr">
        <is>
          <t>Control TC0C26 : NATO/doubtful Funds in use consistency in STD</t>
        </is>
      </c>
      <c r="M149" s="1519" t="n"/>
      <c r="N149" s="1519" t="n"/>
      <c r="O149" s="1498" t="n"/>
    </row>
    <row r="150">
      <c r="B150" s="1487" t="inlineStr">
        <is>
          <t>Description du contrôle</t>
        </is>
      </c>
      <c r="C150" s="1498" t="n"/>
      <c r="D150" s="1487" t="inlineStr">
        <is>
          <t>Périmètre</t>
        </is>
      </c>
      <c r="E150" s="1498" t="n"/>
      <c r="L150" s="1487" t="inlineStr">
        <is>
          <t>Description of control</t>
        </is>
      </c>
      <c r="M150" s="1498" t="n"/>
      <c r="N150" s="1487" t="inlineStr">
        <is>
          <t>Scope</t>
        </is>
      </c>
      <c r="O150" s="1498" t="n"/>
    </row>
    <row r="151">
      <c r="B151" s="1484" t="inlineStr">
        <is>
          <t>Le contrôle consiste à vérifier que la NATure d’Opération dans laquelle l’encours a été classé est cohérente
avec le caractère douteux/non douteux de l’encours traité en méthode Standard STD</t>
        </is>
      </c>
      <c r="C151" s="1498" t="n"/>
      <c r="D151" s="1484" t="inlineStr">
        <is>
          <t>Grande Clientèle, Clientèle de détail et Alimentation
adaptée, en méthode Standard</t>
        </is>
      </c>
      <c r="E151" s="1498" t="n"/>
      <c r="L151" s="1484" t="inlineStr">
        <is>
          <t>The control consists in checking that the NATure of the operation in which the  outstanding has been classified is consistent
with the doubtful/undoubted nature of the  outstanding treated in the STD standard method</t>
        </is>
      </c>
      <c r="M151" s="1498" t="n"/>
      <c r="N151" s="1484" t="inlineStr">
        <is>
          <t>Corporate customers, Retail customers and appropriate food, using the Standard method</t>
        </is>
      </c>
      <c r="O151" s="1498" t="n"/>
      <c r="P151" s="1080" t="n"/>
      <c r="Q151" s="1080" t="n"/>
      <c r="R151" s="1080" t="n"/>
      <c r="S151" s="1080" t="n"/>
      <c r="T151" s="1080" t="n"/>
    </row>
    <row r="154">
      <c r="B154" s="1081" t="inlineStr">
        <is>
          <t>P1/P2</t>
        </is>
      </c>
      <c r="L154" s="1081" t="inlineStr">
        <is>
          <t>P1/P2</t>
        </is>
      </c>
    </row>
    <row r="156" ht="30" customHeight="1">
      <c r="B156" s="1133" t="inlineStr">
        <is>
          <t>NATure d'Opération de l'engagement (P1 2.29, P2 2.29)</t>
        </is>
      </c>
      <c r="C156" s="1134" t="inlineStr">
        <is>
          <t>Indicateur 'Engagement Douteux' (P1 5.2, P2 5.2)</t>
        </is>
      </c>
      <c r="L156" s="1133" t="inlineStr">
        <is>
          <t>NATure of funds in use transaction (P1 2.29, P2 2.29)</t>
        </is>
      </c>
      <c r="M156" s="1153" t="inlineStr">
        <is>
          <t>Doubtful Funds in use' indicator (P1 5.2, P2 5.2)</t>
        </is>
      </c>
    </row>
    <row r="157">
      <c r="B157" s="1150" t="inlineStr">
        <is>
          <t>NA011, NA021, NA101</t>
        </is>
      </c>
      <c r="C157" s="1152" t="inlineStr">
        <is>
          <t>N</t>
        </is>
      </c>
      <c r="L157" s="1150" t="inlineStr">
        <is>
          <t>NA011, NA021, NA101</t>
        </is>
      </c>
      <c r="M157" s="1152" t="inlineStr">
        <is>
          <t>N</t>
        </is>
      </c>
    </row>
    <row r="158">
      <c r="B158" s="1150" t="inlineStr">
        <is>
          <t>NA012, NA022, NA102</t>
        </is>
      </c>
      <c r="C158" s="1152" t="inlineStr">
        <is>
          <t>Y</t>
        </is>
      </c>
      <c r="L158" s="1150" t="inlineStr">
        <is>
          <t>NA012, NA022, NA102</t>
        </is>
      </c>
      <c r="M158" s="1152" t="inlineStr">
        <is>
          <t>Y</t>
        </is>
      </c>
    </row>
    <row r="159">
      <c r="B159" s="1154" t="n"/>
      <c r="C159" s="1155" t="n"/>
      <c r="L159" s="1154" t="n"/>
      <c r="M159" s="1155" t="n"/>
    </row>
    <row r="162" ht="15.75" customHeight="1">
      <c r="B162" s="1486" t="inlineStr">
        <is>
          <t>Contrôle TC0C27 : Cohérence Forbeance/indicateur créance performante</t>
        </is>
      </c>
      <c r="C162" s="1519" t="n"/>
      <c r="D162" s="1519" t="n"/>
      <c r="E162" s="1498" t="n"/>
      <c r="L162" s="1486" t="inlineStr">
        <is>
          <t>Control TC0C27 : Forbeance consistency/performing debt indicator</t>
        </is>
      </c>
      <c r="M162" s="1519" t="n"/>
      <c r="N162" s="1519" t="n"/>
      <c r="O162" s="1498" t="n"/>
    </row>
    <row r="163">
      <c r="B163" s="1487" t="inlineStr">
        <is>
          <t>Description du contrôle</t>
        </is>
      </c>
      <c r="C163" s="1498" t="n"/>
      <c r="D163" s="1487" t="inlineStr">
        <is>
          <t>Périmètre</t>
        </is>
      </c>
      <c r="E163" s="1498" t="n"/>
      <c r="L163" s="1487" t="inlineStr">
        <is>
          <t>Description of control</t>
        </is>
      </c>
      <c r="M163" s="1498" t="n"/>
      <c r="N163" s="1487" t="inlineStr">
        <is>
          <t>Scope</t>
        </is>
      </c>
      <c r="O163" s="1498" t="n"/>
    </row>
    <row r="164">
      <c r="B164" s="1484" t="inlineStr">
        <is>
          <t>Le contrôle consiste à vérifier la cohérence des données forbearance, de l’indicateur de performance de la
créance et de l’indicateur engagement douteux</t>
        </is>
      </c>
      <c r="C164" s="1498" t="n"/>
      <c r="D164" s="1484" t="inlineStr">
        <is>
          <t>Grande Clientèle et Clientèle de détail</t>
        </is>
      </c>
      <c r="E164" s="1498" t="n"/>
      <c r="L164" s="1484" t="inlineStr">
        <is>
          <t>The control consists in checking the consistency of the forbearance data, of the performance indicator of the
doubtful loan and funds in use indicator</t>
        </is>
      </c>
      <c r="M164" s="1498" t="n"/>
      <c r="N164" s="1484" t="inlineStr">
        <is>
          <t>LARGE CUSTOMERS and Retail customers</t>
        </is>
      </c>
      <c r="O164" s="1498" t="n"/>
      <c r="P164" s="1080" t="n"/>
      <c r="Q164" s="1080" t="n"/>
      <c r="R164" s="1080" t="n"/>
      <c r="S164" s="1080" t="n"/>
      <c r="T164" s="1080" t="n"/>
    </row>
    <row r="166">
      <c r="B166" s="1081" t="inlineStr">
        <is>
          <t>P1/P2</t>
        </is>
      </c>
      <c r="L166" s="1081" t="inlineStr">
        <is>
          <t>P1/P2</t>
        </is>
      </c>
    </row>
    <row r="168" ht="30" customHeight="1">
      <c r="B168" s="1133" t="inlineStr">
        <is>
          <t>Statut du crédit (P1 21.5, P2 21.5)</t>
        </is>
      </c>
      <c r="C168" s="1134" t="inlineStr">
        <is>
          <t>Indicateur créance performante (P1 21.6, P2 21.6)</t>
        </is>
      </c>
      <c r="D168" s="1134" t="inlineStr">
        <is>
          <t>Nature contextuelle évènement de crédit (P1 21.4, P2 21.4)</t>
        </is>
      </c>
      <c r="E168" s="1134" t="inlineStr">
        <is>
          <t>Indicateur 'Engagement Douteux' (P1 5.2, P2 5.2)</t>
        </is>
      </c>
      <c r="L168" s="1133" t="inlineStr">
        <is>
          <t>Credit status (P1 21.5, P2 21.5)</t>
        </is>
      </c>
      <c r="M168" s="1134" t="inlineStr">
        <is>
          <t>Performance debt indicator (P1 21.6, P2 21.6)</t>
        </is>
      </c>
      <c r="N168" s="1134" t="inlineStr">
        <is>
          <t>Contextual nature of credit event (P1 21.4, P2 21.4)</t>
        </is>
      </c>
      <c r="O168" s="1153" t="inlineStr">
        <is>
          <t>Doubtful Funds in use' indicator (P1 5.2, P2 5.2)</t>
        </is>
      </c>
    </row>
    <row r="169">
      <c r="B169" s="1156" t="n">
        <v>1</v>
      </c>
      <c r="C169" s="1157" t="inlineStr">
        <is>
          <t>NP</t>
        </is>
      </c>
      <c r="D169" s="1158" t="inlineStr">
        <is>
          <t>1, 2, 3 ou 5</t>
        </is>
      </c>
      <c r="E169" s="1156" t="inlineStr">
        <is>
          <t>*</t>
        </is>
      </c>
      <c r="L169" s="1156" t="n">
        <v>1</v>
      </c>
      <c r="M169" s="1157" t="inlineStr">
        <is>
          <t>NP</t>
        </is>
      </c>
      <c r="N169" s="1158" t="inlineStr">
        <is>
          <t>1, 2, 3 or 5</t>
        </is>
      </c>
      <c r="O169" s="1156" t="inlineStr">
        <is>
          <t>*</t>
        </is>
      </c>
    </row>
    <row r="170">
      <c r="B170" s="1156" t="n">
        <v>2</v>
      </c>
      <c r="C170" s="1157" t="inlineStr">
        <is>
          <t>PE</t>
        </is>
      </c>
      <c r="D170" s="1158" t="inlineStr">
        <is>
          <t>1, 2, 3 ou 5</t>
        </is>
      </c>
      <c r="E170" s="1157" t="inlineStr">
        <is>
          <t>N</t>
        </is>
      </c>
      <c r="L170" s="1156" t="n">
        <v>2</v>
      </c>
      <c r="M170" s="1157" t="inlineStr">
        <is>
          <t>PE</t>
        </is>
      </c>
      <c r="N170" s="1158" t="inlineStr">
        <is>
          <t>1, 2, 3 or 5</t>
        </is>
      </c>
      <c r="O170" s="1157" t="inlineStr">
        <is>
          <t>N</t>
        </is>
      </c>
    </row>
    <row r="171">
      <c r="B171" s="1156" t="n">
        <v>3</v>
      </c>
      <c r="C171" s="1159" t="inlineStr">
        <is>
          <t>*</t>
        </is>
      </c>
      <c r="D171" s="1158" t="inlineStr">
        <is>
          <t>*</t>
        </is>
      </c>
      <c r="E171" s="1156" t="inlineStr">
        <is>
          <t>*</t>
        </is>
      </c>
      <c r="L171" s="1156" t="n">
        <v>3</v>
      </c>
      <c r="M171" s="1159" t="inlineStr">
        <is>
          <t>*</t>
        </is>
      </c>
      <c r="N171" s="1158" t="inlineStr">
        <is>
          <t>*</t>
        </is>
      </c>
      <c r="O171" s="1156" t="inlineStr">
        <is>
          <t>*</t>
        </is>
      </c>
    </row>
    <row r="172">
      <c r="B172" s="1156" t="n">
        <v>4</v>
      </c>
      <c r="C172" s="1159" t="inlineStr">
        <is>
          <t>*</t>
        </is>
      </c>
      <c r="D172" s="1158" t="inlineStr">
        <is>
          <t>4 ou 5</t>
        </is>
      </c>
      <c r="E172" s="1156" t="inlineStr">
        <is>
          <t>*</t>
        </is>
      </c>
      <c r="L172" s="1156" t="n">
        <v>4</v>
      </c>
      <c r="M172" s="1159" t="inlineStr">
        <is>
          <t>*</t>
        </is>
      </c>
      <c r="N172" s="1158" t="inlineStr">
        <is>
          <t>4 or 5</t>
        </is>
      </c>
      <c r="O172" s="1156" t="inlineStr">
        <is>
          <t>*</t>
        </is>
      </c>
    </row>
    <row r="176" ht="15.75" customHeight="1">
      <c r="B176" s="1486" t="inlineStr">
        <is>
          <t>Contrôle TC0C28 : Cohérence NATO - Portefeuille Bâle Tiers (dérivé de TC0C13 qui est abandonné en l'état)</t>
        </is>
      </c>
      <c r="C176" s="1519" t="n"/>
      <c r="D176" s="1519" t="n"/>
      <c r="E176" s="1498" t="n"/>
      <c r="L176" s="1486" t="inlineStr">
        <is>
          <t>TC0C28 Control: NATO Consistency - Basel Tiers Portfolio (derived from TC0C13,  which is abandoned)</t>
        </is>
      </c>
      <c r="M176" s="1519" t="n"/>
      <c r="N176" s="1519" t="n"/>
      <c r="O176" s="1498" t="n"/>
    </row>
    <row r="177">
      <c r="B177" s="1487" t="inlineStr">
        <is>
          <t>Description du contrôle</t>
        </is>
      </c>
      <c r="C177" s="1498" t="n"/>
      <c r="D177" s="1487" t="inlineStr">
        <is>
          <t>Périmètre</t>
        </is>
      </c>
      <c r="E177" s="1498" t="n"/>
      <c r="L177" s="1487" t="inlineStr">
        <is>
          <t>Description of control</t>
        </is>
      </c>
      <c r="M177" s="1498" t="n"/>
      <c r="N177" s="1487" t="inlineStr">
        <is>
          <t>Scope</t>
        </is>
      </c>
      <c r="O177" s="1498" t="n"/>
    </row>
    <row r="178" ht="14.65" customHeight="1">
      <c r="B178" s="1484" t="inlineStr">
        <is>
          <t>Contrôle de cohérence entre NATO et PTF Bâle Tiers sur les périlètres Corporate et Retail</t>
        </is>
      </c>
      <c r="C178" s="1498" t="n"/>
      <c r="D178" s="1484" t="inlineStr">
        <is>
          <t>Grande Clientèle et Clientèle de détail</t>
        </is>
      </c>
      <c r="E178" s="1498" t="n"/>
      <c r="L178" s="1484" t="inlineStr">
        <is>
          <t>Consistency check between NATO and PTF Basel Tier on Corporate and Retail perimeters</t>
        </is>
      </c>
      <c r="M178" s="1498" t="n"/>
      <c r="N178" s="1484" t="inlineStr">
        <is>
          <t>LARGE CUSTOMERS and Retail customers</t>
        </is>
      </c>
      <c r="O178" s="1498" t="n"/>
      <c r="P178" s="1080" t="n"/>
      <c r="Q178" s="1080" t="n"/>
      <c r="R178" s="1080" t="n"/>
      <c r="S178" s="1080" t="n"/>
      <c r="T178" s="1080" t="n"/>
    </row>
    <row r="180">
      <c r="B180" s="1081" t="inlineStr">
        <is>
          <t>P1/P2/M1</t>
        </is>
      </c>
      <c r="L180" s="1081" t="inlineStr">
        <is>
          <t>P1/P2/M1</t>
        </is>
      </c>
    </row>
    <row r="181">
      <c r="B181" s="1081" t="n"/>
      <c r="L181" s="1081" t="n"/>
    </row>
    <row r="182">
      <c r="B182" s="1488" t="inlineStr">
        <is>
          <t>Couple définissant le périmètre du contrôle</t>
        </is>
      </c>
      <c r="C182" s="1521" t="n"/>
      <c r="L182" s="1488" t="inlineStr">
        <is>
          <t>Couple defining the scope of control</t>
        </is>
      </c>
      <c r="M182" s="1521" t="n"/>
    </row>
    <row r="183" ht="27.75" customHeight="1">
      <c r="B183" s="1133" t="inlineStr">
        <is>
          <t>NATure d'Opération
(P1 2.29, P2 2.29, M1 2.3)</t>
        </is>
      </c>
      <c r="C183" s="1134" t="inlineStr">
        <is>
          <t>Objet de collecte</t>
        </is>
      </c>
      <c r="D183" s="1134" t="inlineStr">
        <is>
          <t>Portefeuille Bâle Tiers
(C1 4.7)</t>
        </is>
      </c>
      <c r="L183" s="1122" t="inlineStr">
        <is>
          <t>NATure of funds in use transaction 
(P1 2.29, P2 2.29, M1 2.3)</t>
        </is>
      </c>
      <c r="M183" s="1123" t="inlineStr">
        <is>
          <t>Business object</t>
        </is>
      </c>
      <c r="N183" s="1134" t="inlineStr">
        <is>
          <t>Basel Portfolio Counterparty
(C1 4.7)</t>
        </is>
      </c>
    </row>
    <row r="184">
      <c r="B184" s="1160" t="inlineStr">
        <is>
          <t>NA010, NA011, NA012</t>
        </is>
      </c>
      <c r="C184" s="1116" t="inlineStr">
        <is>
          <t>P1 ou P2</t>
        </is>
      </c>
      <c r="D184" s="1117" t="inlineStr">
        <is>
          <t>040 ou 050</t>
        </is>
      </c>
      <c r="L184" s="1160" t="inlineStr">
        <is>
          <t>NA010, NA011, NA012</t>
        </is>
      </c>
      <c r="M184" s="1116" t="inlineStr">
        <is>
          <t>P1 ou P2</t>
        </is>
      </c>
      <c r="N184" s="1117" t="inlineStr">
        <is>
          <t>040 ou 050</t>
        </is>
      </c>
    </row>
    <row r="185" ht="89.25" customHeight="1">
      <c r="B185" s="1160" t="inlineStr">
        <is>
          <t>NA020, NA021, NA022, NA100, NA101, NA102, NA300, NA311, NA312, NA321, NA322, NA323, NA330, NA341, NA342, NA343, NA344, NA350, NA361, NA362, NA363, NA364, NA365, NA366, NA367, NA368, NA369, NA370, NA371, NAT41, NAT42, NAT43, NAT44, NAT06, NAT07</t>
        </is>
      </c>
      <c r="C185" s="1116" t="inlineStr">
        <is>
          <t>P1 ou P2</t>
        </is>
      </c>
      <c r="D185" s="1117" t="inlineStr">
        <is>
          <t>022, 030, 040 ou 050</t>
        </is>
      </c>
      <c r="L185" s="1160" t="inlineStr">
        <is>
          <t>NA020, NA021, NA022, NA100, NA101, NA102, NA300, NA311, NA312, NA321, NA322, NA323, NA330, NA341, NA342, NA343, NA344, NA350, NA361, NA362, NA363, NA364, NA365, NA366, NA367, NA368, NA369, NA370, NA371, NAT41, NAT42, NAT43, NAT44, NAT06, NAT07</t>
        </is>
      </c>
      <c r="M185" s="1116" t="inlineStr">
        <is>
          <t>P1 ou P2</t>
        </is>
      </c>
      <c r="N185" s="1117" t="inlineStr">
        <is>
          <t>022, 030, 040 ou 050</t>
        </is>
      </c>
    </row>
    <row r="186">
      <c r="B186" s="1161" t="inlineStr">
        <is>
          <t>NAT81, NAT83, NAT84, NAT85</t>
        </is>
      </c>
      <c r="C186" s="1119" t="inlineStr">
        <is>
          <t>M1</t>
        </is>
      </c>
      <c r="D186" s="1162" t="inlineStr">
        <is>
          <t>022, 030, 040 ou 050</t>
        </is>
      </c>
      <c r="L186" s="1161" t="inlineStr">
        <is>
          <t>NAT81, NAT83, NAT84, NAT85</t>
        </is>
      </c>
      <c r="M186" s="1119" t="inlineStr">
        <is>
          <t>M1</t>
        </is>
      </c>
      <c r="N186" s="1162" t="inlineStr">
        <is>
          <t>022, 030, 040 ou 050</t>
        </is>
      </c>
    </row>
    <row r="187">
      <c r="B187" s="1161" t="inlineStr">
        <is>
          <t>NAT82</t>
        </is>
      </c>
      <c r="C187" s="1119" t="inlineStr">
        <is>
          <t>M1</t>
        </is>
      </c>
      <c r="D187" s="1162" t="inlineStr">
        <is>
          <t>030, 040</t>
        </is>
      </c>
      <c r="L187" s="1161" t="inlineStr">
        <is>
          <t>NAT82</t>
        </is>
      </c>
      <c r="M187" s="1119" t="inlineStr">
        <is>
          <t>M1</t>
        </is>
      </c>
      <c r="N187" s="1162" t="inlineStr">
        <is>
          <t>030, 040</t>
        </is>
      </c>
    </row>
    <row r="190" ht="15.75" customHeight="1">
      <c r="B190" s="1486" t="inlineStr">
        <is>
          <t>Contrôle TC0C29 :  Respect de la périodicité de revalorisation des sûretés reçues (refonte de l'actuel TC0C23 qui est abandonné en l'état)</t>
        </is>
      </c>
      <c r="C190" s="1519" t="n"/>
      <c r="D190" s="1519" t="n"/>
      <c r="E190" s="1498" t="n"/>
      <c r="L190" s="1486" t="inlineStr">
        <is>
          <t>Control TC0C29: Compliance with the periodicity of revaluation of received collateral (redesign of the current TC0C23, which is abandoned)</t>
        </is>
      </c>
      <c r="M190" s="1519" t="n"/>
      <c r="N190" s="1519" t="n"/>
      <c r="O190" s="1498" t="n"/>
    </row>
    <row r="191">
      <c r="B191" s="1487" t="inlineStr">
        <is>
          <t>Description du contrôle</t>
        </is>
      </c>
      <c r="C191" s="1498" t="n"/>
      <c r="D191" s="1487" t="inlineStr">
        <is>
          <t>Périmètre</t>
        </is>
      </c>
      <c r="E191" s="1498" t="n"/>
      <c r="L191" s="1487" t="inlineStr">
        <is>
          <t>Description of control</t>
        </is>
      </c>
      <c r="M191" s="1498" t="n"/>
      <c r="N191" s="1487" t="inlineStr">
        <is>
          <t>Scope</t>
        </is>
      </c>
      <c r="O191" s="1498" t="n"/>
    </row>
    <row r="192" ht="14.65" customHeight="1">
      <c r="B192" s="1484" t="inlineStr">
        <is>
          <t>Contrôle du respect de la périodicité de (re)valorisation des sûretés</t>
        </is>
      </c>
      <c r="C192" s="1498" t="n"/>
      <c r="D192" s="1484" t="inlineStr">
        <is>
          <t>Grande Clientèle et Clientèle de détail</t>
        </is>
      </c>
      <c r="E192" s="1498" t="n"/>
      <c r="L192" s="1484" t="inlineStr">
        <is>
          <t>Monitoring compliance with the frequency of (re)valuation of collateral</t>
        </is>
      </c>
      <c r="M192" s="1498" t="n"/>
      <c r="N192" s="1484" t="inlineStr">
        <is>
          <t>LARGE CUSTOMERS and Retail customers</t>
        </is>
      </c>
      <c r="O192" s="1498" t="n"/>
      <c r="P192" s="1080" t="n"/>
      <c r="Q192" s="1080" t="n"/>
      <c r="R192" s="1080" t="n"/>
      <c r="S192" s="1080" t="n"/>
      <c r="T192" s="1080" t="n"/>
    </row>
    <row r="194">
      <c r="B194" s="1081" t="inlineStr">
        <is>
          <t>M1</t>
        </is>
      </c>
      <c r="L194" s="1081" t="inlineStr">
        <is>
          <t>M1</t>
        </is>
      </c>
    </row>
    <row r="196">
      <c r="B196" s="1490" t="inlineStr">
        <is>
          <t>Triplet définissant le périmètre du contrôle</t>
        </is>
      </c>
      <c r="C196" s="1521" t="n"/>
      <c r="D196" s="1521" t="n"/>
      <c r="L196" s="1490" t="inlineStr">
        <is>
          <t>Couple defining the scope of control</t>
        </is>
      </c>
      <c r="M196" s="1521" t="n"/>
      <c r="N196" s="1521" t="n"/>
    </row>
    <row r="197" ht="45" customHeight="1">
      <c r="B197" s="1133" t="inlineStr">
        <is>
          <t>Nature juridique de la sûreté
(M1 5.1)</t>
        </is>
      </c>
      <c r="C197" s="1134" t="inlineStr">
        <is>
          <t>Eligibilité de la sûreté
(M1 7.5)</t>
        </is>
      </c>
      <c r="D197" s="1134" t="inlineStr">
        <is>
          <t>Type de bien immobilier
(M1 8.42)</t>
        </is>
      </c>
      <c r="E197" s="1134" t="inlineStr">
        <is>
          <t>Périodicité de la revalorisation de la sûreté
(M1 8.26)</t>
        </is>
      </c>
      <c r="L197" s="1133" t="inlineStr">
        <is>
          <t>Legal nature of security
(M1 5.1)</t>
        </is>
      </c>
      <c r="M197" s="1134" t="inlineStr">
        <is>
          <t>Eligibility of the security
(M1 7.5)</t>
        </is>
      </c>
      <c r="N197" s="1134" t="inlineStr">
        <is>
          <t>Type of property
(M1 8.42)</t>
        </is>
      </c>
      <c r="O197" s="1134" t="inlineStr">
        <is>
          <t>Frequency of the security revaluation
(M1 8.26)</t>
        </is>
      </c>
    </row>
    <row r="198">
      <c r="B198" s="1163" t="inlineStr">
        <is>
          <t>REE*</t>
        </is>
      </c>
      <c r="C198" s="1164" t="inlineStr">
        <is>
          <t>Y ou N</t>
        </is>
      </c>
      <c r="D198" s="1163" t="n">
        <v>1</v>
      </c>
      <c r="E198" s="1163" t="inlineStr">
        <is>
          <t>&lt;= 1095</t>
        </is>
      </c>
      <c r="L198" s="1163" t="inlineStr">
        <is>
          <t>REE*</t>
        </is>
      </c>
      <c r="M198" s="1164" t="inlineStr">
        <is>
          <t>Y ou N</t>
        </is>
      </c>
      <c r="N198" s="1163" t="n">
        <v>1</v>
      </c>
      <c r="O198" s="1163" t="inlineStr">
        <is>
          <t>&lt;= 1095</t>
        </is>
      </c>
    </row>
    <row r="199">
      <c r="B199" s="1163" t="inlineStr">
        <is>
          <t>REE*</t>
        </is>
      </c>
      <c r="C199" s="1164" t="inlineStr">
        <is>
          <t>Y ou N</t>
        </is>
      </c>
      <c r="D199" s="1163" t="n">
        <v>2</v>
      </c>
      <c r="E199" s="1163" t="inlineStr">
        <is>
          <t>&lt;= 365</t>
        </is>
      </c>
      <c r="L199" s="1163" t="inlineStr">
        <is>
          <t>REE*</t>
        </is>
      </c>
      <c r="M199" s="1164" t="inlineStr">
        <is>
          <t>Y ou N</t>
        </is>
      </c>
      <c r="N199" s="1163" t="n">
        <v>2</v>
      </c>
      <c r="O199" s="1163" t="inlineStr">
        <is>
          <t>&lt;= 365</t>
        </is>
      </c>
    </row>
    <row r="200">
      <c r="B200" s="1165" t="inlineStr">
        <is>
          <t>TAS0402</t>
        </is>
      </c>
      <c r="C200" s="1164" t="inlineStr">
        <is>
          <t>Y</t>
        </is>
      </c>
      <c r="D200" s="1166" t="inlineStr">
        <is>
          <t>*</t>
        </is>
      </c>
      <c r="E200" s="1163" t="inlineStr">
        <is>
          <t>&lt;= 185</t>
        </is>
      </c>
      <c r="L200" s="1165" t="inlineStr">
        <is>
          <t>TAS0402</t>
        </is>
      </c>
      <c r="M200" s="1164" t="inlineStr">
        <is>
          <t>Y</t>
        </is>
      </c>
      <c r="N200" s="1166" t="inlineStr">
        <is>
          <t>*</t>
        </is>
      </c>
      <c r="O200" s="1163" t="inlineStr">
        <is>
          <t>&lt;= 185</t>
        </is>
      </c>
    </row>
    <row r="201">
      <c r="B201" s="1165" t="inlineStr">
        <is>
          <t>CAS*, SEC*, COL0101, CDE0301, INS0903</t>
        </is>
      </c>
      <c r="C201" s="1164" t="inlineStr">
        <is>
          <t>Y</t>
        </is>
      </c>
      <c r="D201" s="1167" t="inlineStr">
        <is>
          <t>(vide)</t>
        </is>
      </c>
      <c r="E201" s="1163" t="inlineStr">
        <is>
          <t>&lt;= 185</t>
        </is>
      </c>
      <c r="L201" s="1165" t="inlineStr">
        <is>
          <t>CAS*, SEC*, COL0101, CDE0301, INS0903</t>
        </is>
      </c>
      <c r="M201" s="1164" t="inlineStr">
        <is>
          <t>Y</t>
        </is>
      </c>
      <c r="N201" s="1167" t="inlineStr">
        <is>
          <t>(vide)</t>
        </is>
      </c>
      <c r="O201" s="1163" t="inlineStr">
        <is>
          <t>&lt;= 185</t>
        </is>
      </c>
    </row>
    <row r="202">
      <c r="B202" s="1165" t="inlineStr">
        <is>
          <t>TAS0402</t>
        </is>
      </c>
      <c r="C202" s="1164" t="inlineStr">
        <is>
          <t>N</t>
        </is>
      </c>
      <c r="D202" s="1166" t="inlineStr">
        <is>
          <t>*</t>
        </is>
      </c>
      <c r="E202" s="1163" t="inlineStr">
        <is>
          <t>&lt;= 365</t>
        </is>
      </c>
      <c r="L202" s="1165" t="inlineStr">
        <is>
          <t>TAS0402</t>
        </is>
      </c>
      <c r="M202" s="1164" t="inlineStr">
        <is>
          <t>N</t>
        </is>
      </c>
      <c r="N202" s="1166" t="inlineStr">
        <is>
          <t>*</t>
        </is>
      </c>
      <c r="O202" s="1163" t="inlineStr">
        <is>
          <t>&lt;= 365</t>
        </is>
      </c>
    </row>
    <row r="203">
      <c r="B203" s="1165" t="inlineStr">
        <is>
          <t>CAS*, SEC*, COL0101, CDE0301, INS0903</t>
        </is>
      </c>
      <c r="C203" s="1164" t="inlineStr">
        <is>
          <t>N</t>
        </is>
      </c>
      <c r="D203" s="1167" t="inlineStr">
        <is>
          <t>(vide)</t>
        </is>
      </c>
      <c r="E203" s="1163" t="inlineStr">
        <is>
          <t>&lt;= 365</t>
        </is>
      </c>
      <c r="L203" s="1165" t="inlineStr">
        <is>
          <t>CAS*, SEC*, COL0101, CDE0301, INS0903</t>
        </is>
      </c>
      <c r="M203" s="1164" t="inlineStr">
        <is>
          <t>N</t>
        </is>
      </c>
      <c r="N203" s="1167" t="inlineStr">
        <is>
          <t>(vide)</t>
        </is>
      </c>
      <c r="O203" s="1163" t="inlineStr">
        <is>
          <t>&lt;= 365</t>
        </is>
      </c>
    </row>
    <row r="207" ht="15.75" customHeight="1">
      <c r="B207" s="1486" t="inlineStr">
        <is>
          <t>Contrôle TC0C30 : Cohérence entre instrument financier, nature de sous-jacent et type de produit bancaire</t>
        </is>
      </c>
      <c r="C207" s="1519" t="n"/>
      <c r="D207" s="1519" t="n"/>
      <c r="E207" s="1498" t="n"/>
      <c r="L207" s="1486" t="inlineStr">
        <is>
          <t>TC0C30 Control: Consistency between financial instrument, underlying asset type, and banking product type</t>
        </is>
      </c>
      <c r="M207" s="1519" t="n"/>
      <c r="N207" s="1519" t="n"/>
      <c r="O207" s="1498" t="n"/>
    </row>
    <row r="208">
      <c r="B208" s="1487" t="inlineStr">
        <is>
          <t>Description du contrôle</t>
        </is>
      </c>
      <c r="C208" s="1498" t="n"/>
      <c r="D208" s="1487" t="inlineStr">
        <is>
          <t>Périmètre</t>
        </is>
      </c>
      <c r="E208" s="1498" t="n"/>
      <c r="L208" s="1487" t="inlineStr">
        <is>
          <t>Description of control</t>
        </is>
      </c>
      <c r="M208" s="1498" t="n"/>
      <c r="N208" s="1487" t="inlineStr">
        <is>
          <t>Scope</t>
        </is>
      </c>
      <c r="O208" s="1498" t="n"/>
    </row>
    <row r="209" ht="14.65" customHeight="1">
      <c r="B209" s="1484" t="inlineStr">
        <is>
          <t>Contrôle de cohérence entre Instrument financier, Nature du sous-jacent et Types de produit bancaire</t>
        </is>
      </c>
      <c r="C209" s="1498" t="n"/>
      <c r="D209" s="1484" t="inlineStr">
        <is>
          <t>Grande Clientèle et Clientèle de détail</t>
        </is>
      </c>
      <c r="E209" s="1498" t="n"/>
      <c r="L209" s="1484" t="inlineStr">
        <is>
          <t>Consistency check between Financial Instrument, Underlying Asset Type, and Banking Product Types</t>
        </is>
      </c>
      <c r="M209" s="1498" t="n"/>
      <c r="N209" s="1484" t="inlineStr">
        <is>
          <t>LARGE CUSTOMERS and Retail customers</t>
        </is>
      </c>
      <c r="O209" s="1498" t="n"/>
      <c r="P209" s="1080" t="n"/>
      <c r="Q209" s="1080" t="n"/>
      <c r="R209" s="1080" t="n"/>
      <c r="S209" s="1080" t="n"/>
      <c r="T209" s="1080" t="n"/>
    </row>
    <row r="211">
      <c r="B211" s="1081" t="inlineStr">
        <is>
          <t>P1</t>
        </is>
      </c>
      <c r="L211" s="1081" t="inlineStr">
        <is>
          <t>P1</t>
        </is>
      </c>
    </row>
    <row r="213" ht="27.75" customHeight="1">
      <c r="B213" s="1133" t="inlineStr">
        <is>
          <t>Instrument financier
(P1 3.75)</t>
        </is>
      </c>
      <c r="C213" s="1134" t="inlineStr">
        <is>
          <t>Type de produit bancaire
(P1 4.42)</t>
        </is>
      </c>
      <c r="D213" s="1134" t="inlineStr">
        <is>
          <t>Nature de sous-jacent
(P1 12.1)</t>
        </is>
      </c>
      <c r="L213" s="1122" t="inlineStr">
        <is>
          <t>Financial instrument
(P1 3.75)</t>
        </is>
      </c>
      <c r="M213" s="1134" t="inlineStr">
        <is>
          <t>Type of banking product
(P1 4.42)</t>
        </is>
      </c>
      <c r="N213" s="1123" t="inlineStr">
        <is>
          <t>Nature of the Underlying
(P1 12.1)</t>
        </is>
      </c>
    </row>
    <row r="214">
      <c r="B214" s="1168" t="inlineStr">
        <is>
          <t>A1</t>
        </is>
      </c>
      <c r="C214" s="1168" t="inlineStr">
        <is>
          <t>TDETA1</t>
        </is>
      </c>
      <c r="D214" s="1169" t="inlineStr">
        <is>
          <t>01, 02, 03, 04, 98</t>
        </is>
      </c>
      <c r="L214" s="1168" t="inlineStr">
        <is>
          <t>A1</t>
        </is>
      </c>
      <c r="M214" s="1168" t="inlineStr">
        <is>
          <t>TDETA1</t>
        </is>
      </c>
      <c r="N214" s="1169" t="inlineStr">
        <is>
          <t>01, 02, 03, 04, 98</t>
        </is>
      </c>
    </row>
    <row r="215">
      <c r="B215" s="1168" t="inlineStr">
        <is>
          <t>A2, A3</t>
        </is>
      </c>
      <c r="C215" s="1168" t="inlineStr">
        <is>
          <t>TDETA1</t>
        </is>
      </c>
      <c r="D215" s="1169" t="inlineStr">
        <is>
          <t>01, 98</t>
        </is>
      </c>
      <c r="L215" s="1168" t="inlineStr">
        <is>
          <t>A2, A3</t>
        </is>
      </c>
      <c r="M215" s="1168" t="inlineStr">
        <is>
          <t>TDETA1</t>
        </is>
      </c>
      <c r="N215" s="1169" t="inlineStr">
        <is>
          <t>01, 98</t>
        </is>
      </c>
    </row>
    <row r="216">
      <c r="B216" s="1168" t="inlineStr">
        <is>
          <t>A4</t>
        </is>
      </c>
      <c r="C216" s="1168" t="inlineStr">
        <is>
          <t>TDETA1</t>
        </is>
      </c>
      <c r="D216" s="1169" t="inlineStr">
        <is>
          <t>02, 98</t>
        </is>
      </c>
      <c r="L216" s="1168" t="inlineStr">
        <is>
          <t>A4</t>
        </is>
      </c>
      <c r="M216" s="1168" t="inlineStr">
        <is>
          <t>TDETA1</t>
        </is>
      </c>
      <c r="N216" s="1169" t="inlineStr">
        <is>
          <t>02, 98</t>
        </is>
      </c>
    </row>
    <row r="217">
      <c r="B217" s="1168" t="inlineStr">
        <is>
          <t>B1</t>
        </is>
      </c>
      <c r="C217" s="1168" t="inlineStr">
        <is>
          <t>TDETB1</t>
        </is>
      </c>
      <c r="D217" s="1169" t="inlineStr">
        <is>
          <t>06, 08,11</t>
        </is>
      </c>
      <c r="L217" s="1168" t="inlineStr">
        <is>
          <t>B1</t>
        </is>
      </c>
      <c r="M217" s="1168" t="inlineStr">
        <is>
          <t>TDETB1</t>
        </is>
      </c>
      <c r="N217" s="1169" t="inlineStr">
        <is>
          <t>06, 08,11</t>
        </is>
      </c>
    </row>
    <row r="218">
      <c r="B218" s="1168" t="inlineStr">
        <is>
          <t>B2</t>
        </is>
      </c>
      <c r="C218" s="1168" t="inlineStr">
        <is>
          <t>TDETB1, TDETB2</t>
        </is>
      </c>
      <c r="D218" s="1169" t="inlineStr">
        <is>
          <t>07</t>
        </is>
      </c>
      <c r="L218" s="1168" t="inlineStr">
        <is>
          <t>B2</t>
        </is>
      </c>
      <c r="M218" s="1168" t="inlineStr">
        <is>
          <t>TDETB1, TDETB2</t>
        </is>
      </c>
      <c r="N218" s="1169" t="inlineStr">
        <is>
          <t>07</t>
        </is>
      </c>
    </row>
    <row r="219">
      <c r="B219" s="1168" t="inlineStr">
        <is>
          <t>B3</t>
        </is>
      </c>
      <c r="C219" s="1168" t="inlineStr">
        <is>
          <t>TDETB1, TDETB3</t>
        </is>
      </c>
      <c r="D219" s="1169" t="inlineStr">
        <is>
          <t>09</t>
        </is>
      </c>
      <c r="L219" s="1168" t="inlineStr">
        <is>
          <t>B3</t>
        </is>
      </c>
      <c r="M219" s="1168" t="inlineStr">
        <is>
          <t>TDETB1, TDETB3</t>
        </is>
      </c>
      <c r="N219" s="1169" t="inlineStr">
        <is>
          <t>09</t>
        </is>
      </c>
    </row>
    <row r="220">
      <c r="B220" s="1168" t="inlineStr">
        <is>
          <t>B4</t>
        </is>
      </c>
      <c r="C220" s="1168" t="inlineStr">
        <is>
          <t>TDETB1, TDETB4</t>
        </is>
      </c>
      <c r="D220" s="1169" t="inlineStr">
        <is>
          <t>04, 32</t>
        </is>
      </c>
      <c r="L220" s="1168" t="inlineStr">
        <is>
          <t>B4</t>
        </is>
      </c>
      <c r="M220" s="1168" t="inlineStr">
        <is>
          <t>TDETB1, TDETB4</t>
        </is>
      </c>
      <c r="N220" s="1169" t="inlineStr">
        <is>
          <t>04, 32</t>
        </is>
      </c>
    </row>
    <row r="221">
      <c r="B221" s="1168" t="inlineStr">
        <is>
          <t>B5</t>
        </is>
      </c>
      <c r="C221" s="1168" t="inlineStr">
        <is>
          <t>TDETB5</t>
        </is>
      </c>
      <c r="D221" s="1169" t="inlineStr">
        <is>
          <t>11</t>
        </is>
      </c>
      <c r="L221" s="1168" t="inlineStr">
        <is>
          <t>B5</t>
        </is>
      </c>
      <c r="M221" s="1168" t="inlineStr">
        <is>
          <t>TDETB5</t>
        </is>
      </c>
      <c r="N221" s="1169" t="inlineStr">
        <is>
          <t>11</t>
        </is>
      </c>
    </row>
    <row r="222">
      <c r="B222" s="1168" t="inlineStr">
        <is>
          <t>B6</t>
        </is>
      </c>
      <c r="C222" s="1168" t="inlineStr">
        <is>
          <t>TDETB6</t>
        </is>
      </c>
      <c r="D222" s="1169" t="inlineStr">
        <is>
          <t>10</t>
        </is>
      </c>
      <c r="L222" s="1168" t="inlineStr">
        <is>
          <t>B6</t>
        </is>
      </c>
      <c r="M222" s="1168" t="inlineStr">
        <is>
          <t>TDETB6</t>
        </is>
      </c>
      <c r="N222" s="1169" t="inlineStr">
        <is>
          <t>10</t>
        </is>
      </c>
    </row>
    <row r="223">
      <c r="B223" s="1168" t="inlineStr">
        <is>
          <t>B7</t>
        </is>
      </c>
      <c r="C223" s="1168" t="inlineStr">
        <is>
          <t>TDETB7</t>
        </is>
      </c>
      <c r="D223" s="1169" t="inlineStr">
        <is>
          <t>11</t>
        </is>
      </c>
      <c r="L223" s="1168" t="inlineStr">
        <is>
          <t>B7</t>
        </is>
      </c>
      <c r="M223" s="1168" t="inlineStr">
        <is>
          <t>TDETB7</t>
        </is>
      </c>
      <c r="N223" s="1169" t="inlineStr">
        <is>
          <t>11</t>
        </is>
      </c>
    </row>
    <row r="224">
      <c r="B224" s="1168" t="inlineStr">
        <is>
          <t>C1</t>
        </is>
      </c>
      <c r="C224" s="1168" t="inlineStr">
        <is>
          <t>TDETC1</t>
        </is>
      </c>
      <c r="D224" s="1169" t="inlineStr">
        <is>
          <t>12, 13, 14, 15, 16, 30, 31, 34, 98</t>
        </is>
      </c>
      <c r="L224" s="1168" t="inlineStr">
        <is>
          <t>C1</t>
        </is>
      </c>
      <c r="M224" s="1168" t="inlineStr">
        <is>
          <t>TDETC1</t>
        </is>
      </c>
      <c r="N224" s="1169" t="inlineStr">
        <is>
          <t>12, 13, 14, 15, 16, 30, 31, 34, 98</t>
        </is>
      </c>
    </row>
    <row r="225">
      <c r="B225" s="1168" t="inlineStr">
        <is>
          <t>C2</t>
        </is>
      </c>
      <c r="C225" s="1168" t="inlineStr">
        <is>
          <t>TDETC2</t>
        </is>
      </c>
      <c r="D225" s="1169" t="inlineStr">
        <is>
          <t>13, 14, 34, 98</t>
        </is>
      </c>
      <c r="L225" s="1168" t="inlineStr">
        <is>
          <t>C2</t>
        </is>
      </c>
      <c r="M225" s="1168" t="inlineStr">
        <is>
          <t>TDETC2</t>
        </is>
      </c>
      <c r="N225" s="1169" t="inlineStr">
        <is>
          <t>13, 14, 34, 98</t>
        </is>
      </c>
    </row>
    <row r="226">
      <c r="B226" s="1168" t="inlineStr">
        <is>
          <t>C3</t>
        </is>
      </c>
      <c r="C226" s="1168" t="inlineStr">
        <is>
          <t>TDETC3</t>
        </is>
      </c>
      <c r="D226" s="1169" t="inlineStr">
        <is>
          <t>13, 14, 34, 98</t>
        </is>
      </c>
      <c r="L226" s="1168" t="inlineStr">
        <is>
          <t>C3</t>
        </is>
      </c>
      <c r="M226" s="1168" t="inlineStr">
        <is>
          <t>TDETC3</t>
        </is>
      </c>
      <c r="N226" s="1169" t="inlineStr">
        <is>
          <t>13, 14, 34, 98</t>
        </is>
      </c>
    </row>
    <row r="227">
      <c r="B227" s="1168" t="inlineStr">
        <is>
          <t>C4</t>
        </is>
      </c>
      <c r="C227" s="1168" t="inlineStr">
        <is>
          <t>TDETC4</t>
        </is>
      </c>
      <c r="D227" s="1169" t="inlineStr">
        <is>
          <t>17</t>
        </is>
      </c>
      <c r="L227" s="1168" t="inlineStr">
        <is>
          <t>C4</t>
        </is>
      </c>
      <c r="M227" s="1168" t="inlineStr">
        <is>
          <t>TDETC4</t>
        </is>
      </c>
      <c r="N227" s="1169" t="inlineStr">
        <is>
          <t>17</t>
        </is>
      </c>
    </row>
    <row r="228">
      <c r="B228" s="1168" t="inlineStr">
        <is>
          <t>C5</t>
        </is>
      </c>
      <c r="C228" s="1168" t="inlineStr">
        <is>
          <t>TDETC5</t>
        </is>
      </c>
      <c r="D228" s="1169" t="inlineStr">
        <is>
          <t>32</t>
        </is>
      </c>
      <c r="L228" s="1168" t="inlineStr">
        <is>
          <t>C5</t>
        </is>
      </c>
      <c r="M228" s="1168" t="inlineStr">
        <is>
          <t>TDETC5</t>
        </is>
      </c>
      <c r="N228" s="1169" t="inlineStr">
        <is>
          <t>32</t>
        </is>
      </c>
    </row>
    <row r="229">
      <c r="B229" s="1168" t="inlineStr">
        <is>
          <t>01</t>
        </is>
      </c>
      <c r="C229" s="1168" t="inlineStr">
        <is>
          <t>DERI01, DERI06</t>
        </is>
      </c>
      <c r="D229" s="1169" t="inlineStr">
        <is>
          <t>33, 98</t>
        </is>
      </c>
      <c r="L229" s="1168" t="inlineStr">
        <is>
          <t>01</t>
        </is>
      </c>
      <c r="M229" s="1168" t="inlineStr">
        <is>
          <t>DERI01, DERI06</t>
        </is>
      </c>
      <c r="N229" s="1169" t="inlineStr">
        <is>
          <t>33, 98</t>
        </is>
      </c>
    </row>
    <row r="230">
      <c r="B230" s="1168" t="inlineStr">
        <is>
          <t>02, 21, 53, 71, 83</t>
        </is>
      </c>
      <c r="C230" s="1168" t="inlineStr">
        <is>
          <t>DERI02, DERI06</t>
        </is>
      </c>
      <c r="D230" s="1169" t="inlineStr">
        <is>
          <t>33, 98</t>
        </is>
      </c>
      <c r="L230" s="1168" t="inlineStr">
        <is>
          <t>02, 21, 53, 71, 83</t>
        </is>
      </c>
      <c r="M230" s="1168" t="inlineStr">
        <is>
          <t>DERI02, DERI06</t>
        </is>
      </c>
      <c r="N230" s="1169" t="inlineStr">
        <is>
          <t>33, 98</t>
        </is>
      </c>
    </row>
    <row r="231">
      <c r="B231" s="1168" t="inlineStr">
        <is>
          <t>03, 04, 22, 54</t>
        </is>
      </c>
      <c r="C231" s="1168" t="inlineStr">
        <is>
          <t>DERI04, DERI06</t>
        </is>
      </c>
      <c r="D231" s="1169" t="inlineStr">
        <is>
          <t>33, 98</t>
        </is>
      </c>
      <c r="L231" s="1168" t="inlineStr">
        <is>
          <t>03, 04, 22, 54</t>
        </is>
      </c>
      <c r="M231" s="1168" t="inlineStr">
        <is>
          <t>DERI04, DERI06</t>
        </is>
      </c>
      <c r="N231" s="1169" t="inlineStr">
        <is>
          <t>33, 98</t>
        </is>
      </c>
    </row>
    <row r="232">
      <c r="B232" s="1168" t="inlineStr">
        <is>
          <t>05, 07, 23, 24, 27, 55, 56, 58, 73, 75, 86</t>
        </is>
      </c>
      <c r="C232" s="1168" t="inlineStr">
        <is>
          <t>DERI03, DERI06</t>
        </is>
      </c>
      <c r="D232" s="1169" t="inlineStr">
        <is>
          <t>18</t>
        </is>
      </c>
      <c r="L232" s="1168" t="inlineStr">
        <is>
          <t>05, 07, 23, 24, 27, 55, 56, 58, 73, 75, 86</t>
        </is>
      </c>
      <c r="M232" s="1168" t="inlineStr">
        <is>
          <t>DERI03, DERI06</t>
        </is>
      </c>
      <c r="N232" s="1169" t="inlineStr">
        <is>
          <t>18</t>
        </is>
      </c>
    </row>
    <row r="233">
      <c r="B233" s="1168" t="inlineStr">
        <is>
          <t>06, 25, 26, 57</t>
        </is>
      </c>
      <c r="C233" s="1168" t="inlineStr">
        <is>
          <t>DERI05, DERI06</t>
        </is>
      </c>
      <c r="D233" s="1169" t="inlineStr">
        <is>
          <t>33, 98</t>
        </is>
      </c>
      <c r="L233" s="1168" t="inlineStr">
        <is>
          <t>06, 25, 26, 57</t>
        </is>
      </c>
      <c r="M233" s="1168" t="inlineStr">
        <is>
          <t>DERI05, DERI06</t>
        </is>
      </c>
      <c r="N233" s="1169" t="inlineStr">
        <is>
          <t>33, 98</t>
        </is>
      </c>
    </row>
    <row r="234">
      <c r="B234" s="1168" t="inlineStr">
        <is>
          <t>41</t>
        </is>
      </c>
      <c r="C234" s="1168" t="inlineStr">
        <is>
          <t>REPO01, RREP01</t>
        </is>
      </c>
      <c r="D234" s="1169" t="inlineStr">
        <is>
          <t>06, 07, 08, 09, 10, 11, 32, 98</t>
        </is>
      </c>
      <c r="L234" s="1168" t="inlineStr">
        <is>
          <t>41</t>
        </is>
      </c>
      <c r="M234" s="1168" t="inlineStr">
        <is>
          <t>REPO01, RREP01</t>
        </is>
      </c>
      <c r="N234" s="1169" t="inlineStr">
        <is>
          <t>06, 07, 08, 09, 10, 11, 32, 98</t>
        </is>
      </c>
    </row>
    <row r="235">
      <c r="B235" s="1168" t="inlineStr">
        <is>
          <t>42</t>
        </is>
      </c>
      <c r="C235" s="1168" t="inlineStr">
        <is>
          <t>PRTI01, EMTI01</t>
        </is>
      </c>
      <c r="D235" s="1169" t="inlineStr">
        <is>
          <t>06, 07, 08, 09, 10, 11, 32, 98</t>
        </is>
      </c>
      <c r="L235" s="1168" t="inlineStr">
        <is>
          <t>42</t>
        </is>
      </c>
      <c r="M235" s="1168" t="inlineStr">
        <is>
          <t>PRTI01, EMTI01</t>
        </is>
      </c>
      <c r="N235" s="1169" t="inlineStr">
        <is>
          <t>06, 07, 08, 09, 10, 11, 32, 98</t>
        </is>
      </c>
    </row>
    <row r="236">
      <c r="B236" s="1168" t="inlineStr">
        <is>
          <t>51</t>
        </is>
      </c>
      <c r="C236" s="1168" t="inlineStr">
        <is>
          <t>REPO01, RREP01</t>
        </is>
      </c>
      <c r="D236" s="1169" t="inlineStr">
        <is>
          <t>01</t>
        </is>
      </c>
      <c r="L236" s="1168" t="inlineStr">
        <is>
          <t>51</t>
        </is>
      </c>
      <c r="M236" s="1168" t="inlineStr">
        <is>
          <t>REPO01, RREP01</t>
        </is>
      </c>
      <c r="N236" s="1169" t="inlineStr">
        <is>
          <t>01</t>
        </is>
      </c>
    </row>
    <row r="237">
      <c r="B237" s="1168" t="inlineStr">
        <is>
          <t>52</t>
        </is>
      </c>
      <c r="C237" s="1168" t="inlineStr">
        <is>
          <t>PRTI01, EMTI01</t>
        </is>
      </c>
      <c r="D237" s="1169" t="inlineStr">
        <is>
          <t>01</t>
        </is>
      </c>
      <c r="L237" s="1168" t="inlineStr">
        <is>
          <t>52</t>
        </is>
      </c>
      <c r="M237" s="1168" t="inlineStr">
        <is>
          <t>PRTI01, EMTI01</t>
        </is>
      </c>
      <c r="N237" s="1169" t="inlineStr">
        <is>
          <t>01</t>
        </is>
      </c>
    </row>
    <row r="238">
      <c r="B238" s="1168" t="inlineStr">
        <is>
          <t>72</t>
        </is>
      </c>
      <c r="C238" s="1168" t="inlineStr">
        <is>
          <t>DERI04, DERI06</t>
        </is>
      </c>
      <c r="D238" s="1169" t="inlineStr">
        <is>
          <t>23, 24, 26, 27, 28, 98</t>
        </is>
      </c>
      <c r="L238" s="1168" t="inlineStr">
        <is>
          <t>72</t>
        </is>
      </c>
      <c r="M238" s="1168" t="inlineStr">
        <is>
          <t>DERI04, DERI06</t>
        </is>
      </c>
      <c r="N238" s="1169" t="inlineStr">
        <is>
          <t>23, 24, 26, 27, 28, 98</t>
        </is>
      </c>
    </row>
    <row r="239">
      <c r="B239" s="1168" t="inlineStr">
        <is>
          <t>74</t>
        </is>
      </c>
      <c r="C239" s="1168" t="inlineStr">
        <is>
          <t>DERI05, DERI06</t>
        </is>
      </c>
      <c r="D239" s="1169" t="inlineStr">
        <is>
          <t>23, 24, 26, 27, 28, 98</t>
        </is>
      </c>
      <c r="L239" s="1168" t="inlineStr">
        <is>
          <t>74</t>
        </is>
      </c>
      <c r="M239" s="1168" t="inlineStr">
        <is>
          <t>DERI05, DERI06</t>
        </is>
      </c>
      <c r="N239" s="1169" t="inlineStr">
        <is>
          <t>23, 24, 26, 27, 28, 98</t>
        </is>
      </c>
    </row>
    <row r="240">
      <c r="B240" s="1168" t="inlineStr">
        <is>
          <t>81, 82</t>
        </is>
      </c>
      <c r="C240" s="1168" t="inlineStr">
        <is>
          <t>DERI06</t>
        </is>
      </c>
      <c r="D240" s="1169" t="inlineStr">
        <is>
          <t>22</t>
        </is>
      </c>
      <c r="L240" s="1168" t="inlineStr">
        <is>
          <t>81, 82</t>
        </is>
      </c>
      <c r="M240" s="1168" t="inlineStr">
        <is>
          <t>DERI06</t>
        </is>
      </c>
      <c r="N240" s="1169" t="inlineStr">
        <is>
          <t>22</t>
        </is>
      </c>
    </row>
    <row r="241">
      <c r="B241" s="1168" t="inlineStr">
        <is>
          <t>84, 85</t>
        </is>
      </c>
      <c r="C241" s="1168" t="inlineStr">
        <is>
          <t>DERI04, DERI06</t>
        </is>
      </c>
      <c r="D241" s="1169" t="inlineStr">
        <is>
          <t>22</t>
        </is>
      </c>
      <c r="L241" s="1168" t="inlineStr">
        <is>
          <t>84, 85</t>
        </is>
      </c>
      <c r="M241" s="1168" t="inlineStr">
        <is>
          <t>DERI04, DERI06</t>
        </is>
      </c>
      <c r="N241" s="1169" t="inlineStr">
        <is>
          <t>22</t>
        </is>
      </c>
    </row>
    <row r="245" ht="15.75" customHeight="1">
      <c r="B245" s="1486" t="inlineStr">
        <is>
          <t>Contrôle TC0C31 :  Contrôle de cohérence sur encours du portefeuille immobilier</t>
        </is>
      </c>
      <c r="C245" s="1519" t="n"/>
      <c r="D245" s="1519" t="n"/>
      <c r="E245" s="1498" t="n"/>
      <c r="L245" s="1486" t="inlineStr">
        <is>
          <t>TC0C31 Control: Consistency check on real estate portfolio outstanding</t>
        </is>
      </c>
      <c r="M245" s="1519" t="n"/>
      <c r="N245" s="1519" t="n"/>
      <c r="O245" s="1498" t="n"/>
    </row>
    <row r="246">
      <c r="B246" s="1487" t="inlineStr">
        <is>
          <t>Description du contrôle</t>
        </is>
      </c>
      <c r="C246" s="1498" t="n"/>
      <c r="D246" s="1487" t="inlineStr">
        <is>
          <t>Périmètre</t>
        </is>
      </c>
      <c r="E246" s="1498" t="n"/>
      <c r="L246" s="1487" t="inlineStr">
        <is>
          <t>Description of control</t>
        </is>
      </c>
      <c r="M246" s="1498" t="n"/>
      <c r="N246" s="1487" t="inlineStr">
        <is>
          <t>Scope</t>
        </is>
      </c>
      <c r="O246" s="1498" t="n"/>
    </row>
    <row r="247" ht="14.65" customHeight="1">
      <c r="B247" s="1484" t="inlineStr">
        <is>
          <t>Contrôle de cohérence Type de produit bancaire-Usage du bien immobilier apporté en garantie-PTF Bâle Opération-Objet financé</t>
        </is>
      </c>
      <c r="C247" s="1498" t="n"/>
      <c r="D247" s="1484" t="inlineStr">
        <is>
          <t>Grande Clientèle et Clientèle de détail</t>
        </is>
      </c>
      <c r="E247" s="1498" t="n"/>
      <c r="L247" s="1484" t="inlineStr">
        <is>
          <t>Consistency check Banking product type - Use of real estate provided as collateral - Basel portfolio Transaction - Financed object</t>
        </is>
      </c>
      <c r="M247" s="1498" t="n"/>
      <c r="N247" s="1484" t="inlineStr">
        <is>
          <t>LARGE CUSTOMERS and Retail customers</t>
        </is>
      </c>
      <c r="O247" s="1498" t="n"/>
      <c r="P247" s="1080" t="n"/>
      <c r="Q247" s="1080" t="n"/>
      <c r="R247" s="1080" t="n"/>
      <c r="S247" s="1080" t="n"/>
      <c r="T247" s="1080" t="n"/>
    </row>
    <row r="249">
      <c r="B249" s="1081" t="inlineStr">
        <is>
          <t>P1/P2</t>
        </is>
      </c>
      <c r="L249" s="1081" t="inlineStr">
        <is>
          <t>P1/P2</t>
        </is>
      </c>
    </row>
    <row r="251" ht="38.25" customHeight="1">
      <c r="B251" s="1133" t="inlineStr">
        <is>
          <t>Type de produit bancaire
(P1 4.42, P2 4.42)</t>
        </is>
      </c>
      <c r="C251" s="1134" t="inlineStr">
        <is>
          <t>Usage du bien immobilier apporté en garantie
(P1 3.46, P2 3.46)</t>
        </is>
      </c>
      <c r="D251" s="1134" t="inlineStr">
        <is>
          <t>Portefeuille Bâle Opération
(P1 2.18, P2 2.18)</t>
        </is>
      </c>
      <c r="E251" s="1134" t="inlineStr">
        <is>
          <t>Objet du financement
(P1 22.7, P2 22.7)</t>
        </is>
      </c>
      <c r="L251" s="1122" t="inlineStr">
        <is>
          <t>Type of banking product
(P1 4.42, P2 4.42)</t>
        </is>
      </c>
      <c r="M251" s="1123" t="inlineStr">
        <is>
          <t>Use of the property provided as collateral
(P1 3.46, P2 3.46)</t>
        </is>
      </c>
      <c r="N251" s="1123" t="inlineStr">
        <is>
          <t>Basel Portfolio Operation
(P1 2.18, P2 2.18)</t>
        </is>
      </c>
      <c r="O251" s="1123" t="inlineStr">
        <is>
          <t>Purpose of the funding
(P1 22.7, P2 22.7)</t>
        </is>
      </c>
    </row>
    <row r="252">
      <c r="B252" s="1116" t="inlineStr">
        <is>
          <t>CRED02</t>
        </is>
      </c>
      <c r="C252" s="1169" t="inlineStr">
        <is>
          <t>1</t>
        </is>
      </c>
      <c r="D252" s="1168" t="inlineStr">
        <is>
          <t>061, 062, 064, 065, 900</t>
        </is>
      </c>
      <c r="E252" s="1168" t="inlineStr">
        <is>
          <t>01 ou 02</t>
        </is>
      </c>
      <c r="L252" s="1116" t="inlineStr">
        <is>
          <t>CRED02</t>
        </is>
      </c>
      <c r="M252" s="1169" t="inlineStr">
        <is>
          <t>1</t>
        </is>
      </c>
      <c r="N252" s="1168" t="inlineStr">
        <is>
          <t>061, 062, 064, 065, 900</t>
        </is>
      </c>
      <c r="O252" s="1168" t="inlineStr">
        <is>
          <t>01 ou 02</t>
        </is>
      </c>
    </row>
    <row r="253">
      <c r="B253" s="1116" t="inlineStr">
        <is>
          <t>CRED02</t>
        </is>
      </c>
      <c r="C253" s="1168" t="inlineStr">
        <is>
          <t>2</t>
        </is>
      </c>
      <c r="D253" s="1168" t="inlineStr">
        <is>
          <t>061, 062, 064, 065, 900</t>
        </is>
      </c>
      <c r="E253" s="1168" t="inlineStr">
        <is>
          <t>03, 04 ou 05</t>
        </is>
      </c>
      <c r="L253" s="1116" t="inlineStr">
        <is>
          <t>CRED02</t>
        </is>
      </c>
      <c r="M253" s="1168" t="inlineStr">
        <is>
          <t>2</t>
        </is>
      </c>
      <c r="N253" s="1168" t="inlineStr">
        <is>
          <t>061, 062, 064, 065, 900</t>
        </is>
      </c>
      <c r="O253" s="1168" t="inlineStr">
        <is>
          <t>03, 04 ou 05</t>
        </is>
      </c>
    </row>
    <row r="255" ht="38.25" customHeight="1">
      <c r="B255" s="1133" t="inlineStr">
        <is>
          <t>Type de risque
(P1 2.0, P2 2.0)</t>
        </is>
      </c>
      <c r="C255" s="1134" t="inlineStr">
        <is>
          <t>Usage du bien immobilier apporté en garantie
(P1 3.46, P2 3.46)</t>
        </is>
      </c>
      <c r="D255" s="1134" t="inlineStr">
        <is>
          <t>Portefeuille Bâle Opération
(P1 2.18, P2 2.18)</t>
        </is>
      </c>
      <c r="E255" s="1134" t="inlineStr">
        <is>
          <t>Objet du financement
(P1 22.7, P2 22.7)</t>
        </is>
      </c>
      <c r="L255" s="1122" t="inlineStr">
        <is>
          <t>Risk type
(P1 2.0, P2 2.0)</t>
        </is>
      </c>
      <c r="M255" s="1123" t="inlineStr">
        <is>
          <t>Use of the property provided as collateral
(P1 3.46, P2 3.46)</t>
        </is>
      </c>
      <c r="N255" s="1123" t="inlineStr">
        <is>
          <t>Basel Portfolio Operation
(P1 2.18, P2 2.18)</t>
        </is>
      </c>
      <c r="O255" s="1123" t="inlineStr">
        <is>
          <t>Purpose of the funding
(P1 22.7, P2 22.7)</t>
        </is>
      </c>
    </row>
    <row r="256">
      <c r="B256" s="1116" t="inlineStr">
        <is>
          <t>TRE502</t>
        </is>
      </c>
      <c r="C256" s="1169" t="inlineStr">
        <is>
          <t>1</t>
        </is>
      </c>
      <c r="D256" s="1168" t="inlineStr">
        <is>
          <t>061, 062, 064, 065, 900</t>
        </is>
      </c>
      <c r="E256" s="1168" t="inlineStr">
        <is>
          <t>01 ou 02</t>
        </is>
      </c>
      <c r="L256" s="1116" t="inlineStr">
        <is>
          <t>TRE502</t>
        </is>
      </c>
      <c r="M256" s="1169" t="inlineStr">
        <is>
          <t>1</t>
        </is>
      </c>
      <c r="N256" s="1168" t="inlineStr">
        <is>
          <t>061, 062, 064, 065, 900</t>
        </is>
      </c>
      <c r="O256" s="1168" t="inlineStr">
        <is>
          <t>01 ou 02</t>
        </is>
      </c>
    </row>
    <row r="257">
      <c r="B257" s="1116" t="inlineStr">
        <is>
          <t>TRE502</t>
        </is>
      </c>
      <c r="C257" s="1170" t="inlineStr">
        <is>
          <t>2</t>
        </is>
      </c>
      <c r="D257" s="1168" t="inlineStr">
        <is>
          <t>061, 062, 064, 065, 900</t>
        </is>
      </c>
      <c r="E257" s="1170" t="inlineStr">
        <is>
          <t>04 ou 05</t>
        </is>
      </c>
      <c r="L257" s="1116" t="inlineStr">
        <is>
          <t>TRE502</t>
        </is>
      </c>
      <c r="M257" s="1170" t="inlineStr">
        <is>
          <t>2</t>
        </is>
      </c>
      <c r="N257" s="1168" t="inlineStr">
        <is>
          <t>061, 062, 064, 065, 900</t>
        </is>
      </c>
      <c r="O257" s="1170" t="inlineStr">
        <is>
          <t>04 ou 05</t>
        </is>
      </c>
    </row>
    <row r="261" ht="15.75" customHeight="1">
      <c r="B261" s="1486" t="inlineStr">
        <is>
          <t>Contrôle TC0C32 :  Cohérence entre provision et encours provisionné</t>
        </is>
      </c>
      <c r="C261" s="1519" t="n"/>
      <c r="D261" s="1519" t="n"/>
      <c r="E261" s="1498" t="n"/>
      <c r="L261" s="1486" t="inlineStr">
        <is>
          <t>Control TC0C32: Consistency between provision and provisioned outstanding amount</t>
        </is>
      </c>
      <c r="M261" s="1519" t="n"/>
      <c r="N261" s="1519" t="n"/>
      <c r="O261" s="1498" t="n"/>
    </row>
    <row r="262">
      <c r="B262" s="1487" t="inlineStr">
        <is>
          <t>Description du contrôle</t>
        </is>
      </c>
      <c r="C262" s="1498" t="n"/>
      <c r="D262" s="1487" t="inlineStr">
        <is>
          <t>Périmètre</t>
        </is>
      </c>
      <c r="E262" s="1498" t="n"/>
      <c r="L262" s="1487" t="inlineStr">
        <is>
          <t>Description of control</t>
        </is>
      </c>
      <c r="M262" s="1498" t="n"/>
      <c r="N262" s="1487" t="inlineStr">
        <is>
          <t>Scope</t>
        </is>
      </c>
      <c r="O262" s="1498" t="n"/>
    </row>
    <row r="263" ht="14.65" customHeight="1">
      <c r="B263" s="1484" t="inlineStr">
        <is>
          <t>Contrôle de cohérence entre provision et encours provisionné</t>
        </is>
      </c>
      <c r="C263" s="1498" t="n"/>
      <c r="D263" s="1484" t="inlineStr">
        <is>
          <t>Grande Clientèle et Clientèle de détail</t>
        </is>
      </c>
      <c r="E263" s="1498" t="n"/>
      <c r="L263" s="1484" t="inlineStr">
        <is>
          <t>Consistency check between provision and provisioned outstanding balance</t>
        </is>
      </c>
      <c r="M263" s="1498" t="n"/>
      <c r="N263" s="1484" t="inlineStr">
        <is>
          <t>LARGE CUSTOMERS and Retail customers</t>
        </is>
      </c>
      <c r="O263" s="1498" t="n"/>
      <c r="P263" s="1080" t="n"/>
      <c r="Q263" s="1080" t="n"/>
      <c r="R263" s="1080" t="n"/>
      <c r="S263" s="1080" t="n"/>
      <c r="T263" s="1080" t="n"/>
    </row>
    <row r="265">
      <c r="B265" s="1081" t="inlineStr">
        <is>
          <t>P9</t>
        </is>
      </c>
      <c r="L265" s="1081" t="inlineStr">
        <is>
          <t>P7/P9</t>
        </is>
      </c>
    </row>
    <row r="267" ht="55.5" customHeight="1">
      <c r="B267" s="1133" t="inlineStr">
        <is>
          <t>Nature de la dépréciation
(P9 2.3)</t>
        </is>
      </c>
      <c r="C267" s="1134" t="inlineStr">
        <is>
          <t>Objet de collecte</t>
        </is>
      </c>
      <c r="D267" s="1134" t="inlineStr">
        <is>
          <t>Bucket IFRS9
(P1 22.72, P2 22.72)</t>
        </is>
      </c>
      <c r="E267" s="1134" t="inlineStr">
        <is>
          <t>Indicateur Engagement douteux
(P1 5.2, P2 5.2)</t>
        </is>
      </c>
      <c r="L267" s="1133" t="inlineStr">
        <is>
          <t>Nature of the depreciation
(P7 2.3, P9 2.3)</t>
        </is>
      </c>
      <c r="M267" s="1123" t="inlineStr">
        <is>
          <t>Business object</t>
        </is>
      </c>
      <c r="N267" s="1134" t="inlineStr">
        <is>
          <t>Bucket IFRS9
(P1 22.72, P2 22.72, P3C 22.72, P3D 22.72, P3S 22.72)</t>
        </is>
      </c>
      <c r="O267" s="1153" t="inlineStr">
        <is>
          <t>Doubtful Commitment' Indicator
(P1 5.2, P2 5.2, P3C 9.14, P3S 9.14)</t>
        </is>
      </c>
    </row>
    <row r="268">
      <c r="B268" s="1116" t="inlineStr">
        <is>
          <t>A</t>
        </is>
      </c>
      <c r="C268" s="1116" t="inlineStr">
        <is>
          <t>P1, P2, P3C, P3S</t>
        </is>
      </c>
      <c r="D268" s="1116" t="inlineStr">
        <is>
          <t>B1</t>
        </is>
      </c>
      <c r="E268" s="1116" t="inlineStr">
        <is>
          <t>N</t>
        </is>
      </c>
      <c r="L268" s="1116" t="inlineStr">
        <is>
          <t>A</t>
        </is>
      </c>
      <c r="M268" s="1116" t="inlineStr">
        <is>
          <t>P1, P2, P3C, P3S</t>
        </is>
      </c>
      <c r="N268" s="1116" t="inlineStr">
        <is>
          <t>B1</t>
        </is>
      </c>
      <c r="O268" s="1116" t="inlineStr">
        <is>
          <t>N</t>
        </is>
      </c>
    </row>
    <row r="269">
      <c r="B269" s="1116" t="inlineStr">
        <is>
          <t>A</t>
        </is>
      </c>
      <c r="C269" s="1116" t="inlineStr">
        <is>
          <t>P3D</t>
        </is>
      </c>
      <c r="D269" s="1116" t="inlineStr">
        <is>
          <t>B1</t>
        </is>
      </c>
      <c r="E269" s="1171" t="inlineStr">
        <is>
          <t>(vide)</t>
        </is>
      </c>
      <c r="L269" s="1116" t="inlineStr">
        <is>
          <t>A</t>
        </is>
      </c>
      <c r="M269" s="1116" t="inlineStr">
        <is>
          <t>P3D</t>
        </is>
      </c>
      <c r="N269" s="1116" t="inlineStr">
        <is>
          <t>B1</t>
        </is>
      </c>
      <c r="O269" s="1171" t="inlineStr">
        <is>
          <t>(vide)</t>
        </is>
      </c>
    </row>
    <row r="270">
      <c r="B270" s="1116" t="inlineStr">
        <is>
          <t>E</t>
        </is>
      </c>
      <c r="C270" s="1116" t="inlineStr">
        <is>
          <t>P1, P2, P3C, P3S</t>
        </is>
      </c>
      <c r="D270" s="1116" t="inlineStr">
        <is>
          <t>B2</t>
        </is>
      </c>
      <c r="E270" s="1116" t="inlineStr">
        <is>
          <t>N</t>
        </is>
      </c>
      <c r="L270" s="1116" t="inlineStr">
        <is>
          <t>E</t>
        </is>
      </c>
      <c r="M270" s="1116" t="inlineStr">
        <is>
          <t>P1, P2, P3C, P3S</t>
        </is>
      </c>
      <c r="N270" s="1116" t="inlineStr">
        <is>
          <t>B2</t>
        </is>
      </c>
      <c r="O270" s="1116" t="inlineStr">
        <is>
          <t>N</t>
        </is>
      </c>
    </row>
    <row r="271">
      <c r="B271" s="1116" t="inlineStr">
        <is>
          <t>E</t>
        </is>
      </c>
      <c r="C271" s="1116" t="inlineStr">
        <is>
          <t>P3D</t>
        </is>
      </c>
      <c r="D271" s="1116" t="inlineStr">
        <is>
          <t>B2</t>
        </is>
      </c>
      <c r="E271" s="1171" t="inlineStr">
        <is>
          <t>(vide)</t>
        </is>
      </c>
      <c r="L271" s="1116" t="inlineStr">
        <is>
          <t>E</t>
        </is>
      </c>
      <c r="M271" s="1116" t="inlineStr">
        <is>
          <t>P3D</t>
        </is>
      </c>
      <c r="N271" s="1116" t="inlineStr">
        <is>
          <t>B2</t>
        </is>
      </c>
      <c r="O271" s="1171" t="inlineStr">
        <is>
          <t>(vide)</t>
        </is>
      </c>
    </row>
    <row r="272">
      <c r="B272" s="1116" t="inlineStr">
        <is>
          <t>S</t>
        </is>
      </c>
      <c r="C272" s="1116" t="inlineStr">
        <is>
          <t>P1, P2, P3C, P3S</t>
        </is>
      </c>
      <c r="D272" s="1116" t="inlineStr">
        <is>
          <t>B3</t>
        </is>
      </c>
      <c r="E272" s="1116" t="inlineStr">
        <is>
          <t>Y</t>
        </is>
      </c>
      <c r="L272" s="1116" t="inlineStr">
        <is>
          <t>S</t>
        </is>
      </c>
      <c r="M272" s="1116" t="inlineStr">
        <is>
          <t>P1, P2, P3C, P3S</t>
        </is>
      </c>
      <c r="N272" s="1116" t="inlineStr">
        <is>
          <t>B3</t>
        </is>
      </c>
      <c r="O272" s="1116" t="inlineStr">
        <is>
          <t>Y</t>
        </is>
      </c>
    </row>
    <row r="273">
      <c r="B273" s="1116" t="inlineStr">
        <is>
          <t>S</t>
        </is>
      </c>
      <c r="C273" s="1116" t="inlineStr">
        <is>
          <t>P3D</t>
        </is>
      </c>
      <c r="D273" s="1116" t="inlineStr">
        <is>
          <t>B3</t>
        </is>
      </c>
      <c r="E273" s="1171" t="inlineStr">
        <is>
          <t>(vide)</t>
        </is>
      </c>
      <c r="L273" s="1116" t="inlineStr">
        <is>
          <t>S</t>
        </is>
      </c>
      <c r="M273" s="1116" t="inlineStr">
        <is>
          <t>P3D</t>
        </is>
      </c>
      <c r="N273" s="1116" t="inlineStr">
        <is>
          <t>B3</t>
        </is>
      </c>
      <c r="O273" s="1171" t="inlineStr">
        <is>
          <t>(vide)</t>
        </is>
      </c>
    </row>
  </sheetData>
  <mergeCells count="164">
    <mergeCell ref="B91:C91"/>
    <mergeCell ref="D178:E178"/>
    <mergeCell ref="L91:M91"/>
    <mergeCell ref="N76:O76"/>
    <mergeCell ref="N91:O91"/>
    <mergeCell ref="L262:M262"/>
    <mergeCell ref="B74:E74"/>
    <mergeCell ref="B141:C141"/>
    <mergeCell ref="L261:O261"/>
    <mergeCell ref="L90:O90"/>
    <mergeCell ref="L19:M19"/>
    <mergeCell ref="L246:M246"/>
    <mergeCell ref="L75:M75"/>
    <mergeCell ref="B247:C247"/>
    <mergeCell ref="N246:O246"/>
    <mergeCell ref="N75:O75"/>
    <mergeCell ref="L49:O49"/>
    <mergeCell ref="B207:E207"/>
    <mergeCell ref="L196:N196"/>
    <mergeCell ref="L130:M130"/>
    <mergeCell ref="B262:C262"/>
    <mergeCell ref="N130:O130"/>
    <mergeCell ref="B151:C151"/>
    <mergeCell ref="D151:E151"/>
    <mergeCell ref="C23:E23"/>
    <mergeCell ref="L17:O17"/>
    <mergeCell ref="N151:O151"/>
    <mergeCell ref="D141:E141"/>
    <mergeCell ref="L263:M263"/>
    <mergeCell ref="D263:E263"/>
    <mergeCell ref="N263:O263"/>
    <mergeCell ref="D150:E150"/>
    <mergeCell ref="L190:O190"/>
    <mergeCell ref="B182:C182"/>
    <mergeCell ref="B149:E149"/>
    <mergeCell ref="B191:C191"/>
    <mergeCell ref="L209:M209"/>
    <mergeCell ref="B178:C178"/>
    <mergeCell ref="B246:C246"/>
    <mergeCell ref="B177:C177"/>
    <mergeCell ref="L192:M192"/>
    <mergeCell ref="B64:C64"/>
    <mergeCell ref="D177:E177"/>
    <mergeCell ref="D64:E64"/>
    <mergeCell ref="B6:F6"/>
    <mergeCell ref="B164:C164"/>
    <mergeCell ref="L164:M164"/>
    <mergeCell ref="B51:C51"/>
    <mergeCell ref="N208:O208"/>
    <mergeCell ref="D164:E164"/>
    <mergeCell ref="D51:E51"/>
    <mergeCell ref="L6:P6"/>
    <mergeCell ref="L65:M65"/>
    <mergeCell ref="N65:O65"/>
    <mergeCell ref="N192:O192"/>
    <mergeCell ref="B35:C35"/>
    <mergeCell ref="D35:E35"/>
    <mergeCell ref="B129:C129"/>
    <mergeCell ref="N35:O35"/>
    <mergeCell ref="B209:C209"/>
    <mergeCell ref="B49:E49"/>
    <mergeCell ref="N129:O129"/>
    <mergeCell ref="D19:E19"/>
    <mergeCell ref="D34:E34"/>
    <mergeCell ref="N50:O50"/>
    <mergeCell ref="B33:E33"/>
    <mergeCell ref="N51:O51"/>
    <mergeCell ref="B18:C18"/>
    <mergeCell ref="B63:E63"/>
    <mergeCell ref="B130:C130"/>
    <mergeCell ref="D76:E76"/>
    <mergeCell ref="L151:M151"/>
    <mergeCell ref="B261:E261"/>
    <mergeCell ref="B90:E90"/>
    <mergeCell ref="B8:F8"/>
    <mergeCell ref="B128:E128"/>
    <mergeCell ref="L141:M141"/>
    <mergeCell ref="L92:M92"/>
    <mergeCell ref="D75:E75"/>
    <mergeCell ref="L163:M163"/>
    <mergeCell ref="N92:O92"/>
    <mergeCell ref="L8:P8"/>
    <mergeCell ref="N262:O262"/>
    <mergeCell ref="B140:E140"/>
    <mergeCell ref="M23:O23"/>
    <mergeCell ref="N247:O247"/>
    <mergeCell ref="L177:M177"/>
    <mergeCell ref="B142:C142"/>
    <mergeCell ref="L182:M182"/>
    <mergeCell ref="D142:E142"/>
    <mergeCell ref="L191:M191"/>
    <mergeCell ref="N142:O142"/>
    <mergeCell ref="D129:E129"/>
    <mergeCell ref="L178:M178"/>
    <mergeCell ref="B4:F4"/>
    <mergeCell ref="D247:E247"/>
    <mergeCell ref="L149:O149"/>
    <mergeCell ref="L176:O176"/>
    <mergeCell ref="B208:C208"/>
    <mergeCell ref="D208:E208"/>
    <mergeCell ref="N164:O164"/>
    <mergeCell ref="D65:E65"/>
    <mergeCell ref="N209:O209"/>
    <mergeCell ref="L18:M18"/>
    <mergeCell ref="N18:O18"/>
    <mergeCell ref="D163:E163"/>
    <mergeCell ref="N163:O163"/>
    <mergeCell ref="D91:E91"/>
    <mergeCell ref="L4:P4"/>
    <mergeCell ref="L35:M35"/>
    <mergeCell ref="B176:E176"/>
    <mergeCell ref="L140:O140"/>
    <mergeCell ref="L129:M129"/>
    <mergeCell ref="B34:C34"/>
    <mergeCell ref="B19:C19"/>
    <mergeCell ref="L245:O245"/>
    <mergeCell ref="L76:M76"/>
    <mergeCell ref="L50:M50"/>
    <mergeCell ref="N19:O19"/>
    <mergeCell ref="L33:O33"/>
    <mergeCell ref="N178:O178"/>
    <mergeCell ref="B92:C92"/>
    <mergeCell ref="B17:E17"/>
    <mergeCell ref="D92:E92"/>
    <mergeCell ref="L74:O74"/>
    <mergeCell ref="B76:C76"/>
    <mergeCell ref="L247:M247"/>
    <mergeCell ref="B75:C75"/>
    <mergeCell ref="D191:E191"/>
    <mergeCell ref="D262:E262"/>
    <mergeCell ref="B150:C150"/>
    <mergeCell ref="N141:O141"/>
    <mergeCell ref="D246:E246"/>
    <mergeCell ref="L150:M150"/>
    <mergeCell ref="N150:O150"/>
    <mergeCell ref="L208:M208"/>
    <mergeCell ref="L207:O207"/>
    <mergeCell ref="B196:D196"/>
    <mergeCell ref="B263:C263"/>
    <mergeCell ref="C27:E27"/>
    <mergeCell ref="M27:O27"/>
    <mergeCell ref="L142:M142"/>
    <mergeCell ref="B190:E190"/>
    <mergeCell ref="L64:M64"/>
    <mergeCell ref="N64:O64"/>
    <mergeCell ref="D209:E209"/>
    <mergeCell ref="N191:O191"/>
    <mergeCell ref="L51:M51"/>
    <mergeCell ref="D18:E18"/>
    <mergeCell ref="B65:C65"/>
    <mergeCell ref="B192:C192"/>
    <mergeCell ref="D192:E192"/>
    <mergeCell ref="D130:E130"/>
    <mergeCell ref="L34:M34"/>
    <mergeCell ref="N177:O177"/>
    <mergeCell ref="N34:O34"/>
    <mergeCell ref="B162:E162"/>
    <mergeCell ref="L162:O162"/>
    <mergeCell ref="B245:E245"/>
    <mergeCell ref="B163:C163"/>
    <mergeCell ref="B50:C50"/>
    <mergeCell ref="D50:E50"/>
    <mergeCell ref="L63:O63"/>
    <mergeCell ref="L128:O128"/>
  </mergeCells>
  <pageMargins left="0.7" right="0.7" top="0.75" bottom="0.75" header="0.3" footer="0.3"/>
  <pageSetup orientation="portrait" paperSize="9"/>
  <headerFooter>
    <oddHeader/>
    <oddFooter>&amp;C&amp;"Calibri"&amp;10 &amp;K000000_x000d_# Usage Interne / Internal Use</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SILCA</dc:creator>
  <dcterms:created xsi:type="dcterms:W3CDTF">2010-06-29T12:18:31Z</dcterms:created>
  <dcterms:modified xsi:type="dcterms:W3CDTF">2026-08-31T07:45:33Z</dcterms:modified>
  <cp:lastModifiedBy>GOMES Hugo</cp:lastModifiedBy>
  <cp:lastPrinted>2018-03-26T12:52:48Z</cp:lastPrinted>
</cp:coreProperties>
</file>

<file path=docProps/custom.xml><?xml version="1.0" encoding="utf-8"?>
<Properties xmlns:vt="http://schemas.openxmlformats.org/officeDocument/2006/docPropsVTypes" xmlns="http://schemas.openxmlformats.org/officeDocument/2006/custom-properties">
  <property name="MSIP_Label_4cad6431-53ea-4466-8111-3fefa470bcb9_Enabled" fmtid="{D5CDD505-2E9C-101B-9397-08002B2CF9AE}" pid="2">
    <vt:lpwstr>true</vt:lpwstr>
  </property>
  <property name="MSIP_Label_4cad6431-53ea-4466-8111-3fefa470bcb9_SetDate" fmtid="{D5CDD505-2E9C-101B-9397-08002B2CF9AE}" pid="3">
    <vt:lpwstr>2022-02-23T15:40:07Z</vt:lpwstr>
  </property>
  <property name="MSIP_Label_4cad6431-53ea-4466-8111-3fefa470bcb9_Method" fmtid="{D5CDD505-2E9C-101B-9397-08002B2CF9AE}" pid="4">
    <vt:lpwstr>Privileged</vt:lpwstr>
  </property>
  <property name="MSIP_Label_4cad6431-53ea-4466-8111-3fefa470bcb9_Name" fmtid="{D5CDD505-2E9C-101B-9397-08002B2CF9AE}" pid="5">
    <vt:lpwstr>Usage Interne</vt:lpwstr>
  </property>
  <property name="MSIP_Label_4cad6431-53ea-4466-8111-3fefa470bcb9_SiteId" fmtid="{D5CDD505-2E9C-101B-9397-08002B2CF9AE}" pid="6">
    <vt:lpwstr>fb3baf17-c313-474c-8d5d-577a3ec97a32</vt:lpwstr>
  </property>
  <property name="MSIP_Label_4cad6431-53ea-4466-8111-3fefa470bcb9_ActionId" fmtid="{D5CDD505-2E9C-101B-9397-08002B2CF9AE}" pid="7">
    <vt:lpwstr>ad767650-8934-4750-bc1b-6b499733098f</vt:lpwstr>
  </property>
  <property name="MSIP_Label_4cad6431-53ea-4466-8111-3fefa470bcb9_ContentBits" fmtid="{D5CDD505-2E9C-101B-9397-08002B2CF9AE}" pid="8">
    <vt:lpwstr>0</vt:lpwstr>
  </property>
</Properties>
</file>