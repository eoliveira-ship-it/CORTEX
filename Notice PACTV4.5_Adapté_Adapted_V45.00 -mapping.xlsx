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G:\Projets\PP2026\26-DFIN-175P - Risques PACT 4.5\03-Concevoir\1. Leasing\SFG\"/>
    </mc:Choice>
  </mc:AlternateContent>
  <xr:revisionPtr revIDLastSave="0" documentId="13_ncr:1_{E209D5DB-F1A0-48AE-8C2D-82B9A8629AE4}" xr6:coauthVersionLast="47" xr6:coauthVersionMax="47" xr10:uidLastSave="{00000000-0000-0000-0000-000000000000}"/>
  <bookViews>
    <workbookView xWindow="-108" yWindow="-108" windowWidth="23256" windowHeight="12456" tabRatio="513" activeTab="1" xr2:uid="{00000000-000D-0000-FFFF-FFFF00000000}"/>
  </bookViews>
  <sheets>
    <sheet name="Modifications" sheetId="59" r:id="rId1"/>
    <sheet name="A1 Alimentation Adaptée" sheetId="61" r:id="rId2"/>
    <sheet name="Ctrl cohérence-consistency ctr " sheetId="66" r:id="rId3"/>
  </sheets>
  <externalReferences>
    <externalReference r:id="rId4"/>
    <externalReference r:id="rId5"/>
    <externalReference r:id="rId6"/>
  </externalReferences>
  <definedNames>
    <definedName name="_xlnm._FilterDatabase" localSheetId="1" hidden="1">'A1 Alimentation Adaptée'!$A$2:$BK$121</definedName>
    <definedName name="aaaa" localSheetId="2">#REF!</definedName>
    <definedName name="aaaa">#REF!</definedName>
    <definedName name="aaaaa" localSheetId="2">#REF!</definedName>
    <definedName name="aaaaa">#REF!</definedName>
    <definedName name="anomalies" localSheetId="2">#REF!</definedName>
    <definedName name="anomalies">#REF!</definedName>
    <definedName name="CAP_01__02__03__04__Clientèle_de_détail___Pas_de_données_complémentaires_obligatoires_associées_à_ces_CAP__Les_expositions_sur_la_Clientèle_de_détail_sont_pondérées_à_75_." localSheetId="2">#REF!</definedName>
    <definedName name="CAP_01__02__03__04__Clientèle_de_détail___Pas_de_données_complémentaires_obligatoires_associées_à_ces_CAP__Les_expositions_sur_la_Clientèle_de_détail_sont_pondérées_à_75_.">#REF!</definedName>
    <definedName name="CAP_de_l_exposition" localSheetId="2">#REF!</definedName>
    <definedName name="CAP_de_l_exposition">#REF!</definedName>
    <definedName name="CAPtest" localSheetId="2">'[1]A1 Degraded Data Entry'!#REF!</definedName>
    <definedName name="CAPtest">'[1]A1 Degraded Data Entry'!#REF!</definedName>
    <definedName name="Groupe_caractéristiques" localSheetId="1">#REF!</definedName>
    <definedName name="Groupe_caractéristiques" localSheetId="2">#REF!</definedName>
    <definedName name="Groupe_caractéristiques">#REF!</definedName>
    <definedName name="Méthodo_CAP" localSheetId="2">#REF!</definedName>
    <definedName name="Méthodo_CAP">#REF!</definedName>
    <definedName name="Méthodo_Conditions_réglementaires" localSheetId="2">#REF!</definedName>
    <definedName name="Méthodo_Conditions_réglementaires">#REF!</definedName>
    <definedName name="Méthodo_Crédit_bail" localSheetId="2">#REF!</definedName>
    <definedName name="Méthodo_Crédit_bail">#REF!</definedName>
    <definedName name="Méthodo_DeterminationCAP" localSheetId="2">#REF!</definedName>
    <definedName name="Méthodo_DeterminationCAP">#REF!</definedName>
    <definedName name="Méthodo_douteux_impayé" localSheetId="2">#REF!</definedName>
    <definedName name="Méthodo_douteux_impayé">#REF!</definedName>
    <definedName name="Méthodo_engagement" localSheetId="2">#REF!</definedName>
    <definedName name="Méthodo_engagement">#REF!</definedName>
    <definedName name="Méthodo_impayé" localSheetId="2">#REF!</definedName>
    <definedName name="Méthodo_impayé">#REF!</definedName>
    <definedName name="Méthodo_indicateur" localSheetId="2">#REF!</definedName>
    <definedName name="Méthodo_indicateur">#REF!</definedName>
    <definedName name="Méthodo_indicateur_couverture" localSheetId="1">[2]Méthodologie!#REF!</definedName>
    <definedName name="Méthodo_indicateur_couverture" localSheetId="2">[2]Méthodologie!#REF!</definedName>
    <definedName name="Méthodo_indicateur_couverture" localSheetId="0">[2]Méthodologie!#REF!</definedName>
    <definedName name="Méthodo_indicateur_couverture">[2]Méthodologie!#REF!</definedName>
    <definedName name="Méthodo_Montants" localSheetId="2">#REF!</definedName>
    <definedName name="Méthodo_Montants">#REF!</definedName>
    <definedName name="Méthodo_NATO" localSheetId="2">#REF!</definedName>
    <definedName name="Méthodo_NATO">#REF!</definedName>
    <definedName name="Méthodo_PNU" localSheetId="2">#REF!</definedName>
    <definedName name="Méthodo_PNU">#REF!</definedName>
    <definedName name="Méthodo_Pond_pref" localSheetId="2">#REF!</definedName>
    <definedName name="Méthodo_Pond_pref">#REF!</definedName>
    <definedName name="méthodo_provisions" localSheetId="2">#REF!</definedName>
    <definedName name="méthodo_provisions">#REF!</definedName>
    <definedName name="Méthodo_sûretés" localSheetId="2">#REF!</definedName>
    <definedName name="Méthodo_sûretés">#REF!</definedName>
    <definedName name="Méthodo_Tiers_Agrégat" localSheetId="2">#REF!</definedName>
    <definedName name="Méthodo_Tiers_Agrégat">#REF!</definedName>
    <definedName name="Méthodo_usage_bien_immo" localSheetId="2">#REF!</definedName>
    <definedName name="Méthodo_usage_bien_immo">#REF!</definedName>
    <definedName name="Objets">'[3]Liste des objets'!$A:$A</definedName>
    <definedName name="Règles_corr" localSheetId="2">#REF!</definedName>
    <definedName name="Règles_corr">#REF!</definedName>
    <definedName name="test" localSheetId="1">#REF!</definedName>
    <definedName name="test" localSheetId="2">#REF!</definedName>
    <definedName name="test">#REF!</definedName>
    <definedName name="Tiers_Agrégat" localSheetId="2">#REF!</definedName>
    <definedName name="Tiers_Agrégat">#REF!</definedName>
    <definedName name="Toto" localSheetId="2">#REF!</definedName>
    <definedName name="Tot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109" i="61" l="1"/>
  <c r="AB118" i="61" l="1"/>
  <c r="AB18" i="61" l="1"/>
  <c r="AB121" i="61" l="1"/>
  <c r="J9" i="59" l="1"/>
  <c r="I9" i="59"/>
  <c r="L9" i="59"/>
  <c r="H9" i="59"/>
  <c r="H8" i="59"/>
  <c r="L7" i="59"/>
  <c r="J7" i="59"/>
  <c r="I7" i="59"/>
  <c r="H7" i="59"/>
  <c r="L6" i="59"/>
  <c r="J6" i="59"/>
  <c r="I6" i="59"/>
  <c r="H6" i="59"/>
  <c r="L5" i="59"/>
  <c r="J5" i="59"/>
  <c r="I5" i="59"/>
  <c r="H5" i="59"/>
  <c r="L4" i="59"/>
  <c r="J4" i="59"/>
  <c r="I4" i="59"/>
  <c r="H4" i="59"/>
  <c r="J8" i="59"/>
  <c r="I8" i="59"/>
  <c r="L8" i="59"/>
  <c r="K9" i="59" l="1"/>
  <c r="K8" i="59"/>
  <c r="K6" i="59"/>
  <c r="K5" i="59"/>
  <c r="K7" i="59"/>
  <c r="K4" i="59"/>
</calcChain>
</file>

<file path=xl/sharedStrings.xml><?xml version="1.0" encoding="utf-8"?>
<sst xmlns="http://schemas.openxmlformats.org/spreadsheetml/2006/main" count="4234" uniqueCount="1262">
  <si>
    <t>Zone Libre</t>
  </si>
  <si>
    <t>DEFINITION</t>
  </si>
  <si>
    <t>NA</t>
  </si>
  <si>
    <t>Valeur estimée en fin de période du bien loué (valeur résiduelle)</t>
  </si>
  <si>
    <t xml:space="preserve">Date d'arrêté </t>
  </si>
  <si>
    <t>Entité Porteuse de Risques</t>
  </si>
  <si>
    <t>Application source</t>
  </si>
  <si>
    <t>Date et Heure de traitement</t>
  </si>
  <si>
    <t>Type d'enregistrement</t>
  </si>
  <si>
    <t>ALPHA</t>
  </si>
  <si>
    <t>NUM</t>
  </si>
  <si>
    <t xml:space="preserve">Correspond au code consolidation comptable de l'Entité porteuse de risque dans les comptes de Crédit Agricole S.A. </t>
  </si>
  <si>
    <t>NATO de l'exposition</t>
  </si>
  <si>
    <t>Fréquence de transmission</t>
  </si>
  <si>
    <t>CAP de l'exposition</t>
  </si>
  <si>
    <t>Fournisseur de sûreté</t>
  </si>
  <si>
    <t>Produits à pondération préférentielle</t>
  </si>
  <si>
    <t>CAP de la sûreté</t>
  </si>
  <si>
    <t>Code partenaire du garant / émetteur / dépositaire de la sûreté</t>
  </si>
  <si>
    <t>Montant de la sûreté reçue</t>
  </si>
  <si>
    <t>Zone réservée DRG</t>
  </si>
  <si>
    <t xml:space="preserve">Achat en fin de contrat du bien loué </t>
  </si>
  <si>
    <t>A1 2.1</t>
  </si>
  <si>
    <t>A1 2.2</t>
  </si>
  <si>
    <t>A1 2.4</t>
  </si>
  <si>
    <t>A1 3.2</t>
  </si>
  <si>
    <t>A1 3.4</t>
  </si>
  <si>
    <t>A1 4.4</t>
  </si>
  <si>
    <t>Code partenaire de la contrepartie en risque</t>
  </si>
  <si>
    <t>A1 4.5</t>
  </si>
  <si>
    <t>A1 4.2</t>
  </si>
  <si>
    <t>A1 5.1</t>
  </si>
  <si>
    <t>A1 5.4</t>
  </si>
  <si>
    <t>A1 6.1</t>
  </si>
  <si>
    <t>A1 6.2</t>
  </si>
  <si>
    <t>A1 6.3</t>
  </si>
  <si>
    <t>A1 6.4</t>
  </si>
  <si>
    <t>A1 6.5</t>
  </si>
  <si>
    <t>A1 6.6</t>
  </si>
  <si>
    <t>A1 6.7</t>
  </si>
  <si>
    <t>A1 6.8</t>
  </si>
  <si>
    <t>Identifiant de l'engagement</t>
  </si>
  <si>
    <t>Le champ permet de distinguer le caractère intragroupe de la sûreté</t>
  </si>
  <si>
    <t>NATO de la sûreté</t>
  </si>
  <si>
    <t>Le champ correspond à la famille de sûreté</t>
  </si>
  <si>
    <t>'M' pour mensuel</t>
  </si>
  <si>
    <t>Nature de flux (Zone réservée DRG)</t>
  </si>
  <si>
    <t>(Zone réservée DRG)</t>
  </si>
  <si>
    <t>Zone réservée CAsa social</t>
  </si>
  <si>
    <t>CCF (Crédit Conversion Factor)</t>
  </si>
  <si>
    <t>Le champ correspond à la devise comptable de reporting de l'entité porteuse de risque</t>
  </si>
  <si>
    <t>Le champ permet de distinguer les opérations intragroupes et hors-groupe</t>
  </si>
  <si>
    <t>Portefeuille de booking / Intention de Gestion</t>
  </si>
  <si>
    <t>Le champ correspond au code du compte consolidé</t>
  </si>
  <si>
    <t>REGLE DE GESTION</t>
  </si>
  <si>
    <t>NATO de la décote</t>
  </si>
  <si>
    <t>A1 4.1</t>
  </si>
  <si>
    <t>Nature du sous-jacent</t>
  </si>
  <si>
    <t>Le champ correspond à la nature du sous-jacent de l'exposition</t>
  </si>
  <si>
    <t>NATO de la provision</t>
  </si>
  <si>
    <t>Famille de sûreté</t>
  </si>
  <si>
    <t>Indicateur Garant / Emetteur / Dépositaire de la sûreté</t>
  </si>
  <si>
    <t>Le champ correspond au type de Garant / Emetteur / Dépositaire de la sûreté</t>
  </si>
  <si>
    <t>A1 3.1</t>
  </si>
  <si>
    <t>A1 3.3</t>
  </si>
  <si>
    <t>A1 2.3</t>
  </si>
  <si>
    <t>A1 4.3</t>
  </si>
  <si>
    <t>A1 7.1</t>
  </si>
  <si>
    <t>A1 7.3</t>
  </si>
  <si>
    <t>A1 8.1</t>
  </si>
  <si>
    <t>A1 8.3</t>
  </si>
  <si>
    <t>A1 99.99</t>
  </si>
  <si>
    <t>A1 4.8</t>
  </si>
  <si>
    <t>A1 4.10</t>
  </si>
  <si>
    <t>Méthodologie Bâloise</t>
  </si>
  <si>
    <t>Le champ permet de préciser si la maturité initiale de l'opération est inférieure ou égale à 3 mois</t>
  </si>
  <si>
    <t>Le champ permet de préciser la maturité résiduelle de l'opération</t>
  </si>
  <si>
    <t>Taux de pondération de l'exposition de titrisation</t>
  </si>
  <si>
    <t>IFT - Assiette réglementaire calculée en local</t>
  </si>
  <si>
    <t>A1 2.5</t>
  </si>
  <si>
    <t xml:space="preserve">Nombre de contreparties </t>
  </si>
  <si>
    <t>Le champ permet de distinguer les opérations intragroupes et hors-groupe classées en NAT06</t>
  </si>
  <si>
    <t>A1 4.13</t>
  </si>
  <si>
    <t>Echelon de qualité de crédit de la Contrepartie/Emetteur</t>
  </si>
  <si>
    <t>A1 2.6</t>
  </si>
  <si>
    <t>A1 2.7</t>
  </si>
  <si>
    <t>Zone libre</t>
  </si>
  <si>
    <t xml:space="preserve">Indicateur de maturité résiduelle </t>
  </si>
  <si>
    <t>A1 4.14</t>
  </si>
  <si>
    <t>Respect des conditions réglementaires</t>
  </si>
  <si>
    <t>Le champ correspond au pays de résidence fiscal du fournisseur de sûreté</t>
  </si>
  <si>
    <t>A1 6.10</t>
  </si>
  <si>
    <t>Méthode de valorisation du bien</t>
  </si>
  <si>
    <t>Le champ permet de préciser si les conditions réglementaires relatives à ces opérations sont respectées</t>
  </si>
  <si>
    <t>Il s'agit du nombre de contreparties constituant l'encours dégradé</t>
  </si>
  <si>
    <t>Durée initiale ≤ 3 mois</t>
  </si>
  <si>
    <t xml:space="preserve">Classification de l'opération dans le portefeuille bancaire (Banking book) ou portefeuille de négociation (Trading book) selon les normes Bâle </t>
  </si>
  <si>
    <t>A1 4.15</t>
  </si>
  <si>
    <t xml:space="preserve">Indicateur de passage en défaut </t>
  </si>
  <si>
    <t>A1 3.5</t>
  </si>
  <si>
    <t>A1 5.6</t>
  </si>
  <si>
    <t>Indicateur Contrepartie/Emetteur - Traitement spécifique</t>
  </si>
  <si>
    <t>A1 6.11</t>
  </si>
  <si>
    <t>A1 5.99</t>
  </si>
  <si>
    <t>Echelon de qualité de crédit du garant</t>
  </si>
  <si>
    <t>A1 6.99</t>
  </si>
  <si>
    <t>A1 4.99</t>
  </si>
  <si>
    <t>A1 3.99</t>
  </si>
  <si>
    <t>A1 2.99</t>
  </si>
  <si>
    <t>Echelon de qualité de crédit du garant / émetteur / dépositaire de la sûreté</t>
  </si>
  <si>
    <t>A1 3.98</t>
  </si>
  <si>
    <t>A1 4.17</t>
  </si>
  <si>
    <t>Bucket IFRS9</t>
  </si>
  <si>
    <t>A1 3.6</t>
  </si>
  <si>
    <t>Ce champ correspond à la valeur résiduelle du bien loué dans le cadre de contrat de crédit-bail</t>
  </si>
  <si>
    <t>Risk taker entity</t>
  </si>
  <si>
    <t>Source application</t>
  </si>
  <si>
    <t>Transmission frequency</t>
  </si>
  <si>
    <t>Date and time of processing</t>
  </si>
  <si>
    <t>Record type</t>
  </si>
  <si>
    <t>Nature of flow (Zone reserved for Group Risk Management Division)</t>
  </si>
  <si>
    <t>Free zone</t>
  </si>
  <si>
    <t>Zone reserved for the Group Risk Management Division</t>
  </si>
  <si>
    <t>Product identifier</t>
  </si>
  <si>
    <t>CAP of exposure</t>
  </si>
  <si>
    <t>Counterparty / Issuer indicator - specific treatment</t>
  </si>
  <si>
    <t>Partner code of the counterparty at-risk</t>
  </si>
  <si>
    <t xml:space="preserve">Issuer/ Counterparty credit quality level </t>
  </si>
  <si>
    <t xml:space="preserve">Number of counterparties </t>
  </si>
  <si>
    <t>Basel methodology</t>
  </si>
  <si>
    <t>NATure of Operation (NATO) for exposure</t>
  </si>
  <si>
    <t>Booking portfolio / Management intent</t>
  </si>
  <si>
    <t>Nature of underlying</t>
  </si>
  <si>
    <t>Products with preferred weighting</t>
  </si>
  <si>
    <t>Remaining maturity indicator</t>
  </si>
  <si>
    <t>Default grade indicator</t>
  </si>
  <si>
    <t>Initial maturity ≤ 3 months</t>
  </si>
  <si>
    <t>Weighting ratio of the security exposure</t>
  </si>
  <si>
    <t xml:space="preserve">Financial instruments - Regulatory exposure calculated locally </t>
  </si>
  <si>
    <t>Partner code of the beneficiary of the commitment by signing</t>
  </si>
  <si>
    <t>Compliance with regulatory conditions</t>
  </si>
  <si>
    <t>Market value of leased asset as of the valuation date</t>
  </si>
  <si>
    <t>Mortgage lending value of the leased real-estate as of the valuation date</t>
  </si>
  <si>
    <t xml:space="preserve">Purchase of leased asset at end of lease </t>
  </si>
  <si>
    <t>Estimated value of leased asset at end of period (residual value)</t>
  </si>
  <si>
    <t>CAP of the mitigant</t>
  </si>
  <si>
    <t>Sovereign – Country of fiscal residence of the guarantor / issuer / depository of the mitigant</t>
  </si>
  <si>
    <t>Indicator of Guarantor / Issuer / Depository of the mitigant</t>
  </si>
  <si>
    <t>Partner code of guarantor / issuer / depository of the mitigant</t>
  </si>
  <si>
    <t>Transaction nature (NATO) of the mitigant</t>
  </si>
  <si>
    <t>Party providing the mitigant</t>
  </si>
  <si>
    <t>Amount of the mitigant received</t>
  </si>
  <si>
    <t>Property valuation method</t>
  </si>
  <si>
    <t>Transaction nature (NATO) of the provision</t>
  </si>
  <si>
    <t>Transaction nature (NATO) of the haircut</t>
  </si>
  <si>
    <t>The field makes it possible to distinguish between inter-company and non-group transactions</t>
  </si>
  <si>
    <t>The field makes it possible to indicate if the initial maturity of the transaction is under or equal to 3 months</t>
  </si>
  <si>
    <t>The field represents the consolidated account code</t>
  </si>
  <si>
    <t>This field makes it possible to indicate the inter-company nature of the mitigant</t>
  </si>
  <si>
    <t>This field represents the residual value of the leased asset under the lease</t>
  </si>
  <si>
    <t>Zone libre (Ex titre déprécié)</t>
  </si>
  <si>
    <t xml:space="preserve">Classification des produits bancaires et financiers </t>
  </si>
  <si>
    <t>A1 3.7</t>
  </si>
  <si>
    <t>Type de produit bancaire</t>
  </si>
  <si>
    <t>A1 4.98</t>
  </si>
  <si>
    <t>Banking Product type</t>
  </si>
  <si>
    <t>A1 3.8</t>
  </si>
  <si>
    <t xml:space="preserve">Represents the accounting consolidation code of the Entity bearing risks in the financial statements of Crédit Agricole S.A. </t>
  </si>
  <si>
    <t>‘M' for monthly</t>
  </si>
  <si>
    <t>(Zone reserved for the Group Risk Management Division)</t>
  </si>
  <si>
    <t>Zone reserved for Crédit Agricole S.A.</t>
  </si>
  <si>
    <t>The field is for the country of fiscal residence of the counterparty / issuer of securities</t>
  </si>
  <si>
    <t xml:space="preserve">The field makes it possible to identify the counterparties / issuer of securities subject to special treatment </t>
  </si>
  <si>
    <t>The field represents the reporting accounting currency of the risk bearing entity</t>
  </si>
  <si>
    <t>Classification of the transaction in the Banking book or Trading book pursuant to Basel standards</t>
  </si>
  <si>
    <t>Classification of products covering the entities's entire balance sheet (assets and liabilities)</t>
  </si>
  <si>
    <t>Credit Conversion Factor (CCF)</t>
  </si>
  <si>
    <t>Free zone (Ex Impaired Security Indicator)</t>
  </si>
  <si>
    <t>The field represents the nature of the exposure underlying</t>
  </si>
  <si>
    <t>The field makes it possible to identify certain commitments (Repos, Equities) enjoying special treatment subject to satisfaction of certain conditions</t>
  </si>
  <si>
    <t>The field makes it possible to indicate if the transaction remaining maturity</t>
  </si>
  <si>
    <t>Used to indicate the classification of exposure in IFRS9</t>
  </si>
  <si>
    <t xml:space="preserve">The field enables to specify if regulatory conditions related to these transactions are compliant </t>
  </si>
  <si>
    <t>The field represents the country of fiscal residence of the party providing the mitigant</t>
  </si>
  <si>
    <t xml:space="preserve">The field makes it possible to identify the guarantor / issuer of securities counterparties subject to a specific treatment </t>
  </si>
  <si>
    <t>The field represents the type of Guarantor / Issuer / Depository of the mitigant</t>
  </si>
  <si>
    <t>The field represents the amount of the guarantee received and eligible under Basel II (where necessary adjusted for maturity mismatches)</t>
  </si>
  <si>
    <t>Represents the Transaction nature (NATO) of the provision</t>
  </si>
  <si>
    <t>Represents the Transaction nature (NATO) of the haircut</t>
  </si>
  <si>
    <t>MANAGEMENT RULE</t>
  </si>
  <si>
    <t>Z9</t>
  </si>
  <si>
    <t>Closing date</t>
  </si>
  <si>
    <t>Z9 1.1</t>
  </si>
  <si>
    <t>Nombre d'enregistrements du fichier</t>
  </si>
  <si>
    <t>Number of records in the file</t>
  </si>
  <si>
    <t>Z9 99.99</t>
  </si>
  <si>
    <t>A1</t>
  </si>
  <si>
    <t>Type of record</t>
  </si>
  <si>
    <t>ENREG</t>
  </si>
  <si>
    <t>Type of record corresponding to Header block</t>
  </si>
  <si>
    <t>A alimenter à "00"</t>
  </si>
  <si>
    <t>Obligatoire</t>
  </si>
  <si>
    <t>Mandatory</t>
  </si>
  <si>
    <t>Identifiant du fichier</t>
  </si>
  <si>
    <t>IDFICHIER</t>
  </si>
  <si>
    <t>Identifiant caractérisant le contenu véhiculé par le fichier et servant à référencer chaque type de fichier échangé dans le Référentiel des Echanges du Groupe afin de favoriser la réutilisation</t>
  </si>
  <si>
    <t>Version technique du fichier</t>
  </si>
  <si>
    <t>VERFICHIER</t>
  </si>
  <si>
    <t>Qualifie les modalités techniques de constitution du fichier (positionnel, XML, …)</t>
  </si>
  <si>
    <t>Characterises the technical modalities for producing the file (positional, XML, etc.)</t>
  </si>
  <si>
    <t>A alimenter à "001"</t>
  </si>
  <si>
    <t>Horodatage</t>
  </si>
  <si>
    <t>Timestamp</t>
  </si>
  <si>
    <t>TIMESTAMP</t>
  </si>
  <si>
    <t>AAAAMMJJTHHMMSS</t>
  </si>
  <si>
    <t>YYYYMMDDTHHMMSS</t>
  </si>
  <si>
    <t>Entité émettrice</t>
  </si>
  <si>
    <t>Issuing entity</t>
  </si>
  <si>
    <t>UOE</t>
  </si>
  <si>
    <t>National identifier of the entity producing the file (for its own account or, in the event of subcontracting, on behalf of the issuing entity)</t>
  </si>
  <si>
    <t>Entité déclarante</t>
  </si>
  <si>
    <t>Reporting entity</t>
  </si>
  <si>
    <t>UOD</t>
  </si>
  <si>
    <t>Application émettrice</t>
  </si>
  <si>
    <t>Issuing application</t>
  </si>
  <si>
    <t>NMAPPU</t>
  </si>
  <si>
    <t>Non alimenté</t>
  </si>
  <si>
    <t>Facultatif</t>
  </si>
  <si>
    <t>Optional</t>
  </si>
  <si>
    <t>Code du flux</t>
  </si>
  <si>
    <t>Flow code</t>
  </si>
  <si>
    <t>CDBLOC</t>
  </si>
  <si>
    <t>Version du flux</t>
  </si>
  <si>
    <t>Flow version</t>
  </si>
  <si>
    <t>VERBLOC</t>
  </si>
  <si>
    <t>Numéro d'envoi du fichier</t>
  </si>
  <si>
    <t>File's dispatch number</t>
  </si>
  <si>
    <t>NUMENV</t>
  </si>
  <si>
    <t>Permet de gérer les réemissions</t>
  </si>
  <si>
    <t>Serves to manage re-issues</t>
  </si>
  <si>
    <t>A alimenter à "00001" et à incrémenter de +1 à chaque réémission</t>
  </si>
  <si>
    <t xml:space="preserve">Type d'arrêté </t>
  </si>
  <si>
    <t xml:space="preserve">Reporting type </t>
  </si>
  <si>
    <t>CRARRETE</t>
  </si>
  <si>
    <t>Périodicité de l'arrêté</t>
  </si>
  <si>
    <t>Reporting frequency</t>
  </si>
  <si>
    <t>Date d'arrêté</t>
  </si>
  <si>
    <t>DTARRETE</t>
  </si>
  <si>
    <t>Date d'arrêté correspondant au contenu du fichier (norme ISO 8601)</t>
  </si>
  <si>
    <t>DATE</t>
  </si>
  <si>
    <t>AAAAMMJJ</t>
  </si>
  <si>
    <t>YYYYMMDD</t>
  </si>
  <si>
    <t>Numéro de séquence du fichier</t>
  </si>
  <si>
    <t>NUMSEQ</t>
  </si>
  <si>
    <t>Application émettrice Finance</t>
  </si>
  <si>
    <t>Issuing Finance application code</t>
  </si>
  <si>
    <t>NMAPPFIN</t>
  </si>
  <si>
    <t>Code de l'application émettrice spécifique à PALMA</t>
  </si>
  <si>
    <t>Issuing application code specific to PALMA</t>
  </si>
  <si>
    <t>Filler</t>
  </si>
  <si>
    <t>FILLER</t>
  </si>
  <si>
    <t>Filler pour évolutions futures</t>
  </si>
  <si>
    <t>Filler for future evolution</t>
  </si>
  <si>
    <t>Type of record corresponding to footer block</t>
  </si>
  <si>
    <t>A alimenter à "99"</t>
  </si>
  <si>
    <t>Nombre d'enregistrements</t>
  </si>
  <si>
    <t>Number of records</t>
  </si>
  <si>
    <t>QCECENRE</t>
  </si>
  <si>
    <t>Total number of records included in the file, including the header and footer</t>
  </si>
  <si>
    <t>To be filled with "00"</t>
  </si>
  <si>
    <t>To be filled with "001"</t>
  </si>
  <si>
    <t>Not filled</t>
  </si>
  <si>
    <t>To be filled with "00001"and incrementing by +1 at each reissue</t>
  </si>
  <si>
    <t>To be filled with "99"</t>
  </si>
  <si>
    <t>Code du flux correspondant aux objets métier véhiculés par le fichier</t>
  </si>
  <si>
    <t>Version du flux correspondant aux objets métier véhiculés par le fichier</t>
  </si>
  <si>
    <t>Flow code corresponding to the business objects reported by the file</t>
  </si>
  <si>
    <t>Version of flow corresponding to the business objects reported by the file</t>
  </si>
  <si>
    <t>File sequence number</t>
  </si>
  <si>
    <t>Permet d'identifier un lot</t>
  </si>
  <si>
    <t>Allows to identify a batch</t>
  </si>
  <si>
    <t>To be filled with a value between "00001" and "99999" depending   of batches defined by entity</t>
  </si>
  <si>
    <t>Modifications</t>
  </si>
  <si>
    <r>
      <t xml:space="preserve">Emetteur </t>
    </r>
    <r>
      <rPr>
        <b/>
        <sz val="11"/>
        <color rgb="FF0070C0"/>
        <rFont val="Calibri"/>
        <family val="2"/>
        <scheme val="minor"/>
      </rPr>
      <t>/ Issuer</t>
    </r>
  </si>
  <si>
    <t>Crédit Agricole SA : Programme Convergence Finances Risques (Crédit Agricole SA/FIG/DOP/CFR)</t>
  </si>
  <si>
    <r>
      <t>Date de diffusion  </t>
    </r>
    <r>
      <rPr>
        <b/>
        <sz val="11"/>
        <color rgb="FF0070C0"/>
        <rFont val="Calibri"/>
        <family val="2"/>
        <scheme val="minor"/>
      </rPr>
      <t xml:space="preserve">/ Publication date </t>
    </r>
  </si>
  <si>
    <r>
      <t xml:space="preserve">Lorsque cette date est renseignée, cela signifie que la notice est publiée dans </t>
    </r>
    <r>
      <rPr>
        <u/>
        <sz val="11"/>
        <rFont val="Calibri"/>
        <family val="2"/>
        <scheme val="minor"/>
      </rPr>
      <t>https://service.ca-mocca.com/maia-collab/CFR/SitePages/Notices.aspx</t>
    </r>
    <r>
      <rPr>
        <sz val="11"/>
        <rFont val="Calibri"/>
        <family val="2"/>
        <scheme val="minor"/>
      </rPr>
      <t xml:space="preserve"> qui reprend l'ensemble des versions publiées.</t>
    </r>
  </si>
  <si>
    <r>
      <t xml:space="preserve">Descriptif de la Mise à jour </t>
    </r>
    <r>
      <rPr>
        <b/>
        <sz val="11"/>
        <color rgb="FF0070C0"/>
        <rFont val="Calibri"/>
        <family val="2"/>
        <scheme val="minor"/>
      </rPr>
      <t xml:space="preserve">/ Modifications </t>
    </r>
  </si>
  <si>
    <r>
      <t xml:space="preserve">Descriptif de la modification / </t>
    </r>
    <r>
      <rPr>
        <sz val="11"/>
        <color rgb="FF0070C0"/>
        <rFont val="Calibri"/>
        <family val="2"/>
        <scheme val="minor"/>
      </rPr>
      <t>Modification description</t>
    </r>
  </si>
  <si>
    <r>
      <t xml:space="preserve">Couleur </t>
    </r>
    <r>
      <rPr>
        <b/>
        <sz val="11"/>
        <color rgb="FF0070C0"/>
        <rFont val="Calibri"/>
        <family val="2"/>
        <scheme val="minor"/>
      </rPr>
      <t>/ Color</t>
    </r>
  </si>
  <si>
    <r>
      <t xml:space="preserve">Date de diffusion / </t>
    </r>
    <r>
      <rPr>
        <b/>
        <sz val="11"/>
        <color rgb="FF0070C0"/>
        <rFont val="Calibri"/>
        <family val="2"/>
        <scheme val="minor"/>
      </rPr>
      <t>Publication date</t>
    </r>
  </si>
  <si>
    <r>
      <t xml:space="preserve">Descriptif de la mise à jour / </t>
    </r>
    <r>
      <rPr>
        <b/>
        <sz val="11"/>
        <color rgb="FF0070C0"/>
        <rFont val="Calibri"/>
        <family val="2"/>
        <scheme val="minor"/>
      </rPr>
      <t>Modifications</t>
    </r>
  </si>
  <si>
    <r>
      <t xml:space="preserve">Couleur / </t>
    </r>
    <r>
      <rPr>
        <b/>
        <sz val="11"/>
        <color rgb="FF0070C0"/>
        <rFont val="Calibri"/>
        <family val="2"/>
        <scheme val="minor"/>
      </rPr>
      <t>Color</t>
    </r>
  </si>
  <si>
    <r>
      <t xml:space="preserve">Langages Communs / </t>
    </r>
    <r>
      <rPr>
        <sz val="11"/>
        <color rgb="FF0070C0"/>
        <rFont val="Calibri"/>
        <family val="2"/>
        <scheme val="minor"/>
      </rPr>
      <t>Common Languages</t>
    </r>
  </si>
  <si>
    <r>
      <t xml:space="preserve">Manuel des Echanges Entités-Zone de Partage et Notices / </t>
    </r>
    <r>
      <rPr>
        <sz val="11"/>
        <color rgb="FF0070C0"/>
        <rFont val="Calibri"/>
        <family val="2"/>
        <scheme val="minor"/>
      </rPr>
      <t>Exchange Manual ZP-entities and Notices</t>
    </r>
  </si>
  <si>
    <r>
      <t xml:space="preserve">CTRL PRESENCE / </t>
    </r>
    <r>
      <rPr>
        <b/>
        <sz val="11"/>
        <color rgb="FF0070C0"/>
        <rFont val="Calibri"/>
        <family val="2"/>
        <scheme val="minor"/>
      </rPr>
      <t>PRESENCE CTRL</t>
    </r>
  </si>
  <si>
    <t>BLOC DE DONNEES</t>
  </si>
  <si>
    <t>DATA BLOCK</t>
  </si>
  <si>
    <r>
      <rPr>
        <b/>
        <sz val="11"/>
        <color theme="0"/>
        <rFont val="Calibri"/>
        <family val="2"/>
        <scheme val="minor"/>
      </rPr>
      <t>REFERENCE DE COLLECTE</t>
    </r>
    <r>
      <rPr>
        <b/>
        <sz val="11"/>
        <rFont val="Calibri"/>
        <family val="2"/>
        <scheme val="minor"/>
      </rPr>
      <t xml:space="preserve"> </t>
    </r>
    <r>
      <rPr>
        <b/>
        <sz val="11"/>
        <color rgb="FF0070C0"/>
        <rFont val="Calibri"/>
        <family val="2"/>
        <scheme val="minor"/>
      </rPr>
      <t>/ COLLECTION REFERENCE</t>
    </r>
  </si>
  <si>
    <t>NOM DE LA DONNEE</t>
  </si>
  <si>
    <t>DATA NAME</t>
  </si>
  <si>
    <t>TERME METIER</t>
  </si>
  <si>
    <t>BUSINESS TERM</t>
  </si>
  <si>
    <r>
      <rPr>
        <b/>
        <sz val="11"/>
        <color theme="0"/>
        <rFont val="Calibri"/>
        <family val="2"/>
        <scheme val="minor"/>
      </rPr>
      <t>CODE TECHNIQUE</t>
    </r>
    <r>
      <rPr>
        <b/>
        <sz val="11"/>
        <rFont val="Calibri"/>
        <family val="2"/>
        <scheme val="minor"/>
      </rPr>
      <t xml:space="preserve"> </t>
    </r>
    <r>
      <rPr>
        <b/>
        <sz val="11"/>
        <color rgb="FF0070C0"/>
        <rFont val="Calibri"/>
        <family val="2"/>
        <scheme val="minor"/>
      </rPr>
      <t>/ TECHNICAL CODE</t>
    </r>
  </si>
  <si>
    <t>EXIGENCE D'ALIMENTATION</t>
  </si>
  <si>
    <t>SUPPLY REQUIREMENT</t>
  </si>
  <si>
    <r>
      <rPr>
        <b/>
        <sz val="11"/>
        <color theme="0"/>
        <rFont val="Calibri"/>
        <family val="2"/>
        <scheme val="minor"/>
      </rPr>
      <t>REFERENCE DE LANGAGE COMMUN</t>
    </r>
    <r>
      <rPr>
        <b/>
        <sz val="11"/>
        <rFont val="Calibri"/>
        <family val="2"/>
        <scheme val="minor"/>
      </rPr>
      <t xml:space="preserve"> </t>
    </r>
    <r>
      <rPr>
        <b/>
        <sz val="11"/>
        <color rgb="FF0070C0"/>
        <rFont val="Calibri"/>
        <family val="2"/>
        <scheme val="minor"/>
      </rPr>
      <t>/</t>
    </r>
    <r>
      <rPr>
        <b/>
        <sz val="11"/>
        <rFont val="Calibri"/>
        <family val="2"/>
        <scheme val="minor"/>
      </rPr>
      <t xml:space="preserve"> </t>
    </r>
    <r>
      <rPr>
        <b/>
        <sz val="11"/>
        <color rgb="FF0070C0"/>
        <rFont val="Calibri"/>
        <family val="2"/>
        <scheme val="minor"/>
      </rPr>
      <t>COMMON LANGUAGE REFERENCE</t>
    </r>
  </si>
  <si>
    <r>
      <rPr>
        <b/>
        <sz val="11"/>
        <color theme="0"/>
        <rFont val="Calibri"/>
        <family val="2"/>
        <scheme val="minor"/>
      </rPr>
      <t>TABLE START</t>
    </r>
    <r>
      <rPr>
        <b/>
        <sz val="11"/>
        <color rgb="FF0070C0"/>
        <rFont val="Calibri"/>
        <family val="2"/>
        <scheme val="minor"/>
      </rPr>
      <t xml:space="preserve"> / START Table</t>
    </r>
  </si>
  <si>
    <r>
      <rPr>
        <b/>
        <sz val="11"/>
        <color theme="0"/>
        <rFont val="Calibri"/>
        <family val="2"/>
        <scheme val="minor"/>
      </rPr>
      <t>FORMAT</t>
    </r>
    <r>
      <rPr>
        <b/>
        <sz val="11"/>
        <rFont val="Calibri"/>
        <family val="2"/>
        <scheme val="minor"/>
      </rPr>
      <t/>
    </r>
  </si>
  <si>
    <t>REGLE DE FORMATAGE</t>
  </si>
  <si>
    <t>FORMATTING RULE</t>
  </si>
  <si>
    <r>
      <rPr>
        <b/>
        <sz val="11"/>
        <color theme="0"/>
        <rFont val="Calibri"/>
        <family val="2"/>
        <scheme val="minor"/>
      </rPr>
      <t>LONGUEUR</t>
    </r>
    <r>
      <rPr>
        <b/>
        <sz val="11"/>
        <rFont val="Calibri"/>
        <family val="2"/>
        <scheme val="minor"/>
      </rPr>
      <t xml:space="preserve"> </t>
    </r>
    <r>
      <rPr>
        <b/>
        <sz val="11"/>
        <color rgb="FF0070C0"/>
        <rFont val="Calibri"/>
        <family val="2"/>
        <scheme val="minor"/>
      </rPr>
      <t>/ LENGTH</t>
    </r>
  </si>
  <si>
    <r>
      <rPr>
        <b/>
        <sz val="11"/>
        <color theme="0"/>
        <rFont val="Calibri"/>
        <family val="2"/>
        <scheme val="minor"/>
      </rPr>
      <t>VERSION DE CREATION</t>
    </r>
    <r>
      <rPr>
        <b/>
        <sz val="11"/>
        <color rgb="FF0070C0"/>
        <rFont val="Calibri"/>
        <family val="2"/>
        <scheme val="minor"/>
      </rPr>
      <t xml:space="preserve"> / FIRST APPEARANCE VERSION</t>
    </r>
  </si>
  <si>
    <r>
      <rPr>
        <b/>
        <sz val="11"/>
        <color theme="0"/>
        <rFont val="Calibri"/>
        <family val="2"/>
        <scheme val="minor"/>
      </rPr>
      <t>VERSION DE DERNIERE APPARITION</t>
    </r>
    <r>
      <rPr>
        <b/>
        <sz val="11"/>
        <rFont val="Calibri"/>
        <family val="2"/>
        <scheme val="minor"/>
      </rPr>
      <t xml:space="preserve"> </t>
    </r>
    <r>
      <rPr>
        <b/>
        <sz val="11"/>
        <color rgb="FF0070C0"/>
        <rFont val="Calibri"/>
        <family val="2"/>
        <scheme val="minor"/>
      </rPr>
      <t>/ LAST APPEARANCE VERSION</t>
    </r>
  </si>
  <si>
    <r>
      <rPr>
        <b/>
        <sz val="11"/>
        <color theme="0"/>
        <rFont val="Calibri"/>
        <family val="2"/>
        <scheme val="minor"/>
      </rPr>
      <t>VERSION DE MODIFICATION</t>
    </r>
    <r>
      <rPr>
        <b/>
        <sz val="11"/>
        <rFont val="Calibri"/>
        <family val="2"/>
        <scheme val="minor"/>
      </rPr>
      <t xml:space="preserve"> </t>
    </r>
    <r>
      <rPr>
        <b/>
        <sz val="11"/>
        <color rgb="FF0070C0"/>
        <rFont val="Calibri"/>
        <family val="2"/>
        <scheme val="minor"/>
      </rPr>
      <t>/ MODIFICATION VERSION</t>
    </r>
  </si>
  <si>
    <r>
      <rPr>
        <b/>
        <sz val="11"/>
        <color theme="0"/>
        <rFont val="Calibri"/>
        <family val="2"/>
        <scheme val="minor"/>
      </rPr>
      <t>USAGE(S) DECLARE(S)</t>
    </r>
    <r>
      <rPr>
        <b/>
        <sz val="11"/>
        <rFont val="Calibri"/>
        <family val="2"/>
        <scheme val="minor"/>
      </rPr>
      <t xml:space="preserve"> </t>
    </r>
    <r>
      <rPr>
        <b/>
        <sz val="11"/>
        <color rgb="FF0070C0"/>
        <rFont val="Calibri"/>
        <family val="2"/>
        <scheme val="minor"/>
      </rPr>
      <t>/ DECLARED USAGE</t>
    </r>
  </si>
  <si>
    <r>
      <rPr>
        <b/>
        <sz val="11"/>
        <color theme="0"/>
        <rFont val="Calibri"/>
        <family val="2"/>
        <scheme val="minor"/>
      </rPr>
      <t xml:space="preserve">DONNEE CRITIQUE POUR </t>
    </r>
    <r>
      <rPr>
        <b/>
        <sz val="11"/>
        <color rgb="FF0070C0"/>
        <rFont val="Calibri"/>
        <family val="2"/>
        <scheme val="minor"/>
      </rPr>
      <t>/ CRITICAL DATA FOR</t>
    </r>
  </si>
  <si>
    <r>
      <rPr>
        <b/>
        <sz val="11"/>
        <color theme="0"/>
        <rFont val="Calibri"/>
        <family val="2"/>
        <scheme val="minor"/>
      </rPr>
      <t>DONNEE A CARACTERE PERSONNEL</t>
    </r>
    <r>
      <rPr>
        <b/>
        <sz val="11"/>
        <rFont val="Calibri"/>
        <family val="2"/>
        <scheme val="minor"/>
      </rPr>
      <t xml:space="preserve"> </t>
    </r>
    <r>
      <rPr>
        <b/>
        <sz val="11"/>
        <color rgb="FF0070C0"/>
        <rFont val="Calibri"/>
        <family val="2"/>
        <scheme val="minor"/>
      </rPr>
      <t>/ PERSONNAL DATA</t>
    </r>
  </si>
  <si>
    <r>
      <rPr>
        <b/>
        <sz val="11"/>
        <color theme="0"/>
        <rFont val="Calibri"/>
        <family val="2"/>
        <scheme val="minor"/>
      </rPr>
      <t>PERIMETRE DE COLLECTE</t>
    </r>
    <r>
      <rPr>
        <b/>
        <sz val="11"/>
        <rFont val="Calibri"/>
        <family val="2"/>
        <scheme val="minor"/>
      </rPr>
      <t xml:space="preserve"> </t>
    </r>
    <r>
      <rPr>
        <b/>
        <sz val="11"/>
        <color rgb="FF0070C0"/>
        <rFont val="Calibri"/>
        <family val="2"/>
        <scheme val="minor"/>
      </rPr>
      <t>/ COLLECTION SCOPE</t>
    </r>
  </si>
  <si>
    <r>
      <rPr>
        <b/>
        <sz val="11"/>
        <color theme="0"/>
        <rFont val="Calibri"/>
        <family val="2"/>
        <scheme val="minor"/>
      </rPr>
      <t>APPLICATION REMETTANTE</t>
    </r>
    <r>
      <rPr>
        <b/>
        <sz val="11"/>
        <rFont val="Calibri"/>
        <family val="2"/>
        <scheme val="minor"/>
      </rPr>
      <t xml:space="preserve"> </t>
    </r>
    <r>
      <rPr>
        <b/>
        <sz val="11"/>
        <color rgb="FF0070C0"/>
        <rFont val="Calibri"/>
        <family val="2"/>
        <scheme val="minor"/>
      </rPr>
      <t>/ REMITTING APPLICATION</t>
    </r>
  </si>
  <si>
    <r>
      <rPr>
        <b/>
        <sz val="11"/>
        <color theme="0"/>
        <rFont val="Calibri"/>
        <family val="2"/>
        <scheme val="minor"/>
      </rPr>
      <t>REFERENCE DE LA DONNEE DANS L'APPLICATION REMETTANTE</t>
    </r>
    <r>
      <rPr>
        <b/>
        <sz val="11"/>
        <rFont val="Calibri"/>
        <family val="2"/>
        <scheme val="minor"/>
      </rPr>
      <t xml:space="preserve"> </t>
    </r>
    <r>
      <rPr>
        <b/>
        <sz val="11"/>
        <color rgb="FF0070C0"/>
        <rFont val="Calibri"/>
        <family val="2"/>
        <scheme val="minor"/>
      </rPr>
      <t>/ DATA REFERENCE IN REMITTING APPLICATION</t>
    </r>
  </si>
  <si>
    <t>PRESENCE CTRL</t>
  </si>
  <si>
    <t>SCORE
CONSEQUENCE</t>
  </si>
  <si>
    <t>Code CTRL ZP</t>
  </si>
  <si>
    <t>CTRL REFERENTIEL</t>
  </si>
  <si>
    <t>REFERENTIEL CTRL</t>
  </si>
  <si>
    <t>CTRL VALEUR</t>
  </si>
  <si>
    <t>VALUE CTRL</t>
  </si>
  <si>
    <t>CTRL INTER-OBJET</t>
  </si>
  <si>
    <t>Classification of the data in one of the blocks structuring the Collection Object.</t>
  </si>
  <si>
    <t>Libellé Métier de la donnée</t>
  </si>
  <si>
    <t>Data business name</t>
  </si>
  <si>
    <t xml:space="preserve">Définition métier de la donnée </t>
  </si>
  <si>
    <t>Business data definition</t>
  </si>
  <si>
    <t>Terme métier parent du glossaire métier auquel se rapporte la donnée</t>
  </si>
  <si>
    <t>Term parent business of the business glossary to which the data relates</t>
  </si>
  <si>
    <t>Structure de présentation des données de type date, montant et taux. 
L'information prend la valeur :
- "NA" en l'absence de règle de formatage.
- "A renseigner" si l'information n'est pas disponible</t>
  </si>
  <si>
    <t>Date, amount and rate data presentation structure.
Information is valued:
- "NA" in the absence of a formatting rule.
- "To be filled" if the information is not available</t>
  </si>
  <si>
    <t>LC.0003</t>
  </si>
  <si>
    <t>01 - Caractéristiques d'identification techniques</t>
  </si>
  <si>
    <t>01 - Technical identification characteristics</t>
  </si>
  <si>
    <t>N</t>
  </si>
  <si>
    <t>02 - Caractéristiques d'identification fonctionnelles</t>
  </si>
  <si>
    <t>02 - Functional identification characteristics</t>
  </si>
  <si>
    <t>16 - Identification Tiers</t>
  </si>
  <si>
    <t>16 - Third party identification</t>
  </si>
  <si>
    <t>03 - Caractéristiques Générales</t>
  </si>
  <si>
    <t>03 - General characteristics</t>
  </si>
  <si>
    <t xml:space="preserve">19 - Données comptables </t>
  </si>
  <si>
    <t>19 - Accounting data</t>
  </si>
  <si>
    <t>19 dont signe et 2 décimales</t>
  </si>
  <si>
    <t>19 including sign and 2 decimals</t>
  </si>
  <si>
    <t>Y</t>
  </si>
  <si>
    <t>A1 H.ENREG</t>
  </si>
  <si>
    <t>A1 H.IDFICHIER</t>
  </si>
  <si>
    <t>A1 H.VERFICHIER</t>
  </si>
  <si>
    <t>A1 H.TIMESTAMP</t>
  </si>
  <si>
    <t>A1 H.UOE</t>
  </si>
  <si>
    <t>A1 H.UOD</t>
  </si>
  <si>
    <t>A1 H.NMAPPU</t>
  </si>
  <si>
    <t>A1 H.CDBLOC</t>
  </si>
  <si>
    <t>A1 H.VERBLOC</t>
  </si>
  <si>
    <t>A1 H.NUMENV</t>
  </si>
  <si>
    <t>A1 H.CRARRETE</t>
  </si>
  <si>
    <t>A1 H.DTARRETE</t>
  </si>
  <si>
    <t>A1 H.NUMSEQ</t>
  </si>
  <si>
    <t>A1 H.NMAPPFIN</t>
  </si>
  <si>
    <t>A1 H.FILLER</t>
  </si>
  <si>
    <t>A1 F.ENREG</t>
  </si>
  <si>
    <t>A1 F.QCECENRE</t>
  </si>
  <si>
    <t>A1 F.FILLER</t>
  </si>
  <si>
    <t>10 dont signe et 5 décimales</t>
  </si>
  <si>
    <t>10 including sign and 5 decimals</t>
  </si>
  <si>
    <t>A1 4.6</t>
  </si>
  <si>
    <t>A1 7.2</t>
  </si>
  <si>
    <t>A1 5.5</t>
  </si>
  <si>
    <t>A1 4.7</t>
  </si>
  <si>
    <t>A1 4.9</t>
  </si>
  <si>
    <t>A1 4.12</t>
  </si>
  <si>
    <t>A1 4.11</t>
  </si>
  <si>
    <t>A1 5.2</t>
  </si>
  <si>
    <t>A1 5.3</t>
  </si>
  <si>
    <t>07 - Caractéristiques Crédit Bail</t>
  </si>
  <si>
    <t>07 - Credit Lease characteristics</t>
  </si>
  <si>
    <t>15 - Caractéristiques Sureté</t>
  </si>
  <si>
    <t>15 - Safety characteristics</t>
  </si>
  <si>
    <t>13 - Caractéristiques Provision</t>
  </si>
  <si>
    <t>13 - Provision characteristics</t>
  </si>
  <si>
    <t xml:space="preserve">08 - Caractéristiques d'arriérés et de restructuration </t>
  </si>
  <si>
    <t>08 - Characteristics of overdues and restructuring</t>
  </si>
  <si>
    <t>18 - Caractéristiques Titrisation</t>
  </si>
  <si>
    <t>18 - Securitization characteristics</t>
  </si>
  <si>
    <t>10 - Caractéristiques Engagements par Signature</t>
  </si>
  <si>
    <t>10 - Funds in use by signature characteristics</t>
  </si>
  <si>
    <t>SttmDt</t>
  </si>
  <si>
    <t>EntPortRisq</t>
  </si>
  <si>
    <t>AppliSource</t>
  </si>
  <si>
    <t>FreqTrans</t>
  </si>
  <si>
    <t>DtHeureTrait</t>
  </si>
  <si>
    <t>TypEnreg</t>
  </si>
  <si>
    <t>NatFlux</t>
  </si>
  <si>
    <t>ZoneResCasa</t>
  </si>
  <si>
    <t>ZoneLibre0</t>
  </si>
  <si>
    <t>ZoneResDRG1</t>
  </si>
  <si>
    <t>IdEng</t>
  </si>
  <si>
    <t>ZoneResDRG2</t>
  </si>
  <si>
    <t>cdCapExpo</t>
  </si>
  <si>
    <t>cdPaysFisc</t>
  </si>
  <si>
    <t>idCtpTraitSpe</t>
  </si>
  <si>
    <t>cdPartCtp</t>
  </si>
  <si>
    <t>cdEchelQualCreCtp</t>
  </si>
  <si>
    <t>cdISIN</t>
  </si>
  <si>
    <t>nbCtp</t>
  </si>
  <si>
    <t>ZoneLibre2</t>
  </si>
  <si>
    <t>cdMetBal</t>
  </si>
  <si>
    <t>cdTraitMot</t>
  </si>
  <si>
    <t>ZoneLibre3_98</t>
  </si>
  <si>
    <t>cdNatOp</t>
  </si>
  <si>
    <t>cdDev</t>
  </si>
  <si>
    <t>cdIntGest</t>
  </si>
  <si>
    <t>cdLm</t>
  </si>
  <si>
    <t>ZoneLibre3</t>
  </si>
  <si>
    <t>cdNatSJ</t>
  </si>
  <si>
    <t>cdProdPondePref</t>
  </si>
  <si>
    <t>indLFD</t>
  </si>
  <si>
    <t>indMatRes</t>
  </si>
  <si>
    <t>cdIndEngDout</t>
  </si>
  <si>
    <t>cdIndPassDef</t>
  </si>
  <si>
    <t>indMatInf3Mois</t>
  </si>
  <si>
    <t>txPondeOrig</t>
  </si>
  <si>
    <t>txCCF</t>
  </si>
  <si>
    <t>noPCCO1</t>
  </si>
  <si>
    <t>mtPCCO1</t>
  </si>
  <si>
    <t>noPCCO2</t>
  </si>
  <si>
    <t>mtPCCO2</t>
  </si>
  <si>
    <t>mtAssieRegl</t>
  </si>
  <si>
    <t>cdPartEPS</t>
  </si>
  <si>
    <t>ZoneLibre4_98</t>
  </si>
  <si>
    <t>cdBcktIFRS9</t>
  </si>
  <si>
    <t>ZoneLibre4</t>
  </si>
  <si>
    <t>cdUsBien</t>
  </si>
  <si>
    <t>indRespectCdtRegle</t>
  </si>
  <si>
    <t>cdDevMtMarLastEval</t>
  </si>
  <si>
    <t>mtHypoLastEval</t>
  </si>
  <si>
    <t>cdAchatFinContrBien</t>
  </si>
  <si>
    <t>mtFinContrBien</t>
  </si>
  <si>
    <t>ZoneLibre5</t>
  </si>
  <si>
    <t>cdCAPSur</t>
  </si>
  <si>
    <t>cdPaysFiscSur</t>
  </si>
  <si>
    <t>idCtpTraitSpeSur</t>
  </si>
  <si>
    <t>cdPartCtpSur</t>
  </si>
  <si>
    <t>cdNatOpSur</t>
  </si>
  <si>
    <t>cdFnrSur</t>
  </si>
  <si>
    <t>cdFamSur</t>
  </si>
  <si>
    <t>noPCCO3</t>
  </si>
  <si>
    <t>mtSur</t>
  </si>
  <si>
    <t>A1 6.9</t>
  </si>
  <si>
    <t>cdMetRev</t>
  </si>
  <si>
    <t>cdEchelQualGar</t>
  </si>
  <si>
    <t>ZoneLibre6</t>
  </si>
  <si>
    <t>noPCCO4</t>
  </si>
  <si>
    <t>mtPCCO4</t>
  </si>
  <si>
    <t>cdNatOpProv</t>
  </si>
  <si>
    <t>noPCCO5</t>
  </si>
  <si>
    <t>mtPCCO5</t>
  </si>
  <si>
    <t>A1 8.2</t>
  </si>
  <si>
    <t>cdNatOptDecote</t>
  </si>
  <si>
    <t>ZoneLibre99</t>
  </si>
  <si>
    <t>TypProdCd</t>
  </si>
  <si>
    <t>CdEntSucc</t>
  </si>
  <si>
    <t>0.1 (Z9)</t>
  </si>
  <si>
    <t>0.2 (Z9)</t>
  </si>
  <si>
    <t>0.3 (Z9)</t>
  </si>
  <si>
    <t>0.4 (Z9)</t>
  </si>
  <si>
    <t>0.5 (Z9)</t>
  </si>
  <si>
    <t>0.6 (Z9)</t>
  </si>
  <si>
    <t>0.99 (Z9)</t>
  </si>
  <si>
    <t>LC.0072</t>
  </si>
  <si>
    <t>Laisser à vide</t>
  </si>
  <si>
    <t>USAGE ZP</t>
  </si>
  <si>
    <t>0.1 (A1)</t>
  </si>
  <si>
    <t>0.2 (A1)</t>
  </si>
  <si>
    <t>0.3 (A1)</t>
  </si>
  <si>
    <t>0.4 (A1)</t>
  </si>
  <si>
    <t>0.5 (A1)</t>
  </si>
  <si>
    <t>0.6 (A1)</t>
  </si>
  <si>
    <t>0.7 (A1)</t>
  </si>
  <si>
    <t>0.8 (A1)</t>
  </si>
  <si>
    <t>0.99 (A1)</t>
  </si>
  <si>
    <t>A1 1.11</t>
  </si>
  <si>
    <t>A1 1.99</t>
  </si>
  <si>
    <t>LC.0084</t>
  </si>
  <si>
    <t>LC.0146</t>
  </si>
  <si>
    <t>Il s'agit du code de consolidation de l'entité partenaire dans le cas d'une opération intragroupe ou à un code générique dans le cas d'une opération hors-groupe
Liste des codes partenaire : 
- '99999' s'il s'agit d'une entité Hors Groupe</t>
  </si>
  <si>
    <t>This is the consolidation code of the partner entity in the case of an inter-company transaction or a generic code in the case of a non-group transaction
List of partner codes: 
- '99999' where it involves a Non-Group entity</t>
  </si>
  <si>
    <t>LC.0068</t>
  </si>
  <si>
    <t>LC.0064</t>
  </si>
  <si>
    <t>LC.0154</t>
  </si>
  <si>
    <t>LC.0005</t>
  </si>
  <si>
    <t>LC.0029</t>
  </si>
  <si>
    <t>LC.0033</t>
  </si>
  <si>
    <t>LC.0303</t>
  </si>
  <si>
    <t>LC.0046</t>
  </si>
  <si>
    <t>LC.0149</t>
  </si>
  <si>
    <t>LC.0179</t>
  </si>
  <si>
    <t>LC.0161</t>
  </si>
  <si>
    <t>LC.0175</t>
  </si>
  <si>
    <t>LC.0180</t>
  </si>
  <si>
    <t>This is a consolidation code of the partner entity in case of intra-group transaction or a generic code in case of extra-group transaction:
- '99999' if extra-group</t>
  </si>
  <si>
    <t>LC.0166</t>
  </si>
  <si>
    <t>LC.0171</t>
  </si>
  <si>
    <t>LC.0155</t>
  </si>
  <si>
    <t xml:space="preserve">- For securities, the CAP represents the issuer of securities deemed to be guarantees 
- For other types of commitments, the CAP represents the party providing the cover </t>
  </si>
  <si>
    <t xml:space="preserve">- Pour les titres, la CAP correspond à l'émetteur des titres considérés comme des sûretés 
- Pour les autres types d'engagement, la CAP correspond au fournisseur de protection </t>
  </si>
  <si>
    <t>Les valeurs autorisées : 
- BCE
- BMD (y compris FEI) pondérées à 0%
- OI pondérées à 0%
- FGAS</t>
  </si>
  <si>
    <t>The permitted values are: 
- ECB
- Multilateral development banks (including the EIF) weighted at 0%
- IOs weighted at 0%
- FGAS</t>
  </si>
  <si>
    <t>Le champ correspond au code de consolidation de l'entité partenaire dans le cas d'une sûreté fournie par une entité du Groupe ou à un code générique dans le cas d'une opération hors-groupe
Liste des codes partenaire : 
- '99999' s'il s'agit d'une entité Hors Groupe</t>
  </si>
  <si>
    <t>The field represents the consolidation code of the partner entity in the case of a guarantee provided by a Group entity or a generic code in the case of a non-group transaction
List of partner codes: 
- '99999' where it involves a Non-Group entity</t>
  </si>
  <si>
    <t>Elle correspond à une NAT8…
Cette information est nécessaire aux restitutions COREP</t>
  </si>
  <si>
    <t>It represents a NAT8…
This information is necessary for COREP reporting</t>
  </si>
  <si>
    <t>LC.0147</t>
  </si>
  <si>
    <t>LC.0150</t>
  </si>
  <si>
    <t>Cette information est nécessaire aux restitutions COREP</t>
  </si>
  <si>
    <t>This information is necessary for COREP reporting</t>
  </si>
  <si>
    <t>LC.0057</t>
  </si>
  <si>
    <t>LC.0178</t>
  </si>
  <si>
    <t>LC.0257</t>
  </si>
  <si>
    <t>TA KVCPPREF</t>
  </si>
  <si>
    <t>TA KVPPREF</t>
  </si>
  <si>
    <t>L'identifiant renseigné doit être unique au sein de l'entité porteuse de risque</t>
  </si>
  <si>
    <t>The identifier provided must be unique within the entity carrying the risk</t>
  </si>
  <si>
    <t>TU0001</t>
  </si>
  <si>
    <t>LC.0111</t>
  </si>
  <si>
    <t>TA KVAPPBK</t>
  </si>
  <si>
    <t>La donnée doit commencer par 'A' ou 'ACORE'</t>
  </si>
  <si>
    <t>Data must be start with 'A' or 'ACORE'</t>
  </si>
  <si>
    <t>Si renseignée, alors la donnée doit être égale à 'Y' ou 'N'</t>
  </si>
  <si>
    <t>If is filled, then data must be equal to 'Y' or 'N'</t>
  </si>
  <si>
    <t>Si renseignée, alors la donnée doit être égale à '1' ou '2'</t>
  </si>
  <si>
    <t>If is filled, then data must be equal to '1' or '2'</t>
  </si>
  <si>
    <t>CTRL COHERENCE</t>
  </si>
  <si>
    <t>TC0C11</t>
  </si>
  <si>
    <t>Si la combinaison de donnée n'est pas trouvée dans la matrice des règles de gestion C11, le contrôle doit se lever</t>
  </si>
  <si>
    <t>If the data combinaison is not found in the C11 business rules matrix, the control must trigger</t>
  </si>
  <si>
    <t>CONSISTENCY CTRL</t>
  </si>
  <si>
    <t>Score
Consequence</t>
  </si>
  <si>
    <t>Description du contrôle</t>
  </si>
  <si>
    <t>Périmètre</t>
  </si>
  <si>
    <t>*</t>
  </si>
  <si>
    <t>NAT81, NAT82, NAT83, NAT84, NAT85</t>
  </si>
  <si>
    <t>Contrôle TC0C16 : Cohérence Crédit-bail</t>
  </si>
  <si>
    <t>Le contrôle consiste à s’assurer que la saisie de certains champs a bien été effectuée pour les expositions
du portefeuille CREDIT BAIL</t>
  </si>
  <si>
    <t>Contrôle TC0C26 : Cohérence NATO/Engagement douteux en STD</t>
  </si>
  <si>
    <t>Le contrôle consiste à vérifier que la NATure d’Opération dans laquelle l’encours a été classé est cohérente
avec le caractère douteux/non douteux de l’encours traité en méthode Standard STD</t>
  </si>
  <si>
    <t>NA011, NA021, NA101</t>
  </si>
  <si>
    <t>NA012, NA022, NA102</t>
  </si>
  <si>
    <r>
      <t xml:space="preserve">CTRL COHERENCE (cf. onglet dédié) / </t>
    </r>
    <r>
      <rPr>
        <b/>
        <sz val="11"/>
        <color rgb="FF0070C0"/>
        <rFont val="Calibri"/>
        <family val="2"/>
        <scheme val="minor"/>
      </rPr>
      <t>CONSISTENCY CTRL (cf. dedicated tab)</t>
    </r>
  </si>
  <si>
    <t>Correspond au code consolidation comptable de l'Entité porteuse de risque dans les comptes de Crédit Agricole S.A.</t>
  </si>
  <si>
    <r>
      <t>Ce champ correspond à la valeur comptable (tout ou partie du solde) du PCCO2</t>
    </r>
    <r>
      <rPr>
        <u/>
        <sz val="10"/>
        <rFont val="Arial"/>
        <family val="2"/>
      </rPr>
      <t/>
    </r>
  </si>
  <si>
    <t>Contrôles de cohérence</t>
  </si>
  <si>
    <t>Consistency controls</t>
  </si>
  <si>
    <r>
      <rPr>
        <b/>
        <sz val="12"/>
        <rFont val="Calibri"/>
        <family val="2"/>
        <scheme val="minor"/>
      </rPr>
      <t>Principe :</t>
    </r>
    <r>
      <rPr>
        <sz val="11"/>
        <rFont val="Calibri"/>
        <family val="2"/>
        <scheme val="minor"/>
      </rPr>
      <t xml:space="preserve">
Ces contrôles consistent à vérifier que la valeur portée par une donnée pivot est cohérente avec des données associées.
Un contrôle de cohérence peut porter sur :
· Une ou plusieurs données d’un même objet de collecte
· Plusieurs données de plusieurs objets de collecte</t>
    </r>
  </si>
  <si>
    <r>
      <rPr>
        <b/>
        <sz val="12"/>
        <rFont val="Calibri"/>
        <family val="2"/>
        <scheme val="minor"/>
      </rPr>
      <t>Principle:</t>
    </r>
    <r>
      <rPr>
        <sz val="11"/>
        <rFont val="Calibri"/>
        <family val="2"/>
        <scheme val="minor"/>
      </rPr>
      <t xml:space="preserve">
These controls are to ensure that the value of a pivot data is consistent with associated data.
A consistency check may cover:
・ One or more data from the same data collection object
・ Several data from several data collection objects</t>
    </r>
  </si>
  <si>
    <t>Légende :</t>
  </si>
  <si>
    <t>Legend:</t>
  </si>
  <si>
    <t xml:space="preserve">* : Quelle que soit la valeur </t>
  </si>
  <si>
    <t xml:space="preserve">* Whatever the value </t>
  </si>
  <si>
    <t>Donnée pivot</t>
  </si>
  <si>
    <t>Pivot data</t>
  </si>
  <si>
    <t>Donnée complémentaire</t>
  </si>
  <si>
    <t>Additional data</t>
  </si>
  <si>
    <t>Description of control</t>
  </si>
  <si>
    <t>Scope</t>
  </si>
  <si>
    <t>≠ 0</t>
  </si>
  <si>
    <t>Business object</t>
  </si>
  <si>
    <t>Control TC0C16 : Credit-lease consistency</t>
  </si>
  <si>
    <t>The control consists in ensuring that certain fields have been entered for exposures
of the CREDIT BAIL portfolio</t>
  </si>
  <si>
    <t>≠ 1 et ≠ 2</t>
  </si>
  <si>
    <t>Control TC0C26 : NATO/doubtful Funds in use consistency in STD</t>
  </si>
  <si>
    <t>The control consists in checking that the NATure of the operation in which the  outstanding has been classified is consistent
with the doubtful/undoubted nature of the  outstanding treated in the STD standard method</t>
  </si>
  <si>
    <t>Montant du PCCO 1</t>
  </si>
  <si>
    <t>Montant du PCCO 2</t>
  </si>
  <si>
    <t>Montant du PCCO 4</t>
  </si>
  <si>
    <t>Montant du PCCO 5</t>
  </si>
  <si>
    <t>Amount of PCCO 1</t>
  </si>
  <si>
    <t>Amount of PCCO 2</t>
  </si>
  <si>
    <t>Amount of PCCO 4</t>
  </si>
  <si>
    <t>Amount of PCCO 5</t>
  </si>
  <si>
    <t>Numéro du PCCO3 de la sûreté reçue</t>
  </si>
  <si>
    <t>Number of PCCO3 of the received mitigant</t>
  </si>
  <si>
    <t>Numéro du PCCO4</t>
  </si>
  <si>
    <t>Number of PCCO4</t>
  </si>
  <si>
    <t>Numéro du PCCO5</t>
  </si>
  <si>
    <t>Number of PCCO5</t>
  </si>
  <si>
    <t>This field represents the accounting value (all or part of the balance) of PCCO2</t>
  </si>
  <si>
    <t>This field represents the accounting value (all or part of the balance) of PCCO4
This field represents the accounting value of the impairment (special provision)</t>
  </si>
  <si>
    <t>This field represents the accounting value (all or part of the balance) of PCCO5
This field represents the accounting value of the impairment (haircut)</t>
  </si>
  <si>
    <t>LC.0056</t>
  </si>
  <si>
    <t>TA KVFREQU</t>
  </si>
  <si>
    <r>
      <t xml:space="preserve">OBJET DE COLLECTE </t>
    </r>
    <r>
      <rPr>
        <b/>
        <sz val="11"/>
        <color rgb="FF0070C0"/>
        <rFont val="Calibri"/>
        <family val="2"/>
        <scheme val="minor"/>
      </rPr>
      <t>/ COLLECTION OBJECT</t>
    </r>
  </si>
  <si>
    <r>
      <t xml:space="preserve">Famille de flux et Objet de Collecte véhiculant la donnée / </t>
    </r>
    <r>
      <rPr>
        <i/>
        <sz val="11"/>
        <color rgb="FF0070C0"/>
        <rFont val="Calibri"/>
        <family val="2"/>
        <scheme val="minor"/>
      </rPr>
      <t>Flow family and data collection object</t>
    </r>
  </si>
  <si>
    <r>
      <t xml:space="preserve">Numéro séquentiel correspondant au numéro d'ordre de la donnée dans le fichier physique. 
Invariant dans le temps (toute nouvelle donnée sera ajoutée en fin de fichier) / </t>
    </r>
    <r>
      <rPr>
        <i/>
        <sz val="11"/>
        <color rgb="FF0070C0"/>
        <rFont val="Calibri"/>
        <family val="2"/>
        <scheme val="minor"/>
      </rPr>
      <t>Sequential number corresponding to the order number of the data in the physical file.
Invariant in time (any new data will be added at the end of the file)</t>
    </r>
  </si>
  <si>
    <t>Classification de la donnée dans un des blocs structurant l'Objet de Collecte</t>
  </si>
  <si>
    <r>
      <t xml:space="preserve">Référence de la donnée collectée via l'Objet de Collecte. Attribut communément appelé 'Etiquette' / </t>
    </r>
    <r>
      <rPr>
        <i/>
        <sz val="11"/>
        <color rgb="FF0070C0"/>
        <rFont val="Calibri"/>
        <family val="2"/>
        <scheme val="minor"/>
      </rPr>
      <t>Reference of the data collected via the Collection Object. Attribute commonly referred to as 'Label'</t>
    </r>
  </si>
  <si>
    <r>
      <t xml:space="preserve">Nom technique de la donnée / </t>
    </r>
    <r>
      <rPr>
        <i/>
        <sz val="11"/>
        <color rgb="FF0070C0"/>
        <rFont val="Calibri"/>
        <family val="2"/>
        <scheme val="minor"/>
      </rPr>
      <t>Technical name of the data</t>
    </r>
  </si>
  <si>
    <t xml:space="preserve">Requirement to have the data on the defined Collection perimeter.
Information is valued:
- Mandatory if data is required
- Mandatory If the data is required under conditions defined in the Management Rule
- Optional if data is not required
- NA if the data has become obsolete and is no longer collected on the Collection domain
- To be filled if the information is not yet available
</t>
  </si>
  <si>
    <r>
      <t>Référence du Langage Commun structurant le format autorisé et la nomenclature autorisée. 
L'information prend la valeur : 
- LC.NNNN si la donnée s'adosse au LC.NNNN
- LC à référencer si la donnée s'adosse à un LC en cours de référencement
- NA si la donnée ne s'adosse à aucun LC 
/</t>
    </r>
    <r>
      <rPr>
        <i/>
        <sz val="11"/>
        <color rgb="FF0070C0"/>
        <rFont val="Calibri"/>
        <family val="2"/>
        <scheme val="minor"/>
      </rPr>
      <t>A reference to the Common Language structuring the allowed format and the allowed nomenclature.
Information is valued:
- LC.NNNN if the data is based on LC.NNNN
- LC to be referenced if the data is against an LC being referenced
- NA if the data does not support any LC.</t>
    </r>
  </si>
  <si>
    <r>
      <t>Table(s)/Rubrique(s) Start porteuse(s) de la nomenclature du Langage Commun lorsque celui ci est référencé. Il peut être multiple. 
L'information prend la valeur : 
- TA XXXXX si la donnée s'adosse à la table TA XXXXX
- RB XXXXX si la donnée s'adosse à la rubrique RB XXXXX
- NA si la donnée ne s'adosse à aucun référentiel Start 
/</t>
    </r>
    <r>
      <rPr>
        <i/>
        <sz val="11"/>
        <color rgb="FF0070C0"/>
        <rFont val="Calibri"/>
        <family val="2"/>
        <scheme val="minor"/>
      </rPr>
      <t>Table(s)/Topic(s) Start carrying the nomenclature of the Common Language when it is referenced. It can be multiple.
Information is valued:
- TA XXXXX if the data is based on the table TA XXXXX
- RB XXXXX if the data is based on RB XXXXX
- NA if the data does not support any Start referential</t>
    </r>
  </si>
  <si>
    <r>
      <t xml:space="preserve">Format de la donnée. 
L'information prend la valeur :
- DATE
- ALPHA
- NUM
- A renseigner si l'information n'est pas encore disponible 
</t>
    </r>
    <r>
      <rPr>
        <i/>
        <sz val="11"/>
        <color rgb="FF0070C0"/>
        <rFont val="Calibri"/>
        <family val="2"/>
        <scheme val="minor"/>
      </rPr>
      <t>Data format.
Information is valued:
- DATE
- ALPHA
- NUM
- To be filled if the information is not yet available</t>
    </r>
  </si>
  <si>
    <r>
      <t xml:space="preserve">Longueur de la donnée 
La valeur 8 est attendue sur les formats DATE/
</t>
    </r>
    <r>
      <rPr>
        <i/>
        <sz val="11"/>
        <color rgb="FF0070C0"/>
        <rFont val="Calibri"/>
        <family val="2"/>
        <scheme val="minor"/>
      </rPr>
      <t>Data length
Value 8 is expected on DATE formats</t>
    </r>
  </si>
  <si>
    <r>
      <t xml:space="preserve">Version de la notice dans laquelle la donnée apparaît pour la dernière fois. 
L'information prend la valeur:
- De la donnée Verbloc figurant dans l'en-tête de la notice quand la donnée est devenue obsolète
- NA quand la donnée est toujours collectée/ 
</t>
    </r>
    <r>
      <rPr>
        <i/>
        <sz val="11"/>
        <color rgb="FF0070C0"/>
        <rFont val="Calibri"/>
        <family val="2"/>
        <scheme val="minor"/>
      </rPr>
      <t>The version of the notice in which the data last appears.
Information takes value:
- Verbloc data in the header of the record when the data has become obsolete
- NA when data is still collected</t>
    </r>
  </si>
  <si>
    <r>
      <t xml:space="preserve">Dernière version de publication de la notice présentant la MAJ de la donnée / 
</t>
    </r>
    <r>
      <rPr>
        <i/>
        <sz val="11"/>
        <color rgb="FF0070C0"/>
        <rFont val="Calibri"/>
        <family val="2"/>
        <scheme val="minor"/>
      </rPr>
      <t>Latest publication version of the notice where the data was updated</t>
    </r>
  </si>
  <si>
    <r>
      <t xml:space="preserve">Liste des usages signalant que la donnée est indispensable pour leur fonctionnement.
Le processus de production de reporting de ce(s) usage(s) est compromis par l'absence de cette donnée ou par sa non qualité.
L'information prend la valeur : 
- Usage1, Usage2, Usage3, ..., UsageN si plusieurs usages ont déclaré la donnée critique
- NA en l'absence de criticité de la donnée quel que soit l'usage 
- A renseigner si l'information n'est pas encore disponible/
</t>
    </r>
    <r>
      <rPr>
        <i/>
        <sz val="11"/>
        <color rgb="FF0070C0"/>
        <rFont val="Calibri"/>
        <family val="2"/>
        <scheme val="minor"/>
      </rPr>
      <t>List of uses indicating that the data is essential for their operation.
The reporting production process of this use(s) is compromised by the absence of this data or by its non-quality.
Information is valued:
- Usage1, Usage2, Usage3, ..., UsageN if several uses have declared critical data
- NA in the absence of criticality of the data whatever the use
- To be filled if the information is not yet available</t>
    </r>
  </si>
  <si>
    <r>
      <t xml:space="preserve">Information concernant les données du P1, M1 et flux passifs seulement. 
Le périmètre de Collecte précise le domaine fonctionnel auquel se rapporte la Collecte de la donnée. La nature du domaine fonctionnel varie suivant les objets de collecte.
L'information peut être de nature:
- Type de risque
- Nature juridique de la sûreté 
- NA dans les autres cas/
</t>
    </r>
    <r>
      <rPr>
        <i/>
        <sz val="11"/>
        <color rgb="FF0070C0"/>
        <rFont val="Calibri"/>
        <family val="2"/>
        <scheme val="minor"/>
      </rPr>
      <t xml:space="preserve">Information on P1, M1 and liability flow data only.
The Collection scope specifies the functional area to which the Data Collection relates. The nature of the functional area varies according to the collection objects.
The information may be of a nature:
- Risk type
- Legal nature of security interest
- NA in other cases
</t>
    </r>
  </si>
  <si>
    <r>
      <t xml:space="preserve">Application en central qui met la donnée à disposition / </t>
    </r>
    <r>
      <rPr>
        <i/>
        <sz val="11"/>
        <color rgb="FF0070C0"/>
        <rFont val="Calibri"/>
        <family val="2"/>
        <scheme val="minor"/>
      </rPr>
      <t>Central application that makes data available</t>
    </r>
  </si>
  <si>
    <r>
      <t xml:space="preserve">Référence de la donnée en provenance de l'application remettante / </t>
    </r>
    <r>
      <rPr>
        <i/>
        <sz val="11"/>
        <color rgb="FF0070C0"/>
        <rFont val="Calibri"/>
        <family val="2"/>
        <scheme val="minor"/>
      </rPr>
      <t>Reference of data from remitting application</t>
    </r>
  </si>
  <si>
    <t>CTRL PRESENCE</t>
  </si>
  <si>
    <t>CTRL INTRA-OBJET</t>
  </si>
  <si>
    <t>INTRA-OBJECT CTRL</t>
  </si>
  <si>
    <t>INTER-OBJECT CTRL</t>
  </si>
  <si>
    <r>
      <t xml:space="preserve">CTRL INTER-OBJET / </t>
    </r>
    <r>
      <rPr>
        <b/>
        <sz val="11"/>
        <color rgb="FF0070C0"/>
        <rFont val="Calibri"/>
        <family val="2"/>
        <scheme val="minor"/>
      </rPr>
      <t>INTER-OBJECT CTRL</t>
    </r>
  </si>
  <si>
    <t>La donnée est obligatoire</t>
  </si>
  <si>
    <t>The data is mandatory</t>
  </si>
  <si>
    <t>The data is mandatory if Entity Id [0.2 (A1)] = '00018'</t>
  </si>
  <si>
    <t>La donnée doit correspondre à la donnée [A1 3.1] liée dans Table H8NATOPE (H8IRB, H8STD, H8IRBF)
---
La donnée doit correspondre à la donnée [A1 2.1] liée dans Table H8CAPNAT (H8CAP)</t>
  </si>
  <si>
    <t>A renseigner uniquement sous conditions pour les Repos, P/E de titres</t>
  </si>
  <si>
    <t>To only be filled in under certain circumstances for Repos, Lending / Borrowing of securities</t>
  </si>
  <si>
    <t>Réservé au Crédit-Bail immobilier</t>
  </si>
  <si>
    <t>Reserved for Real-estate leasing</t>
  </si>
  <si>
    <t>Réservé au Crédit-Bail immobilier professionnel</t>
  </si>
  <si>
    <t>Reserved for Commercial real-estate leasing</t>
  </si>
  <si>
    <t>Réservé au Crédit-Bail</t>
  </si>
  <si>
    <t>Reserved for Leasing</t>
  </si>
  <si>
    <t>Remarque : la valeur estimée en fin de période est enregistrée dans le même PCCO que les loyers à recevoir, il faut donc la soustraire du solde du PCCO 
Réservé au Crédit-Bail</t>
  </si>
  <si>
    <t>Note: the estimated value at the end of the period is input in the same PCCO as lease payments receivable, so the balance of the PCCO must be deducted 
Reserved for Leasing</t>
  </si>
  <si>
    <t>Pour les garanties reçues (NAT08), ce numéro correspond à un PCCO du hors-bilan</t>
  </si>
  <si>
    <t>For guarantees received (NAT08), this number represents an off-balance sheet PCCO</t>
  </si>
  <si>
    <t>00 - En-tête du flux</t>
  </si>
  <si>
    <t>00 - File header</t>
  </si>
  <si>
    <t>99 - En-queue du flux</t>
  </si>
  <si>
    <t>99 - File footer</t>
  </si>
  <si>
    <t xml:space="preserve">The data is mandatory if CAP of the mitigant [A1 6.1] is filled </t>
  </si>
  <si>
    <t>Numéro du PCCO 1</t>
  </si>
  <si>
    <t>Numéro du PCCO 2</t>
  </si>
  <si>
    <t>Number of PCCO 1</t>
  </si>
  <si>
    <t>Number of PCCO 2</t>
  </si>
  <si>
    <t>Ce champ correspond à la valeur comptable (tout ou partie du solde) du PCCO5
Ce champ correspond à la valeur comptable de la dépréciation (décote)</t>
  </si>
  <si>
    <t>Ce champ correspond à la valeur comptable (tout ou partie du solde) du PCCO4
Ce champ correspond à la valeur comptable de la dépréciation (provision spécifique)</t>
  </si>
  <si>
    <t>Indicateur LFD (Libellé et financé dans la devise de l'emprunteur)</t>
  </si>
  <si>
    <t>LFD Indicator (Denominated and financed in the borrower's currency)</t>
  </si>
  <si>
    <t>The field represents the Asset class for weighting purposes of the outstanding amount (counterparty, issuer of securities or other)</t>
  </si>
  <si>
    <t>Le champ correspond à la Classe d'Actif de Pondération du garant / émetteur / dépositaire de la sûreté</t>
  </si>
  <si>
    <t>The field represents the Asset class for weighting purposes (CAP) of the guarantor / issuer / depository of the mitigant</t>
  </si>
  <si>
    <t>AAAAMMJJHHMM</t>
  </si>
  <si>
    <t>Pour un lot déterminé, la valeur de la donnée doit être unique</t>
  </si>
  <si>
    <t>Rule: for a given batch, the data value is unique</t>
  </si>
  <si>
    <t>A renseigner uniquement pour les opérations de hors-bilan
Le champ correspond au facteur de conversion des opérations de hors-bilan (engagement de financement et de garantie,…)
Si inconnu laisser le champ vide</t>
  </si>
  <si>
    <t>To only be filled in for off-balance sheet transactions
The field represents the conversion factor for off-balance sheet transactions (financing and guarantee commitment,…)
If unknown leave empty</t>
  </si>
  <si>
    <t>Ce champ correspond à l'équivalent risque de crédit (ERC) des IFT</t>
  </si>
  <si>
    <t>This field represent the credit risk equivalent of Forward Financial Instruments</t>
  </si>
  <si>
    <t>Makes it possible to identify the flow in the treatments</t>
  </si>
  <si>
    <t>Permet d'identifier le flux dans les traitements</t>
  </si>
  <si>
    <t>Correspond à la date et heure du début du traitement ayant produit le flux</t>
  </si>
  <si>
    <t>Identifiant unique dans le système local utilisé pour générer le flux</t>
  </si>
  <si>
    <t>Unique ID in the local system used to generate the flow</t>
  </si>
  <si>
    <t>TA H8NATOPE</t>
  </si>
  <si>
    <t>Indicateur signalant que la donnée est à caractère personnel. Une donnée à caractère personnel au sens RGPD est une information se rapportant à une personne physique identifiée ou identifiable. Elle peut permettre d'identifier une personne physique directement (exemple : nom et prénom) ou indirectement (exemple : par un numéro de téléphone ou de plaque d'immatriculation, un identifiant tel que le numéro de sécurité sociale, une adresse postale ou courriel).
L'information prend la valeur : 
- Y si la donnée est une donnée à caractère personnel
- N dans le cas contraire
- A renseigner si l'information n'est pas encore disponible/
Indicator indicating that the data is personal. Personal data in the sense of GDPR is information relating to an identified or identifiable natural person. It can identify a natural person directly (example: first and last names) or indirectly (example: by a telephone or license plate number, an identifier such as a social security number, a postal or email address).
Information is valued:
- Y if the data is personal data
- N otherwise
- To be filled if the information is not yet available</t>
  </si>
  <si>
    <t>Type d'enregistrement correspondant au bloc En-tête</t>
  </si>
  <si>
    <t>File's identifier</t>
  </si>
  <si>
    <t>Identifier characterising the content reported by the file and serving to reference each type of file exchanged in the Group's Exchange Referential to facilitate re-use</t>
  </si>
  <si>
    <t>File's technical version</t>
  </si>
  <si>
    <t>Date et heure de production du fichier (norme ISO 8601 : séparateur normalisé « T » entre la date et l'heure)</t>
  </si>
  <si>
    <t>Date and time of the file's production (ISO 8601 standard: normalised separator “T” between the date and time)</t>
  </si>
  <si>
    <t>Identifiant national de l'entité produisant le fichier (pour son propre compte ou en cas de sous-traitance pour le compte de l'entité déclarante)</t>
  </si>
  <si>
    <t>Identifiant national de l'entité à laquelle se rapporte le contenu du fichier (entité porteuse du risque)</t>
  </si>
  <si>
    <t>National identifier of the entity to which the file's content relates (entity carrying the risk)</t>
  </si>
  <si>
    <t>Code ou nom de l'application ou du job utilisés pour produire le fichier dans le SI de l'entité</t>
  </si>
  <si>
    <t>Code or name of the application or job used to produce the file in the entity's IT system</t>
  </si>
  <si>
    <t>Closing date corresponding to the file's content (ISO 8601 standard)</t>
  </si>
  <si>
    <t>Le champ correspond à la Classe d'Actif de Pondération de l'encours (contrepartie, émetteur des titres ou autres)</t>
  </si>
  <si>
    <t>Le champ correspond au pays de résidence fiscal de la contrepartie / de l'émetteur des titres</t>
  </si>
  <si>
    <t xml:space="preserve">Le champ permet d'identifier les contreparties/émetteur de titres ayant un traitement spécifique </t>
  </si>
  <si>
    <t>Nombre de contreparties constituant l'encours dégradé</t>
  </si>
  <si>
    <t>Code entité de la succursale à l'origine de l'opération</t>
  </si>
  <si>
    <t>Le champ permet d'identifier certains engagements (Repos,...) bénéficiant d'un traitement spécifique sous réserve du respect de certaines conditions</t>
  </si>
  <si>
    <t>Le champ permet de préciser si la créance est libellée et financée dans la devise de l'emprunteur</t>
  </si>
  <si>
    <t>The field makes it possible to indicate if the claim is denominated and financed in the borrower's currency</t>
  </si>
  <si>
    <t>The data is mandatory if CAP of exposure [A1 2.1] = (‘12','13','23', ‘24', ‘25', ‘26', ‘40', ‘41', ‘42')</t>
  </si>
  <si>
    <t xml:space="preserve">Code partenaire du bénéficiaire de l'engagement par signature </t>
  </si>
  <si>
    <t xml:space="preserve">Permet d'indiquer le classement de l'encours en norme IFRS9 </t>
  </si>
  <si>
    <t>Valeur de marché du bien loué à la date d'évaluation</t>
  </si>
  <si>
    <t>Valeur hypothécaire du bien immobilier loué à la date d'évaluation</t>
  </si>
  <si>
    <t xml:space="preserve">Le champ permet d'identifier les contreparties garant/émetteur de titres ayant un traitement spécifique </t>
  </si>
  <si>
    <t>Le champ correspond au montant de la sûreté reçue et éligible Bâle II (éventuellement ajusté des asymétries d'échéances)</t>
  </si>
  <si>
    <t>Type d'enregistrement correspondant au bloc En-queue</t>
  </si>
  <si>
    <t>Nombre total d'enregistrements du fichier y compris l'en-tête et l'en-queue</t>
  </si>
  <si>
    <t xml:space="preserve">Exigence de présence de la donnée sur le périmètre de Collecte défini. 
L'information prend la valeur : 
- Obligatoire si la donnée est exigée
- Obligatoire Si si la donnée est exigée dans des conditions définies dans la Règle de Gestion
- Facultatif si la donnée n'est pas exigée
- NA si la donnée est devenue obsolète et n'est plus collectée sur le domaine de Collecte 
- A renseigner si l'information n'est pas encore disponible </t>
  </si>
  <si>
    <t>Version de la notice dans laquelle la donnée est apparue. 
L'information prend la valeur:
- De la donnée Verbloc figurant dans l'en-tête de la notice
- A renseigner si l'information n'est pas encore disponible./
The version of the notice in which the data appeared.
Information takes value:
- Verbloc data in the header of the notice
- To be filled if the information is not yet available.</t>
  </si>
  <si>
    <t>Liste des usages industriels déclarant exploiter la donnée.
L'information prend la valeur : 
- Usage1, Usage2, Usage3, ..., UsageN si plusieurs usages sont déclarés
- NA en l'absence d'usage déclaré
- A renseigner si l'information n'est pas encore disponible 
/List of industrial uses declaring to exploit the data.
Information is valued:
- Use1, Use2, Use3, ..., UseN if more than one use is declared
- NA in the absence of declared use
- To be filled if the information is not yet available</t>
  </si>
  <si>
    <t>TA FI59
RB NM281</t>
  </si>
  <si>
    <t>TA H8CAP</t>
  </si>
  <si>
    <t>État - pays de résidence fiscal</t>
  </si>
  <si>
    <t>Sovereign - country of fiscal residence</t>
  </si>
  <si>
    <t>TA KVECHLON</t>
  </si>
  <si>
    <t>Number of counterparties which forms the degraded outstanding</t>
  </si>
  <si>
    <t xml:space="preserve">TA KVBAL22 </t>
  </si>
  <si>
    <t>TA KVTBALE</t>
  </si>
  <si>
    <t xml:space="preserve">TA H8NATOPE
</t>
  </si>
  <si>
    <t>Data must match with data [A1 3.1] linked in H8NATOPE table (H8IRB, H8STD, H8IRBF)
---
Data must match with data [A1 2.1] linked in table H8CAPNAT (H8CAP)</t>
  </si>
  <si>
    <t>TA NM253</t>
  </si>
  <si>
    <t>TA KVINTENT</t>
  </si>
  <si>
    <t>TA KVMETIER</t>
  </si>
  <si>
    <t xml:space="preserve">TA Z8PRODUI </t>
  </si>
  <si>
    <t>TA KVNSJACE</t>
  </si>
  <si>
    <t>TA KVILFD</t>
  </si>
  <si>
    <t>TA KVMATRES</t>
  </si>
  <si>
    <t>TA KVIPED</t>
  </si>
  <si>
    <t>TA KVBUCKET</t>
  </si>
  <si>
    <t>TA KVUSGBI</t>
  </si>
  <si>
    <t>TA KVRCR</t>
  </si>
  <si>
    <t>TA KVIACHAT</t>
  </si>
  <si>
    <t>État - Pays de résidence fiscal du garant / émetteur / dépositaire de la sûreté</t>
  </si>
  <si>
    <t>TA KVFAMSUR</t>
  </si>
  <si>
    <t>TA KVVALOR</t>
  </si>
  <si>
    <t xml:space="preserve">Guarantor / Issuer / Depository credit quality level </t>
  </si>
  <si>
    <t>TA FI59</t>
  </si>
  <si>
    <t>Leave empty</t>
  </si>
  <si>
    <r>
      <rPr>
        <b/>
        <sz val="11"/>
        <color theme="0"/>
        <rFont val="Calibri"/>
        <family val="2"/>
        <scheme val="minor"/>
      </rPr>
      <t>N° D'ORDRE TECHNIQUE DE LA DONNEE</t>
    </r>
    <r>
      <rPr>
        <b/>
        <sz val="11"/>
        <rFont val="Calibri"/>
        <family val="2"/>
        <scheme val="minor"/>
      </rPr>
      <t xml:space="preserve"> </t>
    </r>
    <r>
      <rPr>
        <b/>
        <sz val="11"/>
        <color rgb="FF0070C0"/>
        <rFont val="Calibri"/>
        <family val="2"/>
        <scheme val="minor"/>
      </rPr>
      <t>/ TECHNICAL ORDER NUMBER OF THE DATA IN THE FILE</t>
    </r>
  </si>
  <si>
    <t>TA H8ENTITY</t>
  </si>
  <si>
    <t>Si la combinaison de donnée n'est pas trouvée dans la matrice des règles de gestion C11, le contrôle doit se lever
---
Si la combinaison de donnée n'est pas trouvée dans la matrice des règles de gestion C26, le contrôle doit se lever</t>
  </si>
  <si>
    <t>TC0C11
TC0C26</t>
  </si>
  <si>
    <t>If the data combinaison is not found in the C11 business rules matrix, the control must trigger
---
If the data combinaison is not found in the C26 business rules matrix, the control must trigger</t>
  </si>
  <si>
    <t>Usage du bien immobilier apporté en garantie</t>
  </si>
  <si>
    <t>Use of real-estate brought into guarantee</t>
  </si>
  <si>
    <t>Basel engine treatment</t>
  </si>
  <si>
    <t>Traitement moteur bâlois</t>
  </si>
  <si>
    <t>Correspond au traitement moteur de calcul des RWA Bâlois</t>
  </si>
  <si>
    <t>Represents treatment by the Basel RWA calculation engine</t>
  </si>
  <si>
    <t>Represents the date and time at which flow treatment began</t>
  </si>
  <si>
    <t>Correspond à la date d'arrêté des données transmises (dernier jour calendaire du mois)</t>
  </si>
  <si>
    <t>Represents the cut-off date of the data transmitted (final calendar day of the month)</t>
  </si>
  <si>
    <t>Caractérise le type d'enregistrement remonté par le site</t>
  </si>
  <si>
    <t>Represents the record type reported by the site</t>
  </si>
  <si>
    <t>Correspond à la méthode de calcul des risques pondérés dans Bâle</t>
  </si>
  <si>
    <t>Represents the risk-weighted asset calculation method in Basel</t>
  </si>
  <si>
    <t>Correspond à la classification de l'encours selon la nomenclature Groupe CA "NATO" commune aux Risques et à la Comptabilité</t>
  </si>
  <si>
    <t>Represents the classification of outstanding amounts on the basis of the CA Group shared Risk and Accounting "NATO" (transaction nature) nomenclature</t>
  </si>
  <si>
    <t>Classification of the transaction by business line</t>
  </si>
  <si>
    <t>Code consolidation de la succursale qui a fait l'opération/contrat dans le cas où les engagements sont portés par la maison mère</t>
  </si>
  <si>
    <t>Consolidation code of the branch that has made the transaction/contract in case the commitments are carried out by the parent company</t>
  </si>
  <si>
    <t>Le champ permet de préciser si l'exposition est garantie par un bien immobilier à usage résidentiel ou professionnel</t>
  </si>
  <si>
    <t xml:space="preserve">The field makes it possible to indicate if: the exposure is guaranteed by a residential or commercial real-estate asset
</t>
  </si>
  <si>
    <t>Le champ correspond à la classification de la sûreté selon la nomenclature Groupe CA "NATO" commune aux Risques et à la Comptabilité</t>
  </si>
  <si>
    <t>The field represents the classification of the mitigant under the CA Group shared Risk and Accounting "NATO" (transaction nature) nomenclature</t>
  </si>
  <si>
    <t>Permet d'identifier la nature du montant de la sûreté immobilière : soit la valeur de marché du bien, soit le montant hypothécaire</t>
  </si>
  <si>
    <t>Enables to identify the nature of the amount of real-estate mitigant: or the property market value, either the amount of the mortgage</t>
  </si>
  <si>
    <t>Correspond à la NATO de la provision (NAS ou NAC)</t>
  </si>
  <si>
    <t>Correspond à la NATO de la décote (NAA)</t>
  </si>
  <si>
    <t>The field enables to make the difference between intra and extra-CA group transactions classified as NAT06</t>
  </si>
  <si>
    <t>Represents the accounting consolidation code of the Entity in the financial statements of Crédit Agricole S.A.</t>
  </si>
  <si>
    <t>A alimenter avec une valeur comprise entre "00001" et "99999" en fonction des lots définis par l'entité</t>
  </si>
  <si>
    <t>Il doit y avoir unicité de la date d'arrêté au sein du flux</t>
  </si>
  <si>
    <t>Valeur admise : 'A1' (domaine Alimentation dégradée)</t>
  </si>
  <si>
    <t>Zone exploitée uniquement par les entités déclarant les risques portés par Crédit Agricole S.A.
Décomposition comptable du Siège en Activités (comptabilités auxiliaires). Permet de gérer les opérations pour compte propre Casa</t>
  </si>
  <si>
    <t>Pour un lot déterminé, l'identifiant doit être unique au sein du lot</t>
  </si>
  <si>
    <t>Toutes les données de type "Montant" doivent être valorisées et restituées dans cette devise</t>
  </si>
  <si>
    <t>Cette information permet d'identifier en particulier les titres de dettes qui doivent être exclus du traitement de calcul des emplois pondérés</t>
  </si>
  <si>
    <t>Valeur admise : ' CPTA01' (COMPLEMENT COMPTABLE)</t>
  </si>
  <si>
    <t>Ne concerne que les expositions sur les Etablissements
- ‘Y' : maturité initiale ≤ 3 mois 
- ‘N' : maturité initiale &gt; 3 mois
Cette donnée est utilisée parmi d'autres critères (LFD, ..) pour déterminer la pondération</t>
  </si>
  <si>
    <t>The cut-off date must be the same across the flow</t>
  </si>
  <si>
    <t>Permitted value: 'A1' (Degraded Data Entry section)</t>
  </si>
  <si>
    <t>Zone only used for entities reporting risks borne by Crédit Agricole S.A.
Accounting breakdown of HQ into Activities (sub-ledgers). Makes it possible to manage Crédit Agricole S.A. proprietary trading</t>
  </si>
  <si>
    <t>For a given batch, the ID must be unique within the batch</t>
  </si>
  <si>
    <t>All “Amount” type data must be measured and input in this currency</t>
  </si>
  <si>
    <t>This information makes it possible to identify in particular the debt securities that must be excluded from the treatment of the calculation of risk-weighted assets</t>
  </si>
  <si>
    <t>Permitted value: 'CPTA01' (ACCOUNTING SUPPLEMENT)</t>
  </si>
  <si>
    <t>Only relates to exposures vis-à-vis Institutions
- 'Y': initial maturity ≤ 3 months 
- 'N': initial maturity &gt; 3 months
This data is used among other criteria (LFD, ..) to determine the weighting</t>
  </si>
  <si>
    <t>This field represents the accounting value (all or part of the balance) of PCCO1
For leasing (Amount of lease payments excluding Residual Value)
For the impaired security, recognized at historical cost, this is the cost of acquisition, plus the Value Adjustment if needed</t>
  </si>
  <si>
    <t>This field is used for real-estate loans guaranteed by a mortgage and for finance leasing or finance leases involving real-estate
Where this data is not input, the preferred weightings (35%; 50%) cannot apply. In this instance the counterparty weighting will be effective</t>
  </si>
  <si>
    <t>Il convient à chaque entité émettrice du flux de déterminer le(s) code(s) ‘Application source' qu'elle utilise et de le(s) porter à la connaissance de la DRG avant première utilisation dans le flux. Une fois communiqué, le code est définitif
Les flux tardifs ou correctifs tardifs seront déclarés sous le code application source "CORE" imposé par la DRG</t>
  </si>
  <si>
    <t>Ne concerne que les expositions sur les Administrations centrales et Banques centrales et sur les Établissements
Cette donnée est utilisée parmi d'autres critères et permet d'affecter des pondérations préférentielles</t>
  </si>
  <si>
    <t>- Pour les NAT01 / NAT02 / NAT03, il faut renseigner le PCCO du bilan
- Pour les dérivés (NAT10), il faut renseigner le PCCO du bilan (MtM)
- Pour les NAT06 et NAT 07, il faut renseigner le PCCO du hors-bilan
- Pour les cessions temporaires (NAT04), il faut renseigner le PCCO correspond à la jambe prêteuse</t>
  </si>
  <si>
    <t xml:space="preserve">Ce champ correspond à la valeur comptable (tout ou partie du solde) du PCCO1
Pour le crédit-bail, il s'agit du montant des loyers hors Valeur Résiduelle
Pour un titre déprécié, comptabilisé en coût historique, il s'agit du montant du coût d'acquisition, augmenté le cas échéant du montant d'ajustement de valeur
</t>
  </si>
  <si>
    <t>Ne concerne que les IFT et les Repos
- Pour les dérivés (NAT10), il faut renseigner le PCCO du hors bilan (Notionnel)
- Pour les cessions temporaires (NAT04), il faut renseigner le PCCO correspondant à la jambe emprunteuse</t>
  </si>
  <si>
    <t>Laisser à vide si encours non soumis à dépréciation en norme IFRS 9 ou Bucket non encore déterminé (nouveau contrat)
La provision sur encours sain, sur sensible ou sur douteux devra être déclarée dans la rubrique « 7 - INFORMATIONS Provision spécifique » de l'encours A1 alimentation adapté (PCCO, NATO et montant de la provision)</t>
  </si>
  <si>
    <t>Ce champ est utilisé pour les prêts immobiliers garantis par une hypothèque et pour les contrats de location-financement ou de contrats de location à caractère financier dont le bien sous-jacent est immobilier
Si cette donnée n'est pas renseignée, les pondérations préférentielles (35%; 50%) ne peuvent s'appliquer. Dans ce cas c'est la pondération de la contrepartie qui sera effective</t>
  </si>
  <si>
    <t>Every entity issuing flows must determine what ‘Source application' code(s) it uses and inform the Group Risk Management Division thereof prior to using them in the flow. Once notified, the code can't be changed
Later corrections or flows will be declared under the source application code 'CORE' imposed by DRG</t>
  </si>
  <si>
    <t>Only relate to exposures vis-à-vis central governments and central banks and vis-à-vis Institutions
This data is used among other criteria and makes it possible to assign preferred weightings</t>
  </si>
  <si>
    <t>- For NAT01 / NAT02 / NAT03, the balance sheet PCCO must be input
- For derivatives (NAT10), the balance sheet PCCO (MtM) must be input
- For NAT06 and NAT 07, the off-balance sheet PCCO must be input
- For temporary sales (NAT04), the PCCO corresponding to the lending leg must be input</t>
  </si>
  <si>
    <t>Only relates to Forward Financial Instruments and Repos
- For derivatives (NAT10), the off-balance sheet PCCO (Notional) must be input
- For temporary sales (NAT04), the PCCO corresponding to the borrowing leg must be input</t>
  </si>
  <si>
    <t>Leave empty if not subject to impairment under IFRS 9 or Bucket not yet determined (new exposure)
The provision for healthy, sensitive or doubtful exposures will have to be declared in the "7 - INFORMATION Specific Provision" section of the A1 adapted domain (PCCO, NATO and amount of the provision)</t>
  </si>
  <si>
    <t>TA KVCRC</t>
  </si>
  <si>
    <t>Centre de Responsabilité Comptable (Zone réservée CAsa social)</t>
  </si>
  <si>
    <t>Accounting responsibility center (Zone reserved for Crédit Agricole S.A. Holding)</t>
  </si>
  <si>
    <t>Correspond au code du Système d'Information utilisé en local pour générer le flux
En Alimentation dégradée, il faut préfixer par la lettre ‘A' le code application source</t>
  </si>
  <si>
    <t xml:space="preserve">Represents the code of the Information System used locally to generate the flow
In Degraded data entry, the source application code must be prefix with the letter 'A' </t>
  </si>
  <si>
    <t>Il convient à chaque entité émettrice du flux de déterminer le(s) code(s) ‘Application source' qu'elle utilise et de le(s) porter à la connaissance de la DRG avant première utilisation dans le flux. Une fois communiqué, le code est définitif</t>
  </si>
  <si>
    <t>Every entity issuing flows must determine what ‘Source application' code(s) it uses and inform the Group Risk Management Division thereof prior to using them in the flow. Once notified, the code can't be changed</t>
  </si>
  <si>
    <r>
      <t xml:space="preserve">You can find all the published versions on </t>
    </r>
    <r>
      <rPr>
        <u/>
        <sz val="11"/>
        <color rgb="FF0070C0"/>
        <rFont val="Calibri"/>
        <family val="2"/>
        <scheme val="minor"/>
      </rPr>
      <t>https://service.ca-mocca.com/maia-collab/CFR/SitePages/Notices_EN.aspx</t>
    </r>
  </si>
  <si>
    <t>Permet d'identifier les zones ajoutées/modifiées</t>
  </si>
  <si>
    <t>The color code enables identification of the different kinds of evolutions</t>
  </si>
  <si>
    <t>Publication mocca n°</t>
  </si>
  <si>
    <r>
      <t xml:space="preserve">Suivi des versions / </t>
    </r>
    <r>
      <rPr>
        <b/>
        <sz val="11"/>
        <color rgb="FF0070C0"/>
        <rFont val="Calibri"/>
        <family val="2"/>
        <scheme val="minor"/>
      </rPr>
      <t>Version tracking</t>
    </r>
  </si>
  <si>
    <r>
      <rPr>
        <b/>
        <sz val="11"/>
        <color theme="0"/>
        <rFont val="Calibri"/>
        <family val="2"/>
        <scheme val="minor"/>
      </rPr>
      <t>Liens utiles</t>
    </r>
    <r>
      <rPr>
        <b/>
        <sz val="11"/>
        <rFont val="Calibri"/>
        <family val="2"/>
        <scheme val="minor"/>
      </rPr>
      <t xml:space="preserve"> </t>
    </r>
    <r>
      <rPr>
        <b/>
        <sz val="11"/>
        <color theme="0"/>
        <rFont val="Calibri"/>
        <family val="2"/>
        <scheme val="minor"/>
      </rPr>
      <t xml:space="preserve">/ </t>
    </r>
    <r>
      <rPr>
        <b/>
        <sz val="11"/>
        <color rgb="FF0070C0"/>
        <rFont val="Calibri"/>
        <family val="2"/>
        <scheme val="minor"/>
      </rPr>
      <t>Useful Links</t>
    </r>
  </si>
  <si>
    <r>
      <t xml:space="preserve">https://service.ca-mocca.com/maia-collab/CFR/SitePages/Langages_Communs.aspx
</t>
    </r>
    <r>
      <rPr>
        <sz val="11"/>
        <color rgb="FF0070C0"/>
        <rFont val="Calibri"/>
        <family val="2"/>
        <scheme val="minor"/>
      </rPr>
      <t>https://service.ca-mocca.com/maia-collab/CFR/SitePages/Common_Languages.aspx</t>
    </r>
  </si>
  <si>
    <r>
      <t xml:space="preserve">https://service.ca-mocca.com/maia-collab/CFR/SitePages/Notices.aspx
</t>
    </r>
    <r>
      <rPr>
        <sz val="11"/>
        <color rgb="FF0070C0"/>
        <rFont val="Calibri"/>
        <family val="2"/>
        <scheme val="minor"/>
      </rPr>
      <t>https://service.ca-mocca.com/maia-collab/CFR/SitePages/Notices_EN.aspx</t>
    </r>
  </si>
  <si>
    <t>A1 1.98</t>
  </si>
  <si>
    <t>TA H8PCCO</t>
  </si>
  <si>
    <t>YYYYMMDDHHMM</t>
  </si>
  <si>
    <t>Entity code of the branch that originated the transaction</t>
  </si>
  <si>
    <r>
      <rPr>
        <b/>
        <sz val="11"/>
        <color theme="0"/>
        <rFont val="Calibri"/>
        <family val="2"/>
        <scheme val="minor"/>
      </rPr>
      <t>POSITION</t>
    </r>
    <r>
      <rPr>
        <b/>
        <sz val="11"/>
        <rFont val="Calibri"/>
        <family val="2"/>
        <scheme val="minor"/>
      </rPr>
      <t xml:space="preserve"> </t>
    </r>
    <r>
      <rPr>
        <b/>
        <sz val="11"/>
        <color rgb="FF0070C0"/>
        <rFont val="Calibri"/>
        <family val="2"/>
        <scheme val="minor"/>
      </rPr>
      <t>/ POSITION</t>
    </r>
  </si>
  <si>
    <t>A alimenter à "00000535"</t>
  </si>
  <si>
    <t>A alimenter à "CRRA"</t>
  </si>
  <si>
    <t>Mitigant family</t>
  </si>
  <si>
    <t>The field represents the mitigant family</t>
  </si>
  <si>
    <t>LC.0004
LC.0073</t>
  </si>
  <si>
    <t>TA NM252 (pour la partie ISO 3166)
TA NM258 (organisation supra nationales)</t>
  </si>
  <si>
    <t>02a - Caractéristiques d'identification fonctionnelles (clé)</t>
  </si>
  <si>
    <t>02a - Functional identification characteristics (key)</t>
  </si>
  <si>
    <t>Nombre d'enregistrements tous types confondus hors enregistrement de type Z9, en-tête et en-queue</t>
  </si>
  <si>
    <t>Number of records (all types combined) excluding ‘Z9', header and footer records</t>
  </si>
  <si>
    <t>LC.0004
LC.0273</t>
  </si>
  <si>
    <t>TA AHFPRO</t>
  </si>
  <si>
    <t>Obligatoire (SC)</t>
  </si>
  <si>
    <t>Mandatory (SC)</t>
  </si>
  <si>
    <t>ND</t>
  </si>
  <si>
    <t>Obligatoire sous conditions</t>
  </si>
  <si>
    <t>Mandatory under conditions</t>
  </si>
  <si>
    <t>LC.0475</t>
  </si>
  <si>
    <t>Nombre de contrôles par type et sévérité</t>
  </si>
  <si>
    <t>Mix</t>
  </si>
  <si>
    <t>total</t>
  </si>
  <si>
    <t>Présence</t>
  </si>
  <si>
    <t>Référentiel</t>
  </si>
  <si>
    <t>Valeur</t>
  </si>
  <si>
    <t>Intra-objet</t>
  </si>
  <si>
    <t>Inter-objet</t>
  </si>
  <si>
    <t>La donnée doit être égale à la devise de l'entité Porteuse de Risques [0.2 (A1)] renseignée dans H8PECO (RB 0990 H8DEVENT)</t>
  </si>
  <si>
    <t>Data must be equal to Entity Id [0.2 (A1)] currency in H8PECO (RB 0990 H8DEVENT)</t>
  </si>
  <si>
    <t>CTRL INTRA-OBJET / INTRA-OBJECT CTRL - CIBLE</t>
  </si>
  <si>
    <t>CTRL VALEUR / VALUE CTRL - CIBLE</t>
  </si>
  <si>
    <t>CTRL REFERENTIEL / REFERENTIEL CTRL - CIBLE</t>
  </si>
  <si>
    <t>Si elle est renseignée, la valeur doit être connue du Langage Commun associé</t>
  </si>
  <si>
    <t>If specified, the value must be known to the associated Common Language</t>
  </si>
  <si>
    <t>TIG0001</t>
  </si>
  <si>
    <t>TPG0001</t>
  </si>
  <si>
    <t>La donnée est obligatoire, si 'NATO de l'exposition' [A1 3.2] = ('NAT06' ou 'NAT07')</t>
  </si>
  <si>
    <t>The data is mandatory if 'CAP of exposure' [A1 2.1] = (‘15', '16', '95)</t>
  </si>
  <si>
    <t>La donnée est obligatoire, si 'Famille de sûreté' [A1 6.7] = 'RI0' (sûreté immobilière)</t>
  </si>
  <si>
    <t>The data is mandatory, if 'Mitigant family' [A1 6.7] = 'RI0' (Security interest on real estate)</t>
  </si>
  <si>
    <t xml:space="preserve">La donnée est obligatoire, si 'CAP de la sûreté' [A1 6.1] est renseigné </t>
  </si>
  <si>
    <t>La donnée est obligatoire, si 'CAP de l'exposition' [A1 2.1] = (‘12','13','23', ‘24', ‘25', ‘26', ‘40', ‘41', ‘42')</t>
  </si>
  <si>
    <t>La donnée est obligatoire, si 'CAP de l'exposition' [A1 2.1] = (‘15', '16', '95')</t>
  </si>
  <si>
    <t>La donnée est obligatoire, si Entité Porteuse de Risques [0.2 (A1)] = '00018'</t>
  </si>
  <si>
    <t>La donnée est obligatoire, si le 'Montant du PCCO 1' [A1 4.9] est renseigné et différent de 0</t>
  </si>
  <si>
    <t>The data is mandatory, if 'Amount of PCCO 1' [A1 4.9] is filled and different of 0</t>
  </si>
  <si>
    <t>La donnée est obligatoire, si le 'Montant du PCCO 4' [A1 7.2] est renseigné et différent de 0</t>
  </si>
  <si>
    <t>The data is mandatory, if 'Amount of PCCO 4' [A1 7.2] is filled and different of 0</t>
  </si>
  <si>
    <t>The data is mandatory, if 'Amount of PCCO 5' [A1 8.2] is filled and different of 0</t>
  </si>
  <si>
    <t>La donnée est obligatoire, si le 'Montant du PCCO 5' [A1 8.2] est renseigné et différent de 0</t>
  </si>
  <si>
    <t>The data is mandatory, if 'Purchase of leased asset at end of lease' [A1 5.4] = '1 or 2'</t>
  </si>
  <si>
    <t>La donnée est obligatoire, si le 'Numéro de PCCO 4' [A1 7.1] est renseigné</t>
  </si>
  <si>
    <t>La donnée est obligatoire, si le 'Numéro de PCCO 5' [A1 8.1] est renseigné</t>
  </si>
  <si>
    <t>The data is mandatory, if 'Number of PCCO 4' [A1 7.1] is filled</t>
  </si>
  <si>
    <t xml:space="preserve">The data is mandatory, if 'Number of PCCO 5' [A1 8.1] is filled </t>
  </si>
  <si>
    <t>La donnée est obligatoire, si 'Usage du bien immobilier apporté en garantie' [A1 5.1] est égal à '1' ou '2', OU si le 'Respect des Conditions Réglementaires' [A1 5.6] est égal à 'Y'</t>
  </si>
  <si>
    <t>The data is mandatory, if the 'Use of real-estate brought into guarantee' [A1 5.1] is equal to '1' or '2', OR if the 'Compliance with Regulatory Conditions' [A1 5.6] is equal to 'Y'</t>
  </si>
  <si>
    <t>Si renseignée, la donnée doit être positive (supérieure ou égale à 0)</t>
  </si>
  <si>
    <t>TVG0001</t>
  </si>
  <si>
    <t xml:space="preserve">If filled, data must be positive (greater or equal to 0) </t>
  </si>
  <si>
    <t>Si la donnée est renseignée, et si 'Indicateur Engagement Douteux' [A1 4.14] = 'Y', alors la donnée doit être égale à 'B3'
---
Si la donnée est renseignée, et si 'Indicateur Engagement Douteux' [A1 4.14] = 'N', alors la donnée doit être égale à ('B1', 'B2')</t>
  </si>
  <si>
    <t>If data is filled, and if 'Doubtful Commitments indicator' [A1 4.14] = 'Y', then data must be equal to 'B3'
---
If data is filled, and if 'Doubtful Commitments indicator' [A1 4.14] = 'N', then data must be equal to ('B1', 'B2')</t>
  </si>
  <si>
    <t>Si la donnée est renseignée, et si Application source [0.3 (A1)] &lt;&gt; 'ACORE', alors la donnée doit être positive (&gt;= à 0).</t>
  </si>
  <si>
    <t>Si 'Famille de sûreté' [A1 6.7] = 'RI0' (sûreté immobilière), alors la donnée doit être égale à '1' ou '2'</t>
  </si>
  <si>
    <t>If 'Mitigant family' [A1 6.7] = 'RI0' (Security interest on real estate), then the data must be equal to '1' or '2'</t>
  </si>
  <si>
    <t>Si renseignée, alors la donnée doit commencer par 'NAA'</t>
  </si>
  <si>
    <t>Si renseignée, alors la donnée doit commencer par 'NAS' ou 'NAC'</t>
  </si>
  <si>
    <t>If filled, the data should start with 'NAA'</t>
  </si>
  <si>
    <t>If filled, the data should start with 'NAS' or 'NAC'</t>
  </si>
  <si>
    <t>Unicité au sein de l'entité porteuse de risque</t>
  </si>
  <si>
    <t>Uniqueness within the entity bearing the risk</t>
  </si>
  <si>
    <t>Si la donnée est renseignée, alors la donnée doit commencer par 2 caractères alphabétiques et avoir une longueur de 12 caractères avec un caractère numérique pour le dernier caractère ET la donnée doit être validée comme un code ISIN à l'aide de l'algorithme de Luhn</t>
  </si>
  <si>
    <t>If filled, then the data must start with 2 alphabetic characters and have a length of 12 characters with a numeric character for the last character AND the data must be validated as an ISIN code using the Luhn algorithm</t>
  </si>
  <si>
    <t>TVG0006</t>
  </si>
  <si>
    <t>6
7</t>
  </si>
  <si>
    <t>La donnée est obligatoire, si 'NATO de l'exposition' [A1 3.2] = ('NAT06' ou 'NAT07')
---
La donnée doit être vide, si 'NATO de l'exposition' [A1 3.2] est différente de 'NAT06' ou 'NAT07'</t>
  </si>
  <si>
    <t>La donnée est obligatoire, si le 'Montant du PCCO 2' [A1 4.11] est renseigné et différent de 0</t>
  </si>
  <si>
    <t>The data is mandatory, if 'Amount of PCCO 2' [A1 4.11] is filled and different of 0</t>
  </si>
  <si>
    <t>Si renseignée, la donnée doit être égale à '01' (réglementaire) ou '07' (simulation)</t>
  </si>
  <si>
    <t>If filled, data must be equal to '01' (regulatory) or '07' (simulation)</t>
  </si>
  <si>
    <t>TCG0001</t>
  </si>
  <si>
    <t>Le type de produit bancaire doit être cohérent avec le type d'enregistrement (la colonne Z8OMZPFR lié au type de produit de la table Z8COPROM doit correspondre à l'objet métier concerné)</t>
  </si>
  <si>
    <t>The value filled must be consistent with the business object (LC.0303 - TA 0990 Z8COPROM)</t>
  </si>
  <si>
    <t>TA KVIED</t>
  </si>
  <si>
    <t>Si renseignée, la donnée doit être égale à 'STD'</t>
  </si>
  <si>
    <t>If filled, data must be equal to 'STD'</t>
  </si>
  <si>
    <t>Si Méthodologie Bâloise [A1 3.2] = 'NA330', alors la donnée doit être égale à ('14', '60')</t>
  </si>
  <si>
    <t>If Basel methodology [A1 3.2] = 'NA330', then data must be equal to ('14', '60')</t>
  </si>
  <si>
    <t>La seule valeur autorisée est :
- STD (STANDARD)</t>
  </si>
  <si>
    <t>The only permitted value is:
- STD (STANDARDISED)</t>
  </si>
  <si>
    <t>Les valeurs autorisées en méthode Standard :
- actions et assimilés : CAP = 14 
- titrisation : CAP = 15 
- titres hors actions, la CAP correspond à l'émetteur du titre 
- expositions sur la Clientèle de détail, la CAP correspond au type d'engagement ou à la typologie de la contrepartie
- autres types d'engagement, la CAP correspond à la contrepartie</t>
  </si>
  <si>
    <t>Values autorised for Standard approach:
- For equities and equivalent: CAP = 14 
- For securitisation: CAP = 15 
- For securities excluding equities, the CAP represents the issuer of the security 
- For exposures vis-à-vis retail banking customers, the CAP represents the type of commitment or the type of counterparty
- For other commitment types, the CAP represents the counterparty</t>
  </si>
  <si>
    <t>PRESENCE
SCORE
CONSEQUENCE</t>
  </si>
  <si>
    <t>PRESENCE Code CTRL ZP</t>
  </si>
  <si>
    <t>REFERENTIEL 
SCORE
CONSEQUENCE</t>
  </si>
  <si>
    <t>REFERENTIEL Code CTRL ZP</t>
  </si>
  <si>
    <t>VALEUR 
SCORE
CONSEQUENCE</t>
  </si>
  <si>
    <t>VALEUR Code CTRL ZP</t>
  </si>
  <si>
    <t>COHERENCE
SCORE
CONSEQUENCE</t>
  </si>
  <si>
    <t>COHERENCE
Code CTRL ZP</t>
  </si>
  <si>
    <t>SI [la donnée est renseignée] ET SI ['NATO de l'exposition' [A1 3.2] = 'NAT10'] ET SI ['Application source' [0.3 (A1)] &lt;&gt; 'ACORE'], ALORS la donnée doit être positive (&gt;= à 0).</t>
  </si>
  <si>
    <t>IF [data is filled] AND IF ['NATure of Operation' [A1 3.2] = 'NAT10'], AND IF ['Source application' [0.3 (A1)] &lt;&gt; 'ACORE'], THEN data must be positive (&gt;= à 0).</t>
  </si>
  <si>
    <t>Si la donnée est renseignée, et si Application source [0.3 (A1)] &lt;&gt; 'ACORE', alors la donnée doit être positive (&gt;= à 0).
---
Si NATO de l'exposition [A1 3.2] IN ('NAT10','NAT04'), alors la donnée doit être NULL.</t>
  </si>
  <si>
    <t>La donnée est obligatoire, si 'NATO de l'exposition' [A1 3.2] = ('NAT10')</t>
  </si>
  <si>
    <t>The data is mandatory, if 'NATure of Operation (NATO) for exposure' [A1 3.2] = ('NAT10')</t>
  </si>
  <si>
    <t>La donnée est obligatoire, si ['CAP de l'exposition' [A1 2.1] = (‘12', '23', ‘24', ‘25', ‘26', ‘40', ‘41', ‘42')] OU ['NATO de l'exposition' [A1 3.2] = ('NAT10')]</t>
  </si>
  <si>
    <t>The data is mandatory if ['CAP of exposure' [A1 2.1] = (‘12', '23', ‘24', ‘25', ‘26', ‘40', ‘41', ‘42')] OR ['NATure of Operation' [A1 3.2] = ('NAT10')]</t>
  </si>
  <si>
    <t>La donnée est obligatoire, si 'NATO de l'exposition' [A1 3.2] = ('NAT10')
---
La donnée est obligatoire, si 'NATO de l'exposition' [A1 3.2] = ('NAT04')</t>
  </si>
  <si>
    <t>The data is mandatory, if 'NATure of Operation (NATO) for exposure' [A1 3.2] = ('NAT10')
---
The data is mandatory, if 'NATure of Operation (NATO) for exposure' [A1 3.2] = ('NAT04')</t>
  </si>
  <si>
    <t xml:space="preserve">Le couple H8PCCO/H8NATO (correspondant au Numéro du PCCO 1 [A1 4.8] et à la NATO de l'exposition [A1 3.2]) doit exister dans la table START H8PCNATO, avec H8NATO composé des 5 premiers caractères </t>
  </si>
  <si>
    <t>The H8PCCO/H8NATO pair (corresponding to Number of PCCO 1 [A1 4.8] and NATure of Operation (NATO) for exposure [A1 3.2]) must exist in the START table H8PCNATO, with H8NATO 5 first posititions</t>
  </si>
  <si>
    <t xml:space="preserve">Le couple H8PCCO/H8NATO (correspondant au Numéro du PCCO 2 [A1 4.10] et à la NATO de l'exposition [A1 3.2]) doit exister dans la table START H8PCNATO, avec H8NATO composé des 5 premiers caractères </t>
  </si>
  <si>
    <t>The H8PCCO/H8NATO pair (corresponding to Number of PCCO 2 [A1 4.10] and NATure of Operation (NATO) for exposure [A1 3.2]) must exist in the START table H8PCNATO, with H8NATO 5 first posititions</t>
  </si>
  <si>
    <t xml:space="preserve">Le couple H8PCCO/H8NATO (correspondant au Numéro du PCCO3 de la sûreté reçue [A1 6.8] et à la NATO de la sûreté [A1 6.5]) doit exister dans la table START H8PCNATO, avec H8NATO composé des 5 premiers caractères </t>
  </si>
  <si>
    <t>The H8PCCO/H8NATO pair (corresponding to Number of PCCO3 of the received mitigant [A1 6.8] and Transaction nature (NATO) of the mitigant [A1 6.5]) must exist in the START table H8PCNATO, with H8NATO 5 first posititions</t>
  </si>
  <si>
    <t>Le couple H8PCCO/H8NATO (correspondant au Numéro du PCCO4 [A1 7.1] et à la NATO de la provision [A1 7.3]) doit exister dans la table START H8PCNATO, avec H8NATO composé des 5 premiers caractères</t>
  </si>
  <si>
    <t>Le couple H8PCCO/H8NATO (correspondant au Numéro du PCCO5 [A1 8.1] et à la NATO de la décote [A1 8.3]) doit exister dans la table START H8PCNATO, avec H8NATO composé des 5 premiers caractères</t>
  </si>
  <si>
    <t>The H8PCCO/H8NATO pair (corresponding to Number of PCCO4 [A1 7.1] and Transaction nature (NATO) of the provision [A1 7.3]) must exist in the START table H8PCNATO, with H8NATO 5 first posititions</t>
  </si>
  <si>
    <t>Si la combinaison de donnée n'est pas trouvée dans la matrice des règles de gestion C16, le contrôle doit se lever</t>
  </si>
  <si>
    <t>If the data combinaison is not found in the C16 business rules matrix, the control must trigger</t>
  </si>
  <si>
    <t>TC0C16</t>
  </si>
  <si>
    <t>7
6</t>
  </si>
  <si>
    <t>TPS1782</t>
  </si>
  <si>
    <t>TPS1785</t>
  </si>
  <si>
    <t>TPS1786</t>
  </si>
  <si>
    <t>TPS1788</t>
  </si>
  <si>
    <t>TPS1789</t>
  </si>
  <si>
    <t>TPS1790</t>
  </si>
  <si>
    <t>TPS1791</t>
  </si>
  <si>
    <t>TPS1792
TPS1793</t>
  </si>
  <si>
    <t>TPS1792</t>
  </si>
  <si>
    <t>TPS1789
TPS1803</t>
  </si>
  <si>
    <t>TPS1804</t>
  </si>
  <si>
    <t>TPS1795</t>
  </si>
  <si>
    <t>TPS1796</t>
  </si>
  <si>
    <t>TPS1797</t>
  </si>
  <si>
    <t>TPS1798</t>
  </si>
  <si>
    <t>TPS1799</t>
  </si>
  <si>
    <t>TPS1801</t>
  </si>
  <si>
    <t>TPS1800</t>
  </si>
  <si>
    <t>TPS1802</t>
  </si>
  <si>
    <t>TVS0749</t>
  </si>
  <si>
    <t>TVS0766</t>
  </si>
  <si>
    <t>TVS0750</t>
  </si>
  <si>
    <t>TVS0752
TVS0754</t>
  </si>
  <si>
    <t>TVS0751</t>
  </si>
  <si>
    <t>TVS0755</t>
  </si>
  <si>
    <t>TVS0756</t>
  </si>
  <si>
    <t>TVS0758</t>
  </si>
  <si>
    <t>TVS0759
TVS0760</t>
  </si>
  <si>
    <t>TVS0761</t>
  </si>
  <si>
    <t>TVS0762</t>
  </si>
  <si>
    <t>TVS0756
TVS0757</t>
  </si>
  <si>
    <t>TVS0763</t>
  </si>
  <si>
    <t>TVS0764</t>
  </si>
  <si>
    <t>TCS0764
TCS0765</t>
  </si>
  <si>
    <t>TCS0766</t>
  </si>
  <si>
    <t>TCS0767</t>
  </si>
  <si>
    <t>TCS0768</t>
  </si>
  <si>
    <t>TCS0769</t>
  </si>
  <si>
    <t>TCS0770</t>
  </si>
  <si>
    <t>TCS0771</t>
  </si>
  <si>
    <t>Devise de liasse</t>
  </si>
  <si>
    <t>Package currency</t>
  </si>
  <si>
    <t>TIS0067</t>
  </si>
  <si>
    <t>TP0001</t>
  </si>
  <si>
    <t>Contrôle TC0C11 : Cohérence NATO/Domaine CRR</t>
  </si>
  <si>
    <t>Control TC0C11 : NATO/CRR domain consistency</t>
  </si>
  <si>
    <t>Ce contrôle consiste à vérifier l’utilisation de la NATO avec les domaines du CRR pour chacun des flux CRR transmis</t>
  </si>
  <si>
    <t>This control consists in checking the use of the NATO with the CRR domains for each of the CRR flows transmitted</t>
  </si>
  <si>
    <t>Objet de collecte</t>
  </si>
  <si>
    <t>NA011, NA012, NA021, NA022, NA311, NA312, NA321, NA322, NA323, NA330, NA341, NA342, NA343, NA344, NA350, NA361, NA362, NA363, NA364, NA365, NA366, NA367, NA368, NA369, NA370, NA371, NAT41, NAT42, NAT43, NAT44, NAT06, NAT07, NA101, NA102</t>
  </si>
  <si>
    <t>Cohérence</t>
  </si>
  <si>
    <t>Si renseignée, la donnée ne doit pas appartenir à la famille de NATO 'NAT08'
---
Si 'Code ISIN pour OPCVM' [A1 2.6] est renseignée, alors la donnée doit être égale à 'NA330'</t>
  </si>
  <si>
    <t xml:space="preserve">If filled, the data must not be part of NATO family 'NAT08'
---
If 'UCITS ISIN code' [A1 2.6] is filled, then data must be equal to 'NA330'
</t>
  </si>
  <si>
    <t>45.00</t>
  </si>
  <si>
    <r>
      <t xml:space="preserve">Ajout de nouvelles données / </t>
    </r>
    <r>
      <rPr>
        <sz val="11"/>
        <color rgb="FF0070C0"/>
        <rFont val="Calibri"/>
        <family val="2"/>
        <scheme val="minor"/>
      </rPr>
      <t>New data addition</t>
    </r>
  </si>
  <si>
    <r>
      <t xml:space="preserve">Modifications / </t>
    </r>
    <r>
      <rPr>
        <sz val="11"/>
        <color rgb="FF0070C0"/>
        <rFont val="Calibri"/>
        <family val="2"/>
        <scheme val="minor"/>
      </rPr>
      <t>Modifications</t>
    </r>
  </si>
  <si>
    <t xml:space="preserve">Si le PACT est vide, alors le Nombre d'enregistrements du fichier [Z9 1.1] doit être égal à 0
Si le PACT est valorisé, alors le Nombre d'enregistrements du fichier [Z9 1.1] doit être égal au nombre d'enregistrements du PACT (hors Z9, en-tête, en-queue) </t>
  </si>
  <si>
    <t xml:space="preserve">If PACT is empty, then Number of records in the file [Z9 1.1] must be equal to 0
If PACT has values, then Number of records in the file [Z9 1.1] must be equal to the number of records in the file (excluding Z9, header, footer) </t>
  </si>
  <si>
    <r>
      <t>Correspond au taux de pondération à appliquer sur les expositions de titrisation (CAP15)</t>
    </r>
    <r>
      <rPr>
        <strike/>
        <sz val="11"/>
        <rFont val="Calibri"/>
        <family val="2"/>
        <scheme val="minor"/>
      </rPr>
      <t xml:space="preserve">
</t>
    </r>
    <r>
      <rPr>
        <sz val="11"/>
        <rFont val="Calibri"/>
        <family val="2"/>
        <scheme val="minor"/>
      </rPr>
      <t>Par défaut, sur les expositions de titrisation, pondération à 1250%
Exprimé en %</t>
    </r>
  </si>
  <si>
    <t>Represents the weighting ratio to apply to securitisation exposures (CAP15)
By default, securitisation exposures, weighted at 1250%
Expressed as %</t>
  </si>
  <si>
    <t>Précisions sur les exigences posées sur la donnée (de type seuils, formules, calculs, règles d'alimentation hors LC...) ou commentaires.
En particulier, les exigences posées sur la donnée peuvent porter sur :
- sa présence (dans le contrôle) (ne pas reprendre les conditions du contrôle de présence si assez explicite)
Nota Bene sur le domaine de valeurs : 
-- si la donnée peut s'inscrire dans toute la nomenclature d'un Langage Commun, le LC est directement renseigné dans le champ dédié "Référence LC"
-- si la donnée s'inscrit dans un domaine de valeurs plus restreint lié au périmètre fonctionnel de l'objet collecté, ce domaine de valeurs strictement autorisé est indiqué ici (contrôle de valeur).
L'information prend la valeur NA sans exigences particulières</t>
  </si>
  <si>
    <t>Details on the requirements of the data (of the threshold type, formulas, calculations, rules of supply excluding LC...) or comments.
In particular, the data requirements may relate to:
- its presence (in the control) (do not take over the presence control conditions so explicitly)
Note Bene on the value domain:
— if the data can be inscribed in the entire nomenclature of a Common Language, the LC is directly filled in the dedicated field "LC Reference"
— if the data falls within a narrower value domain related to the functional scope of the collected object, this strictly authorized value domain is indicated here (value control).
Information is set to NA without any special requirements</t>
  </si>
  <si>
    <t>CALCULS PRUDENTIELS</t>
  </si>
  <si>
    <t>A alimenter à "45"</t>
  </si>
  <si>
    <t>To be filled with "45"</t>
  </si>
  <si>
    <t>Filler dedicated to future evolutions</t>
  </si>
  <si>
    <t>tpTiersDansTIGRE</t>
  </si>
  <si>
    <t>LC.0262</t>
  </si>
  <si>
    <t>TA KVIIDTCA</t>
  </si>
  <si>
    <t>IDTCATiers</t>
  </si>
  <si>
    <t xml:space="preserve">Renseigner l'IDTCA (Identifiant central du Tiers) s'il est connu.
Sinon, laisser à vide. </t>
  </si>
  <si>
    <t xml:space="preserve">Must be completed with IDTCA (third party central identifier) if known. 
If not, empty field. </t>
  </si>
  <si>
    <t>cdRefIdNatTiers</t>
  </si>
  <si>
    <t>LC.0013</t>
  </si>
  <si>
    <t>TA KVIDENT</t>
  </si>
  <si>
    <t xml:space="preserve">Cette donnée permet de connaître le type d'identifiant national renseigné. </t>
  </si>
  <si>
    <t>This data makes it possible to know the type of national identifier provided.</t>
  </si>
  <si>
    <t>National ID of the third party CORPORATE</t>
  </si>
  <si>
    <t>idNatTiers</t>
  </si>
  <si>
    <t>idTechEchTiers</t>
  </si>
  <si>
    <t>idLocTiers</t>
  </si>
  <si>
    <t xml:space="preserve">Pour information. Sera potentiellement utile pour des déclaratifs avec le régulateur local. </t>
  </si>
  <si>
    <t>For information. Will be potentially useful for declarations with the local regulator.</t>
  </si>
  <si>
    <t>A1 86</t>
  </si>
  <si>
    <t>A1 86.1</t>
  </si>
  <si>
    <t>A1 86.2</t>
  </si>
  <si>
    <t>A1 86.3</t>
  </si>
  <si>
    <t>A1 86.4</t>
  </si>
  <si>
    <t>A1 86.5</t>
  </si>
  <si>
    <t>LIQUIDITE</t>
  </si>
  <si>
    <t>Le tiers doit exister (présence du tiers dans TIGRE)</t>
  </si>
  <si>
    <t>TI0060</t>
  </si>
  <si>
    <t>ESG PILIER 3, LIQUIDITE</t>
  </si>
  <si>
    <t>Code ISIN pour les opérations sur titres</t>
  </si>
  <si>
    <t>ISIN code for securities transactions</t>
  </si>
  <si>
    <t>Le code ISIN (International Securities Identification Numbers) est un identifiant unique, propre à chaque actif financier (actions, obligations, produits monétaires, OPCVM, warrants...)
Le code ISIN est composé de deux lettres indiquant le pays d'émission du titre (FR pour la France) et de dix chiffres propres à chaque titre</t>
  </si>
  <si>
    <t>The ISIN code (International Securities Identification Numbers) is a single ID, peculiar to each financial asset (share, bond, currency product, UCITS, warrants, etc.)
The ISIN code includes two letters for the country (FR for France) and ten figures peculiar to each security</t>
  </si>
  <si>
    <t>Toutes les opérations sur titres (titre détenu, repo, reverse, prêts, emprunts, OPCVM, …) doivent être remontées à une maille granulaire par code ISIN</t>
  </si>
  <si>
    <t xml:space="preserve">All securities transactions (securities held, repo, reverse, loans, borrowings, UCITS, etc.) must be traced back to a granular mesh by ISIN code
</t>
  </si>
  <si>
    <t>The data is mandatory if Indicator of counterparty presence in TIGRE [A1 86] = 'Y' AND if IDTCA identifier of the third party [A1 86.1] is not filled</t>
  </si>
  <si>
    <t>Le couple 'Référence d'Identification nationale du Tiers CORPORATE' [A1 86.2] et 'Identifiant national du Tiers CORPORATE' [A1 86.3] doit exister (présence du tiers dans TIGRE)</t>
  </si>
  <si>
    <t>Le tiers existe (présence du tiers dans un C2 ou C3)</t>
  </si>
  <si>
    <t>The third-party exists (presence of the third-party in C2 or C3)</t>
  </si>
  <si>
    <t>Il s'agit de l'identifiant technique unique du flux C2/C3.</t>
  </si>
  <si>
    <t>This is the unique technical identifier from C2 / C3 flow</t>
  </si>
  <si>
    <t>This reference must be prefixed by the country code (ISO 2 alpha) of the counterparty residence, if the chosen National ID reference = "6" or "7" or "99"</t>
  </si>
  <si>
    <t xml:space="preserve">Cette référence doit être préfixée par le code pays (ISO 2 alpha) de résidence du Tiers si la référence d'identification nationale choisie = "6 " ou "7" ou "99" </t>
  </si>
  <si>
    <t>Date d'engagement</t>
  </si>
  <si>
    <t>Date de valeur de prise d'effet du contrat</t>
  </si>
  <si>
    <t>Date de maturité</t>
  </si>
  <si>
    <t>Indicateur produit échéancé</t>
  </si>
  <si>
    <t>Type d'amortissement</t>
  </si>
  <si>
    <t>Périodicité d'amortissement</t>
  </si>
  <si>
    <t>Plan Produit Liquidité</t>
  </si>
  <si>
    <t>A1 500</t>
  </si>
  <si>
    <t xml:space="preserve">Liquidity product code </t>
  </si>
  <si>
    <t>Code produit exploité pour la construction du bilan de Liquidité</t>
  </si>
  <si>
    <t>Product code used for the construction of the liquidity balancesheet</t>
  </si>
  <si>
    <t>TBD</t>
  </si>
  <si>
    <t>LC.0550</t>
  </si>
  <si>
    <t>RB Z8COPRLQ</t>
  </si>
  <si>
    <t>A1 29</t>
  </si>
  <si>
    <t>Commitment date</t>
  </si>
  <si>
    <t>Date à laquelle l'entité s'est engagée sur le contrat</t>
  </si>
  <si>
    <t>Date at which an entity has engaged on a contract (trade date)</t>
  </si>
  <si>
    <t>dtEngag</t>
  </si>
  <si>
    <t>A1 30</t>
  </si>
  <si>
    <t>Contract Effective Value Date</t>
  </si>
  <si>
    <t>Date à partir de laquelle le contrat prend effet. C'est la date de début de la phase de paiement d'intérêts</t>
  </si>
  <si>
    <t>Date at which the contract takes effect. This is the start date of the interest payment phase</t>
  </si>
  <si>
    <t>dtValeur</t>
  </si>
  <si>
    <t>A1 31</t>
  </si>
  <si>
    <t>Maturity date</t>
  </si>
  <si>
    <t>Date d'échéance du contrat</t>
  </si>
  <si>
    <t>Maturity date of the contract (for maturing deals only)</t>
  </si>
  <si>
    <t>dtMatur</t>
  </si>
  <si>
    <t>Indiquer '99990630' pour les produits sans date de maturité</t>
  </si>
  <si>
    <t>Indicate '99990630' for products without a maturity date</t>
  </si>
  <si>
    <t>A1 22.56</t>
  </si>
  <si>
    <t>Indicator product schedule</t>
  </si>
  <si>
    <t>Indique si le produit fait ou ne fait pas l'objet d'un échéancement</t>
  </si>
  <si>
    <t>Indicates if the product has or not one or many schedules</t>
  </si>
  <si>
    <t>cdProdEchea</t>
  </si>
  <si>
    <t>LC.0256</t>
  </si>
  <si>
    <t>TA KVIPE</t>
  </si>
  <si>
    <t>For risk types (TRE2XX to 4XX and TRE5XX), if type overdue payment outstanding, fill in the indicator to 'NEC'.
A product is said to be "scheduled" if it has at least one term (with amortizing method that could be linear, constant installment, in fine, etc. ).
This data allows to identify the products for which a schedule must be associated (calculated at central level or provided by entity). There some products for which no amortization schedule is required (eg overdrafts). In this case, these products will be treated by default as "In fine" based on the end date of commitment.</t>
  </si>
  <si>
    <t>A1 22.16</t>
  </si>
  <si>
    <t>06 - Caractéristiques échéancier</t>
  </si>
  <si>
    <t>06 - Schedule characteristics</t>
  </si>
  <si>
    <t>Type of repayment of the principal</t>
  </si>
  <si>
    <t>Type d'amortissement du capital</t>
  </si>
  <si>
    <t>cdTypAmort</t>
  </si>
  <si>
    <t>LC.0218</t>
  </si>
  <si>
    <t>TA XPTYPAMO</t>
  </si>
  <si>
    <t>Classification de l'opération selon la ligne Métier</t>
  </si>
  <si>
    <t>Taux de pondération de l'exposition de titrisation.
Exprimé en %</t>
  </si>
  <si>
    <t>Weighting ratio of the security exposure.
Expressed as %</t>
  </si>
  <si>
    <t>CALCULS PRUDENTIELS, LIQUIDITE</t>
  </si>
  <si>
    <t>CALCULS PRUDENTIELS, LIQUIDITE, NPE</t>
  </si>
  <si>
    <t>A1 83</t>
  </si>
  <si>
    <t>Amortizing periodicity</t>
  </si>
  <si>
    <t>Périodicité à laquelle le capital est remboursé</t>
  </si>
  <si>
    <t>Periodicity of capital reimbursement</t>
  </si>
  <si>
    <t>peAmort</t>
  </si>
  <si>
    <t>LC.0255</t>
  </si>
  <si>
    <t>TA NM900</t>
  </si>
  <si>
    <t>La donnée est obligatoire si l''Indicateur produit échéancé' [A1 22.56] est égal à 'ECH'</t>
  </si>
  <si>
    <t>The data is mandatory if the 'Scheduled product indicator' [A1 22.56] is equal to 'ECH'</t>
  </si>
  <si>
    <t>Si renseignée, la donnée doit être supérieure ou égale à '19000101'</t>
  </si>
  <si>
    <t>If filled, data must be greater or equal to '19000101'</t>
  </si>
  <si>
    <t>TVG0005</t>
  </si>
  <si>
    <t>La date renseignée doit être : 
- antérieure ou égale à la date d'arrêté [DTARRETE]
- antérieure à la 'Date de maturité' [A1 31]</t>
  </si>
  <si>
    <t>The date filled must be : 
- prior to or equal to the closing date [DTARRETE]
- prior to the 'Maturity date' [A1 31]</t>
  </si>
  <si>
    <t>La date renseignée doit être : 
- postérieure ou égale à la 'Date d'engagement' [A1 29]
- antérieure à la 'Date de maturité' [A1 31]</t>
  </si>
  <si>
    <t>The date filled must be:
- after or equal to the 'Commitment date' [A1 29]
- prior to the 'Maturity date' [A1 31]</t>
  </si>
  <si>
    <t>La donnée doit être supérieure ou égale à la date d'arrêté</t>
  </si>
  <si>
    <t>Data must be greater or equal than closing date</t>
  </si>
  <si>
    <t>TCG0002</t>
  </si>
  <si>
    <t>The data is mandatory if the Indicator product schedule [A1 22.56] is equal to 'ECH'</t>
  </si>
  <si>
    <t>Si Montant du PCCO 4 (provision) [A1 7.2] renseigné et &lt;&gt; 0, alors Bucket IFRS9 doit être renseigné</t>
  </si>
  <si>
    <t>If Amount of PCCO 4 (provision amount) [A1 7.2] is filled and &lt;&gt; 0, then Bucket IFRS9 must be filled</t>
  </si>
  <si>
    <t>CALCULS PRUDENTIELS, ESG PILIER 3</t>
  </si>
  <si>
    <t>CALCULS PRUDENTIELS, ESG PILIER 3, LIQUIDITE</t>
  </si>
  <si>
    <t>CALCULS PRUDENTIELS, ESG PILIER 3, NPE</t>
  </si>
  <si>
    <t>CALCULS PRUDENTIELS, NPE</t>
  </si>
  <si>
    <t>CALCULS PRUDENTIELS, ESG PILIER 3, LIQUIDITE, NPE</t>
  </si>
  <si>
    <t>La donnée est obligatoire, si Type de produit bancaire [A1 3.7] = 'EMTI01, PRTI01, REPO01, RREP01, TDET*'</t>
  </si>
  <si>
    <t>The data is mandatory, if Banking Product type [A1 3.7] = 'EMTI01, PRTI01, REPO01, RREP01, TDET*'</t>
  </si>
  <si>
    <t>Type de risque</t>
  </si>
  <si>
    <t>A1 2.0</t>
  </si>
  <si>
    <t>Risk type</t>
  </si>
  <si>
    <t>Classification de l'opération selon la nomenclature risque</t>
  </si>
  <si>
    <t>Classification of transaction on the basis of the risk nomenclature</t>
  </si>
  <si>
    <t>cdTypRis</t>
  </si>
  <si>
    <t>LC.0030</t>
  </si>
  <si>
    <t>TA KVTYPRIS</t>
  </si>
  <si>
    <t>Si renseignée, la valeur doit être différente de 'DVP100'</t>
  </si>
  <si>
    <t>If filled, the value must be different from 'DVP100'</t>
  </si>
  <si>
    <t>TVS0707</t>
  </si>
  <si>
    <t>La valeur renseignée doit être cohérente avec l'objet métier (LC.0030 - TA 0990 Z8COTROM)</t>
  </si>
  <si>
    <t>The value filled must be consistent with the business object (LC.0030 - TA 0990 Z8COTROM)</t>
  </si>
  <si>
    <t>TCG0005</t>
  </si>
  <si>
    <t>Les titres de créances sont classés en ISS200 ou ISS300, en norme française, en fonction de la durée de conservation de ces titres dans le bilan de l'établissement</t>
  </si>
  <si>
    <t>Debts securities are classified in ISS200 or ISS300, in French standard, depending on the length of retention of these securities in the balance sheet of the institution</t>
  </si>
  <si>
    <r>
      <rPr>
        <b/>
        <sz val="12"/>
        <rFont val="Calibri"/>
        <family val="2"/>
        <scheme val="minor"/>
      </rPr>
      <t>Périmètre d'application :</t>
    </r>
    <r>
      <rPr>
        <sz val="11"/>
        <rFont val="Calibri"/>
        <family val="2"/>
        <scheme val="minor"/>
      </rPr>
      <t xml:space="preserve">
- CRR Corporate
- CRR Retail Agrégé
- CRR Adapté</t>
    </r>
  </si>
  <si>
    <r>
      <rPr>
        <b/>
        <sz val="12"/>
        <rFont val="Calibri"/>
        <family val="2"/>
        <scheme val="minor"/>
      </rPr>
      <t>Scope of application:</t>
    </r>
    <r>
      <rPr>
        <sz val="11"/>
        <rFont val="Calibri"/>
        <family val="2"/>
        <scheme val="minor"/>
      </rPr>
      <t xml:space="preserve">
- CRR Corporate
- CRR Aggregated Retail
- Adapted CRR</t>
    </r>
  </si>
  <si>
    <r>
      <rPr>
        <b/>
        <sz val="12"/>
        <color theme="1"/>
        <rFont val="Calibri"/>
        <family val="2"/>
        <scheme val="minor"/>
      </rPr>
      <t xml:space="preserve">Fonctionnement :
</t>
    </r>
    <r>
      <rPr>
        <sz val="11"/>
        <rFont val="Calibri"/>
        <family val="2"/>
        <scheme val="minor"/>
      </rPr>
      <t xml:space="preserve">- Contrôles exécutés en étape E4.4 des traitements ZP (après mise au modèle)
- Contrôles paramétrés en score 6TA (non bloquant)
- Les combinaisons de valeurs conformes sont précisées ci-dessous pour chaque contrôle </t>
    </r>
    <r>
      <rPr>
        <b/>
        <u/>
        <sz val="11"/>
        <rFont val="Calibri"/>
        <family val="2"/>
        <scheme val="minor"/>
      </rPr>
      <t>sauf</t>
    </r>
    <r>
      <rPr>
        <sz val="11"/>
        <rFont val="Calibri"/>
        <family val="2"/>
        <scheme val="minor"/>
      </rPr>
      <t xml:space="preserve"> contrôle TC0C03 pour lequel sont précisées les combinaisons en anomalie. En dehors des combinaisons conformes, la Zone de Partage recensera une anomalie.</t>
    </r>
  </si>
  <si>
    <r>
      <rPr>
        <b/>
        <sz val="12"/>
        <color theme="1"/>
        <rFont val="Calibri"/>
        <family val="2"/>
        <scheme val="minor"/>
      </rPr>
      <t xml:space="preserve">Functions:
</t>
    </r>
    <r>
      <rPr>
        <sz val="11"/>
        <rFont val="Calibri"/>
        <family val="2"/>
        <scheme val="minor"/>
      </rPr>
      <t xml:space="preserve">- Checks performed in step E4.4 of ZP treatments (after the model has been set)
- Controls configured in scoring 6TA (non-blocking)
- The combinations of conforming values are specified below for each control </t>
    </r>
    <r>
      <rPr>
        <b/>
        <u/>
        <sz val="11"/>
        <rFont val="Calibri"/>
        <family val="2"/>
        <scheme val="minor"/>
      </rPr>
      <t xml:space="preserve">except </t>
    </r>
    <r>
      <rPr>
        <sz val="11"/>
        <rFont val="Calibri"/>
        <family val="2"/>
        <scheme val="minor"/>
      </rPr>
      <t>control TC0C03 for which the combinations in anomaly are specified. Apart from the compliant combinations, the Sharing Zone will identify an anomaly.</t>
    </r>
  </si>
  <si>
    <t>Grande Clientèle, Clientèle de détail et Alimentation adaptée</t>
  </si>
  <si>
    <t>Corporate customers, Retail customers and Adapted food</t>
  </si>
  <si>
    <t>Nature d'Opération
(A1 3.2, A1 6.5)</t>
  </si>
  <si>
    <t>NATure of funds in use transaction 
(A1 3.2, A1 6.5)</t>
  </si>
  <si>
    <t>Grande Clientèle, Clientèle de détail et Standard en Alimentation adaptée</t>
  </si>
  <si>
    <t>Corporate customers, Retail Customers and Standard in Adapted Feeding</t>
  </si>
  <si>
    <t>Achat en fin de contrat du bien loué
(A1 5.4)</t>
  </si>
  <si>
    <t>Usage du bien immobilier apporté en garantie
(A1 5.1)</t>
  </si>
  <si>
    <t>Valeur estimée en fin de période du bien loué
(A1 5.5)</t>
  </si>
  <si>
    <t>Devise de la valeur estimée en fin de période du bien loué
(A1 3.3)</t>
  </si>
  <si>
    <t>Valeur hypothécaire du bien immobilier loué à la date d'évaluation
(A1 5.3)</t>
  </si>
  <si>
    <t>Devise de la valeur hypothécaire du bien immobilier loué à la date d'évaluation
(A1 3.3)</t>
  </si>
  <si>
    <t>Valeur de marché du bien immobilier loué à la date d'évaluation
(A1 5.2)</t>
  </si>
  <si>
    <t>Devise de la valeur de marché du bien immobilier loué à la date d'évaluation
(A1 3.3)</t>
  </si>
  <si>
    <t>Purchase at the end of the lease of the leased property (A1 5.4)</t>
  </si>
  <si>
    <t>Use of real estate (A1 5.1)</t>
  </si>
  <si>
    <t>Estimated value at the end of the period of the leased property (A1 5.5)</t>
  </si>
  <si>
    <t>Currency of the estimated value at the end of the period of the leased property (A1 3.3)</t>
  </si>
  <si>
    <t>Mortgage value of leased real estate at valuation date (A1 5.3)</t>
  </si>
  <si>
    <t>Currency of the mortgage value of the leased property at the valuation date (A1 3.3)</t>
  </si>
  <si>
    <t>Market value|fair value of leased real estate at the latest valuation date (A1 5.2)</t>
  </si>
  <si>
    <t>Currency of the market value|fair value of the leased property on the valuation date (A1 3.3)</t>
  </si>
  <si>
    <t>(Non vide)</t>
  </si>
  <si>
    <r>
      <t xml:space="preserve">Grande Clientèle, Clientèle de détail et Alimentation
adaptée, en </t>
    </r>
    <r>
      <rPr>
        <b/>
        <u/>
        <sz val="11"/>
        <color theme="1"/>
        <rFont val="Calibri"/>
        <family val="2"/>
        <scheme val="minor"/>
      </rPr>
      <t>méthode Standard</t>
    </r>
  </si>
  <si>
    <r>
      <t xml:space="preserve">Corporate customers, Retail customers and appropriate food, using the </t>
    </r>
    <r>
      <rPr>
        <b/>
        <u/>
        <sz val="11"/>
        <color theme="1"/>
        <rFont val="Calibri"/>
        <family val="2"/>
        <scheme val="minor"/>
      </rPr>
      <t>Standard method</t>
    </r>
  </si>
  <si>
    <t>NATO de l'exposition (A1 3.2)</t>
  </si>
  <si>
    <t>Indicateur 'Engagement Douteux' (A1 4.14)</t>
  </si>
  <si>
    <t>NATO of the exhibition (A1 3.2)</t>
  </si>
  <si>
    <t>'Doubtful Funds in use' indicator (A1 4.14)</t>
  </si>
  <si>
    <r>
      <t xml:space="preserve">Ajouter des séparateurs ';' entre chaque donnée / </t>
    </r>
    <r>
      <rPr>
        <sz val="11"/>
        <color rgb="FF0070C0"/>
        <rFont val="Calibri"/>
        <family val="2"/>
        <scheme val="minor"/>
      </rPr>
      <t>Semicolon ';' to be added between each data</t>
    </r>
  </si>
  <si>
    <t>LC.0577</t>
  </si>
  <si>
    <t>A1 523</t>
  </si>
  <si>
    <t>TPSxxxx</t>
  </si>
  <si>
    <t>Indicateur Engagement en défaut</t>
  </si>
  <si>
    <t>Defaulted commitments indicator</t>
  </si>
  <si>
    <t>Indicateur permettant de préciser si les opérations sont comptabilisées en engagement en défaut</t>
  </si>
  <si>
    <t>ndicator to specify whether transactions are recognised as defaulted commitments</t>
  </si>
  <si>
    <t>Cet indicateur permet d'identifier les engagements entrés en défaut ou impayés prudentiels depuis le dernier arrêté trimestriel</t>
  </si>
  <si>
    <t>Enables to identify commitments in default or prudential outstanding payments since the latest quarterly closing</t>
  </si>
  <si>
    <t xml:space="preserve">Indicateur tiers connu </t>
  </si>
  <si>
    <t>Pour les types de risques (TRE2XX à 4XX et TRE5XX), si encours de type arriéré de paiement, renseigner l'indicateur à 'NEC'.
Un produit est dit "échéancé" s'il a au moins une échéance (i.e. cas des remboursements linéaire, montant constant, in fine, etc.).
Cette donnée permet d'identifier les produits pour lesquels un échéancier doit être associé (calculé en central ou fourni). Les produits non échéancés sont ceux pour lesquels aucun tableau d'amortissement n'est requis (exemple : les découverts). Dans ce cas, ces produits seront traités par défaut comme In fine sur la base de la date de fin d'engagement.</t>
  </si>
  <si>
    <t>Nomenclature defined by CACIB. Allows to distinguish the outstandings by business line in the risk consolidation tools and in particular the distinction of business lines Leasing and Factoring</t>
  </si>
  <si>
    <t>Ligne Métier</t>
  </si>
  <si>
    <t>Business line</t>
  </si>
  <si>
    <t>Nomenclature définie par CACIB. Permet de distinguer les encours par ligne métier dans les outils de consolidation risques et notamment la distinction des lignes métier Leasing et Affacturage.</t>
  </si>
  <si>
    <t>Known Third Party indicator</t>
  </si>
  <si>
    <t>Indicate whether the third party associated with the outstanding line is known or not. This indicator thus makes it possible to determine whether the data are presented at the contract/commitment mesh (fine granularity) or aggregated</t>
  </si>
  <si>
    <t>Les données doivent être renseignées à la maille code ISIN pour les titres et à la maille engagement pour les autres produits</t>
  </si>
  <si>
    <t>The data must be entered in the ISIN mesh for securities and the commitment mesh for other products</t>
  </si>
  <si>
    <t>La donnée est obligatoire, si l'Indicateur tiers connu [A1 523] = 'Y'</t>
  </si>
  <si>
    <t>The data is mandatory, if Known Third Party indicator [A1 523] = 'Y'</t>
  </si>
  <si>
    <t>Catégorie de contrepartie - Vision Liquidité</t>
  </si>
  <si>
    <t>Counterparty category - Liquidty view</t>
  </si>
  <si>
    <t>Catégorie de contrepartie - Vision Résolution</t>
  </si>
  <si>
    <t>Counterparty category - Resolution view</t>
  </si>
  <si>
    <t>LC.0588</t>
  </si>
  <si>
    <t>RB Z8CACVLI</t>
  </si>
  <si>
    <t>LC.0589</t>
  </si>
  <si>
    <t>RB Z8CACVRE</t>
  </si>
  <si>
    <t>A1 530</t>
  </si>
  <si>
    <t>A1 531</t>
  </si>
  <si>
    <t>Codification permettant de catégoriser l'exposition de la contrepartie pour la production des reporting réglementaire et interne de Liquidité</t>
  </si>
  <si>
    <t>Codification permettant de catégoriser l'exposition de la contrepartie pour la production des reporting réglementaire de Résolution</t>
  </si>
  <si>
    <t>Codification to categorise counterparty exposure for the production of regulatory and internal liquidity reporting</t>
  </si>
  <si>
    <t>Codification to categorise counterparty exposure for the production of regulatory reporting Resolution
Codification to categorise counterparty exposure for the production of regulatory reporting Resolution</t>
  </si>
  <si>
    <t>RB Z8IDTICO</t>
  </si>
  <si>
    <r>
      <t xml:space="preserve">Guide Méthodologique - Alimentation PACT (ex CRR) / </t>
    </r>
    <r>
      <rPr>
        <sz val="11"/>
        <color rgb="FF0070C0"/>
        <rFont val="Calibri"/>
        <family val="2"/>
        <scheme val="minor"/>
      </rPr>
      <t>Methodological Guide - PACT (ex CRR) Feeding</t>
    </r>
  </si>
  <si>
    <t>Indique si le tiers associé à la ligne d'encours est connu ou non. Cet indicateur permet ainsi de déterminer si les données sont présentées à la maille contrat/engagement (granularité fine) ou agrégées</t>
  </si>
  <si>
    <t>The third-party must exist (presence of the third-party in TIGRE)</t>
  </si>
  <si>
    <t>TIG0002</t>
  </si>
  <si>
    <t>TIG0003</t>
  </si>
  <si>
    <t xml:space="preserve">Indicateur de présence du tiers principal dans TIGRE </t>
  </si>
  <si>
    <t>Identifiant IDTCA du tiers principal</t>
  </si>
  <si>
    <t>IDTCA identifier of the principal third party</t>
  </si>
  <si>
    <t>Indicator of principal counterparty presence in TIGRE</t>
  </si>
  <si>
    <t>Reference of national ID of the principal third party CORPORATE</t>
  </si>
  <si>
    <t>Référence d'Identification nationale du Tiers principal CORPORATE</t>
  </si>
  <si>
    <t>Identifiant national du Tiers principal CORPORATE</t>
  </si>
  <si>
    <t>Identifiant technique d'échange du tiers principal</t>
  </si>
  <si>
    <t>Technical exchange id. of the principal third party</t>
  </si>
  <si>
    <t>Identifiant local du tiers principal</t>
  </si>
  <si>
    <t>Local ID of the principal third party</t>
  </si>
  <si>
    <t>Local ID of the third party principal</t>
  </si>
  <si>
    <t>Identification nationale du Tiers issue des référentiels nationaux désignés dans la Référence d'Identification nationale du Tiers principal CORPORATE [A1 86.2]</t>
  </si>
  <si>
    <t>National ID of the third party from the national standards designated in Reference of national ID of the principal third party CORPORATE [A1 86.2]</t>
  </si>
  <si>
    <t>La donnée est obligatoire si Indicateur de présence du tiers principal dans TIGRE [A1 86] = 'Y' ET si (la Référence d'Identification nationale du Tiers principal CORPORATE [A1 86.2] et l'Identifiant national du Tiers principal CORPORATE [A1 86.3]) ne sont pas renseignés</t>
  </si>
  <si>
    <t>The data is mandatory if Indicator of principal counterparty presence in TIGRE [A1 86] = 'Y' AND if (the Reference of national ID of the principal third party CORPORATE [A1 86.2] and the National ID of the principal third party CORPORATE [A1 86.3]) are not filled</t>
  </si>
  <si>
    <t>La donnée est obligatoire si Indicateur de présence du tiers principal dans TIGRE [A1 86] = 'Y' ET si Identifiant IDTCA du tiers principal [A1 86.1] n'est pas renseigné</t>
  </si>
  <si>
    <t>The data is mandatory if Indicator of principal counterparty presence in TIGRE [A1 86] = 'Y' AND if IDTCA identifier of the principal third party [A1 86.1] is not filled</t>
  </si>
  <si>
    <t>La donnée est obligatoire si Indicateur de présence du tiers principal dans TIGRE [A1 86] = 'N'</t>
  </si>
  <si>
    <t xml:space="preserve">The data is mandatory if Indicator of principal counterparty presence in TIGRE [A1 86] = 'N' </t>
  </si>
  <si>
    <t xml:space="preserve">Numéro correspondant à la position de la donnée dans la chaine de caractères du fichier physique. 
Nécessaire que pour les fichiers plats sans séparateurs (PACT par exemple).
Elle prend la valeur NA dans les autres cas. / 
The number that corresponds to the position of the data item in the character string of the physical file.
Required only for flat files without separators.
It is set to NA in other cases.
</t>
  </si>
  <si>
    <t>The data is mandatory if 'NATure of Operation (NATO) for exposure' [A1 3.2] = ('NAT06' or 'NAT07')</t>
  </si>
  <si>
    <t>If data is filled, and if Source application [0.3 (A1)] &lt;&gt; 'ACORE', then data must be positive (&gt;= 0).</t>
  </si>
  <si>
    <t>The data is mandatory if 'NATure of Operation (NATO) for exposure' [A1 3.2] = ('NAT06' or 'NAT07')
---
The data must be empty, if NATure of Operation [A1 3.2] is different from 'NAT06' or 'NAT07' family</t>
  </si>
  <si>
    <t>La donnée est obligatoire, si 'Achat en fin de contrat du bien loué' [A1 5.4]= '1 ou 2'</t>
  </si>
  <si>
    <t>If data is filled, and if Source application [0.3 (A1)] &lt;&gt; 'ACORE', then data must be positive (&gt;= 0).
---
If NATure of Operation (NATO) for exposure [A1 3.2] IN ('NAT10','NAT04'), this data must be NULL.</t>
  </si>
  <si>
    <t xml:space="preserve">The H8PCCO/H8NATO pair (corresponding to Number of PCCO5 [A1 8.1] and Transaction nature (NATO) of the haircut [A1 8.3]) must exist in the START table H8PCNATO, with H8NATO 5 first posititions
 </t>
  </si>
  <si>
    <t>The couple 'Reference of national ID of the third party CORPORATE' [A1 86.2] and 'National ID of the third party CORPORATE' [A1 86.3] must exist (presence of the third-party in TIGRE)</t>
  </si>
  <si>
    <t>To be filled with "00000535"</t>
  </si>
  <si>
    <t>To be filled with "CRRA"</t>
  </si>
  <si>
    <t>RG</t>
  </si>
  <si>
    <t>Commentaire</t>
  </si>
  <si>
    <t>Champ en attente de clarification</t>
  </si>
  <si>
    <t>Alimenter à '45'</t>
  </si>
  <si>
    <t>Provenance</t>
  </si>
  <si>
    <t>Table DDR</t>
  </si>
  <si>
    <t>Inclus CALF</t>
  </si>
  <si>
    <t>OUI</t>
  </si>
  <si>
    <t>Fichier envoyé par MERCA et partagé par le métier</t>
  </si>
  <si>
    <r>
      <t xml:space="preserve">A1_DEGRADE_GMBH
Nouvelle donnée à créér
</t>
    </r>
    <r>
      <rPr>
        <sz val="11"/>
        <color rgb="FFFF0000"/>
        <rFont val="Calibri"/>
        <family val="2"/>
        <scheme val="minor"/>
      </rPr>
      <t xml:space="preserve">Nom de la donnée: </t>
    </r>
  </si>
  <si>
    <t>NON</t>
  </si>
  <si>
    <t>Ne pas alimenter
Il n'y aura pas de colonne créé pour ce champ</t>
  </si>
  <si>
    <t>Il s'agit de la version du flux
Elle sera alimenté à "45"</t>
  </si>
  <si>
    <t>Version</t>
  </si>
  <si>
    <t>Version 1</t>
  </si>
  <si>
    <t>Champ inclut dans le fichier en provenance de MERCA et partagé par le métier.
Une nouveau champ est à créer dans la table d'integration de ce fichier.
Nom du champ dans le fichier partagé par MERCA: RISKTYPE</t>
  </si>
  <si>
    <t xml:space="preserve">
Champ à renseigner inclus dans le fichier MERCA
Une nouveau champ est à créer dans la table d'integration de ce fichier.
Nom du champ dans le fichier partagé par MERCA: REFERENCEOFNATIONALID</t>
  </si>
  <si>
    <t xml:space="preserve">
Champ à renseigner inclus dans le fichier MERCA
Une nouveau champ est à créer dans la table d'integration de ce fichier.
Nom du champ dans le fichier partagé par MERCA: NATIONALID</t>
  </si>
  <si>
    <t xml:space="preserve">
Champ à renseigner inclus dans le fichier MERCA
Une nouveau champ est à créer dans la table d'integration de ce fichier.
Nom du champ dans le fichier partagé par MERCA: MATURITYDATE</t>
  </si>
  <si>
    <t xml:space="preserve">
Champ à renseigner inclus dans le fichier MERCA
Une nouveau champ est à créer dans la table d'integration de ce fichier.
Nom du champ dans le fichier partagé par MERCA: CONTRACTVALUEDATE</t>
  </si>
  <si>
    <t xml:space="preserve">
Champ à renseigner inclus dans le fichier MERCA
Une nouveau champ est à créer dans la table d'integration de ce fichier.
Nom du champ dans le fichier partagé par MERCA: COMMITMENTDATE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</si>
</sst>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6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10"/>
      <name val="Arial"/>
      <family val="2"/>
    </font>
    <font>
      <u/>
      <sz val="10"/>
      <name val="Arial"/>
      <family val="2"/>
    </font>
    <font>
      <sz val="11"/>
      <color indexed="10"/>
      <name val="Calibri"/>
      <family val="2"/>
    </font>
    <font>
      <sz val="10"/>
      <name val="Arial"/>
      <family val="2"/>
    </font>
    <font>
      <sz val="11"/>
      <color indexed="8"/>
      <name val="Calibri"/>
      <family val="2"/>
    </font>
    <font>
      <sz val="11"/>
      <color indexed="9"/>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sz val="11"/>
      <color theme="1"/>
      <name val="Calibri"/>
      <family val="2"/>
      <scheme val="minor"/>
    </font>
    <font>
      <sz val="11"/>
      <color rgb="FF0070C0"/>
      <name val="Calibri"/>
      <family val="2"/>
      <scheme val="minor"/>
    </font>
    <font>
      <b/>
      <sz val="11"/>
      <color rgb="FF0070C0"/>
      <name val="Calibri"/>
      <family val="2"/>
      <scheme val="minor"/>
    </font>
    <font>
      <sz val="11"/>
      <name val="Calibri"/>
      <family val="2"/>
      <scheme val="minor"/>
    </font>
    <font>
      <b/>
      <sz val="11"/>
      <color theme="0"/>
      <name val="Calibri"/>
      <family val="2"/>
      <scheme val="minor"/>
    </font>
    <font>
      <b/>
      <sz val="11"/>
      <color theme="1"/>
      <name val="Calibri"/>
      <family val="2"/>
      <scheme val="minor"/>
    </font>
    <font>
      <b/>
      <sz val="11"/>
      <color rgb="FF000000"/>
      <name val="Calibri"/>
      <family val="2"/>
      <scheme val="minor"/>
    </font>
    <font>
      <b/>
      <sz val="11"/>
      <color rgb="FFFFFFFF"/>
      <name val="Calibri"/>
      <family val="2"/>
      <scheme val="minor"/>
    </font>
    <font>
      <sz val="11"/>
      <color rgb="FF000000"/>
      <name val="Calibri"/>
      <family val="2"/>
      <scheme val="minor"/>
    </font>
    <font>
      <u/>
      <sz val="11"/>
      <name val="Calibri"/>
      <family val="2"/>
      <scheme val="minor"/>
    </font>
    <font>
      <u/>
      <sz val="11"/>
      <color rgb="FF0070C0"/>
      <name val="Calibri"/>
      <family val="2"/>
      <scheme val="minor"/>
    </font>
    <font>
      <sz val="11"/>
      <color rgb="FFC00000"/>
      <name val="Calibri"/>
      <family val="2"/>
      <scheme val="minor"/>
    </font>
    <font>
      <b/>
      <sz val="11"/>
      <name val="Calibri"/>
      <family val="2"/>
      <scheme val="minor"/>
    </font>
    <font>
      <i/>
      <sz val="11"/>
      <name val="Calibri"/>
      <family val="2"/>
      <scheme val="minor"/>
    </font>
    <font>
      <i/>
      <sz val="11"/>
      <color rgb="FF0070C0"/>
      <name val="Calibri"/>
      <family val="2"/>
      <scheme val="minor"/>
    </font>
    <font>
      <strike/>
      <sz val="11"/>
      <name val="Calibri"/>
      <family val="2"/>
      <scheme val="minor"/>
    </font>
    <font>
      <sz val="11"/>
      <color theme="0" tint="-0.499984740745262"/>
      <name val="Calibri"/>
      <family val="2"/>
      <scheme val="minor"/>
    </font>
    <font>
      <sz val="11"/>
      <color theme="1" tint="4.9989318521683403E-2"/>
      <name val="Calibri"/>
      <family val="2"/>
      <scheme val="minor"/>
    </font>
    <font>
      <b/>
      <sz val="12"/>
      <color theme="1"/>
      <name val="Calibri"/>
      <family val="2"/>
      <scheme val="minor"/>
    </font>
    <font>
      <b/>
      <u/>
      <sz val="11"/>
      <color theme="1"/>
      <name val="Calibri"/>
      <family val="2"/>
      <scheme val="minor"/>
    </font>
    <font>
      <sz val="10"/>
      <color theme="1"/>
      <name val="Calibri"/>
      <family val="2"/>
      <scheme val="minor"/>
    </font>
    <font>
      <sz val="10"/>
      <name val="Calibri"/>
      <family val="2"/>
      <scheme val="minor"/>
    </font>
    <font>
      <sz val="11"/>
      <color rgb="FFFF0000"/>
      <name val="Calibri"/>
      <family val="2"/>
      <scheme val="minor"/>
    </font>
    <font>
      <b/>
      <sz val="20"/>
      <name val="Calibri"/>
      <family val="2"/>
      <scheme val="minor"/>
    </font>
    <font>
      <b/>
      <sz val="12"/>
      <name val="Calibri"/>
      <family val="2"/>
      <scheme val="minor"/>
    </font>
    <font>
      <i/>
      <sz val="11"/>
      <color theme="0" tint="-0.499984740745262"/>
      <name val="Calibri"/>
      <family val="2"/>
      <scheme val="minor"/>
    </font>
    <font>
      <i/>
      <sz val="11"/>
      <color theme="1"/>
      <name val="Calibri"/>
      <family val="2"/>
      <scheme val="minor"/>
    </font>
    <font>
      <b/>
      <i/>
      <sz val="11"/>
      <color theme="2" tint="-0.749992370372631"/>
      <name val="Calibri"/>
      <family val="2"/>
      <scheme val="minor"/>
    </font>
    <font>
      <sz val="11"/>
      <color theme="0"/>
      <name val="Calibri"/>
      <family val="2"/>
      <scheme val="minor"/>
    </font>
    <font>
      <b/>
      <u/>
      <sz val="11"/>
      <name val="Calibri"/>
      <family val="2"/>
      <scheme val="minor"/>
    </font>
    <font>
      <sz val="10"/>
      <color theme="0"/>
      <name val="Calibri"/>
      <family val="2"/>
      <scheme val="minor"/>
    </font>
    <font>
      <sz val="10"/>
      <color theme="5" tint="-0.249977111117893"/>
      <name val="Calibri"/>
      <family val="2"/>
      <scheme val="minor"/>
    </font>
  </fonts>
  <fills count="4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theme="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2"/>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B8CCE4"/>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92CDDC"/>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rgb="FF0070C0"/>
        <bgColor indexed="64"/>
      </patternFill>
    </fill>
    <fill>
      <patternFill patternType="solid">
        <fgColor rgb="FFFFC000"/>
        <bgColor indexed="64"/>
      </patternFill>
    </fill>
  </fills>
  <borders count="71">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medium">
        <color indexed="64"/>
      </left>
      <right/>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
      <left style="thin">
        <color indexed="64"/>
      </left>
      <right/>
      <top style="thin">
        <color indexed="64"/>
      </top>
      <bottom/>
      <diagonal/>
    </border>
    <border>
      <left style="thin">
        <color auto="1"/>
      </left>
      <right style="thin">
        <color indexed="64"/>
      </right>
      <top style="thin">
        <color auto="1"/>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double">
        <color auto="1"/>
      </top>
      <bottom/>
      <diagonal/>
    </border>
    <border>
      <left/>
      <right style="double">
        <color auto="1"/>
      </right>
      <top style="double">
        <color auto="1"/>
      </top>
      <bottom/>
      <diagonal/>
    </border>
    <border>
      <left/>
      <right style="double">
        <color auto="1"/>
      </right>
      <top/>
      <bottom/>
      <diagonal/>
    </border>
    <border>
      <left/>
      <right/>
      <top/>
      <bottom style="double">
        <color auto="1"/>
      </bottom>
      <diagonal/>
    </border>
    <border>
      <left/>
      <right style="double">
        <color auto="1"/>
      </right>
      <top/>
      <bottom style="double">
        <color auto="1"/>
      </bottom>
      <diagonal/>
    </border>
    <border>
      <left/>
      <right style="thin">
        <color indexed="64"/>
      </right>
      <top/>
      <bottom/>
      <diagonal/>
    </border>
    <border>
      <left style="thin">
        <color auto="1"/>
      </left>
      <right style="thin">
        <color auto="1"/>
      </right>
      <top style="thin">
        <color auto="1"/>
      </top>
      <bottom/>
      <diagonal/>
    </border>
    <border>
      <left style="double">
        <color auto="1"/>
      </left>
      <right/>
      <top style="double">
        <color auto="1"/>
      </top>
      <bottom/>
      <diagonal/>
    </border>
    <border>
      <left style="double">
        <color auto="1"/>
      </left>
      <right/>
      <top/>
      <bottom/>
      <diagonal/>
    </border>
    <border>
      <left style="double">
        <color auto="1"/>
      </left>
      <right/>
      <top/>
      <bottom style="double">
        <color auto="1"/>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style="thin">
        <color indexed="64"/>
      </right>
      <top style="thin">
        <color indexed="64"/>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top style="medium">
        <color indexed="64"/>
      </top>
      <bottom style="thin">
        <color auto="1"/>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thin">
        <color theme="0"/>
      </left>
      <right style="thin">
        <color theme="0"/>
      </right>
      <top style="thin">
        <color theme="0"/>
      </top>
      <bottom style="thin">
        <color theme="0"/>
      </bottom>
      <diagonal/>
    </border>
    <border>
      <left style="thin">
        <color auto="1"/>
      </left>
      <right style="thin">
        <color auto="1"/>
      </right>
      <top style="thin">
        <color auto="1"/>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s>
  <cellStyleXfs count="75">
    <xf numFmtId="0" fontId="0"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9" borderId="0" applyNumberFormat="0" applyBorder="0" applyAlignment="0" applyProtection="0"/>
    <xf numFmtId="0" fontId="19" fillId="0" borderId="0" applyNumberFormat="0" applyFill="0" applyBorder="0" applyAlignment="0" applyProtection="0"/>
    <xf numFmtId="0" fontId="23" fillId="20" borderId="1" applyNumberFormat="0" applyAlignment="0" applyProtection="0"/>
    <xf numFmtId="0" fontId="24" fillId="0" borderId="2" applyNumberFormat="0" applyFill="0" applyAlignment="0" applyProtection="0"/>
    <xf numFmtId="0" fontId="21" fillId="21" borderId="3" applyNumberFormat="0" applyFont="0" applyAlignment="0" applyProtection="0"/>
    <xf numFmtId="0" fontId="25" fillId="7" borderId="1" applyNumberFormat="0" applyAlignment="0" applyProtection="0"/>
    <xf numFmtId="44" fontId="20" fillId="0" borderId="0" applyFont="0" applyFill="0" applyBorder="0" applyAlignment="0" applyProtection="0"/>
    <xf numFmtId="0" fontId="26" fillId="3" borderId="0" applyNumberFormat="0" applyBorder="0" applyAlignment="0" applyProtection="0"/>
    <xf numFmtId="0" fontId="16" fillId="0" borderId="0" applyNumberFormat="0" applyFill="0" applyBorder="0" applyAlignment="0" applyProtection="0">
      <alignment vertical="top"/>
      <protection locked="0"/>
    </xf>
    <xf numFmtId="0" fontId="27" fillId="22" borderId="0" applyNumberFormat="0" applyBorder="0" applyAlignment="0" applyProtection="0"/>
    <xf numFmtId="0" fontId="17" fillId="0" borderId="0"/>
    <xf numFmtId="0" fontId="17" fillId="0" borderId="0"/>
    <xf numFmtId="0" fontId="17" fillId="0" borderId="0"/>
    <xf numFmtId="0" fontId="37" fillId="0" borderId="0"/>
    <xf numFmtId="0" fontId="17" fillId="0" borderId="0"/>
    <xf numFmtId="0" fontId="17" fillId="0" borderId="0"/>
    <xf numFmtId="0" fontId="17" fillId="0" borderId="0"/>
    <xf numFmtId="9" fontId="17" fillId="0" borderId="0" applyFont="0" applyFill="0" applyBorder="0" applyAlignment="0" applyProtection="0"/>
    <xf numFmtId="9" fontId="37" fillId="0" borderId="0" applyFont="0" applyFill="0" applyBorder="0" applyAlignment="0" applyProtection="0"/>
    <xf numFmtId="0" fontId="28" fillId="4" borderId="0" applyNumberFormat="0" applyBorder="0" applyAlignment="0" applyProtection="0"/>
    <xf numFmtId="0" fontId="29" fillId="20" borderId="4" applyNumberFormat="0" applyAlignment="0" applyProtection="0"/>
    <xf numFmtId="0" fontId="17" fillId="0" borderId="0"/>
    <xf numFmtId="0" fontId="17" fillId="0" borderId="0"/>
    <xf numFmtId="0" fontId="17" fillId="0" borderId="0"/>
    <xf numFmtId="0" fontId="30" fillId="0" borderId="0" applyNumberFormat="0" applyFill="0" applyBorder="0" applyAlignment="0" applyProtection="0"/>
    <xf numFmtId="0" fontId="31" fillId="0" borderId="0" applyNumberFormat="0" applyFill="0" applyBorder="0" applyAlignment="0" applyProtection="0"/>
    <xf numFmtId="0" fontId="32" fillId="0" borderId="5" applyNumberFormat="0" applyFill="0" applyAlignment="0" applyProtection="0"/>
    <xf numFmtId="0" fontId="33" fillId="0" borderId="6" applyNumberFormat="0" applyFill="0" applyAlignment="0" applyProtection="0"/>
    <xf numFmtId="0" fontId="34" fillId="0" borderId="7" applyNumberFormat="0" applyFill="0" applyAlignment="0" applyProtection="0"/>
    <xf numFmtId="0" fontId="34" fillId="0" borderId="0" applyNumberFormat="0" applyFill="0" applyBorder="0" applyAlignment="0" applyProtection="0"/>
    <xf numFmtId="0" fontId="35" fillId="0" borderId="8" applyNumberFormat="0" applyFill="0" applyAlignment="0" applyProtection="0"/>
    <xf numFmtId="0" fontId="36" fillId="23" borderId="9" applyNumberFormat="0" applyAlignment="0" applyProtection="0"/>
    <xf numFmtId="0" fontId="14" fillId="0" borderId="0"/>
    <xf numFmtId="0" fontId="14" fillId="0" borderId="0"/>
    <xf numFmtId="0" fontId="15" fillId="0" borderId="0"/>
    <xf numFmtId="0" fontId="13" fillId="0" borderId="0"/>
    <xf numFmtId="0" fontId="15" fillId="0" borderId="0"/>
    <xf numFmtId="0" fontId="15" fillId="0" borderId="0"/>
    <xf numFmtId="0" fontId="15" fillId="0" borderId="0"/>
    <xf numFmtId="0" fontId="15" fillId="0" borderId="0"/>
    <xf numFmtId="0" fontId="13" fillId="0" borderId="0"/>
    <xf numFmtId="0" fontId="13" fillId="0" borderId="0"/>
    <xf numFmtId="0" fontId="15" fillId="0" borderId="0"/>
    <xf numFmtId="0" fontId="12" fillId="0" borderId="0"/>
    <xf numFmtId="0" fontId="11" fillId="0" borderId="0"/>
    <xf numFmtId="0" fontId="10" fillId="0" borderId="0"/>
    <xf numFmtId="0" fontId="9" fillId="0" borderId="0"/>
    <xf numFmtId="0" fontId="6" fillId="0" borderId="0"/>
    <xf numFmtId="0" fontId="6" fillId="0" borderId="0"/>
    <xf numFmtId="0" fontId="5" fillId="0" borderId="0"/>
    <xf numFmtId="0" fontId="5" fillId="0" borderId="0"/>
  </cellStyleXfs>
  <cellXfs count="568">
    <xf numFmtId="0" fontId="0" fillId="0" borderId="0" xfId="0"/>
    <xf numFmtId="0" fontId="40" fillId="24" borderId="0" xfId="59" applyFont="1" applyFill="1" applyAlignment="1">
      <alignment vertical="center" wrapText="1"/>
    </xf>
    <xf numFmtId="0" fontId="50" fillId="26" borderId="31" xfId="59" applyFont="1" applyFill="1" applyBorder="1" applyAlignment="1">
      <alignment horizontal="left" wrapText="1"/>
    </xf>
    <xf numFmtId="0" fontId="51" fillId="26" borderId="22" xfId="59" applyFont="1" applyFill="1" applyBorder="1" applyAlignment="1">
      <alignment horizontal="left" wrapText="1"/>
    </xf>
    <xf numFmtId="0" fontId="50" fillId="26" borderId="16" xfId="59" applyFont="1" applyFill="1" applyBorder="1" applyAlignment="1">
      <alignment horizontal="left" wrapText="1"/>
    </xf>
    <xf numFmtId="0" fontId="50" fillId="26" borderId="15" xfId="59" applyFont="1" applyFill="1" applyBorder="1" applyAlignment="1">
      <alignment horizontal="left" wrapText="1"/>
    </xf>
    <xf numFmtId="0" fontId="38" fillId="24" borderId="0" xfId="59" applyFont="1" applyFill="1"/>
    <xf numFmtId="0" fontId="53" fillId="24" borderId="0" xfId="64" applyFont="1" applyFill="1"/>
    <xf numFmtId="0" fontId="49" fillId="24" borderId="17" xfId="66" applyFont="1" applyFill="1" applyBorder="1" applyAlignment="1">
      <alignment horizontal="center" vertical="center"/>
    </xf>
    <xf numFmtId="0" fontId="49" fillId="24" borderId="17" xfId="66" applyFont="1" applyFill="1" applyBorder="1" applyAlignment="1">
      <alignment horizontal="center" vertical="center" wrapText="1"/>
    </xf>
    <xf numFmtId="0" fontId="49" fillId="24" borderId="25" xfId="66" applyFont="1" applyFill="1" applyBorder="1" applyAlignment="1">
      <alignment horizontal="center" vertical="center"/>
    </xf>
    <xf numFmtId="0" fontId="49" fillId="24" borderId="26" xfId="66" applyFont="1" applyFill="1" applyBorder="1" applyAlignment="1">
      <alignment horizontal="center" vertical="center"/>
    </xf>
    <xf numFmtId="0" fontId="39" fillId="24" borderId="25" xfId="66" applyFont="1" applyFill="1" applyBorder="1" applyAlignment="1">
      <alignment horizontal="center" vertical="center"/>
    </xf>
    <xf numFmtId="0" fontId="49" fillId="24" borderId="25" xfId="66" applyFont="1" applyFill="1" applyBorder="1" applyAlignment="1">
      <alignment horizontal="center" vertical="center" wrapText="1"/>
    </xf>
    <xf numFmtId="0" fontId="49" fillId="24" borderId="26" xfId="66" applyFont="1" applyFill="1" applyBorder="1" applyAlignment="1">
      <alignment horizontal="center" vertical="center" wrapText="1"/>
    </xf>
    <xf numFmtId="0" fontId="49" fillId="24" borderId="33" xfId="66" applyFont="1" applyFill="1" applyBorder="1" applyAlignment="1">
      <alignment horizontal="center" vertical="center"/>
    </xf>
    <xf numFmtId="0" fontId="39" fillId="24" borderId="17" xfId="66" applyFont="1" applyFill="1" applyBorder="1" applyAlignment="1">
      <alignment horizontal="center" vertical="center"/>
    </xf>
    <xf numFmtId="0" fontId="49" fillId="24" borderId="33" xfId="66" applyFont="1" applyFill="1" applyBorder="1" applyAlignment="1">
      <alignment horizontal="center" vertical="center" wrapText="1"/>
    </xf>
    <xf numFmtId="0" fontId="49" fillId="24" borderId="24" xfId="66" applyFont="1" applyFill="1" applyBorder="1" applyAlignment="1">
      <alignment horizontal="left" vertical="center" wrapText="1"/>
    </xf>
    <xf numFmtId="0" fontId="49" fillId="24" borderId="32" xfId="66" applyFont="1" applyFill="1" applyBorder="1" applyAlignment="1">
      <alignment horizontal="left" vertical="center" wrapText="1"/>
    </xf>
    <xf numFmtId="0" fontId="49" fillId="24" borderId="24" xfId="66" applyFont="1" applyFill="1" applyBorder="1" applyAlignment="1">
      <alignment horizontal="left" vertical="center"/>
    </xf>
    <xf numFmtId="0" fontId="49" fillId="24" borderId="25" xfId="66" applyFont="1" applyFill="1" applyBorder="1" applyAlignment="1">
      <alignment horizontal="left" vertical="center"/>
    </xf>
    <xf numFmtId="0" fontId="49" fillId="24" borderId="32" xfId="66" applyFont="1" applyFill="1" applyBorder="1" applyAlignment="1">
      <alignment horizontal="left" vertical="center"/>
    </xf>
    <xf numFmtId="0" fontId="49" fillId="24" borderId="17" xfId="66" applyFont="1" applyFill="1" applyBorder="1" applyAlignment="1">
      <alignment horizontal="left" vertical="center"/>
    </xf>
    <xf numFmtId="0" fontId="39" fillId="24" borderId="17" xfId="66" applyFont="1" applyFill="1" applyBorder="1" applyAlignment="1">
      <alignment horizontal="left" vertical="center" wrapText="1"/>
    </xf>
    <xf numFmtId="0" fontId="38" fillId="24" borderId="0" xfId="59" applyFont="1" applyFill="1" applyAlignment="1">
      <alignment horizontal="left"/>
    </xf>
    <xf numFmtId="0" fontId="39" fillId="24" borderId="25" xfId="66" applyFont="1" applyFill="1" applyBorder="1" applyAlignment="1">
      <alignment horizontal="left" vertical="center" wrapText="1"/>
    </xf>
    <xf numFmtId="0" fontId="49" fillId="0" borderId="36" xfId="66" applyFont="1" applyBorder="1" applyAlignment="1">
      <alignment horizontal="left" vertical="center" wrapText="1"/>
    </xf>
    <xf numFmtId="0" fontId="38" fillId="24" borderId="0" xfId="59" applyFont="1" applyFill="1" applyAlignment="1">
      <alignment horizontal="left" wrapText="1"/>
    </xf>
    <xf numFmtId="0" fontId="39" fillId="24" borderId="27" xfId="66" applyFont="1" applyFill="1" applyBorder="1" applyAlignment="1">
      <alignment horizontal="left" vertical="center" wrapText="1"/>
    </xf>
    <xf numFmtId="0" fontId="39" fillId="24" borderId="11" xfId="66" applyFont="1" applyFill="1" applyBorder="1" applyAlignment="1">
      <alignment horizontal="left" vertical="center" wrapText="1"/>
    </xf>
    <xf numFmtId="0" fontId="38" fillId="24" borderId="0" xfId="59" applyFont="1" applyFill="1" applyAlignment="1">
      <alignment wrapText="1"/>
    </xf>
    <xf numFmtId="0" fontId="49" fillId="0" borderId="13" xfId="66" applyFont="1" applyBorder="1" applyAlignment="1">
      <alignment horizontal="center" vertical="center"/>
    </xf>
    <xf numFmtId="0" fontId="49" fillId="0" borderId="38" xfId="66" applyFont="1" applyBorder="1" applyAlignment="1">
      <alignment horizontal="center" vertical="center"/>
    </xf>
    <xf numFmtId="0" fontId="40" fillId="0" borderId="17" xfId="0" applyFont="1" applyBorder="1" applyAlignment="1">
      <alignment horizontal="left" vertical="center" wrapText="1"/>
    </xf>
    <xf numFmtId="0" fontId="49" fillId="27" borderId="28" xfId="66" applyFont="1" applyFill="1" applyBorder="1" applyAlignment="1">
      <alignment horizontal="left" vertical="center" wrapText="1"/>
    </xf>
    <xf numFmtId="0" fontId="39" fillId="27" borderId="39" xfId="66" applyFont="1" applyFill="1" applyBorder="1" applyAlignment="1">
      <alignment horizontal="left" vertical="center" wrapText="1"/>
    </xf>
    <xf numFmtId="0" fontId="49" fillId="27" borderId="29" xfId="66" applyFont="1" applyFill="1" applyBorder="1" applyAlignment="1">
      <alignment horizontal="center" vertical="center"/>
    </xf>
    <xf numFmtId="0" fontId="49" fillId="27" borderId="30" xfId="66" applyFont="1" applyFill="1" applyBorder="1" applyAlignment="1">
      <alignment horizontal="center" vertical="center"/>
    </xf>
    <xf numFmtId="0" fontId="49" fillId="27" borderId="29" xfId="66" applyFont="1" applyFill="1" applyBorder="1" applyAlignment="1">
      <alignment horizontal="left" vertical="center"/>
    </xf>
    <xf numFmtId="0" fontId="39" fillId="27" borderId="29" xfId="66" applyFont="1" applyFill="1" applyBorder="1" applyAlignment="1">
      <alignment horizontal="center" vertical="center"/>
    </xf>
    <xf numFmtId="0" fontId="39" fillId="27" borderId="29" xfId="66" applyFont="1" applyFill="1" applyBorder="1" applyAlignment="1">
      <alignment horizontal="left" vertical="center" wrapText="1"/>
    </xf>
    <xf numFmtId="0" fontId="49" fillId="27" borderId="29" xfId="66" applyFont="1" applyFill="1" applyBorder="1" applyAlignment="1">
      <alignment horizontal="center" vertical="center" wrapText="1"/>
    </xf>
    <xf numFmtId="0" fontId="49" fillId="27" borderId="30" xfId="66" applyFont="1" applyFill="1" applyBorder="1" applyAlignment="1">
      <alignment horizontal="center" vertical="center" wrapText="1"/>
    </xf>
    <xf numFmtId="0" fontId="41" fillId="28" borderId="19" xfId="35" applyFont="1" applyFill="1" applyBorder="1" applyAlignment="1">
      <alignment horizontal="center" vertical="center" wrapText="1"/>
    </xf>
    <xf numFmtId="0" fontId="39" fillId="28" borderId="20" xfId="35" applyFont="1" applyFill="1" applyBorder="1" applyAlignment="1" applyProtection="1">
      <alignment horizontal="center" vertical="center" wrapText="1"/>
      <protection locked="0"/>
    </xf>
    <xf numFmtId="0" fontId="41" fillId="28" borderId="20" xfId="35" applyFont="1" applyFill="1" applyBorder="1" applyAlignment="1" applyProtection="1">
      <alignment horizontal="center" vertical="center" wrapText="1"/>
      <protection locked="0"/>
    </xf>
    <xf numFmtId="0" fontId="41" fillId="28" borderId="21" xfId="35" applyFont="1" applyFill="1" applyBorder="1" applyAlignment="1" applyProtection="1">
      <alignment horizontal="center" vertical="center" wrapText="1"/>
      <protection locked="0"/>
    </xf>
    <xf numFmtId="0" fontId="40" fillId="0" borderId="17" xfId="0" applyFont="1" applyBorder="1" applyAlignment="1">
      <alignment horizontal="center" vertical="center" wrapText="1"/>
    </xf>
    <xf numFmtId="0" fontId="39" fillId="0" borderId="37" xfId="66" applyFont="1" applyBorder="1" applyAlignment="1">
      <alignment horizontal="left" vertical="center" wrapText="1"/>
    </xf>
    <xf numFmtId="0" fontId="49" fillId="0" borderId="13" xfId="66" applyFont="1" applyBorder="1" applyAlignment="1">
      <alignment horizontal="left" vertical="center"/>
    </xf>
    <xf numFmtId="0" fontId="39" fillId="0" borderId="13" xfId="66" applyFont="1" applyBorder="1" applyAlignment="1">
      <alignment horizontal="center" vertical="center"/>
    </xf>
    <xf numFmtId="0" fontId="39" fillId="0" borderId="13" xfId="66" applyFont="1" applyBorder="1" applyAlignment="1">
      <alignment horizontal="left" vertical="center" wrapText="1"/>
    </xf>
    <xf numFmtId="0" fontId="49" fillId="0" borderId="13" xfId="66" applyFont="1" applyBorder="1" applyAlignment="1">
      <alignment horizontal="center" vertical="center" wrapText="1"/>
    </xf>
    <xf numFmtId="0" fontId="49" fillId="0" borderId="38" xfId="66" applyFont="1" applyBorder="1" applyAlignment="1">
      <alignment horizontal="center" vertical="center" wrapText="1"/>
    </xf>
    <xf numFmtId="0" fontId="41" fillId="30" borderId="32" xfId="0" applyFont="1" applyFill="1" applyBorder="1" applyAlignment="1" applyProtection="1">
      <alignment horizontal="center" vertical="center" wrapText="1"/>
      <protection locked="0"/>
    </xf>
    <xf numFmtId="0" fontId="39" fillId="30" borderId="17" xfId="0" applyFont="1" applyFill="1" applyBorder="1" applyAlignment="1" applyProtection="1">
      <alignment horizontal="center" vertical="center" wrapText="1"/>
      <protection locked="0"/>
    </xf>
    <xf numFmtId="0" fontId="41" fillId="30" borderId="17" xfId="0" applyFont="1" applyFill="1" applyBorder="1" applyAlignment="1" applyProtection="1">
      <alignment horizontal="center" vertical="center" wrapText="1"/>
      <protection locked="0"/>
    </xf>
    <xf numFmtId="0" fontId="41" fillId="30" borderId="33" xfId="0" applyFont="1" applyFill="1" applyBorder="1" applyAlignment="1" applyProtection="1">
      <alignment horizontal="center" vertical="center" wrapText="1"/>
      <protection locked="0"/>
    </xf>
    <xf numFmtId="0" fontId="41" fillId="31" borderId="32" xfId="0" applyFont="1" applyFill="1" applyBorder="1" applyAlignment="1">
      <alignment horizontal="center" vertical="center" wrapText="1"/>
    </xf>
    <xf numFmtId="0" fontId="39" fillId="31" borderId="17" xfId="0" applyFont="1" applyFill="1" applyBorder="1" applyAlignment="1">
      <alignment horizontal="center" vertical="center" wrapText="1"/>
    </xf>
    <xf numFmtId="0" fontId="41" fillId="31" borderId="17" xfId="0" applyFont="1" applyFill="1" applyBorder="1" applyAlignment="1" applyProtection="1">
      <alignment horizontal="center" vertical="center" wrapText="1"/>
      <protection locked="0"/>
    </xf>
    <xf numFmtId="0" fontId="41" fillId="31" borderId="33" xfId="0" applyFont="1" applyFill="1" applyBorder="1" applyAlignment="1" applyProtection="1">
      <alignment horizontal="center" vertical="center" wrapText="1"/>
      <protection locked="0"/>
    </xf>
    <xf numFmtId="0" fontId="41" fillId="32" borderId="32" xfId="0" applyFont="1" applyFill="1" applyBorder="1" applyAlignment="1" applyProtection="1">
      <alignment horizontal="center" vertical="center" wrapText="1"/>
      <protection locked="0"/>
    </xf>
    <xf numFmtId="0" fontId="39" fillId="32" borderId="17" xfId="0" applyFont="1" applyFill="1" applyBorder="1" applyAlignment="1" applyProtection="1">
      <alignment horizontal="center" vertical="center" wrapText="1"/>
      <protection locked="0"/>
    </xf>
    <xf numFmtId="0" fontId="41" fillId="32" borderId="17" xfId="0" applyFont="1" applyFill="1" applyBorder="1" applyAlignment="1" applyProtection="1">
      <alignment horizontal="center" vertical="center" wrapText="1"/>
      <protection locked="0"/>
    </xf>
    <xf numFmtId="0" fontId="41" fillId="32" borderId="33" xfId="0" applyFont="1" applyFill="1" applyBorder="1" applyAlignment="1" applyProtection="1">
      <alignment horizontal="center" vertical="center" wrapText="1"/>
      <protection locked="0"/>
    </xf>
    <xf numFmtId="0" fontId="41" fillId="33" borderId="32" xfId="0" applyFont="1" applyFill="1" applyBorder="1" applyAlignment="1">
      <alignment horizontal="center" vertical="center" wrapText="1"/>
    </xf>
    <xf numFmtId="0" fontId="39" fillId="33" borderId="17" xfId="0" applyFont="1" applyFill="1" applyBorder="1" applyAlignment="1" applyProtection="1">
      <alignment horizontal="center" vertical="center" wrapText="1"/>
      <protection locked="0"/>
    </xf>
    <xf numFmtId="0" fontId="41" fillId="33" borderId="17" xfId="0" applyFont="1" applyFill="1" applyBorder="1" applyAlignment="1" applyProtection="1">
      <alignment horizontal="center" vertical="center" wrapText="1"/>
      <protection locked="0"/>
    </xf>
    <xf numFmtId="0" fontId="41" fillId="33" borderId="33" xfId="0" applyFont="1" applyFill="1" applyBorder="1" applyAlignment="1" applyProtection="1">
      <alignment horizontal="center" vertical="center" wrapText="1"/>
      <protection locked="0"/>
    </xf>
    <xf numFmtId="0" fontId="41" fillId="34" borderId="32" xfId="0" applyFont="1" applyFill="1" applyBorder="1" applyAlignment="1">
      <alignment horizontal="center" vertical="center" wrapText="1"/>
    </xf>
    <xf numFmtId="0" fontId="39" fillId="34" borderId="17" xfId="0" applyFont="1" applyFill="1" applyBorder="1" applyAlignment="1" applyProtection="1">
      <alignment horizontal="center" vertical="center" wrapText="1"/>
      <protection locked="0"/>
    </xf>
    <xf numFmtId="0" fontId="41" fillId="34" borderId="17" xfId="0" applyFont="1" applyFill="1" applyBorder="1" applyAlignment="1" applyProtection="1">
      <alignment horizontal="center" vertical="center" wrapText="1"/>
      <protection locked="0"/>
    </xf>
    <xf numFmtId="0" fontId="41" fillId="34" borderId="33" xfId="0" applyFont="1" applyFill="1" applyBorder="1" applyAlignment="1" applyProtection="1">
      <alignment horizontal="center" vertical="center" wrapText="1"/>
      <protection locked="0"/>
    </xf>
    <xf numFmtId="0" fontId="38" fillId="0" borderId="25" xfId="66" applyFont="1" applyBorder="1" applyAlignment="1">
      <alignment horizontal="left" vertical="center" wrapText="1"/>
    </xf>
    <xf numFmtId="0" fontId="40" fillId="0" borderId="36" xfId="66" applyFont="1" applyBorder="1" applyAlignment="1">
      <alignment horizontal="left" vertical="center" wrapText="1"/>
    </xf>
    <xf numFmtId="0" fontId="38" fillId="0" borderId="37" xfId="66" applyFont="1" applyBorder="1" applyAlignment="1">
      <alignment horizontal="left" vertical="center" wrapText="1"/>
    </xf>
    <xf numFmtId="0" fontId="40" fillId="0" borderId="13" xfId="66" applyFont="1" applyBorder="1" applyAlignment="1">
      <alignment horizontal="center" vertical="center"/>
    </xf>
    <xf numFmtId="0" fontId="40" fillId="0" borderId="38" xfId="66" applyFont="1" applyBorder="1" applyAlignment="1">
      <alignment horizontal="center" vertical="center"/>
    </xf>
    <xf numFmtId="0" fontId="40" fillId="0" borderId="32" xfId="66" applyFont="1" applyBorder="1" applyAlignment="1">
      <alignment horizontal="left" vertical="center" wrapText="1"/>
    </xf>
    <xf numFmtId="0" fontId="38" fillId="0" borderId="17" xfId="66" applyFont="1" applyBorder="1" applyAlignment="1">
      <alignment horizontal="left" vertical="center" wrapText="1"/>
    </xf>
    <xf numFmtId="0" fontId="40" fillId="0" borderId="17" xfId="66" applyFont="1" applyBorder="1" applyAlignment="1">
      <alignment horizontal="center" vertical="center"/>
    </xf>
    <xf numFmtId="0" fontId="40" fillId="0" borderId="33" xfId="66" applyFont="1" applyBorder="1" applyAlignment="1">
      <alignment horizontal="center" vertical="center"/>
    </xf>
    <xf numFmtId="0" fontId="40" fillId="0" borderId="17" xfId="66" applyFont="1" applyBorder="1" applyAlignment="1">
      <alignment horizontal="center" vertical="center" wrapText="1"/>
    </xf>
    <xf numFmtId="0" fontId="40" fillId="0" borderId="33" xfId="66" applyFont="1" applyBorder="1" applyAlignment="1">
      <alignment horizontal="center" vertical="center" wrapText="1"/>
    </xf>
    <xf numFmtId="0" fontId="38" fillId="0" borderId="13" xfId="66" applyFont="1" applyBorder="1" applyAlignment="1">
      <alignment horizontal="left" vertical="center" wrapText="1"/>
    </xf>
    <xf numFmtId="0" fontId="40" fillId="0" borderId="38" xfId="66" applyFont="1" applyBorder="1" applyAlignment="1">
      <alignment horizontal="center" vertical="center" wrapText="1"/>
    </xf>
    <xf numFmtId="0" fontId="40" fillId="0" borderId="32" xfId="66" applyFont="1" applyBorder="1" applyAlignment="1">
      <alignment horizontal="left" vertical="center"/>
    </xf>
    <xf numFmtId="0" fontId="40" fillId="0" borderId="17" xfId="66" applyFont="1" applyBorder="1" applyAlignment="1">
      <alignment horizontal="left" vertical="center"/>
    </xf>
    <xf numFmtId="0" fontId="38" fillId="0" borderId="17" xfId="66" applyFont="1" applyBorder="1" applyAlignment="1">
      <alignment horizontal="center" vertical="center"/>
    </xf>
    <xf numFmtId="0" fontId="38" fillId="0" borderId="17" xfId="0" applyFont="1" applyBorder="1" applyAlignment="1">
      <alignment horizontal="left" vertical="center" wrapText="1"/>
    </xf>
    <xf numFmtId="0" fontId="40" fillId="0" borderId="33" xfId="0" applyFont="1" applyBorder="1" applyAlignment="1">
      <alignment horizontal="center" vertical="center" wrapText="1"/>
    </xf>
    <xf numFmtId="0" fontId="40" fillId="0" borderId="13" xfId="66" applyFont="1" applyBorder="1" applyAlignment="1">
      <alignment horizontal="center" vertical="center" wrapText="1"/>
    </xf>
    <xf numFmtId="0" fontId="40" fillId="0" borderId="24" xfId="66" applyFont="1" applyBorder="1" applyAlignment="1">
      <alignment horizontal="left" vertical="center" wrapText="1"/>
    </xf>
    <xf numFmtId="0" fontId="38" fillId="0" borderId="27" xfId="66" applyFont="1" applyBorder="1" applyAlignment="1">
      <alignment horizontal="left" vertical="center" wrapText="1"/>
    </xf>
    <xf numFmtId="0" fontId="40" fillId="0" borderId="25" xfId="66" applyFont="1" applyBorder="1" applyAlignment="1">
      <alignment horizontal="center" vertical="center"/>
    </xf>
    <xf numFmtId="0" fontId="40" fillId="0" borderId="26" xfId="66" applyFont="1" applyBorder="1" applyAlignment="1">
      <alignment horizontal="center" vertical="center"/>
    </xf>
    <xf numFmtId="0" fontId="40" fillId="0" borderId="24" xfId="66" applyFont="1" applyBorder="1" applyAlignment="1">
      <alignment horizontal="left" vertical="center"/>
    </xf>
    <xf numFmtId="0" fontId="40" fillId="0" borderId="25" xfId="66" applyFont="1" applyBorder="1" applyAlignment="1">
      <alignment horizontal="left" vertical="center"/>
    </xf>
    <xf numFmtId="0" fontId="38" fillId="0" borderId="25" xfId="66" applyFont="1" applyBorder="1" applyAlignment="1">
      <alignment horizontal="center" vertical="center"/>
    </xf>
    <xf numFmtId="0" fontId="40" fillId="0" borderId="25" xfId="66" applyFont="1" applyBorder="1" applyAlignment="1">
      <alignment horizontal="center" vertical="center" wrapText="1"/>
    </xf>
    <xf numFmtId="0" fontId="40" fillId="0" borderId="26" xfId="66" applyFont="1" applyBorder="1" applyAlignment="1">
      <alignment horizontal="center" vertical="center" wrapText="1"/>
    </xf>
    <xf numFmtId="0" fontId="38" fillId="0" borderId="25" xfId="65" applyFont="1" applyBorder="1" applyAlignment="1">
      <alignment horizontal="left" vertical="center" wrapText="1"/>
    </xf>
    <xf numFmtId="0" fontId="38" fillId="0" borderId="25" xfId="65" applyFont="1" applyBorder="1" applyAlignment="1">
      <alignment horizontal="center" vertical="center"/>
    </xf>
    <xf numFmtId="0" fontId="40" fillId="0" borderId="26" xfId="65" applyFont="1" applyBorder="1" applyAlignment="1">
      <alignment horizontal="center" vertical="center"/>
    </xf>
    <xf numFmtId="0" fontId="40" fillId="0" borderId="24" xfId="65" applyFont="1" applyBorder="1" applyAlignment="1">
      <alignment horizontal="left" vertical="center" wrapText="1"/>
    </xf>
    <xf numFmtId="0" fontId="38" fillId="0" borderId="17" xfId="65" applyFont="1" applyBorder="1" applyAlignment="1">
      <alignment horizontal="left" vertical="center" wrapText="1"/>
    </xf>
    <xf numFmtId="0" fontId="38" fillId="0" borderId="17" xfId="65" applyFont="1" applyBorder="1" applyAlignment="1">
      <alignment horizontal="center" vertical="center"/>
    </xf>
    <xf numFmtId="0" fontId="40" fillId="0" borderId="33" xfId="65" applyFont="1" applyBorder="1" applyAlignment="1">
      <alignment horizontal="center" vertical="center"/>
    </xf>
    <xf numFmtId="0" fontId="40" fillId="0" borderId="32" xfId="65" applyFont="1" applyBorder="1" applyAlignment="1">
      <alignment horizontal="left" vertical="center" wrapText="1"/>
    </xf>
    <xf numFmtId="0" fontId="38" fillId="27" borderId="29" xfId="65" applyFont="1" applyFill="1" applyBorder="1" applyAlignment="1">
      <alignment horizontal="left" vertical="center" wrapText="1"/>
    </xf>
    <xf numFmtId="0" fontId="38" fillId="27" borderId="29" xfId="65" applyFont="1" applyFill="1" applyBorder="1" applyAlignment="1">
      <alignment horizontal="center" vertical="center"/>
    </xf>
    <xf numFmtId="0" fontId="40" fillId="27" borderId="30" xfId="65" applyFont="1" applyFill="1" applyBorder="1" applyAlignment="1">
      <alignment horizontal="center" vertical="center"/>
    </xf>
    <xf numFmtId="0" fontId="40" fillId="27" borderId="28" xfId="65" applyFont="1" applyFill="1" applyBorder="1" applyAlignment="1">
      <alignment horizontal="left" vertical="center" wrapText="1"/>
    </xf>
    <xf numFmtId="0" fontId="62" fillId="0" borderId="0" xfId="64" applyFont="1"/>
    <xf numFmtId="0" fontId="62" fillId="0" borderId="36" xfId="66" applyFont="1" applyBorder="1" applyAlignment="1">
      <alignment horizontal="left" vertical="center" wrapText="1"/>
    </xf>
    <xf numFmtId="0" fontId="62" fillId="0" borderId="13" xfId="66" applyFont="1" applyBorder="1" applyAlignment="1">
      <alignment horizontal="center" vertical="center"/>
    </xf>
    <xf numFmtId="0" fontId="62" fillId="0" borderId="38" xfId="66" applyFont="1" applyBorder="1" applyAlignment="1">
      <alignment horizontal="center" vertical="center"/>
    </xf>
    <xf numFmtId="0" fontId="62" fillId="0" borderId="17" xfId="66" applyFont="1" applyBorder="1" applyAlignment="1">
      <alignment horizontal="left" vertical="center"/>
    </xf>
    <xf numFmtId="0" fontId="62" fillId="0" borderId="17" xfId="66" applyFont="1" applyBorder="1" applyAlignment="1">
      <alignment horizontal="center" vertical="center"/>
    </xf>
    <xf numFmtId="0" fontId="62" fillId="0" borderId="33" xfId="66" applyFont="1" applyBorder="1" applyAlignment="1">
      <alignment horizontal="center" vertical="center"/>
    </xf>
    <xf numFmtId="0" fontId="62" fillId="0" borderId="32" xfId="66" applyFont="1" applyBorder="1" applyAlignment="1">
      <alignment horizontal="left" vertical="center" wrapText="1"/>
    </xf>
    <xf numFmtId="0" fontId="62" fillId="0" borderId="17" xfId="66" applyFont="1" applyBorder="1" applyAlignment="1">
      <alignment horizontal="center" vertical="center" wrapText="1"/>
    </xf>
    <xf numFmtId="0" fontId="50" fillId="0" borderId="33" xfId="66" applyFont="1" applyBorder="1" applyAlignment="1">
      <alignment horizontal="center" vertical="center" wrapText="1"/>
    </xf>
    <xf numFmtId="0" fontId="50" fillId="0" borderId="36" xfId="66" applyFont="1" applyBorder="1" applyAlignment="1">
      <alignment horizontal="left" vertical="center" wrapText="1"/>
    </xf>
    <xf numFmtId="0" fontId="62" fillId="0" borderId="38" xfId="66" applyFont="1" applyBorder="1" applyAlignment="1">
      <alignment horizontal="center" vertical="center" wrapText="1"/>
    </xf>
    <xf numFmtId="0" fontId="62" fillId="24" borderId="0" xfId="64" applyFont="1" applyFill="1"/>
    <xf numFmtId="0" fontId="63" fillId="0" borderId="0" xfId="64" applyFont="1"/>
    <xf numFmtId="0" fontId="50" fillId="0" borderId="13" xfId="66" applyFont="1" applyBorder="1" applyAlignment="1">
      <alignment horizontal="center" vertical="center"/>
    </xf>
    <xf numFmtId="0" fontId="50" fillId="0" borderId="38" xfId="66" applyFont="1" applyBorder="1" applyAlignment="1">
      <alignment horizontal="center" vertical="center"/>
    </xf>
    <xf numFmtId="0" fontId="50" fillId="0" borderId="17" xfId="66" applyFont="1" applyBorder="1" applyAlignment="1">
      <alignment horizontal="left" vertical="center"/>
    </xf>
    <xf numFmtId="0" fontId="51" fillId="0" borderId="17" xfId="66" applyFont="1" applyBorder="1" applyAlignment="1">
      <alignment horizontal="center" vertical="center"/>
    </xf>
    <xf numFmtId="0" fontId="50" fillId="0" borderId="33" xfId="66" applyFont="1" applyBorder="1" applyAlignment="1">
      <alignment horizontal="center" vertical="center"/>
    </xf>
    <xf numFmtId="0" fontId="50" fillId="0" borderId="32" xfId="66" applyFont="1" applyBorder="1" applyAlignment="1">
      <alignment horizontal="left" vertical="center" wrapText="1"/>
    </xf>
    <xf numFmtId="0" fontId="50" fillId="0" borderId="17" xfId="66" applyFont="1" applyBorder="1" applyAlignment="1">
      <alignment horizontal="center" vertical="center" wrapText="1"/>
    </xf>
    <xf numFmtId="0" fontId="50" fillId="0" borderId="38" xfId="66" applyFont="1" applyBorder="1" applyAlignment="1">
      <alignment horizontal="center" vertical="center" wrapText="1"/>
    </xf>
    <xf numFmtId="0" fontId="63" fillId="24" borderId="0" xfId="64" applyFont="1" applyFill="1"/>
    <xf numFmtId="0" fontId="43" fillId="24" borderId="0" xfId="0" applyFont="1" applyFill="1" applyAlignment="1">
      <alignment vertical="center"/>
    </xf>
    <xf numFmtId="0" fontId="40" fillId="24" borderId="0" xfId="0" applyFont="1" applyFill="1"/>
    <xf numFmtId="0" fontId="40" fillId="24" borderId="0" xfId="0" quotePrefix="1" applyFont="1" applyFill="1" applyAlignment="1">
      <alignment horizontal="left"/>
    </xf>
    <xf numFmtId="0" fontId="40" fillId="24" borderId="0" xfId="0" applyFont="1" applyFill="1" applyAlignment="1">
      <alignment horizontal="justify" wrapText="1"/>
    </xf>
    <xf numFmtId="0" fontId="40" fillId="24" borderId="0" xfId="59" applyFont="1" applyFill="1"/>
    <xf numFmtId="0" fontId="40" fillId="24" borderId="0" xfId="59" applyFont="1" applyFill="1" applyAlignment="1">
      <alignment horizontal="left" vertical="center"/>
    </xf>
    <xf numFmtId="14" fontId="40" fillId="24" borderId="0" xfId="0" applyNumberFormat="1" applyFont="1" applyFill="1" applyAlignment="1">
      <alignment horizontal="center" vertical="center" wrapText="1"/>
    </xf>
    <xf numFmtId="0" fontId="40" fillId="24" borderId="0" xfId="0" applyFont="1" applyFill="1" applyAlignment="1">
      <alignment horizontal="justify" vertical="center" wrapText="1"/>
    </xf>
    <xf numFmtId="0" fontId="48" fillId="24" borderId="0" xfId="0" applyFont="1" applyFill="1" applyAlignment="1">
      <alignment horizontal="center" vertical="center"/>
    </xf>
    <xf numFmtId="0" fontId="62" fillId="0" borderId="33" xfId="66" applyFont="1" applyBorder="1" applyAlignment="1">
      <alignment horizontal="center" vertical="center" wrapText="1"/>
    </xf>
    <xf numFmtId="0" fontId="62" fillId="0" borderId="13" xfId="66" applyFont="1" applyBorder="1" applyAlignment="1">
      <alignment horizontal="left" vertical="center" wrapText="1"/>
    </xf>
    <xf numFmtId="0" fontId="44" fillId="25" borderId="18" xfId="0" applyFont="1" applyFill="1" applyBorder="1" applyAlignment="1">
      <alignment vertical="center" wrapText="1"/>
    </xf>
    <xf numFmtId="0" fontId="9" fillId="24" borderId="0" xfId="0" applyFont="1" applyFill="1"/>
    <xf numFmtId="0" fontId="45" fillId="0" borderId="40" xfId="0" applyFont="1" applyBorder="1" applyAlignment="1">
      <alignment vertical="center"/>
    </xf>
    <xf numFmtId="0" fontId="40" fillId="0" borderId="54" xfId="32" applyFont="1" applyFill="1" applyBorder="1" applyAlignment="1" applyProtection="1">
      <alignment vertical="center" wrapText="1"/>
    </xf>
    <xf numFmtId="0" fontId="38" fillId="0" borderId="55" xfId="0" applyFont="1" applyBorder="1" applyAlignment="1">
      <alignment vertical="center" wrapText="1"/>
    </xf>
    <xf numFmtId="0" fontId="44" fillId="25" borderId="54" xfId="0" applyFont="1" applyFill="1" applyBorder="1" applyAlignment="1">
      <alignment vertical="center" wrapText="1"/>
    </xf>
    <xf numFmtId="0" fontId="44" fillId="25" borderId="55" xfId="0" applyFont="1" applyFill="1" applyBorder="1" applyAlignment="1">
      <alignment vertical="center" wrapText="1"/>
    </xf>
    <xf numFmtId="0" fontId="45" fillId="0" borderId="55" xfId="0" applyFont="1" applyBorder="1" applyAlignment="1">
      <alignment vertical="center"/>
    </xf>
    <xf numFmtId="0" fontId="44" fillId="25" borderId="56" xfId="0" applyFont="1" applyFill="1" applyBorder="1" applyAlignment="1">
      <alignment vertical="center" wrapText="1"/>
    </xf>
    <xf numFmtId="0" fontId="40" fillId="24" borderId="57" xfId="59" applyFont="1" applyFill="1" applyBorder="1" applyAlignment="1">
      <alignment horizontal="left" vertical="center" wrapText="1"/>
    </xf>
    <xf numFmtId="0" fontId="41" fillId="25" borderId="24" xfId="0" applyFont="1" applyFill="1" applyBorder="1" applyAlignment="1">
      <alignment horizontal="centerContinuous" vertical="center" wrapText="1"/>
    </xf>
    <xf numFmtId="0" fontId="41" fillId="25" borderId="25" xfId="0" applyFont="1" applyFill="1" applyBorder="1" applyAlignment="1">
      <alignment horizontal="centerContinuous" vertical="center" wrapText="1"/>
    </xf>
    <xf numFmtId="0" fontId="41" fillId="25" borderId="26" xfId="0" applyFont="1" applyFill="1" applyBorder="1" applyAlignment="1">
      <alignment horizontal="centerContinuous" vertical="center" wrapText="1"/>
    </xf>
    <xf numFmtId="14" fontId="40" fillId="0" borderId="28" xfId="0" applyNumberFormat="1" applyFont="1" applyBorder="1" applyAlignment="1">
      <alignment horizontal="center" vertical="center" wrapText="1"/>
    </xf>
    <xf numFmtId="14" fontId="40" fillId="0" borderId="29" xfId="0" applyNumberFormat="1" applyFont="1" applyBorder="1" applyAlignment="1">
      <alignment horizontal="center" vertical="center" wrapText="1"/>
    </xf>
    <xf numFmtId="0" fontId="40" fillId="24" borderId="58" xfId="59" applyFont="1" applyFill="1" applyBorder="1" applyAlignment="1">
      <alignment horizontal="left" vertical="center" wrapText="1"/>
    </xf>
    <xf numFmtId="0" fontId="40" fillId="24" borderId="59" xfId="59" applyFont="1" applyFill="1" applyBorder="1" applyAlignment="1">
      <alignment horizontal="left" vertical="center" wrapText="1"/>
    </xf>
    <xf numFmtId="0" fontId="40" fillId="24" borderId="39" xfId="59" applyFont="1" applyFill="1" applyBorder="1" applyAlignment="1">
      <alignment horizontal="left" vertical="center" wrapText="1"/>
    </xf>
    <xf numFmtId="0" fontId="40" fillId="24" borderId="53" xfId="59" applyFont="1" applyFill="1" applyBorder="1" applyAlignment="1">
      <alignment horizontal="left" vertical="center" wrapText="1"/>
    </xf>
    <xf numFmtId="0" fontId="40" fillId="24" borderId="48" xfId="59" applyFont="1" applyFill="1" applyBorder="1" applyAlignment="1">
      <alignment horizontal="left" vertical="center" wrapText="1"/>
    </xf>
    <xf numFmtId="0" fontId="49" fillId="25" borderId="60" xfId="59" applyFont="1" applyFill="1" applyBorder="1" applyAlignment="1">
      <alignment horizontal="centerContinuous"/>
    </xf>
    <xf numFmtId="0" fontId="49" fillId="25" borderId="61" xfId="59" applyFont="1" applyFill="1" applyBorder="1" applyAlignment="1">
      <alignment horizontal="centerContinuous"/>
    </xf>
    <xf numFmtId="0" fontId="40" fillId="25" borderId="61" xfId="59" applyFont="1" applyFill="1" applyBorder="1" applyAlignment="1">
      <alignment horizontal="centerContinuous"/>
    </xf>
    <xf numFmtId="0" fontId="40" fillId="25" borderId="62" xfId="59" applyFont="1" applyFill="1" applyBorder="1" applyAlignment="1">
      <alignment horizontal="centerContinuous"/>
    </xf>
    <xf numFmtId="0" fontId="8" fillId="24" borderId="0" xfId="59" applyFont="1" applyFill="1"/>
    <xf numFmtId="0" fontId="8" fillId="24" borderId="0" xfId="59" applyFont="1" applyFill="1" applyAlignment="1">
      <alignment wrapText="1"/>
    </xf>
    <xf numFmtId="0" fontId="8" fillId="24" borderId="0" xfId="59" applyFont="1" applyFill="1" applyAlignment="1">
      <alignment horizontal="left"/>
    </xf>
    <xf numFmtId="0" fontId="8" fillId="24" borderId="0" xfId="59" applyFont="1" applyFill="1" applyAlignment="1">
      <alignment horizontal="left" wrapText="1"/>
    </xf>
    <xf numFmtId="0" fontId="62" fillId="0" borderId="17" xfId="0" applyFont="1" applyBorder="1" applyAlignment="1">
      <alignment horizontal="left" vertical="center" wrapText="1"/>
    </xf>
    <xf numFmtId="0" fontId="62" fillId="0" borderId="17" xfId="0" applyFont="1" applyBorder="1" applyAlignment="1">
      <alignment vertical="center" wrapText="1"/>
    </xf>
    <xf numFmtId="0" fontId="41" fillId="25" borderId="17" xfId="0" applyFont="1" applyFill="1" applyBorder="1" applyAlignment="1">
      <alignment horizontal="center" vertical="center" wrapText="1"/>
    </xf>
    <xf numFmtId="0" fontId="41" fillId="25" borderId="17" xfId="70" applyFont="1" applyFill="1" applyBorder="1" applyAlignment="1">
      <alignment horizontal="center" vertical="center" wrapText="1"/>
    </xf>
    <xf numFmtId="0" fontId="41" fillId="25" borderId="32" xfId="0" applyFont="1" applyFill="1" applyBorder="1" applyAlignment="1">
      <alignment horizontal="center" vertical="center" wrapText="1"/>
    </xf>
    <xf numFmtId="0" fontId="41" fillId="25" borderId="33" xfId="0" applyFont="1" applyFill="1" applyBorder="1" applyAlignment="1">
      <alignment horizontal="centerContinuous" vertical="center" wrapText="1"/>
    </xf>
    <xf numFmtId="0" fontId="40" fillId="24" borderId="0" xfId="62" applyFont="1" applyFill="1"/>
    <xf numFmtId="0" fontId="45" fillId="24" borderId="56" xfId="0" applyFont="1" applyFill="1" applyBorder="1" applyAlignment="1">
      <alignment vertical="center" wrapText="1"/>
    </xf>
    <xf numFmtId="0" fontId="38" fillId="24" borderId="55" xfId="0" applyFont="1" applyFill="1" applyBorder="1" applyAlignment="1">
      <alignment vertical="center" wrapText="1"/>
    </xf>
    <xf numFmtId="0" fontId="64" fillId="24" borderId="0" xfId="0" applyFont="1" applyFill="1"/>
    <xf numFmtId="0" fontId="39" fillId="25" borderId="65" xfId="59" applyFont="1" applyFill="1" applyBorder="1" applyAlignment="1">
      <alignment horizontal="centerContinuous" vertical="center" wrapText="1"/>
    </xf>
    <xf numFmtId="0" fontId="38" fillId="36" borderId="0" xfId="0" applyFont="1" applyFill="1" applyAlignment="1">
      <alignment vertical="center"/>
    </xf>
    <xf numFmtId="0" fontId="49" fillId="24" borderId="0" xfId="0" applyFont="1" applyFill="1"/>
    <xf numFmtId="0" fontId="7" fillId="24" borderId="0" xfId="59" applyFont="1" applyFill="1"/>
    <xf numFmtId="0" fontId="40" fillId="0" borderId="33" xfId="0" applyFont="1" applyBorder="1" applyAlignment="1">
      <alignment horizontal="center" vertical="center"/>
    </xf>
    <xf numFmtId="0" fontId="38" fillId="0" borderId="17" xfId="0" applyFont="1" applyBorder="1" applyAlignment="1" applyProtection="1">
      <alignment vertical="center" wrapText="1"/>
      <protection locked="0"/>
    </xf>
    <xf numFmtId="14" fontId="40" fillId="0" borderId="24" xfId="0" applyNumberFormat="1" applyFont="1" applyBorder="1" applyAlignment="1">
      <alignment horizontal="center" vertical="center" wrapText="1"/>
    </xf>
    <xf numFmtId="14" fontId="40" fillId="0" borderId="25" xfId="0" applyNumberFormat="1" applyFont="1" applyBorder="1" applyAlignment="1">
      <alignment horizontal="center" vertical="center" wrapText="1"/>
    </xf>
    <xf numFmtId="0" fontId="40" fillId="0" borderId="25" xfId="0" quotePrefix="1" applyFont="1" applyBorder="1" applyAlignment="1">
      <alignment vertical="center" wrapText="1"/>
    </xf>
    <xf numFmtId="0" fontId="40" fillId="37" borderId="26" xfId="0" applyFont="1" applyFill="1" applyBorder="1" applyAlignment="1">
      <alignment horizontal="center" vertical="center" wrapText="1"/>
    </xf>
    <xf numFmtId="0" fontId="40" fillId="0" borderId="29" xfId="0" applyFont="1" applyBorder="1" applyAlignment="1">
      <alignment horizontal="justify" vertical="center" wrapText="1"/>
    </xf>
    <xf numFmtId="0" fontId="40" fillId="35" borderId="30" xfId="0" applyFont="1" applyFill="1" applyBorder="1" applyAlignment="1">
      <alignment horizontal="center" vertical="center" wrapText="1"/>
    </xf>
    <xf numFmtId="0" fontId="40" fillId="0" borderId="32" xfId="0" applyFont="1" applyBorder="1" applyAlignment="1">
      <alignment horizontal="left" vertical="center" wrapText="1"/>
    </xf>
    <xf numFmtId="0" fontId="38" fillId="0" borderId="11" xfId="65" applyFont="1" applyBorder="1" applyAlignment="1">
      <alignment horizontal="left" vertical="center" wrapText="1"/>
    </xf>
    <xf numFmtId="0" fontId="40" fillId="27" borderId="29" xfId="0" applyFont="1" applyFill="1" applyBorder="1" applyAlignment="1">
      <alignment horizontal="center" vertical="center"/>
    </xf>
    <xf numFmtId="0" fontId="40" fillId="27" borderId="28" xfId="0" applyFont="1" applyFill="1" applyBorder="1" applyAlignment="1">
      <alignment horizontal="left" vertical="center" wrapText="1"/>
    </xf>
    <xf numFmtId="0" fontId="38" fillId="27" borderId="29" xfId="0" applyFont="1" applyFill="1" applyBorder="1" applyAlignment="1">
      <alignment horizontal="left" vertical="center" wrapText="1"/>
    </xf>
    <xf numFmtId="0" fontId="40" fillId="27" borderId="39" xfId="0" applyFont="1" applyFill="1" applyBorder="1" applyAlignment="1">
      <alignment horizontal="left" vertical="center" wrapText="1"/>
    </xf>
    <xf numFmtId="0" fontId="38" fillId="27" borderId="29" xfId="0" quotePrefix="1" applyFont="1" applyFill="1" applyBorder="1" applyAlignment="1">
      <alignment horizontal="left" vertical="center"/>
    </xf>
    <xf numFmtId="0" fontId="40" fillId="27" borderId="36" xfId="66" applyFont="1" applyFill="1" applyBorder="1" applyAlignment="1">
      <alignment horizontal="left" vertical="center" wrapText="1"/>
    </xf>
    <xf numFmtId="0" fontId="62" fillId="27" borderId="17" xfId="66" applyFont="1" applyFill="1" applyBorder="1" applyAlignment="1">
      <alignment horizontal="left" vertical="center"/>
    </xf>
    <xf numFmtId="0" fontId="40" fillId="27" borderId="13" xfId="66" applyFont="1" applyFill="1" applyBorder="1" applyAlignment="1">
      <alignment horizontal="center" vertical="center"/>
    </xf>
    <xf numFmtId="0" fontId="40" fillId="27" borderId="38" xfId="66" applyFont="1" applyFill="1" applyBorder="1" applyAlignment="1">
      <alignment horizontal="center" vertical="center" wrapText="1"/>
    </xf>
    <xf numFmtId="0" fontId="40" fillId="37" borderId="32" xfId="66" applyFont="1" applyFill="1" applyBorder="1" applyAlignment="1">
      <alignment horizontal="left" vertical="center" wrapText="1"/>
    </xf>
    <xf numFmtId="0" fontId="38" fillId="37" borderId="17" xfId="66" applyFont="1" applyFill="1" applyBorder="1" applyAlignment="1">
      <alignment horizontal="left" vertical="center" wrapText="1"/>
    </xf>
    <xf numFmtId="0" fontId="40" fillId="37" borderId="17" xfId="66" applyFont="1" applyFill="1" applyBorder="1" applyAlignment="1">
      <alignment horizontal="center" vertical="center"/>
    </xf>
    <xf numFmtId="0" fontId="40" fillId="37" borderId="33" xfId="66" applyFont="1" applyFill="1" applyBorder="1" applyAlignment="1">
      <alignment horizontal="center" vertical="center"/>
    </xf>
    <xf numFmtId="0" fontId="40" fillId="37" borderId="57" xfId="66" applyFont="1" applyFill="1" applyBorder="1" applyAlignment="1">
      <alignment horizontal="left" vertical="center" wrapText="1"/>
    </xf>
    <xf numFmtId="0" fontId="38" fillId="37" borderId="49" xfId="66" applyFont="1" applyFill="1" applyBorder="1" applyAlignment="1">
      <alignment horizontal="left" vertical="center" wrapText="1"/>
    </xf>
    <xf numFmtId="0" fontId="40" fillId="37" borderId="49" xfId="66" applyFont="1" applyFill="1" applyBorder="1" applyAlignment="1">
      <alignment horizontal="center" vertical="center"/>
    </xf>
    <xf numFmtId="0" fontId="40" fillId="37" borderId="63" xfId="0" applyFont="1" applyFill="1" applyBorder="1" applyAlignment="1">
      <alignment horizontal="center" vertical="center"/>
    </xf>
    <xf numFmtId="0" fontId="62" fillId="37" borderId="49" xfId="66" applyFont="1" applyFill="1" applyBorder="1" applyAlignment="1">
      <alignment horizontal="left" vertical="center"/>
    </xf>
    <xf numFmtId="0" fontId="40" fillId="37" borderId="49" xfId="66" applyFont="1" applyFill="1" applyBorder="1" applyAlignment="1">
      <alignment horizontal="center" vertical="center" wrapText="1"/>
    </xf>
    <xf numFmtId="0" fontId="40" fillId="37" borderId="63" xfId="66" applyFont="1" applyFill="1" applyBorder="1" applyAlignment="1">
      <alignment horizontal="center" vertical="center" wrapText="1"/>
    </xf>
    <xf numFmtId="0" fontId="62" fillId="37" borderId="17" xfId="66" applyFont="1" applyFill="1" applyBorder="1" applyAlignment="1">
      <alignment horizontal="left" vertical="center"/>
    </xf>
    <xf numFmtId="0" fontId="40" fillId="37" borderId="13" xfId="66" applyFont="1" applyFill="1" applyBorder="1" applyAlignment="1">
      <alignment horizontal="center" vertical="center"/>
    </xf>
    <xf numFmtId="0" fontId="40" fillId="37" borderId="38" xfId="66" applyFont="1" applyFill="1" applyBorder="1" applyAlignment="1">
      <alignment horizontal="center" vertical="center" wrapText="1"/>
    </xf>
    <xf numFmtId="0" fontId="40" fillId="37" borderId="17" xfId="66" applyFont="1" applyFill="1" applyBorder="1" applyAlignment="1">
      <alignment horizontal="center" vertical="center" wrapText="1"/>
    </xf>
    <xf numFmtId="0" fontId="40" fillId="37" borderId="33" xfId="66" applyFont="1" applyFill="1" applyBorder="1" applyAlignment="1">
      <alignment horizontal="center" vertical="center" wrapText="1"/>
    </xf>
    <xf numFmtId="0" fontId="40" fillId="37" borderId="11" xfId="66" applyFont="1" applyFill="1" applyBorder="1" applyAlignment="1">
      <alignment horizontal="left" vertical="center" wrapText="1"/>
    </xf>
    <xf numFmtId="0" fontId="40" fillId="37" borderId="33" xfId="0" applyFont="1" applyFill="1" applyBorder="1" applyAlignment="1">
      <alignment horizontal="center" vertical="center"/>
    </xf>
    <xf numFmtId="0" fontId="49" fillId="24" borderId="11" xfId="66" applyFont="1" applyFill="1" applyBorder="1" applyAlignment="1">
      <alignment horizontal="left" vertical="center"/>
    </xf>
    <xf numFmtId="0" fontId="49" fillId="27" borderId="39" xfId="66" applyFont="1" applyFill="1" applyBorder="1" applyAlignment="1">
      <alignment horizontal="left" vertical="center"/>
    </xf>
    <xf numFmtId="0" fontId="49" fillId="0" borderId="37" xfId="66" applyFont="1" applyBorder="1" applyAlignment="1">
      <alignment horizontal="left" vertical="center"/>
    </xf>
    <xf numFmtId="0" fontId="40" fillId="0" borderId="11" xfId="0" applyFont="1" applyBorder="1" applyAlignment="1" applyProtection="1">
      <alignment vertical="center" wrapText="1"/>
      <protection locked="0"/>
    </xf>
    <xf numFmtId="0" fontId="40" fillId="0" borderId="11" xfId="66" applyFont="1" applyBorder="1" applyAlignment="1">
      <alignment horizontal="left" vertical="center"/>
    </xf>
    <xf numFmtId="0" fontId="62" fillId="0" borderId="11" xfId="66" applyFont="1" applyBorder="1" applyAlignment="1">
      <alignment horizontal="left" vertical="center"/>
    </xf>
    <xf numFmtId="0" fontId="50" fillId="0" borderId="11" xfId="66" applyFont="1" applyBorder="1" applyAlignment="1">
      <alignment horizontal="left" vertical="center"/>
    </xf>
    <xf numFmtId="0" fontId="50" fillId="0" borderId="11" xfId="66" applyFont="1" applyBorder="1" applyAlignment="1">
      <alignment horizontal="left" vertical="center" wrapText="1"/>
    </xf>
    <xf numFmtId="0" fontId="40" fillId="0" borderId="11" xfId="66" applyFont="1" applyBorder="1" applyAlignment="1">
      <alignment horizontal="left" vertical="center" wrapText="1"/>
    </xf>
    <xf numFmtId="0" fontId="38" fillId="37" borderId="17" xfId="66" applyFont="1" applyFill="1" applyBorder="1" applyAlignment="1">
      <alignment horizontal="left" vertical="top" wrapText="1"/>
    </xf>
    <xf numFmtId="0" fontId="40" fillId="37" borderId="31" xfId="66" applyFont="1" applyFill="1" applyBorder="1" applyAlignment="1">
      <alignment horizontal="left" vertical="center" wrapText="1"/>
    </xf>
    <xf numFmtId="0" fontId="40" fillId="37" borderId="63" xfId="66" applyFont="1" applyFill="1" applyBorder="1" applyAlignment="1">
      <alignment horizontal="center" vertical="center"/>
    </xf>
    <xf numFmtId="0" fontId="40" fillId="37" borderId="37" xfId="66" applyFont="1" applyFill="1" applyBorder="1" applyAlignment="1">
      <alignment horizontal="left" vertical="center" wrapText="1"/>
    </xf>
    <xf numFmtId="0" fontId="62" fillId="0" borderId="66" xfId="35" applyFont="1" applyBorder="1" applyAlignment="1">
      <alignment horizontal="center" vertical="center" wrapText="1"/>
    </xf>
    <xf numFmtId="0" fontId="62" fillId="0" borderId="66" xfId="66" applyFont="1" applyBorder="1" applyAlignment="1">
      <alignment horizontal="center" vertical="center"/>
    </xf>
    <xf numFmtId="0" fontId="50" fillId="0" borderId="66" xfId="66" applyFont="1" applyBorder="1" applyAlignment="1">
      <alignment horizontal="center" vertical="center"/>
    </xf>
    <xf numFmtId="0" fontId="50" fillId="26" borderId="15" xfId="59" applyFont="1" applyFill="1" applyBorder="1" applyAlignment="1">
      <alignment horizontal="center" wrapText="1"/>
    </xf>
    <xf numFmtId="0" fontId="7" fillId="24" borderId="0" xfId="59" applyFont="1" applyFill="1" applyAlignment="1">
      <alignment horizontal="center"/>
    </xf>
    <xf numFmtId="0" fontId="8" fillId="24" borderId="0" xfId="59" applyFont="1" applyFill="1" applyAlignment="1">
      <alignment horizontal="center"/>
    </xf>
    <xf numFmtId="0" fontId="50" fillId="26" borderId="23" xfId="59" applyFont="1" applyFill="1" applyBorder="1" applyAlignment="1">
      <alignment horizontal="center" wrapText="1"/>
    </xf>
    <xf numFmtId="0" fontId="40" fillId="35" borderId="13" xfId="66" applyFont="1" applyFill="1" applyBorder="1" applyAlignment="1">
      <alignment horizontal="center" vertical="center"/>
    </xf>
    <xf numFmtId="0" fontId="62" fillId="0" borderId="17" xfId="0" applyFont="1" applyBorder="1" applyAlignment="1" applyProtection="1">
      <alignment vertical="center" wrapText="1"/>
      <protection locked="0"/>
    </xf>
    <xf numFmtId="0" fontId="62" fillId="35" borderId="36" xfId="66" applyFont="1" applyFill="1" applyBorder="1" applyAlignment="1">
      <alignment horizontal="left" vertical="center" wrapText="1"/>
    </xf>
    <xf numFmtId="0" fontId="62" fillId="35" borderId="37" xfId="66" applyFont="1" applyFill="1" applyBorder="1" applyAlignment="1">
      <alignment horizontal="left" vertical="center" wrapText="1"/>
    </xf>
    <xf numFmtId="0" fontId="62" fillId="35" borderId="13" xfId="66" applyFont="1" applyFill="1" applyBorder="1" applyAlignment="1">
      <alignment horizontal="center" vertical="center" wrapText="1"/>
    </xf>
    <xf numFmtId="0" fontId="62" fillId="35" borderId="38" xfId="66" applyFont="1" applyFill="1" applyBorder="1" applyAlignment="1">
      <alignment horizontal="center" vertical="center" wrapText="1"/>
    </xf>
    <xf numFmtId="0" fontId="62" fillId="35" borderId="11" xfId="0" applyFont="1" applyFill="1" applyBorder="1" applyAlignment="1" applyProtection="1">
      <alignment vertical="center" wrapText="1"/>
      <protection locked="0"/>
    </xf>
    <xf numFmtId="0" fontId="62" fillId="35" borderId="17" xfId="0" applyFont="1" applyFill="1" applyBorder="1" applyAlignment="1" applyProtection="1">
      <alignment vertical="center" wrapText="1"/>
      <protection locked="0"/>
    </xf>
    <xf numFmtId="0" fontId="62" fillId="35" borderId="17" xfId="66" applyFont="1" applyFill="1" applyBorder="1" applyAlignment="1">
      <alignment horizontal="center" vertical="center"/>
    </xf>
    <xf numFmtId="0" fontId="62" fillId="35" borderId="33" xfId="0" applyFont="1" applyFill="1" applyBorder="1" applyAlignment="1">
      <alignment horizontal="center" vertical="center"/>
    </xf>
    <xf numFmtId="0" fontId="40" fillId="35" borderId="36" xfId="66" applyFont="1" applyFill="1" applyBorder="1" applyAlignment="1">
      <alignment horizontal="left" vertical="center" wrapText="1"/>
    </xf>
    <xf numFmtId="0" fontId="38" fillId="35" borderId="37" xfId="66" applyFont="1" applyFill="1" applyBorder="1" applyAlignment="1">
      <alignment horizontal="left" vertical="center" wrapText="1"/>
    </xf>
    <xf numFmtId="0" fontId="40" fillId="35" borderId="38" xfId="66" applyFont="1" applyFill="1" applyBorder="1" applyAlignment="1">
      <alignment horizontal="center" vertical="center"/>
    </xf>
    <xf numFmtId="0" fontId="60" fillId="0" borderId="0" xfId="73" applyFont="1"/>
    <xf numFmtId="0" fontId="5" fillId="0" borderId="0" xfId="73"/>
    <xf numFmtId="0" fontId="59" fillId="0" borderId="0" xfId="73" applyFont="1"/>
    <xf numFmtId="0" fontId="59" fillId="0" borderId="0" xfId="73" applyFont="1" applyAlignment="1">
      <alignment wrapText="1"/>
    </xf>
    <xf numFmtId="0" fontId="59" fillId="0" borderId="51" xfId="73" applyFont="1" applyBorder="1" applyAlignment="1">
      <alignment horizontal="left" wrapText="1"/>
    </xf>
    <xf numFmtId="0" fontId="59" fillId="0" borderId="0" xfId="73" applyFont="1" applyAlignment="1">
      <alignment horizontal="left" wrapText="1"/>
    </xf>
    <xf numFmtId="0" fontId="59" fillId="0" borderId="45" xfId="73" applyFont="1" applyBorder="1" applyAlignment="1">
      <alignment horizontal="left" wrapText="1"/>
    </xf>
    <xf numFmtId="0" fontId="59" fillId="0" borderId="51" xfId="73" applyFont="1" applyBorder="1"/>
    <xf numFmtId="0" fontId="5" fillId="0" borderId="45" xfId="73" applyBorder="1"/>
    <xf numFmtId="0" fontId="5" fillId="0" borderId="51" xfId="73" applyBorder="1"/>
    <xf numFmtId="0" fontId="55" fillId="0" borderId="51" xfId="73" applyFont="1" applyBorder="1"/>
    <xf numFmtId="0" fontId="65" fillId="38" borderId="51" xfId="73" applyFont="1" applyFill="1" applyBorder="1" applyAlignment="1">
      <alignment vertical="top" wrapText="1"/>
    </xf>
    <xf numFmtId="0" fontId="65" fillId="39" borderId="51" xfId="73" applyFont="1" applyFill="1" applyBorder="1" applyAlignment="1">
      <alignment vertical="top" wrapText="1"/>
    </xf>
    <xf numFmtId="0" fontId="65" fillId="0" borderId="52" xfId="73" applyFont="1" applyBorder="1"/>
    <xf numFmtId="0" fontId="5" fillId="0" borderId="46" xfId="73" applyBorder="1"/>
    <xf numFmtId="0" fontId="5" fillId="0" borderId="47" xfId="73" applyBorder="1"/>
    <xf numFmtId="0" fontId="5" fillId="0" borderId="52" xfId="73" applyBorder="1"/>
    <xf numFmtId="0" fontId="5" fillId="0" borderId="0" xfId="73" applyAlignment="1">
      <alignment vertical="center"/>
    </xf>
    <xf numFmtId="0" fontId="56" fillId="0" borderId="0" xfId="73" applyFont="1"/>
    <xf numFmtId="0" fontId="68" fillId="0" borderId="0" xfId="73" quotePrefix="1" applyFont="1" applyAlignment="1">
      <alignment horizontal="center" vertical="center"/>
    </xf>
    <xf numFmtId="0" fontId="67" fillId="38" borderId="42" xfId="73" applyFont="1" applyFill="1" applyBorder="1" applyAlignment="1">
      <alignment horizontal="center" vertical="center" wrapText="1"/>
    </xf>
    <xf numFmtId="0" fontId="67" fillId="39" borderId="42" xfId="73" applyFont="1" applyFill="1" applyBorder="1" applyAlignment="1">
      <alignment horizontal="center" vertical="center" wrapText="1"/>
    </xf>
    <xf numFmtId="49" fontId="68" fillId="0" borderId="0" xfId="73" quotePrefix="1" applyNumberFormat="1" applyFont="1" applyAlignment="1">
      <alignment horizontal="center" vertical="center" wrapText="1"/>
    </xf>
    <xf numFmtId="0" fontId="68" fillId="0" borderId="0" xfId="73" applyFont="1" applyAlignment="1">
      <alignment horizontal="center" vertical="center" wrapText="1"/>
    </xf>
    <xf numFmtId="49" fontId="58" fillId="0" borderId="0" xfId="73" quotePrefix="1" applyNumberFormat="1" applyFont="1" applyAlignment="1">
      <alignment horizontal="center" vertical="top" wrapText="1"/>
    </xf>
    <xf numFmtId="0" fontId="58" fillId="0" borderId="0" xfId="73" applyFont="1" applyAlignment="1">
      <alignment horizontal="center" vertical="center"/>
    </xf>
    <xf numFmtId="0" fontId="58" fillId="0" borderId="0" xfId="73" quotePrefix="1" applyFont="1" applyAlignment="1">
      <alignment horizontal="center" vertical="top"/>
    </xf>
    <xf numFmtId="0" fontId="57" fillId="0" borderId="66" xfId="73" applyFont="1" applyBorder="1" applyAlignment="1">
      <alignment horizontal="center" vertical="center"/>
    </xf>
    <xf numFmtId="0" fontId="57" fillId="0" borderId="0" xfId="73" applyFont="1" applyAlignment="1">
      <alignment vertical="center"/>
    </xf>
    <xf numFmtId="0" fontId="57" fillId="0" borderId="66" xfId="74" applyFont="1" applyBorder="1" applyAlignment="1">
      <alignment horizontal="left" vertical="center" wrapText="1"/>
    </xf>
    <xf numFmtId="0" fontId="57" fillId="0" borderId="66" xfId="74" applyFont="1" applyBorder="1" applyAlignment="1">
      <alignment horizontal="left" vertical="top" wrapText="1"/>
    </xf>
    <xf numFmtId="0" fontId="58" fillId="0" borderId="0" xfId="73" applyFont="1" applyAlignment="1">
      <alignment horizontal="center"/>
    </xf>
    <xf numFmtId="49" fontId="58" fillId="0" borderId="0" xfId="73" applyNumberFormat="1" applyFont="1" applyAlignment="1">
      <alignment horizontal="center"/>
    </xf>
    <xf numFmtId="0" fontId="67" fillId="38" borderId="0" xfId="73" applyFont="1" applyFill="1" applyAlignment="1">
      <alignment vertical="top" wrapText="1"/>
    </xf>
    <xf numFmtId="0" fontId="67" fillId="39" borderId="0" xfId="73" applyFont="1" applyFill="1" applyAlignment="1">
      <alignment vertical="top" wrapText="1"/>
    </xf>
    <xf numFmtId="0" fontId="57" fillId="0" borderId="42" xfId="73" applyFont="1" applyBorder="1" applyAlignment="1">
      <alignment horizontal="center" vertical="top"/>
    </xf>
    <xf numFmtId="0" fontId="5" fillId="0" borderId="0" xfId="73" applyAlignment="1">
      <alignment vertical="top"/>
    </xf>
    <xf numFmtId="0" fontId="58" fillId="0" borderId="42" xfId="73" applyFont="1" applyBorder="1" applyAlignment="1">
      <alignment horizontal="center" vertical="top"/>
    </xf>
    <xf numFmtId="0" fontId="5" fillId="0" borderId="0" xfId="73" applyAlignment="1">
      <alignment horizontal="center" vertical="center"/>
    </xf>
    <xf numFmtId="0" fontId="5" fillId="0" borderId="0" xfId="73" applyAlignment="1">
      <alignment horizontal="center" vertical="top"/>
    </xf>
    <xf numFmtId="0" fontId="65" fillId="38" borderId="0" xfId="73" applyFont="1" applyFill="1" applyAlignment="1">
      <alignment vertical="top" wrapText="1"/>
    </xf>
    <xf numFmtId="0" fontId="65" fillId="39" borderId="0" xfId="73" applyFont="1" applyFill="1" applyAlignment="1">
      <alignment vertical="top" wrapText="1"/>
    </xf>
    <xf numFmtId="0" fontId="5" fillId="0" borderId="42" xfId="73" quotePrefix="1" applyBorder="1" applyAlignment="1">
      <alignment horizontal="center" vertical="top"/>
    </xf>
    <xf numFmtId="49" fontId="5" fillId="0" borderId="42" xfId="73" quotePrefix="1" applyNumberFormat="1" applyBorder="1" applyAlignment="1">
      <alignment horizontal="center" vertical="top" wrapText="1"/>
    </xf>
    <xf numFmtId="0" fontId="4" fillId="24" borderId="0" xfId="64" applyFont="1" applyFill="1"/>
    <xf numFmtId="0" fontId="4" fillId="0" borderId="0" xfId="64" applyFont="1"/>
    <xf numFmtId="0" fontId="4" fillId="0" borderId="17" xfId="65" applyFont="1" applyBorder="1" applyAlignment="1">
      <alignment horizontal="center" vertical="center" wrapText="1"/>
    </xf>
    <xf numFmtId="0" fontId="4" fillId="0" borderId="33" xfId="65" applyFont="1" applyBorder="1" applyAlignment="1">
      <alignment horizontal="center" vertical="center" wrapText="1"/>
    </xf>
    <xf numFmtId="0" fontId="4" fillId="0" borderId="11" xfId="65" applyFont="1" applyBorder="1" applyAlignment="1">
      <alignment horizontal="left" vertical="center" wrapText="1"/>
    </xf>
    <xf numFmtId="0" fontId="4" fillId="0" borderId="24" xfId="65" applyFont="1" applyBorder="1" applyAlignment="1">
      <alignment horizontal="left" vertical="center" wrapText="1"/>
    </xf>
    <xf numFmtId="0" fontId="4" fillId="0" borderId="25" xfId="65" applyFont="1" applyBorder="1" applyAlignment="1">
      <alignment horizontal="center" vertical="center"/>
    </xf>
    <xf numFmtId="0" fontId="4" fillId="0" borderId="34" xfId="65" applyFont="1" applyBorder="1" applyAlignment="1">
      <alignment horizontal="center" vertical="center"/>
    </xf>
    <xf numFmtId="0" fontId="4" fillId="0" borderId="24" xfId="65" applyFont="1" applyBorder="1" applyAlignment="1">
      <alignment horizontal="left" vertical="center"/>
    </xf>
    <xf numFmtId="0" fontId="4" fillId="0" borderId="25" xfId="65" applyFont="1" applyBorder="1" applyAlignment="1">
      <alignment horizontal="left" vertical="center"/>
    </xf>
    <xf numFmtId="0" fontId="4" fillId="0" borderId="26" xfId="65" applyFont="1" applyBorder="1" applyAlignment="1">
      <alignment horizontal="center" vertical="center"/>
    </xf>
    <xf numFmtId="0" fontId="4" fillId="0" borderId="32" xfId="65" applyFont="1" applyBorder="1" applyAlignment="1">
      <alignment horizontal="left" vertical="center" wrapText="1"/>
    </xf>
    <xf numFmtId="0" fontId="4" fillId="0" borderId="17" xfId="65" applyFont="1" applyBorder="1" applyAlignment="1">
      <alignment horizontal="center" vertical="center"/>
    </xf>
    <xf numFmtId="0" fontId="4" fillId="0" borderId="14" xfId="65" applyFont="1" applyBorder="1" applyAlignment="1">
      <alignment horizontal="center" vertical="center"/>
    </xf>
    <xf numFmtId="0" fontId="4" fillId="0" borderId="32" xfId="65" applyFont="1" applyBorder="1" applyAlignment="1">
      <alignment horizontal="left" vertical="center"/>
    </xf>
    <xf numFmtId="0" fontId="4" fillId="0" borderId="17" xfId="65" applyFont="1" applyBorder="1" applyAlignment="1">
      <alignment horizontal="left" vertical="center"/>
    </xf>
    <xf numFmtId="0" fontId="4" fillId="0" borderId="33" xfId="65" applyFont="1" applyBorder="1" applyAlignment="1">
      <alignment horizontal="center" vertical="center"/>
    </xf>
    <xf numFmtId="0" fontId="4" fillId="27" borderId="28" xfId="65" applyFont="1" applyFill="1" applyBorder="1" applyAlignment="1">
      <alignment horizontal="left" vertical="center" wrapText="1"/>
    </xf>
    <xf numFmtId="0" fontId="4" fillId="27" borderId="29" xfId="65" applyFont="1" applyFill="1" applyBorder="1" applyAlignment="1">
      <alignment horizontal="center" vertical="center"/>
    </xf>
    <xf numFmtId="0" fontId="4" fillId="27" borderId="35" xfId="65" applyFont="1" applyFill="1" applyBorder="1" applyAlignment="1">
      <alignment horizontal="center" vertical="center"/>
    </xf>
    <xf numFmtId="0" fontId="4" fillId="27" borderId="28" xfId="65" applyFont="1" applyFill="1" applyBorder="1" applyAlignment="1">
      <alignment horizontal="left" vertical="center"/>
    </xf>
    <xf numFmtId="0" fontId="4" fillId="27" borderId="29" xfId="65" applyFont="1" applyFill="1" applyBorder="1" applyAlignment="1">
      <alignment horizontal="left" vertical="center"/>
    </xf>
    <xf numFmtId="0" fontId="4" fillId="27" borderId="30" xfId="65" applyFont="1" applyFill="1" applyBorder="1" applyAlignment="1">
      <alignment horizontal="center" vertical="center"/>
    </xf>
    <xf numFmtId="0" fontId="40" fillId="27" borderId="30" xfId="0" applyFont="1" applyFill="1" applyBorder="1" applyAlignment="1">
      <alignment horizontal="center" vertical="center"/>
    </xf>
    <xf numFmtId="0" fontId="40" fillId="27" borderId="30" xfId="0" applyFont="1" applyFill="1" applyBorder="1" applyAlignment="1">
      <alignment horizontal="left" vertical="center"/>
    </xf>
    <xf numFmtId="0" fontId="40" fillId="27" borderId="39" xfId="0" quotePrefix="1" applyFont="1" applyFill="1" applyBorder="1" applyAlignment="1">
      <alignment horizontal="left" vertical="center"/>
    </xf>
    <xf numFmtId="14" fontId="40" fillId="0" borderId="67" xfId="0" applyNumberFormat="1" applyFont="1" applyBorder="1" applyAlignment="1">
      <alignment horizontal="center" vertical="center" wrapText="1"/>
    </xf>
    <xf numFmtId="14" fontId="40" fillId="0" borderId="68" xfId="0" applyNumberFormat="1" applyFont="1" applyBorder="1" applyAlignment="1">
      <alignment horizontal="center" vertical="center" wrapText="1"/>
    </xf>
    <xf numFmtId="0" fontId="40" fillId="0" borderId="68" xfId="0" quotePrefix="1" applyFont="1" applyBorder="1" applyAlignment="1">
      <alignment vertical="center" wrapText="1"/>
    </xf>
    <xf numFmtId="0" fontId="40" fillId="24" borderId="69" xfId="0" applyFont="1" applyFill="1" applyBorder="1" applyAlignment="1">
      <alignment horizontal="center" vertical="center" wrapText="1"/>
    </xf>
    <xf numFmtId="20" fontId="41" fillId="25" borderId="24" xfId="0" applyNumberFormat="1" applyFont="1" applyFill="1" applyBorder="1" applyAlignment="1">
      <alignment horizontal="center" vertical="center" wrapText="1"/>
    </xf>
    <xf numFmtId="20" fontId="49" fillId="25" borderId="25" xfId="0" applyNumberFormat="1" applyFont="1" applyFill="1" applyBorder="1" applyAlignment="1">
      <alignment horizontal="center" vertical="center" wrapText="1"/>
    </xf>
    <xf numFmtId="20" fontId="41" fillId="25" borderId="25" xfId="0" applyNumberFormat="1" applyFont="1" applyFill="1" applyBorder="1" applyAlignment="1">
      <alignment horizontal="center" vertical="center" wrapText="1"/>
    </xf>
    <xf numFmtId="20" fontId="39" fillId="25" borderId="25" xfId="0" applyNumberFormat="1" applyFont="1" applyFill="1" applyBorder="1" applyAlignment="1">
      <alignment horizontal="center" vertical="center" wrapText="1"/>
    </xf>
    <xf numFmtId="20" fontId="49" fillId="25" borderId="25" xfId="59" applyNumberFormat="1" applyFont="1" applyFill="1" applyBorder="1" applyAlignment="1">
      <alignment horizontal="center" vertical="center" wrapText="1"/>
    </xf>
    <xf numFmtId="20" fontId="49" fillId="25" borderId="26" xfId="0" applyNumberFormat="1" applyFont="1" applyFill="1" applyBorder="1" applyAlignment="1">
      <alignment horizontal="center" vertical="center" wrapText="1"/>
    </xf>
    <xf numFmtId="20" fontId="50" fillId="26" borderId="28" xfId="0" applyNumberFormat="1" applyFont="1" applyFill="1" applyBorder="1" applyAlignment="1">
      <alignment horizontal="left" vertical="top" wrapText="1"/>
    </xf>
    <xf numFmtId="20" fontId="50" fillId="26" borderId="29" xfId="0" applyNumberFormat="1" applyFont="1" applyFill="1" applyBorder="1" applyAlignment="1">
      <alignment horizontal="left" vertical="top" wrapText="1"/>
    </xf>
    <xf numFmtId="20" fontId="51" fillId="26" borderId="29" xfId="0" applyNumberFormat="1" applyFont="1" applyFill="1" applyBorder="1" applyAlignment="1">
      <alignment horizontal="left" vertical="top" wrapText="1"/>
    </xf>
    <xf numFmtId="20" fontId="50" fillId="26" borderId="29" xfId="0" applyNumberFormat="1" applyFont="1" applyFill="1" applyBorder="1" applyAlignment="1" applyProtection="1">
      <alignment horizontal="left" vertical="top" wrapText="1"/>
      <protection locked="0"/>
    </xf>
    <xf numFmtId="20" fontId="50" fillId="26" borderId="29" xfId="59" applyNumberFormat="1" applyFont="1" applyFill="1" applyBorder="1" applyAlignment="1">
      <alignment horizontal="left" vertical="top" wrapText="1"/>
    </xf>
    <xf numFmtId="20" fontId="50" fillId="26" borderId="29" xfId="0" quotePrefix="1" applyNumberFormat="1" applyFont="1" applyFill="1" applyBorder="1" applyAlignment="1">
      <alignment horizontal="left" vertical="top" wrapText="1"/>
    </xf>
    <xf numFmtId="20" fontId="50" fillId="26" borderId="30" xfId="0" applyNumberFormat="1" applyFont="1" applyFill="1" applyBorder="1" applyAlignment="1">
      <alignment horizontal="left" vertical="top" wrapText="1"/>
    </xf>
    <xf numFmtId="20" fontId="4" fillId="0" borderId="24" xfId="35" applyNumberFormat="1" applyFont="1" applyBorder="1" applyAlignment="1">
      <alignment horizontal="center" vertical="center"/>
    </xf>
    <xf numFmtId="20" fontId="4" fillId="0" borderId="25" xfId="35" applyNumberFormat="1" applyFont="1" applyBorder="1" applyAlignment="1">
      <alignment horizontal="center" vertical="center" wrapText="1"/>
    </xf>
    <xf numFmtId="20" fontId="38" fillId="0" borderId="25" xfId="35" applyNumberFormat="1" applyFont="1" applyBorder="1" applyAlignment="1">
      <alignment horizontal="center" vertical="center" wrapText="1"/>
    </xf>
    <xf numFmtId="20" fontId="40" fillId="0" borderId="25" xfId="35" applyNumberFormat="1" applyFont="1" applyBorder="1" applyAlignment="1">
      <alignment horizontal="left" vertical="center" wrapText="1"/>
    </xf>
    <xf numFmtId="20" fontId="38" fillId="0" borderId="25" xfId="35" applyNumberFormat="1" applyFont="1" applyBorder="1" applyAlignment="1">
      <alignment horizontal="left" vertical="center" wrapText="1"/>
    </xf>
    <xf numFmtId="20" fontId="40" fillId="0" borderId="25" xfId="35" applyNumberFormat="1" applyFont="1" applyBorder="1" applyAlignment="1">
      <alignment horizontal="center" vertical="center" wrapText="1"/>
    </xf>
    <xf numFmtId="20" fontId="40" fillId="0" borderId="25" xfId="35" applyNumberFormat="1" applyFont="1" applyBorder="1" applyAlignment="1">
      <alignment vertical="center" wrapText="1"/>
    </xf>
    <xf numFmtId="20" fontId="38" fillId="0" borderId="25" xfId="35" applyNumberFormat="1" applyFont="1" applyBorder="1" applyAlignment="1">
      <alignment vertical="center" wrapText="1"/>
    </xf>
    <xf numFmtId="20" fontId="40" fillId="0" borderId="25" xfId="0" applyNumberFormat="1" applyFont="1" applyBorder="1" applyAlignment="1">
      <alignment horizontal="center" vertical="center" wrapText="1"/>
    </xf>
    <xf numFmtId="20" fontId="38" fillId="0" borderId="25" xfId="0" applyNumberFormat="1" applyFont="1" applyBorder="1" applyAlignment="1">
      <alignment horizontal="center" vertical="center" wrapText="1"/>
    </xf>
    <xf numFmtId="20" fontId="40" fillId="0" borderId="26" xfId="35" applyNumberFormat="1" applyFont="1" applyBorder="1" applyAlignment="1">
      <alignment horizontal="center" vertical="center" wrapText="1"/>
    </xf>
    <xf numFmtId="20" fontId="4" fillId="0" borderId="32" xfId="35" applyNumberFormat="1" applyFont="1" applyBorder="1" applyAlignment="1">
      <alignment horizontal="center" vertical="center"/>
    </xf>
    <xf numFmtId="20" fontId="4" fillId="0" borderId="17" xfId="35" applyNumberFormat="1" applyFont="1" applyBorder="1" applyAlignment="1">
      <alignment horizontal="center" vertical="center" wrapText="1"/>
    </xf>
    <xf numFmtId="20" fontId="38" fillId="0" borderId="17" xfId="35" applyNumberFormat="1" applyFont="1" applyBorder="1" applyAlignment="1">
      <alignment horizontal="center" vertical="center" wrapText="1"/>
    </xf>
    <xf numFmtId="20" fontId="40" fillId="0" borderId="17" xfId="35" applyNumberFormat="1" applyFont="1" applyBorder="1" applyAlignment="1">
      <alignment horizontal="left" vertical="center" wrapText="1"/>
    </xf>
    <xf numFmtId="20" fontId="38" fillId="0" borderId="17" xfId="35" applyNumberFormat="1" applyFont="1" applyBorder="1" applyAlignment="1">
      <alignment horizontal="left" vertical="center" wrapText="1"/>
    </xf>
    <xf numFmtId="20" fontId="40" fillId="0" borderId="17" xfId="35" applyNumberFormat="1" applyFont="1" applyBorder="1" applyAlignment="1">
      <alignment horizontal="center" vertical="center" wrapText="1"/>
    </xf>
    <xf numFmtId="20" fontId="40" fillId="0" borderId="17" xfId="0" applyNumberFormat="1" applyFont="1" applyBorder="1" applyAlignment="1">
      <alignment vertical="center" wrapText="1"/>
    </xf>
    <xf numFmtId="20" fontId="38" fillId="0" borderId="17" xfId="0" applyNumberFormat="1" applyFont="1" applyBorder="1" applyAlignment="1">
      <alignment vertical="center" wrapText="1"/>
    </xf>
    <xf numFmtId="20" fontId="40" fillId="0" borderId="17" xfId="0" applyNumberFormat="1" applyFont="1" applyBorder="1" applyAlignment="1">
      <alignment horizontal="center" vertical="center" wrapText="1"/>
    </xf>
    <xf numFmtId="20" fontId="38" fillId="0" borderId="17" xfId="0" applyNumberFormat="1" applyFont="1" applyBorder="1" applyAlignment="1">
      <alignment horizontal="center" vertical="center" wrapText="1"/>
    </xf>
    <xf numFmtId="20" fontId="40" fillId="0" borderId="33" xfId="35" applyNumberFormat="1" applyFont="1" applyBorder="1" applyAlignment="1">
      <alignment horizontal="center" vertical="center" wrapText="1"/>
    </xf>
    <xf numFmtId="20" fontId="40" fillId="0" borderId="17" xfId="35" applyNumberFormat="1" applyFont="1" applyBorder="1" applyAlignment="1">
      <alignment vertical="center" wrapText="1"/>
    </xf>
    <xf numFmtId="20" fontId="38" fillId="0" borderId="17" xfId="35" applyNumberFormat="1" applyFont="1" applyBorder="1" applyAlignment="1">
      <alignment vertical="center" wrapText="1"/>
    </xf>
    <xf numFmtId="20" fontId="40" fillId="0" borderId="17" xfId="35" quotePrefix="1" applyNumberFormat="1" applyFont="1" applyBorder="1" applyAlignment="1">
      <alignment vertical="center" wrapText="1"/>
    </xf>
    <xf numFmtId="20" fontId="38" fillId="0" borderId="17" xfId="35" quotePrefix="1" applyNumberFormat="1" applyFont="1" applyBorder="1" applyAlignment="1">
      <alignment vertical="center" wrapText="1"/>
    </xf>
    <xf numFmtId="20" fontId="40" fillId="35" borderId="17" xfId="35" applyNumberFormat="1" applyFont="1" applyFill="1" applyBorder="1" applyAlignment="1">
      <alignment vertical="center" wrapText="1"/>
    </xf>
    <xf numFmtId="20" fontId="38" fillId="35" borderId="17" xfId="35" applyNumberFormat="1" applyFont="1" applyFill="1" applyBorder="1" applyAlignment="1">
      <alignment vertical="center" wrapText="1"/>
    </xf>
    <xf numFmtId="20" fontId="4" fillId="27" borderId="28" xfId="35" applyNumberFormat="1" applyFont="1" applyFill="1" applyBorder="1" applyAlignment="1">
      <alignment horizontal="center" vertical="center"/>
    </xf>
    <xf numFmtId="20" fontId="4" fillId="27" borderId="29" xfId="35" applyNumberFormat="1" applyFont="1" applyFill="1" applyBorder="1" applyAlignment="1">
      <alignment horizontal="center" vertical="center" wrapText="1"/>
    </xf>
    <xf numFmtId="20" fontId="38" fillId="27" borderId="29" xfId="35" applyNumberFormat="1" applyFont="1" applyFill="1" applyBorder="1" applyAlignment="1">
      <alignment horizontal="center" vertical="center" wrapText="1"/>
    </xf>
    <xf numFmtId="20" fontId="40" fillId="27" borderId="29" xfId="35" applyNumberFormat="1" applyFont="1" applyFill="1" applyBorder="1" applyAlignment="1">
      <alignment horizontal="left" vertical="center" wrapText="1"/>
    </xf>
    <xf numFmtId="20" fontId="38" fillId="27" borderId="29" xfId="35" applyNumberFormat="1" applyFont="1" applyFill="1" applyBorder="1" applyAlignment="1">
      <alignment horizontal="left" vertical="center" wrapText="1"/>
    </xf>
    <xf numFmtId="20" fontId="40" fillId="27" borderId="29" xfId="35" applyNumberFormat="1" applyFont="1" applyFill="1" applyBorder="1" applyAlignment="1">
      <alignment horizontal="center" vertical="center" wrapText="1"/>
    </xf>
    <xf numFmtId="20" fontId="40" fillId="27" borderId="29" xfId="35" applyNumberFormat="1" applyFont="1" applyFill="1" applyBorder="1" applyAlignment="1">
      <alignment vertical="center" wrapText="1"/>
    </xf>
    <xf numFmtId="20" fontId="38" fillId="27" borderId="29" xfId="35" applyNumberFormat="1" applyFont="1" applyFill="1" applyBorder="1" applyAlignment="1">
      <alignment vertical="center" wrapText="1"/>
    </xf>
    <xf numFmtId="20" fontId="40" fillId="27" borderId="29" xfId="0" applyNumberFormat="1" applyFont="1" applyFill="1" applyBorder="1" applyAlignment="1">
      <alignment horizontal="center" vertical="center" wrapText="1"/>
    </xf>
    <xf numFmtId="20" fontId="38" fillId="27" borderId="29" xfId="0" applyNumberFormat="1" applyFont="1" applyFill="1" applyBorder="1" applyAlignment="1">
      <alignment horizontal="center" vertical="center" wrapText="1"/>
    </xf>
    <xf numFmtId="20" fontId="40" fillId="27" borderId="29" xfId="35" quotePrefix="1" applyNumberFormat="1" applyFont="1" applyFill="1" applyBorder="1" applyAlignment="1">
      <alignment horizontal="center" vertical="center" wrapText="1"/>
    </xf>
    <xf numFmtId="20" fontId="40" fillId="27" borderId="30" xfId="35" applyNumberFormat="1" applyFont="1" applyFill="1" applyBorder="1" applyAlignment="1">
      <alignment horizontal="center" vertical="center" wrapText="1"/>
    </xf>
    <xf numFmtId="20" fontId="40" fillId="0" borderId="25" xfId="0" applyNumberFormat="1" applyFont="1" applyBorder="1" applyAlignment="1">
      <alignment vertical="center" wrapText="1"/>
    </xf>
    <xf numFmtId="20" fontId="38" fillId="0" borderId="25" xfId="0" applyNumberFormat="1" applyFont="1" applyBorder="1" applyAlignment="1">
      <alignment vertical="center" wrapText="1"/>
    </xf>
    <xf numFmtId="20" fontId="40" fillId="0" borderId="25" xfId="0" applyNumberFormat="1" applyFont="1" applyBorder="1" applyAlignment="1">
      <alignment horizontal="center" vertical="center"/>
    </xf>
    <xf numFmtId="20" fontId="40" fillId="0" borderId="25" xfId="66" applyNumberFormat="1" applyFont="1" applyBorder="1" applyAlignment="1">
      <alignment vertical="center" wrapText="1"/>
    </xf>
    <xf numFmtId="20" fontId="38" fillId="0" borderId="25" xfId="66" applyNumberFormat="1" applyFont="1" applyBorder="1" applyAlignment="1">
      <alignment vertical="center" wrapText="1"/>
    </xf>
    <xf numFmtId="20" fontId="40" fillId="0" borderId="20" xfId="35" applyNumberFormat="1" applyFont="1" applyBorder="1" applyAlignment="1">
      <alignment horizontal="center" vertical="center" wrapText="1"/>
    </xf>
    <xf numFmtId="20" fontId="40" fillId="35" borderId="20" xfId="0" applyNumberFormat="1" applyFont="1" applyFill="1" applyBorder="1" applyAlignment="1">
      <alignment horizontal="center" vertical="center" wrapText="1"/>
    </xf>
    <xf numFmtId="20" fontId="40" fillId="0" borderId="17" xfId="0" applyNumberFormat="1" applyFont="1" applyBorder="1" applyAlignment="1">
      <alignment horizontal="center" vertical="center"/>
    </xf>
    <xf numFmtId="20" fontId="40" fillId="0" borderId="14" xfId="0" applyNumberFormat="1" applyFont="1" applyBorder="1" applyAlignment="1">
      <alignment vertical="center" wrapText="1"/>
    </xf>
    <xf numFmtId="20" fontId="40" fillId="35" borderId="17" xfId="0" applyNumberFormat="1" applyFont="1" applyFill="1" applyBorder="1" applyAlignment="1">
      <alignment horizontal="center" vertical="center" wrapText="1"/>
    </xf>
    <xf numFmtId="20" fontId="38" fillId="0" borderId="17" xfId="65" applyNumberFormat="1" applyFont="1" applyBorder="1" applyAlignment="1">
      <alignment horizontal="left" vertical="center" wrapText="1"/>
    </xf>
    <xf numFmtId="20" fontId="40" fillId="0" borderId="14" xfId="0" applyNumberFormat="1" applyFont="1" applyBorder="1" applyAlignment="1">
      <alignment vertical="top" wrapText="1"/>
    </xf>
    <xf numFmtId="20" fontId="40" fillId="0" borderId="14" xfId="0" quotePrefix="1" applyNumberFormat="1" applyFont="1" applyBorder="1" applyAlignment="1">
      <alignment vertical="center" wrapText="1"/>
    </xf>
    <xf numFmtId="20" fontId="40" fillId="0" borderId="17" xfId="0" applyNumberFormat="1" applyFont="1" applyBorder="1" applyAlignment="1">
      <alignment horizontal="left" vertical="center" wrapText="1"/>
    </xf>
    <xf numFmtId="20" fontId="62" fillId="0" borderId="32" xfId="35" applyNumberFormat="1" applyFont="1" applyBorder="1" applyAlignment="1">
      <alignment horizontal="center" vertical="center"/>
    </xf>
    <xf numFmtId="20" fontId="62" fillId="0" borderId="17" xfId="35" applyNumberFormat="1" applyFont="1" applyBorder="1" applyAlignment="1">
      <alignment horizontal="center" vertical="center" wrapText="1"/>
    </xf>
    <xf numFmtId="20" fontId="62" fillId="0" borderId="17" xfId="0" applyNumberFormat="1" applyFont="1" applyBorder="1" applyAlignment="1">
      <alignment vertical="center" wrapText="1"/>
    </xf>
    <xf numFmtId="20" fontId="62" fillId="0" borderId="17" xfId="0" applyNumberFormat="1" applyFont="1" applyBorder="1" applyAlignment="1">
      <alignment horizontal="center" vertical="center"/>
    </xf>
    <xf numFmtId="20" fontId="62" fillId="0" borderId="14" xfId="0" applyNumberFormat="1" applyFont="1" applyBorder="1" applyAlignment="1">
      <alignment vertical="center" wrapText="1"/>
    </xf>
    <xf numFmtId="20" fontId="62" fillId="0" borderId="17" xfId="0" applyNumberFormat="1" applyFont="1" applyBorder="1" applyAlignment="1">
      <alignment horizontal="center" vertical="center" wrapText="1"/>
    </xf>
    <xf numFmtId="20" fontId="62" fillId="0" borderId="33" xfId="35" applyNumberFormat="1" applyFont="1" applyBorder="1" applyAlignment="1">
      <alignment horizontal="center" vertical="center" wrapText="1"/>
    </xf>
    <xf numFmtId="20" fontId="4" fillId="0" borderId="17" xfId="65" applyNumberFormat="1" applyFont="1" applyBorder="1" applyAlignment="1">
      <alignment horizontal="left" vertical="center" wrapText="1"/>
    </xf>
    <xf numFmtId="20" fontId="40" fillId="0" borderId="17" xfId="0" applyNumberFormat="1" applyFont="1" applyBorder="1" applyAlignment="1">
      <alignment vertical="center"/>
    </xf>
    <xf numFmtId="20" fontId="40" fillId="0" borderId="0" xfId="0" quotePrefix="1" applyNumberFormat="1" applyFont="1" applyAlignment="1">
      <alignment wrapText="1"/>
    </xf>
    <xf numFmtId="20" fontId="38" fillId="0" borderId="17" xfId="0" applyNumberFormat="1" applyFont="1" applyBorder="1" applyAlignment="1">
      <alignment vertical="top" wrapText="1"/>
    </xf>
    <xf numFmtId="20" fontId="40" fillId="0" borderId="11" xfId="35" applyNumberFormat="1" applyFont="1" applyBorder="1" applyAlignment="1">
      <alignment horizontal="center" vertical="center" wrapText="1"/>
    </xf>
    <xf numFmtId="20" fontId="38" fillId="0" borderId="17" xfId="0" applyNumberFormat="1" applyFont="1" applyBorder="1" applyAlignment="1">
      <alignment horizontal="center" vertical="center"/>
    </xf>
    <xf numFmtId="20" fontId="40" fillId="35" borderId="17" xfId="0" applyNumberFormat="1" applyFont="1" applyFill="1" applyBorder="1" applyAlignment="1">
      <alignment vertical="center" wrapText="1"/>
    </xf>
    <xf numFmtId="20" fontId="38" fillId="35" borderId="17" xfId="0" applyNumberFormat="1" applyFont="1" applyFill="1" applyBorder="1" applyAlignment="1">
      <alignment vertical="center" wrapText="1"/>
    </xf>
    <xf numFmtId="20" fontId="38" fillId="35" borderId="17" xfId="35" applyNumberFormat="1" applyFont="1" applyFill="1" applyBorder="1" applyAlignment="1">
      <alignment horizontal="center" vertical="center" wrapText="1"/>
    </xf>
    <xf numFmtId="20" fontId="4" fillId="0" borderId="14" xfId="0" applyNumberFormat="1" applyFont="1" applyBorder="1" applyAlignment="1">
      <alignment vertical="center" wrapText="1"/>
    </xf>
    <xf numFmtId="20" fontId="38" fillId="0" borderId="14" xfId="0" applyNumberFormat="1" applyFont="1" applyBorder="1" applyAlignment="1">
      <alignment vertical="center" wrapText="1"/>
    </xf>
    <xf numFmtId="20" fontId="4" fillId="0" borderId="17" xfId="0" applyNumberFormat="1" applyFont="1" applyBorder="1" applyAlignment="1">
      <alignment horizontal="center" vertical="center"/>
    </xf>
    <xf numFmtId="20" fontId="54" fillId="0" borderId="17" xfId="0" applyNumberFormat="1" applyFont="1" applyBorder="1" applyAlignment="1">
      <alignment horizontal="left" vertical="center" wrapText="1"/>
    </xf>
    <xf numFmtId="20" fontId="38" fillId="0" borderId="17" xfId="0" applyNumberFormat="1" applyFont="1" applyBorder="1" applyAlignment="1">
      <alignment horizontal="left" vertical="center" wrapText="1"/>
    </xf>
    <xf numFmtId="20" fontId="40" fillId="0" borderId="17" xfId="65" applyNumberFormat="1" applyFont="1" applyBorder="1" applyAlignment="1">
      <alignment horizontal="center" vertical="center" wrapText="1"/>
    </xf>
    <xf numFmtId="20" fontId="40" fillId="0" borderId="0" xfId="0" applyNumberFormat="1" applyFont="1" applyAlignment="1">
      <alignment vertical="center" wrapText="1"/>
    </xf>
    <xf numFmtId="20" fontId="3" fillId="35" borderId="66" xfId="65" applyNumberFormat="1" applyFont="1" applyFill="1" applyBorder="1" applyAlignment="1">
      <alignment horizontal="left" vertical="center" wrapText="1"/>
    </xf>
    <xf numFmtId="20" fontId="38" fillId="35" borderId="66" xfId="65" applyNumberFormat="1" applyFont="1" applyFill="1" applyBorder="1" applyAlignment="1">
      <alignment horizontal="left" vertical="center" wrapText="1"/>
    </xf>
    <xf numFmtId="20" fontId="38" fillId="0" borderId="66" xfId="0" applyNumberFormat="1" applyFont="1" applyBorder="1" applyAlignment="1">
      <alignment vertical="center" wrapText="1"/>
    </xf>
    <xf numFmtId="20" fontId="40" fillId="0" borderId="66" xfId="0" applyNumberFormat="1" applyFont="1" applyBorder="1" applyAlignment="1">
      <alignment vertical="center" wrapText="1"/>
    </xf>
    <xf numFmtId="20" fontId="38" fillId="0" borderId="17" xfId="65" applyNumberFormat="1" applyFont="1" applyBorder="1" applyAlignment="1">
      <alignment horizontal="center" vertical="center" wrapText="1"/>
    </xf>
    <xf numFmtId="20" fontId="40" fillId="0" borderId="49" xfId="0" applyNumberFormat="1" applyFont="1" applyBorder="1" applyAlignment="1">
      <alignment vertical="center" wrapText="1"/>
    </xf>
    <xf numFmtId="20" fontId="38" fillId="0" borderId="49" xfId="0" applyNumberFormat="1" applyFont="1" applyBorder="1" applyAlignment="1">
      <alignment vertical="center" wrapText="1"/>
    </xf>
    <xf numFmtId="20" fontId="40" fillId="0" borderId="64" xfId="0" applyNumberFormat="1" applyFont="1" applyBorder="1" applyAlignment="1">
      <alignment vertical="center" wrapText="1"/>
    </xf>
    <xf numFmtId="20" fontId="38" fillId="0" borderId="64" xfId="0" applyNumberFormat="1" applyFont="1" applyBorder="1" applyAlignment="1">
      <alignment vertical="center" wrapText="1"/>
    </xf>
    <xf numFmtId="20" fontId="40" fillId="0" borderId="14" xfId="0" quotePrefix="1" applyNumberFormat="1" applyFont="1" applyBorder="1" applyAlignment="1">
      <alignment wrapText="1"/>
    </xf>
    <xf numFmtId="20" fontId="38" fillId="0" borderId="17" xfId="0" quotePrefix="1" applyNumberFormat="1" applyFont="1" applyBorder="1" applyAlignment="1">
      <alignment vertical="center" wrapText="1"/>
    </xf>
    <xf numFmtId="20" fontId="40" fillId="0" borderId="49" xfId="0" applyNumberFormat="1" applyFont="1" applyBorder="1" applyAlignment="1">
      <alignment horizontal="center" vertical="center" wrapText="1"/>
    </xf>
    <xf numFmtId="20" fontId="38" fillId="0" borderId="49" xfId="0" applyNumberFormat="1" applyFont="1" applyBorder="1" applyAlignment="1">
      <alignment horizontal="center" vertical="center" wrapText="1"/>
    </xf>
    <xf numFmtId="20" fontId="40" fillId="0" borderId="49" xfId="0" applyNumberFormat="1" applyFont="1" applyBorder="1" applyAlignment="1">
      <alignment vertical="center"/>
    </xf>
    <xf numFmtId="20" fontId="38" fillId="0" borderId="49" xfId="0" applyNumberFormat="1" applyFont="1" applyBorder="1" applyAlignment="1">
      <alignment vertical="center"/>
    </xf>
    <xf numFmtId="20" fontId="4" fillId="37" borderId="31" xfId="35" applyNumberFormat="1" applyFont="1" applyFill="1" applyBorder="1" applyAlignment="1">
      <alignment horizontal="center" vertical="center"/>
    </xf>
    <xf numFmtId="20" fontId="4" fillId="37" borderId="49" xfId="35" applyNumberFormat="1" applyFont="1" applyFill="1" applyBorder="1" applyAlignment="1">
      <alignment horizontal="center" vertical="center" wrapText="1"/>
    </xf>
    <xf numFmtId="20" fontId="38" fillId="37" borderId="49" xfId="35" applyNumberFormat="1" applyFont="1" applyFill="1" applyBorder="1" applyAlignment="1">
      <alignment horizontal="center" vertical="center" wrapText="1"/>
    </xf>
    <xf numFmtId="20" fontId="40" fillId="37" borderId="49" xfId="0" applyNumberFormat="1" applyFont="1" applyFill="1" applyBorder="1" applyAlignment="1">
      <alignment horizontal="left" vertical="center" wrapText="1"/>
    </xf>
    <xf numFmtId="20" fontId="38" fillId="37" borderId="49" xfId="0" applyNumberFormat="1" applyFont="1" applyFill="1" applyBorder="1" applyAlignment="1">
      <alignment vertical="center" wrapText="1"/>
    </xf>
    <xf numFmtId="20" fontId="40" fillId="37" borderId="49" xfId="35" applyNumberFormat="1" applyFont="1" applyFill="1" applyBorder="1" applyAlignment="1">
      <alignment horizontal="center" vertical="center" wrapText="1"/>
    </xf>
    <xf numFmtId="20" fontId="40" fillId="37" borderId="49" xfId="0" applyNumberFormat="1" applyFont="1" applyFill="1" applyBorder="1" applyAlignment="1">
      <alignment horizontal="center" vertical="center" wrapText="1"/>
    </xf>
    <xf numFmtId="20" fontId="40" fillId="37" borderId="64" xfId="0" applyNumberFormat="1" applyFont="1" applyFill="1" applyBorder="1" applyAlignment="1">
      <alignment vertical="center" wrapText="1"/>
    </xf>
    <xf numFmtId="20" fontId="40" fillId="37" borderId="49" xfId="0" applyNumberFormat="1" applyFont="1" applyFill="1" applyBorder="1" applyAlignment="1">
      <alignment horizontal="center" vertical="center"/>
    </xf>
    <xf numFmtId="20" fontId="38" fillId="37" borderId="49" xfId="0" applyNumberFormat="1" applyFont="1" applyFill="1" applyBorder="1" applyAlignment="1">
      <alignment horizontal="center" vertical="center"/>
    </xf>
    <xf numFmtId="20" fontId="40" fillId="37" borderId="63" xfId="35" applyNumberFormat="1" applyFont="1" applyFill="1" applyBorder="1" applyAlignment="1">
      <alignment horizontal="center" vertical="center" wrapText="1"/>
    </xf>
    <xf numFmtId="20" fontId="40" fillId="37" borderId="49" xfId="0" applyNumberFormat="1" applyFont="1" applyFill="1" applyBorder="1" applyAlignment="1">
      <alignment vertical="center" wrapText="1"/>
    </xf>
    <xf numFmtId="20" fontId="40" fillId="27" borderId="28" xfId="63" applyNumberFormat="1" applyFont="1" applyFill="1" applyBorder="1" applyAlignment="1">
      <alignment horizontal="center" vertical="center"/>
    </xf>
    <xf numFmtId="20" fontId="38" fillId="27" borderId="29" xfId="62" applyNumberFormat="1" applyFont="1" applyFill="1" applyBorder="1" applyAlignment="1">
      <alignment horizontal="left" vertical="center" wrapText="1"/>
    </xf>
    <xf numFmtId="20" fontId="40" fillId="27" borderId="29" xfId="62" applyNumberFormat="1" applyFont="1" applyFill="1" applyBorder="1" applyAlignment="1">
      <alignment vertical="center" wrapText="1"/>
    </xf>
    <xf numFmtId="20" fontId="40" fillId="27" borderId="29" xfId="0" applyNumberFormat="1" applyFont="1" applyFill="1" applyBorder="1" applyAlignment="1">
      <alignment horizontal="center" vertical="center"/>
    </xf>
    <xf numFmtId="20" fontId="38" fillId="27" borderId="29" xfId="0" applyNumberFormat="1" applyFont="1" applyFill="1" applyBorder="1" applyAlignment="1">
      <alignment horizontal="center" vertical="center"/>
    </xf>
    <xf numFmtId="20" fontId="40" fillId="27" borderId="29" xfId="62" applyNumberFormat="1" applyFont="1" applyFill="1" applyBorder="1" applyAlignment="1">
      <alignment horizontal="center" vertical="center" wrapText="1"/>
    </xf>
    <xf numFmtId="20" fontId="38" fillId="27" borderId="29" xfId="62" applyNumberFormat="1" applyFont="1" applyFill="1" applyBorder="1" applyAlignment="1">
      <alignment horizontal="center" vertical="center" wrapText="1"/>
    </xf>
    <xf numFmtId="20" fontId="38" fillId="27" borderId="29" xfId="62" applyNumberFormat="1" applyFont="1" applyFill="1" applyBorder="1" applyAlignment="1">
      <alignment vertical="center" wrapText="1"/>
    </xf>
    <xf numFmtId="20" fontId="40" fillId="27" borderId="29" xfId="62" applyNumberFormat="1" applyFont="1" applyFill="1" applyBorder="1" applyAlignment="1">
      <alignment horizontal="center" vertical="center" wrapText="1" readingOrder="1"/>
    </xf>
    <xf numFmtId="20" fontId="40" fillId="27" borderId="30" xfId="0" applyNumberFormat="1" applyFont="1" applyFill="1" applyBorder="1" applyAlignment="1">
      <alignment horizontal="center" vertical="center"/>
    </xf>
    <xf numFmtId="20" fontId="4" fillId="0" borderId="25" xfId="37" applyNumberFormat="1" applyFont="1" applyBorder="1" applyAlignment="1">
      <alignment horizontal="left" vertical="center" wrapText="1"/>
    </xf>
    <xf numFmtId="20" fontId="38" fillId="0" borderId="25" xfId="37" applyNumberFormat="1" applyFont="1" applyBorder="1" applyAlignment="1">
      <alignment horizontal="left" vertical="center" wrapText="1"/>
    </xf>
    <xf numFmtId="20" fontId="40" fillId="0" borderId="25" xfId="37" applyNumberFormat="1" applyFont="1" applyBorder="1" applyAlignment="1">
      <alignment horizontal="left" vertical="center" wrapText="1"/>
    </xf>
    <xf numFmtId="20" fontId="4" fillId="0" borderId="25" xfId="37" applyNumberFormat="1" applyFont="1" applyBorder="1" applyAlignment="1">
      <alignment horizontal="center" vertical="center"/>
    </xf>
    <xf numFmtId="20" fontId="4" fillId="0" borderId="17" xfId="37" applyNumberFormat="1" applyFont="1" applyBorder="1" applyAlignment="1">
      <alignment horizontal="left" vertical="center" wrapText="1"/>
    </xf>
    <xf numFmtId="20" fontId="38" fillId="0" borderId="17" xfId="37" applyNumberFormat="1" applyFont="1" applyBorder="1" applyAlignment="1">
      <alignment horizontal="left" vertical="center" wrapText="1"/>
    </xf>
    <xf numFmtId="20" fontId="40" fillId="0" borderId="17" xfId="37" applyNumberFormat="1" applyFont="1" applyBorder="1" applyAlignment="1">
      <alignment horizontal="left" vertical="center" wrapText="1"/>
    </xf>
    <xf numFmtId="20" fontId="4" fillId="0" borderId="17" xfId="37" applyNumberFormat="1" applyFont="1" applyBorder="1" applyAlignment="1">
      <alignment horizontal="center" vertical="center"/>
    </xf>
    <xf numFmtId="20" fontId="4" fillId="0" borderId="17" xfId="37" applyNumberFormat="1" applyFont="1" applyBorder="1" applyAlignment="1">
      <alignment horizontal="center" vertical="center" wrapText="1"/>
    </xf>
    <xf numFmtId="20" fontId="40" fillId="0" borderId="17" xfId="35" quotePrefix="1" applyNumberFormat="1" applyFont="1" applyBorder="1" applyAlignment="1">
      <alignment horizontal="center" vertical="center" wrapText="1"/>
    </xf>
    <xf numFmtId="20" fontId="4" fillId="0" borderId="17" xfId="65" applyNumberFormat="1" applyFont="1" applyBorder="1" applyAlignment="1">
      <alignment vertical="center" wrapText="1"/>
    </xf>
    <xf numFmtId="20" fontId="38" fillId="0" borderId="17" xfId="65" applyNumberFormat="1" applyFont="1" applyBorder="1" applyAlignment="1">
      <alignment vertical="center" wrapText="1"/>
    </xf>
    <xf numFmtId="20" fontId="40" fillId="0" borderId="24" xfId="35" applyNumberFormat="1" applyFont="1" applyBorder="1" applyAlignment="1">
      <alignment horizontal="center" vertical="center"/>
    </xf>
    <xf numFmtId="20" fontId="40" fillId="0" borderId="32" xfId="35" applyNumberFormat="1" applyFont="1" applyBorder="1" applyAlignment="1">
      <alignment horizontal="center" vertical="center"/>
    </xf>
    <xf numFmtId="20" fontId="40" fillId="27" borderId="28" xfId="35" applyNumberFormat="1" applyFont="1" applyFill="1" applyBorder="1" applyAlignment="1">
      <alignment horizontal="center" vertical="center"/>
    </xf>
    <xf numFmtId="0" fontId="40" fillId="0" borderId="25" xfId="0" applyFont="1" applyBorder="1" applyAlignment="1">
      <alignment horizontal="center" vertical="center" wrapText="1"/>
    </xf>
    <xf numFmtId="0" fontId="40" fillId="27" borderId="29" xfId="0" applyFont="1" applyFill="1" applyBorder="1" applyAlignment="1">
      <alignment horizontal="center" vertical="center" wrapText="1"/>
    </xf>
    <xf numFmtId="0" fontId="40" fillId="0" borderId="25" xfId="0" applyFont="1" applyBorder="1" applyAlignment="1">
      <alignment horizontal="center" vertical="center"/>
    </xf>
    <xf numFmtId="0" fontId="40" fillId="0" borderId="17" xfId="0" applyFont="1" applyBorder="1" applyAlignment="1">
      <alignment horizontal="center" vertical="center"/>
    </xf>
    <xf numFmtId="0" fontId="62" fillId="0" borderId="17" xfId="0" applyFont="1" applyBorder="1" applyAlignment="1">
      <alignment horizontal="center" vertical="center"/>
    </xf>
    <xf numFmtId="0" fontId="4" fillId="0" borderId="17" xfId="0" applyFont="1" applyBorder="1" applyAlignment="1">
      <alignment horizontal="center" vertical="center"/>
    </xf>
    <xf numFmtId="0" fontId="40" fillId="37" borderId="49" xfId="0" applyFont="1" applyFill="1" applyBorder="1" applyAlignment="1">
      <alignment horizontal="center" vertical="center"/>
    </xf>
    <xf numFmtId="0" fontId="40" fillId="35" borderId="29" xfId="62" applyFont="1" applyFill="1" applyBorder="1" applyAlignment="1">
      <alignment horizontal="center" vertical="center" wrapText="1" readingOrder="1"/>
    </xf>
    <xf numFmtId="0" fontId="4" fillId="0" borderId="25" xfId="37" applyFont="1" applyBorder="1" applyAlignment="1">
      <alignment horizontal="center" vertical="center"/>
    </xf>
    <xf numFmtId="0" fontId="4" fillId="0" borderId="17" xfId="37" applyFont="1" applyBorder="1" applyAlignment="1">
      <alignment horizontal="center" vertical="center"/>
    </xf>
    <xf numFmtId="0" fontId="40" fillId="35" borderId="29" xfId="35" applyFont="1" applyFill="1" applyBorder="1" applyAlignment="1">
      <alignment horizontal="center" vertical="center" wrapText="1"/>
    </xf>
    <xf numFmtId="0" fontId="40" fillId="27" borderId="29" xfId="35" applyFont="1" applyFill="1" applyBorder="1" applyAlignment="1">
      <alignment horizontal="center" vertical="center" wrapText="1"/>
    </xf>
    <xf numFmtId="0" fontId="40" fillId="0" borderId="25" xfId="35" applyFont="1" applyBorder="1" applyAlignment="1">
      <alignment horizontal="center" vertical="center" wrapText="1"/>
    </xf>
    <xf numFmtId="0" fontId="40" fillId="0" borderId="17" xfId="35" applyFont="1" applyBorder="1" applyAlignment="1">
      <alignment horizontal="center" vertical="center" wrapText="1"/>
    </xf>
    <xf numFmtId="0" fontId="62" fillId="0" borderId="17" xfId="35" applyFont="1" applyBorder="1" applyAlignment="1">
      <alignment horizontal="center" vertical="center" wrapText="1"/>
    </xf>
    <xf numFmtId="0" fontId="62" fillId="0" borderId="17" xfId="0" applyFont="1" applyBorder="1" applyAlignment="1">
      <alignment horizontal="center" vertical="center" wrapText="1"/>
    </xf>
    <xf numFmtId="0" fontId="40" fillId="37" borderId="49" xfId="35" applyFont="1" applyFill="1" applyBorder="1" applyAlignment="1">
      <alignment horizontal="center" vertical="center" wrapText="1"/>
    </xf>
    <xf numFmtId="0" fontId="2" fillId="35" borderId="66" xfId="65" applyFont="1" applyFill="1" applyBorder="1" applyAlignment="1">
      <alignment horizontal="center" vertical="center" wrapText="1"/>
    </xf>
    <xf numFmtId="0" fontId="38" fillId="35" borderId="66" xfId="66" applyFont="1" applyFill="1" applyBorder="1" applyAlignment="1">
      <alignment horizontal="center" vertical="center" wrapText="1"/>
    </xf>
    <xf numFmtId="0" fontId="4" fillId="0" borderId="25" xfId="35" applyFont="1" applyBorder="1" applyAlignment="1">
      <alignment horizontal="center" vertical="center"/>
    </xf>
    <xf numFmtId="0" fontId="4" fillId="0" borderId="17" xfId="35" applyFont="1" applyBorder="1" applyAlignment="1">
      <alignment horizontal="center" vertical="center"/>
    </xf>
    <xf numFmtId="0" fontId="4" fillId="0" borderId="13" xfId="35" applyFont="1" applyBorder="1" applyAlignment="1">
      <alignment horizontal="center" vertical="center"/>
    </xf>
    <xf numFmtId="0" fontId="4" fillId="27" borderId="29" xfId="35" applyFont="1" applyFill="1" applyBorder="1" applyAlignment="1">
      <alignment horizontal="center" vertical="center"/>
    </xf>
    <xf numFmtId="0" fontId="62" fillId="0" borderId="17" xfId="35" applyFont="1" applyBorder="1" applyAlignment="1">
      <alignment horizontal="center" vertical="center"/>
    </xf>
    <xf numFmtId="0" fontId="4" fillId="37" borderId="17" xfId="35" applyFont="1" applyFill="1" applyBorder="1" applyAlignment="1">
      <alignment horizontal="center" vertical="center"/>
    </xf>
    <xf numFmtId="0" fontId="40" fillId="27" borderId="17" xfId="63" applyFont="1" applyFill="1" applyBorder="1" applyAlignment="1">
      <alignment horizontal="center" vertical="center"/>
    </xf>
    <xf numFmtId="0" fontId="40" fillId="0" borderId="25" xfId="35" applyFont="1" applyBorder="1" applyAlignment="1">
      <alignment horizontal="center" vertical="center"/>
    </xf>
    <xf numFmtId="0" fontId="40" fillId="0" borderId="17" xfId="35" applyFont="1" applyBorder="1" applyAlignment="1">
      <alignment horizontal="center" vertical="center"/>
    </xf>
    <xf numFmtId="0" fontId="40" fillId="27" borderId="29" xfId="35" applyFont="1" applyFill="1" applyBorder="1" applyAlignment="1">
      <alignment horizontal="center" vertical="center"/>
    </xf>
    <xf numFmtId="20" fontId="1" fillId="35" borderId="17" xfId="0" applyNumberFormat="1" applyFont="1" applyFill="1" applyBorder="1" applyAlignment="1">
      <alignment vertical="center" wrapText="1"/>
    </xf>
    <xf numFmtId="0" fontId="4" fillId="37" borderId="66" xfId="35" applyFont="1" applyFill="1" applyBorder="1" applyAlignment="1">
      <alignment horizontal="center" vertical="center"/>
    </xf>
    <xf numFmtId="0" fontId="40" fillId="37" borderId="70" xfId="66" applyFont="1" applyFill="1" applyBorder="1" applyAlignment="1">
      <alignment horizontal="left" vertical="center" wrapText="1"/>
    </xf>
    <xf numFmtId="0" fontId="62" fillId="37" borderId="66" xfId="66" applyFont="1" applyFill="1" applyBorder="1" applyAlignment="1">
      <alignment horizontal="left" vertical="center"/>
    </xf>
    <xf numFmtId="20" fontId="62" fillId="0" borderId="17" xfId="35" applyNumberFormat="1" applyFont="1" applyBorder="1" applyAlignment="1">
      <alignment vertical="center" wrapText="1"/>
    </xf>
    <xf numFmtId="20" fontId="40" fillId="37" borderId="49" xfId="35" applyNumberFormat="1" applyFont="1" applyFill="1" applyBorder="1" applyAlignment="1">
      <alignment vertical="center" wrapText="1"/>
    </xf>
    <xf numFmtId="20" fontId="4" fillId="0" borderId="17" xfId="0" applyNumberFormat="1" applyFont="1" applyBorder="1" applyAlignment="1">
      <alignment horizontal="center" vertical="center" wrapText="1"/>
    </xf>
    <xf numFmtId="20" fontId="38" fillId="0" borderId="66" xfId="35" applyNumberFormat="1" applyFont="1" applyBorder="1" applyAlignment="1">
      <alignment horizontal="left" vertical="center" wrapText="1"/>
    </xf>
    <xf numFmtId="20" fontId="38" fillId="0" borderId="66" xfId="65" applyNumberFormat="1" applyFont="1" applyBorder="1" applyAlignment="1">
      <alignment horizontal="left" vertical="center" wrapText="1"/>
    </xf>
    <xf numFmtId="20" fontId="62" fillId="0" borderId="66" xfId="0" applyNumberFormat="1" applyFont="1" applyBorder="1" applyAlignment="1">
      <alignment vertical="center" wrapText="1"/>
    </xf>
    <xf numFmtId="20" fontId="38" fillId="35" borderId="66" xfId="0" applyNumberFormat="1" applyFont="1" applyFill="1" applyBorder="1" applyAlignment="1">
      <alignment vertical="center" wrapText="1"/>
    </xf>
    <xf numFmtId="20" fontId="38" fillId="0" borderId="66" xfId="0" applyNumberFormat="1" applyFont="1" applyBorder="1" applyAlignment="1">
      <alignment horizontal="left" vertical="center" wrapText="1"/>
    </xf>
    <xf numFmtId="20" fontId="38" fillId="0" borderId="66" xfId="37" applyNumberFormat="1" applyFont="1" applyBorder="1" applyAlignment="1">
      <alignment horizontal="left" vertical="center" wrapText="1"/>
    </xf>
    <xf numFmtId="20" fontId="41" fillId="40" borderId="25" xfId="0" applyNumberFormat="1" applyFont="1" applyFill="1" applyBorder="1" applyAlignment="1">
      <alignment horizontal="center" vertical="center" wrapText="1"/>
    </xf>
    <xf numFmtId="0" fontId="59" fillId="24" borderId="0" xfId="59" applyFont="1" applyFill="1" applyAlignment="1">
      <alignment wrapText="1"/>
    </xf>
    <xf numFmtId="20" fontId="59" fillId="41" borderId="49" xfId="0" applyNumberFormat="1" applyFont="1" applyFill="1" applyBorder="1" applyAlignment="1">
      <alignment vertical="center" wrapText="1"/>
    </xf>
    <xf numFmtId="0" fontId="42" fillId="30" borderId="24" xfId="0" applyFont="1" applyFill="1" applyBorder="1" applyAlignment="1">
      <alignment horizontal="center" vertical="center" wrapText="1"/>
    </xf>
    <xf numFmtId="0" fontId="42" fillId="30" borderId="25" xfId="0" applyFont="1" applyFill="1" applyBorder="1" applyAlignment="1">
      <alignment horizontal="center" vertical="center" wrapText="1"/>
    </xf>
    <xf numFmtId="0" fontId="42" fillId="30" borderId="25" xfId="0" applyFont="1" applyFill="1" applyBorder="1" applyAlignment="1">
      <alignment horizontal="center" vertical="center"/>
    </xf>
    <xf numFmtId="0" fontId="42" fillId="30" borderId="26" xfId="0" applyFont="1" applyFill="1" applyBorder="1" applyAlignment="1">
      <alignment horizontal="center" vertical="center"/>
    </xf>
    <xf numFmtId="0" fontId="42" fillId="28" borderId="12" xfId="35" applyFont="1" applyFill="1" applyBorder="1" applyAlignment="1">
      <alignment horizontal="center" vertical="center" wrapText="1"/>
    </xf>
    <xf numFmtId="0" fontId="42" fillId="28" borderId="41" xfId="35" applyFont="1" applyFill="1" applyBorder="1" applyAlignment="1">
      <alignment horizontal="center" vertical="center" wrapText="1"/>
    </xf>
    <xf numFmtId="0" fontId="42" fillId="28" borderId="41" xfId="35" applyFont="1" applyFill="1" applyBorder="1" applyAlignment="1">
      <alignment horizontal="center" vertical="center"/>
    </xf>
    <xf numFmtId="0" fontId="42" fillId="28" borderId="40" xfId="35" applyFont="1" applyFill="1" applyBorder="1" applyAlignment="1">
      <alignment horizontal="center" vertical="center"/>
    </xf>
    <xf numFmtId="0" fontId="42" fillId="34" borderId="24" xfId="0" applyFont="1" applyFill="1" applyBorder="1" applyAlignment="1">
      <alignment horizontal="center" vertical="center" wrapText="1"/>
    </xf>
    <xf numFmtId="0" fontId="42" fillId="34" borderId="25" xfId="0" applyFont="1" applyFill="1" applyBorder="1" applyAlignment="1">
      <alignment horizontal="center" vertical="center" wrapText="1"/>
    </xf>
    <xf numFmtId="0" fontId="42" fillId="34" borderId="25" xfId="0" applyFont="1" applyFill="1" applyBorder="1" applyAlignment="1">
      <alignment horizontal="center" vertical="center"/>
    </xf>
    <xf numFmtId="0" fontId="42" fillId="34" borderId="26" xfId="0" applyFont="1" applyFill="1" applyBorder="1" applyAlignment="1">
      <alignment horizontal="center" vertical="center"/>
    </xf>
    <xf numFmtId="0" fontId="42" fillId="33" borderId="24" xfId="0" applyFont="1" applyFill="1" applyBorder="1" applyAlignment="1">
      <alignment horizontal="center" vertical="center" wrapText="1"/>
    </xf>
    <xf numFmtId="0" fontId="42" fillId="33" borderId="25" xfId="0" applyFont="1" applyFill="1" applyBorder="1" applyAlignment="1">
      <alignment horizontal="center" vertical="center" wrapText="1"/>
    </xf>
    <xf numFmtId="0" fontId="42" fillId="33" borderId="25" xfId="0" applyFont="1" applyFill="1" applyBorder="1" applyAlignment="1">
      <alignment horizontal="center" vertical="center"/>
    </xf>
    <xf numFmtId="0" fontId="42" fillId="33" borderId="26" xfId="0" applyFont="1" applyFill="1" applyBorder="1" applyAlignment="1">
      <alignment horizontal="center" vertical="center"/>
    </xf>
    <xf numFmtId="0" fontId="42" fillId="32" borderId="24" xfId="0" applyFont="1" applyFill="1" applyBorder="1" applyAlignment="1">
      <alignment horizontal="center" vertical="center" wrapText="1"/>
    </xf>
    <xf numFmtId="0" fontId="42" fillId="32" borderId="25" xfId="0" applyFont="1" applyFill="1" applyBorder="1" applyAlignment="1">
      <alignment horizontal="center" vertical="center" wrapText="1"/>
    </xf>
    <xf numFmtId="0" fontId="42" fillId="32" borderId="25" xfId="0" applyFont="1" applyFill="1" applyBorder="1" applyAlignment="1">
      <alignment horizontal="center" vertical="center"/>
    </xf>
    <xf numFmtId="0" fontId="42" fillId="32" borderId="26" xfId="0" applyFont="1" applyFill="1" applyBorder="1" applyAlignment="1">
      <alignment horizontal="center" vertical="center"/>
    </xf>
    <xf numFmtId="0" fontId="42" fillId="31" borderId="24" xfId="0" applyFont="1" applyFill="1" applyBorder="1" applyAlignment="1">
      <alignment horizontal="center" vertical="center" wrapText="1"/>
    </xf>
    <xf numFmtId="0" fontId="42" fillId="31" borderId="25" xfId="0" applyFont="1" applyFill="1" applyBorder="1" applyAlignment="1">
      <alignment horizontal="center" vertical="center" wrapText="1"/>
    </xf>
    <xf numFmtId="0" fontId="42" fillId="31" borderId="25" xfId="0" applyFont="1" applyFill="1" applyBorder="1" applyAlignment="1">
      <alignment horizontal="center" vertical="center"/>
    </xf>
    <xf numFmtId="0" fontId="42" fillId="31" borderId="26" xfId="0" applyFont="1" applyFill="1" applyBorder="1" applyAlignment="1">
      <alignment horizontal="center" vertical="center"/>
    </xf>
    <xf numFmtId="0" fontId="44" fillId="25" borderId="18" xfId="0" applyFont="1" applyFill="1" applyBorder="1" applyAlignment="1">
      <alignment vertical="center" wrapText="1"/>
    </xf>
    <xf numFmtId="0" fontId="44" fillId="25" borderId="53" xfId="0" applyFont="1" applyFill="1" applyBorder="1" applyAlignment="1">
      <alignment vertical="center" wrapText="1"/>
    </xf>
    <xf numFmtId="0" fontId="44" fillId="25" borderId="10" xfId="0" applyFont="1" applyFill="1" applyBorder="1" applyAlignment="1">
      <alignment vertical="center" wrapText="1"/>
    </xf>
    <xf numFmtId="0" fontId="40" fillId="24" borderId="37" xfId="59" applyFont="1" applyFill="1" applyBorder="1" applyAlignment="1">
      <alignment horizontal="left" vertical="center" wrapText="1"/>
    </xf>
    <xf numFmtId="0" fontId="40" fillId="24" borderId="38" xfId="59" applyFont="1" applyFill="1" applyBorder="1" applyAlignment="1">
      <alignment horizontal="left" vertical="center" wrapText="1"/>
    </xf>
    <xf numFmtId="0" fontId="40" fillId="24" borderId="11" xfId="59" applyFont="1" applyFill="1" applyBorder="1" applyAlignment="1">
      <alignment horizontal="left" vertical="center" wrapText="1"/>
    </xf>
    <xf numFmtId="0" fontId="40" fillId="24" borderId="33" xfId="59" applyFont="1" applyFill="1" applyBorder="1" applyAlignment="1">
      <alignment horizontal="left" vertical="center"/>
    </xf>
    <xf numFmtId="0" fontId="40" fillId="24" borderId="39" xfId="59" applyFont="1" applyFill="1" applyBorder="1" applyAlignment="1">
      <alignment horizontal="left" vertical="center" wrapText="1"/>
    </xf>
    <xf numFmtId="0" fontId="40" fillId="24" borderId="30" xfId="59" applyFont="1" applyFill="1" applyBorder="1" applyAlignment="1">
      <alignment horizontal="left" vertical="center"/>
    </xf>
    <xf numFmtId="0" fontId="42" fillId="29" borderId="66" xfId="73" applyFont="1" applyFill="1" applyBorder="1" applyAlignment="1">
      <alignment horizontal="left"/>
    </xf>
    <xf numFmtId="0" fontId="5" fillId="29" borderId="66" xfId="73" applyFill="1" applyBorder="1" applyAlignment="1">
      <alignment horizontal="left" vertical="center" wrapText="1"/>
    </xf>
    <xf numFmtId="0" fontId="55" fillId="29" borderId="66" xfId="73" applyFont="1" applyFill="1" applyBorder="1" applyAlignment="1">
      <alignment horizontal="center" vertical="center"/>
    </xf>
    <xf numFmtId="0" fontId="40" fillId="0" borderId="50" xfId="73" applyFont="1" applyBorder="1" applyAlignment="1">
      <alignment horizontal="left" wrapText="1"/>
    </xf>
    <xf numFmtId="0" fontId="40" fillId="0" borderId="43" xfId="73" applyFont="1" applyBorder="1" applyAlignment="1">
      <alignment horizontal="left" wrapText="1"/>
    </xf>
    <xf numFmtId="0" fontId="40" fillId="0" borderId="44" xfId="73" applyFont="1" applyBorder="1" applyAlignment="1">
      <alignment horizontal="left" wrapText="1"/>
    </xf>
    <xf numFmtId="0" fontId="40" fillId="0" borderId="51" xfId="73" applyFont="1" applyBorder="1" applyAlignment="1">
      <alignment horizontal="left" wrapText="1"/>
    </xf>
    <xf numFmtId="0" fontId="40" fillId="0" borderId="0" xfId="73" applyFont="1" applyAlignment="1">
      <alignment horizontal="left" wrapText="1"/>
    </xf>
    <xf numFmtId="0" fontId="40" fillId="0" borderId="45" xfId="73" applyFont="1" applyBorder="1" applyAlignment="1">
      <alignment horizontal="left" wrapText="1"/>
    </xf>
    <xf numFmtId="0" fontId="0" fillId="0" borderId="51" xfId="73" applyFont="1" applyBorder="1" applyAlignment="1">
      <alignment horizontal="left" wrapText="1"/>
    </xf>
    <xf numFmtId="0" fontId="0" fillId="0" borderId="0" xfId="73" applyFont="1" applyAlignment="1">
      <alignment horizontal="left" wrapText="1"/>
    </xf>
    <xf numFmtId="0" fontId="0" fillId="0" borderId="45" xfId="73" applyFont="1" applyBorder="1" applyAlignment="1">
      <alignment horizontal="left" wrapText="1"/>
    </xf>
    <xf numFmtId="0" fontId="15" fillId="0" borderId="0" xfId="0" applyFont="1"/>
  </cellXfs>
  <cellStyles count="75">
    <cellStyle name="20 % - Accent1 2" xfId="1" xr:uid="{00000000-0005-0000-0000-000000000000}"/>
    <cellStyle name="20 % - Accent2 2" xfId="2" xr:uid="{00000000-0005-0000-0000-000001000000}"/>
    <cellStyle name="20 % - Accent3 2" xfId="3" xr:uid="{00000000-0005-0000-0000-000002000000}"/>
    <cellStyle name="20 % - Accent4 2" xfId="4" xr:uid="{00000000-0005-0000-0000-000003000000}"/>
    <cellStyle name="20 % - Accent5 2" xfId="5" xr:uid="{00000000-0005-0000-0000-000004000000}"/>
    <cellStyle name="20 % - Accent6 2" xfId="6" xr:uid="{00000000-0005-0000-0000-000005000000}"/>
    <cellStyle name="40 % - Accent1 2" xfId="7" xr:uid="{00000000-0005-0000-0000-000006000000}"/>
    <cellStyle name="40 % - Accent2 2" xfId="8" xr:uid="{00000000-0005-0000-0000-000007000000}"/>
    <cellStyle name="40 % - Accent3 2" xfId="9" xr:uid="{00000000-0005-0000-0000-000008000000}"/>
    <cellStyle name="40 % - Accent4 2" xfId="10" xr:uid="{00000000-0005-0000-0000-000009000000}"/>
    <cellStyle name="40 % - Accent5 2" xfId="11" xr:uid="{00000000-0005-0000-0000-00000A000000}"/>
    <cellStyle name="40 % - Accent6 2" xfId="12" xr:uid="{00000000-0005-0000-0000-00000B000000}"/>
    <cellStyle name="60 % - Accent1 2" xfId="13" xr:uid="{00000000-0005-0000-0000-00000C000000}"/>
    <cellStyle name="60 % - Accent2 2" xfId="14" xr:uid="{00000000-0005-0000-0000-00000D000000}"/>
    <cellStyle name="60 % - Accent3 2" xfId="15" xr:uid="{00000000-0005-0000-0000-00000E000000}"/>
    <cellStyle name="60 % - Accent4 2" xfId="16" xr:uid="{00000000-0005-0000-0000-00000F000000}"/>
    <cellStyle name="60 % - Accent5 2" xfId="17" xr:uid="{00000000-0005-0000-0000-000010000000}"/>
    <cellStyle name="60 %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Avertissement 2" xfId="25" xr:uid="{00000000-0005-0000-0000-000018000000}"/>
    <cellStyle name="Calcul 2" xfId="26" xr:uid="{00000000-0005-0000-0000-000019000000}"/>
    <cellStyle name="Cellule liée 2" xfId="27" xr:uid="{00000000-0005-0000-0000-00001A000000}"/>
    <cellStyle name="Commentaire 2" xfId="28" xr:uid="{00000000-0005-0000-0000-00001B000000}"/>
    <cellStyle name="Entrée 2" xfId="29" xr:uid="{00000000-0005-0000-0000-00001C000000}"/>
    <cellStyle name="Euro" xfId="30" xr:uid="{00000000-0005-0000-0000-00001D000000}"/>
    <cellStyle name="Insatisfaisant 2" xfId="31" xr:uid="{00000000-0005-0000-0000-00001E000000}"/>
    <cellStyle name="Lien hypertexte" xfId="32" builtinId="8"/>
    <cellStyle name="Neutre 2" xfId="33" xr:uid="{00000000-0005-0000-0000-000020000000}"/>
    <cellStyle name="Normal" xfId="0" builtinId="0"/>
    <cellStyle name="Normal 10" xfId="70" xr:uid="{00000000-0005-0000-0000-000022000000}"/>
    <cellStyle name="Normal 2" xfId="34" xr:uid="{00000000-0005-0000-0000-000023000000}"/>
    <cellStyle name="Normal 2 10" xfId="62" xr:uid="{00000000-0005-0000-0000-000024000000}"/>
    <cellStyle name="Normal 2 2" xfId="58" xr:uid="{00000000-0005-0000-0000-000025000000}"/>
    <cellStyle name="Normal 2 2 2" xfId="35" xr:uid="{00000000-0005-0000-0000-000026000000}"/>
    <cellStyle name="Normal 2 3" xfId="66" xr:uid="{00000000-0005-0000-0000-000027000000}"/>
    <cellStyle name="Normal 2_CEBS 2009 38 Annex 1 (CP06rev2 FINREP templates)" xfId="36" xr:uid="{00000000-0005-0000-0000-000028000000}"/>
    <cellStyle name="Normal 26" xfId="61" xr:uid="{00000000-0005-0000-0000-000029000000}"/>
    <cellStyle name="Normal 3" xfId="37" xr:uid="{00000000-0005-0000-0000-00002A000000}"/>
    <cellStyle name="Normal 3 5" xfId="65" xr:uid="{00000000-0005-0000-0000-00002B000000}"/>
    <cellStyle name="Normal 4" xfId="38" xr:uid="{00000000-0005-0000-0000-00002C000000}"/>
    <cellStyle name="Normal 4 2" xfId="57" xr:uid="{00000000-0005-0000-0000-00002D000000}"/>
    <cellStyle name="Normal 5" xfId="39" xr:uid="{00000000-0005-0000-0000-00002E000000}"/>
    <cellStyle name="Normal 5 2" xfId="59" xr:uid="{00000000-0005-0000-0000-00002F000000}"/>
    <cellStyle name="Normal 5 3" xfId="60" xr:uid="{00000000-0005-0000-0000-000030000000}"/>
    <cellStyle name="Normal 6" xfId="40" xr:uid="{00000000-0005-0000-0000-000031000000}"/>
    <cellStyle name="Normal 7" xfId="56" xr:uid="{00000000-0005-0000-0000-000032000000}"/>
    <cellStyle name="Normal 7 2" xfId="63" xr:uid="{00000000-0005-0000-0000-000033000000}"/>
    <cellStyle name="Normal 8" xfId="64" xr:uid="{00000000-0005-0000-0000-000034000000}"/>
    <cellStyle name="Normal 9" xfId="67" xr:uid="{00000000-0005-0000-0000-000035000000}"/>
    <cellStyle name="Normal 9 2" xfId="68" xr:uid="{00000000-0005-0000-0000-000036000000}"/>
    <cellStyle name="Normal 9 3" xfId="69" xr:uid="{00000000-0005-0000-0000-000037000000}"/>
    <cellStyle name="Normal 9 3 2" xfId="72" xr:uid="{9D24C073-EBD2-4498-A8A7-B66C66D4ED31}"/>
    <cellStyle name="Normal 9 3 3" xfId="74" xr:uid="{C6CF485B-81F1-404C-A987-C15847BD321C}"/>
    <cellStyle name="Normal 9 5" xfId="71" xr:uid="{64C8BE8C-C03D-49C4-B594-D783CE0FE133}"/>
    <cellStyle name="Normal 9 5 2" xfId="73" xr:uid="{632A4A4B-49E6-4373-835B-9F827E0A586E}"/>
    <cellStyle name="Pourcentage 2" xfId="41" xr:uid="{00000000-0005-0000-0000-000038000000}"/>
    <cellStyle name="Pourcentage 3" xfId="42" xr:uid="{00000000-0005-0000-0000-000039000000}"/>
    <cellStyle name="Satisfaisant 2" xfId="43" xr:uid="{00000000-0005-0000-0000-00003A000000}"/>
    <cellStyle name="Sortie 2" xfId="44" xr:uid="{00000000-0005-0000-0000-00003B000000}"/>
    <cellStyle name="Standard 3" xfId="45" xr:uid="{00000000-0005-0000-0000-00003C000000}"/>
    <cellStyle name="Standard 3 2" xfId="46" xr:uid="{00000000-0005-0000-0000-00003D000000}"/>
    <cellStyle name="Style 1" xfId="47" xr:uid="{00000000-0005-0000-0000-00003E000000}"/>
    <cellStyle name="Texte explicatif 2" xfId="48" xr:uid="{00000000-0005-0000-0000-00003F000000}"/>
    <cellStyle name="Titre 2" xfId="49" xr:uid="{00000000-0005-0000-0000-000040000000}"/>
    <cellStyle name="Titre 1 2" xfId="50" xr:uid="{00000000-0005-0000-0000-000041000000}"/>
    <cellStyle name="Titre 2 2" xfId="51" xr:uid="{00000000-0005-0000-0000-000042000000}"/>
    <cellStyle name="Titre 3 2" xfId="52" xr:uid="{00000000-0005-0000-0000-000043000000}"/>
    <cellStyle name="Titre 4 2" xfId="53" xr:uid="{00000000-0005-0000-0000-000044000000}"/>
    <cellStyle name="Total 2" xfId="54" xr:uid="{00000000-0005-0000-0000-000045000000}"/>
    <cellStyle name="Vérification 2" xfId="55" xr:uid="{00000000-0005-0000-0000-000046000000}"/>
  </cellStyles>
  <dxfs count="0"/>
  <tableStyles count="0" defaultTableStyle="TableStyleMedium2" defaultPivotStyle="PivotStyleLight16"/>
  <colors>
    <mruColors>
      <color rgb="FF92CDDC"/>
      <color rgb="FF8BE9FF"/>
      <color rgb="FFFFFF99"/>
      <color rgb="FFCCFFCC"/>
      <color rgb="FFFFCC99"/>
      <color rgb="FF800000"/>
      <color rgb="FF0000FF"/>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https://service.ca-mocca.com/maia-collab/CFR/SitePages/Notices.aspx"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898071</xdr:colOff>
      <xdr:row>0</xdr:row>
      <xdr:rowOff>517071</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100-000002000000}"/>
            </a:ext>
          </a:extLst>
        </xdr:cNvPr>
        <xdr:cNvSpPr/>
      </xdr:nvSpPr>
      <xdr:spPr>
        <a:xfrm>
          <a:off x="0" y="0"/>
          <a:ext cx="4091214" cy="517071"/>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a:solidFill>
                <a:sysClr val="windowText" lastClr="000000"/>
              </a:solidFill>
            </a:rPr>
            <a:t>Merci</a:t>
          </a:r>
          <a:r>
            <a:rPr lang="fr-FR" sz="1100" baseline="0">
              <a:solidFill>
                <a:sysClr val="windowText" lastClr="000000"/>
              </a:solidFill>
            </a:rPr>
            <a:t> de vérifier que vous utilisez la dernière version sur le MOCCA </a:t>
          </a:r>
          <a:r>
            <a:rPr lang="fr-FR" sz="1100">
              <a:solidFill>
                <a:sysClr val="windowText" lastClr="000000"/>
              </a:solidFill>
            </a:rPr>
            <a:t>/ </a:t>
          </a:r>
          <a:r>
            <a:rPr lang="fr-FR" sz="1100">
              <a:solidFill>
                <a:srgbClr val="0070C0"/>
              </a:solidFill>
            </a:rPr>
            <a:t>Please check that</a:t>
          </a:r>
          <a:r>
            <a:rPr lang="fr-FR" sz="1100" baseline="0">
              <a:solidFill>
                <a:srgbClr val="0070C0"/>
              </a:solidFill>
            </a:rPr>
            <a:t> it is the last version on the MOCCA</a:t>
          </a:r>
          <a:endParaRPr lang="fr-FR" sz="1100">
            <a:solidFill>
              <a:srgbClr val="0070C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asnas100\dfs_root\Projets05\CFR\2-D&#233;ploiement%20Groupe\Structure%20collecte%20actuelle\Flux%20ZP\@CRR\CRRV4.3&amp;C3RDV2.0\Notices\CRRV4.3\OLD\Notices%20EN\Draft_CRRv4.3%20%20-%20Degraded%20Data%20Entry_v1.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asnas100\dfs_root\Projets02\SEP\Projets%20transverses\CRRV4.2\1_Cahier%20des%20Charges%20&amp;%20Notices\1_Version%20en%20cours%20ne%20pas%20diffuser\NOTICES\Notices%20FR\Notice%20Client&#232;le%20de%20D&#233;tail%20CRRV4.2_v1.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mb11-nas1.par.emea.cib\HomeDir21\Users\MC186089\Documents\1.%20Projets\Cr&#233;dit%20agricole\CASA%20-%20Zone%20de%20partage\3.%20Pilote\4.%20Conception\3.%20Mapping\CASA%20-%20ZP%20-%20Mapping%20v%207.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Methodology"/>
      <sheetName val="Format CRR v4.3"/>
      <sheetName val="A1 Degraded Data Entry"/>
      <sheetName val="(CAP) - new"/>
    </sheetNames>
    <sheetDataSet>
      <sheetData sheetId="0" refreshError="1"/>
      <sheetData sheetId="1" refreshError="1"/>
      <sheetData sheetId="2" refreshError="1"/>
      <sheetData sheetId="3"/>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Méthodologie"/>
      <sheetName val="Format CRR V4.2"/>
      <sheetName val="C5 Tiers Agrégats"/>
      <sheetName val="C1 Tiers"/>
      <sheetName val="P5 (hors Crédit-bail, SIG)"/>
      <sheetName val="P5 Crédit-Bail"/>
      <sheetName val="P5 Signature"/>
      <sheetName val="P6 Ventilations Bâloises"/>
      <sheetName val="M5 Sûretés Agrégées"/>
      <sheetName val="P8 Provisions Agrégées"/>
      <sheetName val="Familles de risques"/>
      <sheetName val="Périmètres des sûretés"/>
      <sheetName val="Critères d'agrég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Mapping - Notice"/>
      <sheetName val="Mapping"/>
      <sheetName val="Liste des objets"/>
      <sheetName val="Mapping - Complément contrat"/>
      <sheetName val="Mapping - Complément tiers"/>
      <sheetName val="LOV"/>
      <sheetName val="Règles de contrôle"/>
      <sheetName val="Criticité des anomalies"/>
      <sheetName val="Sorties"/>
      <sheetName val="Sorties - Complément OMP"/>
      <sheetName val="Tables de transcodification"/>
      <sheetName val="REF"/>
      <sheetName val="Export DM"/>
      <sheetName val="Tables START"/>
      <sheetName val="Contrôles"/>
    </sheetNames>
    <sheetDataSet>
      <sheetData sheetId="0"/>
      <sheetData sheetId="1"/>
      <sheetData sheetId="2"/>
      <sheetData sheetId="3">
        <row r="1">
          <cell r="A1" t="str">
            <v>Libellé</v>
          </cell>
        </row>
        <row r="2">
          <cell r="A2" t="str">
            <v>&gt;&gt; DOMAINE CONTRAT</v>
          </cell>
        </row>
        <row r="3">
          <cell r="A3" t="str">
            <v>Agreement</v>
          </cell>
        </row>
        <row r="4">
          <cell r="A4" t="str">
            <v>Agreement balance type metric</v>
          </cell>
        </row>
        <row r="5">
          <cell r="A5" t="str">
            <v>Exposure agreement</v>
          </cell>
        </row>
        <row r="6">
          <cell r="A6" t="str">
            <v>Securitization feature</v>
          </cell>
        </row>
        <row r="7">
          <cell r="A7" t="str">
            <v>Syndication feature</v>
          </cell>
        </row>
        <row r="8">
          <cell r="A8" t="str">
            <v>Investment agreement</v>
          </cell>
        </row>
        <row r="9">
          <cell r="A9" t="str">
            <v>Credit agreement</v>
          </cell>
        </row>
        <row r="10">
          <cell r="A10" t="str">
            <v>Risk mitigant agreement</v>
          </cell>
        </row>
        <row r="11">
          <cell r="A11" t="str">
            <v>Collateral agreement</v>
          </cell>
        </row>
        <row r="12">
          <cell r="A12" t="str">
            <v>Third party guarantee agreement</v>
          </cell>
        </row>
        <row r="13">
          <cell r="A13" t="str">
            <v>Discount</v>
          </cell>
        </row>
        <row r="14">
          <cell r="A14" t="str">
            <v>Agreement asset</v>
          </cell>
        </row>
        <row r="15">
          <cell r="A15" t="str">
            <v>Agreement related</v>
          </cell>
        </row>
        <row r="16">
          <cell r="A16" t="str">
            <v>Agreement risk metric</v>
          </cell>
        </row>
        <row r="17">
          <cell r="A17" t="str">
            <v>Schedule</v>
          </cell>
        </row>
        <row r="18">
          <cell r="A18" t="str">
            <v>Schedule Stage</v>
          </cell>
        </row>
        <row r="19">
          <cell r="A19" t="str">
            <v>Depreciation</v>
          </cell>
        </row>
        <row r="20">
          <cell r="A20" t="str">
            <v>Agreement Depreciation</v>
          </cell>
        </row>
        <row r="21">
          <cell r="A21" t="str">
            <v>Provision</v>
          </cell>
        </row>
        <row r="22">
          <cell r="A22" t="str">
            <v>&gt;&gt; DOMAINE TRANCHES</v>
          </cell>
        </row>
        <row r="23">
          <cell r="A23" t="str">
            <v>Allocated Risk Mitigant Agreement</v>
          </cell>
        </row>
        <row r="24">
          <cell r="A24" t="str">
            <v>Basel Tranche</v>
          </cell>
        </row>
        <row r="25">
          <cell r="A25" t="str">
            <v>Basel Tranche Metric</v>
          </cell>
        </row>
        <row r="26">
          <cell r="A26" t="str">
            <v>&gt;&gt; DOMAINE TIERS</v>
          </cell>
        </row>
        <row r="27">
          <cell r="A27" t="str">
            <v>Party</v>
          </cell>
        </row>
        <row r="28">
          <cell r="A28" t="str">
            <v>Party identification</v>
          </cell>
        </row>
        <row r="29">
          <cell r="A29" t="str">
            <v>Party Agreement</v>
          </cell>
        </row>
        <row r="30">
          <cell r="A30" t="str">
            <v>Individual</v>
          </cell>
        </row>
        <row r="31">
          <cell r="A31" t="str">
            <v>Organization</v>
          </cell>
        </row>
        <row r="32">
          <cell r="A32" t="str">
            <v>Party locator</v>
          </cell>
        </row>
        <row r="33">
          <cell r="A33" t="str">
            <v>Party risk grade</v>
          </cell>
        </row>
        <row r="34">
          <cell r="A34" t="str">
            <v>Party metric</v>
          </cell>
        </row>
        <row r="35">
          <cell r="A35" t="str">
            <v>Party To Party Group</v>
          </cell>
        </row>
        <row r="36">
          <cell r="A36" t="str">
            <v>Entity</v>
          </cell>
        </row>
      </sheetData>
      <sheetData sheetId="4"/>
      <sheetData sheetId="5"/>
      <sheetData sheetId="6"/>
      <sheetData sheetId="7">
        <row r="1">
          <cell r="A1" t="str">
            <v>Ref. règle</v>
          </cell>
        </row>
      </sheetData>
      <sheetData sheetId="8"/>
      <sheetData sheetId="9"/>
      <sheetData sheetId="10"/>
      <sheetData sheetId="11"/>
      <sheetData sheetId="12"/>
      <sheetData sheetId="13"/>
      <sheetData sheetId="14"/>
      <sheetData sheetId="1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
  <sheetViews>
    <sheetView zoomScale="80" zoomScaleNormal="80" workbookViewId="0"/>
  </sheetViews>
  <sheetFormatPr baseColWidth="10" defaultColWidth="11.44140625" defaultRowHeight="14.4" x14ac:dyDescent="0.3"/>
  <cols>
    <col min="1" max="1" width="26.21875" style="139" customWidth="1"/>
    <col min="2" max="2" width="11" style="139" customWidth="1"/>
    <col min="3" max="3" width="97.5546875" style="139" customWidth="1"/>
    <col min="4" max="4" width="16.5546875" style="139" customWidth="1"/>
    <col min="5" max="16384" width="11.44140625" style="139"/>
  </cols>
  <sheetData>
    <row r="1" spans="1:12" x14ac:dyDescent="0.3">
      <c r="A1" s="138" t="s">
        <v>282</v>
      </c>
      <c r="B1" s="138"/>
      <c r="C1" s="150"/>
    </row>
    <row r="2" spans="1:12" ht="15" thickBot="1" x14ac:dyDescent="0.35">
      <c r="A2" s="150"/>
      <c r="B2" s="150"/>
      <c r="C2" s="150"/>
      <c r="H2" s="186" t="s">
        <v>829</v>
      </c>
    </row>
    <row r="3" spans="1:12" ht="28.5" customHeight="1" thickBot="1" x14ac:dyDescent="0.35">
      <c r="A3" s="149" t="s">
        <v>283</v>
      </c>
      <c r="B3" s="154"/>
      <c r="C3" s="151" t="s">
        <v>284</v>
      </c>
      <c r="H3" s="187">
        <v>7</v>
      </c>
      <c r="I3" s="187">
        <v>6</v>
      </c>
      <c r="J3" s="187">
        <v>5</v>
      </c>
      <c r="K3" s="187" t="s">
        <v>830</v>
      </c>
      <c r="L3" s="187" t="s">
        <v>831</v>
      </c>
    </row>
    <row r="4" spans="1:12" ht="32.25" customHeight="1" x14ac:dyDescent="0.3">
      <c r="A4" s="546" t="s">
        <v>285</v>
      </c>
      <c r="B4" s="154"/>
      <c r="C4" s="152" t="s">
        <v>286</v>
      </c>
      <c r="G4" s="188" t="s">
        <v>832</v>
      </c>
      <c r="H4" s="139">
        <f>COUNTIF('A1 Alimentation Adaptée'!$AP$4:$AP$121,$H$3)</f>
        <v>30</v>
      </c>
      <c r="I4" s="139">
        <f>COUNTIF('A1 Alimentation Adaptée'!$AP$4:$AP$121,$I$3)</f>
        <v>26</v>
      </c>
      <c r="J4" s="139">
        <f>COUNTIF('A1 Alimentation Adaptée'!$AP$4:$AP$121,$J$3)</f>
        <v>0</v>
      </c>
      <c r="K4" s="139">
        <f>L4-SUM(H4:J4)</f>
        <v>2</v>
      </c>
      <c r="L4" s="189">
        <f>COUNTA('A1 Alimentation Adaptée'!$AP$4:$AP$121)</f>
        <v>58</v>
      </c>
    </row>
    <row r="5" spans="1:12" ht="41.25" customHeight="1" thickBot="1" x14ac:dyDescent="0.35">
      <c r="A5" s="547"/>
      <c r="B5" s="157"/>
      <c r="C5" s="153" t="s">
        <v>798</v>
      </c>
      <c r="G5" s="188" t="s">
        <v>833</v>
      </c>
      <c r="H5" s="139">
        <f>COUNTIF('A1 Alimentation Adaptée'!$AT$4:$AT$129,$H$3)</f>
        <v>51</v>
      </c>
      <c r="I5" s="139">
        <f>COUNTIF('A1 Alimentation Adaptée'!$AT$4:$AT$129,$I$3)</f>
        <v>0</v>
      </c>
      <c r="J5" s="139">
        <f>COUNTIF('A1 Alimentation Adaptée'!$AT$4:$AT$129,$J$3)</f>
        <v>0</v>
      </c>
      <c r="K5" s="139">
        <f t="shared" ref="K5:K8" si="0">L5-SUM(H5:J5)</f>
        <v>0</v>
      </c>
      <c r="L5" s="189">
        <f>COUNTA('A1 Alimentation Adaptée'!$AT$4:$AT$129)</f>
        <v>51</v>
      </c>
    </row>
    <row r="6" spans="1:12" ht="29.4" thickBot="1" x14ac:dyDescent="0.35">
      <c r="A6" s="149" t="s">
        <v>287</v>
      </c>
      <c r="B6" s="154"/>
      <c r="C6" s="156" t="s">
        <v>288</v>
      </c>
      <c r="G6" s="188" t="s">
        <v>834</v>
      </c>
      <c r="H6" s="139">
        <f>COUNTIF('A1 Alimentation Adaptée'!$AX$3:$AX$122,$H$3)</f>
        <v>17</v>
      </c>
      <c r="I6" s="139">
        <f>COUNTIF('A1 Alimentation Adaptée'!$AX$3:$AX$122,I3)</f>
        <v>7</v>
      </c>
      <c r="J6" s="139">
        <f>COUNTIF('A1 Alimentation Adaptée'!$AX$3:$AX$122,J3)</f>
        <v>0</v>
      </c>
      <c r="K6" s="139">
        <f t="shared" si="0"/>
        <v>1</v>
      </c>
      <c r="L6" s="189">
        <f>COUNTA('A1 Alimentation Adaptée'!$AX$3:$AX$122)</f>
        <v>25</v>
      </c>
    </row>
    <row r="7" spans="1:12" x14ac:dyDescent="0.3">
      <c r="A7" s="546" t="s">
        <v>289</v>
      </c>
      <c r="B7" s="154"/>
      <c r="C7" s="184" t="s">
        <v>799</v>
      </c>
      <c r="G7" s="188" t="s">
        <v>835</v>
      </c>
      <c r="H7" s="139">
        <f>COUNTIF('A1 Alimentation Adaptée'!$BB$4:$BB$126,$H$3)</f>
        <v>7</v>
      </c>
      <c r="I7" s="139">
        <f>COUNTIF('A1 Alimentation Adaptée'!$BB$4:$BB$126,I3)</f>
        <v>5</v>
      </c>
      <c r="J7" s="139">
        <f>COUNTIF('A1 Alimentation Adaptée'!$BB$4:$BB$126,J3)</f>
        <v>0</v>
      </c>
      <c r="K7" s="139">
        <f t="shared" si="0"/>
        <v>0</v>
      </c>
      <c r="L7" s="189">
        <f>COUNTA('A1 Alimentation Adaptée'!$BB$4:$BB$126)</f>
        <v>12</v>
      </c>
    </row>
    <row r="8" spans="1:12" ht="15" thickBot="1" x14ac:dyDescent="0.35">
      <c r="A8" s="548"/>
      <c r="B8" s="155"/>
      <c r="C8" s="185" t="s">
        <v>800</v>
      </c>
      <c r="G8" s="188" t="s">
        <v>836</v>
      </c>
      <c r="H8" s="139">
        <f>COUNTIF('A1 Alimentation Adaptée'!$BF$5:$BF$125,$H$3)</f>
        <v>6</v>
      </c>
      <c r="I8" s="139">
        <f>COUNTIF('A1 Alimentation Adaptée'!$BF$5:$BF$125,I3)</f>
        <v>0</v>
      </c>
      <c r="J8" s="139">
        <f>COUNTIF('A1 Alimentation Adaptée'!$BF$5:$BF$125,J3)</f>
        <v>0</v>
      </c>
      <c r="K8" s="139">
        <f t="shared" si="0"/>
        <v>0</v>
      </c>
      <c r="L8" s="189">
        <f>COUNTA('A1 Alimentation Adaptée'!$BF$5:$BF$125)</f>
        <v>6</v>
      </c>
    </row>
    <row r="9" spans="1:12" x14ac:dyDescent="0.3">
      <c r="C9" s="140"/>
      <c r="G9" s="188" t="s">
        <v>982</v>
      </c>
      <c r="H9" s="139">
        <f>COUNTIF('A1 Alimentation Adaptée'!$BJ$3:$BJ$124,Modifications!$H$3)</f>
        <v>0</v>
      </c>
      <c r="I9" s="139">
        <f>COUNTIF('A1 Alimentation Adaptée'!$BJ$3:$BJ$124,Modifications!$I$3)</f>
        <v>3</v>
      </c>
      <c r="J9" s="139">
        <f>COUNTIF('A1 Alimentation Adaptée'!$BJ$3:$BJ$124,Modifications!$J$3)</f>
        <v>0</v>
      </c>
      <c r="K9" s="139">
        <f t="shared" ref="K9" si="1">L9-SUM(H9:J9)</f>
        <v>0</v>
      </c>
      <c r="L9" s="189">
        <f>COUNTA('A1 Alimentation Adaptée'!$BJ$3:$BJ$124)</f>
        <v>3</v>
      </c>
    </row>
    <row r="10" spans="1:12" x14ac:dyDescent="0.3">
      <c r="C10" s="140"/>
    </row>
    <row r="11" spans="1:12" ht="15" thickBot="1" x14ac:dyDescent="0.35"/>
    <row r="12" spans="1:12" x14ac:dyDescent="0.3">
      <c r="A12" s="159" t="s">
        <v>802</v>
      </c>
      <c r="B12" s="160"/>
      <c r="C12" s="160"/>
      <c r="D12" s="161"/>
    </row>
    <row r="13" spans="1:12" ht="29.4" thickBot="1" x14ac:dyDescent="0.35">
      <c r="A13" s="181" t="s">
        <v>290</v>
      </c>
      <c r="B13" s="180" t="s">
        <v>801</v>
      </c>
      <c r="C13" s="179" t="s">
        <v>291</v>
      </c>
      <c r="D13" s="182" t="s">
        <v>292</v>
      </c>
    </row>
    <row r="14" spans="1:12" x14ac:dyDescent="0.3">
      <c r="A14" s="193">
        <v>46014</v>
      </c>
      <c r="B14" s="194" t="s">
        <v>985</v>
      </c>
      <c r="C14" s="195" t="s">
        <v>986</v>
      </c>
      <c r="D14" s="196"/>
      <c r="E14" s="141"/>
    </row>
    <row r="15" spans="1:12" x14ac:dyDescent="0.3">
      <c r="A15" s="331">
        <v>46014</v>
      </c>
      <c r="B15" s="332" t="s">
        <v>985</v>
      </c>
      <c r="C15" s="333" t="s">
        <v>1169</v>
      </c>
      <c r="D15" s="334"/>
      <c r="E15" s="141"/>
    </row>
    <row r="16" spans="1:12" ht="15" thickBot="1" x14ac:dyDescent="0.35">
      <c r="A16" s="162">
        <v>46014</v>
      </c>
      <c r="B16" s="163" t="s">
        <v>985</v>
      </c>
      <c r="C16" s="197" t="s">
        <v>987</v>
      </c>
      <c r="D16" s="198"/>
      <c r="E16" s="141"/>
    </row>
    <row r="17" spans="1:5" x14ac:dyDescent="0.3">
      <c r="A17" s="144"/>
      <c r="B17" s="144"/>
      <c r="C17" s="145"/>
      <c r="D17" s="146"/>
      <c r="E17" s="141"/>
    </row>
    <row r="18" spans="1:5" ht="15" thickBot="1" x14ac:dyDescent="0.35">
      <c r="A18" s="144"/>
      <c r="B18" s="144"/>
      <c r="C18" s="145"/>
      <c r="D18" s="146"/>
      <c r="E18" s="141"/>
    </row>
    <row r="19" spans="1:5" x14ac:dyDescent="0.3">
      <c r="A19" s="169" t="s">
        <v>803</v>
      </c>
      <c r="B19" s="170"/>
      <c r="C19" s="171"/>
      <c r="D19" s="172"/>
      <c r="E19" s="141"/>
    </row>
    <row r="20" spans="1:5" s="183" customFormat="1" ht="28.8" x14ac:dyDescent="0.3">
      <c r="A20" s="167" t="s">
        <v>293</v>
      </c>
      <c r="B20" s="168"/>
      <c r="C20" s="549" t="s">
        <v>804</v>
      </c>
      <c r="D20" s="550"/>
    </row>
    <row r="21" spans="1:5" s="183" customFormat="1" ht="57.6" x14ac:dyDescent="0.3">
      <c r="A21" s="164" t="s">
        <v>294</v>
      </c>
      <c r="B21" s="158"/>
      <c r="C21" s="551" t="s">
        <v>805</v>
      </c>
      <c r="D21" s="552"/>
    </row>
    <row r="22" spans="1:5" ht="58.2" thickBot="1" x14ac:dyDescent="0.35">
      <c r="A22" s="165" t="s">
        <v>1206</v>
      </c>
      <c r="B22" s="166"/>
      <c r="C22" s="553" t="s">
        <v>805</v>
      </c>
      <c r="D22" s="554"/>
      <c r="E22" s="141"/>
    </row>
    <row r="23" spans="1:5" x14ac:dyDescent="0.3">
      <c r="E23" s="141"/>
    </row>
    <row r="24" spans="1:5" x14ac:dyDescent="0.3">
      <c r="E24" s="141"/>
    </row>
    <row r="25" spans="1:5" x14ac:dyDescent="0.3">
      <c r="E25" s="141"/>
    </row>
    <row r="26" spans="1:5" x14ac:dyDescent="0.3">
      <c r="E26" s="141"/>
    </row>
    <row r="27" spans="1:5" s="142" customFormat="1" x14ac:dyDescent="0.3">
      <c r="A27" s="139"/>
      <c r="B27" s="139"/>
      <c r="C27" s="139"/>
      <c r="D27" s="139"/>
    </row>
    <row r="28" spans="1:5" s="143" customFormat="1" x14ac:dyDescent="0.3">
      <c r="A28" s="139"/>
      <c r="B28" s="139"/>
      <c r="C28" s="139"/>
      <c r="D28" s="139"/>
    </row>
    <row r="29" spans="1:5" s="143" customFormat="1" x14ac:dyDescent="0.3">
      <c r="A29" s="139"/>
      <c r="B29" s="139"/>
      <c r="C29" s="139"/>
      <c r="D29" s="139"/>
    </row>
    <row r="30" spans="1:5" s="143" customFormat="1" x14ac:dyDescent="0.3">
      <c r="A30" s="139"/>
      <c r="B30" s="139"/>
      <c r="C30" s="139"/>
      <c r="D30" s="139"/>
    </row>
  </sheetData>
  <mergeCells count="5">
    <mergeCell ref="A4:A5"/>
    <mergeCell ref="A7:A8"/>
    <mergeCell ref="C20:D20"/>
    <mergeCell ref="C21:D21"/>
    <mergeCell ref="C22:D22"/>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92D050"/>
  </sheetPr>
  <dimension ref="A1:BK153"/>
  <sheetViews>
    <sheetView showGridLines="0" tabSelected="1" zoomScale="70" zoomScaleNormal="70" workbookViewId="0">
      <pane xSplit="7" ySplit="3" topLeftCell="H97" activePane="bottomRight" state="frozen"/>
      <selection pane="topRight" activeCell="H1" sqref="H1"/>
      <selection pane="bottomLeft" activeCell="A4" sqref="A4"/>
      <selection pane="bottomRight" activeCell="AO127" sqref="AN127:AO127"/>
    </sheetView>
  </sheetViews>
  <sheetFormatPr baseColWidth="10" defaultColWidth="11.44140625" defaultRowHeight="14.4" x14ac:dyDescent="0.3"/>
  <cols>
    <col min="1" max="2" width="11.5546875" style="173" customWidth="1"/>
    <col min="3" max="4" width="22.5546875" style="174" customWidth="1"/>
    <col min="5" max="5" width="15.5546875" style="173" customWidth="1"/>
    <col min="6" max="7" width="31.5546875" style="173" customWidth="1"/>
    <col min="8" max="8" width="40.5546875" style="173" customWidth="1"/>
    <col min="9" max="9" width="36.5546875" style="6" customWidth="1"/>
    <col min="10" max="10" width="11.5546875" style="6" customWidth="1"/>
    <col min="11" max="12" width="36.5546875" style="6" customWidth="1"/>
    <col min="13" max="13" width="42" style="6" customWidth="1"/>
    <col min="14" max="14" width="28.88671875" style="6" customWidth="1"/>
    <col min="15" max="15" width="27.77734375" style="6" customWidth="1"/>
    <col min="16" max="18" width="15.5546875" style="173" customWidth="1"/>
    <col min="19" max="20" width="11.5546875" style="173" customWidth="1"/>
    <col min="21" max="22" width="15.5546875" style="173" customWidth="1"/>
    <col min="23" max="23" width="36.5546875" style="173" customWidth="1"/>
    <col min="24" max="24" width="36.5546875" style="6" customWidth="1"/>
    <col min="25" max="32" width="11.5546875" style="173" customWidth="1"/>
    <col min="33" max="38" width="15.5546875" style="173" customWidth="1"/>
    <col min="39" max="39" width="3.21875" style="173" customWidth="1"/>
    <col min="40" max="40" width="11.44140625" style="174"/>
    <col min="41" max="41" width="11.44140625" style="31"/>
    <col min="42" max="42" width="11.44140625" style="173"/>
    <col min="43" max="43" width="11.44140625" style="190"/>
    <col min="44" max="44" width="11.44140625" style="173"/>
    <col min="45" max="45" width="11.44140625" style="6"/>
    <col min="46" max="46" width="11.44140625" style="173"/>
    <col min="47" max="47" width="11.44140625" style="190"/>
    <col min="48" max="48" width="11.44140625" style="173"/>
    <col min="49" max="49" width="11.44140625" style="6"/>
    <col min="50" max="50" width="11.44140625" style="173"/>
    <col min="51" max="51" width="11.44140625" style="245"/>
    <col min="52" max="52" width="11.44140625" style="173"/>
    <col min="53" max="53" width="11.44140625" style="6"/>
    <col min="54" max="54" width="11.44140625" style="173"/>
    <col min="55" max="55" width="11.44140625" style="246"/>
    <col min="56" max="56" width="11.44140625" style="173"/>
    <col min="57" max="57" width="11.44140625" style="6"/>
    <col min="58" max="58" width="11.44140625" style="173"/>
    <col min="59" max="59" width="11.44140625" style="246"/>
    <col min="60" max="62" width="11.44140625" style="173"/>
    <col min="63" max="63" width="11.44140625" style="246"/>
    <col min="64" max="16384" width="11.44140625" style="173"/>
  </cols>
  <sheetData>
    <row r="1" spans="1:63" ht="54" customHeight="1" thickBot="1" x14ac:dyDescent="0.35">
      <c r="I1" s="173"/>
      <c r="J1" s="173"/>
      <c r="K1" s="173"/>
      <c r="L1" s="173"/>
      <c r="M1" s="173"/>
      <c r="N1" s="173"/>
      <c r="O1" s="173"/>
      <c r="X1" s="173"/>
      <c r="AN1" s="522" t="s">
        <v>295</v>
      </c>
      <c r="AO1" s="523"/>
      <c r="AP1" s="524"/>
      <c r="AQ1" s="525"/>
      <c r="AR1" s="542" t="s">
        <v>841</v>
      </c>
      <c r="AS1" s="543"/>
      <c r="AT1" s="544"/>
      <c r="AU1" s="545"/>
      <c r="AV1" s="538" t="s">
        <v>840</v>
      </c>
      <c r="AW1" s="539"/>
      <c r="AX1" s="540"/>
      <c r="AY1" s="541"/>
      <c r="AZ1" s="534" t="s">
        <v>839</v>
      </c>
      <c r="BA1" s="535"/>
      <c r="BB1" s="536"/>
      <c r="BC1" s="537"/>
      <c r="BD1" s="530" t="s">
        <v>620</v>
      </c>
      <c r="BE1" s="531"/>
      <c r="BF1" s="532"/>
      <c r="BG1" s="533"/>
      <c r="BH1" s="526" t="s">
        <v>556</v>
      </c>
      <c r="BI1" s="527"/>
      <c r="BJ1" s="528"/>
      <c r="BK1" s="529"/>
    </row>
    <row r="2" spans="1:63" s="1" customFormat="1" ht="54" customHeight="1" x14ac:dyDescent="0.25">
      <c r="A2" s="335" t="s">
        <v>599</v>
      </c>
      <c r="B2" s="336" t="s">
        <v>727</v>
      </c>
      <c r="C2" s="337" t="s">
        <v>296</v>
      </c>
      <c r="D2" s="338" t="s">
        <v>297</v>
      </c>
      <c r="E2" s="336" t="s">
        <v>298</v>
      </c>
      <c r="F2" s="337" t="s">
        <v>299</v>
      </c>
      <c r="G2" s="338" t="s">
        <v>300</v>
      </c>
      <c r="H2" s="337" t="s">
        <v>1</v>
      </c>
      <c r="I2" s="338" t="s">
        <v>1</v>
      </c>
      <c r="J2" s="338" t="s">
        <v>1247</v>
      </c>
      <c r="K2" s="338" t="s">
        <v>1245</v>
      </c>
      <c r="L2" s="338" t="s">
        <v>1246</v>
      </c>
      <c r="M2" s="519" t="s">
        <v>1241</v>
      </c>
      <c r="N2" s="519" t="s">
        <v>1242</v>
      </c>
      <c r="O2" s="519" t="s">
        <v>1254</v>
      </c>
      <c r="P2" s="337" t="s">
        <v>301</v>
      </c>
      <c r="Q2" s="338" t="s">
        <v>302</v>
      </c>
      <c r="R2" s="336" t="s">
        <v>303</v>
      </c>
      <c r="S2" s="337" t="s">
        <v>304</v>
      </c>
      <c r="T2" s="338" t="s">
        <v>305</v>
      </c>
      <c r="U2" s="336" t="s">
        <v>306</v>
      </c>
      <c r="V2" s="336" t="s">
        <v>307</v>
      </c>
      <c r="W2" s="337" t="s">
        <v>54</v>
      </c>
      <c r="X2" s="338" t="s">
        <v>189</v>
      </c>
      <c r="Y2" s="336" t="s">
        <v>308</v>
      </c>
      <c r="Z2" s="337" t="s">
        <v>309</v>
      </c>
      <c r="AA2" s="338" t="s">
        <v>310</v>
      </c>
      <c r="AB2" s="336" t="s">
        <v>311</v>
      </c>
      <c r="AC2" s="339" t="s">
        <v>810</v>
      </c>
      <c r="AD2" s="336" t="s">
        <v>312</v>
      </c>
      <c r="AE2" s="336" t="s">
        <v>313</v>
      </c>
      <c r="AF2" s="336" t="s">
        <v>314</v>
      </c>
      <c r="AG2" s="336" t="s">
        <v>315</v>
      </c>
      <c r="AH2" s="336" t="s">
        <v>316</v>
      </c>
      <c r="AI2" s="336" t="s">
        <v>317</v>
      </c>
      <c r="AJ2" s="336" t="s">
        <v>318</v>
      </c>
      <c r="AK2" s="336" t="s">
        <v>319</v>
      </c>
      <c r="AL2" s="340" t="s">
        <v>320</v>
      </c>
      <c r="AN2" s="55" t="s">
        <v>616</v>
      </c>
      <c r="AO2" s="56" t="s">
        <v>321</v>
      </c>
      <c r="AP2" s="57" t="s">
        <v>902</v>
      </c>
      <c r="AQ2" s="58" t="s">
        <v>903</v>
      </c>
      <c r="AR2" s="59" t="s">
        <v>324</v>
      </c>
      <c r="AS2" s="60" t="s">
        <v>325</v>
      </c>
      <c r="AT2" s="61" t="s">
        <v>904</v>
      </c>
      <c r="AU2" s="62" t="s">
        <v>905</v>
      </c>
      <c r="AV2" s="63" t="s">
        <v>326</v>
      </c>
      <c r="AW2" s="64" t="s">
        <v>327</v>
      </c>
      <c r="AX2" s="65" t="s">
        <v>906</v>
      </c>
      <c r="AY2" s="66" t="s">
        <v>907</v>
      </c>
      <c r="AZ2" s="67" t="s">
        <v>617</v>
      </c>
      <c r="BA2" s="68" t="s">
        <v>618</v>
      </c>
      <c r="BB2" s="69" t="s">
        <v>908</v>
      </c>
      <c r="BC2" s="70" t="s">
        <v>909</v>
      </c>
      <c r="BD2" s="71" t="s">
        <v>328</v>
      </c>
      <c r="BE2" s="72" t="s">
        <v>619</v>
      </c>
      <c r="BF2" s="73" t="s">
        <v>322</v>
      </c>
      <c r="BG2" s="74" t="s">
        <v>323</v>
      </c>
      <c r="BH2" s="44" t="s">
        <v>540</v>
      </c>
      <c r="BI2" s="45" t="s">
        <v>544</v>
      </c>
      <c r="BJ2" s="46" t="s">
        <v>545</v>
      </c>
      <c r="BK2" s="47" t="s">
        <v>323</v>
      </c>
    </row>
    <row r="3" spans="1:63" ht="54" hidden="1" customHeight="1" thickBot="1" x14ac:dyDescent="0.35">
      <c r="A3" s="341" t="s">
        <v>600</v>
      </c>
      <c r="B3" s="342" t="s">
        <v>601</v>
      </c>
      <c r="C3" s="342" t="s">
        <v>602</v>
      </c>
      <c r="D3" s="343" t="s">
        <v>329</v>
      </c>
      <c r="E3" s="344" t="s">
        <v>603</v>
      </c>
      <c r="F3" s="342" t="s">
        <v>330</v>
      </c>
      <c r="G3" s="343" t="s">
        <v>331</v>
      </c>
      <c r="H3" s="342" t="s">
        <v>332</v>
      </c>
      <c r="I3" s="343" t="s">
        <v>333</v>
      </c>
      <c r="J3" s="343"/>
      <c r="K3" s="343"/>
      <c r="L3" s="343"/>
      <c r="M3" s="343"/>
      <c r="N3" s="343"/>
      <c r="O3" s="343"/>
      <c r="P3" s="342" t="s">
        <v>334</v>
      </c>
      <c r="Q3" s="343" t="s">
        <v>335</v>
      </c>
      <c r="R3" s="344" t="s">
        <v>604</v>
      </c>
      <c r="S3" s="342" t="s">
        <v>696</v>
      </c>
      <c r="T3" s="343" t="s">
        <v>605</v>
      </c>
      <c r="U3" s="342" t="s">
        <v>606</v>
      </c>
      <c r="V3" s="342" t="s">
        <v>607</v>
      </c>
      <c r="W3" s="342" t="s">
        <v>992</v>
      </c>
      <c r="X3" s="343" t="s">
        <v>993</v>
      </c>
      <c r="Y3" s="342" t="s">
        <v>608</v>
      </c>
      <c r="Z3" s="342" t="s">
        <v>336</v>
      </c>
      <c r="AA3" s="343" t="s">
        <v>337</v>
      </c>
      <c r="AB3" s="342" t="s">
        <v>609</v>
      </c>
      <c r="AC3" s="345" t="s">
        <v>1231</v>
      </c>
      <c r="AD3" s="342" t="s">
        <v>697</v>
      </c>
      <c r="AE3" s="342" t="s">
        <v>610</v>
      </c>
      <c r="AF3" s="346" t="s">
        <v>611</v>
      </c>
      <c r="AG3" s="342" t="s">
        <v>698</v>
      </c>
      <c r="AH3" s="342" t="s">
        <v>612</v>
      </c>
      <c r="AI3" s="342" t="s">
        <v>666</v>
      </c>
      <c r="AJ3" s="342" t="s">
        <v>613</v>
      </c>
      <c r="AK3" s="342" t="s">
        <v>614</v>
      </c>
      <c r="AL3" s="347" t="s">
        <v>615</v>
      </c>
      <c r="AN3" s="2"/>
      <c r="AO3" s="3"/>
      <c r="AP3" s="4"/>
      <c r="AQ3" s="5"/>
      <c r="AR3" s="2"/>
      <c r="AS3" s="3"/>
      <c r="AT3" s="4"/>
      <c r="AU3" s="5"/>
      <c r="AV3" s="2"/>
      <c r="AW3" s="3"/>
      <c r="AX3" s="4"/>
      <c r="AY3" s="244"/>
      <c r="AZ3" s="2"/>
      <c r="BA3" s="3"/>
      <c r="BB3" s="4"/>
      <c r="BC3" s="244"/>
      <c r="BD3" s="2"/>
      <c r="BE3" s="3"/>
      <c r="BF3" s="4"/>
      <c r="BG3" s="247"/>
      <c r="BH3" s="2"/>
      <c r="BI3" s="3"/>
      <c r="BJ3" s="4"/>
      <c r="BK3" s="247"/>
    </row>
    <row r="4" spans="1:63" s="305" customFormat="1" ht="54" hidden="1" customHeight="1" x14ac:dyDescent="0.3">
      <c r="A4" s="348" t="s">
        <v>196</v>
      </c>
      <c r="B4" s="496">
        <v>1</v>
      </c>
      <c r="C4" s="349" t="s">
        <v>637</v>
      </c>
      <c r="D4" s="350" t="s">
        <v>638</v>
      </c>
      <c r="E4" s="349" t="s">
        <v>353</v>
      </c>
      <c r="F4" s="351" t="s">
        <v>8</v>
      </c>
      <c r="G4" s="352" t="s">
        <v>197</v>
      </c>
      <c r="H4" s="351" t="s">
        <v>667</v>
      </c>
      <c r="I4" s="352" t="s">
        <v>199</v>
      </c>
      <c r="J4" s="352"/>
      <c r="K4" s="352"/>
      <c r="L4" s="352"/>
      <c r="M4" s="352"/>
      <c r="N4" s="352"/>
      <c r="O4" s="352"/>
      <c r="P4" s="353" t="s">
        <v>825</v>
      </c>
      <c r="Q4" s="350" t="s">
        <v>825</v>
      </c>
      <c r="R4" s="354" t="s">
        <v>198</v>
      </c>
      <c r="S4" s="353" t="s">
        <v>201</v>
      </c>
      <c r="T4" s="350" t="s">
        <v>202</v>
      </c>
      <c r="U4" s="353" t="s">
        <v>2</v>
      </c>
      <c r="V4" s="353" t="s">
        <v>2</v>
      </c>
      <c r="W4" s="354" t="s">
        <v>200</v>
      </c>
      <c r="X4" s="355" t="s">
        <v>269</v>
      </c>
      <c r="Y4" s="356" t="s">
        <v>9</v>
      </c>
      <c r="Z4" s="356" t="s">
        <v>2</v>
      </c>
      <c r="AA4" s="357" t="s">
        <v>2</v>
      </c>
      <c r="AB4" s="477">
        <v>2</v>
      </c>
      <c r="AC4" s="356" t="s">
        <v>2</v>
      </c>
      <c r="AD4" s="489">
        <v>43</v>
      </c>
      <c r="AE4" s="353" t="s">
        <v>2</v>
      </c>
      <c r="AF4" s="353" t="s">
        <v>2</v>
      </c>
      <c r="AG4" s="353" t="s">
        <v>479</v>
      </c>
      <c r="AH4" s="353" t="s">
        <v>2</v>
      </c>
      <c r="AI4" s="353" t="s">
        <v>2</v>
      </c>
      <c r="AJ4" s="353" t="s">
        <v>2</v>
      </c>
      <c r="AK4" s="353" t="s">
        <v>2</v>
      </c>
      <c r="AL4" s="358" t="s">
        <v>2</v>
      </c>
      <c r="AN4" s="18"/>
      <c r="AO4" s="29"/>
      <c r="AP4" s="10"/>
      <c r="AQ4" s="11"/>
      <c r="AR4" s="20"/>
      <c r="AS4" s="21"/>
      <c r="AT4" s="12"/>
      <c r="AU4" s="11"/>
      <c r="AV4" s="18"/>
      <c r="AW4" s="26"/>
      <c r="AX4" s="13"/>
      <c r="AY4" s="14"/>
      <c r="AZ4" s="18"/>
      <c r="BA4" s="26"/>
      <c r="BB4" s="13"/>
      <c r="BC4" s="14"/>
      <c r="BD4" s="18"/>
      <c r="BE4" s="26"/>
      <c r="BF4" s="10"/>
      <c r="BG4" s="14"/>
      <c r="BH4" s="18"/>
      <c r="BI4" s="26"/>
      <c r="BJ4" s="10"/>
      <c r="BK4" s="14"/>
    </row>
    <row r="5" spans="1:63" s="305" customFormat="1" ht="54" hidden="1" customHeight="1" x14ac:dyDescent="0.3">
      <c r="A5" s="359" t="s">
        <v>196</v>
      </c>
      <c r="B5" s="497">
        <v>2</v>
      </c>
      <c r="C5" s="360" t="s">
        <v>637</v>
      </c>
      <c r="D5" s="361" t="s">
        <v>638</v>
      </c>
      <c r="E5" s="360" t="s">
        <v>354</v>
      </c>
      <c r="F5" s="362" t="s">
        <v>203</v>
      </c>
      <c r="G5" s="363" t="s">
        <v>668</v>
      </c>
      <c r="H5" s="362" t="s">
        <v>205</v>
      </c>
      <c r="I5" s="363" t="s">
        <v>669</v>
      </c>
      <c r="J5" s="513"/>
      <c r="K5" s="513"/>
      <c r="L5" s="513"/>
      <c r="M5" s="513"/>
      <c r="N5" s="513"/>
      <c r="O5" s="513"/>
      <c r="P5" s="364" t="s">
        <v>825</v>
      </c>
      <c r="Q5" s="361" t="s">
        <v>825</v>
      </c>
      <c r="R5" s="370" t="s">
        <v>204</v>
      </c>
      <c r="S5" s="364" t="s">
        <v>201</v>
      </c>
      <c r="T5" s="361" t="s">
        <v>202</v>
      </c>
      <c r="U5" s="364" t="s">
        <v>2</v>
      </c>
      <c r="V5" s="364" t="s">
        <v>2</v>
      </c>
      <c r="W5" s="365" t="s">
        <v>811</v>
      </c>
      <c r="X5" s="366" t="s">
        <v>1239</v>
      </c>
      <c r="Y5" s="367" t="s">
        <v>9</v>
      </c>
      <c r="Z5" s="367" t="s">
        <v>2</v>
      </c>
      <c r="AA5" s="368" t="s">
        <v>2</v>
      </c>
      <c r="AB5" s="48">
        <v>8</v>
      </c>
      <c r="AC5" s="367" t="s">
        <v>2</v>
      </c>
      <c r="AD5" s="490">
        <v>43</v>
      </c>
      <c r="AE5" s="364" t="s">
        <v>2</v>
      </c>
      <c r="AF5" s="364" t="s">
        <v>2</v>
      </c>
      <c r="AG5" s="364" t="s">
        <v>479</v>
      </c>
      <c r="AH5" s="364" t="s">
        <v>2</v>
      </c>
      <c r="AI5" s="364" t="s">
        <v>2</v>
      </c>
      <c r="AJ5" s="364" t="s">
        <v>2</v>
      </c>
      <c r="AK5" s="364" t="s">
        <v>2</v>
      </c>
      <c r="AL5" s="369" t="s">
        <v>2</v>
      </c>
      <c r="AN5" s="19"/>
      <c r="AO5" s="30"/>
      <c r="AP5" s="8"/>
      <c r="AQ5" s="15"/>
      <c r="AR5" s="22"/>
      <c r="AS5" s="23"/>
      <c r="AT5" s="16"/>
      <c r="AU5" s="15"/>
      <c r="AV5" s="19"/>
      <c r="AW5" s="24"/>
      <c r="AX5" s="9"/>
      <c r="AY5" s="17"/>
      <c r="AZ5" s="19"/>
      <c r="BA5" s="24"/>
      <c r="BB5" s="9"/>
      <c r="BC5" s="17"/>
      <c r="BD5" s="19"/>
      <c r="BE5" s="24"/>
      <c r="BF5" s="8"/>
      <c r="BG5" s="17"/>
      <c r="BH5" s="19"/>
      <c r="BI5" s="24"/>
      <c r="BJ5" s="8"/>
      <c r="BK5" s="17"/>
    </row>
    <row r="6" spans="1:63" s="305" customFormat="1" ht="54" hidden="1" customHeight="1" x14ac:dyDescent="0.3">
      <c r="A6" s="359" t="s">
        <v>196</v>
      </c>
      <c r="B6" s="498">
        <v>3</v>
      </c>
      <c r="C6" s="360" t="s">
        <v>637</v>
      </c>
      <c r="D6" s="361" t="s">
        <v>638</v>
      </c>
      <c r="E6" s="360" t="s">
        <v>355</v>
      </c>
      <c r="F6" s="362" t="s">
        <v>206</v>
      </c>
      <c r="G6" s="363" t="s">
        <v>670</v>
      </c>
      <c r="H6" s="362" t="s">
        <v>208</v>
      </c>
      <c r="I6" s="363" t="s">
        <v>209</v>
      </c>
      <c r="J6" s="513"/>
      <c r="K6" s="513"/>
      <c r="L6" s="513"/>
      <c r="M6" s="513"/>
      <c r="N6" s="513"/>
      <c r="O6" s="513"/>
      <c r="P6" s="364" t="s">
        <v>825</v>
      </c>
      <c r="Q6" s="361" t="s">
        <v>825</v>
      </c>
      <c r="R6" s="370" t="s">
        <v>207</v>
      </c>
      <c r="S6" s="364" t="s">
        <v>201</v>
      </c>
      <c r="T6" s="361" t="s">
        <v>202</v>
      </c>
      <c r="U6" s="364" t="s">
        <v>2</v>
      </c>
      <c r="V6" s="364" t="s">
        <v>2</v>
      </c>
      <c r="W6" s="370" t="s">
        <v>210</v>
      </c>
      <c r="X6" s="371" t="s">
        <v>270</v>
      </c>
      <c r="Y6" s="367" t="s">
        <v>9</v>
      </c>
      <c r="Z6" s="367" t="s">
        <v>2</v>
      </c>
      <c r="AA6" s="368" t="s">
        <v>2</v>
      </c>
      <c r="AB6" s="48">
        <v>3</v>
      </c>
      <c r="AC6" s="367" t="s">
        <v>2</v>
      </c>
      <c r="AD6" s="490">
        <v>43</v>
      </c>
      <c r="AE6" s="364" t="s">
        <v>2</v>
      </c>
      <c r="AF6" s="364" t="s">
        <v>2</v>
      </c>
      <c r="AG6" s="364" t="s">
        <v>479</v>
      </c>
      <c r="AH6" s="364" t="s">
        <v>2</v>
      </c>
      <c r="AI6" s="364" t="s">
        <v>2</v>
      </c>
      <c r="AJ6" s="364" t="s">
        <v>2</v>
      </c>
      <c r="AK6" s="364" t="s">
        <v>2</v>
      </c>
      <c r="AL6" s="369" t="s">
        <v>2</v>
      </c>
      <c r="AN6" s="19"/>
      <c r="AO6" s="30"/>
      <c r="AP6" s="8"/>
      <c r="AQ6" s="15"/>
      <c r="AR6" s="228"/>
      <c r="AS6" s="23"/>
      <c r="AT6" s="16"/>
      <c r="AU6" s="15"/>
      <c r="AV6" s="19"/>
      <c r="AW6" s="24"/>
      <c r="AX6" s="9"/>
      <c r="AY6" s="17"/>
      <c r="AZ6" s="19"/>
      <c r="BA6" s="24"/>
      <c r="BB6" s="9"/>
      <c r="BC6" s="17"/>
      <c r="BD6" s="19"/>
      <c r="BE6" s="24"/>
      <c r="BF6" s="8"/>
      <c r="BG6" s="17"/>
      <c r="BH6" s="19"/>
      <c r="BI6" s="24"/>
      <c r="BJ6" s="8"/>
      <c r="BK6" s="17"/>
    </row>
    <row r="7" spans="1:63" s="305" customFormat="1" ht="54" hidden="1" customHeight="1" x14ac:dyDescent="0.3">
      <c r="A7" s="359" t="s">
        <v>196</v>
      </c>
      <c r="B7" s="497">
        <v>4</v>
      </c>
      <c r="C7" s="360" t="s">
        <v>637</v>
      </c>
      <c r="D7" s="361" t="s">
        <v>638</v>
      </c>
      <c r="E7" s="360" t="s">
        <v>356</v>
      </c>
      <c r="F7" s="362" t="s">
        <v>211</v>
      </c>
      <c r="G7" s="363" t="s">
        <v>212</v>
      </c>
      <c r="H7" s="362" t="s">
        <v>671</v>
      </c>
      <c r="I7" s="363" t="s">
        <v>672</v>
      </c>
      <c r="J7" s="513"/>
      <c r="K7" s="513"/>
      <c r="L7" s="513"/>
      <c r="M7" s="513"/>
      <c r="N7" s="513"/>
      <c r="O7" s="513"/>
      <c r="P7" s="364" t="s">
        <v>825</v>
      </c>
      <c r="Q7" s="361" t="s">
        <v>825</v>
      </c>
      <c r="R7" s="370" t="s">
        <v>213</v>
      </c>
      <c r="S7" s="364" t="s">
        <v>201</v>
      </c>
      <c r="T7" s="361" t="s">
        <v>202</v>
      </c>
      <c r="U7" s="364" t="s">
        <v>2</v>
      </c>
      <c r="V7" s="364" t="s">
        <v>2</v>
      </c>
      <c r="W7" s="370" t="s">
        <v>2</v>
      </c>
      <c r="X7" s="371" t="s">
        <v>2</v>
      </c>
      <c r="Y7" s="367" t="s">
        <v>9</v>
      </c>
      <c r="Z7" s="367" t="s">
        <v>214</v>
      </c>
      <c r="AA7" s="368" t="s">
        <v>215</v>
      </c>
      <c r="AB7" s="48">
        <v>15</v>
      </c>
      <c r="AC7" s="367" t="s">
        <v>2</v>
      </c>
      <c r="AD7" s="490">
        <v>43</v>
      </c>
      <c r="AE7" s="364" t="s">
        <v>2</v>
      </c>
      <c r="AF7" s="364" t="s">
        <v>2</v>
      </c>
      <c r="AG7" s="364" t="s">
        <v>479</v>
      </c>
      <c r="AH7" s="364" t="s">
        <v>2</v>
      </c>
      <c r="AI7" s="364" t="s">
        <v>2</v>
      </c>
      <c r="AJ7" s="364" t="s">
        <v>2</v>
      </c>
      <c r="AK7" s="364" t="s">
        <v>2</v>
      </c>
      <c r="AL7" s="369" t="s">
        <v>2</v>
      </c>
      <c r="AN7" s="19"/>
      <c r="AO7" s="30"/>
      <c r="AP7" s="8"/>
      <c r="AQ7" s="15"/>
      <c r="AR7" s="228"/>
      <c r="AS7" s="23"/>
      <c r="AT7" s="16"/>
      <c r="AU7" s="15"/>
      <c r="AV7" s="19"/>
      <c r="AW7" s="24"/>
      <c r="AX7" s="9"/>
      <c r="AY7" s="17"/>
      <c r="AZ7" s="19"/>
      <c r="BA7" s="24"/>
      <c r="BB7" s="9"/>
      <c r="BC7" s="17"/>
      <c r="BD7" s="19"/>
      <c r="BE7" s="24"/>
      <c r="BF7" s="8"/>
      <c r="BG7" s="17"/>
      <c r="BH7" s="19"/>
      <c r="BI7" s="24"/>
      <c r="BJ7" s="8"/>
      <c r="BK7" s="17"/>
    </row>
    <row r="8" spans="1:63" s="305" customFormat="1" ht="54" hidden="1" customHeight="1" x14ac:dyDescent="0.3">
      <c r="A8" s="359" t="s">
        <v>196</v>
      </c>
      <c r="B8" s="498">
        <v>5</v>
      </c>
      <c r="C8" s="360" t="s">
        <v>637</v>
      </c>
      <c r="D8" s="361" t="s">
        <v>638</v>
      </c>
      <c r="E8" s="360" t="s">
        <v>357</v>
      </c>
      <c r="F8" s="362" t="s">
        <v>216</v>
      </c>
      <c r="G8" s="363" t="s">
        <v>217</v>
      </c>
      <c r="H8" s="362" t="s">
        <v>673</v>
      </c>
      <c r="I8" s="363" t="s">
        <v>219</v>
      </c>
      <c r="J8" s="513"/>
      <c r="K8" s="513"/>
      <c r="L8" s="513"/>
      <c r="M8" s="513"/>
      <c r="N8" s="513"/>
      <c r="O8" s="513"/>
      <c r="P8" s="364" t="s">
        <v>825</v>
      </c>
      <c r="Q8" s="361" t="s">
        <v>825</v>
      </c>
      <c r="R8" s="370" t="s">
        <v>218</v>
      </c>
      <c r="S8" s="364" t="s">
        <v>201</v>
      </c>
      <c r="T8" s="361" t="s">
        <v>202</v>
      </c>
      <c r="U8" s="364" t="s">
        <v>338</v>
      </c>
      <c r="V8" s="364" t="s">
        <v>725</v>
      </c>
      <c r="W8" s="372" t="s">
        <v>2</v>
      </c>
      <c r="X8" s="373" t="s">
        <v>2</v>
      </c>
      <c r="Y8" s="367" t="s">
        <v>9</v>
      </c>
      <c r="Z8" s="367" t="s">
        <v>2</v>
      </c>
      <c r="AA8" s="368" t="s">
        <v>2</v>
      </c>
      <c r="AB8" s="48">
        <v>5</v>
      </c>
      <c r="AC8" s="367" t="s">
        <v>2</v>
      </c>
      <c r="AD8" s="490">
        <v>43</v>
      </c>
      <c r="AE8" s="364" t="s">
        <v>2</v>
      </c>
      <c r="AF8" s="364" t="s">
        <v>2</v>
      </c>
      <c r="AG8" s="364" t="s">
        <v>479</v>
      </c>
      <c r="AH8" s="364" t="s">
        <v>2</v>
      </c>
      <c r="AI8" s="364" t="s">
        <v>2</v>
      </c>
      <c r="AJ8" s="364" t="s">
        <v>2</v>
      </c>
      <c r="AK8" s="364" t="s">
        <v>2</v>
      </c>
      <c r="AL8" s="369" t="s">
        <v>2</v>
      </c>
      <c r="AN8" s="19"/>
      <c r="AO8" s="30"/>
      <c r="AP8" s="8"/>
      <c r="AQ8" s="15"/>
      <c r="AR8" s="228"/>
      <c r="AS8" s="23"/>
      <c r="AT8" s="16"/>
      <c r="AU8" s="15"/>
      <c r="AV8" s="19"/>
      <c r="AW8" s="192"/>
      <c r="AX8" s="9"/>
      <c r="AY8" s="17"/>
      <c r="AZ8" s="19"/>
      <c r="BA8" s="192"/>
      <c r="BB8" s="9"/>
      <c r="BC8" s="17"/>
      <c r="BD8" s="19"/>
      <c r="BE8" s="24"/>
      <c r="BF8" s="8"/>
      <c r="BG8" s="17"/>
      <c r="BH8" s="19"/>
      <c r="BI8" s="91"/>
      <c r="BJ8" s="8"/>
      <c r="BK8" s="17"/>
    </row>
    <row r="9" spans="1:63" s="305" customFormat="1" ht="54" hidden="1" customHeight="1" x14ac:dyDescent="0.3">
      <c r="A9" s="359" t="s">
        <v>196</v>
      </c>
      <c r="B9" s="497">
        <v>6</v>
      </c>
      <c r="C9" s="360" t="s">
        <v>637</v>
      </c>
      <c r="D9" s="361" t="s">
        <v>638</v>
      </c>
      <c r="E9" s="360" t="s">
        <v>358</v>
      </c>
      <c r="F9" s="362" t="s">
        <v>220</v>
      </c>
      <c r="G9" s="363" t="s">
        <v>221</v>
      </c>
      <c r="H9" s="362" t="s">
        <v>674</v>
      </c>
      <c r="I9" s="363" t="s">
        <v>675</v>
      </c>
      <c r="J9" s="513"/>
      <c r="K9" s="513"/>
      <c r="L9" s="513"/>
      <c r="M9" s="513"/>
      <c r="N9" s="513"/>
      <c r="O9" s="513"/>
      <c r="P9" s="364" t="s">
        <v>825</v>
      </c>
      <c r="Q9" s="361" t="s">
        <v>825</v>
      </c>
      <c r="R9" s="370" t="s">
        <v>222</v>
      </c>
      <c r="S9" s="364" t="s">
        <v>201</v>
      </c>
      <c r="T9" s="361" t="s">
        <v>202</v>
      </c>
      <c r="U9" s="364" t="s">
        <v>338</v>
      </c>
      <c r="V9" s="364" t="s">
        <v>725</v>
      </c>
      <c r="W9" s="372" t="s">
        <v>2</v>
      </c>
      <c r="X9" s="373" t="s">
        <v>2</v>
      </c>
      <c r="Y9" s="367" t="s">
        <v>9</v>
      </c>
      <c r="Z9" s="367" t="s">
        <v>2</v>
      </c>
      <c r="AA9" s="368" t="s">
        <v>2</v>
      </c>
      <c r="AB9" s="48">
        <v>5</v>
      </c>
      <c r="AC9" s="367" t="s">
        <v>2</v>
      </c>
      <c r="AD9" s="490">
        <v>43</v>
      </c>
      <c r="AE9" s="364" t="s">
        <v>2</v>
      </c>
      <c r="AF9" s="364" t="s">
        <v>2</v>
      </c>
      <c r="AG9" s="364" t="s">
        <v>479</v>
      </c>
      <c r="AH9" s="364" t="s">
        <v>2</v>
      </c>
      <c r="AI9" s="364" t="s">
        <v>2</v>
      </c>
      <c r="AJ9" s="364" t="s">
        <v>2</v>
      </c>
      <c r="AK9" s="364" t="s">
        <v>2</v>
      </c>
      <c r="AL9" s="369" t="s">
        <v>2</v>
      </c>
      <c r="AN9" s="19"/>
      <c r="AO9" s="30"/>
      <c r="AP9" s="8"/>
      <c r="AQ9" s="15"/>
      <c r="AR9" s="228"/>
      <c r="AS9" s="23"/>
      <c r="AT9" s="16"/>
      <c r="AU9" s="15"/>
      <c r="AV9" s="19"/>
      <c r="AW9" s="192"/>
      <c r="AX9" s="9"/>
      <c r="AY9" s="17"/>
      <c r="AZ9" s="19"/>
      <c r="BA9" s="192"/>
      <c r="BB9" s="9"/>
      <c r="BC9" s="17"/>
      <c r="BD9" s="19"/>
      <c r="BE9" s="24"/>
      <c r="BF9" s="8"/>
      <c r="BG9" s="17"/>
      <c r="BH9" s="19"/>
      <c r="BI9" s="91"/>
      <c r="BJ9" s="8"/>
      <c r="BK9" s="17"/>
    </row>
    <row r="10" spans="1:63" s="305" customFormat="1" ht="54" hidden="1" customHeight="1" x14ac:dyDescent="0.3">
      <c r="A10" s="359" t="s">
        <v>196</v>
      </c>
      <c r="B10" s="498">
        <v>7</v>
      </c>
      <c r="C10" s="360" t="s">
        <v>637</v>
      </c>
      <c r="D10" s="361" t="s">
        <v>638</v>
      </c>
      <c r="E10" s="360" t="s">
        <v>359</v>
      </c>
      <c r="F10" s="362" t="s">
        <v>223</v>
      </c>
      <c r="G10" s="363" t="s">
        <v>224</v>
      </c>
      <c r="H10" s="362" t="s">
        <v>676</v>
      </c>
      <c r="I10" s="363" t="s">
        <v>677</v>
      </c>
      <c r="J10" s="513"/>
      <c r="K10" s="513"/>
      <c r="L10" s="513"/>
      <c r="M10" s="513"/>
      <c r="N10" s="513"/>
      <c r="O10" s="513"/>
      <c r="P10" s="364" t="s">
        <v>825</v>
      </c>
      <c r="Q10" s="361" t="s">
        <v>825</v>
      </c>
      <c r="R10" s="370" t="s">
        <v>225</v>
      </c>
      <c r="S10" s="364" t="s">
        <v>227</v>
      </c>
      <c r="T10" s="361" t="s">
        <v>228</v>
      </c>
      <c r="U10" s="364" t="s">
        <v>2</v>
      </c>
      <c r="V10" s="364" t="s">
        <v>2</v>
      </c>
      <c r="W10" s="370" t="s">
        <v>226</v>
      </c>
      <c r="X10" s="371" t="s">
        <v>271</v>
      </c>
      <c r="Y10" s="367" t="s">
        <v>9</v>
      </c>
      <c r="Z10" s="367" t="s">
        <v>2</v>
      </c>
      <c r="AA10" s="368" t="s">
        <v>2</v>
      </c>
      <c r="AB10" s="48">
        <v>32</v>
      </c>
      <c r="AC10" s="367" t="s">
        <v>2</v>
      </c>
      <c r="AD10" s="490">
        <v>43</v>
      </c>
      <c r="AE10" s="364" t="s">
        <v>2</v>
      </c>
      <c r="AF10" s="364" t="s">
        <v>2</v>
      </c>
      <c r="AG10" s="364" t="s">
        <v>479</v>
      </c>
      <c r="AH10" s="364" t="s">
        <v>2</v>
      </c>
      <c r="AI10" s="364" t="s">
        <v>2</v>
      </c>
      <c r="AJ10" s="364" t="s">
        <v>2</v>
      </c>
      <c r="AK10" s="364" t="s">
        <v>2</v>
      </c>
      <c r="AL10" s="369" t="s">
        <v>2</v>
      </c>
      <c r="AN10" s="19"/>
      <c r="AO10" s="30"/>
      <c r="AP10" s="8"/>
      <c r="AQ10" s="15"/>
      <c r="AR10" s="228"/>
      <c r="AS10" s="23"/>
      <c r="AT10" s="16"/>
      <c r="AU10" s="15"/>
      <c r="AV10" s="19"/>
      <c r="AW10" s="192"/>
      <c r="AX10" s="9"/>
      <c r="AY10" s="17"/>
      <c r="AZ10" s="19"/>
      <c r="BA10" s="192"/>
      <c r="BB10" s="9"/>
      <c r="BC10" s="17"/>
      <c r="BD10" s="19"/>
      <c r="BE10" s="24"/>
      <c r="BF10" s="8"/>
      <c r="BG10" s="17"/>
      <c r="BH10" s="19"/>
      <c r="BI10" s="91"/>
      <c r="BJ10" s="8"/>
      <c r="BK10" s="17"/>
    </row>
    <row r="11" spans="1:63" s="305" customFormat="1" ht="54" hidden="1" customHeight="1" x14ac:dyDescent="0.3">
      <c r="A11" s="359" t="s">
        <v>196</v>
      </c>
      <c r="B11" s="497">
        <v>8</v>
      </c>
      <c r="C11" s="360" t="s">
        <v>637</v>
      </c>
      <c r="D11" s="361" t="s">
        <v>638</v>
      </c>
      <c r="E11" s="360" t="s">
        <v>360</v>
      </c>
      <c r="F11" s="362" t="s">
        <v>229</v>
      </c>
      <c r="G11" s="363" t="s">
        <v>230</v>
      </c>
      <c r="H11" s="362" t="s">
        <v>274</v>
      </c>
      <c r="I11" s="363" t="s">
        <v>276</v>
      </c>
      <c r="J11" s="513"/>
      <c r="K11" s="513"/>
      <c r="L11" s="513"/>
      <c r="M11" s="513"/>
      <c r="N11" s="513"/>
      <c r="O11" s="513"/>
      <c r="P11" s="364" t="s">
        <v>825</v>
      </c>
      <c r="Q11" s="361" t="s">
        <v>825</v>
      </c>
      <c r="R11" s="370" t="s">
        <v>231</v>
      </c>
      <c r="S11" s="364" t="s">
        <v>201</v>
      </c>
      <c r="T11" s="361" t="s">
        <v>202</v>
      </c>
      <c r="U11" s="364" t="s">
        <v>2</v>
      </c>
      <c r="V11" s="364" t="s">
        <v>2</v>
      </c>
      <c r="W11" s="365" t="s">
        <v>812</v>
      </c>
      <c r="X11" s="366" t="s">
        <v>1240</v>
      </c>
      <c r="Y11" s="367" t="s">
        <v>9</v>
      </c>
      <c r="Z11" s="367" t="s">
        <v>2</v>
      </c>
      <c r="AA11" s="368" t="s">
        <v>2</v>
      </c>
      <c r="AB11" s="48">
        <v>4</v>
      </c>
      <c r="AC11" s="367" t="s">
        <v>2</v>
      </c>
      <c r="AD11" s="490">
        <v>43</v>
      </c>
      <c r="AE11" s="364" t="s">
        <v>2</v>
      </c>
      <c r="AF11" s="364" t="s">
        <v>2</v>
      </c>
      <c r="AG11" s="364" t="s">
        <v>479</v>
      </c>
      <c r="AH11" s="364" t="s">
        <v>2</v>
      </c>
      <c r="AI11" s="364" t="s">
        <v>2</v>
      </c>
      <c r="AJ11" s="364" t="s">
        <v>2</v>
      </c>
      <c r="AK11" s="364" t="s">
        <v>2</v>
      </c>
      <c r="AL11" s="369" t="s">
        <v>2</v>
      </c>
      <c r="AN11" s="19"/>
      <c r="AO11" s="30"/>
      <c r="AP11" s="8"/>
      <c r="AQ11" s="15"/>
      <c r="AR11" s="228"/>
      <c r="AS11" s="23"/>
      <c r="AT11" s="16"/>
      <c r="AU11" s="15"/>
      <c r="AV11" s="19"/>
      <c r="AW11" s="192"/>
      <c r="AX11" s="9"/>
      <c r="AY11" s="17"/>
      <c r="AZ11" s="19"/>
      <c r="BA11" s="192"/>
      <c r="BB11" s="9"/>
      <c r="BC11" s="17"/>
      <c r="BD11" s="19"/>
      <c r="BE11" s="24"/>
      <c r="BF11" s="8"/>
      <c r="BG11" s="17"/>
      <c r="BH11" s="19"/>
      <c r="BI11" s="91"/>
      <c r="BJ11" s="8"/>
      <c r="BK11" s="17"/>
    </row>
    <row r="12" spans="1:63" s="305" customFormat="1" ht="54" customHeight="1" x14ac:dyDescent="0.3">
      <c r="A12" s="359" t="s">
        <v>196</v>
      </c>
      <c r="B12" s="498">
        <v>9</v>
      </c>
      <c r="C12" s="360" t="s">
        <v>637</v>
      </c>
      <c r="D12" s="361" t="s">
        <v>638</v>
      </c>
      <c r="E12" s="360" t="s">
        <v>361</v>
      </c>
      <c r="F12" s="362" t="s">
        <v>232</v>
      </c>
      <c r="G12" s="363" t="s">
        <v>233</v>
      </c>
      <c r="H12" s="362" t="s">
        <v>275</v>
      </c>
      <c r="I12" s="363" t="s">
        <v>277</v>
      </c>
      <c r="J12" s="513" t="s">
        <v>1248</v>
      </c>
      <c r="K12" s="513" t="s">
        <v>2</v>
      </c>
      <c r="L12" s="513" t="s">
        <v>2</v>
      </c>
      <c r="M12" s="513" t="s">
        <v>1244</v>
      </c>
      <c r="N12" s="513" t="s">
        <v>1253</v>
      </c>
      <c r="O12" s="513" t="s">
        <v>1255</v>
      </c>
      <c r="P12" s="364" t="s">
        <v>825</v>
      </c>
      <c r="Q12" s="361" t="s">
        <v>825</v>
      </c>
      <c r="R12" s="370" t="s">
        <v>234</v>
      </c>
      <c r="S12" s="364" t="s">
        <v>201</v>
      </c>
      <c r="T12" s="361" t="s">
        <v>202</v>
      </c>
      <c r="U12" s="364" t="s">
        <v>2</v>
      </c>
      <c r="V12" s="364" t="s">
        <v>2</v>
      </c>
      <c r="W12" s="374" t="s">
        <v>995</v>
      </c>
      <c r="X12" s="375" t="s">
        <v>996</v>
      </c>
      <c r="Y12" s="367" t="s">
        <v>9</v>
      </c>
      <c r="Z12" s="367" t="s">
        <v>2</v>
      </c>
      <c r="AA12" s="368" t="s">
        <v>2</v>
      </c>
      <c r="AB12" s="48">
        <v>2</v>
      </c>
      <c r="AC12" s="367" t="s">
        <v>2</v>
      </c>
      <c r="AD12" s="490">
        <v>43</v>
      </c>
      <c r="AE12" s="364" t="s">
        <v>2</v>
      </c>
      <c r="AF12" s="364" t="s">
        <v>985</v>
      </c>
      <c r="AG12" s="364" t="s">
        <v>479</v>
      </c>
      <c r="AH12" s="364" t="s">
        <v>2</v>
      </c>
      <c r="AI12" s="364" t="s">
        <v>2</v>
      </c>
      <c r="AJ12" s="364" t="s">
        <v>2</v>
      </c>
      <c r="AK12" s="364" t="s">
        <v>2</v>
      </c>
      <c r="AL12" s="369" t="s">
        <v>2</v>
      </c>
      <c r="AN12" s="19"/>
      <c r="AO12" s="30"/>
      <c r="AP12" s="8"/>
      <c r="AQ12" s="15"/>
      <c r="AR12" s="228"/>
      <c r="AS12" s="23"/>
      <c r="AT12" s="16"/>
      <c r="AU12" s="15"/>
      <c r="AV12" s="19"/>
      <c r="AW12" s="192"/>
      <c r="AX12" s="9"/>
      <c r="AY12" s="17"/>
      <c r="AZ12" s="19"/>
      <c r="BA12" s="192"/>
      <c r="BB12" s="9"/>
      <c r="BC12" s="17"/>
      <c r="BD12" s="19"/>
      <c r="BE12" s="24"/>
      <c r="BF12" s="8"/>
      <c r="BG12" s="17"/>
      <c r="BH12" s="19"/>
      <c r="BI12" s="91"/>
      <c r="BJ12" s="8"/>
      <c r="BK12" s="17"/>
    </row>
    <row r="13" spans="1:63" s="305" customFormat="1" ht="54" hidden="1" customHeight="1" x14ac:dyDescent="0.3">
      <c r="A13" s="359" t="s">
        <v>196</v>
      </c>
      <c r="B13" s="497">
        <v>10</v>
      </c>
      <c r="C13" s="360" t="s">
        <v>637</v>
      </c>
      <c r="D13" s="361" t="s">
        <v>638</v>
      </c>
      <c r="E13" s="360" t="s">
        <v>362</v>
      </c>
      <c r="F13" s="362" t="s">
        <v>235</v>
      </c>
      <c r="G13" s="363" t="s">
        <v>236</v>
      </c>
      <c r="H13" s="362" t="s">
        <v>238</v>
      </c>
      <c r="I13" s="363" t="s">
        <v>239</v>
      </c>
      <c r="J13" s="513"/>
      <c r="K13" s="513"/>
      <c r="L13" s="513"/>
      <c r="M13" s="513"/>
      <c r="N13" s="513"/>
      <c r="O13" s="513"/>
      <c r="P13" s="364" t="s">
        <v>825</v>
      </c>
      <c r="Q13" s="361" t="s">
        <v>825</v>
      </c>
      <c r="R13" s="370" t="s">
        <v>237</v>
      </c>
      <c r="S13" s="364" t="s">
        <v>201</v>
      </c>
      <c r="T13" s="361" t="s">
        <v>202</v>
      </c>
      <c r="U13" s="364" t="s">
        <v>2</v>
      </c>
      <c r="V13" s="364" t="s">
        <v>2</v>
      </c>
      <c r="W13" s="370" t="s">
        <v>240</v>
      </c>
      <c r="X13" s="371" t="s">
        <v>272</v>
      </c>
      <c r="Y13" s="367" t="s">
        <v>9</v>
      </c>
      <c r="Z13" s="367" t="s">
        <v>2</v>
      </c>
      <c r="AA13" s="368" t="s">
        <v>2</v>
      </c>
      <c r="AB13" s="48">
        <v>5</v>
      </c>
      <c r="AC13" s="367" t="s">
        <v>2</v>
      </c>
      <c r="AD13" s="490">
        <v>43</v>
      </c>
      <c r="AE13" s="364" t="s">
        <v>2</v>
      </c>
      <c r="AF13" s="364" t="s">
        <v>2</v>
      </c>
      <c r="AG13" s="364" t="s">
        <v>479</v>
      </c>
      <c r="AH13" s="364" t="s">
        <v>2</v>
      </c>
      <c r="AI13" s="364" t="s">
        <v>2</v>
      </c>
      <c r="AJ13" s="364" t="s">
        <v>2</v>
      </c>
      <c r="AK13" s="364" t="s">
        <v>2</v>
      </c>
      <c r="AL13" s="369" t="s">
        <v>2</v>
      </c>
      <c r="AN13" s="19"/>
      <c r="AO13" s="30"/>
      <c r="AP13" s="8"/>
      <c r="AQ13" s="15"/>
      <c r="AR13" s="228"/>
      <c r="AS13" s="23"/>
      <c r="AT13" s="16"/>
      <c r="AU13" s="15"/>
      <c r="AV13" s="19"/>
      <c r="AW13" s="192"/>
      <c r="AX13" s="9"/>
      <c r="AY13" s="17"/>
      <c r="AZ13" s="19"/>
      <c r="BA13" s="192"/>
      <c r="BB13" s="9"/>
      <c r="BC13" s="17"/>
      <c r="BD13" s="19"/>
      <c r="BE13" s="24"/>
      <c r="BF13" s="8"/>
      <c r="BG13" s="17"/>
      <c r="BH13" s="19"/>
      <c r="BI13" s="91"/>
      <c r="BJ13" s="8"/>
      <c r="BK13" s="17"/>
    </row>
    <row r="14" spans="1:63" s="305" customFormat="1" ht="54" hidden="1" customHeight="1" x14ac:dyDescent="0.3">
      <c r="A14" s="359" t="s">
        <v>196</v>
      </c>
      <c r="B14" s="498">
        <v>11</v>
      </c>
      <c r="C14" s="360" t="s">
        <v>637</v>
      </c>
      <c r="D14" s="361" t="s">
        <v>638</v>
      </c>
      <c r="E14" s="360" t="s">
        <v>363</v>
      </c>
      <c r="F14" s="362" t="s">
        <v>241</v>
      </c>
      <c r="G14" s="363" t="s">
        <v>242</v>
      </c>
      <c r="H14" s="362" t="s">
        <v>244</v>
      </c>
      <c r="I14" s="363" t="s">
        <v>245</v>
      </c>
      <c r="J14" s="513"/>
      <c r="K14" s="513"/>
      <c r="L14" s="513"/>
      <c r="M14" s="513"/>
      <c r="N14" s="513"/>
      <c r="O14" s="513"/>
      <c r="P14" s="364" t="s">
        <v>825</v>
      </c>
      <c r="Q14" s="361" t="s">
        <v>825</v>
      </c>
      <c r="R14" s="370" t="s">
        <v>243</v>
      </c>
      <c r="S14" s="364" t="s">
        <v>201</v>
      </c>
      <c r="T14" s="361" t="s">
        <v>202</v>
      </c>
      <c r="U14" s="364" t="s">
        <v>597</v>
      </c>
      <c r="V14" s="364" t="s">
        <v>598</v>
      </c>
      <c r="W14" s="372" t="s">
        <v>2</v>
      </c>
      <c r="X14" s="373" t="s">
        <v>2</v>
      </c>
      <c r="Y14" s="367" t="s">
        <v>9</v>
      </c>
      <c r="Z14" s="367" t="s">
        <v>2</v>
      </c>
      <c r="AA14" s="368" t="s">
        <v>2</v>
      </c>
      <c r="AB14" s="48">
        <v>1</v>
      </c>
      <c r="AC14" s="367" t="s">
        <v>2</v>
      </c>
      <c r="AD14" s="490">
        <v>43</v>
      </c>
      <c r="AE14" s="364" t="s">
        <v>2</v>
      </c>
      <c r="AF14" s="364" t="s">
        <v>2</v>
      </c>
      <c r="AG14" s="364" t="s">
        <v>479</v>
      </c>
      <c r="AH14" s="364" t="s">
        <v>2</v>
      </c>
      <c r="AI14" s="364" t="s">
        <v>2</v>
      </c>
      <c r="AJ14" s="364" t="s">
        <v>2</v>
      </c>
      <c r="AK14" s="364" t="s">
        <v>2</v>
      </c>
      <c r="AL14" s="369" t="s">
        <v>2</v>
      </c>
      <c r="AN14" s="19"/>
      <c r="AO14" s="30"/>
      <c r="AP14" s="8"/>
      <c r="AQ14" s="15"/>
      <c r="AR14" s="228"/>
      <c r="AS14" s="23"/>
      <c r="AT14" s="16"/>
      <c r="AU14" s="15"/>
      <c r="AV14" s="19"/>
      <c r="AW14" s="192"/>
      <c r="AX14" s="9"/>
      <c r="AY14" s="17"/>
      <c r="AZ14" s="19"/>
      <c r="BA14" s="192"/>
      <c r="BB14" s="9"/>
      <c r="BC14" s="17"/>
      <c r="BD14" s="19"/>
      <c r="BE14" s="24"/>
      <c r="BF14" s="8"/>
      <c r="BG14" s="17"/>
      <c r="BH14" s="19"/>
      <c r="BI14" s="91"/>
      <c r="BJ14" s="8"/>
      <c r="BK14" s="17"/>
    </row>
    <row r="15" spans="1:63" s="305" customFormat="1" ht="54" hidden="1" customHeight="1" x14ac:dyDescent="0.3">
      <c r="A15" s="359" t="s">
        <v>196</v>
      </c>
      <c r="B15" s="497">
        <v>12</v>
      </c>
      <c r="C15" s="360" t="s">
        <v>637</v>
      </c>
      <c r="D15" s="361" t="s">
        <v>638</v>
      </c>
      <c r="E15" s="360" t="s">
        <v>364</v>
      </c>
      <c r="F15" s="362" t="s">
        <v>246</v>
      </c>
      <c r="G15" s="363" t="s">
        <v>191</v>
      </c>
      <c r="H15" s="362" t="s">
        <v>248</v>
      </c>
      <c r="I15" s="363" t="s">
        <v>678</v>
      </c>
      <c r="J15" s="513"/>
      <c r="K15" s="513"/>
      <c r="L15" s="513"/>
      <c r="M15" s="513"/>
      <c r="N15" s="513"/>
      <c r="O15" s="513"/>
      <c r="P15" s="364" t="s">
        <v>825</v>
      </c>
      <c r="Q15" s="361" t="s">
        <v>825</v>
      </c>
      <c r="R15" s="370" t="s">
        <v>247</v>
      </c>
      <c r="S15" s="364" t="s">
        <v>201</v>
      </c>
      <c r="T15" s="361" t="s">
        <v>202</v>
      </c>
      <c r="U15" s="364" t="s">
        <v>2</v>
      </c>
      <c r="V15" s="364" t="s">
        <v>2</v>
      </c>
      <c r="W15" s="372" t="s">
        <v>2</v>
      </c>
      <c r="X15" s="373" t="s">
        <v>2</v>
      </c>
      <c r="Y15" s="367" t="s">
        <v>249</v>
      </c>
      <c r="Z15" s="367" t="s">
        <v>250</v>
      </c>
      <c r="AA15" s="368" t="s">
        <v>251</v>
      </c>
      <c r="AB15" s="48">
        <v>8</v>
      </c>
      <c r="AC15" s="367" t="s">
        <v>2</v>
      </c>
      <c r="AD15" s="490">
        <v>43</v>
      </c>
      <c r="AE15" s="364" t="s">
        <v>2</v>
      </c>
      <c r="AF15" s="364" t="s">
        <v>2</v>
      </c>
      <c r="AG15" s="364" t="s">
        <v>479</v>
      </c>
      <c r="AH15" s="364" t="s">
        <v>2</v>
      </c>
      <c r="AI15" s="364" t="s">
        <v>2</v>
      </c>
      <c r="AJ15" s="364" t="s">
        <v>2</v>
      </c>
      <c r="AK15" s="364" t="s">
        <v>2</v>
      </c>
      <c r="AL15" s="369" t="s">
        <v>2</v>
      </c>
      <c r="AN15" s="19"/>
      <c r="AO15" s="30"/>
      <c r="AP15" s="8"/>
      <c r="AQ15" s="15"/>
      <c r="AR15" s="228"/>
      <c r="AS15" s="23"/>
      <c r="AT15" s="16"/>
      <c r="AU15" s="15"/>
      <c r="AV15" s="19"/>
      <c r="AW15" s="192"/>
      <c r="AX15" s="9"/>
      <c r="AY15" s="17"/>
      <c r="AZ15" s="19"/>
      <c r="BA15" s="192"/>
      <c r="BB15" s="9"/>
      <c r="BC15" s="17"/>
      <c r="BD15" s="19"/>
      <c r="BE15" s="24"/>
      <c r="BF15" s="8"/>
      <c r="BG15" s="17"/>
      <c r="BH15" s="19"/>
      <c r="BI15" s="91"/>
      <c r="BJ15" s="8"/>
      <c r="BK15" s="17"/>
    </row>
    <row r="16" spans="1:63" s="305" customFormat="1" ht="54" hidden="1" customHeight="1" x14ac:dyDescent="0.3">
      <c r="A16" s="359" t="s">
        <v>196</v>
      </c>
      <c r="B16" s="498">
        <v>13</v>
      </c>
      <c r="C16" s="360" t="s">
        <v>637</v>
      </c>
      <c r="D16" s="361" t="s">
        <v>638</v>
      </c>
      <c r="E16" s="360" t="s">
        <v>365</v>
      </c>
      <c r="F16" s="362" t="s">
        <v>252</v>
      </c>
      <c r="G16" s="363" t="s">
        <v>278</v>
      </c>
      <c r="H16" s="362" t="s">
        <v>279</v>
      </c>
      <c r="I16" s="363" t="s">
        <v>280</v>
      </c>
      <c r="J16" s="513"/>
      <c r="K16" s="513"/>
      <c r="L16" s="513"/>
      <c r="M16" s="513"/>
      <c r="N16" s="513"/>
      <c r="O16" s="513"/>
      <c r="P16" s="364" t="s">
        <v>825</v>
      </c>
      <c r="Q16" s="361" t="s">
        <v>825</v>
      </c>
      <c r="R16" s="370" t="s">
        <v>253</v>
      </c>
      <c r="S16" s="364" t="s">
        <v>201</v>
      </c>
      <c r="T16" s="361" t="s">
        <v>202</v>
      </c>
      <c r="U16" s="364" t="s">
        <v>2</v>
      </c>
      <c r="V16" s="364" t="s">
        <v>2</v>
      </c>
      <c r="W16" s="370" t="s">
        <v>760</v>
      </c>
      <c r="X16" s="371" t="s">
        <v>281</v>
      </c>
      <c r="Y16" s="367" t="s">
        <v>9</v>
      </c>
      <c r="Z16" s="367" t="s">
        <v>2</v>
      </c>
      <c r="AA16" s="368" t="s">
        <v>2</v>
      </c>
      <c r="AB16" s="48">
        <v>5</v>
      </c>
      <c r="AC16" s="367" t="s">
        <v>2</v>
      </c>
      <c r="AD16" s="490">
        <v>43</v>
      </c>
      <c r="AE16" s="364" t="s">
        <v>2</v>
      </c>
      <c r="AF16" s="364" t="s">
        <v>2</v>
      </c>
      <c r="AG16" s="364" t="s">
        <v>479</v>
      </c>
      <c r="AH16" s="364" t="s">
        <v>2</v>
      </c>
      <c r="AI16" s="364" t="s">
        <v>2</v>
      </c>
      <c r="AJ16" s="364" t="s">
        <v>2</v>
      </c>
      <c r="AK16" s="364" t="s">
        <v>2</v>
      </c>
      <c r="AL16" s="369" t="s">
        <v>2</v>
      </c>
      <c r="AN16" s="19"/>
      <c r="AO16" s="30"/>
      <c r="AP16" s="8"/>
      <c r="AQ16" s="15"/>
      <c r="AR16" s="228"/>
      <c r="AS16" s="23"/>
      <c r="AT16" s="16"/>
      <c r="AU16" s="15"/>
      <c r="AV16" s="19"/>
      <c r="AW16" s="192"/>
      <c r="AX16" s="9"/>
      <c r="AY16" s="17"/>
      <c r="AZ16" s="19"/>
      <c r="BA16" s="192"/>
      <c r="BB16" s="9"/>
      <c r="BC16" s="17"/>
      <c r="BD16" s="19"/>
      <c r="BE16" s="24"/>
      <c r="BF16" s="8"/>
      <c r="BG16" s="17"/>
      <c r="BH16" s="19"/>
      <c r="BI16" s="91"/>
      <c r="BJ16" s="8"/>
      <c r="BK16" s="17"/>
    </row>
    <row r="17" spans="1:63" s="305" customFormat="1" ht="54" hidden="1" customHeight="1" x14ac:dyDescent="0.3">
      <c r="A17" s="359" t="s">
        <v>196</v>
      </c>
      <c r="B17" s="497">
        <v>14</v>
      </c>
      <c r="C17" s="360" t="s">
        <v>637</v>
      </c>
      <c r="D17" s="361" t="s">
        <v>638</v>
      </c>
      <c r="E17" s="360" t="s">
        <v>366</v>
      </c>
      <c r="F17" s="362" t="s">
        <v>254</v>
      </c>
      <c r="G17" s="363" t="s">
        <v>255</v>
      </c>
      <c r="H17" s="362" t="s">
        <v>257</v>
      </c>
      <c r="I17" s="363" t="s">
        <v>258</v>
      </c>
      <c r="J17" s="513"/>
      <c r="K17" s="513"/>
      <c r="L17" s="513"/>
      <c r="M17" s="513"/>
      <c r="N17" s="513"/>
      <c r="O17" s="513"/>
      <c r="P17" s="364" t="s">
        <v>825</v>
      </c>
      <c r="Q17" s="361" t="s">
        <v>825</v>
      </c>
      <c r="R17" s="370" t="s">
        <v>256</v>
      </c>
      <c r="S17" s="364" t="s">
        <v>227</v>
      </c>
      <c r="T17" s="361" t="s">
        <v>228</v>
      </c>
      <c r="U17" s="364" t="s">
        <v>2</v>
      </c>
      <c r="V17" s="364" t="s">
        <v>2</v>
      </c>
      <c r="W17" s="370" t="s">
        <v>226</v>
      </c>
      <c r="X17" s="371" t="s">
        <v>271</v>
      </c>
      <c r="Y17" s="367" t="s">
        <v>9</v>
      </c>
      <c r="Z17" s="367" t="s">
        <v>2</v>
      </c>
      <c r="AA17" s="368" t="s">
        <v>2</v>
      </c>
      <c r="AB17" s="48">
        <v>5</v>
      </c>
      <c r="AC17" s="367" t="s">
        <v>2</v>
      </c>
      <c r="AD17" s="490">
        <v>43</v>
      </c>
      <c r="AE17" s="364" t="s">
        <v>2</v>
      </c>
      <c r="AF17" s="364" t="s">
        <v>2</v>
      </c>
      <c r="AG17" s="364" t="s">
        <v>479</v>
      </c>
      <c r="AH17" s="364" t="s">
        <v>2</v>
      </c>
      <c r="AI17" s="364" t="s">
        <v>2</v>
      </c>
      <c r="AJ17" s="364" t="s">
        <v>2</v>
      </c>
      <c r="AK17" s="364" t="s">
        <v>2</v>
      </c>
      <c r="AL17" s="369" t="s">
        <v>2</v>
      </c>
      <c r="AN17" s="19"/>
      <c r="AO17" s="30"/>
      <c r="AP17" s="8"/>
      <c r="AQ17" s="15"/>
      <c r="AR17" s="228"/>
      <c r="AS17" s="23"/>
      <c r="AT17" s="16"/>
      <c r="AU17" s="15"/>
      <c r="AV17" s="19"/>
      <c r="AW17" s="192"/>
      <c r="AX17" s="9"/>
      <c r="AY17" s="17"/>
      <c r="AZ17" s="19"/>
      <c r="BA17" s="192"/>
      <c r="BB17" s="9"/>
      <c r="BC17" s="17"/>
      <c r="BD17" s="19"/>
      <c r="BE17" s="24"/>
      <c r="BF17" s="8"/>
      <c r="BG17" s="17"/>
      <c r="BH17" s="19"/>
      <c r="BI17" s="91"/>
      <c r="BJ17" s="8"/>
      <c r="BK17" s="17"/>
    </row>
    <row r="18" spans="1:63" s="305" customFormat="1" ht="54" hidden="1" customHeight="1" thickBot="1" x14ac:dyDescent="0.35">
      <c r="A18" s="376" t="s">
        <v>196</v>
      </c>
      <c r="B18" s="499">
        <v>15</v>
      </c>
      <c r="C18" s="377" t="s">
        <v>637</v>
      </c>
      <c r="D18" s="378" t="s">
        <v>638</v>
      </c>
      <c r="E18" s="377" t="s">
        <v>367</v>
      </c>
      <c r="F18" s="379" t="s">
        <v>259</v>
      </c>
      <c r="G18" s="380" t="s">
        <v>259</v>
      </c>
      <c r="H18" s="379" t="s">
        <v>261</v>
      </c>
      <c r="I18" s="380" t="s">
        <v>262</v>
      </c>
      <c r="J18" s="380"/>
      <c r="K18" s="380"/>
      <c r="L18" s="380"/>
      <c r="M18" s="380"/>
      <c r="N18" s="380"/>
      <c r="O18" s="380"/>
      <c r="P18" s="381" t="s">
        <v>825</v>
      </c>
      <c r="Q18" s="378" t="s">
        <v>825</v>
      </c>
      <c r="R18" s="382" t="s">
        <v>260</v>
      </c>
      <c r="S18" s="381" t="s">
        <v>227</v>
      </c>
      <c r="T18" s="378" t="s">
        <v>228</v>
      </c>
      <c r="U18" s="381" t="s">
        <v>2</v>
      </c>
      <c r="V18" s="381" t="s">
        <v>2</v>
      </c>
      <c r="W18" s="382" t="s">
        <v>226</v>
      </c>
      <c r="X18" s="383" t="s">
        <v>271</v>
      </c>
      <c r="Y18" s="384" t="s">
        <v>9</v>
      </c>
      <c r="Z18" s="384" t="s">
        <v>2</v>
      </c>
      <c r="AA18" s="385" t="s">
        <v>2</v>
      </c>
      <c r="AB18" s="478">
        <f>2000-(SUM(AB4:AB17)+COUNT(AB4:AB17))</f>
        <v>1886</v>
      </c>
      <c r="AC18" s="384" t="s">
        <v>2</v>
      </c>
      <c r="AD18" s="488">
        <v>43</v>
      </c>
      <c r="AE18" s="381" t="s">
        <v>2</v>
      </c>
      <c r="AF18" s="386" t="s">
        <v>2</v>
      </c>
      <c r="AG18" s="381" t="s">
        <v>2</v>
      </c>
      <c r="AH18" s="381" t="s">
        <v>2</v>
      </c>
      <c r="AI18" s="381" t="s">
        <v>2</v>
      </c>
      <c r="AJ18" s="381" t="s">
        <v>2</v>
      </c>
      <c r="AK18" s="381" t="s">
        <v>2</v>
      </c>
      <c r="AL18" s="387" t="s">
        <v>2</v>
      </c>
      <c r="AN18" s="35"/>
      <c r="AO18" s="36"/>
      <c r="AP18" s="37"/>
      <c r="AQ18" s="38"/>
      <c r="AR18" s="229"/>
      <c r="AS18" s="39"/>
      <c r="AT18" s="40"/>
      <c r="AU18" s="38"/>
      <c r="AV18" s="35"/>
      <c r="AW18" s="42"/>
      <c r="AX18" s="42"/>
      <c r="AY18" s="43"/>
      <c r="AZ18" s="35"/>
      <c r="BA18" s="42"/>
      <c r="BB18" s="42"/>
      <c r="BC18" s="43"/>
      <c r="BD18" s="35"/>
      <c r="BE18" s="41"/>
      <c r="BF18" s="37"/>
      <c r="BG18" s="43"/>
      <c r="BH18" s="35"/>
      <c r="BI18" s="37"/>
      <c r="BJ18" s="37"/>
      <c r="BK18" s="43"/>
    </row>
    <row r="19" spans="1:63" s="305" customFormat="1" ht="54" hidden="1" customHeight="1" x14ac:dyDescent="0.3">
      <c r="A19" s="348" t="s">
        <v>196</v>
      </c>
      <c r="B19" s="496">
        <v>1</v>
      </c>
      <c r="C19" s="349" t="s">
        <v>342</v>
      </c>
      <c r="D19" s="350" t="s">
        <v>343</v>
      </c>
      <c r="E19" s="390" t="s">
        <v>480</v>
      </c>
      <c r="F19" s="388" t="s">
        <v>246</v>
      </c>
      <c r="G19" s="389" t="s">
        <v>191</v>
      </c>
      <c r="H19" s="388" t="s">
        <v>739</v>
      </c>
      <c r="I19" s="389" t="s">
        <v>740</v>
      </c>
      <c r="J19" s="389"/>
      <c r="K19" s="389"/>
      <c r="L19" s="389"/>
      <c r="M19" s="389"/>
      <c r="N19" s="389"/>
      <c r="O19" s="389"/>
      <c r="P19" s="353" t="s">
        <v>825</v>
      </c>
      <c r="Q19" s="350" t="s">
        <v>825</v>
      </c>
      <c r="R19" s="354" t="s">
        <v>394</v>
      </c>
      <c r="S19" s="390" t="s">
        <v>201</v>
      </c>
      <c r="T19" s="350" t="s">
        <v>202</v>
      </c>
      <c r="U19" s="353" t="s">
        <v>2</v>
      </c>
      <c r="V19" s="353" t="s">
        <v>2</v>
      </c>
      <c r="W19" s="391" t="s">
        <v>761</v>
      </c>
      <c r="X19" s="392" t="s">
        <v>769</v>
      </c>
      <c r="Y19" s="390" t="s">
        <v>9</v>
      </c>
      <c r="Z19" s="356" t="s">
        <v>250</v>
      </c>
      <c r="AA19" s="357" t="s">
        <v>251</v>
      </c>
      <c r="AB19" s="479">
        <v>8</v>
      </c>
      <c r="AC19" s="390" t="s">
        <v>2</v>
      </c>
      <c r="AD19" s="489">
        <v>40</v>
      </c>
      <c r="AE19" s="353" t="s">
        <v>2</v>
      </c>
      <c r="AF19" s="393" t="s">
        <v>985</v>
      </c>
      <c r="AG19" s="394" t="s">
        <v>1089</v>
      </c>
      <c r="AH19" s="353" t="s">
        <v>825</v>
      </c>
      <c r="AI19" s="353" t="s">
        <v>341</v>
      </c>
      <c r="AJ19" s="353" t="s">
        <v>2</v>
      </c>
      <c r="AK19" s="353" t="s">
        <v>2</v>
      </c>
      <c r="AL19" s="358" t="s">
        <v>2</v>
      </c>
      <c r="AM19" s="306"/>
      <c r="AN19" s="27"/>
      <c r="AO19" s="49"/>
      <c r="AP19" s="32"/>
      <c r="AQ19" s="33"/>
      <c r="AR19" s="230"/>
      <c r="AS19" s="50"/>
      <c r="AT19" s="51"/>
      <c r="AU19" s="33"/>
      <c r="AV19" s="27"/>
      <c r="AW19" s="192"/>
      <c r="AX19" s="53"/>
      <c r="AY19" s="54"/>
      <c r="AZ19" s="27"/>
      <c r="BA19" s="192"/>
      <c r="BB19" s="53"/>
      <c r="BC19" s="54"/>
      <c r="BD19" s="27"/>
      <c r="BE19" s="52"/>
      <c r="BF19" s="32"/>
      <c r="BG19" s="54"/>
      <c r="BH19" s="27"/>
      <c r="BI19" s="91"/>
      <c r="BJ19" s="32"/>
      <c r="BK19" s="54"/>
    </row>
    <row r="20" spans="1:63" s="305" customFormat="1" ht="54" hidden="1" customHeight="1" x14ac:dyDescent="0.3">
      <c r="A20" s="359" t="s">
        <v>196</v>
      </c>
      <c r="B20" s="497">
        <v>2</v>
      </c>
      <c r="C20" s="360" t="s">
        <v>342</v>
      </c>
      <c r="D20" s="361" t="s">
        <v>343</v>
      </c>
      <c r="E20" s="395" t="s">
        <v>481</v>
      </c>
      <c r="F20" s="365" t="s">
        <v>5</v>
      </c>
      <c r="G20" s="366" t="s">
        <v>115</v>
      </c>
      <c r="H20" s="365" t="s">
        <v>11</v>
      </c>
      <c r="I20" s="366" t="s">
        <v>167</v>
      </c>
      <c r="J20" s="427"/>
      <c r="K20" s="427"/>
      <c r="L20" s="427"/>
      <c r="M20" s="427"/>
      <c r="N20" s="427"/>
      <c r="O20" s="427"/>
      <c r="P20" s="364" t="s">
        <v>825</v>
      </c>
      <c r="Q20" s="361" t="s">
        <v>825</v>
      </c>
      <c r="R20" s="370" t="s">
        <v>395</v>
      </c>
      <c r="S20" s="395" t="s">
        <v>201</v>
      </c>
      <c r="T20" s="361" t="s">
        <v>202</v>
      </c>
      <c r="U20" s="364" t="s">
        <v>338</v>
      </c>
      <c r="V20" s="364" t="s">
        <v>725</v>
      </c>
      <c r="W20" s="396" t="s">
        <v>2</v>
      </c>
      <c r="X20" s="366" t="s">
        <v>2</v>
      </c>
      <c r="Y20" s="395" t="s">
        <v>9</v>
      </c>
      <c r="Z20" s="367" t="s">
        <v>2</v>
      </c>
      <c r="AA20" s="368" t="s">
        <v>2</v>
      </c>
      <c r="AB20" s="480">
        <v>5</v>
      </c>
      <c r="AC20" s="395" t="s">
        <v>2</v>
      </c>
      <c r="AD20" s="490">
        <v>40</v>
      </c>
      <c r="AE20" s="364" t="s">
        <v>2</v>
      </c>
      <c r="AF20" s="364" t="s">
        <v>985</v>
      </c>
      <c r="AG20" s="397" t="s">
        <v>1090</v>
      </c>
      <c r="AH20" s="364" t="s">
        <v>825</v>
      </c>
      <c r="AI20" s="364" t="s">
        <v>341</v>
      </c>
      <c r="AJ20" s="364" t="s">
        <v>2</v>
      </c>
      <c r="AK20" s="364" t="s">
        <v>2</v>
      </c>
      <c r="AL20" s="369" t="s">
        <v>2</v>
      </c>
      <c r="AM20" s="306"/>
      <c r="AN20" s="76" t="s">
        <v>621</v>
      </c>
      <c r="AO20" s="77" t="s">
        <v>622</v>
      </c>
      <c r="AP20" s="78">
        <v>7</v>
      </c>
      <c r="AQ20" s="191" t="s">
        <v>975</v>
      </c>
      <c r="AR20" s="231" t="s">
        <v>842</v>
      </c>
      <c r="AS20" s="192" t="s">
        <v>843</v>
      </c>
      <c r="AT20" s="82">
        <v>7</v>
      </c>
      <c r="AU20" s="191" t="s">
        <v>844</v>
      </c>
      <c r="AV20" s="80"/>
      <c r="AW20" s="192"/>
      <c r="AX20" s="84"/>
      <c r="AY20" s="85"/>
      <c r="AZ20" s="80"/>
      <c r="BA20" s="192"/>
      <c r="BB20" s="84"/>
      <c r="BC20" s="85"/>
      <c r="BD20" s="199" t="s">
        <v>879</v>
      </c>
      <c r="BE20" s="91" t="s">
        <v>880</v>
      </c>
      <c r="BF20" s="307">
        <v>7</v>
      </c>
      <c r="BG20" s="308" t="s">
        <v>531</v>
      </c>
      <c r="BH20" s="76"/>
      <c r="BI20" s="91"/>
      <c r="BJ20" s="78"/>
      <c r="BK20" s="87"/>
    </row>
    <row r="21" spans="1:63" s="305" customFormat="1" ht="54" hidden="1" customHeight="1" x14ac:dyDescent="0.3">
      <c r="A21" s="359" t="s">
        <v>196</v>
      </c>
      <c r="B21" s="497">
        <v>3</v>
      </c>
      <c r="C21" s="360" t="s">
        <v>342</v>
      </c>
      <c r="D21" s="361" t="s">
        <v>343</v>
      </c>
      <c r="E21" s="395" t="s">
        <v>482</v>
      </c>
      <c r="F21" s="365" t="s">
        <v>6</v>
      </c>
      <c r="G21" s="366" t="s">
        <v>116</v>
      </c>
      <c r="H21" s="365" t="s">
        <v>794</v>
      </c>
      <c r="I21" s="398" t="s">
        <v>795</v>
      </c>
      <c r="J21" s="514"/>
      <c r="K21" s="514"/>
      <c r="L21" s="514"/>
      <c r="M21" s="514"/>
      <c r="N21" s="514"/>
      <c r="O21" s="514"/>
      <c r="P21" s="364" t="s">
        <v>825</v>
      </c>
      <c r="Q21" s="361" t="s">
        <v>825</v>
      </c>
      <c r="R21" s="370" t="s">
        <v>396</v>
      </c>
      <c r="S21" s="395" t="s">
        <v>201</v>
      </c>
      <c r="T21" s="361" t="s">
        <v>202</v>
      </c>
      <c r="U21" s="364" t="s">
        <v>2</v>
      </c>
      <c r="V21" s="364" t="s">
        <v>533</v>
      </c>
      <c r="W21" s="399" t="s">
        <v>779</v>
      </c>
      <c r="X21" s="366" t="s">
        <v>786</v>
      </c>
      <c r="Y21" s="395" t="s">
        <v>9</v>
      </c>
      <c r="Z21" s="367" t="s">
        <v>2</v>
      </c>
      <c r="AA21" s="368" t="s">
        <v>2</v>
      </c>
      <c r="AB21" s="480">
        <v>12</v>
      </c>
      <c r="AC21" s="395" t="s">
        <v>2</v>
      </c>
      <c r="AD21" s="490">
        <v>40</v>
      </c>
      <c r="AE21" s="364" t="s">
        <v>2</v>
      </c>
      <c r="AF21" s="364" t="s">
        <v>2</v>
      </c>
      <c r="AG21" s="367" t="s">
        <v>994</v>
      </c>
      <c r="AH21" s="364" t="s">
        <v>825</v>
      </c>
      <c r="AI21" s="364" t="s">
        <v>341</v>
      </c>
      <c r="AJ21" s="364" t="s">
        <v>2</v>
      </c>
      <c r="AK21" s="364" t="s">
        <v>2</v>
      </c>
      <c r="AL21" s="369" t="s">
        <v>2</v>
      </c>
      <c r="AM21" s="306"/>
      <c r="AN21" s="76" t="s">
        <v>621</v>
      </c>
      <c r="AO21" s="77" t="s">
        <v>622</v>
      </c>
      <c r="AP21" s="78">
        <v>7</v>
      </c>
      <c r="AQ21" s="191" t="s">
        <v>975</v>
      </c>
      <c r="AR21" s="231" t="s">
        <v>842</v>
      </c>
      <c r="AS21" s="192" t="s">
        <v>843</v>
      </c>
      <c r="AT21" s="82">
        <v>7</v>
      </c>
      <c r="AU21" s="83" t="s">
        <v>974</v>
      </c>
      <c r="AV21" s="80" t="s">
        <v>534</v>
      </c>
      <c r="AW21" s="192" t="s">
        <v>535</v>
      </c>
      <c r="AX21" s="84">
        <v>7</v>
      </c>
      <c r="AY21" s="85" t="s">
        <v>951</v>
      </c>
      <c r="AZ21" s="80"/>
      <c r="BA21" s="192"/>
      <c r="BB21" s="84"/>
      <c r="BC21" s="85"/>
      <c r="BD21" s="199" t="s">
        <v>879</v>
      </c>
      <c r="BE21" s="91" t="s">
        <v>880</v>
      </c>
      <c r="BF21" s="307">
        <v>7</v>
      </c>
      <c r="BG21" s="308" t="s">
        <v>531</v>
      </c>
      <c r="BH21" s="76"/>
      <c r="BI21" s="91"/>
      <c r="BJ21" s="78"/>
      <c r="BK21" s="87"/>
    </row>
    <row r="22" spans="1:63" s="305" customFormat="1" ht="54" hidden="1" customHeight="1" x14ac:dyDescent="0.3">
      <c r="A22" s="359" t="s">
        <v>196</v>
      </c>
      <c r="B22" s="497">
        <v>4</v>
      </c>
      <c r="C22" s="360" t="s">
        <v>342</v>
      </c>
      <c r="D22" s="361" t="s">
        <v>343</v>
      </c>
      <c r="E22" s="395" t="s">
        <v>483</v>
      </c>
      <c r="F22" s="365" t="s">
        <v>13</v>
      </c>
      <c r="G22" s="366" t="s">
        <v>117</v>
      </c>
      <c r="H22" s="365" t="s">
        <v>661</v>
      </c>
      <c r="I22" s="366" t="s">
        <v>660</v>
      </c>
      <c r="J22" s="427"/>
      <c r="K22" s="427"/>
      <c r="L22" s="427"/>
      <c r="M22" s="427"/>
      <c r="N22" s="427"/>
      <c r="O22" s="427"/>
      <c r="P22" s="364" t="s">
        <v>825</v>
      </c>
      <c r="Q22" s="361" t="s">
        <v>825</v>
      </c>
      <c r="R22" s="370" t="s">
        <v>397</v>
      </c>
      <c r="S22" s="395" t="s">
        <v>201</v>
      </c>
      <c r="T22" s="361" t="s">
        <v>202</v>
      </c>
      <c r="U22" s="364" t="s">
        <v>2</v>
      </c>
      <c r="V22" s="364" t="s">
        <v>2</v>
      </c>
      <c r="W22" s="400" t="s">
        <v>45</v>
      </c>
      <c r="X22" s="366" t="s">
        <v>168</v>
      </c>
      <c r="Y22" s="395" t="s">
        <v>9</v>
      </c>
      <c r="Z22" s="367" t="s">
        <v>2</v>
      </c>
      <c r="AA22" s="368" t="s">
        <v>2</v>
      </c>
      <c r="AB22" s="480">
        <v>1</v>
      </c>
      <c r="AC22" s="395" t="s">
        <v>2</v>
      </c>
      <c r="AD22" s="490">
        <v>40</v>
      </c>
      <c r="AE22" s="364" t="s">
        <v>2</v>
      </c>
      <c r="AF22" s="364" t="s">
        <v>2</v>
      </c>
      <c r="AG22" s="367" t="s">
        <v>479</v>
      </c>
      <c r="AH22" s="364" t="s">
        <v>825</v>
      </c>
      <c r="AI22" s="364" t="s">
        <v>341</v>
      </c>
      <c r="AJ22" s="364" t="s">
        <v>2</v>
      </c>
      <c r="AK22" s="364" t="s">
        <v>2</v>
      </c>
      <c r="AL22" s="369" t="s">
        <v>2</v>
      </c>
      <c r="AM22" s="306"/>
      <c r="AN22" s="76"/>
      <c r="AO22" s="77"/>
      <c r="AP22" s="78"/>
      <c r="AQ22" s="79"/>
      <c r="AR22" s="232"/>
      <c r="AS22" s="89"/>
      <c r="AT22" s="90"/>
      <c r="AU22" s="83"/>
      <c r="AV22" s="80"/>
      <c r="AW22" s="192"/>
      <c r="AX22" s="84"/>
      <c r="AY22" s="85"/>
      <c r="AZ22" s="80"/>
      <c r="BA22" s="192"/>
      <c r="BB22" s="84"/>
      <c r="BC22" s="85"/>
      <c r="BD22" s="76"/>
      <c r="BE22" s="86"/>
      <c r="BF22" s="78"/>
      <c r="BG22" s="87"/>
      <c r="BH22" s="76"/>
      <c r="BI22" s="91"/>
      <c r="BJ22" s="78"/>
      <c r="BK22" s="87"/>
    </row>
    <row r="23" spans="1:63" s="305" customFormat="1" ht="54" hidden="1" customHeight="1" x14ac:dyDescent="0.3">
      <c r="A23" s="359" t="s">
        <v>196</v>
      </c>
      <c r="B23" s="497">
        <v>5</v>
      </c>
      <c r="C23" s="360" t="s">
        <v>342</v>
      </c>
      <c r="D23" s="361" t="s">
        <v>343</v>
      </c>
      <c r="E23" s="395" t="s">
        <v>484</v>
      </c>
      <c r="F23" s="365" t="s">
        <v>7</v>
      </c>
      <c r="G23" s="366" t="s">
        <v>118</v>
      </c>
      <c r="H23" s="365" t="s">
        <v>662</v>
      </c>
      <c r="I23" s="366" t="s">
        <v>738</v>
      </c>
      <c r="J23" s="427"/>
      <c r="K23" s="427"/>
      <c r="L23" s="427"/>
      <c r="M23" s="427"/>
      <c r="N23" s="427"/>
      <c r="O23" s="427"/>
      <c r="P23" s="364" t="s">
        <v>825</v>
      </c>
      <c r="Q23" s="361" t="s">
        <v>825</v>
      </c>
      <c r="R23" s="370" t="s">
        <v>398</v>
      </c>
      <c r="S23" s="395" t="s">
        <v>201</v>
      </c>
      <c r="T23" s="361" t="s">
        <v>202</v>
      </c>
      <c r="U23" s="364" t="s">
        <v>2</v>
      </c>
      <c r="V23" s="364" t="s">
        <v>2</v>
      </c>
      <c r="W23" s="396" t="s">
        <v>654</v>
      </c>
      <c r="X23" s="366" t="s">
        <v>655</v>
      </c>
      <c r="Y23" s="395" t="s">
        <v>9</v>
      </c>
      <c r="Z23" s="367" t="s">
        <v>653</v>
      </c>
      <c r="AA23" s="368" t="s">
        <v>808</v>
      </c>
      <c r="AB23" s="480">
        <v>12</v>
      </c>
      <c r="AC23" s="395" t="s">
        <v>2</v>
      </c>
      <c r="AD23" s="490">
        <v>40</v>
      </c>
      <c r="AE23" s="364" t="s">
        <v>2</v>
      </c>
      <c r="AF23" s="364" t="s">
        <v>2</v>
      </c>
      <c r="AG23" s="367" t="s">
        <v>479</v>
      </c>
      <c r="AH23" s="364" t="s">
        <v>825</v>
      </c>
      <c r="AI23" s="364" t="s">
        <v>341</v>
      </c>
      <c r="AJ23" s="364" t="s">
        <v>2</v>
      </c>
      <c r="AK23" s="364" t="s">
        <v>2</v>
      </c>
      <c r="AL23" s="369" t="s">
        <v>2</v>
      </c>
      <c r="AM23" s="306"/>
      <c r="AN23" s="76"/>
      <c r="AO23" s="77"/>
      <c r="AP23" s="78"/>
      <c r="AQ23" s="79"/>
      <c r="AR23" s="232"/>
      <c r="AS23" s="89"/>
      <c r="AT23" s="90"/>
      <c r="AU23" s="83"/>
      <c r="AV23" s="80"/>
      <c r="AW23" s="192"/>
      <c r="AX23" s="84"/>
      <c r="AY23" s="85"/>
      <c r="AZ23" s="80"/>
      <c r="BA23" s="192"/>
      <c r="BB23" s="84"/>
      <c r="BC23" s="85"/>
      <c r="BD23" s="76"/>
      <c r="BE23" s="86"/>
      <c r="BF23" s="78"/>
      <c r="BG23" s="87"/>
      <c r="BH23" s="76"/>
      <c r="BI23" s="91"/>
      <c r="BJ23" s="78"/>
      <c r="BK23" s="87"/>
    </row>
    <row r="24" spans="1:63" s="305" customFormat="1" ht="54" hidden="1" customHeight="1" x14ac:dyDescent="0.3">
      <c r="A24" s="359" t="s">
        <v>196</v>
      </c>
      <c r="B24" s="497">
        <v>6</v>
      </c>
      <c r="C24" s="360" t="s">
        <v>342</v>
      </c>
      <c r="D24" s="361" t="s">
        <v>343</v>
      </c>
      <c r="E24" s="367" t="s">
        <v>485</v>
      </c>
      <c r="F24" s="365" t="s">
        <v>8</v>
      </c>
      <c r="G24" s="366" t="s">
        <v>119</v>
      </c>
      <c r="H24" s="365" t="s">
        <v>741</v>
      </c>
      <c r="I24" s="366" t="s">
        <v>742</v>
      </c>
      <c r="J24" s="427"/>
      <c r="K24" s="427"/>
      <c r="L24" s="427"/>
      <c r="M24" s="427"/>
      <c r="N24" s="427"/>
      <c r="O24" s="427"/>
      <c r="P24" s="364" t="s">
        <v>825</v>
      </c>
      <c r="Q24" s="361" t="s">
        <v>825</v>
      </c>
      <c r="R24" s="370" t="s">
        <v>399</v>
      </c>
      <c r="S24" s="395" t="s">
        <v>201</v>
      </c>
      <c r="T24" s="361" t="s">
        <v>202</v>
      </c>
      <c r="U24" s="364" t="s">
        <v>2</v>
      </c>
      <c r="V24" s="364" t="s">
        <v>2</v>
      </c>
      <c r="W24" s="396" t="s">
        <v>762</v>
      </c>
      <c r="X24" s="366" t="s">
        <v>770</v>
      </c>
      <c r="Y24" s="395" t="s">
        <v>9</v>
      </c>
      <c r="Z24" s="367" t="s">
        <v>2</v>
      </c>
      <c r="AA24" s="368" t="s">
        <v>2</v>
      </c>
      <c r="AB24" s="480">
        <v>2</v>
      </c>
      <c r="AC24" s="395" t="s">
        <v>2</v>
      </c>
      <c r="AD24" s="490">
        <v>40</v>
      </c>
      <c r="AE24" s="364" t="s">
        <v>2</v>
      </c>
      <c r="AF24" s="364" t="s">
        <v>2</v>
      </c>
      <c r="AG24" s="367" t="s">
        <v>479</v>
      </c>
      <c r="AH24" s="364" t="s">
        <v>825</v>
      </c>
      <c r="AI24" s="364" t="s">
        <v>341</v>
      </c>
      <c r="AJ24" s="364" t="s">
        <v>2</v>
      </c>
      <c r="AK24" s="364" t="s">
        <v>2</v>
      </c>
      <c r="AL24" s="369" t="s">
        <v>2</v>
      </c>
      <c r="AM24" s="306"/>
      <c r="AN24" s="76"/>
      <c r="AO24" s="77"/>
      <c r="AP24" s="78"/>
      <c r="AQ24" s="79"/>
      <c r="AR24" s="232"/>
      <c r="AS24" s="89"/>
      <c r="AT24" s="90"/>
      <c r="AU24" s="83"/>
      <c r="AV24" s="80"/>
      <c r="AW24" s="192"/>
      <c r="AX24" s="84"/>
      <c r="AY24" s="85"/>
      <c r="AZ24" s="80"/>
      <c r="BA24" s="192"/>
      <c r="BB24" s="84"/>
      <c r="BC24" s="85"/>
      <c r="BD24" s="76"/>
      <c r="BE24" s="86"/>
      <c r="BF24" s="78"/>
      <c r="BG24" s="87"/>
      <c r="BH24" s="76"/>
      <c r="BI24" s="91"/>
      <c r="BJ24" s="78"/>
      <c r="BK24" s="87"/>
    </row>
    <row r="25" spans="1:63" s="7" customFormat="1" ht="54" hidden="1" customHeight="1" x14ac:dyDescent="0.3">
      <c r="A25" s="402" t="s">
        <v>196</v>
      </c>
      <c r="B25" s="500">
        <v>7</v>
      </c>
      <c r="C25" s="403" t="s">
        <v>342</v>
      </c>
      <c r="D25" s="403" t="s">
        <v>343</v>
      </c>
      <c r="E25" s="407" t="s">
        <v>486</v>
      </c>
      <c r="F25" s="404" t="s">
        <v>46</v>
      </c>
      <c r="G25" s="404" t="s">
        <v>120</v>
      </c>
      <c r="H25" s="404" t="s">
        <v>46</v>
      </c>
      <c r="I25" s="404" t="s">
        <v>120</v>
      </c>
      <c r="J25" s="515"/>
      <c r="K25" s="515"/>
      <c r="L25" s="515"/>
      <c r="M25" s="515"/>
      <c r="N25" s="515"/>
      <c r="O25" s="515"/>
      <c r="P25" s="403" t="s">
        <v>2</v>
      </c>
      <c r="Q25" s="403" t="s">
        <v>2</v>
      </c>
      <c r="R25" s="510" t="s">
        <v>400</v>
      </c>
      <c r="S25" s="405" t="s">
        <v>2</v>
      </c>
      <c r="T25" s="405" t="s">
        <v>2</v>
      </c>
      <c r="U25" s="403" t="s">
        <v>2</v>
      </c>
      <c r="V25" s="403" t="s">
        <v>2</v>
      </c>
      <c r="W25" s="406" t="s">
        <v>47</v>
      </c>
      <c r="X25" s="406" t="s">
        <v>169</v>
      </c>
      <c r="Y25" s="405" t="s">
        <v>9</v>
      </c>
      <c r="Z25" s="407" t="s">
        <v>2</v>
      </c>
      <c r="AA25" s="407" t="s">
        <v>2</v>
      </c>
      <c r="AB25" s="481">
        <v>1</v>
      </c>
      <c r="AC25" s="405" t="s">
        <v>2</v>
      </c>
      <c r="AD25" s="491">
        <v>40</v>
      </c>
      <c r="AE25" s="491">
        <v>41</v>
      </c>
      <c r="AF25" s="403" t="s">
        <v>2</v>
      </c>
      <c r="AG25" s="407" t="s">
        <v>2</v>
      </c>
      <c r="AH25" s="403" t="s">
        <v>2</v>
      </c>
      <c r="AI25" s="403" t="s">
        <v>341</v>
      </c>
      <c r="AJ25" s="403" t="s">
        <v>2</v>
      </c>
      <c r="AK25" s="403" t="s">
        <v>2</v>
      </c>
      <c r="AL25" s="408" t="s">
        <v>2</v>
      </c>
      <c r="AM25" s="115"/>
      <c r="AN25" s="116"/>
      <c r="AO25" s="119"/>
      <c r="AP25" s="117"/>
      <c r="AQ25" s="118"/>
      <c r="AR25" s="233"/>
      <c r="AS25" s="119"/>
      <c r="AT25" s="120"/>
      <c r="AU25" s="121"/>
      <c r="AV25" s="122"/>
      <c r="AW25" s="192"/>
      <c r="AX25" s="123"/>
      <c r="AY25" s="147"/>
      <c r="AZ25" s="122"/>
      <c r="BA25" s="192"/>
      <c r="BB25" s="123"/>
      <c r="BC25" s="147"/>
      <c r="BD25" s="116"/>
      <c r="BE25" s="148"/>
      <c r="BF25" s="117"/>
      <c r="BG25" s="126"/>
      <c r="BH25" s="116"/>
      <c r="BI25" s="91"/>
      <c r="BJ25" s="117"/>
      <c r="BK25" s="126"/>
    </row>
    <row r="26" spans="1:63" s="305" customFormat="1" ht="54" hidden="1" customHeight="1" x14ac:dyDescent="0.3">
      <c r="A26" s="359" t="s">
        <v>196</v>
      </c>
      <c r="B26" s="497">
        <v>8</v>
      </c>
      <c r="C26" s="360" t="s">
        <v>342</v>
      </c>
      <c r="D26" s="361" t="s">
        <v>343</v>
      </c>
      <c r="E26" s="395" t="s">
        <v>487</v>
      </c>
      <c r="F26" s="409" t="s">
        <v>792</v>
      </c>
      <c r="G26" s="398" t="s">
        <v>793</v>
      </c>
      <c r="H26" s="410" t="s">
        <v>48</v>
      </c>
      <c r="I26" s="366" t="s">
        <v>170</v>
      </c>
      <c r="J26" s="427"/>
      <c r="K26" s="427"/>
      <c r="L26" s="427"/>
      <c r="M26" s="427"/>
      <c r="N26" s="427"/>
      <c r="O26" s="427"/>
      <c r="P26" s="364" t="s">
        <v>825</v>
      </c>
      <c r="Q26" s="361" t="s">
        <v>825</v>
      </c>
      <c r="R26" s="370" t="s">
        <v>401</v>
      </c>
      <c r="S26" s="367" t="s">
        <v>826</v>
      </c>
      <c r="T26" s="361" t="s">
        <v>827</v>
      </c>
      <c r="U26" s="364" t="s">
        <v>477</v>
      </c>
      <c r="V26" s="364" t="s">
        <v>791</v>
      </c>
      <c r="W26" s="396" t="s">
        <v>763</v>
      </c>
      <c r="X26" s="366" t="s">
        <v>771</v>
      </c>
      <c r="Y26" s="367" t="s">
        <v>9</v>
      </c>
      <c r="Z26" s="367" t="s">
        <v>2</v>
      </c>
      <c r="AA26" s="368" t="s">
        <v>2</v>
      </c>
      <c r="AB26" s="480">
        <v>2</v>
      </c>
      <c r="AC26" s="395" t="s">
        <v>2</v>
      </c>
      <c r="AD26" s="490">
        <v>40</v>
      </c>
      <c r="AE26" s="364" t="s">
        <v>2</v>
      </c>
      <c r="AF26" s="364" t="s">
        <v>985</v>
      </c>
      <c r="AG26" s="397" t="s">
        <v>1090</v>
      </c>
      <c r="AH26" s="364" t="s">
        <v>825</v>
      </c>
      <c r="AI26" s="364" t="s">
        <v>341</v>
      </c>
      <c r="AJ26" s="364" t="s">
        <v>2</v>
      </c>
      <c r="AK26" s="364" t="s">
        <v>2</v>
      </c>
      <c r="AL26" s="369" t="s">
        <v>2</v>
      </c>
      <c r="AM26" s="306"/>
      <c r="AN26" s="76" t="s">
        <v>853</v>
      </c>
      <c r="AO26" s="200" t="s">
        <v>623</v>
      </c>
      <c r="AP26" s="82">
        <v>7</v>
      </c>
      <c r="AQ26" s="79" t="s">
        <v>932</v>
      </c>
      <c r="AR26" s="309" t="s">
        <v>842</v>
      </c>
      <c r="AS26" s="200" t="s">
        <v>843</v>
      </c>
      <c r="AT26" s="82">
        <v>7</v>
      </c>
      <c r="AU26" s="191" t="s">
        <v>844</v>
      </c>
      <c r="AV26" s="80"/>
      <c r="AW26" s="192"/>
      <c r="AX26" s="84"/>
      <c r="AY26" s="85"/>
      <c r="AZ26" s="80"/>
      <c r="BA26" s="192"/>
      <c r="BB26" s="84"/>
      <c r="BC26" s="85"/>
      <c r="BD26" s="76"/>
      <c r="BE26" s="86"/>
      <c r="BF26" s="78"/>
      <c r="BG26" s="87"/>
      <c r="BH26" s="76"/>
      <c r="BI26" s="91"/>
      <c r="BJ26" s="78"/>
      <c r="BK26" s="87"/>
    </row>
    <row r="27" spans="1:63" s="127" customFormat="1" ht="54" hidden="1" customHeight="1" x14ac:dyDescent="0.3">
      <c r="A27" s="402" t="s">
        <v>196</v>
      </c>
      <c r="B27" s="500">
        <v>9</v>
      </c>
      <c r="C27" s="403" t="s">
        <v>342</v>
      </c>
      <c r="D27" s="403" t="s">
        <v>343</v>
      </c>
      <c r="E27" s="405" t="s">
        <v>488</v>
      </c>
      <c r="F27" s="404" t="s">
        <v>0</v>
      </c>
      <c r="G27" s="404" t="s">
        <v>121</v>
      </c>
      <c r="H27" s="404" t="s">
        <v>0</v>
      </c>
      <c r="I27" s="404" t="s">
        <v>121</v>
      </c>
      <c r="J27" s="515"/>
      <c r="K27" s="515"/>
      <c r="L27" s="515"/>
      <c r="M27" s="515"/>
      <c r="N27" s="515"/>
      <c r="O27" s="515"/>
      <c r="P27" s="403" t="s">
        <v>2</v>
      </c>
      <c r="Q27" s="403" t="s">
        <v>2</v>
      </c>
      <c r="R27" s="510" t="s">
        <v>402</v>
      </c>
      <c r="S27" s="405" t="s">
        <v>2</v>
      </c>
      <c r="T27" s="405" t="s">
        <v>2</v>
      </c>
      <c r="U27" s="403" t="s">
        <v>2</v>
      </c>
      <c r="V27" s="403" t="s">
        <v>2</v>
      </c>
      <c r="W27" s="406" t="s">
        <v>2</v>
      </c>
      <c r="X27" s="406" t="s">
        <v>2</v>
      </c>
      <c r="Y27" s="405" t="s">
        <v>9</v>
      </c>
      <c r="Z27" s="407" t="s">
        <v>2</v>
      </c>
      <c r="AA27" s="407" t="s">
        <v>2</v>
      </c>
      <c r="AB27" s="481">
        <v>7</v>
      </c>
      <c r="AC27" s="405" t="s">
        <v>2</v>
      </c>
      <c r="AD27" s="491">
        <v>40</v>
      </c>
      <c r="AE27" s="491">
        <v>41</v>
      </c>
      <c r="AF27" s="403" t="s">
        <v>2</v>
      </c>
      <c r="AG27" s="403" t="s">
        <v>2</v>
      </c>
      <c r="AH27" s="403" t="s">
        <v>2</v>
      </c>
      <c r="AI27" s="403" t="s">
        <v>341</v>
      </c>
      <c r="AJ27" s="403" t="s">
        <v>2</v>
      </c>
      <c r="AK27" s="403" t="s">
        <v>2</v>
      </c>
      <c r="AL27" s="408" t="s">
        <v>2</v>
      </c>
      <c r="AM27" s="115"/>
      <c r="AN27" s="116"/>
      <c r="AO27" s="119"/>
      <c r="AP27" s="117"/>
      <c r="AQ27" s="118"/>
      <c r="AR27" s="233"/>
      <c r="AS27" s="119"/>
      <c r="AT27" s="120"/>
      <c r="AU27" s="121"/>
      <c r="AV27" s="122"/>
      <c r="AW27" s="192"/>
      <c r="AX27" s="123"/>
      <c r="AY27" s="124"/>
      <c r="AZ27" s="122"/>
      <c r="BA27" s="192"/>
      <c r="BB27" s="123"/>
      <c r="BC27" s="147"/>
      <c r="BD27" s="125"/>
      <c r="BE27" s="119"/>
      <c r="BF27" s="117"/>
      <c r="BG27" s="126"/>
      <c r="BH27" s="125"/>
      <c r="BI27" s="91"/>
      <c r="BJ27" s="117"/>
      <c r="BK27" s="126"/>
    </row>
    <row r="28" spans="1:63" s="127" customFormat="1" ht="54" hidden="1" customHeight="1" x14ac:dyDescent="0.3">
      <c r="A28" s="402" t="s">
        <v>196</v>
      </c>
      <c r="B28" s="500">
        <v>10</v>
      </c>
      <c r="C28" s="403" t="s">
        <v>342</v>
      </c>
      <c r="D28" s="403" t="s">
        <v>343</v>
      </c>
      <c r="E28" s="405" t="s">
        <v>806</v>
      </c>
      <c r="F28" s="404" t="s">
        <v>20</v>
      </c>
      <c r="G28" s="404" t="s">
        <v>122</v>
      </c>
      <c r="H28" s="404" t="s">
        <v>20</v>
      </c>
      <c r="I28" s="404" t="s">
        <v>122</v>
      </c>
      <c r="J28" s="515"/>
      <c r="K28" s="515"/>
      <c r="L28" s="515"/>
      <c r="M28" s="515"/>
      <c r="N28" s="515"/>
      <c r="O28" s="515"/>
      <c r="P28" s="403" t="s">
        <v>2</v>
      </c>
      <c r="Q28" s="403" t="s">
        <v>2</v>
      </c>
      <c r="R28" s="510" t="s">
        <v>403</v>
      </c>
      <c r="S28" s="405" t="s">
        <v>2</v>
      </c>
      <c r="T28" s="403" t="s">
        <v>2</v>
      </c>
      <c r="U28" s="403" t="s">
        <v>2</v>
      </c>
      <c r="V28" s="403" t="s">
        <v>2</v>
      </c>
      <c r="W28" s="406" t="s">
        <v>47</v>
      </c>
      <c r="X28" s="404" t="s">
        <v>169</v>
      </c>
      <c r="Y28" s="405" t="s">
        <v>9</v>
      </c>
      <c r="Z28" s="407" t="s">
        <v>2</v>
      </c>
      <c r="AA28" s="407" t="s">
        <v>2</v>
      </c>
      <c r="AB28" s="481">
        <v>130</v>
      </c>
      <c r="AC28" s="405" t="s">
        <v>2</v>
      </c>
      <c r="AD28" s="491">
        <v>40</v>
      </c>
      <c r="AE28" s="491">
        <v>41</v>
      </c>
      <c r="AF28" s="403" t="s">
        <v>2</v>
      </c>
      <c r="AG28" s="407" t="s">
        <v>2</v>
      </c>
      <c r="AH28" s="403" t="s">
        <v>2</v>
      </c>
      <c r="AI28" s="403" t="s">
        <v>341</v>
      </c>
      <c r="AJ28" s="403" t="s">
        <v>2</v>
      </c>
      <c r="AK28" s="403" t="s">
        <v>2</v>
      </c>
      <c r="AL28" s="408" t="s">
        <v>2</v>
      </c>
      <c r="AM28" s="115"/>
      <c r="AN28" s="116"/>
      <c r="AO28" s="119"/>
      <c r="AP28" s="117"/>
      <c r="AQ28" s="118"/>
      <c r="AR28" s="233"/>
      <c r="AS28" s="119"/>
      <c r="AT28" s="120"/>
      <c r="AU28" s="121"/>
      <c r="AV28" s="122"/>
      <c r="AW28" s="192"/>
      <c r="AX28" s="123"/>
      <c r="AY28" s="124"/>
      <c r="AZ28" s="122"/>
      <c r="BA28" s="192"/>
      <c r="BB28" s="123"/>
      <c r="BC28" s="147"/>
      <c r="BD28" s="125"/>
      <c r="BE28" s="119"/>
      <c r="BF28" s="117"/>
      <c r="BG28" s="126"/>
      <c r="BH28" s="125"/>
      <c r="BI28" s="91"/>
      <c r="BJ28" s="117"/>
      <c r="BK28" s="126"/>
    </row>
    <row r="29" spans="1:63" s="305" customFormat="1" ht="54" hidden="1" customHeight="1" x14ac:dyDescent="0.3">
      <c r="A29" s="359" t="s">
        <v>196</v>
      </c>
      <c r="B29" s="497">
        <v>11</v>
      </c>
      <c r="C29" s="367" t="s">
        <v>817</v>
      </c>
      <c r="D29" s="368" t="s">
        <v>818</v>
      </c>
      <c r="E29" s="367" t="s">
        <v>489</v>
      </c>
      <c r="F29" s="365" t="s">
        <v>41</v>
      </c>
      <c r="G29" s="366" t="s">
        <v>123</v>
      </c>
      <c r="H29" s="365" t="s">
        <v>663</v>
      </c>
      <c r="I29" s="366" t="s">
        <v>664</v>
      </c>
      <c r="J29" s="427"/>
      <c r="K29" s="427"/>
      <c r="L29" s="427"/>
      <c r="M29" s="427"/>
      <c r="N29" s="427"/>
      <c r="O29" s="427"/>
      <c r="P29" s="364" t="s">
        <v>825</v>
      </c>
      <c r="Q29" s="361" t="s">
        <v>825</v>
      </c>
      <c r="R29" s="370" t="s">
        <v>404</v>
      </c>
      <c r="S29" s="367" t="s">
        <v>201</v>
      </c>
      <c r="T29" s="361" t="s">
        <v>202</v>
      </c>
      <c r="U29" s="364" t="s">
        <v>2</v>
      </c>
      <c r="V29" s="364" t="s">
        <v>2</v>
      </c>
      <c r="W29" s="396" t="s">
        <v>764</v>
      </c>
      <c r="X29" s="366" t="s">
        <v>772</v>
      </c>
      <c r="Y29" s="395" t="s">
        <v>9</v>
      </c>
      <c r="Z29" s="367" t="s">
        <v>2</v>
      </c>
      <c r="AA29" s="368" t="s">
        <v>2</v>
      </c>
      <c r="AB29" s="480">
        <v>40</v>
      </c>
      <c r="AC29" s="395" t="s">
        <v>2</v>
      </c>
      <c r="AD29" s="490">
        <v>40</v>
      </c>
      <c r="AE29" s="364" t="s">
        <v>2</v>
      </c>
      <c r="AF29" s="364" t="s">
        <v>985</v>
      </c>
      <c r="AG29" s="397" t="s">
        <v>1090</v>
      </c>
      <c r="AH29" s="364" t="s">
        <v>825</v>
      </c>
      <c r="AI29" s="364" t="s">
        <v>341</v>
      </c>
      <c r="AJ29" s="364" t="s">
        <v>2</v>
      </c>
      <c r="AK29" s="364" t="s">
        <v>2</v>
      </c>
      <c r="AL29" s="369" t="s">
        <v>2</v>
      </c>
      <c r="AM29" s="306"/>
      <c r="AN29" s="76" t="s">
        <v>621</v>
      </c>
      <c r="AO29" s="192" t="s">
        <v>622</v>
      </c>
      <c r="AP29" s="78">
        <v>7</v>
      </c>
      <c r="AQ29" s="191" t="s">
        <v>975</v>
      </c>
      <c r="AR29" s="232"/>
      <c r="AS29" s="89"/>
      <c r="AT29" s="90"/>
      <c r="AU29" s="83"/>
      <c r="AV29" s="80"/>
      <c r="AW29" s="192"/>
      <c r="AX29" s="84"/>
      <c r="AY29" s="85"/>
      <c r="AZ29" s="80"/>
      <c r="BA29" s="192"/>
      <c r="BB29" s="84"/>
      <c r="BC29" s="85"/>
      <c r="BD29" s="76" t="s">
        <v>529</v>
      </c>
      <c r="BE29" s="119" t="s">
        <v>530</v>
      </c>
      <c r="BF29" s="78">
        <v>7</v>
      </c>
      <c r="BG29" s="87" t="s">
        <v>531</v>
      </c>
      <c r="BH29" s="76"/>
      <c r="BI29" s="91"/>
      <c r="BJ29" s="78"/>
      <c r="BK29" s="87"/>
    </row>
    <row r="30" spans="1:63" s="127" customFormat="1" ht="54" hidden="1" customHeight="1" x14ac:dyDescent="0.3">
      <c r="A30" s="402" t="s">
        <v>196</v>
      </c>
      <c r="B30" s="500">
        <v>12</v>
      </c>
      <c r="C30" s="403" t="s">
        <v>342</v>
      </c>
      <c r="D30" s="403" t="s">
        <v>343</v>
      </c>
      <c r="E30" s="405" t="s">
        <v>490</v>
      </c>
      <c r="F30" s="404" t="s">
        <v>20</v>
      </c>
      <c r="G30" s="404" t="s">
        <v>122</v>
      </c>
      <c r="H30" s="404" t="s">
        <v>20</v>
      </c>
      <c r="I30" s="404" t="s">
        <v>122</v>
      </c>
      <c r="J30" s="515"/>
      <c r="K30" s="515"/>
      <c r="L30" s="515"/>
      <c r="M30" s="515"/>
      <c r="N30" s="515"/>
      <c r="O30" s="515"/>
      <c r="P30" s="403" t="s">
        <v>2</v>
      </c>
      <c r="Q30" s="403" t="s">
        <v>2</v>
      </c>
      <c r="R30" s="510" t="s">
        <v>405</v>
      </c>
      <c r="S30" s="405" t="s">
        <v>2</v>
      </c>
      <c r="T30" s="403" t="s">
        <v>2</v>
      </c>
      <c r="U30" s="403" t="s">
        <v>2</v>
      </c>
      <c r="V30" s="403" t="s">
        <v>2</v>
      </c>
      <c r="W30" s="406" t="s">
        <v>47</v>
      </c>
      <c r="X30" s="404" t="s">
        <v>169</v>
      </c>
      <c r="Y30" s="405" t="s">
        <v>9</v>
      </c>
      <c r="Z30" s="407" t="s">
        <v>2</v>
      </c>
      <c r="AA30" s="407" t="s">
        <v>2</v>
      </c>
      <c r="AB30" s="481">
        <v>60</v>
      </c>
      <c r="AC30" s="405" t="s">
        <v>2</v>
      </c>
      <c r="AD30" s="491">
        <v>40</v>
      </c>
      <c r="AE30" s="491">
        <v>41</v>
      </c>
      <c r="AF30" s="403" t="s">
        <v>2</v>
      </c>
      <c r="AG30" s="403" t="s">
        <v>2</v>
      </c>
      <c r="AH30" s="403" t="s">
        <v>2</v>
      </c>
      <c r="AI30" s="403" t="s">
        <v>341</v>
      </c>
      <c r="AJ30" s="403" t="s">
        <v>2</v>
      </c>
      <c r="AK30" s="403" t="s">
        <v>2</v>
      </c>
      <c r="AL30" s="408" t="s">
        <v>2</v>
      </c>
      <c r="AM30" s="115"/>
      <c r="AN30" s="116"/>
      <c r="AO30" s="119"/>
      <c r="AP30" s="117"/>
      <c r="AQ30" s="118"/>
      <c r="AR30" s="233"/>
      <c r="AS30" s="119"/>
      <c r="AT30" s="120"/>
      <c r="AU30" s="121"/>
      <c r="AV30" s="122"/>
      <c r="AW30" s="192"/>
      <c r="AX30" s="123"/>
      <c r="AY30" s="124"/>
      <c r="AZ30" s="122"/>
      <c r="BA30" s="192"/>
      <c r="BB30" s="123"/>
      <c r="BC30" s="147"/>
      <c r="BD30" s="125"/>
      <c r="BE30" s="119"/>
      <c r="BF30" s="117"/>
      <c r="BG30" s="126"/>
      <c r="BH30" s="125"/>
      <c r="BI30" s="91"/>
      <c r="BJ30" s="117"/>
      <c r="BK30" s="126"/>
    </row>
    <row r="31" spans="1:63" s="305" customFormat="1" ht="54" hidden="1" customHeight="1" x14ac:dyDescent="0.3">
      <c r="A31" s="359" t="s">
        <v>196</v>
      </c>
      <c r="B31" s="497">
        <v>13</v>
      </c>
      <c r="C31" s="360" t="s">
        <v>344</v>
      </c>
      <c r="D31" s="361" t="s">
        <v>345</v>
      </c>
      <c r="E31" s="367" t="s">
        <v>22</v>
      </c>
      <c r="F31" s="365" t="s">
        <v>14</v>
      </c>
      <c r="G31" s="366" t="s">
        <v>124</v>
      </c>
      <c r="H31" s="365" t="s">
        <v>679</v>
      </c>
      <c r="I31" s="366" t="s">
        <v>650</v>
      </c>
      <c r="J31" s="427"/>
      <c r="K31" s="427"/>
      <c r="L31" s="427"/>
      <c r="M31" s="427"/>
      <c r="N31" s="427"/>
      <c r="O31" s="427"/>
      <c r="P31" s="364" t="s">
        <v>825</v>
      </c>
      <c r="Q31" s="361" t="s">
        <v>825</v>
      </c>
      <c r="R31" s="370" t="s">
        <v>406</v>
      </c>
      <c r="S31" s="395" t="s">
        <v>201</v>
      </c>
      <c r="T31" s="361" t="s">
        <v>202</v>
      </c>
      <c r="U31" s="364" t="s">
        <v>491</v>
      </c>
      <c r="V31" s="364" t="s">
        <v>700</v>
      </c>
      <c r="W31" s="411" t="s">
        <v>900</v>
      </c>
      <c r="X31" s="412" t="s">
        <v>901</v>
      </c>
      <c r="Y31" s="395" t="s">
        <v>9</v>
      </c>
      <c r="Z31" s="367" t="s">
        <v>2</v>
      </c>
      <c r="AA31" s="368" t="s">
        <v>2</v>
      </c>
      <c r="AB31" s="480">
        <v>12</v>
      </c>
      <c r="AC31" s="395" t="s">
        <v>2</v>
      </c>
      <c r="AD31" s="490">
        <v>40</v>
      </c>
      <c r="AE31" s="364" t="s">
        <v>2</v>
      </c>
      <c r="AF31" s="364" t="s">
        <v>2</v>
      </c>
      <c r="AG31" s="367" t="s">
        <v>1113</v>
      </c>
      <c r="AH31" s="364" t="s">
        <v>825</v>
      </c>
      <c r="AI31" s="364" t="s">
        <v>341</v>
      </c>
      <c r="AJ31" s="364" t="s">
        <v>2</v>
      </c>
      <c r="AK31" s="364" t="s">
        <v>2</v>
      </c>
      <c r="AL31" s="369" t="s">
        <v>2</v>
      </c>
      <c r="AM31" s="306"/>
      <c r="AN31" s="76" t="s">
        <v>621</v>
      </c>
      <c r="AO31" s="192" t="s">
        <v>622</v>
      </c>
      <c r="AP31" s="78">
        <v>7</v>
      </c>
      <c r="AQ31" s="191" t="s">
        <v>845</v>
      </c>
      <c r="AR31" s="231" t="s">
        <v>842</v>
      </c>
      <c r="AS31" s="192" t="s">
        <v>843</v>
      </c>
      <c r="AT31" s="82">
        <v>7</v>
      </c>
      <c r="AU31" s="191" t="s">
        <v>844</v>
      </c>
      <c r="AV31" s="80" t="s">
        <v>896</v>
      </c>
      <c r="AW31" s="192" t="s">
        <v>897</v>
      </c>
      <c r="AX31" s="84">
        <v>6</v>
      </c>
      <c r="AY31" s="85" t="s">
        <v>952</v>
      </c>
      <c r="AZ31" s="80"/>
      <c r="BA31" s="192"/>
      <c r="BB31" s="84"/>
      <c r="BC31" s="85"/>
      <c r="BD31" s="76"/>
      <c r="BE31" s="119"/>
      <c r="BF31" s="78"/>
      <c r="BG31" s="87"/>
      <c r="BH31" s="76"/>
      <c r="BI31" s="91"/>
      <c r="BJ31" s="78"/>
      <c r="BK31" s="87"/>
    </row>
    <row r="32" spans="1:63" s="305" customFormat="1" ht="54" hidden="1" customHeight="1" x14ac:dyDescent="0.3">
      <c r="A32" s="359" t="s">
        <v>196</v>
      </c>
      <c r="B32" s="497">
        <v>14</v>
      </c>
      <c r="C32" s="360" t="s">
        <v>344</v>
      </c>
      <c r="D32" s="361" t="s">
        <v>345</v>
      </c>
      <c r="E32" s="367" t="s">
        <v>23</v>
      </c>
      <c r="F32" s="365" t="s">
        <v>701</v>
      </c>
      <c r="G32" s="366" t="s">
        <v>702</v>
      </c>
      <c r="H32" s="365" t="s">
        <v>680</v>
      </c>
      <c r="I32" s="366" t="s">
        <v>171</v>
      </c>
      <c r="J32" s="427"/>
      <c r="K32" s="427"/>
      <c r="L32" s="427"/>
      <c r="M32" s="427"/>
      <c r="N32" s="427"/>
      <c r="O32" s="427"/>
      <c r="P32" s="364" t="s">
        <v>825</v>
      </c>
      <c r="Q32" s="361" t="s">
        <v>825</v>
      </c>
      <c r="R32" s="370" t="s">
        <v>407</v>
      </c>
      <c r="S32" s="395" t="s">
        <v>201</v>
      </c>
      <c r="T32" s="361" t="s">
        <v>202</v>
      </c>
      <c r="U32" s="367" t="s">
        <v>821</v>
      </c>
      <c r="V32" s="413" t="s">
        <v>816</v>
      </c>
      <c r="W32" s="396" t="s">
        <v>2</v>
      </c>
      <c r="X32" s="366" t="s">
        <v>2</v>
      </c>
      <c r="Y32" s="395" t="s">
        <v>9</v>
      </c>
      <c r="Z32" s="395" t="s">
        <v>2</v>
      </c>
      <c r="AA32" s="414" t="s">
        <v>2</v>
      </c>
      <c r="AB32" s="480">
        <v>2</v>
      </c>
      <c r="AC32" s="395" t="s">
        <v>2</v>
      </c>
      <c r="AD32" s="490">
        <v>40</v>
      </c>
      <c r="AE32" s="364" t="s">
        <v>2</v>
      </c>
      <c r="AF32" s="364" t="s">
        <v>2</v>
      </c>
      <c r="AG32" s="367" t="s">
        <v>1113</v>
      </c>
      <c r="AH32" s="364" t="s">
        <v>825</v>
      </c>
      <c r="AI32" s="364" t="s">
        <v>341</v>
      </c>
      <c r="AJ32" s="364" t="s">
        <v>2</v>
      </c>
      <c r="AK32" s="364" t="s">
        <v>2</v>
      </c>
      <c r="AL32" s="369" t="s">
        <v>2</v>
      </c>
      <c r="AM32" s="306"/>
      <c r="AN32" s="76" t="s">
        <v>621</v>
      </c>
      <c r="AO32" s="192" t="s">
        <v>622</v>
      </c>
      <c r="AP32" s="78">
        <v>7</v>
      </c>
      <c r="AQ32" s="191" t="s">
        <v>845</v>
      </c>
      <c r="AR32" s="231" t="s">
        <v>842</v>
      </c>
      <c r="AS32" s="192" t="s">
        <v>843</v>
      </c>
      <c r="AT32" s="82">
        <v>7</v>
      </c>
      <c r="AU32" s="191" t="s">
        <v>844</v>
      </c>
      <c r="AV32" s="80"/>
      <c r="AW32" s="192"/>
      <c r="AX32" s="84"/>
      <c r="AY32" s="85"/>
      <c r="AZ32" s="80"/>
      <c r="BA32" s="192"/>
      <c r="BB32" s="84"/>
      <c r="BC32" s="85"/>
      <c r="BD32" s="76"/>
      <c r="BE32" s="119"/>
      <c r="BF32" s="78"/>
      <c r="BG32" s="87"/>
      <c r="BH32" s="76"/>
      <c r="BI32" s="91"/>
      <c r="BJ32" s="78"/>
      <c r="BK32" s="87"/>
    </row>
    <row r="33" spans="1:63" s="305" customFormat="1" ht="54" hidden="1" customHeight="1" x14ac:dyDescent="0.3">
      <c r="A33" s="359" t="s">
        <v>196</v>
      </c>
      <c r="B33" s="497">
        <v>15</v>
      </c>
      <c r="C33" s="360" t="s">
        <v>344</v>
      </c>
      <c r="D33" s="361" t="s">
        <v>345</v>
      </c>
      <c r="E33" s="367" t="s">
        <v>65</v>
      </c>
      <c r="F33" s="365" t="s">
        <v>101</v>
      </c>
      <c r="G33" s="366" t="s">
        <v>125</v>
      </c>
      <c r="H33" s="365" t="s">
        <v>681</v>
      </c>
      <c r="I33" s="366" t="s">
        <v>172</v>
      </c>
      <c r="J33" s="427"/>
      <c r="K33" s="427"/>
      <c r="L33" s="427"/>
      <c r="M33" s="427"/>
      <c r="N33" s="427"/>
      <c r="O33" s="427"/>
      <c r="P33" s="364" t="s">
        <v>825</v>
      </c>
      <c r="Q33" s="361" t="s">
        <v>825</v>
      </c>
      <c r="R33" s="370" t="s">
        <v>408</v>
      </c>
      <c r="S33" s="367" t="s">
        <v>227</v>
      </c>
      <c r="T33" s="361" t="s">
        <v>228</v>
      </c>
      <c r="U33" s="364" t="s">
        <v>492</v>
      </c>
      <c r="V33" s="364" t="s">
        <v>527</v>
      </c>
      <c r="W33" s="396" t="s">
        <v>2</v>
      </c>
      <c r="X33" s="366" t="s">
        <v>2</v>
      </c>
      <c r="Y33" s="395" t="s">
        <v>9</v>
      </c>
      <c r="Z33" s="395" t="s">
        <v>2</v>
      </c>
      <c r="AA33" s="414" t="s">
        <v>2</v>
      </c>
      <c r="AB33" s="480">
        <v>2</v>
      </c>
      <c r="AC33" s="395" t="s">
        <v>2</v>
      </c>
      <c r="AD33" s="490">
        <v>40</v>
      </c>
      <c r="AE33" s="364" t="s">
        <v>2</v>
      </c>
      <c r="AF33" s="364" t="s">
        <v>2</v>
      </c>
      <c r="AG33" s="367" t="s">
        <v>994</v>
      </c>
      <c r="AH33" s="364" t="s">
        <v>825</v>
      </c>
      <c r="AI33" s="364" t="s">
        <v>341</v>
      </c>
      <c r="AJ33" s="364" t="s">
        <v>2</v>
      </c>
      <c r="AK33" s="364" t="s">
        <v>2</v>
      </c>
      <c r="AL33" s="369" t="s">
        <v>2</v>
      </c>
      <c r="AM33" s="306"/>
      <c r="AN33" s="76"/>
      <c r="AO33" s="77"/>
      <c r="AP33" s="78"/>
      <c r="AQ33" s="79"/>
      <c r="AR33" s="231" t="s">
        <v>842</v>
      </c>
      <c r="AS33" s="192" t="s">
        <v>843</v>
      </c>
      <c r="AT33" s="82">
        <v>7</v>
      </c>
      <c r="AU33" s="191" t="s">
        <v>844</v>
      </c>
      <c r="AV33" s="80"/>
      <c r="AW33" s="192"/>
      <c r="AX33" s="84"/>
      <c r="AY33" s="85"/>
      <c r="AZ33" s="80"/>
      <c r="BA33" s="192"/>
      <c r="BB33" s="84"/>
      <c r="BC33" s="85"/>
      <c r="BD33" s="76"/>
      <c r="BE33" s="119"/>
      <c r="BF33" s="78"/>
      <c r="BG33" s="87"/>
      <c r="BH33" s="76"/>
      <c r="BI33" s="91"/>
      <c r="BJ33" s="78"/>
      <c r="BK33" s="87"/>
    </row>
    <row r="34" spans="1:63" s="305" customFormat="1" ht="54" hidden="1" customHeight="1" x14ac:dyDescent="0.3">
      <c r="A34" s="359" t="s">
        <v>196</v>
      </c>
      <c r="B34" s="497">
        <v>16</v>
      </c>
      <c r="C34" s="360" t="s">
        <v>344</v>
      </c>
      <c r="D34" s="361" t="s">
        <v>345</v>
      </c>
      <c r="E34" s="367" t="s">
        <v>24</v>
      </c>
      <c r="F34" s="365" t="s">
        <v>28</v>
      </c>
      <c r="G34" s="366" t="s">
        <v>126</v>
      </c>
      <c r="H34" s="365" t="s">
        <v>51</v>
      </c>
      <c r="I34" s="366" t="s">
        <v>155</v>
      </c>
      <c r="J34" s="427"/>
      <c r="K34" s="427"/>
      <c r="L34" s="427"/>
      <c r="M34" s="427"/>
      <c r="N34" s="427"/>
      <c r="O34" s="427"/>
      <c r="P34" s="364" t="s">
        <v>825</v>
      </c>
      <c r="Q34" s="361" t="s">
        <v>825</v>
      </c>
      <c r="R34" s="370" t="s">
        <v>409</v>
      </c>
      <c r="S34" s="395" t="s">
        <v>201</v>
      </c>
      <c r="T34" s="361" t="s">
        <v>202</v>
      </c>
      <c r="U34" s="364" t="s">
        <v>338</v>
      </c>
      <c r="V34" s="364" t="s">
        <v>699</v>
      </c>
      <c r="W34" s="396" t="s">
        <v>493</v>
      </c>
      <c r="X34" s="366" t="s">
        <v>494</v>
      </c>
      <c r="Y34" s="395" t="s">
        <v>10</v>
      </c>
      <c r="Z34" s="395" t="s">
        <v>2</v>
      </c>
      <c r="AA34" s="414" t="s">
        <v>2</v>
      </c>
      <c r="AB34" s="480">
        <v>5</v>
      </c>
      <c r="AC34" s="395" t="s">
        <v>2</v>
      </c>
      <c r="AD34" s="490">
        <v>40</v>
      </c>
      <c r="AE34" s="364" t="s">
        <v>2</v>
      </c>
      <c r="AF34" s="364" t="s">
        <v>985</v>
      </c>
      <c r="AG34" s="397" t="s">
        <v>1114</v>
      </c>
      <c r="AH34" s="364" t="s">
        <v>825</v>
      </c>
      <c r="AI34" s="364" t="s">
        <v>341</v>
      </c>
      <c r="AJ34" s="364" t="s">
        <v>2</v>
      </c>
      <c r="AK34" s="364" t="s">
        <v>2</v>
      </c>
      <c r="AL34" s="369" t="s">
        <v>2</v>
      </c>
      <c r="AM34" s="306"/>
      <c r="AN34" s="76" t="s">
        <v>621</v>
      </c>
      <c r="AO34" s="77" t="s">
        <v>622</v>
      </c>
      <c r="AP34" s="78">
        <v>7</v>
      </c>
      <c r="AQ34" s="191" t="s">
        <v>845</v>
      </c>
      <c r="AR34" s="231" t="s">
        <v>842</v>
      </c>
      <c r="AS34" s="192" t="s">
        <v>843</v>
      </c>
      <c r="AT34" s="82">
        <v>7</v>
      </c>
      <c r="AU34" s="191" t="s">
        <v>844</v>
      </c>
      <c r="AV34" s="80"/>
      <c r="AW34" s="192"/>
      <c r="AX34" s="84"/>
      <c r="AY34" s="85"/>
      <c r="AZ34" s="80"/>
      <c r="BA34" s="192"/>
      <c r="BB34" s="84"/>
      <c r="BC34" s="85"/>
      <c r="BD34" s="76"/>
      <c r="BE34" s="119"/>
      <c r="BF34" s="78"/>
      <c r="BG34" s="87"/>
      <c r="BH34" s="76"/>
      <c r="BI34" s="91"/>
      <c r="BJ34" s="78"/>
      <c r="BK34" s="87"/>
    </row>
    <row r="35" spans="1:63" s="305" customFormat="1" ht="54" hidden="1" customHeight="1" x14ac:dyDescent="0.3">
      <c r="A35" s="359" t="s">
        <v>196</v>
      </c>
      <c r="B35" s="497">
        <v>17</v>
      </c>
      <c r="C35" s="360" t="s">
        <v>344</v>
      </c>
      <c r="D35" s="361" t="s">
        <v>345</v>
      </c>
      <c r="E35" s="367" t="s">
        <v>79</v>
      </c>
      <c r="F35" s="365" t="s">
        <v>83</v>
      </c>
      <c r="G35" s="366" t="s">
        <v>127</v>
      </c>
      <c r="H35" s="365" t="s">
        <v>83</v>
      </c>
      <c r="I35" s="366" t="s">
        <v>127</v>
      </c>
      <c r="J35" s="427"/>
      <c r="K35" s="427"/>
      <c r="L35" s="427"/>
      <c r="M35" s="427"/>
      <c r="N35" s="427"/>
      <c r="O35" s="427"/>
      <c r="P35" s="364" t="s">
        <v>825</v>
      </c>
      <c r="Q35" s="361" t="s">
        <v>825</v>
      </c>
      <c r="R35" s="370" t="s">
        <v>410</v>
      </c>
      <c r="S35" s="367" t="s">
        <v>227</v>
      </c>
      <c r="T35" s="361" t="s">
        <v>228</v>
      </c>
      <c r="U35" s="364" t="s">
        <v>525</v>
      </c>
      <c r="V35" s="364" t="s">
        <v>703</v>
      </c>
      <c r="W35" s="396" t="s">
        <v>2</v>
      </c>
      <c r="X35" s="366" t="s">
        <v>2</v>
      </c>
      <c r="Y35" s="395" t="s">
        <v>9</v>
      </c>
      <c r="Z35" s="395" t="s">
        <v>2</v>
      </c>
      <c r="AA35" s="414" t="s">
        <v>2</v>
      </c>
      <c r="AB35" s="480">
        <v>1</v>
      </c>
      <c r="AC35" s="395" t="s">
        <v>2</v>
      </c>
      <c r="AD35" s="490">
        <v>40</v>
      </c>
      <c r="AE35" s="364" t="s">
        <v>2</v>
      </c>
      <c r="AF35" s="364" t="s">
        <v>2</v>
      </c>
      <c r="AG35" s="367" t="s">
        <v>994</v>
      </c>
      <c r="AH35" s="364" t="s">
        <v>825</v>
      </c>
      <c r="AI35" s="364" t="s">
        <v>341</v>
      </c>
      <c r="AJ35" s="364" t="s">
        <v>2</v>
      </c>
      <c r="AK35" s="364" t="s">
        <v>2</v>
      </c>
      <c r="AL35" s="369" t="s">
        <v>2</v>
      </c>
      <c r="AM35" s="306"/>
      <c r="AN35" s="76"/>
      <c r="AO35" s="77"/>
      <c r="AP35" s="78"/>
      <c r="AQ35" s="79"/>
      <c r="AR35" s="231" t="s">
        <v>842</v>
      </c>
      <c r="AS35" s="192" t="s">
        <v>843</v>
      </c>
      <c r="AT35" s="82">
        <v>7</v>
      </c>
      <c r="AU35" s="191" t="s">
        <v>844</v>
      </c>
      <c r="AV35" s="80"/>
      <c r="AW35" s="192"/>
      <c r="AX35" s="84"/>
      <c r="AY35" s="85"/>
      <c r="AZ35" s="80"/>
      <c r="BA35" s="192"/>
      <c r="BB35" s="84"/>
      <c r="BC35" s="85"/>
      <c r="BD35" s="76"/>
      <c r="BE35" s="119"/>
      <c r="BF35" s="78"/>
      <c r="BG35" s="87"/>
      <c r="BH35" s="76"/>
      <c r="BI35" s="91"/>
      <c r="BJ35" s="78"/>
      <c r="BK35" s="87"/>
    </row>
    <row r="36" spans="1:63" s="305" customFormat="1" ht="54" hidden="1" customHeight="1" x14ac:dyDescent="0.3">
      <c r="A36" s="359" t="s">
        <v>196</v>
      </c>
      <c r="B36" s="497">
        <v>18</v>
      </c>
      <c r="C36" s="360" t="s">
        <v>344</v>
      </c>
      <c r="D36" s="361" t="s">
        <v>345</v>
      </c>
      <c r="E36" s="367" t="s">
        <v>84</v>
      </c>
      <c r="F36" s="415" t="s">
        <v>1025</v>
      </c>
      <c r="G36" s="416" t="s">
        <v>1026</v>
      </c>
      <c r="H36" s="415" t="s">
        <v>1027</v>
      </c>
      <c r="I36" s="416" t="s">
        <v>1028</v>
      </c>
      <c r="J36" s="516"/>
      <c r="K36" s="516"/>
      <c r="L36" s="516"/>
      <c r="M36" s="516"/>
      <c r="N36" s="516"/>
      <c r="O36" s="516"/>
      <c r="P36" s="364" t="s">
        <v>825</v>
      </c>
      <c r="Q36" s="361" t="s">
        <v>825</v>
      </c>
      <c r="R36" s="370" t="s">
        <v>411</v>
      </c>
      <c r="S36" s="397" t="s">
        <v>826</v>
      </c>
      <c r="T36" s="417" t="s">
        <v>827</v>
      </c>
      <c r="U36" s="364" t="s">
        <v>2</v>
      </c>
      <c r="V36" s="364" t="s">
        <v>2</v>
      </c>
      <c r="W36" s="415" t="s">
        <v>1029</v>
      </c>
      <c r="X36" s="416" t="s">
        <v>1030</v>
      </c>
      <c r="Y36" s="395" t="s">
        <v>9</v>
      </c>
      <c r="Z36" s="395" t="s">
        <v>2</v>
      </c>
      <c r="AA36" s="414" t="s">
        <v>2</v>
      </c>
      <c r="AB36" s="480">
        <v>12</v>
      </c>
      <c r="AC36" s="395" t="s">
        <v>2</v>
      </c>
      <c r="AD36" s="490">
        <v>40</v>
      </c>
      <c r="AE36" s="364" t="s">
        <v>2</v>
      </c>
      <c r="AF36" s="364" t="s">
        <v>985</v>
      </c>
      <c r="AG36" s="397" t="s">
        <v>1114</v>
      </c>
      <c r="AH36" s="364" t="s">
        <v>825</v>
      </c>
      <c r="AI36" s="364" t="s">
        <v>341</v>
      </c>
      <c r="AJ36" s="364" t="s">
        <v>2</v>
      </c>
      <c r="AK36" s="364" t="s">
        <v>2</v>
      </c>
      <c r="AL36" s="369" t="s">
        <v>2</v>
      </c>
      <c r="AM36" s="306"/>
      <c r="AN36" s="258" t="s">
        <v>1118</v>
      </c>
      <c r="AO36" s="259" t="s">
        <v>1119</v>
      </c>
      <c r="AP36" s="248">
        <v>7</v>
      </c>
      <c r="AQ36" s="260" t="s">
        <v>1050</v>
      </c>
      <c r="AR36" s="232"/>
      <c r="AS36" s="89"/>
      <c r="AT36" s="90"/>
      <c r="AU36" s="83"/>
      <c r="AV36" s="80" t="s">
        <v>881</v>
      </c>
      <c r="AW36" s="192" t="s">
        <v>882</v>
      </c>
      <c r="AX36" s="84">
        <v>6</v>
      </c>
      <c r="AY36" s="85" t="s">
        <v>883</v>
      </c>
      <c r="AZ36" s="80"/>
      <c r="BA36" s="192"/>
      <c r="BB36" s="84"/>
      <c r="BC36" s="85"/>
      <c r="BD36" s="76"/>
      <c r="BE36" s="119"/>
      <c r="BF36" s="78"/>
      <c r="BG36" s="87"/>
      <c r="BH36" s="76"/>
      <c r="BI36" s="91"/>
      <c r="BJ36" s="78"/>
      <c r="BK36" s="87"/>
    </row>
    <row r="37" spans="1:63" s="305" customFormat="1" ht="54" hidden="1" customHeight="1" x14ac:dyDescent="0.3">
      <c r="A37" s="359" t="s">
        <v>196</v>
      </c>
      <c r="B37" s="497">
        <v>19</v>
      </c>
      <c r="C37" s="360" t="s">
        <v>344</v>
      </c>
      <c r="D37" s="361" t="s">
        <v>345</v>
      </c>
      <c r="E37" s="367" t="s">
        <v>85</v>
      </c>
      <c r="F37" s="365" t="s">
        <v>80</v>
      </c>
      <c r="G37" s="366" t="s">
        <v>128</v>
      </c>
      <c r="H37" s="365" t="s">
        <v>682</v>
      </c>
      <c r="I37" s="366" t="s">
        <v>704</v>
      </c>
      <c r="J37" s="427"/>
      <c r="K37" s="427"/>
      <c r="L37" s="427"/>
      <c r="M37" s="427"/>
      <c r="N37" s="427"/>
      <c r="O37" s="427"/>
      <c r="P37" s="364" t="s">
        <v>825</v>
      </c>
      <c r="Q37" s="361" t="s">
        <v>825</v>
      </c>
      <c r="R37" s="370" t="s">
        <v>412</v>
      </c>
      <c r="S37" s="395" t="s">
        <v>227</v>
      </c>
      <c r="T37" s="361" t="s">
        <v>228</v>
      </c>
      <c r="U37" s="364" t="s">
        <v>2</v>
      </c>
      <c r="V37" s="364" t="s">
        <v>2</v>
      </c>
      <c r="W37" s="396" t="s">
        <v>94</v>
      </c>
      <c r="X37" s="366" t="s">
        <v>704</v>
      </c>
      <c r="Y37" s="395" t="s">
        <v>9</v>
      </c>
      <c r="Z37" s="395" t="s">
        <v>2</v>
      </c>
      <c r="AA37" s="414" t="s">
        <v>2</v>
      </c>
      <c r="AB37" s="480">
        <v>8</v>
      </c>
      <c r="AC37" s="395" t="s">
        <v>2</v>
      </c>
      <c r="AD37" s="490">
        <v>40</v>
      </c>
      <c r="AE37" s="364" t="s">
        <v>2</v>
      </c>
      <c r="AF37" s="364" t="s">
        <v>2</v>
      </c>
      <c r="AG37" s="367" t="s">
        <v>994</v>
      </c>
      <c r="AH37" s="364" t="s">
        <v>825</v>
      </c>
      <c r="AI37" s="364" t="s">
        <v>341</v>
      </c>
      <c r="AJ37" s="364" t="s">
        <v>2</v>
      </c>
      <c r="AK37" s="364" t="s">
        <v>2</v>
      </c>
      <c r="AL37" s="369" t="s">
        <v>2</v>
      </c>
      <c r="AM37" s="306"/>
      <c r="AN37" s="76"/>
      <c r="AO37" s="77"/>
      <c r="AP37" s="78"/>
      <c r="AQ37" s="79"/>
      <c r="AR37" s="232"/>
      <c r="AS37" s="89"/>
      <c r="AT37" s="90"/>
      <c r="AU37" s="83"/>
      <c r="AV37" s="80"/>
      <c r="AW37" s="192"/>
      <c r="AX37" s="84"/>
      <c r="AY37" s="85"/>
      <c r="AZ37" s="80"/>
      <c r="BA37" s="192"/>
      <c r="BB37" s="84"/>
      <c r="BC37" s="85"/>
      <c r="BD37" s="76"/>
      <c r="BE37" s="119"/>
      <c r="BF37" s="78"/>
      <c r="BG37" s="87"/>
      <c r="BH37" s="76"/>
      <c r="BI37" s="91"/>
      <c r="BJ37" s="78"/>
      <c r="BK37" s="87"/>
    </row>
    <row r="38" spans="1:63" s="127" customFormat="1" ht="54" hidden="1" customHeight="1" x14ac:dyDescent="0.3">
      <c r="A38" s="402" t="s">
        <v>196</v>
      </c>
      <c r="B38" s="500">
        <v>20</v>
      </c>
      <c r="C38" s="403" t="s">
        <v>344</v>
      </c>
      <c r="D38" s="403" t="s">
        <v>345</v>
      </c>
      <c r="E38" s="405" t="s">
        <v>108</v>
      </c>
      <c r="F38" s="404" t="s">
        <v>86</v>
      </c>
      <c r="G38" s="404" t="s">
        <v>121</v>
      </c>
      <c r="H38" s="404" t="s">
        <v>86</v>
      </c>
      <c r="I38" s="404" t="s">
        <v>121</v>
      </c>
      <c r="J38" s="515"/>
      <c r="K38" s="515"/>
      <c r="L38" s="515"/>
      <c r="M38" s="515"/>
      <c r="N38" s="515"/>
      <c r="O38" s="515"/>
      <c r="P38" s="403" t="s">
        <v>2</v>
      </c>
      <c r="Q38" s="403" t="s">
        <v>2</v>
      </c>
      <c r="R38" s="510" t="s">
        <v>413</v>
      </c>
      <c r="S38" s="405" t="s">
        <v>2</v>
      </c>
      <c r="T38" s="403" t="s">
        <v>2</v>
      </c>
      <c r="U38" s="403" t="s">
        <v>2</v>
      </c>
      <c r="V38" s="403" t="s">
        <v>2</v>
      </c>
      <c r="W38" s="406" t="s">
        <v>2</v>
      </c>
      <c r="X38" s="406" t="s">
        <v>2</v>
      </c>
      <c r="Y38" s="405" t="s">
        <v>9</v>
      </c>
      <c r="Z38" s="405" t="s">
        <v>2</v>
      </c>
      <c r="AA38" s="405" t="s">
        <v>2</v>
      </c>
      <c r="AB38" s="481">
        <v>30</v>
      </c>
      <c r="AC38" s="405" t="s">
        <v>2</v>
      </c>
      <c r="AD38" s="491">
        <v>40</v>
      </c>
      <c r="AE38" s="491">
        <v>41</v>
      </c>
      <c r="AF38" s="403" t="s">
        <v>2</v>
      </c>
      <c r="AG38" s="403" t="s">
        <v>2</v>
      </c>
      <c r="AH38" s="403" t="s">
        <v>2</v>
      </c>
      <c r="AI38" s="403" t="s">
        <v>341</v>
      </c>
      <c r="AJ38" s="403" t="s">
        <v>2</v>
      </c>
      <c r="AK38" s="403" t="s">
        <v>2</v>
      </c>
      <c r="AL38" s="408" t="s">
        <v>2</v>
      </c>
      <c r="AM38" s="115"/>
      <c r="AN38" s="116"/>
      <c r="AO38" s="119"/>
      <c r="AP38" s="119"/>
      <c r="AQ38" s="118"/>
      <c r="AR38" s="233"/>
      <c r="AS38" s="119"/>
      <c r="AT38" s="120"/>
      <c r="AU38" s="121"/>
      <c r="AV38" s="122"/>
      <c r="AW38" s="192"/>
      <c r="AX38" s="123"/>
      <c r="AY38" s="124"/>
      <c r="AZ38" s="122"/>
      <c r="BA38" s="192"/>
      <c r="BB38" s="123"/>
      <c r="BC38" s="147"/>
      <c r="BD38" s="125"/>
      <c r="BE38" s="119"/>
      <c r="BF38" s="117"/>
      <c r="BG38" s="126"/>
      <c r="BH38" s="125"/>
      <c r="BI38" s="91"/>
      <c r="BJ38" s="117"/>
      <c r="BK38" s="126"/>
    </row>
    <row r="39" spans="1:63" s="305" customFormat="1" ht="54" hidden="1" customHeight="1" x14ac:dyDescent="0.3">
      <c r="A39" s="359" t="s">
        <v>196</v>
      </c>
      <c r="B39" s="497">
        <v>21</v>
      </c>
      <c r="C39" s="360" t="s">
        <v>346</v>
      </c>
      <c r="D39" s="361" t="s">
        <v>347</v>
      </c>
      <c r="E39" s="367" t="s">
        <v>63</v>
      </c>
      <c r="F39" s="365" t="s">
        <v>74</v>
      </c>
      <c r="G39" s="366" t="s">
        <v>129</v>
      </c>
      <c r="H39" s="401" t="s">
        <v>743</v>
      </c>
      <c r="I39" s="366" t="s">
        <v>744</v>
      </c>
      <c r="J39" s="427"/>
      <c r="K39" s="427"/>
      <c r="L39" s="427"/>
      <c r="M39" s="427"/>
      <c r="N39" s="427"/>
      <c r="O39" s="427"/>
      <c r="P39" s="364" t="s">
        <v>825</v>
      </c>
      <c r="Q39" s="361" t="s">
        <v>825</v>
      </c>
      <c r="R39" s="370" t="s">
        <v>414</v>
      </c>
      <c r="S39" s="367" t="s">
        <v>201</v>
      </c>
      <c r="T39" s="361" t="s">
        <v>202</v>
      </c>
      <c r="U39" s="364" t="s">
        <v>495</v>
      </c>
      <c r="V39" s="364" t="s">
        <v>705</v>
      </c>
      <c r="W39" s="418" t="s">
        <v>898</v>
      </c>
      <c r="X39" s="366" t="s">
        <v>899</v>
      </c>
      <c r="Y39" s="395" t="s">
        <v>9</v>
      </c>
      <c r="Z39" s="395" t="s">
        <v>2</v>
      </c>
      <c r="AA39" s="414" t="s">
        <v>2</v>
      </c>
      <c r="AB39" s="480">
        <v>7</v>
      </c>
      <c r="AC39" s="395" t="s">
        <v>2</v>
      </c>
      <c r="AD39" s="490">
        <v>40</v>
      </c>
      <c r="AE39" s="364" t="s">
        <v>2</v>
      </c>
      <c r="AF39" s="364" t="s">
        <v>2</v>
      </c>
      <c r="AG39" s="367" t="s">
        <v>1115</v>
      </c>
      <c r="AH39" s="364" t="s">
        <v>825</v>
      </c>
      <c r="AI39" s="364" t="s">
        <v>341</v>
      </c>
      <c r="AJ39" s="364" t="s">
        <v>2</v>
      </c>
      <c r="AK39" s="364" t="s">
        <v>2</v>
      </c>
      <c r="AL39" s="369" t="s">
        <v>2</v>
      </c>
      <c r="AM39" s="306"/>
      <c r="AN39" s="76" t="s">
        <v>621</v>
      </c>
      <c r="AO39" s="77" t="s">
        <v>622</v>
      </c>
      <c r="AP39" s="78">
        <v>7</v>
      </c>
      <c r="AQ39" s="79" t="s">
        <v>845</v>
      </c>
      <c r="AR39" s="231" t="s">
        <v>842</v>
      </c>
      <c r="AS39" s="192" t="s">
        <v>843</v>
      </c>
      <c r="AT39" s="48">
        <v>7</v>
      </c>
      <c r="AU39" s="191" t="s">
        <v>844</v>
      </c>
      <c r="AV39" s="80" t="s">
        <v>894</v>
      </c>
      <c r="AW39" s="192" t="s">
        <v>895</v>
      </c>
      <c r="AX39" s="84">
        <v>7</v>
      </c>
      <c r="AY39" s="85" t="s">
        <v>953</v>
      </c>
      <c r="AZ39" s="80"/>
      <c r="BA39" s="192"/>
      <c r="BB39" s="84"/>
      <c r="BC39" s="85"/>
      <c r="BD39" s="76"/>
      <c r="BE39" s="119"/>
      <c r="BF39" s="78"/>
      <c r="BG39" s="87"/>
      <c r="BH39" s="76"/>
      <c r="BI39" s="91"/>
      <c r="BJ39" s="78"/>
      <c r="BK39" s="87"/>
    </row>
    <row r="40" spans="1:63" s="305" customFormat="1" ht="54" hidden="1" customHeight="1" x14ac:dyDescent="0.3">
      <c r="A40" s="359" t="s">
        <v>196</v>
      </c>
      <c r="B40" s="497">
        <v>22</v>
      </c>
      <c r="C40" s="360" t="s">
        <v>346</v>
      </c>
      <c r="D40" s="361" t="s">
        <v>347</v>
      </c>
      <c r="E40" s="367" t="s">
        <v>99</v>
      </c>
      <c r="F40" s="365" t="s">
        <v>735</v>
      </c>
      <c r="G40" s="366" t="s">
        <v>734</v>
      </c>
      <c r="H40" s="401" t="s">
        <v>736</v>
      </c>
      <c r="I40" s="366" t="s">
        <v>737</v>
      </c>
      <c r="J40" s="427"/>
      <c r="K40" s="427"/>
      <c r="L40" s="427"/>
      <c r="M40" s="427"/>
      <c r="N40" s="427"/>
      <c r="O40" s="427"/>
      <c r="P40" s="364" t="s">
        <v>825</v>
      </c>
      <c r="Q40" s="361" t="s">
        <v>825</v>
      </c>
      <c r="R40" s="370" t="s">
        <v>415</v>
      </c>
      <c r="S40" s="395" t="s">
        <v>201</v>
      </c>
      <c r="T40" s="361" t="s">
        <v>202</v>
      </c>
      <c r="U40" s="364" t="s">
        <v>497</v>
      </c>
      <c r="V40" s="364" t="s">
        <v>706</v>
      </c>
      <c r="W40" s="418" t="s">
        <v>2</v>
      </c>
      <c r="X40" s="419" t="s">
        <v>2</v>
      </c>
      <c r="Y40" s="395" t="s">
        <v>9</v>
      </c>
      <c r="Z40" s="395" t="s">
        <v>2</v>
      </c>
      <c r="AA40" s="414" t="s">
        <v>2</v>
      </c>
      <c r="AB40" s="480">
        <v>2</v>
      </c>
      <c r="AC40" s="395" t="s">
        <v>2</v>
      </c>
      <c r="AD40" s="490">
        <v>40</v>
      </c>
      <c r="AE40" s="364" t="s">
        <v>2</v>
      </c>
      <c r="AF40" s="364" t="s">
        <v>2</v>
      </c>
      <c r="AG40" s="367" t="s">
        <v>994</v>
      </c>
      <c r="AH40" s="364" t="s">
        <v>825</v>
      </c>
      <c r="AI40" s="364" t="s">
        <v>341</v>
      </c>
      <c r="AJ40" s="364" t="s">
        <v>2</v>
      </c>
      <c r="AK40" s="364" t="s">
        <v>2</v>
      </c>
      <c r="AL40" s="369" t="s">
        <v>2</v>
      </c>
      <c r="AM40" s="306"/>
      <c r="AN40" s="76" t="s">
        <v>621</v>
      </c>
      <c r="AO40" s="77" t="s">
        <v>622</v>
      </c>
      <c r="AP40" s="78">
        <v>7</v>
      </c>
      <c r="AQ40" s="191" t="s">
        <v>845</v>
      </c>
      <c r="AR40" s="231" t="s">
        <v>842</v>
      </c>
      <c r="AS40" s="192" t="s">
        <v>843</v>
      </c>
      <c r="AT40" s="82">
        <v>7</v>
      </c>
      <c r="AU40" s="191" t="s">
        <v>844</v>
      </c>
      <c r="AV40" s="80" t="s">
        <v>888</v>
      </c>
      <c r="AW40" s="192" t="s">
        <v>889</v>
      </c>
      <c r="AX40" s="84">
        <v>7</v>
      </c>
      <c r="AY40" s="85" t="s">
        <v>955</v>
      </c>
      <c r="AZ40" s="80"/>
      <c r="BA40" s="192"/>
      <c r="BB40" s="84"/>
      <c r="BC40" s="85"/>
      <c r="BD40" s="76"/>
      <c r="BE40" s="119"/>
      <c r="BF40" s="78"/>
      <c r="BG40" s="87"/>
      <c r="BH40" s="76"/>
      <c r="BI40" s="91"/>
      <c r="BJ40" s="78"/>
      <c r="BK40" s="87"/>
    </row>
    <row r="41" spans="1:63" s="127" customFormat="1" ht="54" hidden="1" customHeight="1" x14ac:dyDescent="0.3">
      <c r="A41" s="402" t="s">
        <v>196</v>
      </c>
      <c r="B41" s="500">
        <v>23</v>
      </c>
      <c r="C41" s="403" t="s">
        <v>346</v>
      </c>
      <c r="D41" s="403" t="s">
        <v>347</v>
      </c>
      <c r="E41" s="407" t="s">
        <v>110</v>
      </c>
      <c r="F41" s="404" t="s">
        <v>86</v>
      </c>
      <c r="G41" s="404" t="s">
        <v>121</v>
      </c>
      <c r="H41" s="404" t="s">
        <v>86</v>
      </c>
      <c r="I41" s="404" t="s">
        <v>121</v>
      </c>
      <c r="J41" s="515"/>
      <c r="K41" s="515"/>
      <c r="L41" s="515"/>
      <c r="M41" s="515"/>
      <c r="N41" s="515"/>
      <c r="O41" s="515"/>
      <c r="P41" s="403" t="s">
        <v>2</v>
      </c>
      <c r="Q41" s="403" t="s">
        <v>2</v>
      </c>
      <c r="R41" s="510" t="s">
        <v>416</v>
      </c>
      <c r="S41" s="405" t="s">
        <v>2</v>
      </c>
      <c r="T41" s="403" t="s">
        <v>2</v>
      </c>
      <c r="U41" s="403" t="s">
        <v>2</v>
      </c>
      <c r="V41" s="403" t="s">
        <v>2</v>
      </c>
      <c r="W41" s="406" t="s">
        <v>2</v>
      </c>
      <c r="X41" s="406" t="s">
        <v>2</v>
      </c>
      <c r="Y41" s="405" t="s">
        <v>9</v>
      </c>
      <c r="Z41" s="405" t="s">
        <v>2</v>
      </c>
      <c r="AA41" s="405" t="s">
        <v>2</v>
      </c>
      <c r="AB41" s="481">
        <v>5</v>
      </c>
      <c r="AC41" s="405" t="s">
        <v>2</v>
      </c>
      <c r="AD41" s="491">
        <v>40</v>
      </c>
      <c r="AE41" s="491">
        <v>41</v>
      </c>
      <c r="AF41" s="403" t="s">
        <v>2</v>
      </c>
      <c r="AG41" s="403" t="s">
        <v>2</v>
      </c>
      <c r="AH41" s="403" t="s">
        <v>2</v>
      </c>
      <c r="AI41" s="403" t="s">
        <v>341</v>
      </c>
      <c r="AJ41" s="403" t="s">
        <v>2</v>
      </c>
      <c r="AK41" s="403" t="s">
        <v>2</v>
      </c>
      <c r="AL41" s="408" t="s">
        <v>2</v>
      </c>
      <c r="AM41" s="115"/>
      <c r="AN41" s="116"/>
      <c r="AO41" s="119"/>
      <c r="AP41" s="117"/>
      <c r="AQ41" s="118"/>
      <c r="AR41" s="233"/>
      <c r="AS41" s="119"/>
      <c r="AT41" s="120"/>
      <c r="AU41" s="121"/>
      <c r="AV41" s="122"/>
      <c r="AW41" s="192"/>
      <c r="AX41" s="123"/>
      <c r="AY41" s="124"/>
      <c r="AZ41" s="122"/>
      <c r="BA41" s="192"/>
      <c r="BB41" s="123"/>
      <c r="BC41" s="147"/>
      <c r="BD41" s="125"/>
      <c r="BE41" s="119"/>
      <c r="BF41" s="117"/>
      <c r="BG41" s="126"/>
      <c r="BH41" s="125"/>
      <c r="BI41" s="91"/>
      <c r="BJ41" s="117"/>
      <c r="BK41" s="126"/>
    </row>
    <row r="42" spans="1:63" s="305" customFormat="1" ht="54" hidden="1" customHeight="1" x14ac:dyDescent="0.3">
      <c r="A42" s="359" t="s">
        <v>196</v>
      </c>
      <c r="B42" s="497">
        <v>24</v>
      </c>
      <c r="C42" s="360" t="s">
        <v>346</v>
      </c>
      <c r="D42" s="361" t="s">
        <v>347</v>
      </c>
      <c r="E42" s="367" t="s">
        <v>25</v>
      </c>
      <c r="F42" s="365" t="s">
        <v>12</v>
      </c>
      <c r="G42" s="366" t="s">
        <v>130</v>
      </c>
      <c r="H42" s="401" t="s">
        <v>745</v>
      </c>
      <c r="I42" s="366" t="s">
        <v>746</v>
      </c>
      <c r="J42" s="427"/>
      <c r="K42" s="427"/>
      <c r="L42" s="427"/>
      <c r="M42" s="427"/>
      <c r="N42" s="427"/>
      <c r="O42" s="427"/>
      <c r="P42" s="364" t="s">
        <v>825</v>
      </c>
      <c r="Q42" s="361" t="s">
        <v>825</v>
      </c>
      <c r="R42" s="370" t="s">
        <v>417</v>
      </c>
      <c r="S42" s="395" t="s">
        <v>201</v>
      </c>
      <c r="T42" s="361" t="s">
        <v>202</v>
      </c>
      <c r="U42" s="364" t="s">
        <v>496</v>
      </c>
      <c r="V42" s="364" t="s">
        <v>707</v>
      </c>
      <c r="W42" s="418" t="s">
        <v>2</v>
      </c>
      <c r="X42" s="366" t="s">
        <v>2</v>
      </c>
      <c r="Y42" s="395" t="s">
        <v>9</v>
      </c>
      <c r="Z42" s="395" t="s">
        <v>2</v>
      </c>
      <c r="AA42" s="414" t="s">
        <v>2</v>
      </c>
      <c r="AB42" s="480">
        <v>12</v>
      </c>
      <c r="AC42" s="395" t="s">
        <v>2</v>
      </c>
      <c r="AD42" s="490">
        <v>40</v>
      </c>
      <c r="AE42" s="364" t="s">
        <v>2</v>
      </c>
      <c r="AF42" s="364" t="s">
        <v>2</v>
      </c>
      <c r="AG42" s="367" t="s">
        <v>1115</v>
      </c>
      <c r="AH42" s="364" t="s">
        <v>825</v>
      </c>
      <c r="AI42" s="364" t="s">
        <v>341</v>
      </c>
      <c r="AJ42" s="364" t="s">
        <v>2</v>
      </c>
      <c r="AK42" s="364" t="s">
        <v>2</v>
      </c>
      <c r="AL42" s="369" t="s">
        <v>2</v>
      </c>
      <c r="AM42" s="306"/>
      <c r="AN42" s="76" t="s">
        <v>621</v>
      </c>
      <c r="AO42" s="77" t="s">
        <v>622</v>
      </c>
      <c r="AP42" s="78">
        <v>7</v>
      </c>
      <c r="AQ42" s="191" t="s">
        <v>845</v>
      </c>
      <c r="AR42" s="231" t="s">
        <v>842</v>
      </c>
      <c r="AS42" s="192" t="s">
        <v>843</v>
      </c>
      <c r="AT42" s="82">
        <v>7</v>
      </c>
      <c r="AU42" s="191" t="s">
        <v>844</v>
      </c>
      <c r="AV42" s="80" t="s">
        <v>983</v>
      </c>
      <c r="AW42" s="192" t="s">
        <v>984</v>
      </c>
      <c r="AX42" s="84" t="s">
        <v>931</v>
      </c>
      <c r="AY42" s="85" t="s">
        <v>954</v>
      </c>
      <c r="AZ42" s="80" t="s">
        <v>624</v>
      </c>
      <c r="BA42" s="192" t="s">
        <v>708</v>
      </c>
      <c r="BB42" s="84">
        <v>7</v>
      </c>
      <c r="BC42" s="85" t="s">
        <v>965</v>
      </c>
      <c r="BD42" s="76"/>
      <c r="BE42" s="119"/>
      <c r="BF42" s="78"/>
      <c r="BG42" s="87"/>
      <c r="BH42" s="34" t="s">
        <v>729</v>
      </c>
      <c r="BI42" s="91" t="s">
        <v>731</v>
      </c>
      <c r="BJ42" s="78">
        <v>6</v>
      </c>
      <c r="BK42" s="92" t="s">
        <v>730</v>
      </c>
    </row>
    <row r="43" spans="1:63" s="305" customFormat="1" ht="54" hidden="1" customHeight="1" x14ac:dyDescent="0.3">
      <c r="A43" s="359" t="s">
        <v>196</v>
      </c>
      <c r="B43" s="497">
        <v>25</v>
      </c>
      <c r="C43" s="360" t="s">
        <v>346</v>
      </c>
      <c r="D43" s="361" t="s">
        <v>347</v>
      </c>
      <c r="E43" s="367" t="s">
        <v>64</v>
      </c>
      <c r="F43" s="365" t="s">
        <v>972</v>
      </c>
      <c r="G43" s="366" t="s">
        <v>973</v>
      </c>
      <c r="H43" s="365" t="s">
        <v>50</v>
      </c>
      <c r="I43" s="366" t="s">
        <v>173</v>
      </c>
      <c r="J43" s="427"/>
      <c r="K43" s="427"/>
      <c r="L43" s="427"/>
      <c r="M43" s="427"/>
      <c r="N43" s="427"/>
      <c r="O43" s="427"/>
      <c r="P43" s="364" t="s">
        <v>825</v>
      </c>
      <c r="Q43" s="361" t="s">
        <v>825</v>
      </c>
      <c r="R43" s="370" t="s">
        <v>418</v>
      </c>
      <c r="S43" s="395" t="s">
        <v>201</v>
      </c>
      <c r="T43" s="361" t="s">
        <v>202</v>
      </c>
      <c r="U43" s="364" t="s">
        <v>498</v>
      </c>
      <c r="V43" s="364" t="s">
        <v>709</v>
      </c>
      <c r="W43" s="396" t="s">
        <v>765</v>
      </c>
      <c r="X43" s="366" t="s">
        <v>773</v>
      </c>
      <c r="Y43" s="395" t="s">
        <v>9</v>
      </c>
      <c r="Z43" s="395" t="s">
        <v>2</v>
      </c>
      <c r="AA43" s="414" t="s">
        <v>2</v>
      </c>
      <c r="AB43" s="480">
        <v>3</v>
      </c>
      <c r="AC43" s="395" t="s">
        <v>2</v>
      </c>
      <c r="AD43" s="490">
        <v>40</v>
      </c>
      <c r="AE43" s="364" t="s">
        <v>2</v>
      </c>
      <c r="AF43" s="364" t="s">
        <v>985</v>
      </c>
      <c r="AG43" s="397" t="s">
        <v>1090</v>
      </c>
      <c r="AH43" s="364" t="s">
        <v>825</v>
      </c>
      <c r="AI43" s="364" t="s">
        <v>341</v>
      </c>
      <c r="AJ43" s="364" t="s">
        <v>2</v>
      </c>
      <c r="AK43" s="364" t="s">
        <v>2</v>
      </c>
      <c r="AL43" s="369" t="s">
        <v>2</v>
      </c>
      <c r="AM43" s="306"/>
      <c r="AN43" s="76" t="s">
        <v>621</v>
      </c>
      <c r="AO43" s="77" t="s">
        <v>622</v>
      </c>
      <c r="AP43" s="78">
        <v>7</v>
      </c>
      <c r="AQ43" s="191" t="s">
        <v>845</v>
      </c>
      <c r="AR43" s="231" t="s">
        <v>842</v>
      </c>
      <c r="AS43" s="192" t="s">
        <v>843</v>
      </c>
      <c r="AT43" s="82">
        <v>7</v>
      </c>
      <c r="AU43" s="191" t="s">
        <v>844</v>
      </c>
      <c r="AV43" s="80"/>
      <c r="AW43" s="192"/>
      <c r="AX43" s="84"/>
      <c r="AY43" s="85"/>
      <c r="AZ43" s="80" t="s">
        <v>837</v>
      </c>
      <c r="BA43" s="192" t="s">
        <v>838</v>
      </c>
      <c r="BB43" s="84">
        <v>7</v>
      </c>
      <c r="BC43" s="85" t="s">
        <v>966</v>
      </c>
      <c r="BD43" s="76"/>
      <c r="BE43" s="119"/>
      <c r="BF43" s="78"/>
      <c r="BG43" s="87"/>
      <c r="BH43" s="76"/>
      <c r="BI43" s="91"/>
      <c r="BJ43" s="78"/>
      <c r="BK43" s="87"/>
    </row>
    <row r="44" spans="1:63" s="305" customFormat="1" ht="54" hidden="1" customHeight="1" x14ac:dyDescent="0.3">
      <c r="A44" s="359" t="s">
        <v>196</v>
      </c>
      <c r="B44" s="497">
        <v>26</v>
      </c>
      <c r="C44" s="360" t="s">
        <v>346</v>
      </c>
      <c r="D44" s="361" t="s">
        <v>347</v>
      </c>
      <c r="E44" s="367" t="s">
        <v>26</v>
      </c>
      <c r="F44" s="365" t="s">
        <v>52</v>
      </c>
      <c r="G44" s="366" t="s">
        <v>131</v>
      </c>
      <c r="H44" s="365" t="s">
        <v>96</v>
      </c>
      <c r="I44" s="366" t="s">
        <v>174</v>
      </c>
      <c r="J44" s="427"/>
      <c r="K44" s="427"/>
      <c r="L44" s="427"/>
      <c r="M44" s="427"/>
      <c r="N44" s="427"/>
      <c r="O44" s="427"/>
      <c r="P44" s="364" t="s">
        <v>825</v>
      </c>
      <c r="Q44" s="361" t="s">
        <v>825</v>
      </c>
      <c r="R44" s="370" t="s">
        <v>419</v>
      </c>
      <c r="S44" s="395" t="s">
        <v>201</v>
      </c>
      <c r="T44" s="361" t="s">
        <v>202</v>
      </c>
      <c r="U44" s="364" t="s">
        <v>499</v>
      </c>
      <c r="V44" s="364" t="s">
        <v>710</v>
      </c>
      <c r="W44" s="396" t="s">
        <v>766</v>
      </c>
      <c r="X44" s="366" t="s">
        <v>774</v>
      </c>
      <c r="Y44" s="395" t="s">
        <v>9</v>
      </c>
      <c r="Z44" s="395" t="s">
        <v>2</v>
      </c>
      <c r="AA44" s="414" t="s">
        <v>2</v>
      </c>
      <c r="AB44" s="480">
        <v>1</v>
      </c>
      <c r="AC44" s="395" t="s">
        <v>2</v>
      </c>
      <c r="AD44" s="490">
        <v>40</v>
      </c>
      <c r="AE44" s="364" t="s">
        <v>2</v>
      </c>
      <c r="AF44" s="364" t="s">
        <v>985</v>
      </c>
      <c r="AG44" s="397" t="s">
        <v>1114</v>
      </c>
      <c r="AH44" s="364" t="s">
        <v>825</v>
      </c>
      <c r="AI44" s="364" t="s">
        <v>341</v>
      </c>
      <c r="AJ44" s="364" t="s">
        <v>2</v>
      </c>
      <c r="AK44" s="364" t="s">
        <v>2</v>
      </c>
      <c r="AL44" s="369" t="s">
        <v>2</v>
      </c>
      <c r="AM44" s="306"/>
      <c r="AN44" s="76" t="s">
        <v>621</v>
      </c>
      <c r="AO44" s="77" t="s">
        <v>622</v>
      </c>
      <c r="AP44" s="78">
        <v>7</v>
      </c>
      <c r="AQ44" s="191" t="s">
        <v>845</v>
      </c>
      <c r="AR44" s="231" t="s">
        <v>842</v>
      </c>
      <c r="AS44" s="192" t="s">
        <v>843</v>
      </c>
      <c r="AT44" s="82">
        <v>7</v>
      </c>
      <c r="AU44" s="191" t="s">
        <v>844</v>
      </c>
      <c r="AV44" s="80"/>
      <c r="AW44" s="192"/>
      <c r="AX44" s="84"/>
      <c r="AY44" s="85"/>
      <c r="AZ44" s="80"/>
      <c r="BA44" s="192"/>
      <c r="BB44" s="84"/>
      <c r="BC44" s="85"/>
      <c r="BD44" s="76"/>
      <c r="BE44" s="119"/>
      <c r="BF44" s="78"/>
      <c r="BG44" s="87"/>
      <c r="BH44" s="76"/>
      <c r="BI44" s="91"/>
      <c r="BJ44" s="78"/>
      <c r="BK44" s="87"/>
    </row>
    <row r="45" spans="1:63" s="305" customFormat="1" ht="54" hidden="1" customHeight="1" x14ac:dyDescent="0.3">
      <c r="A45" s="359" t="s">
        <v>196</v>
      </c>
      <c r="B45" s="497">
        <v>27</v>
      </c>
      <c r="C45" s="360" t="s">
        <v>346</v>
      </c>
      <c r="D45" s="361" t="s">
        <v>347</v>
      </c>
      <c r="E45" s="512" t="s">
        <v>113</v>
      </c>
      <c r="F45" s="365" t="s">
        <v>1182</v>
      </c>
      <c r="G45" s="366" t="s">
        <v>1183</v>
      </c>
      <c r="H45" s="365" t="s">
        <v>1086</v>
      </c>
      <c r="I45" s="422" t="s">
        <v>747</v>
      </c>
      <c r="J45" s="517"/>
      <c r="K45" s="517"/>
      <c r="L45" s="517"/>
      <c r="M45" s="517"/>
      <c r="N45" s="517"/>
      <c r="O45" s="517"/>
      <c r="P45" s="364" t="s">
        <v>825</v>
      </c>
      <c r="Q45" s="361" t="s">
        <v>825</v>
      </c>
      <c r="R45" s="370" t="s">
        <v>420</v>
      </c>
      <c r="S45" s="494" t="s">
        <v>823</v>
      </c>
      <c r="T45" s="495" t="s">
        <v>824</v>
      </c>
      <c r="U45" s="364" t="s">
        <v>500</v>
      </c>
      <c r="V45" s="364" t="s">
        <v>711</v>
      </c>
      <c r="W45" s="506" t="s">
        <v>1184</v>
      </c>
      <c r="X45" s="416" t="s">
        <v>1181</v>
      </c>
      <c r="Y45" s="395" t="s">
        <v>9</v>
      </c>
      <c r="Z45" s="420" t="s">
        <v>2</v>
      </c>
      <c r="AA45" s="414" t="s">
        <v>2</v>
      </c>
      <c r="AB45" s="482">
        <v>5</v>
      </c>
      <c r="AC45" s="395" t="s">
        <v>2</v>
      </c>
      <c r="AD45" s="490">
        <v>41</v>
      </c>
      <c r="AE45" s="364" t="s">
        <v>2</v>
      </c>
      <c r="AF45" s="367" t="s">
        <v>985</v>
      </c>
      <c r="AG45" s="397" t="s">
        <v>1090</v>
      </c>
      <c r="AH45" s="364" t="s">
        <v>825</v>
      </c>
      <c r="AI45" s="364" t="s">
        <v>341</v>
      </c>
      <c r="AJ45" s="364" t="s">
        <v>2</v>
      </c>
      <c r="AK45" s="364" t="s">
        <v>2</v>
      </c>
      <c r="AL45" s="369" t="s">
        <v>2</v>
      </c>
      <c r="AM45" s="306"/>
      <c r="AN45" s="258"/>
      <c r="AO45" s="259"/>
      <c r="AP45" s="248"/>
      <c r="AQ45" s="260"/>
      <c r="AR45" s="231" t="s">
        <v>842</v>
      </c>
      <c r="AS45" s="192" t="s">
        <v>843</v>
      </c>
      <c r="AT45" s="82">
        <v>7</v>
      </c>
      <c r="AU45" s="191" t="s">
        <v>844</v>
      </c>
      <c r="AV45" s="80"/>
      <c r="AW45" s="192"/>
      <c r="AX45" s="84"/>
      <c r="AY45" s="85"/>
      <c r="AZ45" s="80"/>
      <c r="BA45" s="192"/>
      <c r="BB45" s="84"/>
      <c r="BC45" s="85"/>
      <c r="BD45" s="76"/>
      <c r="BE45" s="119"/>
      <c r="BF45" s="78"/>
      <c r="BG45" s="87"/>
      <c r="BH45" s="76"/>
      <c r="BI45" s="91"/>
      <c r="BJ45" s="78"/>
      <c r="BK45" s="87"/>
    </row>
    <row r="46" spans="1:63" s="305" customFormat="1" ht="54" hidden="1" customHeight="1" x14ac:dyDescent="0.3">
      <c r="A46" s="359" t="s">
        <v>196</v>
      </c>
      <c r="B46" s="497">
        <v>28</v>
      </c>
      <c r="C46" s="360" t="s">
        <v>346</v>
      </c>
      <c r="D46" s="361" t="s">
        <v>347</v>
      </c>
      <c r="E46" s="512" t="s">
        <v>162</v>
      </c>
      <c r="F46" s="365" t="s">
        <v>163</v>
      </c>
      <c r="G46" s="366" t="s">
        <v>165</v>
      </c>
      <c r="H46" s="421" t="s">
        <v>161</v>
      </c>
      <c r="I46" s="422" t="s">
        <v>175</v>
      </c>
      <c r="J46" s="517"/>
      <c r="K46" s="517"/>
      <c r="L46" s="517"/>
      <c r="M46" s="517"/>
      <c r="N46" s="517"/>
      <c r="O46" s="517"/>
      <c r="P46" s="364" t="s">
        <v>825</v>
      </c>
      <c r="Q46" s="361" t="s">
        <v>825</v>
      </c>
      <c r="R46" s="370" t="s">
        <v>468</v>
      </c>
      <c r="S46" s="395" t="s">
        <v>201</v>
      </c>
      <c r="T46" s="361" t="s">
        <v>202</v>
      </c>
      <c r="U46" s="364" t="s">
        <v>501</v>
      </c>
      <c r="V46" s="364" t="s">
        <v>712</v>
      </c>
      <c r="W46" s="418" t="s">
        <v>767</v>
      </c>
      <c r="X46" s="419" t="s">
        <v>775</v>
      </c>
      <c r="Y46" s="395" t="s">
        <v>9</v>
      </c>
      <c r="Z46" s="420" t="s">
        <v>2</v>
      </c>
      <c r="AA46" s="414" t="s">
        <v>2</v>
      </c>
      <c r="AB46" s="482">
        <v>6</v>
      </c>
      <c r="AC46" s="395" t="s">
        <v>2</v>
      </c>
      <c r="AD46" s="48">
        <v>43</v>
      </c>
      <c r="AE46" s="364" t="s">
        <v>2</v>
      </c>
      <c r="AF46" s="364" t="s">
        <v>985</v>
      </c>
      <c r="AG46" s="397" t="s">
        <v>1089</v>
      </c>
      <c r="AH46" s="364" t="s">
        <v>825</v>
      </c>
      <c r="AI46" s="364" t="s">
        <v>341</v>
      </c>
      <c r="AJ46" s="364" t="s">
        <v>2</v>
      </c>
      <c r="AK46" s="364" t="s">
        <v>2</v>
      </c>
      <c r="AL46" s="369" t="s">
        <v>2</v>
      </c>
      <c r="AM46" s="306"/>
      <c r="AN46" s="76" t="s">
        <v>621</v>
      </c>
      <c r="AO46" s="77" t="s">
        <v>622</v>
      </c>
      <c r="AP46" s="78">
        <v>7</v>
      </c>
      <c r="AQ46" s="191" t="s">
        <v>845</v>
      </c>
      <c r="AR46" s="231" t="s">
        <v>842</v>
      </c>
      <c r="AS46" s="192" t="s">
        <v>843</v>
      </c>
      <c r="AT46" s="82">
        <v>7</v>
      </c>
      <c r="AU46" s="191" t="s">
        <v>844</v>
      </c>
      <c r="AV46" s="80"/>
      <c r="AW46" s="192"/>
      <c r="AX46" s="84"/>
      <c r="AY46" s="85"/>
      <c r="AZ46" s="80" t="s">
        <v>891</v>
      </c>
      <c r="BA46" s="192" t="s">
        <v>892</v>
      </c>
      <c r="BB46" s="84">
        <v>7</v>
      </c>
      <c r="BC46" s="85" t="s">
        <v>890</v>
      </c>
      <c r="BD46" s="76"/>
      <c r="BE46" s="119"/>
      <c r="BF46" s="78"/>
      <c r="BG46" s="87"/>
      <c r="BH46" s="76"/>
      <c r="BI46" s="91"/>
      <c r="BJ46" s="78"/>
      <c r="BK46" s="87"/>
    </row>
    <row r="47" spans="1:63" s="305" customFormat="1" ht="54" hidden="1" customHeight="1" x14ac:dyDescent="0.3">
      <c r="A47" s="359" t="s">
        <v>196</v>
      </c>
      <c r="B47" s="497">
        <v>29</v>
      </c>
      <c r="C47" s="360" t="s">
        <v>346</v>
      </c>
      <c r="D47" s="361" t="s">
        <v>347</v>
      </c>
      <c r="E47" s="395" t="s">
        <v>166</v>
      </c>
      <c r="F47" s="365" t="s">
        <v>683</v>
      </c>
      <c r="G47" s="366" t="s">
        <v>809</v>
      </c>
      <c r="H47" s="421" t="s">
        <v>748</v>
      </c>
      <c r="I47" s="422" t="s">
        <v>749</v>
      </c>
      <c r="J47" s="517"/>
      <c r="K47" s="517"/>
      <c r="L47" s="517"/>
      <c r="M47" s="517"/>
      <c r="N47" s="517"/>
      <c r="O47" s="517"/>
      <c r="P47" s="364" t="s">
        <v>825</v>
      </c>
      <c r="Q47" s="361" t="s">
        <v>825</v>
      </c>
      <c r="R47" s="370" t="s">
        <v>469</v>
      </c>
      <c r="S47" s="395" t="s">
        <v>227</v>
      </c>
      <c r="T47" s="361" t="s">
        <v>228</v>
      </c>
      <c r="U47" s="423" t="s">
        <v>828</v>
      </c>
      <c r="V47" s="423" t="s">
        <v>728</v>
      </c>
      <c r="W47" s="396" t="s">
        <v>2</v>
      </c>
      <c r="X47" s="419" t="s">
        <v>2</v>
      </c>
      <c r="Y47" s="395" t="s">
        <v>9</v>
      </c>
      <c r="Z47" s="395" t="s">
        <v>2</v>
      </c>
      <c r="AA47" s="414" t="s">
        <v>2</v>
      </c>
      <c r="AB47" s="480">
        <v>5</v>
      </c>
      <c r="AC47" s="395" t="s">
        <v>2</v>
      </c>
      <c r="AD47" s="48">
        <v>43</v>
      </c>
      <c r="AE47" s="364" t="s">
        <v>2</v>
      </c>
      <c r="AF47" s="364" t="s">
        <v>2</v>
      </c>
      <c r="AG47" s="367" t="s">
        <v>1116</v>
      </c>
      <c r="AH47" s="364" t="s">
        <v>825</v>
      </c>
      <c r="AI47" s="364" t="s">
        <v>341</v>
      </c>
      <c r="AJ47" s="364" t="s">
        <v>2</v>
      </c>
      <c r="AK47" s="364" t="s">
        <v>2</v>
      </c>
      <c r="AL47" s="369" t="s">
        <v>2</v>
      </c>
      <c r="AM47" s="306"/>
      <c r="AN47" s="76"/>
      <c r="AO47" s="77"/>
      <c r="AP47" s="78"/>
      <c r="AQ47" s="79"/>
      <c r="AR47" s="231" t="s">
        <v>842</v>
      </c>
      <c r="AS47" s="192" t="s">
        <v>843</v>
      </c>
      <c r="AT47" s="82">
        <v>7</v>
      </c>
      <c r="AU47" s="191" t="s">
        <v>844</v>
      </c>
      <c r="AV47" s="80"/>
      <c r="AW47" s="192"/>
      <c r="AX47" s="84"/>
      <c r="AY47" s="85"/>
      <c r="AZ47" s="80"/>
      <c r="BA47" s="192"/>
      <c r="BB47" s="84"/>
      <c r="BC47" s="85"/>
      <c r="BD47" s="76"/>
      <c r="BE47" s="119"/>
      <c r="BF47" s="78"/>
      <c r="BG47" s="87"/>
      <c r="BH47" s="76"/>
      <c r="BI47" s="91"/>
      <c r="BJ47" s="78"/>
      <c r="BK47" s="87"/>
    </row>
    <row r="48" spans="1:63" s="137" customFormat="1" ht="54" hidden="1" customHeight="1" x14ac:dyDescent="0.3">
      <c r="A48" s="402" t="s">
        <v>196</v>
      </c>
      <c r="B48" s="500">
        <v>30</v>
      </c>
      <c r="C48" s="403" t="s">
        <v>346</v>
      </c>
      <c r="D48" s="403" t="s">
        <v>347</v>
      </c>
      <c r="E48" s="407" t="s">
        <v>107</v>
      </c>
      <c r="F48" s="404" t="s">
        <v>86</v>
      </c>
      <c r="G48" s="404" t="s">
        <v>121</v>
      </c>
      <c r="H48" s="404" t="s">
        <v>86</v>
      </c>
      <c r="I48" s="404" t="s">
        <v>121</v>
      </c>
      <c r="J48" s="515"/>
      <c r="K48" s="515"/>
      <c r="L48" s="515"/>
      <c r="M48" s="515"/>
      <c r="N48" s="515"/>
      <c r="O48" s="515"/>
      <c r="P48" s="403" t="s">
        <v>2</v>
      </c>
      <c r="Q48" s="403" t="s">
        <v>2</v>
      </c>
      <c r="R48" s="510" t="s">
        <v>421</v>
      </c>
      <c r="S48" s="405" t="s">
        <v>2</v>
      </c>
      <c r="T48" s="403" t="s">
        <v>2</v>
      </c>
      <c r="U48" s="403" t="s">
        <v>2</v>
      </c>
      <c r="V48" s="403" t="s">
        <v>2</v>
      </c>
      <c r="W48" s="406" t="s">
        <v>2</v>
      </c>
      <c r="X48" s="406" t="s">
        <v>2</v>
      </c>
      <c r="Y48" s="405" t="s">
        <v>9</v>
      </c>
      <c r="Z48" s="405" t="s">
        <v>2</v>
      </c>
      <c r="AA48" s="405" t="s">
        <v>2</v>
      </c>
      <c r="AB48" s="481">
        <v>14</v>
      </c>
      <c r="AC48" s="405" t="s">
        <v>2</v>
      </c>
      <c r="AD48" s="492">
        <v>43</v>
      </c>
      <c r="AE48" s="491">
        <v>41</v>
      </c>
      <c r="AF48" s="403" t="s">
        <v>2</v>
      </c>
      <c r="AG48" s="403" t="s">
        <v>2</v>
      </c>
      <c r="AH48" s="403" t="s">
        <v>2</v>
      </c>
      <c r="AI48" s="403" t="s">
        <v>341</v>
      </c>
      <c r="AJ48" s="403" t="s">
        <v>2</v>
      </c>
      <c r="AK48" s="403" t="s">
        <v>2</v>
      </c>
      <c r="AL48" s="408" t="s">
        <v>2</v>
      </c>
      <c r="AM48" s="128"/>
      <c r="AN48" s="125"/>
      <c r="AO48" s="131"/>
      <c r="AP48" s="129"/>
      <c r="AQ48" s="130"/>
      <c r="AR48" s="234"/>
      <c r="AS48" s="178"/>
      <c r="AT48" s="132"/>
      <c r="AU48" s="133"/>
      <c r="AV48" s="134"/>
      <c r="AW48" s="192"/>
      <c r="AX48" s="135"/>
      <c r="AY48" s="124"/>
      <c r="AZ48" s="134"/>
      <c r="BA48" s="192"/>
      <c r="BB48" s="135"/>
      <c r="BC48" s="124"/>
      <c r="BD48" s="125"/>
      <c r="BE48" s="119"/>
      <c r="BF48" s="129"/>
      <c r="BG48" s="136"/>
      <c r="BH48" s="125"/>
      <c r="BI48" s="91"/>
      <c r="BJ48" s="129"/>
      <c r="BK48" s="136"/>
    </row>
    <row r="49" spans="1:63" s="305" customFormat="1" ht="54" hidden="1" customHeight="1" x14ac:dyDescent="0.3">
      <c r="A49" s="359" t="s">
        <v>196</v>
      </c>
      <c r="B49" s="497">
        <v>31</v>
      </c>
      <c r="C49" s="360" t="s">
        <v>346</v>
      </c>
      <c r="D49" s="361" t="s">
        <v>347</v>
      </c>
      <c r="E49" s="367" t="s">
        <v>56</v>
      </c>
      <c r="F49" s="365" t="s">
        <v>57</v>
      </c>
      <c r="G49" s="366" t="s">
        <v>132</v>
      </c>
      <c r="H49" s="365" t="s">
        <v>58</v>
      </c>
      <c r="I49" s="366" t="s">
        <v>178</v>
      </c>
      <c r="J49" s="427"/>
      <c r="K49" s="427"/>
      <c r="L49" s="427"/>
      <c r="M49" s="427"/>
      <c r="N49" s="427"/>
      <c r="O49" s="427"/>
      <c r="P49" s="364" t="s">
        <v>825</v>
      </c>
      <c r="Q49" s="361" t="s">
        <v>825</v>
      </c>
      <c r="R49" s="370" t="s">
        <v>422</v>
      </c>
      <c r="S49" s="367" t="s">
        <v>227</v>
      </c>
      <c r="T49" s="361" t="s">
        <v>228</v>
      </c>
      <c r="U49" s="364" t="s">
        <v>502</v>
      </c>
      <c r="V49" s="364" t="s">
        <v>713</v>
      </c>
      <c r="W49" s="396" t="s">
        <v>2</v>
      </c>
      <c r="X49" s="419" t="s">
        <v>2</v>
      </c>
      <c r="Y49" s="395" t="s">
        <v>9</v>
      </c>
      <c r="Z49" s="395" t="s">
        <v>2</v>
      </c>
      <c r="AA49" s="414" t="s">
        <v>2</v>
      </c>
      <c r="AB49" s="480">
        <v>2</v>
      </c>
      <c r="AC49" s="395" t="s">
        <v>2</v>
      </c>
      <c r="AD49" s="490">
        <v>40</v>
      </c>
      <c r="AE49" s="364" t="s">
        <v>2</v>
      </c>
      <c r="AF49" s="364" t="s">
        <v>985</v>
      </c>
      <c r="AG49" s="397" t="s">
        <v>1089</v>
      </c>
      <c r="AH49" s="364" t="s">
        <v>825</v>
      </c>
      <c r="AI49" s="364" t="s">
        <v>341</v>
      </c>
      <c r="AJ49" s="364" t="s">
        <v>2</v>
      </c>
      <c r="AK49" s="364" t="s">
        <v>2</v>
      </c>
      <c r="AL49" s="369" t="s">
        <v>2</v>
      </c>
      <c r="AM49" s="306"/>
      <c r="AN49" s="76"/>
      <c r="AO49" s="77"/>
      <c r="AP49" s="78"/>
      <c r="AQ49" s="79"/>
      <c r="AR49" s="231" t="s">
        <v>842</v>
      </c>
      <c r="AS49" s="192" t="s">
        <v>843</v>
      </c>
      <c r="AT49" s="82">
        <v>7</v>
      </c>
      <c r="AU49" s="191" t="s">
        <v>844</v>
      </c>
      <c r="AV49" s="80"/>
      <c r="AW49" s="192"/>
      <c r="AX49" s="84"/>
      <c r="AY49" s="85"/>
      <c r="AZ49" s="80"/>
      <c r="BA49" s="192"/>
      <c r="BB49" s="84"/>
      <c r="BC49" s="85"/>
      <c r="BD49" s="76"/>
      <c r="BE49" s="119"/>
      <c r="BF49" s="78"/>
      <c r="BG49" s="87"/>
      <c r="BH49" s="76"/>
      <c r="BI49" s="91"/>
      <c r="BJ49" s="78"/>
      <c r="BK49" s="87"/>
    </row>
    <row r="50" spans="1:63" s="305" customFormat="1" ht="54" hidden="1" customHeight="1" x14ac:dyDescent="0.3">
      <c r="A50" s="359" t="s">
        <v>196</v>
      </c>
      <c r="B50" s="497">
        <v>32</v>
      </c>
      <c r="C50" s="360" t="s">
        <v>346</v>
      </c>
      <c r="D50" s="361" t="s">
        <v>347</v>
      </c>
      <c r="E50" s="367" t="s">
        <v>30</v>
      </c>
      <c r="F50" s="365" t="s">
        <v>16</v>
      </c>
      <c r="G50" s="366" t="s">
        <v>133</v>
      </c>
      <c r="H50" s="365" t="s">
        <v>684</v>
      </c>
      <c r="I50" s="366" t="s">
        <v>179</v>
      </c>
      <c r="J50" s="427"/>
      <c r="K50" s="427"/>
      <c r="L50" s="427"/>
      <c r="M50" s="427"/>
      <c r="N50" s="427"/>
      <c r="O50" s="427"/>
      <c r="P50" s="364" t="s">
        <v>825</v>
      </c>
      <c r="Q50" s="361" t="s">
        <v>825</v>
      </c>
      <c r="R50" s="370" t="s">
        <v>423</v>
      </c>
      <c r="S50" s="367" t="s">
        <v>227</v>
      </c>
      <c r="T50" s="361" t="s">
        <v>228</v>
      </c>
      <c r="U50" s="364" t="s">
        <v>503</v>
      </c>
      <c r="V50" s="364" t="s">
        <v>528</v>
      </c>
      <c r="W50" s="424" t="s">
        <v>625</v>
      </c>
      <c r="X50" s="366" t="s">
        <v>626</v>
      </c>
      <c r="Y50" s="395" t="s">
        <v>9</v>
      </c>
      <c r="Z50" s="395" t="s">
        <v>2</v>
      </c>
      <c r="AA50" s="414" t="s">
        <v>2</v>
      </c>
      <c r="AB50" s="480">
        <v>2</v>
      </c>
      <c r="AC50" s="395" t="s">
        <v>2</v>
      </c>
      <c r="AD50" s="490">
        <v>40</v>
      </c>
      <c r="AE50" s="364" t="s">
        <v>2</v>
      </c>
      <c r="AF50" s="364" t="s">
        <v>2</v>
      </c>
      <c r="AG50" s="367" t="s">
        <v>994</v>
      </c>
      <c r="AH50" s="364" t="s">
        <v>825</v>
      </c>
      <c r="AI50" s="364" t="s">
        <v>341</v>
      </c>
      <c r="AJ50" s="364" t="s">
        <v>2</v>
      </c>
      <c r="AK50" s="364" t="s">
        <v>2</v>
      </c>
      <c r="AL50" s="369" t="s">
        <v>2</v>
      </c>
      <c r="AM50" s="306"/>
      <c r="AN50" s="76"/>
      <c r="AO50" s="77"/>
      <c r="AP50" s="78"/>
      <c r="AQ50" s="79"/>
      <c r="AR50" s="231" t="s">
        <v>842</v>
      </c>
      <c r="AS50" s="192" t="s">
        <v>843</v>
      </c>
      <c r="AT50" s="82">
        <v>7</v>
      </c>
      <c r="AU50" s="191" t="s">
        <v>844</v>
      </c>
      <c r="AV50" s="80"/>
      <c r="AW50" s="192"/>
      <c r="AX50" s="84"/>
      <c r="AY50" s="85"/>
      <c r="AZ50" s="80"/>
      <c r="BA50" s="192"/>
      <c r="BB50" s="84"/>
      <c r="BC50" s="85"/>
      <c r="BD50" s="76"/>
      <c r="BE50" s="119"/>
      <c r="BF50" s="78"/>
      <c r="BG50" s="87"/>
      <c r="BH50" s="76"/>
      <c r="BI50" s="91"/>
      <c r="BJ50" s="78"/>
      <c r="BK50" s="87"/>
    </row>
    <row r="51" spans="1:63" s="305" customFormat="1" ht="54" hidden="1" customHeight="1" x14ac:dyDescent="0.3">
      <c r="A51" s="359" t="s">
        <v>196</v>
      </c>
      <c r="B51" s="497">
        <v>33</v>
      </c>
      <c r="C51" s="360" t="s">
        <v>346</v>
      </c>
      <c r="D51" s="361" t="s">
        <v>347</v>
      </c>
      <c r="E51" s="367" t="s">
        <v>66</v>
      </c>
      <c r="F51" s="365" t="s">
        <v>648</v>
      </c>
      <c r="G51" s="366" t="s">
        <v>649</v>
      </c>
      <c r="H51" s="365" t="s">
        <v>685</v>
      </c>
      <c r="I51" s="366" t="s">
        <v>686</v>
      </c>
      <c r="J51" s="427"/>
      <c r="K51" s="427"/>
      <c r="L51" s="427"/>
      <c r="M51" s="427"/>
      <c r="N51" s="427"/>
      <c r="O51" s="427"/>
      <c r="P51" s="364" t="s">
        <v>825</v>
      </c>
      <c r="Q51" s="361" t="s">
        <v>825</v>
      </c>
      <c r="R51" s="370" t="s">
        <v>424</v>
      </c>
      <c r="S51" s="367" t="s">
        <v>826</v>
      </c>
      <c r="T51" s="361" t="s">
        <v>827</v>
      </c>
      <c r="U51" s="364" t="s">
        <v>504</v>
      </c>
      <c r="V51" s="364" t="s">
        <v>714</v>
      </c>
      <c r="W51" s="396" t="s">
        <v>780</v>
      </c>
      <c r="X51" s="366" t="s">
        <v>787</v>
      </c>
      <c r="Y51" s="395" t="s">
        <v>9</v>
      </c>
      <c r="Z51" s="395" t="s">
        <v>2</v>
      </c>
      <c r="AA51" s="414" t="s">
        <v>2</v>
      </c>
      <c r="AB51" s="480">
        <v>1</v>
      </c>
      <c r="AC51" s="395" t="s">
        <v>2</v>
      </c>
      <c r="AD51" s="490">
        <v>40</v>
      </c>
      <c r="AE51" s="364" t="s">
        <v>2</v>
      </c>
      <c r="AF51" s="364" t="s">
        <v>985</v>
      </c>
      <c r="AG51" s="367" t="s">
        <v>994</v>
      </c>
      <c r="AH51" s="364" t="s">
        <v>825</v>
      </c>
      <c r="AI51" s="364" t="s">
        <v>341</v>
      </c>
      <c r="AJ51" s="364" t="s">
        <v>2</v>
      </c>
      <c r="AK51" s="364" t="s">
        <v>2</v>
      </c>
      <c r="AL51" s="369" t="s">
        <v>2</v>
      </c>
      <c r="AM51" s="306"/>
      <c r="AN51" s="76" t="s">
        <v>851</v>
      </c>
      <c r="AO51" s="77" t="s">
        <v>687</v>
      </c>
      <c r="AP51" s="248">
        <v>6</v>
      </c>
      <c r="AQ51" s="79" t="s">
        <v>933</v>
      </c>
      <c r="AR51" s="231" t="s">
        <v>842</v>
      </c>
      <c r="AS51" s="192" t="s">
        <v>843</v>
      </c>
      <c r="AT51" s="82">
        <v>7</v>
      </c>
      <c r="AU51" s="191" t="s">
        <v>844</v>
      </c>
      <c r="AV51" s="80"/>
      <c r="AW51" s="192"/>
      <c r="AX51" s="84"/>
      <c r="AY51" s="85"/>
      <c r="AZ51" s="80"/>
      <c r="BA51" s="192"/>
      <c r="BB51" s="84"/>
      <c r="BC51" s="85"/>
      <c r="BD51" s="76"/>
      <c r="BE51" s="119"/>
      <c r="BF51" s="78"/>
      <c r="BG51" s="87"/>
      <c r="BH51" s="76"/>
      <c r="BI51" s="91"/>
      <c r="BJ51" s="78"/>
      <c r="BK51" s="87"/>
    </row>
    <row r="52" spans="1:63" s="305" customFormat="1" ht="54" hidden="1" customHeight="1" x14ac:dyDescent="0.3">
      <c r="A52" s="359" t="s">
        <v>196</v>
      </c>
      <c r="B52" s="497">
        <v>34</v>
      </c>
      <c r="C52" s="360" t="s">
        <v>346</v>
      </c>
      <c r="D52" s="361" t="s">
        <v>347</v>
      </c>
      <c r="E52" s="367" t="s">
        <v>27</v>
      </c>
      <c r="F52" s="365" t="s">
        <v>87</v>
      </c>
      <c r="G52" s="366" t="s">
        <v>134</v>
      </c>
      <c r="H52" s="365" t="s">
        <v>76</v>
      </c>
      <c r="I52" s="366" t="s">
        <v>180</v>
      </c>
      <c r="J52" s="427"/>
      <c r="K52" s="427"/>
      <c r="L52" s="427"/>
      <c r="M52" s="427"/>
      <c r="N52" s="427"/>
      <c r="O52" s="427"/>
      <c r="P52" s="364" t="s">
        <v>825</v>
      </c>
      <c r="Q52" s="361" t="s">
        <v>825</v>
      </c>
      <c r="R52" s="370" t="s">
        <v>425</v>
      </c>
      <c r="S52" s="367" t="s">
        <v>826</v>
      </c>
      <c r="T52" s="361" t="s">
        <v>827</v>
      </c>
      <c r="U52" s="364" t="s">
        <v>505</v>
      </c>
      <c r="V52" s="364" t="s">
        <v>715</v>
      </c>
      <c r="W52" s="396" t="s">
        <v>2</v>
      </c>
      <c r="X52" s="366" t="s">
        <v>2</v>
      </c>
      <c r="Y52" s="395" t="s">
        <v>9</v>
      </c>
      <c r="Z52" s="395" t="s">
        <v>2</v>
      </c>
      <c r="AA52" s="414" t="s">
        <v>2</v>
      </c>
      <c r="AB52" s="480">
        <v>1</v>
      </c>
      <c r="AC52" s="395" t="s">
        <v>2</v>
      </c>
      <c r="AD52" s="490">
        <v>40</v>
      </c>
      <c r="AE52" s="364" t="s">
        <v>2</v>
      </c>
      <c r="AF52" s="364" t="s">
        <v>985</v>
      </c>
      <c r="AG52" s="367" t="s">
        <v>1113</v>
      </c>
      <c r="AH52" s="364" t="s">
        <v>825</v>
      </c>
      <c r="AI52" s="364" t="s">
        <v>341</v>
      </c>
      <c r="AJ52" s="364" t="s">
        <v>2</v>
      </c>
      <c r="AK52" s="364" t="s">
        <v>2</v>
      </c>
      <c r="AL52" s="369" t="s">
        <v>2</v>
      </c>
      <c r="AM52" s="306"/>
      <c r="AN52" s="76" t="s">
        <v>915</v>
      </c>
      <c r="AO52" s="77" t="s">
        <v>916</v>
      </c>
      <c r="AP52" s="248">
        <v>6</v>
      </c>
      <c r="AQ52" s="79" t="s">
        <v>934</v>
      </c>
      <c r="AR52" s="231" t="s">
        <v>842</v>
      </c>
      <c r="AS52" s="192" t="s">
        <v>843</v>
      </c>
      <c r="AT52" s="82">
        <v>7</v>
      </c>
      <c r="AU52" s="191" t="s">
        <v>844</v>
      </c>
      <c r="AV52" s="80"/>
      <c r="AW52" s="192"/>
      <c r="AX52" s="84"/>
      <c r="AY52" s="85"/>
      <c r="AZ52" s="80"/>
      <c r="BA52" s="192"/>
      <c r="BB52" s="84"/>
      <c r="BC52" s="85"/>
      <c r="BD52" s="76"/>
      <c r="BE52" s="119"/>
      <c r="BF52" s="78"/>
      <c r="BG52" s="87"/>
      <c r="BH52" s="76"/>
      <c r="BI52" s="91"/>
      <c r="BJ52" s="78"/>
      <c r="BK52" s="87"/>
    </row>
    <row r="53" spans="1:63" s="305" customFormat="1" ht="54" hidden="1" customHeight="1" x14ac:dyDescent="0.3">
      <c r="A53" s="359" t="s">
        <v>196</v>
      </c>
      <c r="B53" s="497">
        <v>35</v>
      </c>
      <c r="C53" s="360" t="s">
        <v>388</v>
      </c>
      <c r="D53" s="361" t="s">
        <v>389</v>
      </c>
      <c r="E53" s="367" t="s">
        <v>88</v>
      </c>
      <c r="F53" s="425" t="s">
        <v>1173</v>
      </c>
      <c r="G53" s="426" t="s">
        <v>1174</v>
      </c>
      <c r="H53" s="425" t="s">
        <v>1175</v>
      </c>
      <c r="I53" s="426" t="s">
        <v>1176</v>
      </c>
      <c r="J53" s="426"/>
      <c r="K53" s="426"/>
      <c r="L53" s="426"/>
      <c r="M53" s="426"/>
      <c r="N53" s="426"/>
      <c r="O53" s="426"/>
      <c r="P53" s="364" t="s">
        <v>825</v>
      </c>
      <c r="Q53" s="361" t="s">
        <v>825</v>
      </c>
      <c r="R53" s="370" t="s">
        <v>426</v>
      </c>
      <c r="S53" s="367" t="s">
        <v>201</v>
      </c>
      <c r="T53" s="361" t="s">
        <v>202</v>
      </c>
      <c r="U53" s="364" t="s">
        <v>506</v>
      </c>
      <c r="V53" s="364" t="s">
        <v>893</v>
      </c>
      <c r="W53" s="396" t="s">
        <v>2</v>
      </c>
      <c r="X53" s="366" t="s">
        <v>2</v>
      </c>
      <c r="Y53" s="367" t="s">
        <v>9</v>
      </c>
      <c r="Z53" s="395" t="s">
        <v>2</v>
      </c>
      <c r="AA53" s="414" t="s">
        <v>2</v>
      </c>
      <c r="AB53" s="480">
        <v>1</v>
      </c>
      <c r="AC53" s="395" t="s">
        <v>2</v>
      </c>
      <c r="AD53" s="490">
        <v>40</v>
      </c>
      <c r="AE53" s="364" t="s">
        <v>2</v>
      </c>
      <c r="AF53" s="364" t="s">
        <v>985</v>
      </c>
      <c r="AG53" s="397" t="s">
        <v>1117</v>
      </c>
      <c r="AH53" s="364" t="s">
        <v>825</v>
      </c>
      <c r="AI53" s="364" t="s">
        <v>341</v>
      </c>
      <c r="AJ53" s="364" t="s">
        <v>2</v>
      </c>
      <c r="AK53" s="364" t="s">
        <v>2</v>
      </c>
      <c r="AL53" s="369" t="s">
        <v>2</v>
      </c>
      <c r="AM53" s="306"/>
      <c r="AN53" s="76" t="s">
        <v>621</v>
      </c>
      <c r="AO53" s="77" t="s">
        <v>622</v>
      </c>
      <c r="AP53" s="78">
        <v>7</v>
      </c>
      <c r="AQ53" s="191" t="s">
        <v>845</v>
      </c>
      <c r="AR53" s="231" t="s">
        <v>842</v>
      </c>
      <c r="AS53" s="192" t="s">
        <v>843</v>
      </c>
      <c r="AT53" s="82">
        <v>7</v>
      </c>
      <c r="AU53" s="191" t="s">
        <v>844</v>
      </c>
      <c r="AV53" s="80"/>
      <c r="AW53" s="192"/>
      <c r="AX53" s="84"/>
      <c r="AY53" s="85"/>
      <c r="AZ53" s="80"/>
      <c r="BA53" s="192"/>
      <c r="BB53" s="84"/>
      <c r="BC53" s="85"/>
      <c r="BD53" s="76"/>
      <c r="BE53" s="119"/>
      <c r="BF53" s="78"/>
      <c r="BG53" s="87"/>
      <c r="BH53" s="76"/>
      <c r="BI53" s="91"/>
      <c r="BJ53" s="78"/>
      <c r="BK53" s="87"/>
    </row>
    <row r="54" spans="1:63" s="305" customFormat="1" ht="54" hidden="1" customHeight="1" x14ac:dyDescent="0.3">
      <c r="A54" s="359" t="s">
        <v>196</v>
      </c>
      <c r="B54" s="497">
        <v>36</v>
      </c>
      <c r="C54" s="360" t="s">
        <v>388</v>
      </c>
      <c r="D54" s="361" t="s">
        <v>389</v>
      </c>
      <c r="E54" s="367" t="s">
        <v>97</v>
      </c>
      <c r="F54" s="365" t="s">
        <v>98</v>
      </c>
      <c r="G54" s="366" t="s">
        <v>135</v>
      </c>
      <c r="H54" s="415" t="s">
        <v>1177</v>
      </c>
      <c r="I54" s="416" t="s">
        <v>1178</v>
      </c>
      <c r="J54" s="516"/>
      <c r="K54" s="516"/>
      <c r="L54" s="516"/>
      <c r="M54" s="516"/>
      <c r="N54" s="516"/>
      <c r="O54" s="516"/>
      <c r="P54" s="364" t="s">
        <v>825</v>
      </c>
      <c r="Q54" s="361" t="s">
        <v>825</v>
      </c>
      <c r="R54" s="370" t="s">
        <v>427</v>
      </c>
      <c r="S54" s="367" t="s">
        <v>201</v>
      </c>
      <c r="T54" s="361" t="s">
        <v>202</v>
      </c>
      <c r="U54" s="364" t="s">
        <v>507</v>
      </c>
      <c r="V54" s="364" t="s">
        <v>716</v>
      </c>
      <c r="W54" s="396" t="s">
        <v>2</v>
      </c>
      <c r="X54" s="366" t="s">
        <v>2</v>
      </c>
      <c r="Y54" s="367" t="s">
        <v>9</v>
      </c>
      <c r="Z54" s="395" t="s">
        <v>2</v>
      </c>
      <c r="AA54" s="414" t="s">
        <v>2</v>
      </c>
      <c r="AB54" s="480">
        <v>1</v>
      </c>
      <c r="AC54" s="395" t="s">
        <v>2</v>
      </c>
      <c r="AD54" s="490">
        <v>40</v>
      </c>
      <c r="AE54" s="364" t="s">
        <v>2</v>
      </c>
      <c r="AF54" s="364" t="s">
        <v>985</v>
      </c>
      <c r="AG54" s="367" t="s">
        <v>1115</v>
      </c>
      <c r="AH54" s="364" t="s">
        <v>825</v>
      </c>
      <c r="AI54" s="364" t="s">
        <v>341</v>
      </c>
      <c r="AJ54" s="364" t="s">
        <v>2</v>
      </c>
      <c r="AK54" s="364" t="s">
        <v>2</v>
      </c>
      <c r="AL54" s="369" t="s">
        <v>2</v>
      </c>
      <c r="AM54" s="306"/>
      <c r="AN54" s="76" t="s">
        <v>621</v>
      </c>
      <c r="AO54" s="77" t="s">
        <v>622</v>
      </c>
      <c r="AP54" s="248">
        <v>6</v>
      </c>
      <c r="AQ54" s="191" t="s">
        <v>845</v>
      </c>
      <c r="AR54" s="231" t="s">
        <v>842</v>
      </c>
      <c r="AS54" s="192" t="s">
        <v>843</v>
      </c>
      <c r="AT54" s="82">
        <v>7</v>
      </c>
      <c r="AU54" s="191" t="s">
        <v>844</v>
      </c>
      <c r="AV54" s="80"/>
      <c r="AW54" s="192"/>
      <c r="AX54" s="84"/>
      <c r="AY54" s="85"/>
      <c r="AZ54" s="80"/>
      <c r="BA54" s="192"/>
      <c r="BB54" s="84"/>
      <c r="BC54" s="85"/>
      <c r="BD54" s="76"/>
      <c r="BE54" s="119"/>
      <c r="BF54" s="78"/>
      <c r="BG54" s="87"/>
      <c r="BH54" s="76"/>
      <c r="BI54" s="91"/>
      <c r="BJ54" s="78"/>
      <c r="BK54" s="87"/>
    </row>
    <row r="55" spans="1:63" s="305" customFormat="1" ht="54" hidden="1" customHeight="1" x14ac:dyDescent="0.3">
      <c r="A55" s="359" t="s">
        <v>196</v>
      </c>
      <c r="B55" s="497">
        <v>37</v>
      </c>
      <c r="C55" s="360" t="s">
        <v>388</v>
      </c>
      <c r="D55" s="361" t="s">
        <v>389</v>
      </c>
      <c r="E55" s="367" t="s">
        <v>29</v>
      </c>
      <c r="F55" s="365" t="s">
        <v>95</v>
      </c>
      <c r="G55" s="366" t="s">
        <v>136</v>
      </c>
      <c r="H55" s="365" t="s">
        <v>75</v>
      </c>
      <c r="I55" s="366" t="s">
        <v>156</v>
      </c>
      <c r="J55" s="427"/>
      <c r="K55" s="427"/>
      <c r="L55" s="427"/>
      <c r="M55" s="427"/>
      <c r="N55" s="427"/>
      <c r="O55" s="427"/>
      <c r="P55" s="364" t="s">
        <v>825</v>
      </c>
      <c r="Q55" s="361" t="s">
        <v>825</v>
      </c>
      <c r="R55" s="370" t="s">
        <v>428</v>
      </c>
      <c r="S55" s="397" t="s">
        <v>227</v>
      </c>
      <c r="T55" s="417" t="s">
        <v>228</v>
      </c>
      <c r="U55" s="364" t="s">
        <v>2</v>
      </c>
      <c r="V55" s="364" t="s">
        <v>2</v>
      </c>
      <c r="W55" s="396" t="s">
        <v>768</v>
      </c>
      <c r="X55" s="366" t="s">
        <v>776</v>
      </c>
      <c r="Y55" s="395" t="s">
        <v>9</v>
      </c>
      <c r="Z55" s="395" t="s">
        <v>2</v>
      </c>
      <c r="AA55" s="414" t="s">
        <v>2</v>
      </c>
      <c r="AB55" s="480">
        <v>1</v>
      </c>
      <c r="AC55" s="395" t="s">
        <v>2</v>
      </c>
      <c r="AD55" s="490">
        <v>40</v>
      </c>
      <c r="AE55" s="364" t="s">
        <v>2</v>
      </c>
      <c r="AF55" s="364" t="s">
        <v>985</v>
      </c>
      <c r="AG55" s="397" t="s">
        <v>479</v>
      </c>
      <c r="AH55" s="364" t="s">
        <v>825</v>
      </c>
      <c r="AI55" s="364" t="s">
        <v>341</v>
      </c>
      <c r="AJ55" s="364" t="s">
        <v>2</v>
      </c>
      <c r="AK55" s="364" t="s">
        <v>2</v>
      </c>
      <c r="AL55" s="369" t="s">
        <v>2</v>
      </c>
      <c r="AM55" s="306"/>
      <c r="AN55" s="258"/>
      <c r="AO55" s="259"/>
      <c r="AP55" s="248"/>
      <c r="AQ55" s="260"/>
      <c r="AR55" s="232"/>
      <c r="AS55" s="89"/>
      <c r="AT55" s="90"/>
      <c r="AU55" s="83"/>
      <c r="AV55" s="80" t="s">
        <v>536</v>
      </c>
      <c r="AW55" s="192" t="s">
        <v>537</v>
      </c>
      <c r="AX55" s="84">
        <v>7</v>
      </c>
      <c r="AY55" s="85" t="s">
        <v>956</v>
      </c>
      <c r="AZ55" s="80"/>
      <c r="BA55" s="192"/>
      <c r="BB55" s="84"/>
      <c r="BC55" s="85"/>
      <c r="BD55" s="76"/>
      <c r="BE55" s="119"/>
      <c r="BF55" s="78"/>
      <c r="BG55" s="87"/>
      <c r="BH55" s="76"/>
      <c r="BI55" s="91"/>
      <c r="BJ55" s="78"/>
      <c r="BK55" s="87"/>
    </row>
    <row r="56" spans="1:63" s="305" customFormat="1" ht="54" hidden="1" customHeight="1" x14ac:dyDescent="0.3">
      <c r="A56" s="359" t="s">
        <v>196</v>
      </c>
      <c r="B56" s="497">
        <v>38</v>
      </c>
      <c r="C56" s="360" t="s">
        <v>390</v>
      </c>
      <c r="D56" s="361" t="s">
        <v>391</v>
      </c>
      <c r="E56" s="367" t="s">
        <v>373</v>
      </c>
      <c r="F56" s="365" t="s">
        <v>77</v>
      </c>
      <c r="G56" s="427" t="s">
        <v>137</v>
      </c>
      <c r="H56" s="428" t="s">
        <v>1087</v>
      </c>
      <c r="I56" s="427" t="s">
        <v>1088</v>
      </c>
      <c r="J56" s="427"/>
      <c r="K56" s="427"/>
      <c r="L56" s="427"/>
      <c r="M56" s="427"/>
      <c r="N56" s="427"/>
      <c r="O56" s="427"/>
      <c r="P56" s="364" t="s">
        <v>825</v>
      </c>
      <c r="Q56" s="361" t="s">
        <v>825</v>
      </c>
      <c r="R56" s="370" t="s">
        <v>429</v>
      </c>
      <c r="S56" s="367" t="s">
        <v>826</v>
      </c>
      <c r="T56" s="361" t="s">
        <v>827</v>
      </c>
      <c r="U56" s="364" t="s">
        <v>2</v>
      </c>
      <c r="V56" s="364" t="s">
        <v>2</v>
      </c>
      <c r="W56" s="396" t="s">
        <v>990</v>
      </c>
      <c r="X56" s="366" t="s">
        <v>991</v>
      </c>
      <c r="Y56" s="395" t="s">
        <v>10</v>
      </c>
      <c r="Z56" s="423" t="s">
        <v>371</v>
      </c>
      <c r="AA56" s="429" t="s">
        <v>372</v>
      </c>
      <c r="AB56" s="480">
        <v>10</v>
      </c>
      <c r="AC56" s="395" t="s">
        <v>2</v>
      </c>
      <c r="AD56" s="490">
        <v>40</v>
      </c>
      <c r="AE56" s="364" t="s">
        <v>2</v>
      </c>
      <c r="AF56" s="364" t="s">
        <v>2</v>
      </c>
      <c r="AG56" s="367" t="s">
        <v>994</v>
      </c>
      <c r="AH56" s="364" t="s">
        <v>825</v>
      </c>
      <c r="AI56" s="364" t="s">
        <v>341</v>
      </c>
      <c r="AJ56" s="364" t="s">
        <v>2</v>
      </c>
      <c r="AK56" s="364" t="s">
        <v>2</v>
      </c>
      <c r="AL56" s="369" t="s">
        <v>2</v>
      </c>
      <c r="AM56" s="306"/>
      <c r="AN56" s="76" t="s">
        <v>852</v>
      </c>
      <c r="AO56" s="77" t="s">
        <v>847</v>
      </c>
      <c r="AP56" s="78">
        <v>6</v>
      </c>
      <c r="AQ56" s="79" t="s">
        <v>935</v>
      </c>
      <c r="AR56" s="232"/>
      <c r="AS56" s="89"/>
      <c r="AT56" s="90"/>
      <c r="AU56" s="83"/>
      <c r="AV56" s="80" t="s">
        <v>867</v>
      </c>
      <c r="AW56" s="192" t="s">
        <v>869</v>
      </c>
      <c r="AX56" s="84">
        <v>7</v>
      </c>
      <c r="AY56" s="85" t="s">
        <v>868</v>
      </c>
      <c r="AZ56" s="80"/>
      <c r="BA56" s="192"/>
      <c r="BB56" s="84"/>
      <c r="BC56" s="85"/>
      <c r="BD56" s="76"/>
      <c r="BE56" s="119"/>
      <c r="BF56" s="78"/>
      <c r="BG56" s="87"/>
      <c r="BH56" s="76"/>
      <c r="BI56" s="91"/>
      <c r="BJ56" s="78"/>
      <c r="BK56" s="87"/>
    </row>
    <row r="57" spans="1:63" s="305" customFormat="1" ht="54" hidden="1" customHeight="1" x14ac:dyDescent="0.3">
      <c r="A57" s="359" t="s">
        <v>196</v>
      </c>
      <c r="B57" s="497">
        <v>39</v>
      </c>
      <c r="C57" s="360" t="s">
        <v>346</v>
      </c>
      <c r="D57" s="361" t="s">
        <v>347</v>
      </c>
      <c r="E57" s="367" t="s">
        <v>376</v>
      </c>
      <c r="F57" s="430" t="s">
        <v>49</v>
      </c>
      <c r="G57" s="431" t="s">
        <v>176</v>
      </c>
      <c r="H57" s="430" t="s">
        <v>49</v>
      </c>
      <c r="I57" s="431" t="s">
        <v>176</v>
      </c>
      <c r="J57" s="431"/>
      <c r="K57" s="431"/>
      <c r="L57" s="431"/>
      <c r="M57" s="431"/>
      <c r="N57" s="431"/>
      <c r="O57" s="431"/>
      <c r="P57" s="364" t="s">
        <v>825</v>
      </c>
      <c r="Q57" s="361" t="s">
        <v>825</v>
      </c>
      <c r="R57" s="370" t="s">
        <v>430</v>
      </c>
      <c r="S57" s="367" t="s">
        <v>826</v>
      </c>
      <c r="T57" s="361" t="s">
        <v>827</v>
      </c>
      <c r="U57" s="364" t="s">
        <v>2</v>
      </c>
      <c r="V57" s="364" t="s">
        <v>2</v>
      </c>
      <c r="W57" s="432" t="s">
        <v>656</v>
      </c>
      <c r="X57" s="433" t="s">
        <v>657</v>
      </c>
      <c r="Y57" s="395" t="s">
        <v>10</v>
      </c>
      <c r="Z57" s="423" t="s">
        <v>371</v>
      </c>
      <c r="AA57" s="429" t="s">
        <v>372</v>
      </c>
      <c r="AB57" s="480">
        <v>10</v>
      </c>
      <c r="AC57" s="395" t="s">
        <v>2</v>
      </c>
      <c r="AD57" s="490">
        <v>40</v>
      </c>
      <c r="AE57" s="364" t="s">
        <v>2</v>
      </c>
      <c r="AF57" s="364" t="s">
        <v>2</v>
      </c>
      <c r="AG57" s="367" t="s">
        <v>1116</v>
      </c>
      <c r="AH57" s="364" t="s">
        <v>825</v>
      </c>
      <c r="AI57" s="364" t="s">
        <v>341</v>
      </c>
      <c r="AJ57" s="364" t="s">
        <v>2</v>
      </c>
      <c r="AK57" s="364" t="s">
        <v>2</v>
      </c>
      <c r="AL57" s="369" t="s">
        <v>2</v>
      </c>
      <c r="AM57" s="306"/>
      <c r="AN57" s="76" t="s">
        <v>846</v>
      </c>
      <c r="AO57" s="77" t="s">
        <v>1232</v>
      </c>
      <c r="AP57" s="78">
        <v>6</v>
      </c>
      <c r="AQ57" s="79" t="s">
        <v>936</v>
      </c>
      <c r="AR57" s="232"/>
      <c r="AS57" s="89"/>
      <c r="AT57" s="90"/>
      <c r="AU57" s="83"/>
      <c r="AV57" s="80" t="s">
        <v>867</v>
      </c>
      <c r="AW57" s="192" t="s">
        <v>869</v>
      </c>
      <c r="AX57" s="84">
        <v>7</v>
      </c>
      <c r="AY57" s="85" t="s">
        <v>868</v>
      </c>
      <c r="AZ57" s="80"/>
      <c r="BA57" s="192"/>
      <c r="BB57" s="84"/>
      <c r="BC57" s="85"/>
      <c r="BD57" s="76"/>
      <c r="BE57" s="119"/>
      <c r="BF57" s="78"/>
      <c r="BG57" s="87"/>
      <c r="BH57" s="76"/>
      <c r="BI57" s="91"/>
      <c r="BJ57" s="78"/>
      <c r="BK57" s="87"/>
    </row>
    <row r="58" spans="1:63" s="305" customFormat="1" ht="54" hidden="1" customHeight="1" x14ac:dyDescent="0.3">
      <c r="A58" s="359" t="s">
        <v>196</v>
      </c>
      <c r="B58" s="497">
        <v>40</v>
      </c>
      <c r="C58" s="360" t="s">
        <v>348</v>
      </c>
      <c r="D58" s="361" t="s">
        <v>349</v>
      </c>
      <c r="E58" s="367" t="s">
        <v>72</v>
      </c>
      <c r="F58" s="365" t="s">
        <v>642</v>
      </c>
      <c r="G58" s="366" t="s">
        <v>644</v>
      </c>
      <c r="H58" s="365" t="s">
        <v>53</v>
      </c>
      <c r="I58" s="366" t="s">
        <v>157</v>
      </c>
      <c r="J58" s="427"/>
      <c r="K58" s="427"/>
      <c r="L58" s="427"/>
      <c r="M58" s="427"/>
      <c r="N58" s="427"/>
      <c r="O58" s="427"/>
      <c r="P58" s="364" t="s">
        <v>825</v>
      </c>
      <c r="Q58" s="361" t="s">
        <v>825</v>
      </c>
      <c r="R58" s="370" t="s">
        <v>431</v>
      </c>
      <c r="S58" s="367" t="s">
        <v>826</v>
      </c>
      <c r="T58" s="361" t="s">
        <v>827</v>
      </c>
      <c r="U58" s="364" t="s">
        <v>532</v>
      </c>
      <c r="V58" s="364" t="s">
        <v>807</v>
      </c>
      <c r="W58" s="434" t="s">
        <v>781</v>
      </c>
      <c r="X58" s="435" t="s">
        <v>788</v>
      </c>
      <c r="Y58" s="395" t="s">
        <v>9</v>
      </c>
      <c r="Z58" s="395" t="s">
        <v>2</v>
      </c>
      <c r="AA58" s="414" t="s">
        <v>2</v>
      </c>
      <c r="AB58" s="480">
        <v>12</v>
      </c>
      <c r="AC58" s="395" t="s">
        <v>2</v>
      </c>
      <c r="AD58" s="490">
        <v>40</v>
      </c>
      <c r="AE58" s="364" t="s">
        <v>2</v>
      </c>
      <c r="AF58" s="364" t="s">
        <v>985</v>
      </c>
      <c r="AG58" s="397" t="s">
        <v>1089</v>
      </c>
      <c r="AH58" s="364" t="s">
        <v>825</v>
      </c>
      <c r="AI58" s="364" t="s">
        <v>341</v>
      </c>
      <c r="AJ58" s="364" t="s">
        <v>2</v>
      </c>
      <c r="AK58" s="364" t="s">
        <v>2</v>
      </c>
      <c r="AL58" s="369" t="s">
        <v>2</v>
      </c>
      <c r="AM58" s="306"/>
      <c r="AN58" s="76" t="s">
        <v>854</v>
      </c>
      <c r="AO58" s="77" t="s">
        <v>855</v>
      </c>
      <c r="AP58" s="78">
        <v>6</v>
      </c>
      <c r="AQ58" s="191" t="s">
        <v>937</v>
      </c>
      <c r="AR58" s="231" t="s">
        <v>842</v>
      </c>
      <c r="AS58" s="192" t="s">
        <v>843</v>
      </c>
      <c r="AT58" s="82">
        <v>7</v>
      </c>
      <c r="AU58" s="191" t="s">
        <v>844</v>
      </c>
      <c r="AV58" s="80"/>
      <c r="AW58" s="192"/>
      <c r="AX58" s="84"/>
      <c r="AY58" s="85"/>
      <c r="AZ58" s="80" t="s">
        <v>919</v>
      </c>
      <c r="BA58" s="192" t="s">
        <v>920</v>
      </c>
      <c r="BB58" s="84">
        <v>6</v>
      </c>
      <c r="BC58" s="85" t="s">
        <v>967</v>
      </c>
      <c r="BD58" s="76"/>
      <c r="BE58" s="119"/>
      <c r="BF58" s="78"/>
      <c r="BG58" s="87"/>
      <c r="BH58" s="76"/>
      <c r="BI58" s="91"/>
      <c r="BJ58" s="78"/>
      <c r="BK58" s="87"/>
    </row>
    <row r="59" spans="1:63" s="305" customFormat="1" ht="54" hidden="1" customHeight="1" x14ac:dyDescent="0.3">
      <c r="A59" s="359" t="s">
        <v>196</v>
      </c>
      <c r="B59" s="497">
        <v>41</v>
      </c>
      <c r="C59" s="360" t="s">
        <v>348</v>
      </c>
      <c r="D59" s="361" t="s">
        <v>349</v>
      </c>
      <c r="E59" s="367" t="s">
        <v>377</v>
      </c>
      <c r="F59" s="430" t="s">
        <v>580</v>
      </c>
      <c r="G59" s="431" t="s">
        <v>584</v>
      </c>
      <c r="H59" s="430" t="s">
        <v>580</v>
      </c>
      <c r="I59" s="431" t="s">
        <v>584</v>
      </c>
      <c r="J59" s="431"/>
      <c r="K59" s="431"/>
      <c r="L59" s="431"/>
      <c r="M59" s="431"/>
      <c r="N59" s="431"/>
      <c r="O59" s="431"/>
      <c r="P59" s="364" t="s">
        <v>825</v>
      </c>
      <c r="Q59" s="361" t="s">
        <v>825</v>
      </c>
      <c r="R59" s="370" t="s">
        <v>432</v>
      </c>
      <c r="S59" s="395" t="s">
        <v>201</v>
      </c>
      <c r="T59" s="361" t="s">
        <v>202</v>
      </c>
      <c r="U59" s="364" t="s">
        <v>2</v>
      </c>
      <c r="V59" s="364" t="s">
        <v>2</v>
      </c>
      <c r="W59" s="432" t="s">
        <v>782</v>
      </c>
      <c r="X59" s="433" t="s">
        <v>777</v>
      </c>
      <c r="Y59" s="395" t="s">
        <v>10</v>
      </c>
      <c r="Z59" s="423" t="s">
        <v>350</v>
      </c>
      <c r="AA59" s="429" t="s">
        <v>351</v>
      </c>
      <c r="AB59" s="480">
        <v>19</v>
      </c>
      <c r="AC59" s="395" t="s">
        <v>2</v>
      </c>
      <c r="AD59" s="490">
        <v>40</v>
      </c>
      <c r="AE59" s="364" t="s">
        <v>2</v>
      </c>
      <c r="AF59" s="364" t="s">
        <v>985</v>
      </c>
      <c r="AG59" s="397" t="s">
        <v>1114</v>
      </c>
      <c r="AH59" s="364" t="s">
        <v>825</v>
      </c>
      <c r="AI59" s="364" t="s">
        <v>341</v>
      </c>
      <c r="AJ59" s="364" t="s">
        <v>2</v>
      </c>
      <c r="AK59" s="364" t="s">
        <v>2</v>
      </c>
      <c r="AL59" s="369" t="s">
        <v>2</v>
      </c>
      <c r="AM59" s="306"/>
      <c r="AN59" s="76" t="s">
        <v>621</v>
      </c>
      <c r="AO59" s="77" t="s">
        <v>622</v>
      </c>
      <c r="AP59" s="78">
        <v>7</v>
      </c>
      <c r="AQ59" s="191" t="s">
        <v>845</v>
      </c>
      <c r="AR59" s="232"/>
      <c r="AS59" s="89"/>
      <c r="AT59" s="90"/>
      <c r="AU59" s="83"/>
      <c r="AV59" s="80" t="s">
        <v>872</v>
      </c>
      <c r="AW59" s="192" t="s">
        <v>1233</v>
      </c>
      <c r="AX59" s="84">
        <v>7</v>
      </c>
      <c r="AY59" s="85" t="s">
        <v>957</v>
      </c>
      <c r="AZ59" s="80"/>
      <c r="BA59" s="192"/>
      <c r="BB59" s="84"/>
      <c r="BC59" s="85"/>
      <c r="BD59" s="76"/>
      <c r="BE59" s="119"/>
      <c r="BF59" s="78"/>
      <c r="BG59" s="87"/>
      <c r="BH59" s="76"/>
      <c r="BI59" s="91"/>
      <c r="BJ59" s="78"/>
      <c r="BK59" s="87"/>
    </row>
    <row r="60" spans="1:63" s="305" customFormat="1" ht="54" hidden="1" customHeight="1" x14ac:dyDescent="0.3">
      <c r="A60" s="359" t="s">
        <v>196</v>
      </c>
      <c r="B60" s="497">
        <v>42</v>
      </c>
      <c r="C60" s="360" t="s">
        <v>348</v>
      </c>
      <c r="D60" s="361" t="s">
        <v>349</v>
      </c>
      <c r="E60" s="367" t="s">
        <v>73</v>
      </c>
      <c r="F60" s="365" t="s">
        <v>643</v>
      </c>
      <c r="G60" s="422" t="s">
        <v>645</v>
      </c>
      <c r="H60" s="365" t="s">
        <v>53</v>
      </c>
      <c r="I60" s="366" t="s">
        <v>157</v>
      </c>
      <c r="J60" s="427"/>
      <c r="K60" s="427"/>
      <c r="L60" s="427"/>
      <c r="M60" s="427"/>
      <c r="N60" s="427"/>
      <c r="O60" s="427"/>
      <c r="P60" s="364" t="s">
        <v>825</v>
      </c>
      <c r="Q60" s="361" t="s">
        <v>825</v>
      </c>
      <c r="R60" s="370" t="s">
        <v>433</v>
      </c>
      <c r="S60" s="367" t="s">
        <v>826</v>
      </c>
      <c r="T60" s="361" t="s">
        <v>827</v>
      </c>
      <c r="U60" s="364" t="s">
        <v>532</v>
      </c>
      <c r="V60" s="364" t="s">
        <v>807</v>
      </c>
      <c r="W60" s="432" t="s">
        <v>783</v>
      </c>
      <c r="X60" s="366" t="s">
        <v>789</v>
      </c>
      <c r="Y60" s="395" t="s">
        <v>9</v>
      </c>
      <c r="Z60" s="395" t="s">
        <v>2</v>
      </c>
      <c r="AA60" s="414" t="s">
        <v>2</v>
      </c>
      <c r="AB60" s="480">
        <v>12</v>
      </c>
      <c r="AC60" s="395" t="s">
        <v>2</v>
      </c>
      <c r="AD60" s="490">
        <v>40</v>
      </c>
      <c r="AE60" s="364" t="s">
        <v>2</v>
      </c>
      <c r="AF60" s="364" t="s">
        <v>985</v>
      </c>
      <c r="AG60" s="397" t="s">
        <v>1089</v>
      </c>
      <c r="AH60" s="364" t="s">
        <v>825</v>
      </c>
      <c r="AI60" s="364" t="s">
        <v>341</v>
      </c>
      <c r="AJ60" s="364" t="s">
        <v>2</v>
      </c>
      <c r="AK60" s="364" t="s">
        <v>2</v>
      </c>
      <c r="AL60" s="369" t="s">
        <v>2</v>
      </c>
      <c r="AM60" s="306"/>
      <c r="AN60" s="76" t="s">
        <v>886</v>
      </c>
      <c r="AO60" s="77" t="s">
        <v>887</v>
      </c>
      <c r="AP60" s="93">
        <v>6</v>
      </c>
      <c r="AQ60" s="79" t="s">
        <v>938</v>
      </c>
      <c r="AR60" s="231" t="s">
        <v>842</v>
      </c>
      <c r="AS60" s="192" t="s">
        <v>843</v>
      </c>
      <c r="AT60" s="82">
        <v>7</v>
      </c>
      <c r="AU60" s="191" t="s">
        <v>844</v>
      </c>
      <c r="AV60" s="80"/>
      <c r="AW60" s="192"/>
      <c r="AX60" s="84"/>
      <c r="AY60" s="85"/>
      <c r="AZ60" s="80" t="s">
        <v>921</v>
      </c>
      <c r="BA60" s="192" t="s">
        <v>922</v>
      </c>
      <c r="BB60" s="84">
        <v>6</v>
      </c>
      <c r="BC60" s="85" t="s">
        <v>968</v>
      </c>
      <c r="BD60" s="76"/>
      <c r="BE60" s="119"/>
      <c r="BF60" s="78"/>
      <c r="BG60" s="87"/>
      <c r="BH60" s="76"/>
      <c r="BI60" s="91"/>
      <c r="BJ60" s="78"/>
      <c r="BK60" s="87"/>
    </row>
    <row r="61" spans="1:63" s="305" customFormat="1" ht="54" hidden="1" customHeight="1" x14ac:dyDescent="0.3">
      <c r="A61" s="359" t="s">
        <v>196</v>
      </c>
      <c r="B61" s="497">
        <v>43</v>
      </c>
      <c r="C61" s="360" t="s">
        <v>348</v>
      </c>
      <c r="D61" s="361" t="s">
        <v>349</v>
      </c>
      <c r="E61" s="367" t="s">
        <v>379</v>
      </c>
      <c r="F61" s="430" t="s">
        <v>581</v>
      </c>
      <c r="G61" s="431" t="s">
        <v>585</v>
      </c>
      <c r="H61" s="430" t="s">
        <v>581</v>
      </c>
      <c r="I61" s="431" t="s">
        <v>585</v>
      </c>
      <c r="J61" s="431"/>
      <c r="K61" s="431"/>
      <c r="L61" s="431"/>
      <c r="M61" s="431"/>
      <c r="N61" s="431"/>
      <c r="O61" s="431"/>
      <c r="P61" s="364" t="s">
        <v>825</v>
      </c>
      <c r="Q61" s="361" t="s">
        <v>825</v>
      </c>
      <c r="R61" s="370" t="s">
        <v>434</v>
      </c>
      <c r="S61" s="367" t="s">
        <v>826</v>
      </c>
      <c r="T61" s="361" t="s">
        <v>827</v>
      </c>
      <c r="U61" s="364" t="s">
        <v>2</v>
      </c>
      <c r="V61" s="364" t="s">
        <v>2</v>
      </c>
      <c r="W61" s="432" t="s">
        <v>558</v>
      </c>
      <c r="X61" s="433" t="s">
        <v>594</v>
      </c>
      <c r="Y61" s="395" t="s">
        <v>10</v>
      </c>
      <c r="Z61" s="423" t="s">
        <v>350</v>
      </c>
      <c r="AA61" s="429" t="s">
        <v>351</v>
      </c>
      <c r="AB61" s="480">
        <v>19</v>
      </c>
      <c r="AC61" s="395" t="s">
        <v>2</v>
      </c>
      <c r="AD61" s="490">
        <v>40</v>
      </c>
      <c r="AE61" s="364" t="s">
        <v>2</v>
      </c>
      <c r="AF61" s="364" t="s">
        <v>985</v>
      </c>
      <c r="AG61" s="397" t="s">
        <v>1089</v>
      </c>
      <c r="AH61" s="364" t="s">
        <v>825</v>
      </c>
      <c r="AI61" s="364" t="s">
        <v>341</v>
      </c>
      <c r="AJ61" s="364" t="s">
        <v>2</v>
      </c>
      <c r="AK61" s="364" t="s">
        <v>2</v>
      </c>
      <c r="AL61" s="369" t="s">
        <v>2</v>
      </c>
      <c r="AM61" s="306"/>
      <c r="AN61" s="76" t="s">
        <v>917</v>
      </c>
      <c r="AO61" s="77" t="s">
        <v>918</v>
      </c>
      <c r="AP61" s="93" t="s">
        <v>931</v>
      </c>
      <c r="AQ61" s="87" t="s">
        <v>939</v>
      </c>
      <c r="AR61" s="232"/>
      <c r="AS61" s="89"/>
      <c r="AT61" s="90"/>
      <c r="AU61" s="83"/>
      <c r="AV61" s="80" t="s">
        <v>872</v>
      </c>
      <c r="AW61" s="192" t="s">
        <v>1233</v>
      </c>
      <c r="AX61" s="84">
        <v>7</v>
      </c>
      <c r="AY61" s="85" t="s">
        <v>957</v>
      </c>
      <c r="AZ61" s="80"/>
      <c r="BA61" s="192"/>
      <c r="BB61" s="84"/>
      <c r="BC61" s="85"/>
      <c r="BD61" s="76"/>
      <c r="BE61" s="119"/>
      <c r="BF61" s="78"/>
      <c r="BG61" s="87"/>
      <c r="BH61" s="76"/>
      <c r="BI61" s="91"/>
      <c r="BJ61" s="78"/>
      <c r="BK61" s="87"/>
    </row>
    <row r="62" spans="1:63" s="305" customFormat="1" ht="54" hidden="1" customHeight="1" x14ac:dyDescent="0.3">
      <c r="A62" s="359" t="s">
        <v>196</v>
      </c>
      <c r="B62" s="497">
        <v>44</v>
      </c>
      <c r="C62" s="360" t="s">
        <v>392</v>
      </c>
      <c r="D62" s="361" t="s">
        <v>393</v>
      </c>
      <c r="E62" s="367" t="s">
        <v>378</v>
      </c>
      <c r="F62" s="365" t="s">
        <v>78</v>
      </c>
      <c r="G62" s="431" t="s">
        <v>138</v>
      </c>
      <c r="H62" s="430" t="s">
        <v>78</v>
      </c>
      <c r="I62" s="431" t="s">
        <v>138</v>
      </c>
      <c r="J62" s="431"/>
      <c r="K62" s="431"/>
      <c r="L62" s="431"/>
      <c r="M62" s="431"/>
      <c r="N62" s="431"/>
      <c r="O62" s="431"/>
      <c r="P62" s="364" t="s">
        <v>825</v>
      </c>
      <c r="Q62" s="361" t="s">
        <v>825</v>
      </c>
      <c r="R62" s="370" t="s">
        <v>435</v>
      </c>
      <c r="S62" s="367" t="s">
        <v>826</v>
      </c>
      <c r="T62" s="361" t="s">
        <v>827</v>
      </c>
      <c r="U62" s="364" t="s">
        <v>2</v>
      </c>
      <c r="V62" s="364" t="s">
        <v>2</v>
      </c>
      <c r="W62" s="365" t="s">
        <v>658</v>
      </c>
      <c r="X62" s="366" t="s">
        <v>659</v>
      </c>
      <c r="Y62" s="395" t="s">
        <v>10</v>
      </c>
      <c r="Z62" s="423" t="s">
        <v>350</v>
      </c>
      <c r="AA62" s="429" t="s">
        <v>351</v>
      </c>
      <c r="AB62" s="480">
        <v>19</v>
      </c>
      <c r="AC62" s="395" t="s">
        <v>2</v>
      </c>
      <c r="AD62" s="490">
        <v>40</v>
      </c>
      <c r="AE62" s="364" t="s">
        <v>2</v>
      </c>
      <c r="AF62" s="364" t="s">
        <v>2</v>
      </c>
      <c r="AG62" s="367" t="s">
        <v>1116</v>
      </c>
      <c r="AH62" s="364" t="s">
        <v>825</v>
      </c>
      <c r="AI62" s="364" t="s">
        <v>341</v>
      </c>
      <c r="AJ62" s="364" t="s">
        <v>2</v>
      </c>
      <c r="AK62" s="364" t="s">
        <v>2</v>
      </c>
      <c r="AL62" s="369" t="s">
        <v>2</v>
      </c>
      <c r="AM62" s="306"/>
      <c r="AN62" s="76" t="s">
        <v>913</v>
      </c>
      <c r="AO62" s="77" t="s">
        <v>914</v>
      </c>
      <c r="AP62" s="93">
        <v>7</v>
      </c>
      <c r="AQ62" s="79" t="s">
        <v>940</v>
      </c>
      <c r="AR62" s="232"/>
      <c r="AS62" s="89"/>
      <c r="AT62" s="90"/>
      <c r="AU62" s="83"/>
      <c r="AV62" s="80" t="s">
        <v>910</v>
      </c>
      <c r="AW62" s="192" t="s">
        <v>911</v>
      </c>
      <c r="AX62" s="84">
        <v>7</v>
      </c>
      <c r="AY62" s="85" t="s">
        <v>958</v>
      </c>
      <c r="AZ62" s="80"/>
      <c r="BA62" s="192"/>
      <c r="BB62" s="84"/>
      <c r="BC62" s="85"/>
      <c r="BD62" s="76"/>
      <c r="BE62" s="119"/>
      <c r="BF62" s="78"/>
      <c r="BG62" s="87"/>
      <c r="BH62" s="76"/>
      <c r="BI62" s="91"/>
      <c r="BJ62" s="78"/>
      <c r="BK62" s="87"/>
    </row>
    <row r="63" spans="1:63" s="305" customFormat="1" ht="54" hidden="1" customHeight="1" x14ac:dyDescent="0.3">
      <c r="A63" s="359" t="s">
        <v>196</v>
      </c>
      <c r="B63" s="497">
        <v>45</v>
      </c>
      <c r="C63" s="360" t="s">
        <v>392</v>
      </c>
      <c r="D63" s="361" t="s">
        <v>393</v>
      </c>
      <c r="E63" s="367" t="s">
        <v>82</v>
      </c>
      <c r="F63" s="365" t="s">
        <v>688</v>
      </c>
      <c r="G63" s="366" t="s">
        <v>139</v>
      </c>
      <c r="H63" s="365" t="s">
        <v>81</v>
      </c>
      <c r="I63" s="366" t="s">
        <v>758</v>
      </c>
      <c r="J63" s="427"/>
      <c r="K63" s="427"/>
      <c r="L63" s="427"/>
      <c r="M63" s="427"/>
      <c r="N63" s="427"/>
      <c r="O63" s="427"/>
      <c r="P63" s="364" t="s">
        <v>825</v>
      </c>
      <c r="Q63" s="361" t="s">
        <v>825</v>
      </c>
      <c r="R63" s="370" t="s">
        <v>436</v>
      </c>
      <c r="S63" s="367" t="s">
        <v>826</v>
      </c>
      <c r="T63" s="361" t="s">
        <v>827</v>
      </c>
      <c r="U63" s="364" t="s">
        <v>338</v>
      </c>
      <c r="V63" s="364" t="s">
        <v>699</v>
      </c>
      <c r="W63" s="396" t="s">
        <v>493</v>
      </c>
      <c r="X63" s="366" t="s">
        <v>508</v>
      </c>
      <c r="Y63" s="395" t="s">
        <v>10</v>
      </c>
      <c r="Z63" s="395" t="s">
        <v>2</v>
      </c>
      <c r="AA63" s="414" t="s">
        <v>2</v>
      </c>
      <c r="AB63" s="480">
        <v>5</v>
      </c>
      <c r="AC63" s="395" t="s">
        <v>2</v>
      </c>
      <c r="AD63" s="490">
        <v>40</v>
      </c>
      <c r="AE63" s="364" t="s">
        <v>2</v>
      </c>
      <c r="AF63" s="364" t="s">
        <v>2</v>
      </c>
      <c r="AG63" s="367" t="s">
        <v>1113</v>
      </c>
      <c r="AH63" s="364" t="s">
        <v>825</v>
      </c>
      <c r="AI63" s="364" t="s">
        <v>341</v>
      </c>
      <c r="AJ63" s="364" t="s">
        <v>2</v>
      </c>
      <c r="AK63" s="364" t="s">
        <v>2</v>
      </c>
      <c r="AL63" s="369" t="s">
        <v>2</v>
      </c>
      <c r="AM63" s="306"/>
      <c r="AN63" s="76" t="s">
        <v>885</v>
      </c>
      <c r="AO63" s="77" t="s">
        <v>1234</v>
      </c>
      <c r="AP63" s="93" t="s">
        <v>884</v>
      </c>
      <c r="AQ63" s="87" t="s">
        <v>941</v>
      </c>
      <c r="AR63" s="231" t="s">
        <v>842</v>
      </c>
      <c r="AS63" s="192" t="s">
        <v>843</v>
      </c>
      <c r="AT63" s="82">
        <v>7</v>
      </c>
      <c r="AU63" s="191" t="s">
        <v>844</v>
      </c>
      <c r="AV63" s="80"/>
      <c r="AW63" s="192"/>
      <c r="AX63" s="84"/>
      <c r="AY63" s="85"/>
      <c r="AZ63" s="80"/>
      <c r="BA63" s="192"/>
      <c r="BB63" s="84"/>
      <c r="BC63" s="85"/>
      <c r="BD63" s="76"/>
      <c r="BE63" s="119"/>
      <c r="BF63" s="78"/>
      <c r="BG63" s="87"/>
      <c r="BH63" s="76"/>
      <c r="BI63" s="91"/>
      <c r="BJ63" s="78"/>
      <c r="BK63" s="87"/>
    </row>
    <row r="64" spans="1:63" s="127" customFormat="1" ht="54" hidden="1" customHeight="1" x14ac:dyDescent="0.3">
      <c r="A64" s="402" t="s">
        <v>196</v>
      </c>
      <c r="B64" s="500">
        <v>46</v>
      </c>
      <c r="C64" s="403" t="s">
        <v>2</v>
      </c>
      <c r="D64" s="403" t="s">
        <v>2</v>
      </c>
      <c r="E64" s="407" t="s">
        <v>164</v>
      </c>
      <c r="F64" s="404" t="s">
        <v>160</v>
      </c>
      <c r="G64" s="404" t="s">
        <v>177</v>
      </c>
      <c r="H64" s="404" t="s">
        <v>86</v>
      </c>
      <c r="I64" s="404" t="s">
        <v>121</v>
      </c>
      <c r="J64" s="515"/>
      <c r="K64" s="515"/>
      <c r="L64" s="515"/>
      <c r="M64" s="515"/>
      <c r="N64" s="515"/>
      <c r="O64" s="515"/>
      <c r="P64" s="403" t="s">
        <v>2</v>
      </c>
      <c r="Q64" s="403" t="s">
        <v>2</v>
      </c>
      <c r="R64" s="510" t="s">
        <v>437</v>
      </c>
      <c r="S64" s="405" t="s">
        <v>2</v>
      </c>
      <c r="T64" s="403" t="s">
        <v>2</v>
      </c>
      <c r="U64" s="403" t="s">
        <v>2</v>
      </c>
      <c r="V64" s="403" t="s">
        <v>2</v>
      </c>
      <c r="W64" s="406" t="s">
        <v>2</v>
      </c>
      <c r="X64" s="406" t="s">
        <v>2</v>
      </c>
      <c r="Y64" s="405" t="s">
        <v>10</v>
      </c>
      <c r="Z64" s="405" t="s">
        <v>2</v>
      </c>
      <c r="AA64" s="405" t="s">
        <v>2</v>
      </c>
      <c r="AB64" s="481">
        <v>1</v>
      </c>
      <c r="AC64" s="405" t="s">
        <v>2</v>
      </c>
      <c r="AD64" s="491">
        <v>43</v>
      </c>
      <c r="AE64" s="491">
        <v>41</v>
      </c>
      <c r="AF64" s="403" t="s">
        <v>2</v>
      </c>
      <c r="AG64" s="403" t="s">
        <v>2</v>
      </c>
      <c r="AH64" s="403" t="s">
        <v>2</v>
      </c>
      <c r="AI64" s="403" t="s">
        <v>341</v>
      </c>
      <c r="AJ64" s="403" t="s">
        <v>2</v>
      </c>
      <c r="AK64" s="403" t="s">
        <v>2</v>
      </c>
      <c r="AL64" s="408" t="s">
        <v>2</v>
      </c>
      <c r="AM64" s="115"/>
      <c r="AN64" s="116"/>
      <c r="AO64" s="119"/>
      <c r="AP64" s="117"/>
      <c r="AQ64" s="118"/>
      <c r="AR64" s="233"/>
      <c r="AS64" s="119"/>
      <c r="AT64" s="120"/>
      <c r="AU64" s="121"/>
      <c r="AV64" s="122"/>
      <c r="AW64" s="192"/>
      <c r="AX64" s="123"/>
      <c r="AY64" s="124"/>
      <c r="AZ64" s="122"/>
      <c r="BA64" s="192"/>
      <c r="BB64" s="123"/>
      <c r="BC64" s="147"/>
      <c r="BD64" s="125"/>
      <c r="BE64" s="119"/>
      <c r="BF64" s="117"/>
      <c r="BG64" s="126"/>
      <c r="BH64" s="125"/>
      <c r="BI64" s="91"/>
      <c r="BJ64" s="117"/>
      <c r="BK64" s="126"/>
    </row>
    <row r="65" spans="1:63" s="305" customFormat="1" ht="54" hidden="1" customHeight="1" x14ac:dyDescent="0.3">
      <c r="A65" s="359" t="s">
        <v>196</v>
      </c>
      <c r="B65" s="497">
        <v>47</v>
      </c>
      <c r="C65" s="360" t="s">
        <v>386</v>
      </c>
      <c r="D65" s="361" t="s">
        <v>387</v>
      </c>
      <c r="E65" s="367" t="s">
        <v>111</v>
      </c>
      <c r="F65" s="365" t="s">
        <v>112</v>
      </c>
      <c r="G65" s="366" t="s">
        <v>112</v>
      </c>
      <c r="H65" s="365" t="s">
        <v>689</v>
      </c>
      <c r="I65" s="366" t="s">
        <v>181</v>
      </c>
      <c r="J65" s="427"/>
      <c r="K65" s="427"/>
      <c r="L65" s="427"/>
      <c r="M65" s="427"/>
      <c r="N65" s="427"/>
      <c r="O65" s="427"/>
      <c r="P65" s="364" t="s">
        <v>825</v>
      </c>
      <c r="Q65" s="361" t="s">
        <v>825</v>
      </c>
      <c r="R65" s="370" t="s">
        <v>438</v>
      </c>
      <c r="S65" s="367" t="s">
        <v>826</v>
      </c>
      <c r="T65" s="361" t="s">
        <v>827</v>
      </c>
      <c r="U65" s="364" t="s">
        <v>526</v>
      </c>
      <c r="V65" s="364" t="s">
        <v>717</v>
      </c>
      <c r="W65" s="396" t="s">
        <v>784</v>
      </c>
      <c r="X65" s="366" t="s">
        <v>790</v>
      </c>
      <c r="Y65" s="395" t="s">
        <v>9</v>
      </c>
      <c r="Z65" s="395" t="s">
        <v>2</v>
      </c>
      <c r="AA65" s="414" t="s">
        <v>2</v>
      </c>
      <c r="AB65" s="480">
        <v>2</v>
      </c>
      <c r="AC65" s="395" t="s">
        <v>2</v>
      </c>
      <c r="AD65" s="490">
        <v>42</v>
      </c>
      <c r="AE65" s="364" t="s">
        <v>2</v>
      </c>
      <c r="AF65" s="364" t="s">
        <v>985</v>
      </c>
      <c r="AG65" s="397" t="s">
        <v>1117</v>
      </c>
      <c r="AH65" s="364" t="s">
        <v>825</v>
      </c>
      <c r="AI65" s="364" t="s">
        <v>341</v>
      </c>
      <c r="AJ65" s="364" t="s">
        <v>2</v>
      </c>
      <c r="AK65" s="364" t="s">
        <v>2</v>
      </c>
      <c r="AL65" s="369" t="s">
        <v>2</v>
      </c>
      <c r="AM65" s="306"/>
      <c r="AN65" s="76" t="s">
        <v>1111</v>
      </c>
      <c r="AO65" s="77" t="s">
        <v>1112</v>
      </c>
      <c r="AP65" s="78">
        <v>7</v>
      </c>
      <c r="AQ65" s="79" t="s">
        <v>942</v>
      </c>
      <c r="AR65" s="231" t="s">
        <v>842</v>
      </c>
      <c r="AS65" s="192" t="s">
        <v>843</v>
      </c>
      <c r="AT65" s="82">
        <v>7</v>
      </c>
      <c r="AU65" s="191" t="s">
        <v>844</v>
      </c>
      <c r="AV65" s="80" t="s">
        <v>870</v>
      </c>
      <c r="AW65" s="192" t="s">
        <v>871</v>
      </c>
      <c r="AX65" s="84">
        <v>6</v>
      </c>
      <c r="AY65" s="85" t="s">
        <v>959</v>
      </c>
      <c r="AZ65" s="80"/>
      <c r="BA65" s="192"/>
      <c r="BB65" s="84"/>
      <c r="BC65" s="85"/>
      <c r="BD65" s="76"/>
      <c r="BE65" s="119"/>
      <c r="BF65" s="78"/>
      <c r="BG65" s="87"/>
      <c r="BH65" s="76"/>
      <c r="BI65" s="91"/>
      <c r="BJ65" s="78"/>
      <c r="BK65" s="87"/>
    </row>
    <row r="66" spans="1:63" s="127" customFormat="1" ht="54" hidden="1" customHeight="1" x14ac:dyDescent="0.3">
      <c r="A66" s="402" t="s">
        <v>196</v>
      </c>
      <c r="B66" s="500">
        <v>48</v>
      </c>
      <c r="C66" s="403" t="s">
        <v>2</v>
      </c>
      <c r="D66" s="403" t="s">
        <v>2</v>
      </c>
      <c r="E66" s="405" t="s">
        <v>106</v>
      </c>
      <c r="F66" s="404" t="s">
        <v>86</v>
      </c>
      <c r="G66" s="404" t="s">
        <v>121</v>
      </c>
      <c r="H66" s="404" t="s">
        <v>86</v>
      </c>
      <c r="I66" s="404" t="s">
        <v>121</v>
      </c>
      <c r="J66" s="515"/>
      <c r="K66" s="515"/>
      <c r="L66" s="515"/>
      <c r="M66" s="515"/>
      <c r="N66" s="515"/>
      <c r="O66" s="515"/>
      <c r="P66" s="403" t="s">
        <v>2</v>
      </c>
      <c r="Q66" s="403" t="s">
        <v>2</v>
      </c>
      <c r="R66" s="510" t="s">
        <v>439</v>
      </c>
      <c r="S66" s="405" t="s">
        <v>2</v>
      </c>
      <c r="T66" s="403" t="s">
        <v>2</v>
      </c>
      <c r="U66" s="403" t="s">
        <v>2</v>
      </c>
      <c r="V66" s="403" t="s">
        <v>2</v>
      </c>
      <c r="W66" s="406" t="s">
        <v>2</v>
      </c>
      <c r="X66" s="406" t="s">
        <v>2</v>
      </c>
      <c r="Y66" s="405" t="s">
        <v>9</v>
      </c>
      <c r="Z66" s="405" t="s">
        <v>2</v>
      </c>
      <c r="AA66" s="405" t="s">
        <v>2</v>
      </c>
      <c r="AB66" s="481">
        <v>27</v>
      </c>
      <c r="AC66" s="405" t="s">
        <v>2</v>
      </c>
      <c r="AD66" s="491">
        <v>40</v>
      </c>
      <c r="AE66" s="491">
        <v>43</v>
      </c>
      <c r="AF66" s="407" t="s">
        <v>2</v>
      </c>
      <c r="AG66" s="403" t="s">
        <v>2</v>
      </c>
      <c r="AH66" s="403" t="s">
        <v>2</v>
      </c>
      <c r="AI66" s="403" t="s">
        <v>341</v>
      </c>
      <c r="AJ66" s="403" t="s">
        <v>2</v>
      </c>
      <c r="AK66" s="403" t="s">
        <v>2</v>
      </c>
      <c r="AL66" s="408" t="s">
        <v>2</v>
      </c>
      <c r="AM66" s="115"/>
      <c r="AN66" s="116"/>
      <c r="AO66" s="119"/>
      <c r="AP66" s="117"/>
      <c r="AQ66" s="118"/>
      <c r="AR66" s="233"/>
      <c r="AS66" s="119"/>
      <c r="AT66" s="120"/>
      <c r="AU66" s="121"/>
      <c r="AV66" s="122"/>
      <c r="AW66" s="192"/>
      <c r="AX66" s="123"/>
      <c r="AY66" s="124"/>
      <c r="AZ66" s="122"/>
      <c r="BA66" s="192"/>
      <c r="BB66" s="123"/>
      <c r="BC66" s="147"/>
      <c r="BD66" s="125"/>
      <c r="BE66" s="119"/>
      <c r="BF66" s="117"/>
      <c r="BG66" s="126"/>
      <c r="BH66" s="125"/>
      <c r="BI66" s="91"/>
      <c r="BJ66" s="117"/>
      <c r="BK66" s="126"/>
    </row>
    <row r="67" spans="1:63" s="305" customFormat="1" ht="54" hidden="1" customHeight="1" x14ac:dyDescent="0.3">
      <c r="A67" s="359" t="s">
        <v>196</v>
      </c>
      <c r="B67" s="497">
        <v>49</v>
      </c>
      <c r="C67" s="360" t="s">
        <v>382</v>
      </c>
      <c r="D67" s="361" t="s">
        <v>383</v>
      </c>
      <c r="E67" s="367" t="s">
        <v>31</v>
      </c>
      <c r="F67" s="365" t="s">
        <v>732</v>
      </c>
      <c r="G67" s="366" t="s">
        <v>733</v>
      </c>
      <c r="H67" s="365" t="s">
        <v>750</v>
      </c>
      <c r="I67" s="366" t="s">
        <v>751</v>
      </c>
      <c r="J67" s="427"/>
      <c r="K67" s="427"/>
      <c r="L67" s="427"/>
      <c r="M67" s="427"/>
      <c r="N67" s="427"/>
      <c r="O67" s="427"/>
      <c r="P67" s="364" t="s">
        <v>825</v>
      </c>
      <c r="Q67" s="361" t="s">
        <v>825</v>
      </c>
      <c r="R67" s="370" t="s">
        <v>440</v>
      </c>
      <c r="S67" s="367" t="s">
        <v>826</v>
      </c>
      <c r="T67" s="361" t="s">
        <v>827</v>
      </c>
      <c r="U67" s="364" t="s">
        <v>509</v>
      </c>
      <c r="V67" s="364" t="s">
        <v>718</v>
      </c>
      <c r="W67" s="396" t="s">
        <v>785</v>
      </c>
      <c r="X67" s="366" t="s">
        <v>778</v>
      </c>
      <c r="Y67" s="395" t="s">
        <v>9</v>
      </c>
      <c r="Z67" s="395" t="s">
        <v>2</v>
      </c>
      <c r="AA67" s="414" t="s">
        <v>2</v>
      </c>
      <c r="AB67" s="480">
        <v>1</v>
      </c>
      <c r="AC67" s="395" t="s">
        <v>2</v>
      </c>
      <c r="AD67" s="490">
        <v>40</v>
      </c>
      <c r="AE67" s="364" t="s">
        <v>2</v>
      </c>
      <c r="AF67" s="364" t="s">
        <v>2</v>
      </c>
      <c r="AG67" s="367" t="s">
        <v>1113</v>
      </c>
      <c r="AH67" s="364" t="s">
        <v>825</v>
      </c>
      <c r="AI67" s="364" t="s">
        <v>341</v>
      </c>
      <c r="AJ67" s="364" t="s">
        <v>2</v>
      </c>
      <c r="AK67" s="364" t="s">
        <v>2</v>
      </c>
      <c r="AL67" s="369" t="s">
        <v>2</v>
      </c>
      <c r="AM67" s="306"/>
      <c r="AN67" s="76" t="s">
        <v>848</v>
      </c>
      <c r="AO67" s="77" t="s">
        <v>849</v>
      </c>
      <c r="AP67" s="93">
        <v>6</v>
      </c>
      <c r="AQ67" s="87" t="s">
        <v>943</v>
      </c>
      <c r="AR67" s="231" t="s">
        <v>842</v>
      </c>
      <c r="AS67" s="192" t="s">
        <v>843</v>
      </c>
      <c r="AT67" s="82">
        <v>7</v>
      </c>
      <c r="AU67" s="191" t="s">
        <v>844</v>
      </c>
      <c r="AV67" s="80" t="s">
        <v>873</v>
      </c>
      <c r="AW67" s="192" t="s">
        <v>874</v>
      </c>
      <c r="AX67" s="84">
        <v>6</v>
      </c>
      <c r="AY67" s="85" t="s">
        <v>960</v>
      </c>
      <c r="AZ67" s="80"/>
      <c r="BA67" s="192"/>
      <c r="BB67" s="84"/>
      <c r="BC67" s="85"/>
      <c r="BD67" s="76"/>
      <c r="BE67" s="119"/>
      <c r="BF67" s="78"/>
      <c r="BG67" s="87"/>
      <c r="BH67" s="34"/>
      <c r="BI67" s="91"/>
      <c r="BJ67" s="93"/>
      <c r="BK67" s="85"/>
    </row>
    <row r="68" spans="1:63" s="127" customFormat="1" ht="54" hidden="1" customHeight="1" x14ac:dyDescent="0.3">
      <c r="A68" s="402" t="s">
        <v>196</v>
      </c>
      <c r="B68" s="500">
        <v>50</v>
      </c>
      <c r="C68" s="403" t="s">
        <v>382</v>
      </c>
      <c r="D68" s="403" t="s">
        <v>383</v>
      </c>
      <c r="E68" s="407" t="s">
        <v>100</v>
      </c>
      <c r="F68" s="404" t="s">
        <v>89</v>
      </c>
      <c r="G68" s="404" t="s">
        <v>140</v>
      </c>
      <c r="H68" s="404" t="s">
        <v>93</v>
      </c>
      <c r="I68" s="404" t="s">
        <v>182</v>
      </c>
      <c r="J68" s="515"/>
      <c r="K68" s="515"/>
      <c r="L68" s="515"/>
      <c r="M68" s="515"/>
      <c r="N68" s="515"/>
      <c r="O68" s="515"/>
      <c r="P68" s="403" t="s">
        <v>2</v>
      </c>
      <c r="Q68" s="403" t="s">
        <v>2</v>
      </c>
      <c r="R68" s="510" t="s">
        <v>441</v>
      </c>
      <c r="S68" s="407" t="s">
        <v>2</v>
      </c>
      <c r="T68" s="403" t="s">
        <v>2</v>
      </c>
      <c r="U68" s="403" t="s">
        <v>510</v>
      </c>
      <c r="V68" s="403" t="s">
        <v>719</v>
      </c>
      <c r="W68" s="406" t="s">
        <v>2</v>
      </c>
      <c r="X68" s="406" t="s">
        <v>2</v>
      </c>
      <c r="Y68" s="405" t="s">
        <v>9</v>
      </c>
      <c r="Z68" s="405" t="s">
        <v>2</v>
      </c>
      <c r="AA68" s="405" t="s">
        <v>2</v>
      </c>
      <c r="AB68" s="481">
        <v>1</v>
      </c>
      <c r="AC68" s="405" t="s">
        <v>2</v>
      </c>
      <c r="AD68" s="491">
        <v>40</v>
      </c>
      <c r="AE68" s="491">
        <v>45</v>
      </c>
      <c r="AF68" s="403" t="s">
        <v>2</v>
      </c>
      <c r="AG68" s="407" t="s">
        <v>1116</v>
      </c>
      <c r="AH68" s="403" t="s">
        <v>2</v>
      </c>
      <c r="AI68" s="403" t="s">
        <v>341</v>
      </c>
      <c r="AJ68" s="403" t="s">
        <v>2</v>
      </c>
      <c r="AK68" s="403" t="s">
        <v>2</v>
      </c>
      <c r="AL68" s="408" t="s">
        <v>2</v>
      </c>
      <c r="AM68" s="115"/>
      <c r="AN68" s="250"/>
      <c r="AO68" s="251"/>
      <c r="AP68" s="252"/>
      <c r="AQ68" s="253"/>
      <c r="AR68" s="254"/>
      <c r="AS68" s="255"/>
      <c r="AT68" s="256"/>
      <c r="AU68" s="257"/>
      <c r="AV68" s="122"/>
      <c r="AW68" s="249"/>
      <c r="AX68" s="123"/>
      <c r="AY68" s="147"/>
      <c r="AZ68" s="122"/>
      <c r="BA68" s="249"/>
      <c r="BB68" s="123"/>
      <c r="BC68" s="147"/>
      <c r="BD68" s="116"/>
      <c r="BE68" s="119"/>
      <c r="BF68" s="117"/>
      <c r="BG68" s="126"/>
      <c r="BH68" s="116"/>
      <c r="BI68" s="177"/>
      <c r="BJ68" s="117"/>
      <c r="BK68" s="126"/>
    </row>
    <row r="69" spans="1:63" s="305" customFormat="1" ht="54" hidden="1" customHeight="1" x14ac:dyDescent="0.3">
      <c r="A69" s="359" t="s">
        <v>196</v>
      </c>
      <c r="B69" s="497">
        <v>51</v>
      </c>
      <c r="C69" s="360" t="s">
        <v>382</v>
      </c>
      <c r="D69" s="361" t="s">
        <v>383</v>
      </c>
      <c r="E69" s="367" t="s">
        <v>380</v>
      </c>
      <c r="F69" s="430" t="s">
        <v>690</v>
      </c>
      <c r="G69" s="431" t="s">
        <v>141</v>
      </c>
      <c r="H69" s="430" t="s">
        <v>690</v>
      </c>
      <c r="I69" s="431" t="s">
        <v>141</v>
      </c>
      <c r="J69" s="431"/>
      <c r="K69" s="431"/>
      <c r="L69" s="431"/>
      <c r="M69" s="431"/>
      <c r="N69" s="431"/>
      <c r="O69" s="431"/>
      <c r="P69" s="364" t="s">
        <v>825</v>
      </c>
      <c r="Q69" s="361" t="s">
        <v>825</v>
      </c>
      <c r="R69" s="370" t="s">
        <v>442</v>
      </c>
      <c r="S69" s="367" t="s">
        <v>826</v>
      </c>
      <c r="T69" s="361" t="s">
        <v>827</v>
      </c>
      <c r="U69" s="364" t="s">
        <v>2</v>
      </c>
      <c r="V69" s="364" t="s">
        <v>2</v>
      </c>
      <c r="W69" s="396" t="s">
        <v>627</v>
      </c>
      <c r="X69" s="366" t="s">
        <v>628</v>
      </c>
      <c r="Y69" s="395" t="s">
        <v>10</v>
      </c>
      <c r="Z69" s="423" t="s">
        <v>350</v>
      </c>
      <c r="AA69" s="429" t="s">
        <v>351</v>
      </c>
      <c r="AB69" s="480">
        <v>19</v>
      </c>
      <c r="AC69" s="395" t="s">
        <v>2</v>
      </c>
      <c r="AD69" s="490">
        <v>40</v>
      </c>
      <c r="AE69" s="364" t="s">
        <v>2</v>
      </c>
      <c r="AF69" s="364" t="s">
        <v>2</v>
      </c>
      <c r="AG69" s="367" t="s">
        <v>1116</v>
      </c>
      <c r="AH69" s="364" t="s">
        <v>825</v>
      </c>
      <c r="AI69" s="364" t="s">
        <v>341</v>
      </c>
      <c r="AJ69" s="364" t="s">
        <v>2</v>
      </c>
      <c r="AK69" s="364" t="s">
        <v>2</v>
      </c>
      <c r="AL69" s="369" t="s">
        <v>2</v>
      </c>
      <c r="AM69" s="306"/>
      <c r="AN69" s="76" t="s">
        <v>865</v>
      </c>
      <c r="AO69" s="77" t="s">
        <v>866</v>
      </c>
      <c r="AP69" s="93">
        <v>6</v>
      </c>
      <c r="AQ69" s="79" t="s">
        <v>944</v>
      </c>
      <c r="AR69" s="232"/>
      <c r="AS69" s="89"/>
      <c r="AT69" s="90"/>
      <c r="AU69" s="83"/>
      <c r="AV69" s="80" t="s">
        <v>872</v>
      </c>
      <c r="AW69" s="192" t="s">
        <v>1233</v>
      </c>
      <c r="AX69" s="84">
        <v>7</v>
      </c>
      <c r="AY69" s="85" t="s">
        <v>957</v>
      </c>
      <c r="AZ69" s="80"/>
      <c r="BA69" s="192"/>
      <c r="BB69" s="84"/>
      <c r="BC69" s="85"/>
      <c r="BD69" s="76"/>
      <c r="BE69" s="119"/>
      <c r="BF69" s="78"/>
      <c r="BG69" s="87"/>
      <c r="BH69" s="76"/>
      <c r="BI69" s="91"/>
      <c r="BJ69" s="78"/>
      <c r="BK69" s="87"/>
    </row>
    <row r="70" spans="1:63" s="305" customFormat="1" ht="54" hidden="1" customHeight="1" x14ac:dyDescent="0.3">
      <c r="A70" s="359" t="s">
        <v>196</v>
      </c>
      <c r="B70" s="497">
        <v>52</v>
      </c>
      <c r="C70" s="360" t="s">
        <v>382</v>
      </c>
      <c r="D70" s="361" t="s">
        <v>383</v>
      </c>
      <c r="E70" s="367" t="s">
        <v>381</v>
      </c>
      <c r="F70" s="365" t="s">
        <v>691</v>
      </c>
      <c r="G70" s="431" t="s">
        <v>142</v>
      </c>
      <c r="H70" s="430" t="s">
        <v>691</v>
      </c>
      <c r="I70" s="431" t="s">
        <v>142</v>
      </c>
      <c r="J70" s="431"/>
      <c r="K70" s="431"/>
      <c r="L70" s="431"/>
      <c r="M70" s="431"/>
      <c r="N70" s="431"/>
      <c r="O70" s="431"/>
      <c r="P70" s="364" t="s">
        <v>825</v>
      </c>
      <c r="Q70" s="361" t="s">
        <v>825</v>
      </c>
      <c r="R70" s="370" t="s">
        <v>443</v>
      </c>
      <c r="S70" s="367" t="s">
        <v>826</v>
      </c>
      <c r="T70" s="361" t="s">
        <v>827</v>
      </c>
      <c r="U70" s="364" t="s">
        <v>2</v>
      </c>
      <c r="V70" s="364" t="s">
        <v>2</v>
      </c>
      <c r="W70" s="396" t="s">
        <v>629</v>
      </c>
      <c r="X70" s="366" t="s">
        <v>630</v>
      </c>
      <c r="Y70" s="395" t="s">
        <v>10</v>
      </c>
      <c r="Z70" s="423" t="s">
        <v>350</v>
      </c>
      <c r="AA70" s="429" t="s">
        <v>351</v>
      </c>
      <c r="AB70" s="480">
        <v>19</v>
      </c>
      <c r="AC70" s="395" t="s">
        <v>2</v>
      </c>
      <c r="AD70" s="490">
        <v>40</v>
      </c>
      <c r="AE70" s="364" t="s">
        <v>2</v>
      </c>
      <c r="AF70" s="364" t="s">
        <v>2</v>
      </c>
      <c r="AG70" s="367" t="s">
        <v>1116</v>
      </c>
      <c r="AH70" s="364" t="s">
        <v>825</v>
      </c>
      <c r="AI70" s="364" t="s">
        <v>341</v>
      </c>
      <c r="AJ70" s="364" t="s">
        <v>2</v>
      </c>
      <c r="AK70" s="364" t="s">
        <v>2</v>
      </c>
      <c r="AL70" s="369" t="s">
        <v>2</v>
      </c>
      <c r="AM70" s="306"/>
      <c r="AN70" s="76" t="s">
        <v>865</v>
      </c>
      <c r="AO70" s="77" t="s">
        <v>866</v>
      </c>
      <c r="AP70" s="93">
        <v>6</v>
      </c>
      <c r="AQ70" s="79" t="s">
        <v>944</v>
      </c>
      <c r="AR70" s="232"/>
      <c r="AS70" s="89"/>
      <c r="AT70" s="90"/>
      <c r="AU70" s="83"/>
      <c r="AV70" s="80" t="s">
        <v>872</v>
      </c>
      <c r="AW70" s="192" t="s">
        <v>1233</v>
      </c>
      <c r="AX70" s="84">
        <v>7</v>
      </c>
      <c r="AY70" s="85" t="s">
        <v>957</v>
      </c>
      <c r="AZ70" s="80"/>
      <c r="BA70" s="192"/>
      <c r="BB70" s="84"/>
      <c r="BC70" s="85"/>
      <c r="BD70" s="76"/>
      <c r="BE70" s="119"/>
      <c r="BF70" s="78"/>
      <c r="BG70" s="87"/>
      <c r="BH70" s="76"/>
      <c r="BI70" s="91"/>
      <c r="BJ70" s="78"/>
      <c r="BK70" s="87"/>
    </row>
    <row r="71" spans="1:63" s="305" customFormat="1" ht="54" hidden="1" customHeight="1" x14ac:dyDescent="0.3">
      <c r="A71" s="359" t="s">
        <v>196</v>
      </c>
      <c r="B71" s="497">
        <v>53</v>
      </c>
      <c r="C71" s="360" t="s">
        <v>382</v>
      </c>
      <c r="D71" s="361" t="s">
        <v>383</v>
      </c>
      <c r="E71" s="367" t="s">
        <v>32</v>
      </c>
      <c r="F71" s="365" t="s">
        <v>21</v>
      </c>
      <c r="G71" s="366" t="s">
        <v>143</v>
      </c>
      <c r="H71" s="365" t="s">
        <v>21</v>
      </c>
      <c r="I71" s="366" t="s">
        <v>143</v>
      </c>
      <c r="J71" s="427"/>
      <c r="K71" s="427"/>
      <c r="L71" s="427"/>
      <c r="M71" s="427"/>
      <c r="N71" s="427"/>
      <c r="O71" s="427"/>
      <c r="P71" s="364" t="s">
        <v>825</v>
      </c>
      <c r="Q71" s="361" t="s">
        <v>825</v>
      </c>
      <c r="R71" s="370" t="s">
        <v>444</v>
      </c>
      <c r="S71" s="395" t="s">
        <v>227</v>
      </c>
      <c r="T71" s="361" t="s">
        <v>228</v>
      </c>
      <c r="U71" s="364" t="s">
        <v>511</v>
      </c>
      <c r="V71" s="364" t="s">
        <v>720</v>
      </c>
      <c r="W71" s="396" t="s">
        <v>631</v>
      </c>
      <c r="X71" s="435" t="s">
        <v>632</v>
      </c>
      <c r="Y71" s="395" t="s">
        <v>9</v>
      </c>
      <c r="Z71" s="395" t="s">
        <v>2</v>
      </c>
      <c r="AA71" s="414" t="s">
        <v>2</v>
      </c>
      <c r="AB71" s="480">
        <v>1</v>
      </c>
      <c r="AC71" s="395" t="s">
        <v>2</v>
      </c>
      <c r="AD71" s="490">
        <v>40</v>
      </c>
      <c r="AE71" s="364" t="s">
        <v>2</v>
      </c>
      <c r="AF71" s="364" t="s">
        <v>2</v>
      </c>
      <c r="AG71" s="367" t="s">
        <v>1116</v>
      </c>
      <c r="AH71" s="364" t="s">
        <v>825</v>
      </c>
      <c r="AI71" s="364" t="s">
        <v>341</v>
      </c>
      <c r="AJ71" s="364" t="s">
        <v>2</v>
      </c>
      <c r="AK71" s="364" t="s">
        <v>2</v>
      </c>
      <c r="AL71" s="369" t="s">
        <v>2</v>
      </c>
      <c r="AM71" s="306"/>
      <c r="AN71" s="76"/>
      <c r="AO71" s="77"/>
      <c r="AP71" s="78"/>
      <c r="AQ71" s="79"/>
      <c r="AR71" s="231"/>
      <c r="AS71" s="192"/>
      <c r="AT71" s="82"/>
      <c r="AU71" s="191"/>
      <c r="AV71" s="80" t="s">
        <v>538</v>
      </c>
      <c r="AW71" s="192" t="s">
        <v>539</v>
      </c>
      <c r="AX71" s="84">
        <v>7</v>
      </c>
      <c r="AY71" s="85" t="s">
        <v>961</v>
      </c>
      <c r="AZ71" s="80"/>
      <c r="BA71" s="192"/>
      <c r="BB71" s="84"/>
      <c r="BC71" s="85"/>
      <c r="BD71" s="76"/>
      <c r="BE71" s="119"/>
      <c r="BF71" s="78"/>
      <c r="BG71" s="87"/>
      <c r="BH71" s="34" t="s">
        <v>928</v>
      </c>
      <c r="BI71" s="91" t="s">
        <v>929</v>
      </c>
      <c r="BJ71" s="93">
        <v>6</v>
      </c>
      <c r="BK71" s="85" t="s">
        <v>930</v>
      </c>
    </row>
    <row r="72" spans="1:63" s="305" customFormat="1" ht="54" hidden="1" customHeight="1" x14ac:dyDescent="0.3">
      <c r="A72" s="359" t="s">
        <v>196</v>
      </c>
      <c r="B72" s="497">
        <v>54</v>
      </c>
      <c r="C72" s="360" t="s">
        <v>382</v>
      </c>
      <c r="D72" s="361" t="s">
        <v>383</v>
      </c>
      <c r="E72" s="367" t="s">
        <v>375</v>
      </c>
      <c r="F72" s="365" t="s">
        <v>3</v>
      </c>
      <c r="G72" s="431" t="s">
        <v>144</v>
      </c>
      <c r="H72" s="365" t="s">
        <v>114</v>
      </c>
      <c r="I72" s="366" t="s">
        <v>159</v>
      </c>
      <c r="J72" s="427"/>
      <c r="K72" s="427"/>
      <c r="L72" s="427"/>
      <c r="M72" s="427"/>
      <c r="N72" s="427"/>
      <c r="O72" s="427"/>
      <c r="P72" s="364" t="s">
        <v>825</v>
      </c>
      <c r="Q72" s="361" t="s">
        <v>825</v>
      </c>
      <c r="R72" s="370" t="s">
        <v>445</v>
      </c>
      <c r="S72" s="367" t="s">
        <v>826</v>
      </c>
      <c r="T72" s="361" t="s">
        <v>827</v>
      </c>
      <c r="U72" s="364" t="s">
        <v>2</v>
      </c>
      <c r="V72" s="364" t="s">
        <v>2</v>
      </c>
      <c r="W72" s="396" t="s">
        <v>633</v>
      </c>
      <c r="X72" s="366" t="s">
        <v>634</v>
      </c>
      <c r="Y72" s="395" t="s">
        <v>10</v>
      </c>
      <c r="Z72" s="423" t="s">
        <v>350</v>
      </c>
      <c r="AA72" s="429" t="s">
        <v>351</v>
      </c>
      <c r="AB72" s="480">
        <v>19</v>
      </c>
      <c r="AC72" s="395" t="s">
        <v>2</v>
      </c>
      <c r="AD72" s="490">
        <v>40</v>
      </c>
      <c r="AE72" s="364" t="s">
        <v>2</v>
      </c>
      <c r="AF72" s="364" t="s">
        <v>2</v>
      </c>
      <c r="AG72" s="367" t="s">
        <v>1116</v>
      </c>
      <c r="AH72" s="364" t="s">
        <v>825</v>
      </c>
      <c r="AI72" s="364" t="s">
        <v>341</v>
      </c>
      <c r="AJ72" s="364" t="s">
        <v>2</v>
      </c>
      <c r="AK72" s="364" t="s">
        <v>2</v>
      </c>
      <c r="AL72" s="369" t="s">
        <v>2</v>
      </c>
      <c r="AM72" s="306"/>
      <c r="AN72" s="76" t="s">
        <v>1235</v>
      </c>
      <c r="AO72" s="77" t="s">
        <v>860</v>
      </c>
      <c r="AP72" s="78">
        <v>6</v>
      </c>
      <c r="AQ72" s="79" t="s">
        <v>945</v>
      </c>
      <c r="AR72" s="232"/>
      <c r="AS72" s="89"/>
      <c r="AT72" s="90"/>
      <c r="AU72" s="83"/>
      <c r="AV72" s="80" t="s">
        <v>872</v>
      </c>
      <c r="AW72" s="192" t="s">
        <v>1233</v>
      </c>
      <c r="AX72" s="84">
        <v>7</v>
      </c>
      <c r="AY72" s="85" t="s">
        <v>957</v>
      </c>
      <c r="AZ72" s="80"/>
      <c r="BA72" s="192"/>
      <c r="BB72" s="84"/>
      <c r="BC72" s="85"/>
      <c r="BD72" s="76"/>
      <c r="BE72" s="119"/>
      <c r="BF72" s="78"/>
      <c r="BG72" s="87"/>
      <c r="BH72" s="76"/>
      <c r="BI72" s="91"/>
      <c r="BJ72" s="78"/>
      <c r="BK72" s="87"/>
    </row>
    <row r="73" spans="1:63" s="127" customFormat="1" ht="54" hidden="1" customHeight="1" x14ac:dyDescent="0.3">
      <c r="A73" s="402" t="s">
        <v>196</v>
      </c>
      <c r="B73" s="500">
        <v>55</v>
      </c>
      <c r="C73" s="403" t="s">
        <v>382</v>
      </c>
      <c r="D73" s="403" t="s">
        <v>383</v>
      </c>
      <c r="E73" s="405" t="s">
        <v>103</v>
      </c>
      <c r="F73" s="404" t="s">
        <v>86</v>
      </c>
      <c r="G73" s="404" t="s">
        <v>121</v>
      </c>
      <c r="H73" s="404" t="s">
        <v>86</v>
      </c>
      <c r="I73" s="404" t="s">
        <v>121</v>
      </c>
      <c r="J73" s="515"/>
      <c r="K73" s="515"/>
      <c r="L73" s="515"/>
      <c r="M73" s="515"/>
      <c r="N73" s="515"/>
      <c r="O73" s="515"/>
      <c r="P73" s="403" t="s">
        <v>2</v>
      </c>
      <c r="Q73" s="403" t="s">
        <v>2</v>
      </c>
      <c r="R73" s="510" t="s">
        <v>446</v>
      </c>
      <c r="S73" s="405" t="s">
        <v>2</v>
      </c>
      <c r="T73" s="403" t="s">
        <v>2</v>
      </c>
      <c r="U73" s="403" t="s">
        <v>2</v>
      </c>
      <c r="V73" s="403" t="s">
        <v>2</v>
      </c>
      <c r="W73" s="406" t="s">
        <v>2</v>
      </c>
      <c r="X73" s="406" t="s">
        <v>2</v>
      </c>
      <c r="Y73" s="405" t="s">
        <v>9</v>
      </c>
      <c r="Z73" s="405" t="s">
        <v>2</v>
      </c>
      <c r="AA73" s="405" t="s">
        <v>2</v>
      </c>
      <c r="AB73" s="481">
        <v>30</v>
      </c>
      <c r="AC73" s="405" t="s">
        <v>2</v>
      </c>
      <c r="AD73" s="491">
        <v>40</v>
      </c>
      <c r="AE73" s="491">
        <v>41</v>
      </c>
      <c r="AF73" s="403" t="s">
        <v>2</v>
      </c>
      <c r="AG73" s="403" t="s">
        <v>2</v>
      </c>
      <c r="AH73" s="403" t="s">
        <v>2</v>
      </c>
      <c r="AI73" s="403" t="s">
        <v>341</v>
      </c>
      <c r="AJ73" s="403" t="s">
        <v>2</v>
      </c>
      <c r="AK73" s="403" t="s">
        <v>2</v>
      </c>
      <c r="AL73" s="408" t="s">
        <v>2</v>
      </c>
      <c r="AM73" s="115"/>
      <c r="AN73" s="116"/>
      <c r="AO73" s="119"/>
      <c r="AP73" s="117"/>
      <c r="AQ73" s="118"/>
      <c r="AR73" s="233"/>
      <c r="AS73" s="119"/>
      <c r="AT73" s="120"/>
      <c r="AU73" s="121"/>
      <c r="AV73" s="122"/>
      <c r="AW73" s="192"/>
      <c r="AX73" s="123"/>
      <c r="AY73" s="124"/>
      <c r="AZ73" s="122"/>
      <c r="BA73" s="192"/>
      <c r="BB73" s="123"/>
      <c r="BC73" s="147"/>
      <c r="BD73" s="125"/>
      <c r="BE73" s="119"/>
      <c r="BF73" s="117"/>
      <c r="BG73" s="126"/>
      <c r="BH73" s="125"/>
      <c r="BI73" s="91"/>
      <c r="BJ73" s="117"/>
      <c r="BK73" s="126"/>
    </row>
    <row r="74" spans="1:63" s="305" customFormat="1" ht="54" hidden="1" customHeight="1" x14ac:dyDescent="0.3">
      <c r="A74" s="359" t="s">
        <v>196</v>
      </c>
      <c r="B74" s="497">
        <v>56</v>
      </c>
      <c r="C74" s="360" t="s">
        <v>384</v>
      </c>
      <c r="D74" s="361" t="s">
        <v>385</v>
      </c>
      <c r="E74" s="367" t="s">
        <v>33</v>
      </c>
      <c r="F74" s="365" t="s">
        <v>17</v>
      </c>
      <c r="G74" s="366" t="s">
        <v>145</v>
      </c>
      <c r="H74" s="365" t="s">
        <v>651</v>
      </c>
      <c r="I74" s="366" t="s">
        <v>652</v>
      </c>
      <c r="J74" s="427"/>
      <c r="K74" s="427"/>
      <c r="L74" s="427"/>
      <c r="M74" s="427"/>
      <c r="N74" s="427"/>
      <c r="O74" s="427"/>
      <c r="P74" s="364" t="s">
        <v>825</v>
      </c>
      <c r="Q74" s="361" t="s">
        <v>825</v>
      </c>
      <c r="R74" s="370" t="s">
        <v>447</v>
      </c>
      <c r="S74" s="436" t="s">
        <v>823</v>
      </c>
      <c r="T74" s="437" t="s">
        <v>824</v>
      </c>
      <c r="U74" s="364" t="s">
        <v>491</v>
      </c>
      <c r="V74" s="364" t="s">
        <v>700</v>
      </c>
      <c r="W74" s="400" t="s">
        <v>513</v>
      </c>
      <c r="X74" s="435" t="s">
        <v>512</v>
      </c>
      <c r="Y74" s="395" t="s">
        <v>9</v>
      </c>
      <c r="Z74" s="395" t="s">
        <v>2</v>
      </c>
      <c r="AA74" s="414" t="s">
        <v>2</v>
      </c>
      <c r="AB74" s="480">
        <v>12</v>
      </c>
      <c r="AC74" s="395" t="s">
        <v>2</v>
      </c>
      <c r="AD74" s="490">
        <v>40</v>
      </c>
      <c r="AE74" s="364" t="s">
        <v>2</v>
      </c>
      <c r="AF74" s="364" t="s">
        <v>2</v>
      </c>
      <c r="AG74" s="367" t="s">
        <v>994</v>
      </c>
      <c r="AH74" s="364" t="s">
        <v>825</v>
      </c>
      <c r="AI74" s="364" t="s">
        <v>341</v>
      </c>
      <c r="AJ74" s="364" t="s">
        <v>2</v>
      </c>
      <c r="AK74" s="364" t="s">
        <v>2</v>
      </c>
      <c r="AL74" s="369" t="s">
        <v>2</v>
      </c>
      <c r="AM74" s="306"/>
      <c r="AN74" s="76"/>
      <c r="AO74" s="77"/>
      <c r="AP74" s="78"/>
      <c r="AQ74" s="79"/>
      <c r="AR74" s="231" t="s">
        <v>842</v>
      </c>
      <c r="AS74" s="192" t="s">
        <v>843</v>
      </c>
      <c r="AT74" s="82">
        <v>7</v>
      </c>
      <c r="AU74" s="191" t="s">
        <v>844</v>
      </c>
      <c r="AV74" s="80"/>
      <c r="AW74" s="192"/>
      <c r="AX74" s="84"/>
      <c r="AY74" s="85"/>
      <c r="AZ74" s="80"/>
      <c r="BA74" s="192"/>
      <c r="BB74" s="84"/>
      <c r="BC74" s="85"/>
      <c r="BD74" s="76"/>
      <c r="BE74" s="119"/>
      <c r="BF74" s="78"/>
      <c r="BG74" s="87"/>
      <c r="BH74" s="76"/>
      <c r="BI74" s="91"/>
      <c r="BJ74" s="78"/>
      <c r="BK74" s="87"/>
    </row>
    <row r="75" spans="1:63" s="305" customFormat="1" ht="54" hidden="1" customHeight="1" x14ac:dyDescent="0.3">
      <c r="A75" s="359" t="s">
        <v>196</v>
      </c>
      <c r="B75" s="497">
        <v>57</v>
      </c>
      <c r="C75" s="360" t="s">
        <v>384</v>
      </c>
      <c r="D75" s="361" t="s">
        <v>385</v>
      </c>
      <c r="E75" s="367" t="s">
        <v>34</v>
      </c>
      <c r="F75" s="365" t="s">
        <v>721</v>
      </c>
      <c r="G75" s="366" t="s">
        <v>146</v>
      </c>
      <c r="H75" s="365" t="s">
        <v>90</v>
      </c>
      <c r="I75" s="366" t="s">
        <v>183</v>
      </c>
      <c r="J75" s="427"/>
      <c r="K75" s="427"/>
      <c r="L75" s="427"/>
      <c r="M75" s="427"/>
      <c r="N75" s="427"/>
      <c r="O75" s="427"/>
      <c r="P75" s="364" t="s">
        <v>825</v>
      </c>
      <c r="Q75" s="361" t="s">
        <v>825</v>
      </c>
      <c r="R75" s="370" t="s">
        <v>448</v>
      </c>
      <c r="S75" s="367" t="s">
        <v>826</v>
      </c>
      <c r="T75" s="361" t="s">
        <v>827</v>
      </c>
      <c r="U75" s="364" t="s">
        <v>815</v>
      </c>
      <c r="V75" s="364" t="s">
        <v>816</v>
      </c>
      <c r="W75" s="396" t="s">
        <v>2</v>
      </c>
      <c r="X75" s="419" t="s">
        <v>2</v>
      </c>
      <c r="Y75" s="395" t="s">
        <v>9</v>
      </c>
      <c r="Z75" s="395" t="s">
        <v>2</v>
      </c>
      <c r="AA75" s="414" t="s">
        <v>2</v>
      </c>
      <c r="AB75" s="480">
        <v>2</v>
      </c>
      <c r="AC75" s="395" t="s">
        <v>2</v>
      </c>
      <c r="AD75" s="490">
        <v>40</v>
      </c>
      <c r="AE75" s="364" t="s">
        <v>2</v>
      </c>
      <c r="AF75" s="364" t="s">
        <v>2</v>
      </c>
      <c r="AG75" s="367" t="s">
        <v>1113</v>
      </c>
      <c r="AH75" s="364" t="s">
        <v>825</v>
      </c>
      <c r="AI75" s="364" t="s">
        <v>341</v>
      </c>
      <c r="AJ75" s="364" t="s">
        <v>2</v>
      </c>
      <c r="AK75" s="364" t="s">
        <v>2</v>
      </c>
      <c r="AL75" s="369" t="s">
        <v>2</v>
      </c>
      <c r="AM75" s="306"/>
      <c r="AN75" s="76" t="s">
        <v>850</v>
      </c>
      <c r="AO75" s="77" t="s">
        <v>641</v>
      </c>
      <c r="AP75" s="82">
        <v>6</v>
      </c>
      <c r="AQ75" s="79" t="s">
        <v>946</v>
      </c>
      <c r="AR75" s="231" t="s">
        <v>842</v>
      </c>
      <c r="AS75" s="192" t="s">
        <v>843</v>
      </c>
      <c r="AT75" s="82">
        <v>7</v>
      </c>
      <c r="AU75" s="191" t="s">
        <v>844</v>
      </c>
      <c r="AV75" s="80"/>
      <c r="AW75" s="192"/>
      <c r="AX75" s="84"/>
      <c r="AY75" s="85"/>
      <c r="AZ75" s="80"/>
      <c r="BA75" s="192"/>
      <c r="BB75" s="84"/>
      <c r="BC75" s="85"/>
      <c r="BD75" s="76"/>
      <c r="BE75" s="119"/>
      <c r="BF75" s="78"/>
      <c r="BG75" s="87"/>
      <c r="BH75" s="76"/>
      <c r="BI75" s="91"/>
      <c r="BJ75" s="78"/>
      <c r="BK75" s="87"/>
    </row>
    <row r="76" spans="1:63" s="305" customFormat="1" ht="54" hidden="1" customHeight="1" x14ac:dyDescent="0.3">
      <c r="A76" s="359" t="s">
        <v>196</v>
      </c>
      <c r="B76" s="497">
        <v>58</v>
      </c>
      <c r="C76" s="360" t="s">
        <v>384</v>
      </c>
      <c r="D76" s="361" t="s">
        <v>385</v>
      </c>
      <c r="E76" s="367" t="s">
        <v>35</v>
      </c>
      <c r="F76" s="365" t="s">
        <v>61</v>
      </c>
      <c r="G76" s="366" t="s">
        <v>147</v>
      </c>
      <c r="H76" s="365" t="s">
        <v>692</v>
      </c>
      <c r="I76" s="366" t="s">
        <v>184</v>
      </c>
      <c r="J76" s="427"/>
      <c r="K76" s="427"/>
      <c r="L76" s="427"/>
      <c r="M76" s="427"/>
      <c r="N76" s="427"/>
      <c r="O76" s="427"/>
      <c r="P76" s="364" t="s">
        <v>825</v>
      </c>
      <c r="Q76" s="361" t="s">
        <v>825</v>
      </c>
      <c r="R76" s="370" t="s">
        <v>449</v>
      </c>
      <c r="S76" s="367" t="s">
        <v>227</v>
      </c>
      <c r="T76" s="361" t="s">
        <v>228</v>
      </c>
      <c r="U76" s="364" t="s">
        <v>492</v>
      </c>
      <c r="V76" s="364" t="s">
        <v>527</v>
      </c>
      <c r="W76" s="396" t="s">
        <v>514</v>
      </c>
      <c r="X76" s="366" t="s">
        <v>515</v>
      </c>
      <c r="Y76" s="395" t="s">
        <v>9</v>
      </c>
      <c r="Z76" s="395" t="s">
        <v>2</v>
      </c>
      <c r="AA76" s="414" t="s">
        <v>2</v>
      </c>
      <c r="AB76" s="480">
        <v>2</v>
      </c>
      <c r="AC76" s="395" t="s">
        <v>2</v>
      </c>
      <c r="AD76" s="490">
        <v>40</v>
      </c>
      <c r="AE76" s="364" t="s">
        <v>2</v>
      </c>
      <c r="AF76" s="364" t="s">
        <v>2</v>
      </c>
      <c r="AG76" s="367" t="s">
        <v>994</v>
      </c>
      <c r="AH76" s="364" t="s">
        <v>825</v>
      </c>
      <c r="AI76" s="364" t="s">
        <v>341</v>
      </c>
      <c r="AJ76" s="364" t="s">
        <v>2</v>
      </c>
      <c r="AK76" s="364" t="s">
        <v>2</v>
      </c>
      <c r="AL76" s="369" t="s">
        <v>2</v>
      </c>
      <c r="AM76" s="306"/>
      <c r="AN76" s="76"/>
      <c r="AO76" s="77"/>
      <c r="AP76" s="78"/>
      <c r="AQ76" s="79"/>
      <c r="AR76" s="231" t="s">
        <v>842</v>
      </c>
      <c r="AS76" s="192" t="s">
        <v>843</v>
      </c>
      <c r="AT76" s="82">
        <v>7</v>
      </c>
      <c r="AU76" s="191" t="s">
        <v>844</v>
      </c>
      <c r="AV76" s="80"/>
      <c r="AW76" s="192"/>
      <c r="AX76" s="84"/>
      <c r="AY76" s="85"/>
      <c r="AZ76" s="80"/>
      <c r="BA76" s="192"/>
      <c r="BB76" s="84"/>
      <c r="BC76" s="85"/>
      <c r="BD76" s="76"/>
      <c r="BE76" s="119"/>
      <c r="BF76" s="78"/>
      <c r="BG76" s="87"/>
      <c r="BH76" s="76"/>
      <c r="BI76" s="91"/>
      <c r="BJ76" s="78"/>
      <c r="BK76" s="87"/>
    </row>
    <row r="77" spans="1:63" s="305" customFormat="1" ht="54" hidden="1" customHeight="1" x14ac:dyDescent="0.3">
      <c r="A77" s="359" t="s">
        <v>196</v>
      </c>
      <c r="B77" s="497">
        <v>59</v>
      </c>
      <c r="C77" s="360" t="s">
        <v>384</v>
      </c>
      <c r="D77" s="361" t="s">
        <v>385</v>
      </c>
      <c r="E77" s="367" t="s">
        <v>36</v>
      </c>
      <c r="F77" s="365" t="s">
        <v>18</v>
      </c>
      <c r="G77" s="366" t="s">
        <v>148</v>
      </c>
      <c r="H77" s="365" t="s">
        <v>42</v>
      </c>
      <c r="I77" s="366" t="s">
        <v>158</v>
      </c>
      <c r="J77" s="427"/>
      <c r="K77" s="427"/>
      <c r="L77" s="427"/>
      <c r="M77" s="427"/>
      <c r="N77" s="427"/>
      <c r="O77" s="427"/>
      <c r="P77" s="364" t="s">
        <v>825</v>
      </c>
      <c r="Q77" s="361" t="s">
        <v>825</v>
      </c>
      <c r="R77" s="370" t="s">
        <v>450</v>
      </c>
      <c r="S77" s="367" t="s">
        <v>826</v>
      </c>
      <c r="T77" s="361" t="s">
        <v>827</v>
      </c>
      <c r="U77" s="364" t="s">
        <v>338</v>
      </c>
      <c r="V77" s="364" t="s">
        <v>699</v>
      </c>
      <c r="W77" s="396" t="s">
        <v>516</v>
      </c>
      <c r="X77" s="366" t="s">
        <v>517</v>
      </c>
      <c r="Y77" s="395" t="s">
        <v>10</v>
      </c>
      <c r="Z77" s="395" t="s">
        <v>2</v>
      </c>
      <c r="AA77" s="414" t="s">
        <v>2</v>
      </c>
      <c r="AB77" s="480">
        <v>5</v>
      </c>
      <c r="AC77" s="395" t="s">
        <v>2</v>
      </c>
      <c r="AD77" s="490">
        <v>40</v>
      </c>
      <c r="AE77" s="364" t="s">
        <v>2</v>
      </c>
      <c r="AF77" s="364" t="s">
        <v>2</v>
      </c>
      <c r="AG77" s="367" t="s">
        <v>994</v>
      </c>
      <c r="AH77" s="364" t="s">
        <v>825</v>
      </c>
      <c r="AI77" s="364" t="s">
        <v>341</v>
      </c>
      <c r="AJ77" s="364" t="s">
        <v>2</v>
      </c>
      <c r="AK77" s="364" t="s">
        <v>2</v>
      </c>
      <c r="AL77" s="369" t="s">
        <v>2</v>
      </c>
      <c r="AM77" s="306"/>
      <c r="AN77" s="76" t="s">
        <v>850</v>
      </c>
      <c r="AO77" s="77" t="s">
        <v>641</v>
      </c>
      <c r="AP77" s="78">
        <v>6</v>
      </c>
      <c r="AQ77" s="79" t="s">
        <v>946</v>
      </c>
      <c r="AR77" s="231" t="s">
        <v>842</v>
      </c>
      <c r="AS77" s="192" t="s">
        <v>843</v>
      </c>
      <c r="AT77" s="82">
        <v>7</v>
      </c>
      <c r="AU77" s="191" t="s">
        <v>844</v>
      </c>
      <c r="AV77" s="80"/>
      <c r="AW77" s="192"/>
      <c r="AX77" s="84"/>
      <c r="AY77" s="85"/>
      <c r="AZ77" s="80"/>
      <c r="BA77" s="192"/>
      <c r="BB77" s="84"/>
      <c r="BC77" s="85"/>
      <c r="BD77" s="76"/>
      <c r="BE77" s="119"/>
      <c r="BF77" s="78"/>
      <c r="BG77" s="87"/>
      <c r="BH77" s="76"/>
      <c r="BI77" s="91"/>
      <c r="BJ77" s="78"/>
      <c r="BK77" s="87"/>
    </row>
    <row r="78" spans="1:63" s="305" customFormat="1" ht="54" hidden="1" customHeight="1" x14ac:dyDescent="0.3">
      <c r="A78" s="359" t="s">
        <v>196</v>
      </c>
      <c r="B78" s="497">
        <v>60</v>
      </c>
      <c r="C78" s="360" t="s">
        <v>384</v>
      </c>
      <c r="D78" s="361" t="s">
        <v>385</v>
      </c>
      <c r="E78" s="367" t="s">
        <v>37</v>
      </c>
      <c r="F78" s="365" t="s">
        <v>43</v>
      </c>
      <c r="G78" s="366" t="s">
        <v>149</v>
      </c>
      <c r="H78" s="365" t="s">
        <v>752</v>
      </c>
      <c r="I78" s="366" t="s">
        <v>753</v>
      </c>
      <c r="J78" s="427"/>
      <c r="K78" s="427"/>
      <c r="L78" s="427"/>
      <c r="M78" s="427"/>
      <c r="N78" s="427"/>
      <c r="O78" s="427"/>
      <c r="P78" s="364" t="s">
        <v>825</v>
      </c>
      <c r="Q78" s="361" t="s">
        <v>825</v>
      </c>
      <c r="R78" s="370" t="s">
        <v>451</v>
      </c>
      <c r="S78" s="367" t="s">
        <v>826</v>
      </c>
      <c r="T78" s="361" t="s">
        <v>827</v>
      </c>
      <c r="U78" s="364" t="s">
        <v>496</v>
      </c>
      <c r="V78" s="364" t="s">
        <v>707</v>
      </c>
      <c r="W78" s="396" t="s">
        <v>518</v>
      </c>
      <c r="X78" s="366" t="s">
        <v>519</v>
      </c>
      <c r="Y78" s="395" t="s">
        <v>9</v>
      </c>
      <c r="Z78" s="395" t="s">
        <v>2</v>
      </c>
      <c r="AA78" s="414" t="s">
        <v>2</v>
      </c>
      <c r="AB78" s="480">
        <v>12</v>
      </c>
      <c r="AC78" s="395" t="s">
        <v>2</v>
      </c>
      <c r="AD78" s="490">
        <v>40</v>
      </c>
      <c r="AE78" s="364" t="s">
        <v>2</v>
      </c>
      <c r="AF78" s="364" t="s">
        <v>2</v>
      </c>
      <c r="AG78" s="367" t="s">
        <v>994</v>
      </c>
      <c r="AH78" s="364" t="s">
        <v>825</v>
      </c>
      <c r="AI78" s="364" t="s">
        <v>341</v>
      </c>
      <c r="AJ78" s="364" t="s">
        <v>2</v>
      </c>
      <c r="AK78" s="364" t="s">
        <v>2</v>
      </c>
      <c r="AL78" s="369" t="s">
        <v>2</v>
      </c>
      <c r="AM78" s="306"/>
      <c r="AN78" s="76" t="s">
        <v>850</v>
      </c>
      <c r="AO78" s="77" t="s">
        <v>641</v>
      </c>
      <c r="AP78" s="82">
        <v>6</v>
      </c>
      <c r="AQ78" s="79" t="s">
        <v>946</v>
      </c>
      <c r="AR78" s="231" t="s">
        <v>842</v>
      </c>
      <c r="AS78" s="192" t="s">
        <v>843</v>
      </c>
      <c r="AT78" s="82">
        <v>7</v>
      </c>
      <c r="AU78" s="191" t="s">
        <v>844</v>
      </c>
      <c r="AV78" s="80"/>
      <c r="AW78" s="192"/>
      <c r="AX78" s="84"/>
      <c r="AY78" s="85"/>
      <c r="AZ78" s="80"/>
      <c r="BA78" s="192"/>
      <c r="BB78" s="84"/>
      <c r="BC78" s="85"/>
      <c r="BD78" s="76"/>
      <c r="BE78" s="119"/>
      <c r="BF78" s="78"/>
      <c r="BG78" s="87"/>
      <c r="BH78" s="34" t="s">
        <v>542</v>
      </c>
      <c r="BI78" s="91" t="s">
        <v>543</v>
      </c>
      <c r="BJ78" s="78">
        <v>6</v>
      </c>
      <c r="BK78" s="92" t="s">
        <v>541</v>
      </c>
    </row>
    <row r="79" spans="1:63" s="305" customFormat="1" ht="54" hidden="1" customHeight="1" x14ac:dyDescent="0.3">
      <c r="A79" s="359" t="s">
        <v>196</v>
      </c>
      <c r="B79" s="497">
        <v>61</v>
      </c>
      <c r="C79" s="360" t="s">
        <v>384</v>
      </c>
      <c r="D79" s="361" t="s">
        <v>385</v>
      </c>
      <c r="E79" s="367" t="s">
        <v>38</v>
      </c>
      <c r="F79" s="365" t="s">
        <v>15</v>
      </c>
      <c r="G79" s="366" t="s">
        <v>150</v>
      </c>
      <c r="H79" s="365" t="s">
        <v>62</v>
      </c>
      <c r="I79" s="366" t="s">
        <v>185</v>
      </c>
      <c r="J79" s="427"/>
      <c r="K79" s="427"/>
      <c r="L79" s="427"/>
      <c r="M79" s="427"/>
      <c r="N79" s="427"/>
      <c r="O79" s="427"/>
      <c r="P79" s="364" t="s">
        <v>825</v>
      </c>
      <c r="Q79" s="361" t="s">
        <v>825</v>
      </c>
      <c r="R79" s="370" t="s">
        <v>452</v>
      </c>
      <c r="S79" s="367" t="s">
        <v>826</v>
      </c>
      <c r="T79" s="361" t="s">
        <v>827</v>
      </c>
      <c r="U79" s="364" t="s">
        <v>520</v>
      </c>
      <c r="V79" s="364" t="s">
        <v>822</v>
      </c>
      <c r="W79" s="396" t="s">
        <v>522</v>
      </c>
      <c r="X79" s="366" t="s">
        <v>523</v>
      </c>
      <c r="Y79" s="395" t="s">
        <v>9</v>
      </c>
      <c r="Z79" s="395" t="s">
        <v>2</v>
      </c>
      <c r="AA79" s="414" t="s">
        <v>2</v>
      </c>
      <c r="AB79" s="480">
        <v>4</v>
      </c>
      <c r="AC79" s="395" t="s">
        <v>2</v>
      </c>
      <c r="AD79" s="490">
        <v>40</v>
      </c>
      <c r="AE79" s="364" t="s">
        <v>2</v>
      </c>
      <c r="AF79" s="364" t="s">
        <v>2</v>
      </c>
      <c r="AG79" s="367" t="s">
        <v>994</v>
      </c>
      <c r="AH79" s="364" t="s">
        <v>825</v>
      </c>
      <c r="AI79" s="364" t="s">
        <v>341</v>
      </c>
      <c r="AJ79" s="364" t="s">
        <v>2</v>
      </c>
      <c r="AK79" s="364" t="s">
        <v>2</v>
      </c>
      <c r="AL79" s="369" t="s">
        <v>2</v>
      </c>
      <c r="AM79" s="306"/>
      <c r="AN79" s="76" t="s">
        <v>850</v>
      </c>
      <c r="AO79" s="77" t="s">
        <v>641</v>
      </c>
      <c r="AP79" s="78">
        <v>6</v>
      </c>
      <c r="AQ79" s="79" t="s">
        <v>946</v>
      </c>
      <c r="AR79" s="231" t="s">
        <v>842</v>
      </c>
      <c r="AS79" s="192" t="s">
        <v>843</v>
      </c>
      <c r="AT79" s="82">
        <v>7</v>
      </c>
      <c r="AU79" s="191" t="s">
        <v>844</v>
      </c>
      <c r="AV79" s="80"/>
      <c r="AW79" s="192"/>
      <c r="AX79" s="84"/>
      <c r="AY79" s="85"/>
      <c r="AZ79" s="80"/>
      <c r="BA79" s="192"/>
      <c r="BB79" s="84"/>
      <c r="BC79" s="85"/>
      <c r="BD79" s="76"/>
      <c r="BE79" s="119"/>
      <c r="BF79" s="78"/>
      <c r="BG79" s="87"/>
      <c r="BH79" s="76"/>
      <c r="BI79" s="91"/>
      <c r="BJ79" s="78"/>
      <c r="BK79" s="87"/>
    </row>
    <row r="80" spans="1:63" s="305" customFormat="1" ht="54" hidden="1" customHeight="1" x14ac:dyDescent="0.3">
      <c r="A80" s="359" t="s">
        <v>196</v>
      </c>
      <c r="B80" s="497">
        <v>62</v>
      </c>
      <c r="C80" s="360" t="s">
        <v>384</v>
      </c>
      <c r="D80" s="361" t="s">
        <v>385</v>
      </c>
      <c r="E80" s="367" t="s">
        <v>39</v>
      </c>
      <c r="F80" s="365" t="s">
        <v>60</v>
      </c>
      <c r="G80" s="366" t="s">
        <v>813</v>
      </c>
      <c r="H80" s="365" t="s">
        <v>44</v>
      </c>
      <c r="I80" s="366" t="s">
        <v>814</v>
      </c>
      <c r="J80" s="427"/>
      <c r="K80" s="427"/>
      <c r="L80" s="427"/>
      <c r="M80" s="427"/>
      <c r="N80" s="427"/>
      <c r="O80" s="427"/>
      <c r="P80" s="364" t="s">
        <v>825</v>
      </c>
      <c r="Q80" s="361" t="s">
        <v>825</v>
      </c>
      <c r="R80" s="370" t="s">
        <v>453</v>
      </c>
      <c r="S80" s="367" t="s">
        <v>826</v>
      </c>
      <c r="T80" s="361" t="s">
        <v>827</v>
      </c>
      <c r="U80" s="364" t="s">
        <v>521</v>
      </c>
      <c r="V80" s="364" t="s">
        <v>722</v>
      </c>
      <c r="W80" s="396" t="s">
        <v>522</v>
      </c>
      <c r="X80" s="366" t="s">
        <v>523</v>
      </c>
      <c r="Y80" s="395" t="s">
        <v>9</v>
      </c>
      <c r="Z80" s="395" t="s">
        <v>2</v>
      </c>
      <c r="AA80" s="414" t="s">
        <v>2</v>
      </c>
      <c r="AB80" s="480">
        <v>3</v>
      </c>
      <c r="AC80" s="395" t="s">
        <v>2</v>
      </c>
      <c r="AD80" s="490">
        <v>40</v>
      </c>
      <c r="AE80" s="364" t="s">
        <v>2</v>
      </c>
      <c r="AF80" s="364" t="s">
        <v>2</v>
      </c>
      <c r="AG80" s="367" t="s">
        <v>994</v>
      </c>
      <c r="AH80" s="364" t="s">
        <v>825</v>
      </c>
      <c r="AI80" s="364" t="s">
        <v>341</v>
      </c>
      <c r="AJ80" s="364" t="s">
        <v>2</v>
      </c>
      <c r="AK80" s="364" t="s">
        <v>2</v>
      </c>
      <c r="AL80" s="369" t="s">
        <v>2</v>
      </c>
      <c r="AM80" s="306"/>
      <c r="AN80" s="76" t="s">
        <v>850</v>
      </c>
      <c r="AO80" s="77" t="s">
        <v>641</v>
      </c>
      <c r="AP80" s="78">
        <v>6</v>
      </c>
      <c r="AQ80" s="79" t="s">
        <v>946</v>
      </c>
      <c r="AR80" s="231" t="s">
        <v>842</v>
      </c>
      <c r="AS80" s="192" t="s">
        <v>843</v>
      </c>
      <c r="AT80" s="82">
        <v>7</v>
      </c>
      <c r="AU80" s="191" t="s">
        <v>844</v>
      </c>
      <c r="AV80" s="80"/>
      <c r="AW80" s="192"/>
      <c r="AX80" s="84"/>
      <c r="AY80" s="85"/>
      <c r="AZ80" s="80"/>
      <c r="BA80" s="192"/>
      <c r="BB80" s="84"/>
      <c r="BC80" s="85"/>
      <c r="BD80" s="76"/>
      <c r="BE80" s="119"/>
      <c r="BF80" s="78"/>
      <c r="BG80" s="87"/>
      <c r="BH80" s="76"/>
      <c r="BI80" s="91"/>
      <c r="BJ80" s="78"/>
      <c r="BK80" s="87"/>
    </row>
    <row r="81" spans="1:63" s="305" customFormat="1" ht="54" hidden="1" customHeight="1" x14ac:dyDescent="0.3">
      <c r="A81" s="359" t="s">
        <v>196</v>
      </c>
      <c r="B81" s="497">
        <v>63</v>
      </c>
      <c r="C81" s="360" t="s">
        <v>384</v>
      </c>
      <c r="D81" s="361" t="s">
        <v>385</v>
      </c>
      <c r="E81" s="367" t="s">
        <v>40</v>
      </c>
      <c r="F81" s="365" t="s">
        <v>588</v>
      </c>
      <c r="G81" s="366" t="s">
        <v>589</v>
      </c>
      <c r="H81" s="365" t="s">
        <v>53</v>
      </c>
      <c r="I81" s="366" t="s">
        <v>157</v>
      </c>
      <c r="J81" s="427"/>
      <c r="K81" s="427"/>
      <c r="L81" s="427"/>
      <c r="M81" s="427"/>
      <c r="N81" s="427"/>
      <c r="O81" s="427"/>
      <c r="P81" s="364" t="s">
        <v>825</v>
      </c>
      <c r="Q81" s="361" t="s">
        <v>825</v>
      </c>
      <c r="R81" s="370" t="s">
        <v>454</v>
      </c>
      <c r="S81" s="367" t="s">
        <v>227</v>
      </c>
      <c r="T81" s="361" t="s">
        <v>228</v>
      </c>
      <c r="U81" s="364" t="s">
        <v>532</v>
      </c>
      <c r="V81" s="364" t="s">
        <v>807</v>
      </c>
      <c r="W81" s="432" t="s">
        <v>635</v>
      </c>
      <c r="X81" s="366" t="s">
        <v>636</v>
      </c>
      <c r="Y81" s="395" t="s">
        <v>9</v>
      </c>
      <c r="Z81" s="395" t="s">
        <v>2</v>
      </c>
      <c r="AA81" s="414" t="s">
        <v>2</v>
      </c>
      <c r="AB81" s="480">
        <v>12</v>
      </c>
      <c r="AC81" s="395" t="s">
        <v>2</v>
      </c>
      <c r="AD81" s="490">
        <v>40</v>
      </c>
      <c r="AE81" s="364" t="s">
        <v>2</v>
      </c>
      <c r="AF81" s="364" t="s">
        <v>2</v>
      </c>
      <c r="AG81" s="367" t="s">
        <v>994</v>
      </c>
      <c r="AH81" s="364" t="s">
        <v>825</v>
      </c>
      <c r="AI81" s="364" t="s">
        <v>341</v>
      </c>
      <c r="AJ81" s="364" t="s">
        <v>2</v>
      </c>
      <c r="AK81" s="364" t="s">
        <v>2</v>
      </c>
      <c r="AL81" s="369" t="s">
        <v>2</v>
      </c>
      <c r="AM81" s="306"/>
      <c r="AN81" s="76"/>
      <c r="AO81" s="77"/>
      <c r="AP81" s="78"/>
      <c r="AQ81" s="79"/>
      <c r="AR81" s="231" t="s">
        <v>842</v>
      </c>
      <c r="AS81" s="192" t="s">
        <v>843</v>
      </c>
      <c r="AT81" s="82">
        <v>7</v>
      </c>
      <c r="AU81" s="191" t="s">
        <v>844</v>
      </c>
      <c r="AV81" s="80"/>
      <c r="AW81" s="192"/>
      <c r="AX81" s="84"/>
      <c r="AY81" s="85"/>
      <c r="AZ81" s="80" t="s">
        <v>923</v>
      </c>
      <c r="BA81" s="192" t="s">
        <v>924</v>
      </c>
      <c r="BB81" s="84">
        <v>6</v>
      </c>
      <c r="BC81" s="85" t="s">
        <v>969</v>
      </c>
      <c r="BD81" s="76"/>
      <c r="BE81" s="119"/>
      <c r="BF81" s="78"/>
      <c r="BG81" s="87"/>
      <c r="BH81" s="76"/>
      <c r="BI81" s="91"/>
      <c r="BJ81" s="78"/>
      <c r="BK81" s="87"/>
    </row>
    <row r="82" spans="1:63" s="305" customFormat="1" ht="54" hidden="1" customHeight="1" x14ac:dyDescent="0.3">
      <c r="A82" s="359" t="s">
        <v>196</v>
      </c>
      <c r="B82" s="497">
        <v>64</v>
      </c>
      <c r="C82" s="360" t="s">
        <v>384</v>
      </c>
      <c r="D82" s="361" t="s">
        <v>385</v>
      </c>
      <c r="E82" s="367" t="s">
        <v>456</v>
      </c>
      <c r="F82" s="430" t="s">
        <v>19</v>
      </c>
      <c r="G82" s="431" t="s">
        <v>151</v>
      </c>
      <c r="H82" s="430" t="s">
        <v>19</v>
      </c>
      <c r="I82" s="431" t="s">
        <v>151</v>
      </c>
      <c r="J82" s="431"/>
      <c r="K82" s="431"/>
      <c r="L82" s="431"/>
      <c r="M82" s="431"/>
      <c r="N82" s="431"/>
      <c r="O82" s="431"/>
      <c r="P82" s="364" t="s">
        <v>825</v>
      </c>
      <c r="Q82" s="361" t="s">
        <v>825</v>
      </c>
      <c r="R82" s="370" t="s">
        <v>455</v>
      </c>
      <c r="S82" s="367" t="s">
        <v>826</v>
      </c>
      <c r="T82" s="361" t="s">
        <v>827</v>
      </c>
      <c r="U82" s="364" t="s">
        <v>2</v>
      </c>
      <c r="V82" s="364" t="s">
        <v>2</v>
      </c>
      <c r="W82" s="432" t="s">
        <v>693</v>
      </c>
      <c r="X82" s="366" t="s">
        <v>186</v>
      </c>
      <c r="Y82" s="395" t="s">
        <v>10</v>
      </c>
      <c r="Z82" s="423" t="s">
        <v>350</v>
      </c>
      <c r="AA82" s="429" t="s">
        <v>351</v>
      </c>
      <c r="AB82" s="480">
        <v>19</v>
      </c>
      <c r="AC82" s="395" t="s">
        <v>2</v>
      </c>
      <c r="AD82" s="490">
        <v>40</v>
      </c>
      <c r="AE82" s="364" t="s">
        <v>2</v>
      </c>
      <c r="AF82" s="364" t="s">
        <v>2</v>
      </c>
      <c r="AG82" s="367" t="s">
        <v>994</v>
      </c>
      <c r="AH82" s="364" t="s">
        <v>825</v>
      </c>
      <c r="AI82" s="364" t="s">
        <v>341</v>
      </c>
      <c r="AJ82" s="364" t="s">
        <v>2</v>
      </c>
      <c r="AK82" s="364" t="s">
        <v>2</v>
      </c>
      <c r="AL82" s="369" t="s">
        <v>2</v>
      </c>
      <c r="AM82" s="306"/>
      <c r="AN82" s="76" t="s">
        <v>850</v>
      </c>
      <c r="AO82" s="77" t="s">
        <v>641</v>
      </c>
      <c r="AP82" s="82">
        <v>6</v>
      </c>
      <c r="AQ82" s="79" t="s">
        <v>946</v>
      </c>
      <c r="AR82" s="232"/>
      <c r="AS82" s="89"/>
      <c r="AT82" s="90"/>
      <c r="AU82" s="83"/>
      <c r="AV82" s="80" t="s">
        <v>872</v>
      </c>
      <c r="AW82" s="192" t="s">
        <v>1233</v>
      </c>
      <c r="AX82" s="84">
        <v>7</v>
      </c>
      <c r="AY82" s="85" t="s">
        <v>957</v>
      </c>
      <c r="AZ82" s="80"/>
      <c r="BA82" s="192"/>
      <c r="BB82" s="84"/>
      <c r="BC82" s="85"/>
      <c r="BD82" s="76"/>
      <c r="BE82" s="119"/>
      <c r="BF82" s="78"/>
      <c r="BG82" s="87"/>
      <c r="BH82" s="76"/>
      <c r="BI82" s="91"/>
      <c r="BJ82" s="78"/>
      <c r="BK82" s="87"/>
    </row>
    <row r="83" spans="1:63" s="305" customFormat="1" ht="54" hidden="1" customHeight="1" x14ac:dyDescent="0.3">
      <c r="A83" s="359" t="s">
        <v>196</v>
      </c>
      <c r="B83" s="497">
        <v>65</v>
      </c>
      <c r="C83" s="360" t="s">
        <v>384</v>
      </c>
      <c r="D83" s="361" t="s">
        <v>385</v>
      </c>
      <c r="E83" s="367" t="s">
        <v>91</v>
      </c>
      <c r="F83" s="365" t="s">
        <v>92</v>
      </c>
      <c r="G83" s="366" t="s">
        <v>152</v>
      </c>
      <c r="H83" s="365" t="s">
        <v>754</v>
      </c>
      <c r="I83" s="366" t="s">
        <v>755</v>
      </c>
      <c r="J83" s="427"/>
      <c r="K83" s="427"/>
      <c r="L83" s="427"/>
      <c r="M83" s="427"/>
      <c r="N83" s="427"/>
      <c r="O83" s="427"/>
      <c r="P83" s="364" t="s">
        <v>825</v>
      </c>
      <c r="Q83" s="361" t="s">
        <v>825</v>
      </c>
      <c r="R83" s="370" t="s">
        <v>457</v>
      </c>
      <c r="S83" s="367" t="s">
        <v>826</v>
      </c>
      <c r="T83" s="361" t="s">
        <v>827</v>
      </c>
      <c r="U83" s="364" t="s">
        <v>524</v>
      </c>
      <c r="V83" s="364" t="s">
        <v>723</v>
      </c>
      <c r="W83" s="396" t="s">
        <v>2</v>
      </c>
      <c r="X83" s="419" t="s">
        <v>2</v>
      </c>
      <c r="Y83" s="395" t="s">
        <v>9</v>
      </c>
      <c r="Z83" s="395" t="s">
        <v>2</v>
      </c>
      <c r="AA83" s="414" t="s">
        <v>2</v>
      </c>
      <c r="AB83" s="480">
        <v>1</v>
      </c>
      <c r="AC83" s="395" t="s">
        <v>2</v>
      </c>
      <c r="AD83" s="490">
        <v>40</v>
      </c>
      <c r="AE83" s="364" t="s">
        <v>2</v>
      </c>
      <c r="AF83" s="364" t="s">
        <v>2</v>
      </c>
      <c r="AG83" s="367" t="s">
        <v>1116</v>
      </c>
      <c r="AH83" s="364" t="s">
        <v>825</v>
      </c>
      <c r="AI83" s="364" t="s">
        <v>341</v>
      </c>
      <c r="AJ83" s="364" t="s">
        <v>2</v>
      </c>
      <c r="AK83" s="364" t="s">
        <v>2</v>
      </c>
      <c r="AL83" s="369" t="s">
        <v>2</v>
      </c>
      <c r="AM83" s="306"/>
      <c r="AN83" s="76" t="s">
        <v>848</v>
      </c>
      <c r="AO83" s="77" t="s">
        <v>849</v>
      </c>
      <c r="AP83" s="82">
        <v>6</v>
      </c>
      <c r="AQ83" s="87" t="s">
        <v>943</v>
      </c>
      <c r="AR83" s="231" t="s">
        <v>842</v>
      </c>
      <c r="AS83" s="192" t="s">
        <v>843</v>
      </c>
      <c r="AT83" s="82">
        <v>7</v>
      </c>
      <c r="AU83" s="191" t="s">
        <v>844</v>
      </c>
      <c r="AV83" s="80"/>
      <c r="AW83" s="192"/>
      <c r="AX83" s="84"/>
      <c r="AY83" s="85"/>
      <c r="AZ83" s="80"/>
      <c r="BA83" s="192"/>
      <c r="BB83" s="84"/>
      <c r="BC83" s="85"/>
      <c r="BD83" s="76"/>
      <c r="BE83" s="119"/>
      <c r="BF83" s="78"/>
      <c r="BG83" s="87"/>
      <c r="BH83" s="76"/>
      <c r="BI83" s="91"/>
      <c r="BJ83" s="78"/>
      <c r="BK83" s="87"/>
    </row>
    <row r="84" spans="1:63" s="305" customFormat="1" ht="54" hidden="1" customHeight="1" x14ac:dyDescent="0.3">
      <c r="A84" s="359" t="s">
        <v>196</v>
      </c>
      <c r="B84" s="497">
        <v>66</v>
      </c>
      <c r="C84" s="360" t="s">
        <v>384</v>
      </c>
      <c r="D84" s="361" t="s">
        <v>385</v>
      </c>
      <c r="E84" s="367" t="s">
        <v>102</v>
      </c>
      <c r="F84" s="365" t="s">
        <v>104</v>
      </c>
      <c r="G84" s="366" t="s">
        <v>724</v>
      </c>
      <c r="H84" s="365" t="s">
        <v>109</v>
      </c>
      <c r="I84" s="366" t="s">
        <v>724</v>
      </c>
      <c r="J84" s="427"/>
      <c r="K84" s="427"/>
      <c r="L84" s="427"/>
      <c r="M84" s="427"/>
      <c r="N84" s="427"/>
      <c r="O84" s="427"/>
      <c r="P84" s="364" t="s">
        <v>825</v>
      </c>
      <c r="Q84" s="361" t="s">
        <v>825</v>
      </c>
      <c r="R84" s="370" t="s">
        <v>458</v>
      </c>
      <c r="S84" s="367" t="s">
        <v>227</v>
      </c>
      <c r="T84" s="361" t="s">
        <v>228</v>
      </c>
      <c r="U84" s="364" t="s">
        <v>525</v>
      </c>
      <c r="V84" s="364" t="s">
        <v>703</v>
      </c>
      <c r="W84" s="396" t="s">
        <v>2</v>
      </c>
      <c r="X84" s="419" t="s">
        <v>2</v>
      </c>
      <c r="Y84" s="395" t="s">
        <v>9</v>
      </c>
      <c r="Z84" s="395" t="s">
        <v>2</v>
      </c>
      <c r="AA84" s="414" t="s">
        <v>2</v>
      </c>
      <c r="AB84" s="480">
        <v>1</v>
      </c>
      <c r="AC84" s="395" t="s">
        <v>2</v>
      </c>
      <c r="AD84" s="490">
        <v>40</v>
      </c>
      <c r="AE84" s="364" t="s">
        <v>2</v>
      </c>
      <c r="AF84" s="364" t="s">
        <v>2</v>
      </c>
      <c r="AG84" s="367" t="s">
        <v>994</v>
      </c>
      <c r="AH84" s="364" t="s">
        <v>825</v>
      </c>
      <c r="AI84" s="364" t="s">
        <v>341</v>
      </c>
      <c r="AJ84" s="364" t="s">
        <v>2</v>
      </c>
      <c r="AK84" s="364" t="s">
        <v>2</v>
      </c>
      <c r="AL84" s="369" t="s">
        <v>2</v>
      </c>
      <c r="AM84" s="306"/>
      <c r="AN84" s="76"/>
      <c r="AO84" s="77"/>
      <c r="AP84" s="78"/>
      <c r="AQ84" s="79"/>
      <c r="AR84" s="231" t="s">
        <v>842</v>
      </c>
      <c r="AS84" s="192" t="s">
        <v>843</v>
      </c>
      <c r="AT84" s="82">
        <v>7</v>
      </c>
      <c r="AU84" s="191" t="s">
        <v>844</v>
      </c>
      <c r="AV84" s="80"/>
      <c r="AW84" s="192"/>
      <c r="AX84" s="84"/>
      <c r="AY84" s="85"/>
      <c r="AZ84" s="80"/>
      <c r="BA84" s="192"/>
      <c r="BB84" s="84"/>
      <c r="BC84" s="85"/>
      <c r="BD84" s="76"/>
      <c r="BE84" s="119"/>
      <c r="BF84" s="78"/>
      <c r="BG84" s="87"/>
      <c r="BH84" s="76"/>
      <c r="BI84" s="91"/>
      <c r="BJ84" s="78"/>
      <c r="BK84" s="87"/>
    </row>
    <row r="85" spans="1:63" s="127" customFormat="1" ht="54" hidden="1" customHeight="1" x14ac:dyDescent="0.3">
      <c r="A85" s="402" t="s">
        <v>196</v>
      </c>
      <c r="B85" s="500">
        <v>67</v>
      </c>
      <c r="C85" s="403" t="s">
        <v>384</v>
      </c>
      <c r="D85" s="403" t="s">
        <v>385</v>
      </c>
      <c r="E85" s="405" t="s">
        <v>105</v>
      </c>
      <c r="F85" s="404" t="s">
        <v>86</v>
      </c>
      <c r="G85" s="404" t="s">
        <v>121</v>
      </c>
      <c r="H85" s="404" t="s">
        <v>86</v>
      </c>
      <c r="I85" s="404" t="s">
        <v>121</v>
      </c>
      <c r="J85" s="515"/>
      <c r="K85" s="515"/>
      <c r="L85" s="515"/>
      <c r="M85" s="515"/>
      <c r="N85" s="515"/>
      <c r="O85" s="515"/>
      <c r="P85" s="403" t="s">
        <v>2</v>
      </c>
      <c r="Q85" s="403" t="s">
        <v>2</v>
      </c>
      <c r="R85" s="510" t="s">
        <v>459</v>
      </c>
      <c r="S85" s="405" t="s">
        <v>2</v>
      </c>
      <c r="T85" s="403" t="s">
        <v>2</v>
      </c>
      <c r="U85" s="403" t="s">
        <v>2</v>
      </c>
      <c r="V85" s="403" t="s">
        <v>2</v>
      </c>
      <c r="W85" s="406" t="s">
        <v>2</v>
      </c>
      <c r="X85" s="406" t="s">
        <v>2</v>
      </c>
      <c r="Y85" s="405" t="s">
        <v>9</v>
      </c>
      <c r="Z85" s="405" t="s">
        <v>2</v>
      </c>
      <c r="AA85" s="405" t="s">
        <v>2</v>
      </c>
      <c r="AB85" s="481">
        <v>29</v>
      </c>
      <c r="AC85" s="405" t="s">
        <v>2</v>
      </c>
      <c r="AD85" s="481">
        <v>40</v>
      </c>
      <c r="AE85" s="491">
        <v>41</v>
      </c>
      <c r="AF85" s="405" t="s">
        <v>2</v>
      </c>
      <c r="AG85" s="403" t="s">
        <v>2</v>
      </c>
      <c r="AH85" s="403" t="s">
        <v>2</v>
      </c>
      <c r="AI85" s="403" t="s">
        <v>341</v>
      </c>
      <c r="AJ85" s="403" t="s">
        <v>2</v>
      </c>
      <c r="AK85" s="403" t="s">
        <v>2</v>
      </c>
      <c r="AL85" s="408" t="s">
        <v>2</v>
      </c>
      <c r="AM85" s="115"/>
      <c r="AN85" s="116"/>
      <c r="AO85" s="241"/>
      <c r="AP85" s="242"/>
      <c r="AQ85" s="118"/>
      <c r="AR85" s="235"/>
      <c r="AS85" s="241"/>
      <c r="AT85" s="243"/>
      <c r="AU85" s="133"/>
      <c r="AV85" s="122"/>
      <c r="AW85" s="192"/>
      <c r="AX85" s="123"/>
      <c r="AY85" s="124"/>
      <c r="AZ85" s="122"/>
      <c r="BA85" s="192"/>
      <c r="BB85" s="123"/>
      <c r="BC85" s="147"/>
      <c r="BD85" s="125"/>
      <c r="BE85" s="119"/>
      <c r="BF85" s="117"/>
      <c r="BG85" s="126"/>
      <c r="BH85" s="125"/>
      <c r="BI85" s="91"/>
      <c r="BJ85" s="117"/>
      <c r="BK85" s="126"/>
    </row>
    <row r="86" spans="1:63" s="305" customFormat="1" ht="54" hidden="1" customHeight="1" x14ac:dyDescent="0.3">
      <c r="A86" s="359" t="s">
        <v>196</v>
      </c>
      <c r="B86" s="497">
        <v>68</v>
      </c>
      <c r="C86" s="360" t="s">
        <v>386</v>
      </c>
      <c r="D86" s="361" t="s">
        <v>387</v>
      </c>
      <c r="E86" s="367" t="s">
        <v>67</v>
      </c>
      <c r="F86" s="365" t="s">
        <v>590</v>
      </c>
      <c r="G86" s="366" t="s">
        <v>591</v>
      </c>
      <c r="H86" s="365" t="s">
        <v>53</v>
      </c>
      <c r="I86" s="366" t="s">
        <v>157</v>
      </c>
      <c r="J86" s="427"/>
      <c r="K86" s="427"/>
      <c r="L86" s="427"/>
      <c r="M86" s="427"/>
      <c r="N86" s="427"/>
      <c r="O86" s="427"/>
      <c r="P86" s="364" t="s">
        <v>825</v>
      </c>
      <c r="Q86" s="361" t="s">
        <v>825</v>
      </c>
      <c r="R86" s="370" t="s">
        <v>460</v>
      </c>
      <c r="S86" s="367" t="s">
        <v>227</v>
      </c>
      <c r="T86" s="361" t="s">
        <v>228</v>
      </c>
      <c r="U86" s="364" t="s">
        <v>532</v>
      </c>
      <c r="V86" s="364" t="s">
        <v>807</v>
      </c>
      <c r="W86" s="396" t="s">
        <v>2</v>
      </c>
      <c r="X86" s="366" t="s">
        <v>2</v>
      </c>
      <c r="Y86" s="395" t="s">
        <v>9</v>
      </c>
      <c r="Z86" s="395" t="s">
        <v>2</v>
      </c>
      <c r="AA86" s="414" t="s">
        <v>2</v>
      </c>
      <c r="AB86" s="480">
        <v>12</v>
      </c>
      <c r="AC86" s="395" t="s">
        <v>2</v>
      </c>
      <c r="AD86" s="490">
        <v>40</v>
      </c>
      <c r="AE86" s="364" t="s">
        <v>2</v>
      </c>
      <c r="AF86" s="364" t="s">
        <v>985</v>
      </c>
      <c r="AG86" s="397" t="s">
        <v>1089</v>
      </c>
      <c r="AH86" s="364" t="s">
        <v>825</v>
      </c>
      <c r="AI86" s="364" t="s">
        <v>341</v>
      </c>
      <c r="AJ86" s="364" t="s">
        <v>2</v>
      </c>
      <c r="AK86" s="364" t="s">
        <v>2</v>
      </c>
      <c r="AL86" s="369" t="s">
        <v>2</v>
      </c>
      <c r="AM86" s="306"/>
      <c r="AN86" s="76"/>
      <c r="AO86" s="77"/>
      <c r="AP86" s="78"/>
      <c r="AQ86" s="79"/>
      <c r="AR86" s="231" t="s">
        <v>842</v>
      </c>
      <c r="AS86" s="192" t="s">
        <v>843</v>
      </c>
      <c r="AT86" s="82">
        <v>7</v>
      </c>
      <c r="AU86" s="191" t="s">
        <v>844</v>
      </c>
      <c r="AV86" s="80"/>
      <c r="AW86" s="192"/>
      <c r="AX86" s="84"/>
      <c r="AY86" s="85"/>
      <c r="AZ86" s="80" t="s">
        <v>925</v>
      </c>
      <c r="BA86" s="192" t="s">
        <v>927</v>
      </c>
      <c r="BB86" s="84">
        <v>6</v>
      </c>
      <c r="BC86" s="85" t="s">
        <v>970</v>
      </c>
      <c r="BD86" s="76"/>
      <c r="BE86" s="119"/>
      <c r="BF86" s="78"/>
      <c r="BG86" s="87"/>
      <c r="BH86" s="76"/>
      <c r="BI86" s="91"/>
      <c r="BJ86" s="78"/>
      <c r="BK86" s="87"/>
    </row>
    <row r="87" spans="1:63" s="305" customFormat="1" ht="54" hidden="1" customHeight="1" x14ac:dyDescent="0.3">
      <c r="A87" s="359" t="s">
        <v>196</v>
      </c>
      <c r="B87" s="497">
        <v>69</v>
      </c>
      <c r="C87" s="360" t="s">
        <v>386</v>
      </c>
      <c r="D87" s="361" t="s">
        <v>387</v>
      </c>
      <c r="E87" s="367" t="s">
        <v>374</v>
      </c>
      <c r="F87" s="438" t="s">
        <v>582</v>
      </c>
      <c r="G87" s="439" t="s">
        <v>586</v>
      </c>
      <c r="H87" s="438" t="s">
        <v>582</v>
      </c>
      <c r="I87" s="439" t="s">
        <v>586</v>
      </c>
      <c r="J87" s="439"/>
      <c r="K87" s="439"/>
      <c r="L87" s="439"/>
      <c r="M87" s="439"/>
      <c r="N87" s="439"/>
      <c r="O87" s="439"/>
      <c r="P87" s="364" t="s">
        <v>825</v>
      </c>
      <c r="Q87" s="361" t="s">
        <v>825</v>
      </c>
      <c r="R87" s="370" t="s">
        <v>461</v>
      </c>
      <c r="S87" s="367" t="s">
        <v>826</v>
      </c>
      <c r="T87" s="361" t="s">
        <v>827</v>
      </c>
      <c r="U87" s="364" t="s">
        <v>2</v>
      </c>
      <c r="V87" s="364" t="s">
        <v>2</v>
      </c>
      <c r="W87" s="432" t="s">
        <v>647</v>
      </c>
      <c r="X87" s="433" t="s">
        <v>595</v>
      </c>
      <c r="Y87" s="395" t="s">
        <v>10</v>
      </c>
      <c r="Z87" s="423" t="s">
        <v>350</v>
      </c>
      <c r="AA87" s="429" t="s">
        <v>351</v>
      </c>
      <c r="AB87" s="480">
        <v>19</v>
      </c>
      <c r="AC87" s="395" t="s">
        <v>2</v>
      </c>
      <c r="AD87" s="490">
        <v>40</v>
      </c>
      <c r="AE87" s="364" t="s">
        <v>2</v>
      </c>
      <c r="AF87" s="364" t="s">
        <v>985</v>
      </c>
      <c r="AG87" s="397" t="s">
        <v>1114</v>
      </c>
      <c r="AH87" s="364" t="s">
        <v>825</v>
      </c>
      <c r="AI87" s="364" t="s">
        <v>341</v>
      </c>
      <c r="AJ87" s="364" t="s">
        <v>2</v>
      </c>
      <c r="AK87" s="364" t="s">
        <v>2</v>
      </c>
      <c r="AL87" s="369" t="s">
        <v>2</v>
      </c>
      <c r="AM87" s="306"/>
      <c r="AN87" s="76" t="s">
        <v>861</v>
      </c>
      <c r="AO87" s="77" t="s">
        <v>863</v>
      </c>
      <c r="AP87" s="82">
        <v>6</v>
      </c>
      <c r="AQ87" s="79" t="s">
        <v>947</v>
      </c>
      <c r="AR87" s="232"/>
      <c r="AS87" s="89"/>
      <c r="AT87" s="90"/>
      <c r="AU87" s="83"/>
      <c r="AV87" s="80" t="s">
        <v>912</v>
      </c>
      <c r="AW87" s="192" t="s">
        <v>1236</v>
      </c>
      <c r="AX87" s="84">
        <v>6</v>
      </c>
      <c r="AY87" s="85" t="s">
        <v>962</v>
      </c>
      <c r="AZ87" s="80"/>
      <c r="BA87" s="192"/>
      <c r="BB87" s="84"/>
      <c r="BC87" s="85"/>
      <c r="BD87" s="76"/>
      <c r="BE87" s="119"/>
      <c r="BF87" s="78"/>
      <c r="BG87" s="87"/>
      <c r="BH87" s="76"/>
      <c r="BI87" s="91"/>
      <c r="BJ87" s="78"/>
      <c r="BK87" s="87"/>
    </row>
    <row r="88" spans="1:63" s="305" customFormat="1" ht="54" hidden="1" customHeight="1" x14ac:dyDescent="0.3">
      <c r="A88" s="359" t="s">
        <v>196</v>
      </c>
      <c r="B88" s="497">
        <v>70</v>
      </c>
      <c r="C88" s="360" t="s">
        <v>386</v>
      </c>
      <c r="D88" s="361" t="s">
        <v>387</v>
      </c>
      <c r="E88" s="367" t="s">
        <v>68</v>
      </c>
      <c r="F88" s="365" t="s">
        <v>59</v>
      </c>
      <c r="G88" s="366" t="s">
        <v>153</v>
      </c>
      <c r="H88" s="401" t="s">
        <v>756</v>
      </c>
      <c r="I88" s="366" t="s">
        <v>187</v>
      </c>
      <c r="J88" s="427"/>
      <c r="K88" s="427"/>
      <c r="L88" s="427"/>
      <c r="M88" s="427"/>
      <c r="N88" s="427"/>
      <c r="O88" s="427"/>
      <c r="P88" s="364" t="s">
        <v>825</v>
      </c>
      <c r="Q88" s="361" t="s">
        <v>825</v>
      </c>
      <c r="R88" s="370" t="s">
        <v>462</v>
      </c>
      <c r="S88" s="367" t="s">
        <v>826</v>
      </c>
      <c r="T88" s="361" t="s">
        <v>827</v>
      </c>
      <c r="U88" s="364" t="s">
        <v>496</v>
      </c>
      <c r="V88" s="364" t="s">
        <v>665</v>
      </c>
      <c r="W88" s="396" t="s">
        <v>2</v>
      </c>
      <c r="X88" s="366" t="s">
        <v>2</v>
      </c>
      <c r="Y88" s="395" t="s">
        <v>9</v>
      </c>
      <c r="Z88" s="395" t="s">
        <v>2</v>
      </c>
      <c r="AA88" s="414" t="s">
        <v>2</v>
      </c>
      <c r="AB88" s="480">
        <v>12</v>
      </c>
      <c r="AC88" s="395" t="s">
        <v>2</v>
      </c>
      <c r="AD88" s="490">
        <v>40</v>
      </c>
      <c r="AE88" s="364" t="s">
        <v>2</v>
      </c>
      <c r="AF88" s="364" t="s">
        <v>2</v>
      </c>
      <c r="AG88" s="367" t="s">
        <v>994</v>
      </c>
      <c r="AH88" s="364" t="s">
        <v>825</v>
      </c>
      <c r="AI88" s="364" t="s">
        <v>341</v>
      </c>
      <c r="AJ88" s="364" t="s">
        <v>2</v>
      </c>
      <c r="AK88" s="364" t="s">
        <v>2</v>
      </c>
      <c r="AL88" s="369" t="s">
        <v>2</v>
      </c>
      <c r="AM88" s="306"/>
      <c r="AN88" s="76" t="s">
        <v>856</v>
      </c>
      <c r="AO88" s="77" t="s">
        <v>857</v>
      </c>
      <c r="AP88" s="78">
        <v>6</v>
      </c>
      <c r="AQ88" s="79" t="s">
        <v>948</v>
      </c>
      <c r="AR88" s="236" t="s">
        <v>842</v>
      </c>
      <c r="AS88" s="81" t="s">
        <v>843</v>
      </c>
      <c r="AT88" s="82">
        <v>7</v>
      </c>
      <c r="AU88" s="191" t="s">
        <v>844</v>
      </c>
      <c r="AV88" s="80" t="s">
        <v>876</v>
      </c>
      <c r="AW88" s="192" t="s">
        <v>878</v>
      </c>
      <c r="AX88" s="82">
        <v>6</v>
      </c>
      <c r="AY88" s="85" t="s">
        <v>963</v>
      </c>
      <c r="AZ88" s="80"/>
      <c r="BA88" s="192"/>
      <c r="BB88" s="84"/>
      <c r="BC88" s="85"/>
      <c r="BD88" s="76"/>
      <c r="BE88" s="119"/>
      <c r="BF88" s="78"/>
      <c r="BG88" s="87"/>
      <c r="BH88" s="76"/>
      <c r="BI88" s="91"/>
      <c r="BJ88" s="78"/>
      <c r="BK88" s="87"/>
    </row>
    <row r="89" spans="1:63" s="305" customFormat="1" ht="54" hidden="1" customHeight="1" x14ac:dyDescent="0.3">
      <c r="A89" s="359" t="s">
        <v>196</v>
      </c>
      <c r="B89" s="497">
        <v>71</v>
      </c>
      <c r="C89" s="360" t="s">
        <v>348</v>
      </c>
      <c r="D89" s="361" t="s">
        <v>349</v>
      </c>
      <c r="E89" s="367" t="s">
        <v>69</v>
      </c>
      <c r="F89" s="365" t="s">
        <v>592</v>
      </c>
      <c r="G89" s="366" t="s">
        <v>593</v>
      </c>
      <c r="H89" s="365" t="s">
        <v>53</v>
      </c>
      <c r="I89" s="366" t="s">
        <v>157</v>
      </c>
      <c r="J89" s="427"/>
      <c r="K89" s="427"/>
      <c r="L89" s="427"/>
      <c r="M89" s="427"/>
      <c r="N89" s="427"/>
      <c r="O89" s="427"/>
      <c r="P89" s="364" t="s">
        <v>825</v>
      </c>
      <c r="Q89" s="361" t="s">
        <v>825</v>
      </c>
      <c r="R89" s="370" t="s">
        <v>463</v>
      </c>
      <c r="S89" s="367" t="s">
        <v>227</v>
      </c>
      <c r="T89" s="361" t="s">
        <v>228</v>
      </c>
      <c r="U89" s="364" t="s">
        <v>532</v>
      </c>
      <c r="V89" s="364" t="s">
        <v>807</v>
      </c>
      <c r="W89" s="396" t="s">
        <v>2</v>
      </c>
      <c r="X89" s="366" t="s">
        <v>2</v>
      </c>
      <c r="Y89" s="395" t="s">
        <v>9</v>
      </c>
      <c r="Z89" s="395" t="s">
        <v>2</v>
      </c>
      <c r="AA89" s="414" t="s">
        <v>2</v>
      </c>
      <c r="AB89" s="480">
        <v>12</v>
      </c>
      <c r="AC89" s="395" t="s">
        <v>2</v>
      </c>
      <c r="AD89" s="490">
        <v>40</v>
      </c>
      <c r="AE89" s="364" t="s">
        <v>2</v>
      </c>
      <c r="AF89" s="364" t="s">
        <v>985</v>
      </c>
      <c r="AG89" s="397" t="s">
        <v>1089</v>
      </c>
      <c r="AH89" s="364" t="s">
        <v>825</v>
      </c>
      <c r="AI89" s="364" t="s">
        <v>341</v>
      </c>
      <c r="AJ89" s="364" t="s">
        <v>2</v>
      </c>
      <c r="AK89" s="364" t="s">
        <v>2</v>
      </c>
      <c r="AL89" s="369" t="s">
        <v>2</v>
      </c>
      <c r="AM89" s="306"/>
      <c r="AN89" s="76"/>
      <c r="AO89" s="77"/>
      <c r="AP89" s="78"/>
      <c r="AQ89" s="79"/>
      <c r="AR89" s="231" t="s">
        <v>842</v>
      </c>
      <c r="AS89" s="192" t="s">
        <v>843</v>
      </c>
      <c r="AT89" s="82">
        <v>7</v>
      </c>
      <c r="AU89" s="191" t="s">
        <v>844</v>
      </c>
      <c r="AV89" s="80"/>
      <c r="AW89" s="192"/>
      <c r="AX89" s="84"/>
      <c r="AY89" s="85"/>
      <c r="AZ89" s="80" t="s">
        <v>926</v>
      </c>
      <c r="BA89" s="192" t="s">
        <v>1237</v>
      </c>
      <c r="BB89" s="84">
        <v>6</v>
      </c>
      <c r="BC89" s="85" t="s">
        <v>971</v>
      </c>
      <c r="BD89" s="76"/>
      <c r="BE89" s="119"/>
      <c r="BF89" s="78"/>
      <c r="BG89" s="87"/>
      <c r="BH89" s="76"/>
      <c r="BI89" s="91"/>
      <c r="BJ89" s="78"/>
      <c r="BK89" s="87"/>
    </row>
    <row r="90" spans="1:63" s="305" customFormat="1" ht="54" hidden="1" customHeight="1" x14ac:dyDescent="0.3">
      <c r="A90" s="359" t="s">
        <v>196</v>
      </c>
      <c r="B90" s="497">
        <v>72</v>
      </c>
      <c r="C90" s="360" t="s">
        <v>348</v>
      </c>
      <c r="D90" s="361" t="s">
        <v>349</v>
      </c>
      <c r="E90" s="367" t="s">
        <v>465</v>
      </c>
      <c r="F90" s="365" t="s">
        <v>583</v>
      </c>
      <c r="G90" s="366" t="s">
        <v>587</v>
      </c>
      <c r="H90" s="365" t="s">
        <v>583</v>
      </c>
      <c r="I90" s="366" t="s">
        <v>587</v>
      </c>
      <c r="J90" s="427"/>
      <c r="K90" s="427"/>
      <c r="L90" s="427"/>
      <c r="M90" s="427"/>
      <c r="N90" s="427"/>
      <c r="O90" s="427"/>
      <c r="P90" s="364" t="s">
        <v>825</v>
      </c>
      <c r="Q90" s="361" t="s">
        <v>825</v>
      </c>
      <c r="R90" s="370" t="s">
        <v>464</v>
      </c>
      <c r="S90" s="367" t="s">
        <v>826</v>
      </c>
      <c r="T90" s="361" t="s">
        <v>827</v>
      </c>
      <c r="U90" s="364" t="s">
        <v>2</v>
      </c>
      <c r="V90" s="364" t="s">
        <v>2</v>
      </c>
      <c r="W90" s="396" t="s">
        <v>646</v>
      </c>
      <c r="X90" s="366" t="s">
        <v>596</v>
      </c>
      <c r="Y90" s="395" t="s">
        <v>10</v>
      </c>
      <c r="Z90" s="423" t="s">
        <v>350</v>
      </c>
      <c r="AA90" s="429" t="s">
        <v>351</v>
      </c>
      <c r="AB90" s="480">
        <v>19</v>
      </c>
      <c r="AC90" s="395" t="s">
        <v>2</v>
      </c>
      <c r="AD90" s="490">
        <v>40</v>
      </c>
      <c r="AE90" s="364" t="s">
        <v>2</v>
      </c>
      <c r="AF90" s="364" t="s">
        <v>985</v>
      </c>
      <c r="AG90" s="397" t="s">
        <v>1089</v>
      </c>
      <c r="AH90" s="364" t="s">
        <v>825</v>
      </c>
      <c r="AI90" s="364" t="s">
        <v>341</v>
      </c>
      <c r="AJ90" s="364" t="s">
        <v>2</v>
      </c>
      <c r="AK90" s="364" t="s">
        <v>2</v>
      </c>
      <c r="AL90" s="369" t="s">
        <v>2</v>
      </c>
      <c r="AM90" s="306"/>
      <c r="AN90" s="76" t="s">
        <v>862</v>
      </c>
      <c r="AO90" s="77" t="s">
        <v>864</v>
      </c>
      <c r="AP90" s="82">
        <v>6</v>
      </c>
      <c r="AQ90" s="79" t="s">
        <v>949</v>
      </c>
      <c r="AR90" s="232"/>
      <c r="AS90" s="89"/>
      <c r="AT90" s="90"/>
      <c r="AU90" s="83"/>
      <c r="AV90" s="80" t="s">
        <v>872</v>
      </c>
      <c r="AW90" s="192" t="s">
        <v>1233</v>
      </c>
      <c r="AX90" s="84">
        <v>7</v>
      </c>
      <c r="AY90" s="85" t="s">
        <v>957</v>
      </c>
      <c r="AZ90" s="80"/>
      <c r="BA90" s="192"/>
      <c r="BB90" s="84"/>
      <c r="BC90" s="85"/>
      <c r="BD90" s="76"/>
      <c r="BE90" s="119"/>
      <c r="BF90" s="78"/>
      <c r="BG90" s="87"/>
      <c r="BH90" s="76"/>
      <c r="BI90" s="91"/>
      <c r="BJ90" s="78"/>
      <c r="BK90" s="87"/>
    </row>
    <row r="91" spans="1:63" s="305" customFormat="1" ht="54" hidden="1" customHeight="1" x14ac:dyDescent="0.3">
      <c r="A91" s="359" t="s">
        <v>196</v>
      </c>
      <c r="B91" s="497">
        <v>73</v>
      </c>
      <c r="C91" s="360" t="s">
        <v>348</v>
      </c>
      <c r="D91" s="361" t="s">
        <v>349</v>
      </c>
      <c r="E91" s="367" t="s">
        <v>70</v>
      </c>
      <c r="F91" s="365" t="s">
        <v>55</v>
      </c>
      <c r="G91" s="366" t="s">
        <v>154</v>
      </c>
      <c r="H91" s="401" t="s">
        <v>757</v>
      </c>
      <c r="I91" s="366" t="s">
        <v>188</v>
      </c>
      <c r="J91" s="427"/>
      <c r="K91" s="427"/>
      <c r="L91" s="427"/>
      <c r="M91" s="427"/>
      <c r="N91" s="427"/>
      <c r="O91" s="427"/>
      <c r="P91" s="364" t="s">
        <v>825</v>
      </c>
      <c r="Q91" s="361" t="s">
        <v>825</v>
      </c>
      <c r="R91" s="370" t="s">
        <v>466</v>
      </c>
      <c r="S91" s="367" t="s">
        <v>826</v>
      </c>
      <c r="T91" s="361" t="s">
        <v>827</v>
      </c>
      <c r="U91" s="364" t="s">
        <v>496</v>
      </c>
      <c r="V91" s="364" t="s">
        <v>665</v>
      </c>
      <c r="W91" s="396" t="s">
        <v>2</v>
      </c>
      <c r="X91" s="366" t="s">
        <v>2</v>
      </c>
      <c r="Y91" s="395" t="s">
        <v>9</v>
      </c>
      <c r="Z91" s="395" t="s">
        <v>2</v>
      </c>
      <c r="AA91" s="414" t="s">
        <v>2</v>
      </c>
      <c r="AB91" s="480">
        <v>12</v>
      </c>
      <c r="AC91" s="395" t="s">
        <v>2</v>
      </c>
      <c r="AD91" s="490">
        <v>40</v>
      </c>
      <c r="AE91" s="364" t="s">
        <v>2</v>
      </c>
      <c r="AF91" s="364" t="s">
        <v>2</v>
      </c>
      <c r="AG91" s="367" t="s">
        <v>994</v>
      </c>
      <c r="AH91" s="364" t="s">
        <v>825</v>
      </c>
      <c r="AI91" s="364" t="s">
        <v>341</v>
      </c>
      <c r="AJ91" s="364" t="s">
        <v>2</v>
      </c>
      <c r="AK91" s="364" t="s">
        <v>2</v>
      </c>
      <c r="AL91" s="369" t="s">
        <v>2</v>
      </c>
      <c r="AM91" s="306"/>
      <c r="AN91" s="76" t="s">
        <v>859</v>
      </c>
      <c r="AO91" s="77" t="s">
        <v>858</v>
      </c>
      <c r="AP91" s="78">
        <v>6</v>
      </c>
      <c r="AQ91" s="79" t="s">
        <v>950</v>
      </c>
      <c r="AR91" s="236" t="s">
        <v>842</v>
      </c>
      <c r="AS91" s="81" t="s">
        <v>843</v>
      </c>
      <c r="AT91" s="82">
        <v>7</v>
      </c>
      <c r="AU91" s="191" t="s">
        <v>844</v>
      </c>
      <c r="AV91" s="80" t="s">
        <v>875</v>
      </c>
      <c r="AW91" s="192" t="s">
        <v>877</v>
      </c>
      <c r="AX91" s="84">
        <v>6</v>
      </c>
      <c r="AY91" s="85" t="s">
        <v>964</v>
      </c>
      <c r="AZ91" s="80"/>
      <c r="BA91" s="192"/>
      <c r="BB91" s="84"/>
      <c r="BC91" s="85"/>
      <c r="BD91" s="76"/>
      <c r="BE91" s="119"/>
      <c r="BF91" s="78"/>
      <c r="BG91" s="87"/>
      <c r="BH91" s="76"/>
      <c r="BI91" s="91"/>
      <c r="BJ91" s="78"/>
      <c r="BK91" s="87"/>
    </row>
    <row r="92" spans="1:63" s="305" customFormat="1" ht="69.599999999999994" customHeight="1" x14ac:dyDescent="0.3">
      <c r="A92" s="440" t="s">
        <v>196</v>
      </c>
      <c r="B92" s="501">
        <v>74</v>
      </c>
      <c r="C92" s="441" t="s">
        <v>346</v>
      </c>
      <c r="D92" s="442" t="s">
        <v>347</v>
      </c>
      <c r="E92" s="446" t="s">
        <v>1171</v>
      </c>
      <c r="F92" s="451" t="s">
        <v>1179</v>
      </c>
      <c r="G92" s="444" t="s">
        <v>1185</v>
      </c>
      <c r="H92" s="443" t="s">
        <v>1207</v>
      </c>
      <c r="I92" s="444" t="s">
        <v>1186</v>
      </c>
      <c r="J92" s="444" t="s">
        <v>1251</v>
      </c>
      <c r="K92" s="444"/>
      <c r="L92" s="444"/>
      <c r="M92" s="444" t="s">
        <v>1252</v>
      </c>
      <c r="N92" s="444"/>
      <c r="O92" s="444"/>
      <c r="P92" s="445" t="s">
        <v>825</v>
      </c>
      <c r="Q92" s="442" t="s">
        <v>825</v>
      </c>
      <c r="R92" s="511" t="s">
        <v>1050</v>
      </c>
      <c r="S92" s="446" t="s">
        <v>201</v>
      </c>
      <c r="T92" s="442" t="s">
        <v>202</v>
      </c>
      <c r="U92" s="445" t="s">
        <v>1170</v>
      </c>
      <c r="V92" s="445" t="s">
        <v>1205</v>
      </c>
      <c r="W92" s="447" t="s">
        <v>1187</v>
      </c>
      <c r="X92" s="444" t="s">
        <v>1188</v>
      </c>
      <c r="Y92" s="448" t="s">
        <v>9</v>
      </c>
      <c r="Z92" s="448" t="s">
        <v>2</v>
      </c>
      <c r="AA92" s="449" t="s">
        <v>2</v>
      </c>
      <c r="AB92" s="483">
        <v>1</v>
      </c>
      <c r="AC92" s="448" t="s">
        <v>2</v>
      </c>
      <c r="AD92" s="493">
        <v>45</v>
      </c>
      <c r="AE92" s="445" t="s">
        <v>2</v>
      </c>
      <c r="AF92" s="445" t="s">
        <v>2</v>
      </c>
      <c r="AG92" s="446" t="s">
        <v>1021</v>
      </c>
      <c r="AH92" s="445" t="s">
        <v>825</v>
      </c>
      <c r="AI92" s="445" t="s">
        <v>341</v>
      </c>
      <c r="AJ92" s="445" t="s">
        <v>2</v>
      </c>
      <c r="AK92" s="445" t="s">
        <v>2</v>
      </c>
      <c r="AL92" s="450" t="s">
        <v>2</v>
      </c>
      <c r="AM92" s="306"/>
      <c r="AN92" s="210" t="s">
        <v>621</v>
      </c>
      <c r="AO92" s="211" t="s">
        <v>622</v>
      </c>
      <c r="AP92" s="212">
        <v>7</v>
      </c>
      <c r="AQ92" s="220" t="s">
        <v>845</v>
      </c>
      <c r="AR92" s="226" t="s">
        <v>842</v>
      </c>
      <c r="AS92" s="211" t="s">
        <v>843</v>
      </c>
      <c r="AT92" s="212">
        <v>7</v>
      </c>
      <c r="AU92" s="227" t="s">
        <v>844</v>
      </c>
      <c r="AV92" s="226"/>
      <c r="AW92" s="211"/>
      <c r="AX92" s="224"/>
      <c r="AY92" s="225"/>
      <c r="AZ92" s="226"/>
      <c r="BA92" s="211"/>
      <c r="BB92" s="224"/>
      <c r="BC92" s="225"/>
      <c r="BD92" s="226"/>
      <c r="BE92" s="221"/>
      <c r="BF92" s="212"/>
      <c r="BG92" s="225"/>
      <c r="BH92" s="226"/>
      <c r="BI92" s="221"/>
      <c r="BJ92" s="212"/>
      <c r="BK92" s="225"/>
    </row>
    <row r="93" spans="1:63" s="305" customFormat="1" ht="82.8" customHeight="1" x14ac:dyDescent="0.3">
      <c r="A93" s="440" t="s">
        <v>196</v>
      </c>
      <c r="B93" s="501">
        <v>75</v>
      </c>
      <c r="C93" s="441" t="s">
        <v>346</v>
      </c>
      <c r="D93" s="442" t="s">
        <v>347</v>
      </c>
      <c r="E93" s="446" t="s">
        <v>1121</v>
      </c>
      <c r="F93" s="451" t="s">
        <v>1120</v>
      </c>
      <c r="G93" s="444" t="s">
        <v>1122</v>
      </c>
      <c r="H93" s="443" t="s">
        <v>1123</v>
      </c>
      <c r="I93" s="444" t="s">
        <v>1124</v>
      </c>
      <c r="J93" s="444" t="s">
        <v>1248</v>
      </c>
      <c r="K93" s="444" t="s">
        <v>1249</v>
      </c>
      <c r="L93" s="444" t="s">
        <v>1250</v>
      </c>
      <c r="M93" s="444" t="s">
        <v>1256</v>
      </c>
      <c r="N93" s="444"/>
      <c r="O93" s="444" t="s">
        <v>1255</v>
      </c>
      <c r="P93" s="445" t="s">
        <v>825</v>
      </c>
      <c r="Q93" s="442" t="s">
        <v>825</v>
      </c>
      <c r="R93" s="511" t="s">
        <v>1125</v>
      </c>
      <c r="S93" s="446" t="s">
        <v>826</v>
      </c>
      <c r="T93" s="442" t="s">
        <v>827</v>
      </c>
      <c r="U93" s="445" t="s">
        <v>1126</v>
      </c>
      <c r="V93" s="445" t="s">
        <v>1127</v>
      </c>
      <c r="W93" s="447" t="s">
        <v>1134</v>
      </c>
      <c r="X93" s="444" t="s">
        <v>1135</v>
      </c>
      <c r="Y93" s="448" t="s">
        <v>9</v>
      </c>
      <c r="Z93" s="448" t="s">
        <v>2</v>
      </c>
      <c r="AA93" s="449" t="s">
        <v>2</v>
      </c>
      <c r="AB93" s="483">
        <v>6</v>
      </c>
      <c r="AC93" s="448" t="s">
        <v>2</v>
      </c>
      <c r="AD93" s="493">
        <v>45</v>
      </c>
      <c r="AE93" s="445" t="s">
        <v>2</v>
      </c>
      <c r="AF93" s="445" t="s">
        <v>2</v>
      </c>
      <c r="AG93" s="446" t="s">
        <v>994</v>
      </c>
      <c r="AH93" s="445" t="s">
        <v>825</v>
      </c>
      <c r="AI93" s="445" t="s">
        <v>341</v>
      </c>
      <c r="AJ93" s="445" t="s">
        <v>2</v>
      </c>
      <c r="AK93" s="445" t="s">
        <v>2</v>
      </c>
      <c r="AL93" s="450" t="s">
        <v>2</v>
      </c>
      <c r="AM93" s="306"/>
      <c r="AN93" s="210" t="s">
        <v>1189</v>
      </c>
      <c r="AO93" s="211" t="s">
        <v>1190</v>
      </c>
      <c r="AP93" s="212">
        <v>7</v>
      </c>
      <c r="AQ93" s="220" t="s">
        <v>1172</v>
      </c>
      <c r="AR93" s="226" t="s">
        <v>842</v>
      </c>
      <c r="AS93" s="211" t="s">
        <v>843</v>
      </c>
      <c r="AT93" s="212">
        <v>7</v>
      </c>
      <c r="AU93" s="227" t="s">
        <v>844</v>
      </c>
      <c r="AV93" s="226" t="s">
        <v>1128</v>
      </c>
      <c r="AW93" s="211" t="s">
        <v>1129</v>
      </c>
      <c r="AX93" s="224">
        <v>7</v>
      </c>
      <c r="AY93" s="225" t="s">
        <v>1130</v>
      </c>
      <c r="AZ93" s="226" t="s">
        <v>1131</v>
      </c>
      <c r="BA93" s="211" t="s">
        <v>1132</v>
      </c>
      <c r="BB93" s="224">
        <v>7</v>
      </c>
      <c r="BC93" s="225" t="s">
        <v>1133</v>
      </c>
      <c r="BD93" s="226"/>
      <c r="BE93" s="221"/>
      <c r="BF93" s="212"/>
      <c r="BG93" s="225"/>
      <c r="BH93" s="226"/>
      <c r="BI93" s="221"/>
      <c r="BJ93" s="212"/>
      <c r="BK93" s="225"/>
    </row>
    <row r="94" spans="1:63" s="305" customFormat="1" ht="54" customHeight="1" x14ac:dyDescent="0.3">
      <c r="A94" s="440" t="s">
        <v>196</v>
      </c>
      <c r="B94" s="501">
        <v>76</v>
      </c>
      <c r="C94" s="441" t="s">
        <v>344</v>
      </c>
      <c r="D94" s="442" t="s">
        <v>345</v>
      </c>
      <c r="E94" s="446" t="s">
        <v>1015</v>
      </c>
      <c r="F94" s="451" t="s">
        <v>1211</v>
      </c>
      <c r="G94" s="444" t="s">
        <v>1214</v>
      </c>
      <c r="H94" s="451" t="s">
        <v>1211</v>
      </c>
      <c r="I94" s="444" t="s">
        <v>1214</v>
      </c>
      <c r="J94" s="444" t="s">
        <v>1251</v>
      </c>
      <c r="K94" s="444"/>
      <c r="L94" s="444"/>
      <c r="M94" s="444" t="s">
        <v>1252</v>
      </c>
      <c r="N94" s="444"/>
      <c r="O94" s="444"/>
      <c r="P94" s="445" t="s">
        <v>825</v>
      </c>
      <c r="Q94" s="442" t="s">
        <v>825</v>
      </c>
      <c r="R94" s="511" t="s">
        <v>998</v>
      </c>
      <c r="S94" s="446" t="s">
        <v>826</v>
      </c>
      <c r="T94" s="442" t="s">
        <v>827</v>
      </c>
      <c r="U94" s="445" t="s">
        <v>999</v>
      </c>
      <c r="V94" s="445" t="s">
        <v>1000</v>
      </c>
      <c r="W94" s="447" t="s">
        <v>2</v>
      </c>
      <c r="X94" s="444" t="s">
        <v>2</v>
      </c>
      <c r="Y94" s="448" t="s">
        <v>9</v>
      </c>
      <c r="Z94" s="448" t="s">
        <v>2</v>
      </c>
      <c r="AA94" s="449" t="s">
        <v>2</v>
      </c>
      <c r="AB94" s="483">
        <v>1</v>
      </c>
      <c r="AC94" s="448" t="s">
        <v>2</v>
      </c>
      <c r="AD94" s="493">
        <v>45</v>
      </c>
      <c r="AE94" s="445" t="s">
        <v>2</v>
      </c>
      <c r="AF94" s="445" t="s">
        <v>2</v>
      </c>
      <c r="AG94" s="446" t="s">
        <v>1024</v>
      </c>
      <c r="AH94" s="445" t="s">
        <v>825</v>
      </c>
      <c r="AI94" s="445" t="s">
        <v>341</v>
      </c>
      <c r="AJ94" s="445" t="s">
        <v>2</v>
      </c>
      <c r="AK94" s="445" t="s">
        <v>2</v>
      </c>
      <c r="AL94" s="450" t="s">
        <v>2</v>
      </c>
      <c r="AM94" s="306"/>
      <c r="AN94" s="210" t="s">
        <v>1189</v>
      </c>
      <c r="AO94" s="211" t="s">
        <v>1190</v>
      </c>
      <c r="AP94" s="212">
        <v>7</v>
      </c>
      <c r="AQ94" s="220" t="s">
        <v>1172</v>
      </c>
      <c r="AR94" s="226" t="s">
        <v>842</v>
      </c>
      <c r="AS94" s="211" t="s">
        <v>843</v>
      </c>
      <c r="AT94" s="212">
        <v>7</v>
      </c>
      <c r="AU94" s="227" t="s">
        <v>844</v>
      </c>
      <c r="AV94" s="226"/>
      <c r="AW94" s="211"/>
      <c r="AX94" s="224"/>
      <c r="AY94" s="225"/>
      <c r="AZ94" s="226"/>
      <c r="BA94" s="211"/>
      <c r="BB94" s="224"/>
      <c r="BC94" s="225"/>
      <c r="BD94" s="226"/>
      <c r="BE94" s="221"/>
      <c r="BF94" s="212"/>
      <c r="BG94" s="225"/>
      <c r="BH94" s="226"/>
      <c r="BI94" s="221"/>
      <c r="BJ94" s="212"/>
      <c r="BK94" s="225"/>
    </row>
    <row r="95" spans="1:63" s="305" customFormat="1" ht="54" customHeight="1" x14ac:dyDescent="0.3">
      <c r="A95" s="440" t="s">
        <v>196</v>
      </c>
      <c r="B95" s="501">
        <v>77</v>
      </c>
      <c r="C95" s="441" t="s">
        <v>344</v>
      </c>
      <c r="D95" s="442" t="s">
        <v>345</v>
      </c>
      <c r="E95" s="446" t="s">
        <v>1016</v>
      </c>
      <c r="F95" s="451" t="s">
        <v>1212</v>
      </c>
      <c r="G95" s="444" t="s">
        <v>1213</v>
      </c>
      <c r="H95" s="451" t="s">
        <v>1212</v>
      </c>
      <c r="I95" s="444" t="s">
        <v>1213</v>
      </c>
      <c r="J95" s="444" t="s">
        <v>1251</v>
      </c>
      <c r="K95" s="444"/>
      <c r="L95" s="444"/>
      <c r="M95" s="444" t="s">
        <v>1252</v>
      </c>
      <c r="N95" s="444"/>
      <c r="O95" s="444"/>
      <c r="P95" s="445" t="s">
        <v>825</v>
      </c>
      <c r="Q95" s="442" t="s">
        <v>825</v>
      </c>
      <c r="R95" s="511" t="s">
        <v>1001</v>
      </c>
      <c r="S95" s="446" t="s">
        <v>826</v>
      </c>
      <c r="T95" s="442" t="s">
        <v>827</v>
      </c>
      <c r="U95" s="445" t="s">
        <v>2</v>
      </c>
      <c r="V95" s="445" t="s">
        <v>2</v>
      </c>
      <c r="W95" s="447" t="s">
        <v>1002</v>
      </c>
      <c r="X95" s="444" t="s">
        <v>1003</v>
      </c>
      <c r="Y95" s="448" t="s">
        <v>9</v>
      </c>
      <c r="Z95" s="448" t="s">
        <v>2</v>
      </c>
      <c r="AA95" s="449" t="s">
        <v>2</v>
      </c>
      <c r="AB95" s="483">
        <v>20</v>
      </c>
      <c r="AC95" s="448" t="s">
        <v>2</v>
      </c>
      <c r="AD95" s="493">
        <v>45</v>
      </c>
      <c r="AE95" s="445" t="s">
        <v>2</v>
      </c>
      <c r="AF95" s="445" t="s">
        <v>2</v>
      </c>
      <c r="AG95" s="446" t="s">
        <v>1024</v>
      </c>
      <c r="AH95" s="445" t="s">
        <v>825</v>
      </c>
      <c r="AI95" s="445" t="s">
        <v>341</v>
      </c>
      <c r="AJ95" s="445" t="s">
        <v>2</v>
      </c>
      <c r="AK95" s="445" t="s">
        <v>2</v>
      </c>
      <c r="AL95" s="450" t="s">
        <v>2</v>
      </c>
      <c r="AM95" s="306"/>
      <c r="AN95" s="210" t="s">
        <v>1225</v>
      </c>
      <c r="AO95" s="211" t="s">
        <v>1226</v>
      </c>
      <c r="AP95" s="212">
        <v>7</v>
      </c>
      <c r="AQ95" s="220" t="s">
        <v>1050</v>
      </c>
      <c r="AR95" s="226"/>
      <c r="AS95" s="211"/>
      <c r="AT95" s="212"/>
      <c r="AU95" s="227"/>
      <c r="AV95" s="226"/>
      <c r="AW95" s="211"/>
      <c r="AX95" s="224"/>
      <c r="AY95" s="225"/>
      <c r="AZ95" s="226"/>
      <c r="BA95" s="211"/>
      <c r="BB95" s="224"/>
      <c r="BC95" s="225"/>
      <c r="BD95" s="226" t="s">
        <v>1022</v>
      </c>
      <c r="BE95" s="237" t="s">
        <v>1208</v>
      </c>
      <c r="BF95" s="212">
        <v>7</v>
      </c>
      <c r="BG95" s="225" t="s">
        <v>1209</v>
      </c>
      <c r="BH95" s="226"/>
      <c r="BI95" s="221"/>
      <c r="BJ95" s="212"/>
      <c r="BK95" s="225"/>
    </row>
    <row r="96" spans="1:63" s="305" customFormat="1" ht="126.6" customHeight="1" x14ac:dyDescent="0.3">
      <c r="A96" s="440" t="s">
        <v>196</v>
      </c>
      <c r="B96" s="501">
        <v>78</v>
      </c>
      <c r="C96" s="441" t="s">
        <v>344</v>
      </c>
      <c r="D96" s="442" t="s">
        <v>345</v>
      </c>
      <c r="E96" s="446" t="s">
        <v>1017</v>
      </c>
      <c r="F96" s="451" t="s">
        <v>1216</v>
      </c>
      <c r="G96" s="444" t="s">
        <v>1215</v>
      </c>
      <c r="H96" s="451" t="s">
        <v>1216</v>
      </c>
      <c r="I96" s="444" t="s">
        <v>1215</v>
      </c>
      <c r="J96" s="444" t="s">
        <v>1248</v>
      </c>
      <c r="K96" s="444" t="s">
        <v>1249</v>
      </c>
      <c r="L96" s="444" t="s">
        <v>1250</v>
      </c>
      <c r="M96" s="444" t="s">
        <v>1257</v>
      </c>
      <c r="N96" s="444"/>
      <c r="O96" s="444" t="s">
        <v>1255</v>
      </c>
      <c r="P96" s="445" t="s">
        <v>825</v>
      </c>
      <c r="Q96" s="442" t="s">
        <v>825</v>
      </c>
      <c r="R96" s="511" t="s">
        <v>1004</v>
      </c>
      <c r="S96" s="446" t="s">
        <v>826</v>
      </c>
      <c r="T96" s="442" t="s">
        <v>827</v>
      </c>
      <c r="U96" s="445" t="s">
        <v>1005</v>
      </c>
      <c r="V96" s="445" t="s">
        <v>1006</v>
      </c>
      <c r="W96" s="447" t="s">
        <v>1007</v>
      </c>
      <c r="X96" s="444" t="s">
        <v>1008</v>
      </c>
      <c r="Y96" s="448" t="s">
        <v>9</v>
      </c>
      <c r="Z96" s="448" t="s">
        <v>2</v>
      </c>
      <c r="AA96" s="449" t="s">
        <v>2</v>
      </c>
      <c r="AB96" s="483">
        <v>2</v>
      </c>
      <c r="AC96" s="448" t="s">
        <v>2</v>
      </c>
      <c r="AD96" s="493">
        <v>45</v>
      </c>
      <c r="AE96" s="445" t="s">
        <v>2</v>
      </c>
      <c r="AF96" s="445" t="s">
        <v>2</v>
      </c>
      <c r="AG96" s="446" t="s">
        <v>1024</v>
      </c>
      <c r="AH96" s="445" t="s">
        <v>825</v>
      </c>
      <c r="AI96" s="445" t="s">
        <v>341</v>
      </c>
      <c r="AJ96" s="445" t="s">
        <v>2</v>
      </c>
      <c r="AK96" s="445" t="s">
        <v>2</v>
      </c>
      <c r="AL96" s="450" t="s">
        <v>2</v>
      </c>
      <c r="AM96" s="306"/>
      <c r="AN96" s="210" t="s">
        <v>1227</v>
      </c>
      <c r="AO96" s="211" t="s">
        <v>1228</v>
      </c>
      <c r="AP96" s="212">
        <v>7</v>
      </c>
      <c r="AQ96" s="220" t="s">
        <v>1050</v>
      </c>
      <c r="AR96" s="226" t="s">
        <v>842</v>
      </c>
      <c r="AS96" s="211" t="s">
        <v>843</v>
      </c>
      <c r="AT96" s="212">
        <v>7</v>
      </c>
      <c r="AU96" s="227" t="s">
        <v>844</v>
      </c>
      <c r="AV96" s="226"/>
      <c r="AW96" s="211"/>
      <c r="AX96" s="224"/>
      <c r="AY96" s="225"/>
      <c r="AZ96" s="226"/>
      <c r="BA96" s="211"/>
      <c r="BB96" s="224"/>
      <c r="BC96" s="225"/>
      <c r="BD96" s="226"/>
      <c r="BE96" s="221"/>
      <c r="BF96" s="212"/>
      <c r="BG96" s="225"/>
      <c r="BH96" s="226"/>
      <c r="BI96" s="221"/>
      <c r="BJ96" s="212"/>
      <c r="BK96" s="225"/>
    </row>
    <row r="97" spans="1:63" s="305" customFormat="1" ht="113.4" customHeight="1" x14ac:dyDescent="0.3">
      <c r="A97" s="440" t="s">
        <v>196</v>
      </c>
      <c r="B97" s="501">
        <v>79</v>
      </c>
      <c r="C97" s="441" t="s">
        <v>344</v>
      </c>
      <c r="D97" s="442" t="s">
        <v>345</v>
      </c>
      <c r="E97" s="446" t="s">
        <v>1018</v>
      </c>
      <c r="F97" s="451" t="s">
        <v>1217</v>
      </c>
      <c r="G97" s="444" t="s">
        <v>1009</v>
      </c>
      <c r="H97" s="443" t="s">
        <v>1223</v>
      </c>
      <c r="I97" s="444" t="s">
        <v>1224</v>
      </c>
      <c r="J97" s="444" t="s">
        <v>1248</v>
      </c>
      <c r="K97" s="444" t="s">
        <v>1249</v>
      </c>
      <c r="L97" s="444" t="s">
        <v>1250</v>
      </c>
      <c r="M97" s="444" t="s">
        <v>1258</v>
      </c>
      <c r="N97" s="444"/>
      <c r="O97" s="444" t="s">
        <v>1255</v>
      </c>
      <c r="P97" s="445" t="s">
        <v>825</v>
      </c>
      <c r="Q97" s="442" t="s">
        <v>825</v>
      </c>
      <c r="R97" s="511" t="s">
        <v>1010</v>
      </c>
      <c r="S97" s="446" t="s">
        <v>826</v>
      </c>
      <c r="T97" s="442" t="s">
        <v>827</v>
      </c>
      <c r="U97" s="445" t="s">
        <v>2</v>
      </c>
      <c r="V97" s="445" t="s">
        <v>2</v>
      </c>
      <c r="W97" s="447" t="s">
        <v>1038</v>
      </c>
      <c r="X97" s="444" t="s">
        <v>1037</v>
      </c>
      <c r="Y97" s="448" t="s">
        <v>9</v>
      </c>
      <c r="Z97" s="448" t="s">
        <v>2</v>
      </c>
      <c r="AA97" s="449" t="s">
        <v>2</v>
      </c>
      <c r="AB97" s="483">
        <v>20</v>
      </c>
      <c r="AC97" s="448" t="s">
        <v>2</v>
      </c>
      <c r="AD97" s="493">
        <v>45</v>
      </c>
      <c r="AE97" s="445" t="s">
        <v>2</v>
      </c>
      <c r="AF97" s="445" t="s">
        <v>2</v>
      </c>
      <c r="AG97" s="446" t="s">
        <v>1024</v>
      </c>
      <c r="AH97" s="445" t="s">
        <v>825</v>
      </c>
      <c r="AI97" s="445" t="s">
        <v>341</v>
      </c>
      <c r="AJ97" s="445" t="s">
        <v>2</v>
      </c>
      <c r="AK97" s="445" t="s">
        <v>2</v>
      </c>
      <c r="AL97" s="450" t="s">
        <v>2</v>
      </c>
      <c r="AM97" s="306"/>
      <c r="AN97" s="210" t="s">
        <v>1227</v>
      </c>
      <c r="AO97" s="211" t="s">
        <v>1031</v>
      </c>
      <c r="AP97" s="212">
        <v>7</v>
      </c>
      <c r="AQ97" s="220" t="s">
        <v>1050</v>
      </c>
      <c r="AR97" s="226"/>
      <c r="AS97" s="211"/>
      <c r="AT97" s="212"/>
      <c r="AU97" s="227"/>
      <c r="AV97" s="226"/>
      <c r="AW97" s="211"/>
      <c r="AX97" s="224"/>
      <c r="AY97" s="225"/>
      <c r="AZ97" s="226"/>
      <c r="BA97" s="211"/>
      <c r="BB97" s="224"/>
      <c r="BC97" s="225"/>
      <c r="BD97" s="226" t="s">
        <v>1032</v>
      </c>
      <c r="BE97" s="237" t="s">
        <v>1238</v>
      </c>
      <c r="BF97" s="212">
        <v>7</v>
      </c>
      <c r="BG97" s="225" t="s">
        <v>1210</v>
      </c>
      <c r="BH97" s="226"/>
      <c r="BI97" s="221"/>
      <c r="BJ97" s="212"/>
      <c r="BK97" s="225"/>
    </row>
    <row r="98" spans="1:63" s="305" customFormat="1" ht="80.400000000000006" customHeight="1" x14ac:dyDescent="0.3">
      <c r="A98" s="440" t="s">
        <v>196</v>
      </c>
      <c r="B98" s="501">
        <v>80</v>
      </c>
      <c r="C98" s="441" t="s">
        <v>344</v>
      </c>
      <c r="D98" s="442" t="s">
        <v>345</v>
      </c>
      <c r="E98" s="446" t="s">
        <v>1019</v>
      </c>
      <c r="F98" s="451" t="s">
        <v>1218</v>
      </c>
      <c r="G98" s="444" t="s">
        <v>1219</v>
      </c>
      <c r="H98" s="451" t="s">
        <v>1218</v>
      </c>
      <c r="I98" s="444" t="s">
        <v>1219</v>
      </c>
      <c r="J98" s="444" t="s">
        <v>1251</v>
      </c>
      <c r="K98" s="444"/>
      <c r="L98" s="444"/>
      <c r="M98" s="444" t="s">
        <v>1252</v>
      </c>
      <c r="N98" s="444"/>
      <c r="O98" s="444"/>
      <c r="P98" s="445" t="s">
        <v>825</v>
      </c>
      <c r="Q98" s="442" t="s">
        <v>825</v>
      </c>
      <c r="R98" s="511" t="s">
        <v>1011</v>
      </c>
      <c r="S98" s="446" t="s">
        <v>826</v>
      </c>
      <c r="T98" s="442" t="s">
        <v>827</v>
      </c>
      <c r="U98" s="445" t="s">
        <v>2</v>
      </c>
      <c r="V98" s="445" t="s">
        <v>2</v>
      </c>
      <c r="W98" s="447" t="s">
        <v>1035</v>
      </c>
      <c r="X98" s="444" t="s">
        <v>1036</v>
      </c>
      <c r="Y98" s="448" t="s">
        <v>9</v>
      </c>
      <c r="Z98" s="448" t="s">
        <v>2</v>
      </c>
      <c r="AA98" s="449" t="s">
        <v>2</v>
      </c>
      <c r="AB98" s="483">
        <v>20</v>
      </c>
      <c r="AC98" s="448" t="s">
        <v>2</v>
      </c>
      <c r="AD98" s="493">
        <v>45</v>
      </c>
      <c r="AE98" s="445" t="s">
        <v>2</v>
      </c>
      <c r="AF98" s="445" t="s">
        <v>2</v>
      </c>
      <c r="AG98" s="446" t="s">
        <v>1024</v>
      </c>
      <c r="AH98" s="445" t="s">
        <v>825</v>
      </c>
      <c r="AI98" s="445" t="s">
        <v>341</v>
      </c>
      <c r="AJ98" s="445" t="s">
        <v>2</v>
      </c>
      <c r="AK98" s="445" t="s">
        <v>2</v>
      </c>
      <c r="AL98" s="450" t="s">
        <v>2</v>
      </c>
      <c r="AM98" s="306"/>
      <c r="AN98" s="210" t="s">
        <v>1229</v>
      </c>
      <c r="AO98" s="211" t="s">
        <v>1230</v>
      </c>
      <c r="AP98" s="212">
        <v>6</v>
      </c>
      <c r="AQ98" s="220" t="s">
        <v>1050</v>
      </c>
      <c r="AR98" s="226"/>
      <c r="AS98" s="211"/>
      <c r="AT98" s="212"/>
      <c r="AU98" s="227"/>
      <c r="AV98" s="226"/>
      <c r="AW98" s="211"/>
      <c r="AX98" s="224"/>
      <c r="AY98" s="225"/>
      <c r="AZ98" s="226"/>
      <c r="BA98" s="211"/>
      <c r="BB98" s="224"/>
      <c r="BC98" s="225"/>
      <c r="BD98" s="226" t="s">
        <v>1033</v>
      </c>
      <c r="BE98" s="237" t="s">
        <v>1034</v>
      </c>
      <c r="BF98" s="212">
        <v>7</v>
      </c>
      <c r="BG98" s="225" t="s">
        <v>1023</v>
      </c>
      <c r="BH98" s="226"/>
      <c r="BI98" s="221"/>
      <c r="BJ98" s="212"/>
      <c r="BK98" s="225"/>
    </row>
    <row r="99" spans="1:63" s="305" customFormat="1" ht="82.2" customHeight="1" x14ac:dyDescent="0.3">
      <c r="A99" s="440" t="s">
        <v>196</v>
      </c>
      <c r="B99" s="501">
        <v>81</v>
      </c>
      <c r="C99" s="441" t="s">
        <v>344</v>
      </c>
      <c r="D99" s="442" t="s">
        <v>345</v>
      </c>
      <c r="E99" s="446" t="s">
        <v>1020</v>
      </c>
      <c r="F99" s="451" t="s">
        <v>1220</v>
      </c>
      <c r="G99" s="444" t="s">
        <v>1221</v>
      </c>
      <c r="H99" s="443" t="s">
        <v>1220</v>
      </c>
      <c r="I99" s="444" t="s">
        <v>1222</v>
      </c>
      <c r="J99" s="444" t="s">
        <v>1251</v>
      </c>
      <c r="K99" s="444"/>
      <c r="L99" s="444"/>
      <c r="M99" s="444" t="s">
        <v>1252</v>
      </c>
      <c r="N99" s="444"/>
      <c r="O99" s="444"/>
      <c r="P99" s="445" t="s">
        <v>825</v>
      </c>
      <c r="Q99" s="442" t="s">
        <v>825</v>
      </c>
      <c r="R99" s="511" t="s">
        <v>1012</v>
      </c>
      <c r="S99" s="446" t="s">
        <v>227</v>
      </c>
      <c r="T99" s="442" t="s">
        <v>228</v>
      </c>
      <c r="U99" s="445" t="s">
        <v>2</v>
      </c>
      <c r="V99" s="445" t="s">
        <v>2</v>
      </c>
      <c r="W99" s="447" t="s">
        <v>1013</v>
      </c>
      <c r="X99" s="444" t="s">
        <v>1014</v>
      </c>
      <c r="Y99" s="448" t="s">
        <v>9</v>
      </c>
      <c r="Z99" s="448" t="s">
        <v>2</v>
      </c>
      <c r="AA99" s="449" t="s">
        <v>2</v>
      </c>
      <c r="AB99" s="483">
        <v>20</v>
      </c>
      <c r="AC99" s="448" t="s">
        <v>2</v>
      </c>
      <c r="AD99" s="493">
        <v>45</v>
      </c>
      <c r="AE99" s="445" t="s">
        <v>2</v>
      </c>
      <c r="AF99" s="445" t="s">
        <v>2</v>
      </c>
      <c r="AG99" s="446" t="s">
        <v>1024</v>
      </c>
      <c r="AH99" s="445" t="s">
        <v>825</v>
      </c>
      <c r="AI99" s="445" t="s">
        <v>341</v>
      </c>
      <c r="AJ99" s="445" t="s">
        <v>2</v>
      </c>
      <c r="AK99" s="445" t="s">
        <v>2</v>
      </c>
      <c r="AL99" s="450" t="s">
        <v>2</v>
      </c>
      <c r="AM99" s="306"/>
      <c r="AN99" s="210"/>
      <c r="AO99" s="211"/>
      <c r="AP99" s="212"/>
      <c r="AQ99" s="213"/>
      <c r="AR99" s="226"/>
      <c r="AS99" s="211"/>
      <c r="AT99" s="212"/>
      <c r="AU99" s="227"/>
      <c r="AV99" s="226"/>
      <c r="AW99" s="211"/>
      <c r="AX99" s="224"/>
      <c r="AY99" s="225"/>
      <c r="AZ99" s="226"/>
      <c r="BA99" s="211"/>
      <c r="BB99" s="224"/>
      <c r="BC99" s="225"/>
      <c r="BD99" s="226"/>
      <c r="BE99" s="221"/>
      <c r="BF99" s="212"/>
      <c r="BG99" s="225"/>
      <c r="BH99" s="226"/>
      <c r="BI99" s="221"/>
      <c r="BJ99" s="212"/>
      <c r="BK99" s="225"/>
    </row>
    <row r="100" spans="1:63" s="305" customFormat="1" ht="54" customHeight="1" x14ac:dyDescent="0.3">
      <c r="A100" s="440" t="s">
        <v>196</v>
      </c>
      <c r="B100" s="501">
        <v>82</v>
      </c>
      <c r="C100" s="441" t="s">
        <v>346</v>
      </c>
      <c r="D100" s="442" t="s">
        <v>347</v>
      </c>
      <c r="E100" s="446" t="s">
        <v>1046</v>
      </c>
      <c r="F100" s="451" t="s">
        <v>1045</v>
      </c>
      <c r="G100" s="444" t="s">
        <v>1047</v>
      </c>
      <c r="H100" s="443" t="s">
        <v>1048</v>
      </c>
      <c r="I100" s="444" t="s">
        <v>1049</v>
      </c>
      <c r="J100" s="521" t="s">
        <v>1243</v>
      </c>
      <c r="K100" s="521" t="s">
        <v>1243</v>
      </c>
      <c r="L100" s="521" t="s">
        <v>1243</v>
      </c>
      <c r="M100" s="521" t="s">
        <v>1243</v>
      </c>
      <c r="N100" s="444"/>
      <c r="O100" s="444"/>
      <c r="P100" s="445" t="s">
        <v>825</v>
      </c>
      <c r="Q100" s="442" t="s">
        <v>825</v>
      </c>
      <c r="R100" s="511" t="s">
        <v>1050</v>
      </c>
      <c r="S100" s="446" t="s">
        <v>201</v>
      </c>
      <c r="T100" s="442" t="s">
        <v>202</v>
      </c>
      <c r="U100" s="445" t="s">
        <v>1051</v>
      </c>
      <c r="V100" s="445" t="s">
        <v>1052</v>
      </c>
      <c r="W100" s="447" t="s">
        <v>2</v>
      </c>
      <c r="X100" s="444" t="s">
        <v>2</v>
      </c>
      <c r="Y100" s="448" t="s">
        <v>9</v>
      </c>
      <c r="Z100" s="448" t="s">
        <v>2</v>
      </c>
      <c r="AA100" s="449" t="s">
        <v>2</v>
      </c>
      <c r="AB100" s="483">
        <v>12</v>
      </c>
      <c r="AC100" s="448" t="s">
        <v>2</v>
      </c>
      <c r="AD100" s="493">
        <v>45</v>
      </c>
      <c r="AE100" s="445" t="s">
        <v>2</v>
      </c>
      <c r="AF100" s="445" t="s">
        <v>2</v>
      </c>
      <c r="AG100" s="446" t="s">
        <v>1021</v>
      </c>
      <c r="AH100" s="445" t="s">
        <v>825</v>
      </c>
      <c r="AI100" s="445" t="s">
        <v>341</v>
      </c>
      <c r="AJ100" s="445" t="s">
        <v>2</v>
      </c>
      <c r="AK100" s="445" t="s">
        <v>2</v>
      </c>
      <c r="AL100" s="450" t="s">
        <v>2</v>
      </c>
      <c r="AM100" s="306"/>
      <c r="AN100" s="238" t="s">
        <v>621</v>
      </c>
      <c r="AO100" s="215" t="s">
        <v>622</v>
      </c>
      <c r="AP100" s="216">
        <v>7</v>
      </c>
      <c r="AQ100" s="239" t="s">
        <v>845</v>
      </c>
      <c r="AR100" s="226" t="s">
        <v>842</v>
      </c>
      <c r="AS100" s="211" t="s">
        <v>843</v>
      </c>
      <c r="AT100" s="212">
        <v>7</v>
      </c>
      <c r="AU100" s="227" t="s">
        <v>844</v>
      </c>
      <c r="AV100" s="214"/>
      <c r="AW100" s="211"/>
      <c r="AX100" s="219"/>
      <c r="AY100" s="220"/>
      <c r="AZ100" s="214"/>
      <c r="BA100" s="211"/>
      <c r="BB100" s="219"/>
      <c r="BC100" s="220"/>
      <c r="BD100" s="214"/>
      <c r="BE100" s="218"/>
      <c r="BF100" s="216"/>
      <c r="BG100" s="220"/>
      <c r="BH100" s="240"/>
      <c r="BI100" s="221"/>
      <c r="BJ100" s="222"/>
      <c r="BK100" s="223"/>
    </row>
    <row r="101" spans="1:63" s="305" customFormat="1" ht="117" customHeight="1" x14ac:dyDescent="0.3">
      <c r="A101" s="440" t="s">
        <v>196</v>
      </c>
      <c r="B101" s="501">
        <v>83</v>
      </c>
      <c r="C101" s="441" t="s">
        <v>346</v>
      </c>
      <c r="D101" s="442" t="s">
        <v>347</v>
      </c>
      <c r="E101" s="446" t="s">
        <v>1053</v>
      </c>
      <c r="F101" s="451" t="s">
        <v>1039</v>
      </c>
      <c r="G101" s="444" t="s">
        <v>1054</v>
      </c>
      <c r="H101" s="443" t="s">
        <v>1055</v>
      </c>
      <c r="I101" s="444" t="s">
        <v>1056</v>
      </c>
      <c r="J101" s="444" t="s">
        <v>1248</v>
      </c>
      <c r="K101" s="444" t="s">
        <v>1249</v>
      </c>
      <c r="L101" s="444" t="s">
        <v>1250</v>
      </c>
      <c r="M101" s="444" t="s">
        <v>1261</v>
      </c>
      <c r="N101" s="444"/>
      <c r="O101" s="444" t="s">
        <v>1255</v>
      </c>
      <c r="P101" s="445" t="s">
        <v>825</v>
      </c>
      <c r="Q101" s="442" t="s">
        <v>825</v>
      </c>
      <c r="R101" s="511" t="s">
        <v>1057</v>
      </c>
      <c r="S101" s="446" t="s">
        <v>201</v>
      </c>
      <c r="T101" s="442" t="s">
        <v>202</v>
      </c>
      <c r="U101" s="445" t="s">
        <v>2</v>
      </c>
      <c r="V101" s="445" t="s">
        <v>2</v>
      </c>
      <c r="W101" s="447" t="s">
        <v>2</v>
      </c>
      <c r="X101" s="444" t="s">
        <v>2</v>
      </c>
      <c r="Y101" s="448" t="s">
        <v>249</v>
      </c>
      <c r="Z101" s="448" t="s">
        <v>250</v>
      </c>
      <c r="AA101" s="449" t="s">
        <v>251</v>
      </c>
      <c r="AB101" s="483">
        <v>8</v>
      </c>
      <c r="AC101" s="448" t="s">
        <v>2</v>
      </c>
      <c r="AD101" s="493">
        <v>45</v>
      </c>
      <c r="AE101" s="445" t="s">
        <v>2</v>
      </c>
      <c r="AF101" s="445" t="s">
        <v>2</v>
      </c>
      <c r="AG101" s="446" t="s">
        <v>1021</v>
      </c>
      <c r="AH101" s="445" t="s">
        <v>825</v>
      </c>
      <c r="AI101" s="445" t="s">
        <v>341</v>
      </c>
      <c r="AJ101" s="445" t="s">
        <v>2</v>
      </c>
      <c r="AK101" s="445" t="s">
        <v>2</v>
      </c>
      <c r="AL101" s="450" t="s">
        <v>2</v>
      </c>
      <c r="AM101" s="306"/>
      <c r="AN101" s="238" t="s">
        <v>621</v>
      </c>
      <c r="AO101" s="215" t="s">
        <v>622</v>
      </c>
      <c r="AP101" s="216">
        <v>7</v>
      </c>
      <c r="AQ101" s="239" t="s">
        <v>845</v>
      </c>
      <c r="AR101" s="214"/>
      <c r="AS101" s="215"/>
      <c r="AT101" s="216"/>
      <c r="AU101" s="217"/>
      <c r="AV101" s="214" t="s">
        <v>1100</v>
      </c>
      <c r="AW101" s="211" t="s">
        <v>1101</v>
      </c>
      <c r="AX101" s="219">
        <v>7</v>
      </c>
      <c r="AY101" s="220" t="s">
        <v>1102</v>
      </c>
      <c r="AZ101" s="214" t="s">
        <v>1103</v>
      </c>
      <c r="BA101" s="211" t="s">
        <v>1104</v>
      </c>
      <c r="BB101" s="219">
        <v>7</v>
      </c>
      <c r="BC101" s="220" t="s">
        <v>1050</v>
      </c>
      <c r="BD101" s="214"/>
      <c r="BE101" s="218"/>
      <c r="BF101" s="216"/>
      <c r="BG101" s="220"/>
      <c r="BH101" s="240"/>
      <c r="BI101" s="221"/>
      <c r="BJ101" s="222"/>
      <c r="BK101" s="223"/>
    </row>
    <row r="102" spans="1:63" s="305" customFormat="1" ht="127.8" customHeight="1" x14ac:dyDescent="0.3">
      <c r="A102" s="440" t="s">
        <v>196</v>
      </c>
      <c r="B102" s="501">
        <v>84</v>
      </c>
      <c r="C102" s="441" t="s">
        <v>346</v>
      </c>
      <c r="D102" s="442" t="s">
        <v>347</v>
      </c>
      <c r="E102" s="446" t="s">
        <v>1058</v>
      </c>
      <c r="F102" s="451" t="s">
        <v>1040</v>
      </c>
      <c r="G102" s="444" t="s">
        <v>1059</v>
      </c>
      <c r="H102" s="443" t="s">
        <v>1060</v>
      </c>
      <c r="I102" s="444" t="s">
        <v>1061</v>
      </c>
      <c r="J102" s="444" t="s">
        <v>1248</v>
      </c>
      <c r="K102" s="444" t="s">
        <v>1249</v>
      </c>
      <c r="L102" s="444" t="s">
        <v>1250</v>
      </c>
      <c r="M102" s="444" t="s">
        <v>1260</v>
      </c>
      <c r="N102" s="444"/>
      <c r="O102" s="444" t="s">
        <v>1255</v>
      </c>
      <c r="P102" s="445" t="s">
        <v>825</v>
      </c>
      <c r="Q102" s="442" t="s">
        <v>825</v>
      </c>
      <c r="R102" s="511" t="s">
        <v>1062</v>
      </c>
      <c r="S102" s="446" t="s">
        <v>201</v>
      </c>
      <c r="T102" s="442" t="s">
        <v>202</v>
      </c>
      <c r="U102" s="445" t="s">
        <v>2</v>
      </c>
      <c r="V102" s="445" t="s">
        <v>2</v>
      </c>
      <c r="W102" s="447" t="s">
        <v>2</v>
      </c>
      <c r="X102" s="444" t="s">
        <v>2</v>
      </c>
      <c r="Y102" s="448" t="s">
        <v>249</v>
      </c>
      <c r="Z102" s="448" t="s">
        <v>250</v>
      </c>
      <c r="AA102" s="449" t="s">
        <v>251</v>
      </c>
      <c r="AB102" s="483">
        <v>8</v>
      </c>
      <c r="AC102" s="448" t="s">
        <v>2</v>
      </c>
      <c r="AD102" s="493">
        <v>45</v>
      </c>
      <c r="AE102" s="445" t="s">
        <v>2</v>
      </c>
      <c r="AF102" s="445" t="s">
        <v>2</v>
      </c>
      <c r="AG102" s="446" t="s">
        <v>1021</v>
      </c>
      <c r="AH102" s="445" t="s">
        <v>825</v>
      </c>
      <c r="AI102" s="445" t="s">
        <v>341</v>
      </c>
      <c r="AJ102" s="445" t="s">
        <v>2</v>
      </c>
      <c r="AK102" s="445" t="s">
        <v>2</v>
      </c>
      <c r="AL102" s="450" t="s">
        <v>2</v>
      </c>
      <c r="AM102" s="306"/>
      <c r="AN102" s="238" t="s">
        <v>621</v>
      </c>
      <c r="AO102" s="215" t="s">
        <v>622</v>
      </c>
      <c r="AP102" s="216">
        <v>7</v>
      </c>
      <c r="AQ102" s="239" t="s">
        <v>845</v>
      </c>
      <c r="AR102" s="214"/>
      <c r="AS102" s="215"/>
      <c r="AT102" s="216"/>
      <c r="AU102" s="217"/>
      <c r="AV102" s="214"/>
      <c r="AW102" s="211"/>
      <c r="AX102" s="219"/>
      <c r="AY102" s="220"/>
      <c r="AZ102" s="214" t="s">
        <v>1105</v>
      </c>
      <c r="BA102" s="211" t="s">
        <v>1106</v>
      </c>
      <c r="BB102" s="219">
        <v>7</v>
      </c>
      <c r="BC102" s="220" t="s">
        <v>1050</v>
      </c>
      <c r="BD102" s="214"/>
      <c r="BE102" s="218"/>
      <c r="BF102" s="216"/>
      <c r="BG102" s="220"/>
      <c r="BH102" s="240"/>
      <c r="BI102" s="221"/>
      <c r="BJ102" s="222"/>
      <c r="BK102" s="223"/>
    </row>
    <row r="103" spans="1:63" s="305" customFormat="1" ht="107.4" customHeight="1" x14ac:dyDescent="0.3">
      <c r="A103" s="440" t="s">
        <v>196</v>
      </c>
      <c r="B103" s="501">
        <v>85</v>
      </c>
      <c r="C103" s="441" t="s">
        <v>346</v>
      </c>
      <c r="D103" s="442" t="s">
        <v>347</v>
      </c>
      <c r="E103" s="446" t="s">
        <v>1063</v>
      </c>
      <c r="F103" s="451" t="s">
        <v>1041</v>
      </c>
      <c r="G103" s="444" t="s">
        <v>1064</v>
      </c>
      <c r="H103" s="443" t="s">
        <v>1065</v>
      </c>
      <c r="I103" s="444" t="s">
        <v>1066</v>
      </c>
      <c r="J103" s="444" t="s">
        <v>1248</v>
      </c>
      <c r="K103" s="444" t="s">
        <v>1249</v>
      </c>
      <c r="L103" s="444" t="s">
        <v>1250</v>
      </c>
      <c r="M103" s="444" t="s">
        <v>1259</v>
      </c>
      <c r="N103" s="444"/>
      <c r="O103" s="444" t="s">
        <v>1255</v>
      </c>
      <c r="P103" s="445" t="s">
        <v>825</v>
      </c>
      <c r="Q103" s="442" t="s">
        <v>825</v>
      </c>
      <c r="R103" s="511" t="s">
        <v>1067</v>
      </c>
      <c r="S103" s="446" t="s">
        <v>201</v>
      </c>
      <c r="T103" s="442" t="s">
        <v>202</v>
      </c>
      <c r="U103" s="445" t="s">
        <v>2</v>
      </c>
      <c r="V103" s="445" t="s">
        <v>2</v>
      </c>
      <c r="W103" s="447" t="s">
        <v>1068</v>
      </c>
      <c r="X103" s="444" t="s">
        <v>1069</v>
      </c>
      <c r="Y103" s="448" t="s">
        <v>249</v>
      </c>
      <c r="Z103" s="448" t="s">
        <v>250</v>
      </c>
      <c r="AA103" s="449" t="s">
        <v>251</v>
      </c>
      <c r="AB103" s="483">
        <v>8</v>
      </c>
      <c r="AC103" s="448" t="s">
        <v>2</v>
      </c>
      <c r="AD103" s="493">
        <v>45</v>
      </c>
      <c r="AE103" s="445" t="s">
        <v>2</v>
      </c>
      <c r="AF103" s="445" t="s">
        <v>2</v>
      </c>
      <c r="AG103" s="446" t="s">
        <v>1021</v>
      </c>
      <c r="AH103" s="445" t="s">
        <v>825</v>
      </c>
      <c r="AI103" s="445" t="s">
        <v>341</v>
      </c>
      <c r="AJ103" s="445" t="s">
        <v>2</v>
      </c>
      <c r="AK103" s="445" t="s">
        <v>2</v>
      </c>
      <c r="AL103" s="450" t="s">
        <v>2</v>
      </c>
      <c r="AM103" s="306"/>
      <c r="AN103" s="238" t="s">
        <v>621</v>
      </c>
      <c r="AO103" s="215" t="s">
        <v>622</v>
      </c>
      <c r="AP103" s="216">
        <v>7</v>
      </c>
      <c r="AQ103" s="239" t="s">
        <v>845</v>
      </c>
      <c r="AR103" s="214"/>
      <c r="AS103" s="215"/>
      <c r="AT103" s="216"/>
      <c r="AU103" s="217"/>
      <c r="AV103" s="214"/>
      <c r="AW103" s="211"/>
      <c r="AX103" s="219"/>
      <c r="AY103" s="220"/>
      <c r="AZ103" s="214" t="s">
        <v>1107</v>
      </c>
      <c r="BA103" s="211" t="s">
        <v>1108</v>
      </c>
      <c r="BB103" s="219">
        <v>7</v>
      </c>
      <c r="BC103" s="220" t="s">
        <v>1109</v>
      </c>
      <c r="BD103" s="214"/>
      <c r="BE103" s="218"/>
      <c r="BF103" s="216"/>
      <c r="BG103" s="220"/>
      <c r="BH103" s="240"/>
      <c r="BI103" s="221"/>
      <c r="BJ103" s="222"/>
      <c r="BK103" s="223"/>
    </row>
    <row r="104" spans="1:63" s="305" customFormat="1" ht="54" customHeight="1" x14ac:dyDescent="0.3">
      <c r="A104" s="440" t="s">
        <v>196</v>
      </c>
      <c r="B104" s="501">
        <v>86</v>
      </c>
      <c r="C104" s="441" t="s">
        <v>1079</v>
      </c>
      <c r="D104" s="442" t="s">
        <v>1080</v>
      </c>
      <c r="E104" s="446" t="s">
        <v>1070</v>
      </c>
      <c r="F104" s="451" t="s">
        <v>1042</v>
      </c>
      <c r="G104" s="444" t="s">
        <v>1071</v>
      </c>
      <c r="H104" s="443" t="s">
        <v>1072</v>
      </c>
      <c r="I104" s="444" t="s">
        <v>1073</v>
      </c>
      <c r="J104" s="444" t="s">
        <v>1251</v>
      </c>
      <c r="K104" s="444"/>
      <c r="L104" s="444"/>
      <c r="M104" s="444" t="s">
        <v>1252</v>
      </c>
      <c r="N104" s="444"/>
      <c r="O104" s="444"/>
      <c r="P104" s="445" t="s">
        <v>825</v>
      </c>
      <c r="Q104" s="442" t="s">
        <v>825</v>
      </c>
      <c r="R104" s="511" t="s">
        <v>1074</v>
      </c>
      <c r="S104" s="446" t="s">
        <v>201</v>
      </c>
      <c r="T104" s="442" t="s">
        <v>202</v>
      </c>
      <c r="U104" s="445" t="s">
        <v>1075</v>
      </c>
      <c r="V104" s="445" t="s">
        <v>1076</v>
      </c>
      <c r="W104" s="447" t="s">
        <v>1180</v>
      </c>
      <c r="X104" s="444" t="s">
        <v>1077</v>
      </c>
      <c r="Y104" s="448" t="s">
        <v>9</v>
      </c>
      <c r="Z104" s="448" t="s">
        <v>2</v>
      </c>
      <c r="AA104" s="449" t="s">
        <v>2</v>
      </c>
      <c r="AB104" s="483">
        <v>3</v>
      </c>
      <c r="AC104" s="448" t="s">
        <v>2</v>
      </c>
      <c r="AD104" s="493">
        <v>45</v>
      </c>
      <c r="AE104" s="445" t="s">
        <v>2</v>
      </c>
      <c r="AF104" s="445" t="s">
        <v>2</v>
      </c>
      <c r="AG104" s="446" t="s">
        <v>1021</v>
      </c>
      <c r="AH104" s="445" t="s">
        <v>825</v>
      </c>
      <c r="AI104" s="445" t="s">
        <v>341</v>
      </c>
      <c r="AJ104" s="445" t="s">
        <v>2</v>
      </c>
      <c r="AK104" s="445" t="s">
        <v>2</v>
      </c>
      <c r="AL104" s="450" t="s">
        <v>2</v>
      </c>
      <c r="AM104" s="306"/>
      <c r="AN104" s="238" t="s">
        <v>621</v>
      </c>
      <c r="AO104" s="215" t="s">
        <v>622</v>
      </c>
      <c r="AP104" s="216">
        <v>6</v>
      </c>
      <c r="AQ104" s="239" t="s">
        <v>845</v>
      </c>
      <c r="AR104" s="226" t="s">
        <v>842</v>
      </c>
      <c r="AS104" s="211" t="s">
        <v>843</v>
      </c>
      <c r="AT104" s="212">
        <v>7</v>
      </c>
      <c r="AU104" s="227" t="s">
        <v>844</v>
      </c>
      <c r="AV104" s="214"/>
      <c r="AW104" s="211"/>
      <c r="AX104" s="219"/>
      <c r="AY104" s="220"/>
      <c r="AZ104" s="214"/>
      <c r="BA104" s="211"/>
      <c r="BB104" s="219"/>
      <c r="BC104" s="220"/>
      <c r="BD104" s="214"/>
      <c r="BE104" s="218"/>
      <c r="BF104" s="216"/>
      <c r="BG104" s="220"/>
      <c r="BH104" s="240"/>
      <c r="BI104" s="221"/>
      <c r="BJ104" s="222"/>
      <c r="BK104" s="223"/>
    </row>
    <row r="105" spans="1:63" s="305" customFormat="1" ht="54" customHeight="1" x14ac:dyDescent="0.3">
      <c r="A105" s="440" t="s">
        <v>196</v>
      </c>
      <c r="B105" s="501">
        <v>87</v>
      </c>
      <c r="C105" s="441" t="s">
        <v>1079</v>
      </c>
      <c r="D105" s="442" t="s">
        <v>1080</v>
      </c>
      <c r="E105" s="446" t="s">
        <v>1078</v>
      </c>
      <c r="F105" s="451" t="s">
        <v>1043</v>
      </c>
      <c r="G105" s="444" t="s">
        <v>1081</v>
      </c>
      <c r="H105" s="443" t="s">
        <v>1082</v>
      </c>
      <c r="I105" s="444" t="s">
        <v>1081</v>
      </c>
      <c r="J105" s="444" t="s">
        <v>1251</v>
      </c>
      <c r="K105" s="444"/>
      <c r="L105" s="444"/>
      <c r="M105" s="444" t="s">
        <v>1252</v>
      </c>
      <c r="N105" s="444"/>
      <c r="O105" s="444"/>
      <c r="P105" s="445" t="s">
        <v>825</v>
      </c>
      <c r="Q105" s="442" t="s">
        <v>825</v>
      </c>
      <c r="R105" s="511" t="s">
        <v>1083</v>
      </c>
      <c r="S105" s="446" t="s">
        <v>826</v>
      </c>
      <c r="T105" s="442" t="s">
        <v>827</v>
      </c>
      <c r="U105" s="445" t="s">
        <v>1084</v>
      </c>
      <c r="V105" s="445" t="s">
        <v>1085</v>
      </c>
      <c r="W105" s="447" t="s">
        <v>2</v>
      </c>
      <c r="X105" s="444" t="s">
        <v>2</v>
      </c>
      <c r="Y105" s="448" t="s">
        <v>9</v>
      </c>
      <c r="Z105" s="448" t="s">
        <v>2</v>
      </c>
      <c r="AA105" s="449" t="s">
        <v>2</v>
      </c>
      <c r="AB105" s="483">
        <v>1</v>
      </c>
      <c r="AC105" s="448" t="s">
        <v>2</v>
      </c>
      <c r="AD105" s="493">
        <v>45</v>
      </c>
      <c r="AE105" s="445" t="s">
        <v>2</v>
      </c>
      <c r="AF105" s="445" t="s">
        <v>2</v>
      </c>
      <c r="AG105" s="446" t="s">
        <v>1021</v>
      </c>
      <c r="AH105" s="445" t="s">
        <v>825</v>
      </c>
      <c r="AI105" s="445" t="s">
        <v>341</v>
      </c>
      <c r="AJ105" s="445" t="s">
        <v>2</v>
      </c>
      <c r="AK105" s="445" t="s">
        <v>2</v>
      </c>
      <c r="AL105" s="450" t="s">
        <v>2</v>
      </c>
      <c r="AM105" s="306"/>
      <c r="AN105" s="238" t="s">
        <v>1098</v>
      </c>
      <c r="AO105" s="215" t="s">
        <v>1110</v>
      </c>
      <c r="AP105" s="216">
        <v>6</v>
      </c>
      <c r="AQ105" s="239" t="s">
        <v>1050</v>
      </c>
      <c r="AR105" s="226" t="s">
        <v>842</v>
      </c>
      <c r="AS105" s="211" t="s">
        <v>843</v>
      </c>
      <c r="AT105" s="212">
        <v>7</v>
      </c>
      <c r="AU105" s="227" t="s">
        <v>844</v>
      </c>
      <c r="AV105" s="214"/>
      <c r="AW105" s="211"/>
      <c r="AX105" s="219"/>
      <c r="AY105" s="220"/>
      <c r="AZ105" s="214"/>
      <c r="BA105" s="211"/>
      <c r="BB105" s="219"/>
      <c r="BC105" s="220"/>
      <c r="BD105" s="214"/>
      <c r="BE105" s="218"/>
      <c r="BF105" s="216"/>
      <c r="BG105" s="220"/>
      <c r="BH105" s="240"/>
      <c r="BI105" s="221"/>
      <c r="BJ105" s="222"/>
      <c r="BK105" s="223"/>
    </row>
    <row r="106" spans="1:63" s="305" customFormat="1" ht="54" customHeight="1" x14ac:dyDescent="0.3">
      <c r="A106" s="440" t="s">
        <v>196</v>
      </c>
      <c r="B106" s="501">
        <v>88</v>
      </c>
      <c r="C106" s="441" t="s">
        <v>1079</v>
      </c>
      <c r="D106" s="442" t="s">
        <v>1080</v>
      </c>
      <c r="E106" s="446" t="s">
        <v>1091</v>
      </c>
      <c r="F106" s="451" t="s">
        <v>1044</v>
      </c>
      <c r="G106" s="444" t="s">
        <v>1092</v>
      </c>
      <c r="H106" s="443" t="s">
        <v>1093</v>
      </c>
      <c r="I106" s="444" t="s">
        <v>1094</v>
      </c>
      <c r="J106" s="444" t="s">
        <v>1251</v>
      </c>
      <c r="K106" s="444"/>
      <c r="L106" s="444"/>
      <c r="M106" s="444" t="s">
        <v>1252</v>
      </c>
      <c r="N106" s="444"/>
      <c r="O106" s="444"/>
      <c r="P106" s="445" t="s">
        <v>825</v>
      </c>
      <c r="Q106" s="442" t="s">
        <v>825</v>
      </c>
      <c r="R106" s="511" t="s">
        <v>1095</v>
      </c>
      <c r="S106" s="446" t="s">
        <v>826</v>
      </c>
      <c r="T106" s="442" t="s">
        <v>827</v>
      </c>
      <c r="U106" s="445" t="s">
        <v>1096</v>
      </c>
      <c r="V106" s="445" t="s">
        <v>1097</v>
      </c>
      <c r="W106" s="447" t="s">
        <v>2</v>
      </c>
      <c r="X106" s="444" t="s">
        <v>2</v>
      </c>
      <c r="Y106" s="448" t="s">
        <v>9</v>
      </c>
      <c r="Z106" s="448" t="s">
        <v>2</v>
      </c>
      <c r="AA106" s="449" t="s">
        <v>2</v>
      </c>
      <c r="AB106" s="483">
        <v>2</v>
      </c>
      <c r="AC106" s="448" t="s">
        <v>2</v>
      </c>
      <c r="AD106" s="493">
        <v>45</v>
      </c>
      <c r="AE106" s="445" t="s">
        <v>2</v>
      </c>
      <c r="AF106" s="445" t="s">
        <v>2</v>
      </c>
      <c r="AG106" s="446" t="s">
        <v>1021</v>
      </c>
      <c r="AH106" s="445" t="s">
        <v>2</v>
      </c>
      <c r="AI106" s="445" t="s">
        <v>341</v>
      </c>
      <c r="AJ106" s="445" t="s">
        <v>2</v>
      </c>
      <c r="AK106" s="445" t="s">
        <v>2</v>
      </c>
      <c r="AL106" s="450" t="s">
        <v>2</v>
      </c>
      <c r="AM106" s="306"/>
      <c r="AN106" s="238" t="s">
        <v>1098</v>
      </c>
      <c r="AO106" s="215" t="s">
        <v>1099</v>
      </c>
      <c r="AP106" s="216">
        <v>6</v>
      </c>
      <c r="AQ106" s="239" t="s">
        <v>1050</v>
      </c>
      <c r="AR106" s="214" t="s">
        <v>842</v>
      </c>
      <c r="AS106" s="215" t="s">
        <v>843</v>
      </c>
      <c r="AT106" s="216">
        <v>7</v>
      </c>
      <c r="AU106" s="217" t="s">
        <v>844</v>
      </c>
      <c r="AV106" s="214"/>
      <c r="AW106" s="211"/>
      <c r="AX106" s="219"/>
      <c r="AY106" s="220"/>
      <c r="AZ106" s="214"/>
      <c r="BA106" s="211"/>
      <c r="BB106" s="219"/>
      <c r="BC106" s="220"/>
      <c r="BD106" s="214"/>
      <c r="BE106" s="218"/>
      <c r="BF106" s="216"/>
      <c r="BG106" s="220"/>
      <c r="BH106" s="240"/>
      <c r="BI106" s="221"/>
      <c r="BJ106" s="222"/>
      <c r="BK106" s="223"/>
    </row>
    <row r="107" spans="1:63" s="305" customFormat="1" ht="54" customHeight="1" x14ac:dyDescent="0.3">
      <c r="A107" s="440" t="s">
        <v>196</v>
      </c>
      <c r="B107" s="507">
        <v>89</v>
      </c>
      <c r="C107" s="441" t="s">
        <v>344</v>
      </c>
      <c r="D107" s="442" t="s">
        <v>345</v>
      </c>
      <c r="E107" s="446" t="s">
        <v>1199</v>
      </c>
      <c r="F107" s="451" t="s">
        <v>1191</v>
      </c>
      <c r="G107" s="444" t="s">
        <v>1192</v>
      </c>
      <c r="H107" s="443" t="s">
        <v>1201</v>
      </c>
      <c r="I107" s="444" t="s">
        <v>1203</v>
      </c>
      <c r="J107" s="444" t="s">
        <v>1251</v>
      </c>
      <c r="K107" s="444"/>
      <c r="L107" s="444"/>
      <c r="M107" s="444" t="s">
        <v>1252</v>
      </c>
      <c r="N107" s="444"/>
      <c r="O107" s="444"/>
      <c r="P107" s="445" t="s">
        <v>825</v>
      </c>
      <c r="Q107" s="442" t="s">
        <v>825</v>
      </c>
      <c r="R107" s="511" t="s">
        <v>1050</v>
      </c>
      <c r="S107" s="446" t="s">
        <v>201</v>
      </c>
      <c r="T107" s="442" t="s">
        <v>202</v>
      </c>
      <c r="U107" s="445" t="s">
        <v>1195</v>
      </c>
      <c r="V107" s="445" t="s">
        <v>1196</v>
      </c>
      <c r="W107" s="447" t="s">
        <v>2</v>
      </c>
      <c r="X107" s="444" t="s">
        <v>2</v>
      </c>
      <c r="Y107" s="448" t="s">
        <v>9</v>
      </c>
      <c r="Z107" s="448" t="s">
        <v>2</v>
      </c>
      <c r="AA107" s="449" t="s">
        <v>2</v>
      </c>
      <c r="AB107" s="483">
        <v>8</v>
      </c>
      <c r="AC107" s="448" t="s">
        <v>2</v>
      </c>
      <c r="AD107" s="493">
        <v>45</v>
      </c>
      <c r="AE107" s="445" t="s">
        <v>2</v>
      </c>
      <c r="AF107" s="445" t="s">
        <v>2</v>
      </c>
      <c r="AG107" s="446" t="s">
        <v>1021</v>
      </c>
      <c r="AH107" s="445" t="s">
        <v>825</v>
      </c>
      <c r="AI107" s="445" t="s">
        <v>341</v>
      </c>
      <c r="AJ107" s="445" t="s">
        <v>2</v>
      </c>
      <c r="AK107" s="445" t="s">
        <v>2</v>
      </c>
      <c r="AL107" s="450" t="s">
        <v>2</v>
      </c>
      <c r="AM107" s="306"/>
      <c r="AN107" s="508" t="s">
        <v>621</v>
      </c>
      <c r="AO107" s="215" t="s">
        <v>622</v>
      </c>
      <c r="AP107" s="216">
        <v>7</v>
      </c>
      <c r="AQ107" s="239" t="s">
        <v>845</v>
      </c>
      <c r="AR107" s="214" t="s">
        <v>842</v>
      </c>
      <c r="AS107" s="215" t="s">
        <v>843</v>
      </c>
      <c r="AT107" s="216">
        <v>7</v>
      </c>
      <c r="AU107" s="217" t="s">
        <v>844</v>
      </c>
      <c r="AV107" s="214"/>
      <c r="AW107" s="215"/>
      <c r="AX107" s="219"/>
      <c r="AY107" s="220"/>
      <c r="AZ107" s="214"/>
      <c r="BA107" s="215"/>
      <c r="BB107" s="219"/>
      <c r="BC107" s="220"/>
      <c r="BD107" s="214"/>
      <c r="BE107" s="218"/>
      <c r="BF107" s="216"/>
      <c r="BG107" s="220"/>
      <c r="BH107" s="240"/>
      <c r="BI107" s="509"/>
      <c r="BJ107" s="222"/>
      <c r="BK107" s="223"/>
    </row>
    <row r="108" spans="1:63" s="305" customFormat="1" ht="54" customHeight="1" x14ac:dyDescent="0.3">
      <c r="A108" s="440" t="s">
        <v>196</v>
      </c>
      <c r="B108" s="507">
        <v>90</v>
      </c>
      <c r="C108" s="441" t="s">
        <v>344</v>
      </c>
      <c r="D108" s="442" t="s">
        <v>345</v>
      </c>
      <c r="E108" s="446" t="s">
        <v>1200</v>
      </c>
      <c r="F108" s="451" t="s">
        <v>1193</v>
      </c>
      <c r="G108" s="444" t="s">
        <v>1194</v>
      </c>
      <c r="H108" s="443" t="s">
        <v>1202</v>
      </c>
      <c r="I108" s="444" t="s">
        <v>1204</v>
      </c>
      <c r="J108" s="444" t="s">
        <v>1251</v>
      </c>
      <c r="K108" s="444"/>
      <c r="L108" s="444"/>
      <c r="M108" s="444" t="s">
        <v>1252</v>
      </c>
      <c r="N108" s="444"/>
      <c r="O108" s="444"/>
      <c r="P108" s="445" t="s">
        <v>825</v>
      </c>
      <c r="Q108" s="442" t="s">
        <v>825</v>
      </c>
      <c r="R108" s="511" t="s">
        <v>1050</v>
      </c>
      <c r="S108" s="446" t="s">
        <v>201</v>
      </c>
      <c r="T108" s="442" t="s">
        <v>202</v>
      </c>
      <c r="U108" s="445" t="s">
        <v>1197</v>
      </c>
      <c r="V108" s="445" t="s">
        <v>1198</v>
      </c>
      <c r="W108" s="447" t="s">
        <v>2</v>
      </c>
      <c r="X108" s="444" t="s">
        <v>2</v>
      </c>
      <c r="Y108" s="448" t="s">
        <v>9</v>
      </c>
      <c r="Z108" s="448" t="s">
        <v>2</v>
      </c>
      <c r="AA108" s="449" t="s">
        <v>2</v>
      </c>
      <c r="AB108" s="483">
        <v>6</v>
      </c>
      <c r="AC108" s="448" t="s">
        <v>2</v>
      </c>
      <c r="AD108" s="493">
        <v>45</v>
      </c>
      <c r="AE108" s="445" t="s">
        <v>2</v>
      </c>
      <c r="AF108" s="445" t="s">
        <v>2</v>
      </c>
      <c r="AG108" s="446" t="s">
        <v>1021</v>
      </c>
      <c r="AH108" s="445" t="s">
        <v>825</v>
      </c>
      <c r="AI108" s="445" t="s">
        <v>341</v>
      </c>
      <c r="AJ108" s="445" t="s">
        <v>2</v>
      </c>
      <c r="AK108" s="445" t="s">
        <v>2</v>
      </c>
      <c r="AL108" s="450" t="s">
        <v>2</v>
      </c>
      <c r="AM108" s="306"/>
      <c r="AN108" s="508" t="s">
        <v>621</v>
      </c>
      <c r="AO108" s="215" t="s">
        <v>622</v>
      </c>
      <c r="AP108" s="216">
        <v>7</v>
      </c>
      <c r="AQ108" s="239" t="s">
        <v>845</v>
      </c>
      <c r="AR108" s="214" t="s">
        <v>842</v>
      </c>
      <c r="AS108" s="215" t="s">
        <v>843</v>
      </c>
      <c r="AT108" s="216">
        <v>7</v>
      </c>
      <c r="AU108" s="217" t="s">
        <v>844</v>
      </c>
      <c r="AV108" s="214"/>
      <c r="AW108" s="215"/>
      <c r="AX108" s="219"/>
      <c r="AY108" s="220"/>
      <c r="AZ108" s="214"/>
      <c r="BA108" s="215"/>
      <c r="BB108" s="219"/>
      <c r="BC108" s="220"/>
      <c r="BD108" s="214"/>
      <c r="BE108" s="218"/>
      <c r="BF108" s="216"/>
      <c r="BG108" s="220"/>
      <c r="BH108" s="240"/>
      <c r="BI108" s="509"/>
      <c r="BJ108" s="222"/>
      <c r="BK108" s="223"/>
    </row>
    <row r="109" spans="1:63" s="139" customFormat="1" ht="54" hidden="1" customHeight="1" thickBot="1" x14ac:dyDescent="0.35">
      <c r="A109" s="452" t="s">
        <v>196</v>
      </c>
      <c r="B109" s="502">
        <v>91</v>
      </c>
      <c r="C109" s="457" t="s">
        <v>2</v>
      </c>
      <c r="D109" s="458" t="s">
        <v>2</v>
      </c>
      <c r="E109" s="457" t="s">
        <v>71</v>
      </c>
      <c r="F109" s="454" t="s">
        <v>259</v>
      </c>
      <c r="G109" s="453" t="s">
        <v>259</v>
      </c>
      <c r="H109" s="454" t="s">
        <v>261</v>
      </c>
      <c r="I109" s="453" t="s">
        <v>997</v>
      </c>
      <c r="J109" s="453"/>
      <c r="K109" s="453"/>
      <c r="L109" s="453"/>
      <c r="M109" s="453"/>
      <c r="N109" s="453"/>
      <c r="O109" s="453"/>
      <c r="P109" s="455" t="s">
        <v>2</v>
      </c>
      <c r="Q109" s="456" t="s">
        <v>2</v>
      </c>
      <c r="R109" s="454" t="s">
        <v>467</v>
      </c>
      <c r="S109" s="457" t="s">
        <v>2</v>
      </c>
      <c r="T109" s="458" t="s">
        <v>2</v>
      </c>
      <c r="U109" s="457" t="s">
        <v>2</v>
      </c>
      <c r="V109" s="457" t="s">
        <v>2</v>
      </c>
      <c r="W109" s="454" t="s">
        <v>2</v>
      </c>
      <c r="X109" s="459" t="s">
        <v>2</v>
      </c>
      <c r="Y109" s="457" t="s">
        <v>9</v>
      </c>
      <c r="Z109" s="460" t="s">
        <v>2</v>
      </c>
      <c r="AA109" s="458" t="s">
        <v>2</v>
      </c>
      <c r="AB109" s="484">
        <f>2000-(SUM(AB19:AB108)+COUNT(AB19:AB108))</f>
        <v>929</v>
      </c>
      <c r="AC109" s="455" t="s">
        <v>2</v>
      </c>
      <c r="AD109" s="201">
        <v>43</v>
      </c>
      <c r="AE109" s="455" t="s">
        <v>2</v>
      </c>
      <c r="AF109" s="455" t="s">
        <v>985</v>
      </c>
      <c r="AG109" s="455" t="s">
        <v>2</v>
      </c>
      <c r="AH109" s="455" t="s">
        <v>2</v>
      </c>
      <c r="AI109" s="455" t="s">
        <v>341</v>
      </c>
      <c r="AJ109" s="455" t="s">
        <v>2</v>
      </c>
      <c r="AK109" s="455" t="s">
        <v>2</v>
      </c>
      <c r="AL109" s="461" t="s">
        <v>2</v>
      </c>
      <c r="AN109" s="202"/>
      <c r="AO109" s="203"/>
      <c r="AP109" s="201"/>
      <c r="AQ109" s="329"/>
      <c r="AR109" s="204"/>
      <c r="AS109" s="203"/>
      <c r="AT109" s="201"/>
      <c r="AU109" s="329"/>
      <c r="AV109" s="330"/>
      <c r="AW109" s="205"/>
      <c r="AX109" s="201"/>
      <c r="AY109" s="328"/>
      <c r="AZ109" s="204"/>
      <c r="BA109" s="203"/>
      <c r="BB109" s="201"/>
      <c r="BC109" s="328"/>
      <c r="BD109" s="204"/>
      <c r="BE109" s="203"/>
      <c r="BF109" s="201"/>
      <c r="BG109" s="328"/>
      <c r="BH109" s="206"/>
      <c r="BI109" s="207"/>
      <c r="BJ109" s="208"/>
      <c r="BK109" s="209"/>
    </row>
    <row r="110" spans="1:63" s="305" customFormat="1" ht="54" hidden="1" customHeight="1" x14ac:dyDescent="0.3">
      <c r="A110" s="348" t="s">
        <v>190</v>
      </c>
      <c r="B110" s="496">
        <v>1</v>
      </c>
      <c r="C110" s="349" t="s">
        <v>339</v>
      </c>
      <c r="D110" s="350" t="s">
        <v>340</v>
      </c>
      <c r="E110" s="465" t="s">
        <v>470</v>
      </c>
      <c r="F110" s="462" t="s">
        <v>4</v>
      </c>
      <c r="G110" s="463" t="s">
        <v>191</v>
      </c>
      <c r="H110" s="464" t="s">
        <v>739</v>
      </c>
      <c r="I110" s="463" t="s">
        <v>740</v>
      </c>
      <c r="J110" s="463"/>
      <c r="K110" s="463"/>
      <c r="L110" s="463"/>
      <c r="M110" s="463"/>
      <c r="N110" s="463"/>
      <c r="O110" s="463"/>
      <c r="P110" s="353" t="s">
        <v>825</v>
      </c>
      <c r="Q110" s="350" t="s">
        <v>825</v>
      </c>
      <c r="R110" s="354" t="s">
        <v>2</v>
      </c>
      <c r="S110" s="353" t="s">
        <v>201</v>
      </c>
      <c r="T110" s="350" t="s">
        <v>202</v>
      </c>
      <c r="U110" s="353" t="s">
        <v>2</v>
      </c>
      <c r="V110" s="353" t="s">
        <v>2</v>
      </c>
      <c r="W110" s="391" t="s">
        <v>761</v>
      </c>
      <c r="X110" s="392" t="s">
        <v>769</v>
      </c>
      <c r="Y110" s="465" t="s">
        <v>249</v>
      </c>
      <c r="Z110" s="356" t="s">
        <v>250</v>
      </c>
      <c r="AA110" s="357" t="s">
        <v>251</v>
      </c>
      <c r="AB110" s="485">
        <v>8</v>
      </c>
      <c r="AC110" s="465" t="s">
        <v>2</v>
      </c>
      <c r="AD110" s="489">
        <v>40</v>
      </c>
      <c r="AE110" s="353" t="s">
        <v>2</v>
      </c>
      <c r="AF110" s="353" t="s">
        <v>2</v>
      </c>
      <c r="AG110" s="353" t="s">
        <v>479</v>
      </c>
      <c r="AH110" s="353" t="s">
        <v>2</v>
      </c>
      <c r="AI110" s="353" t="s">
        <v>2</v>
      </c>
      <c r="AJ110" s="353" t="s">
        <v>2</v>
      </c>
      <c r="AK110" s="353" t="s">
        <v>2</v>
      </c>
      <c r="AL110" s="358" t="s">
        <v>2</v>
      </c>
      <c r="AM110" s="306"/>
      <c r="AN110" s="94"/>
      <c r="AO110" s="95"/>
      <c r="AP110" s="96"/>
      <c r="AQ110" s="97"/>
      <c r="AR110" s="98"/>
      <c r="AS110" s="99"/>
      <c r="AT110" s="100"/>
      <c r="AU110" s="97"/>
      <c r="AV110" s="94"/>
      <c r="AW110" s="75"/>
      <c r="AX110" s="101"/>
      <c r="AY110" s="102"/>
      <c r="AZ110" s="94"/>
      <c r="BA110" s="75"/>
      <c r="BB110" s="101"/>
      <c r="BC110" s="102"/>
      <c r="BD110" s="94"/>
      <c r="BE110" s="75"/>
      <c r="BF110" s="96"/>
      <c r="BG110" s="102"/>
      <c r="BH110" s="94"/>
      <c r="BI110" s="75"/>
      <c r="BJ110" s="96"/>
      <c r="BK110" s="102"/>
    </row>
    <row r="111" spans="1:63" s="305" customFormat="1" ht="54" hidden="1" customHeight="1" x14ac:dyDescent="0.3">
      <c r="A111" s="359" t="s">
        <v>190</v>
      </c>
      <c r="B111" s="497">
        <v>2</v>
      </c>
      <c r="C111" s="360" t="s">
        <v>339</v>
      </c>
      <c r="D111" s="361" t="s">
        <v>340</v>
      </c>
      <c r="E111" s="469" t="s">
        <v>471</v>
      </c>
      <c r="F111" s="466" t="s">
        <v>5</v>
      </c>
      <c r="G111" s="467" t="s">
        <v>115</v>
      </c>
      <c r="H111" s="468" t="s">
        <v>557</v>
      </c>
      <c r="I111" s="467" t="s">
        <v>759</v>
      </c>
      <c r="J111" s="518"/>
      <c r="K111" s="518"/>
      <c r="L111" s="518"/>
      <c r="M111" s="518"/>
      <c r="N111" s="518"/>
      <c r="O111" s="518"/>
      <c r="P111" s="364" t="s">
        <v>825</v>
      </c>
      <c r="Q111" s="361" t="s">
        <v>825</v>
      </c>
      <c r="R111" s="370" t="s">
        <v>2</v>
      </c>
      <c r="S111" s="364" t="s">
        <v>201</v>
      </c>
      <c r="T111" s="361" t="s">
        <v>202</v>
      </c>
      <c r="U111" s="364" t="s">
        <v>338</v>
      </c>
      <c r="V111" s="364" t="s">
        <v>725</v>
      </c>
      <c r="W111" s="370" t="s">
        <v>2</v>
      </c>
      <c r="X111" s="371" t="s">
        <v>2</v>
      </c>
      <c r="Y111" s="469" t="s">
        <v>9</v>
      </c>
      <c r="Z111" s="367" t="s">
        <v>2</v>
      </c>
      <c r="AA111" s="368" t="s">
        <v>2</v>
      </c>
      <c r="AB111" s="486">
        <v>5</v>
      </c>
      <c r="AC111" s="395" t="s">
        <v>2</v>
      </c>
      <c r="AD111" s="490">
        <v>40</v>
      </c>
      <c r="AE111" s="364" t="s">
        <v>2</v>
      </c>
      <c r="AF111" s="364" t="s">
        <v>2</v>
      </c>
      <c r="AG111" s="364" t="s">
        <v>479</v>
      </c>
      <c r="AH111" s="364" t="s">
        <v>2</v>
      </c>
      <c r="AI111" s="364" t="s">
        <v>2</v>
      </c>
      <c r="AJ111" s="364" t="s">
        <v>2</v>
      </c>
      <c r="AK111" s="364" t="s">
        <v>2</v>
      </c>
      <c r="AL111" s="369" t="s">
        <v>2</v>
      </c>
      <c r="AM111" s="306"/>
      <c r="AN111" s="76"/>
      <c r="AO111" s="77"/>
      <c r="AP111" s="78"/>
      <c r="AQ111" s="79"/>
      <c r="AR111" s="88"/>
      <c r="AS111" s="89"/>
      <c r="AT111" s="90"/>
      <c r="AU111" s="83"/>
      <c r="AV111" s="80"/>
      <c r="AW111" s="81"/>
      <c r="AX111" s="84"/>
      <c r="AY111" s="85"/>
      <c r="AZ111" s="80"/>
      <c r="BA111" s="81"/>
      <c r="BB111" s="84"/>
      <c r="BC111" s="85"/>
      <c r="BD111" s="76"/>
      <c r="BE111" s="86"/>
      <c r="BF111" s="78"/>
      <c r="BG111" s="87"/>
      <c r="BH111" s="76"/>
      <c r="BI111" s="86"/>
      <c r="BJ111" s="78"/>
      <c r="BK111" s="87"/>
    </row>
    <row r="112" spans="1:63" s="305" customFormat="1" ht="54" hidden="1" customHeight="1" x14ac:dyDescent="0.3">
      <c r="A112" s="359" t="s">
        <v>190</v>
      </c>
      <c r="B112" s="497">
        <v>3</v>
      </c>
      <c r="C112" s="360" t="s">
        <v>339</v>
      </c>
      <c r="D112" s="361" t="s">
        <v>340</v>
      </c>
      <c r="E112" s="469" t="s">
        <v>472</v>
      </c>
      <c r="F112" s="466" t="s">
        <v>6</v>
      </c>
      <c r="G112" s="467" t="s">
        <v>116</v>
      </c>
      <c r="H112" s="365" t="s">
        <v>794</v>
      </c>
      <c r="I112" s="398" t="s">
        <v>795</v>
      </c>
      <c r="J112" s="514"/>
      <c r="K112" s="514"/>
      <c r="L112" s="514"/>
      <c r="M112" s="514"/>
      <c r="N112" s="514"/>
      <c r="O112" s="514"/>
      <c r="P112" s="364" t="s">
        <v>825</v>
      </c>
      <c r="Q112" s="361" t="s">
        <v>825</v>
      </c>
      <c r="R112" s="370" t="s">
        <v>2</v>
      </c>
      <c r="S112" s="364" t="s">
        <v>201</v>
      </c>
      <c r="T112" s="361" t="s">
        <v>202</v>
      </c>
      <c r="U112" s="364" t="s">
        <v>2</v>
      </c>
      <c r="V112" s="364" t="s">
        <v>2</v>
      </c>
      <c r="W112" s="370" t="s">
        <v>796</v>
      </c>
      <c r="X112" s="371" t="s">
        <v>797</v>
      </c>
      <c r="Y112" s="469" t="s">
        <v>9</v>
      </c>
      <c r="Z112" s="367" t="s">
        <v>2</v>
      </c>
      <c r="AA112" s="368" t="s">
        <v>2</v>
      </c>
      <c r="AB112" s="486">
        <v>12</v>
      </c>
      <c r="AC112" s="395" t="s">
        <v>2</v>
      </c>
      <c r="AD112" s="490">
        <v>40</v>
      </c>
      <c r="AE112" s="364" t="s">
        <v>2</v>
      </c>
      <c r="AF112" s="364" t="s">
        <v>2</v>
      </c>
      <c r="AG112" s="364" t="s">
        <v>479</v>
      </c>
      <c r="AH112" s="364" t="s">
        <v>2</v>
      </c>
      <c r="AI112" s="364" t="s">
        <v>2</v>
      </c>
      <c r="AJ112" s="364" t="s">
        <v>2</v>
      </c>
      <c r="AK112" s="364" t="s">
        <v>2</v>
      </c>
      <c r="AL112" s="369" t="s">
        <v>2</v>
      </c>
      <c r="AM112" s="306"/>
      <c r="AN112" s="76"/>
      <c r="AO112" s="77"/>
      <c r="AP112" s="78"/>
      <c r="AQ112" s="79"/>
      <c r="AR112" s="88"/>
      <c r="AS112" s="89"/>
      <c r="AT112" s="90"/>
      <c r="AU112" s="83"/>
      <c r="AV112" s="80"/>
      <c r="AW112" s="81"/>
      <c r="AX112" s="84"/>
      <c r="AY112" s="85"/>
      <c r="AZ112" s="80"/>
      <c r="BA112" s="81"/>
      <c r="BB112" s="84"/>
      <c r="BC112" s="85"/>
      <c r="BD112" s="76"/>
      <c r="BE112" s="86"/>
      <c r="BF112" s="78"/>
      <c r="BG112" s="87"/>
      <c r="BH112" s="76"/>
      <c r="BI112" s="86"/>
      <c r="BJ112" s="78"/>
      <c r="BK112" s="87"/>
    </row>
    <row r="113" spans="1:63" s="305" customFormat="1" ht="54" hidden="1" customHeight="1" x14ac:dyDescent="0.3">
      <c r="A113" s="359" t="s">
        <v>190</v>
      </c>
      <c r="B113" s="497">
        <v>4</v>
      </c>
      <c r="C113" s="360" t="s">
        <v>339</v>
      </c>
      <c r="D113" s="361" t="s">
        <v>340</v>
      </c>
      <c r="E113" s="469" t="s">
        <v>473</v>
      </c>
      <c r="F113" s="466" t="s">
        <v>13</v>
      </c>
      <c r="G113" s="467" t="s">
        <v>117</v>
      </c>
      <c r="H113" s="468" t="s">
        <v>661</v>
      </c>
      <c r="I113" s="467" t="s">
        <v>660</v>
      </c>
      <c r="J113" s="518"/>
      <c r="K113" s="518"/>
      <c r="L113" s="518"/>
      <c r="M113" s="518"/>
      <c r="N113" s="518"/>
      <c r="O113" s="518"/>
      <c r="P113" s="364" t="s">
        <v>825</v>
      </c>
      <c r="Q113" s="361" t="s">
        <v>825</v>
      </c>
      <c r="R113" s="370" t="s">
        <v>2</v>
      </c>
      <c r="S113" s="364" t="s">
        <v>201</v>
      </c>
      <c r="T113" s="361" t="s">
        <v>202</v>
      </c>
      <c r="U113" s="364" t="s">
        <v>2</v>
      </c>
      <c r="V113" s="364" t="s">
        <v>2</v>
      </c>
      <c r="W113" s="370" t="s">
        <v>2</v>
      </c>
      <c r="X113" s="371" t="s">
        <v>2</v>
      </c>
      <c r="Y113" s="469" t="s">
        <v>9</v>
      </c>
      <c r="Z113" s="367" t="s">
        <v>2</v>
      </c>
      <c r="AA113" s="368" t="s">
        <v>2</v>
      </c>
      <c r="AB113" s="486">
        <v>1</v>
      </c>
      <c r="AC113" s="395" t="s">
        <v>2</v>
      </c>
      <c r="AD113" s="490">
        <v>40</v>
      </c>
      <c r="AE113" s="364" t="s">
        <v>2</v>
      </c>
      <c r="AF113" s="364" t="s">
        <v>2</v>
      </c>
      <c r="AG113" s="364" t="s">
        <v>479</v>
      </c>
      <c r="AH113" s="364" t="s">
        <v>2</v>
      </c>
      <c r="AI113" s="364" t="s">
        <v>2</v>
      </c>
      <c r="AJ113" s="364" t="s">
        <v>2</v>
      </c>
      <c r="AK113" s="364" t="s">
        <v>2</v>
      </c>
      <c r="AL113" s="369" t="s">
        <v>2</v>
      </c>
      <c r="AM113" s="306"/>
      <c r="AN113" s="76"/>
      <c r="AO113" s="77"/>
      <c r="AP113" s="78"/>
      <c r="AQ113" s="79"/>
      <c r="AR113" s="88"/>
      <c r="AS113" s="89"/>
      <c r="AT113" s="90"/>
      <c r="AU113" s="83"/>
      <c r="AV113" s="80"/>
      <c r="AW113" s="81"/>
      <c r="AX113" s="84"/>
      <c r="AY113" s="85"/>
      <c r="AZ113" s="80"/>
      <c r="BA113" s="81"/>
      <c r="BB113" s="84"/>
      <c r="BC113" s="85"/>
      <c r="BD113" s="76"/>
      <c r="BE113" s="86"/>
      <c r="BF113" s="78"/>
      <c r="BG113" s="87"/>
      <c r="BH113" s="76"/>
      <c r="BI113" s="86"/>
      <c r="BJ113" s="78"/>
      <c r="BK113" s="87"/>
    </row>
    <row r="114" spans="1:63" s="305" customFormat="1" ht="54" hidden="1" customHeight="1" x14ac:dyDescent="0.3">
      <c r="A114" s="359" t="s">
        <v>190</v>
      </c>
      <c r="B114" s="497">
        <v>5</v>
      </c>
      <c r="C114" s="360" t="s">
        <v>339</v>
      </c>
      <c r="D114" s="361" t="s">
        <v>340</v>
      </c>
      <c r="E114" s="469" t="s">
        <v>474</v>
      </c>
      <c r="F114" s="466" t="s">
        <v>7</v>
      </c>
      <c r="G114" s="467" t="s">
        <v>118</v>
      </c>
      <c r="H114" s="468" t="s">
        <v>662</v>
      </c>
      <c r="I114" s="467" t="s">
        <v>738</v>
      </c>
      <c r="J114" s="518"/>
      <c r="K114" s="518"/>
      <c r="L114" s="518"/>
      <c r="M114" s="518"/>
      <c r="N114" s="518"/>
      <c r="O114" s="518"/>
      <c r="P114" s="364" t="s">
        <v>825</v>
      </c>
      <c r="Q114" s="361" t="s">
        <v>825</v>
      </c>
      <c r="R114" s="370" t="s">
        <v>2</v>
      </c>
      <c r="S114" s="364" t="s">
        <v>201</v>
      </c>
      <c r="T114" s="361" t="s">
        <v>202</v>
      </c>
      <c r="U114" s="364" t="s">
        <v>2</v>
      </c>
      <c r="V114" s="364" t="s">
        <v>2</v>
      </c>
      <c r="W114" s="370" t="s">
        <v>2</v>
      </c>
      <c r="X114" s="371" t="s">
        <v>2</v>
      </c>
      <c r="Y114" s="469" t="s">
        <v>9</v>
      </c>
      <c r="Z114" s="367" t="s">
        <v>2</v>
      </c>
      <c r="AA114" s="368" t="s">
        <v>2</v>
      </c>
      <c r="AB114" s="486">
        <v>12</v>
      </c>
      <c r="AC114" s="395" t="s">
        <v>2</v>
      </c>
      <c r="AD114" s="490">
        <v>40</v>
      </c>
      <c r="AE114" s="364" t="s">
        <v>2</v>
      </c>
      <c r="AF114" s="364" t="s">
        <v>2</v>
      </c>
      <c r="AG114" s="364" t="s">
        <v>479</v>
      </c>
      <c r="AH114" s="364" t="s">
        <v>2</v>
      </c>
      <c r="AI114" s="364" t="s">
        <v>2</v>
      </c>
      <c r="AJ114" s="364" t="s">
        <v>2</v>
      </c>
      <c r="AK114" s="364" t="s">
        <v>2</v>
      </c>
      <c r="AL114" s="369" t="s">
        <v>2</v>
      </c>
      <c r="AM114" s="306"/>
      <c r="AN114" s="76"/>
      <c r="AO114" s="77"/>
      <c r="AP114" s="78"/>
      <c r="AQ114" s="79"/>
      <c r="AR114" s="88"/>
      <c r="AS114" s="89"/>
      <c r="AT114" s="90"/>
      <c r="AU114" s="83"/>
      <c r="AV114" s="80"/>
      <c r="AW114" s="81"/>
      <c r="AX114" s="84"/>
      <c r="AY114" s="85"/>
      <c r="AZ114" s="80"/>
      <c r="BA114" s="81"/>
      <c r="BB114" s="84"/>
      <c r="BC114" s="85"/>
      <c r="BD114" s="76"/>
      <c r="BE114" s="86"/>
      <c r="BF114" s="78"/>
      <c r="BG114" s="87"/>
      <c r="BH114" s="76"/>
      <c r="BI114" s="86"/>
      <c r="BJ114" s="78"/>
      <c r="BK114" s="87"/>
    </row>
    <row r="115" spans="1:63" s="305" customFormat="1" ht="54" hidden="1" customHeight="1" x14ac:dyDescent="0.3">
      <c r="A115" s="359" t="s">
        <v>190</v>
      </c>
      <c r="B115" s="497">
        <v>6</v>
      </c>
      <c r="C115" s="360" t="s">
        <v>339</v>
      </c>
      <c r="D115" s="361" t="s">
        <v>340</v>
      </c>
      <c r="E115" s="469" t="s">
        <v>475</v>
      </c>
      <c r="F115" s="466" t="s">
        <v>8</v>
      </c>
      <c r="G115" s="467" t="s">
        <v>119</v>
      </c>
      <c r="H115" s="468" t="s">
        <v>741</v>
      </c>
      <c r="I115" s="467" t="s">
        <v>742</v>
      </c>
      <c r="J115" s="518"/>
      <c r="K115" s="518"/>
      <c r="L115" s="518"/>
      <c r="M115" s="518"/>
      <c r="N115" s="518"/>
      <c r="O115" s="518"/>
      <c r="P115" s="364" t="s">
        <v>825</v>
      </c>
      <c r="Q115" s="361" t="s">
        <v>825</v>
      </c>
      <c r="R115" s="370" t="s">
        <v>2</v>
      </c>
      <c r="S115" s="364" t="s">
        <v>201</v>
      </c>
      <c r="T115" s="361" t="s">
        <v>202</v>
      </c>
      <c r="U115" s="364" t="s">
        <v>2</v>
      </c>
      <c r="V115" s="364" t="s">
        <v>2</v>
      </c>
      <c r="W115" s="370" t="s">
        <v>2</v>
      </c>
      <c r="X115" s="371" t="s">
        <v>2</v>
      </c>
      <c r="Y115" s="469" t="s">
        <v>9</v>
      </c>
      <c r="Z115" s="367" t="s">
        <v>2</v>
      </c>
      <c r="AA115" s="368" t="s">
        <v>2</v>
      </c>
      <c r="AB115" s="486">
        <v>2</v>
      </c>
      <c r="AC115" s="395" t="s">
        <v>2</v>
      </c>
      <c r="AD115" s="490">
        <v>40</v>
      </c>
      <c r="AE115" s="364" t="s">
        <v>2</v>
      </c>
      <c r="AF115" s="364" t="s">
        <v>2</v>
      </c>
      <c r="AG115" s="364" t="s">
        <v>479</v>
      </c>
      <c r="AH115" s="364" t="s">
        <v>2</v>
      </c>
      <c r="AI115" s="364" t="s">
        <v>2</v>
      </c>
      <c r="AJ115" s="364" t="s">
        <v>2</v>
      </c>
      <c r="AK115" s="364" t="s">
        <v>2</v>
      </c>
      <c r="AL115" s="369" t="s">
        <v>2</v>
      </c>
      <c r="AM115" s="306"/>
      <c r="AN115" s="76"/>
      <c r="AO115" s="77"/>
      <c r="AP115" s="78"/>
      <c r="AQ115" s="79"/>
      <c r="AR115" s="88"/>
      <c r="AS115" s="89"/>
      <c r="AT115" s="90"/>
      <c r="AU115" s="83"/>
      <c r="AV115" s="80"/>
      <c r="AW115" s="81"/>
      <c r="AX115" s="84"/>
      <c r="AY115" s="85"/>
      <c r="AZ115" s="80"/>
      <c r="BA115" s="81"/>
      <c r="BB115" s="84"/>
      <c r="BC115" s="85"/>
      <c r="BD115" s="76"/>
      <c r="BE115" s="86"/>
      <c r="BF115" s="78"/>
      <c r="BG115" s="87"/>
      <c r="BH115" s="76"/>
      <c r="BI115" s="86"/>
      <c r="BJ115" s="78"/>
      <c r="BK115" s="87"/>
    </row>
    <row r="116" spans="1:63" s="305" customFormat="1" ht="54" hidden="1" customHeight="1" x14ac:dyDescent="0.3">
      <c r="A116" s="359" t="s">
        <v>190</v>
      </c>
      <c r="B116" s="497">
        <v>7</v>
      </c>
      <c r="C116" s="360" t="s">
        <v>339</v>
      </c>
      <c r="D116" s="361" t="s">
        <v>340</v>
      </c>
      <c r="E116" s="469" t="s">
        <v>476</v>
      </c>
      <c r="F116" s="466" t="s">
        <v>0</v>
      </c>
      <c r="G116" s="467" t="s">
        <v>121</v>
      </c>
      <c r="H116" s="468" t="s">
        <v>0</v>
      </c>
      <c r="I116" s="467" t="s">
        <v>121</v>
      </c>
      <c r="J116" s="518"/>
      <c r="K116" s="518"/>
      <c r="L116" s="518"/>
      <c r="M116" s="518"/>
      <c r="N116" s="518"/>
      <c r="O116" s="518"/>
      <c r="P116" s="364" t="s">
        <v>825</v>
      </c>
      <c r="Q116" s="361" t="s">
        <v>825</v>
      </c>
      <c r="R116" s="370" t="s">
        <v>2</v>
      </c>
      <c r="S116" s="364" t="s">
        <v>227</v>
      </c>
      <c r="T116" s="361" t="s">
        <v>228</v>
      </c>
      <c r="U116" s="364" t="s">
        <v>2</v>
      </c>
      <c r="V116" s="364" t="s">
        <v>2</v>
      </c>
      <c r="W116" s="370" t="s">
        <v>478</v>
      </c>
      <c r="X116" s="371" t="s">
        <v>726</v>
      </c>
      <c r="Y116" s="470" t="s">
        <v>9</v>
      </c>
      <c r="Z116" s="367" t="s">
        <v>2</v>
      </c>
      <c r="AA116" s="368" t="s">
        <v>2</v>
      </c>
      <c r="AB116" s="486">
        <v>10</v>
      </c>
      <c r="AC116" s="364" t="s">
        <v>2</v>
      </c>
      <c r="AD116" s="490">
        <v>40</v>
      </c>
      <c r="AE116" s="364" t="s">
        <v>2</v>
      </c>
      <c r="AF116" s="471" t="s">
        <v>2</v>
      </c>
      <c r="AG116" s="364" t="s">
        <v>479</v>
      </c>
      <c r="AH116" s="364" t="s">
        <v>2</v>
      </c>
      <c r="AI116" s="364" t="s">
        <v>2</v>
      </c>
      <c r="AJ116" s="364" t="s">
        <v>2</v>
      </c>
      <c r="AK116" s="364" t="s">
        <v>2</v>
      </c>
      <c r="AL116" s="369" t="s">
        <v>2</v>
      </c>
      <c r="AM116" s="306"/>
      <c r="AN116" s="76"/>
      <c r="AO116" s="77"/>
      <c r="AP116" s="78"/>
      <c r="AQ116" s="79"/>
      <c r="AR116" s="88"/>
      <c r="AS116" s="89"/>
      <c r="AT116" s="90"/>
      <c r="AU116" s="83"/>
      <c r="AV116" s="80"/>
      <c r="AW116" s="81"/>
      <c r="AX116" s="84"/>
      <c r="AY116" s="85"/>
      <c r="AZ116" s="80"/>
      <c r="BA116" s="81"/>
      <c r="BB116" s="84"/>
      <c r="BC116" s="85"/>
      <c r="BD116" s="76"/>
      <c r="BE116" s="86"/>
      <c r="BF116" s="78"/>
      <c r="BG116" s="87"/>
      <c r="BH116" s="76"/>
      <c r="BI116" s="86"/>
      <c r="BJ116" s="78"/>
      <c r="BK116" s="87"/>
    </row>
    <row r="117" spans="1:63" s="305" customFormat="1" ht="54" hidden="1" customHeight="1" x14ac:dyDescent="0.3">
      <c r="A117" s="359" t="s">
        <v>190</v>
      </c>
      <c r="B117" s="497">
        <v>8</v>
      </c>
      <c r="C117" s="360" t="s">
        <v>339</v>
      </c>
      <c r="D117" s="361" t="s">
        <v>340</v>
      </c>
      <c r="E117" s="395" t="s">
        <v>192</v>
      </c>
      <c r="F117" s="401" t="s">
        <v>193</v>
      </c>
      <c r="G117" s="467" t="s">
        <v>194</v>
      </c>
      <c r="H117" s="409" t="s">
        <v>819</v>
      </c>
      <c r="I117" s="398" t="s">
        <v>820</v>
      </c>
      <c r="J117" s="514"/>
      <c r="K117" s="514"/>
      <c r="L117" s="514"/>
      <c r="M117" s="514"/>
      <c r="N117" s="514"/>
      <c r="O117" s="514"/>
      <c r="P117" s="364" t="s">
        <v>825</v>
      </c>
      <c r="Q117" s="361" t="s">
        <v>825</v>
      </c>
      <c r="R117" s="370" t="s">
        <v>2</v>
      </c>
      <c r="S117" s="364" t="s">
        <v>201</v>
      </c>
      <c r="T117" s="361" t="s">
        <v>202</v>
      </c>
      <c r="U117" s="364" t="s">
        <v>2</v>
      </c>
      <c r="V117" s="364" t="s">
        <v>2</v>
      </c>
      <c r="W117" s="472" t="s">
        <v>988</v>
      </c>
      <c r="X117" s="473" t="s">
        <v>989</v>
      </c>
      <c r="Y117" s="469" t="s">
        <v>9</v>
      </c>
      <c r="Z117" s="367" t="s">
        <v>2</v>
      </c>
      <c r="AA117" s="368" t="s">
        <v>2</v>
      </c>
      <c r="AB117" s="486">
        <v>12</v>
      </c>
      <c r="AC117" s="395" t="s">
        <v>2</v>
      </c>
      <c r="AD117" s="490">
        <v>40</v>
      </c>
      <c r="AE117" s="364" t="s">
        <v>2</v>
      </c>
      <c r="AF117" s="364" t="s">
        <v>2</v>
      </c>
      <c r="AG117" s="364" t="s">
        <v>479</v>
      </c>
      <c r="AH117" s="364" t="s">
        <v>2</v>
      </c>
      <c r="AI117" s="364" t="s">
        <v>2</v>
      </c>
      <c r="AJ117" s="364" t="s">
        <v>2</v>
      </c>
      <c r="AK117" s="364" t="s">
        <v>2</v>
      </c>
      <c r="AL117" s="369" t="s">
        <v>2</v>
      </c>
      <c r="AM117" s="306"/>
      <c r="AN117" s="76"/>
      <c r="AO117" s="77"/>
      <c r="AP117" s="78"/>
      <c r="AQ117" s="79"/>
      <c r="AR117" s="88"/>
      <c r="AS117" s="89"/>
      <c r="AT117" s="90"/>
      <c r="AU117" s="83"/>
      <c r="AV117" s="80"/>
      <c r="AW117" s="81"/>
      <c r="AX117" s="84"/>
      <c r="AY117" s="85"/>
      <c r="AZ117" s="80"/>
      <c r="BA117" s="81"/>
      <c r="BB117" s="84"/>
      <c r="BC117" s="85"/>
      <c r="BD117" s="76"/>
      <c r="BE117" s="86"/>
      <c r="BF117" s="78"/>
      <c r="BG117" s="87"/>
      <c r="BH117" s="76"/>
      <c r="BI117" s="86"/>
      <c r="BJ117" s="78"/>
      <c r="BK117" s="87"/>
    </row>
    <row r="118" spans="1:63" s="305" customFormat="1" ht="54" hidden="1" customHeight="1" thickBot="1" x14ac:dyDescent="0.35">
      <c r="A118" s="476" t="s">
        <v>190</v>
      </c>
      <c r="B118" s="505">
        <v>9</v>
      </c>
      <c r="C118" s="381" t="s">
        <v>339</v>
      </c>
      <c r="D118" s="378" t="s">
        <v>340</v>
      </c>
      <c r="E118" s="377" t="s">
        <v>195</v>
      </c>
      <c r="F118" s="379" t="s">
        <v>0</v>
      </c>
      <c r="G118" s="380" t="s">
        <v>121</v>
      </c>
      <c r="H118" s="379" t="s">
        <v>0</v>
      </c>
      <c r="I118" s="380" t="s">
        <v>121</v>
      </c>
      <c r="J118" s="380"/>
      <c r="K118" s="380"/>
      <c r="L118" s="380"/>
      <c r="M118" s="380"/>
      <c r="N118" s="380"/>
      <c r="O118" s="380"/>
      <c r="P118" s="381" t="s">
        <v>825</v>
      </c>
      <c r="Q118" s="378" t="s">
        <v>825</v>
      </c>
      <c r="R118" s="382" t="s">
        <v>2</v>
      </c>
      <c r="S118" s="381" t="s">
        <v>227</v>
      </c>
      <c r="T118" s="378" t="s">
        <v>228</v>
      </c>
      <c r="U118" s="381" t="s">
        <v>2</v>
      </c>
      <c r="V118" s="381" t="s">
        <v>2</v>
      </c>
      <c r="W118" s="382" t="s">
        <v>478</v>
      </c>
      <c r="X118" s="383" t="s">
        <v>726</v>
      </c>
      <c r="Y118" s="381" t="s">
        <v>9</v>
      </c>
      <c r="Z118" s="384" t="s">
        <v>2</v>
      </c>
      <c r="AA118" s="385" t="s">
        <v>2</v>
      </c>
      <c r="AB118" s="487">
        <f>2000-(SUM(AB110:AB117)+COUNT(AB110:AB117))</f>
        <v>1930</v>
      </c>
      <c r="AC118" s="381" t="s">
        <v>2</v>
      </c>
      <c r="AD118" s="488">
        <v>40</v>
      </c>
      <c r="AE118" s="381" t="s">
        <v>2</v>
      </c>
      <c r="AF118" s="386" t="s">
        <v>985</v>
      </c>
      <c r="AG118" s="381" t="s">
        <v>479</v>
      </c>
      <c r="AH118" s="381" t="s">
        <v>2</v>
      </c>
      <c r="AI118" s="381" t="s">
        <v>2</v>
      </c>
      <c r="AJ118" s="381" t="s">
        <v>2</v>
      </c>
      <c r="AK118" s="381" t="s">
        <v>2</v>
      </c>
      <c r="AL118" s="387" t="s">
        <v>2</v>
      </c>
      <c r="AN118" s="322"/>
      <c r="AO118" s="111"/>
      <c r="AP118" s="323"/>
      <c r="AQ118" s="324"/>
      <c r="AR118" s="325"/>
      <c r="AS118" s="326"/>
      <c r="AT118" s="112"/>
      <c r="AU118" s="327"/>
      <c r="AV118" s="325"/>
      <c r="AW118" s="111"/>
      <c r="AX118" s="323"/>
      <c r="AY118" s="113"/>
      <c r="AZ118" s="322"/>
      <c r="BA118" s="111"/>
      <c r="BB118" s="323"/>
      <c r="BC118" s="327"/>
      <c r="BD118" s="114"/>
      <c r="BE118" s="111"/>
      <c r="BF118" s="323"/>
      <c r="BG118" s="327"/>
      <c r="BH118" s="114"/>
      <c r="BI118" s="111"/>
      <c r="BJ118" s="323"/>
      <c r="BK118" s="327"/>
    </row>
    <row r="119" spans="1:63" s="305" customFormat="1" ht="54" hidden="1" customHeight="1" x14ac:dyDescent="0.3">
      <c r="A119" s="474" t="s">
        <v>196</v>
      </c>
      <c r="B119" s="503">
        <v>1</v>
      </c>
      <c r="C119" s="353" t="s">
        <v>639</v>
      </c>
      <c r="D119" s="350" t="s">
        <v>640</v>
      </c>
      <c r="E119" s="353" t="s">
        <v>368</v>
      </c>
      <c r="F119" s="351" t="s">
        <v>8</v>
      </c>
      <c r="G119" s="352" t="s">
        <v>197</v>
      </c>
      <c r="H119" s="351" t="s">
        <v>694</v>
      </c>
      <c r="I119" s="352" t="s">
        <v>263</v>
      </c>
      <c r="J119" s="352"/>
      <c r="K119" s="352"/>
      <c r="L119" s="352"/>
      <c r="M119" s="354"/>
      <c r="N119" s="352"/>
      <c r="O119" s="352"/>
      <c r="P119" s="353" t="s">
        <v>825</v>
      </c>
      <c r="Q119" s="350" t="s">
        <v>825</v>
      </c>
      <c r="R119" s="354" t="s">
        <v>198</v>
      </c>
      <c r="S119" s="353" t="s">
        <v>201</v>
      </c>
      <c r="T119" s="350" t="s">
        <v>202</v>
      </c>
      <c r="U119" s="353" t="s">
        <v>2</v>
      </c>
      <c r="V119" s="353" t="s">
        <v>2</v>
      </c>
      <c r="W119" s="354" t="s">
        <v>264</v>
      </c>
      <c r="X119" s="355" t="s">
        <v>273</v>
      </c>
      <c r="Y119" s="353" t="s">
        <v>9</v>
      </c>
      <c r="Z119" s="356" t="s">
        <v>2</v>
      </c>
      <c r="AA119" s="357" t="s">
        <v>2</v>
      </c>
      <c r="AB119" s="477">
        <v>2</v>
      </c>
      <c r="AC119" s="356" t="s">
        <v>2</v>
      </c>
      <c r="AD119" s="489">
        <v>43</v>
      </c>
      <c r="AE119" s="353" t="s">
        <v>2</v>
      </c>
      <c r="AF119" s="353" t="s">
        <v>2</v>
      </c>
      <c r="AG119" s="353" t="s">
        <v>479</v>
      </c>
      <c r="AH119" s="353" t="s">
        <v>2</v>
      </c>
      <c r="AI119" s="353" t="s">
        <v>2</v>
      </c>
      <c r="AJ119" s="353" t="s">
        <v>2</v>
      </c>
      <c r="AK119" s="353" t="s">
        <v>2</v>
      </c>
      <c r="AL119" s="358" t="s">
        <v>2</v>
      </c>
      <c r="AM119" s="306"/>
      <c r="AN119" s="310"/>
      <c r="AO119" s="103"/>
      <c r="AP119" s="311"/>
      <c r="AQ119" s="312"/>
      <c r="AR119" s="313"/>
      <c r="AS119" s="314"/>
      <c r="AT119" s="104"/>
      <c r="AU119" s="315"/>
      <c r="AV119" s="310"/>
      <c r="AW119" s="103"/>
      <c r="AX119" s="311"/>
      <c r="AY119" s="105"/>
      <c r="AZ119" s="310"/>
      <c r="BA119" s="103"/>
      <c r="BB119" s="311"/>
      <c r="BC119" s="315"/>
      <c r="BD119" s="106"/>
      <c r="BE119" s="103"/>
      <c r="BF119" s="311"/>
      <c r="BG119" s="315"/>
      <c r="BH119" s="106"/>
      <c r="BI119" s="103"/>
      <c r="BJ119" s="311"/>
      <c r="BK119" s="315"/>
    </row>
    <row r="120" spans="1:63" s="305" customFormat="1" ht="54" hidden="1" customHeight="1" x14ac:dyDescent="0.3">
      <c r="A120" s="475" t="s">
        <v>196</v>
      </c>
      <c r="B120" s="504">
        <v>2</v>
      </c>
      <c r="C120" s="364" t="s">
        <v>639</v>
      </c>
      <c r="D120" s="361" t="s">
        <v>640</v>
      </c>
      <c r="E120" s="360" t="s">
        <v>369</v>
      </c>
      <c r="F120" s="362" t="s">
        <v>265</v>
      </c>
      <c r="G120" s="363" t="s">
        <v>266</v>
      </c>
      <c r="H120" s="362" t="s">
        <v>695</v>
      </c>
      <c r="I120" s="363" t="s">
        <v>268</v>
      </c>
      <c r="J120" s="513"/>
      <c r="K120" s="513"/>
      <c r="L120" s="513"/>
      <c r="M120" s="513"/>
      <c r="N120" s="513"/>
      <c r="O120" s="513"/>
      <c r="P120" s="364" t="s">
        <v>825</v>
      </c>
      <c r="Q120" s="361" t="s">
        <v>825</v>
      </c>
      <c r="R120" s="370" t="s">
        <v>267</v>
      </c>
      <c r="S120" s="364" t="s">
        <v>201</v>
      </c>
      <c r="T120" s="361" t="s">
        <v>202</v>
      </c>
      <c r="U120" s="364" t="s">
        <v>2</v>
      </c>
      <c r="V120" s="364" t="s">
        <v>2</v>
      </c>
      <c r="W120" s="370" t="s">
        <v>2</v>
      </c>
      <c r="X120" s="371" t="s">
        <v>2</v>
      </c>
      <c r="Y120" s="364" t="s">
        <v>10</v>
      </c>
      <c r="Z120" s="367" t="s">
        <v>2</v>
      </c>
      <c r="AA120" s="368" t="s">
        <v>2</v>
      </c>
      <c r="AB120" s="48">
        <v>10</v>
      </c>
      <c r="AC120" s="364" t="s">
        <v>2</v>
      </c>
      <c r="AD120" s="490">
        <v>43</v>
      </c>
      <c r="AE120" s="364" t="s">
        <v>2</v>
      </c>
      <c r="AF120" s="364" t="s">
        <v>2</v>
      </c>
      <c r="AG120" s="364" t="s">
        <v>479</v>
      </c>
      <c r="AH120" s="364" t="s">
        <v>2</v>
      </c>
      <c r="AI120" s="364" t="s">
        <v>2</v>
      </c>
      <c r="AJ120" s="364" t="s">
        <v>2</v>
      </c>
      <c r="AK120" s="364" t="s">
        <v>2</v>
      </c>
      <c r="AL120" s="369" t="s">
        <v>2</v>
      </c>
      <c r="AM120" s="306"/>
      <c r="AN120" s="316"/>
      <c r="AO120" s="107"/>
      <c r="AP120" s="317"/>
      <c r="AQ120" s="318"/>
      <c r="AR120" s="319"/>
      <c r="AS120" s="320"/>
      <c r="AT120" s="108"/>
      <c r="AU120" s="321"/>
      <c r="AV120" s="316"/>
      <c r="AW120" s="107"/>
      <c r="AX120" s="317"/>
      <c r="AY120" s="109"/>
      <c r="AZ120" s="316"/>
      <c r="BA120" s="107"/>
      <c r="BB120" s="317"/>
      <c r="BC120" s="321"/>
      <c r="BD120" s="110"/>
      <c r="BE120" s="107"/>
      <c r="BF120" s="317"/>
      <c r="BG120" s="321"/>
      <c r="BH120" s="110"/>
      <c r="BI120" s="107"/>
      <c r="BJ120" s="317"/>
      <c r="BK120" s="321"/>
    </row>
    <row r="121" spans="1:63" s="305" customFormat="1" ht="54" hidden="1" customHeight="1" thickBot="1" x14ac:dyDescent="0.35">
      <c r="A121" s="476" t="s">
        <v>196</v>
      </c>
      <c r="B121" s="505">
        <v>3</v>
      </c>
      <c r="C121" s="381" t="s">
        <v>639</v>
      </c>
      <c r="D121" s="378" t="s">
        <v>640</v>
      </c>
      <c r="E121" s="377" t="s">
        <v>370</v>
      </c>
      <c r="F121" s="379" t="s">
        <v>259</v>
      </c>
      <c r="G121" s="380" t="s">
        <v>259</v>
      </c>
      <c r="H121" s="379" t="s">
        <v>261</v>
      </c>
      <c r="I121" s="380" t="s">
        <v>262</v>
      </c>
      <c r="J121" s="380"/>
      <c r="K121" s="380"/>
      <c r="L121" s="380"/>
      <c r="M121" s="380"/>
      <c r="N121" s="380"/>
      <c r="O121" s="380"/>
      <c r="P121" s="381" t="s">
        <v>825</v>
      </c>
      <c r="Q121" s="378" t="s">
        <v>825</v>
      </c>
      <c r="R121" s="382" t="s">
        <v>260</v>
      </c>
      <c r="S121" s="381" t="s">
        <v>227</v>
      </c>
      <c r="T121" s="378" t="s">
        <v>228</v>
      </c>
      <c r="U121" s="381" t="s">
        <v>2</v>
      </c>
      <c r="V121" s="381" t="s">
        <v>2</v>
      </c>
      <c r="W121" s="382" t="s">
        <v>226</v>
      </c>
      <c r="X121" s="383" t="s">
        <v>271</v>
      </c>
      <c r="Y121" s="381" t="s">
        <v>9</v>
      </c>
      <c r="Z121" s="384" t="s">
        <v>2</v>
      </c>
      <c r="AA121" s="385" t="s">
        <v>2</v>
      </c>
      <c r="AB121" s="488">
        <f>2000-(SUM(AB119:AB120)+COUNT(AB119:AB120))</f>
        <v>1986</v>
      </c>
      <c r="AC121" s="381" t="s">
        <v>2</v>
      </c>
      <c r="AD121" s="488">
        <v>43</v>
      </c>
      <c r="AE121" s="381" t="s">
        <v>2</v>
      </c>
      <c r="AF121" s="386" t="s">
        <v>2</v>
      </c>
      <c r="AG121" s="381" t="s">
        <v>2</v>
      </c>
      <c r="AH121" s="381" t="s">
        <v>2</v>
      </c>
      <c r="AI121" s="381" t="s">
        <v>2</v>
      </c>
      <c r="AJ121" s="381" t="s">
        <v>2</v>
      </c>
      <c r="AK121" s="381" t="s">
        <v>2</v>
      </c>
      <c r="AL121" s="387" t="s">
        <v>2</v>
      </c>
      <c r="AN121" s="322"/>
      <c r="AO121" s="111"/>
      <c r="AP121" s="323"/>
      <c r="AQ121" s="324"/>
      <c r="AR121" s="325"/>
      <c r="AS121" s="326"/>
      <c r="AT121" s="112"/>
      <c r="AU121" s="327"/>
      <c r="AV121" s="325"/>
      <c r="AW121" s="111"/>
      <c r="AX121" s="323"/>
      <c r="AY121" s="113"/>
      <c r="AZ121" s="322"/>
      <c r="BA121" s="111"/>
      <c r="BB121" s="323"/>
      <c r="BC121" s="327"/>
      <c r="BD121" s="114"/>
      <c r="BE121" s="111"/>
      <c r="BF121" s="323"/>
      <c r="BG121" s="327"/>
      <c r="BH121" s="114"/>
      <c r="BI121" s="111"/>
      <c r="BJ121" s="323"/>
      <c r="BK121" s="327"/>
    </row>
    <row r="122" spans="1:63" x14ac:dyDescent="0.3">
      <c r="D122" s="520"/>
      <c r="AR122" s="175"/>
      <c r="AS122" s="25"/>
      <c r="AV122" s="175"/>
      <c r="AW122" s="25"/>
      <c r="AZ122" s="176"/>
      <c r="BA122" s="28"/>
      <c r="BD122" s="175"/>
      <c r="BE122" s="25"/>
    </row>
    <row r="123" spans="1:63" x14ac:dyDescent="0.3">
      <c r="AR123" s="175"/>
      <c r="AS123" s="25"/>
      <c r="AV123" s="175"/>
      <c r="AW123" s="25"/>
      <c r="AZ123" s="176"/>
      <c r="BA123" s="28"/>
      <c r="BD123" s="175"/>
      <c r="BE123" s="25"/>
    </row>
    <row r="124" spans="1:63" x14ac:dyDescent="0.3">
      <c r="AR124" s="175"/>
      <c r="AS124" s="25"/>
      <c r="AV124" s="175"/>
      <c r="AW124" s="25"/>
      <c r="AZ124" s="176"/>
      <c r="BA124" s="28"/>
      <c r="BD124" s="175"/>
      <c r="BE124" s="25"/>
    </row>
    <row r="125" spans="1:63" x14ac:dyDescent="0.3">
      <c r="X125" s="173"/>
      <c r="AR125" s="175"/>
      <c r="AS125" s="25"/>
      <c r="AV125" s="175"/>
      <c r="AW125" s="25"/>
      <c r="AZ125" s="176"/>
      <c r="BA125" s="28"/>
    </row>
    <row r="126" spans="1:63" x14ac:dyDescent="0.3">
      <c r="M126" s="567"/>
      <c r="N126" s="567"/>
      <c r="X126" s="173"/>
      <c r="AR126" s="175"/>
      <c r="AS126" s="25"/>
      <c r="AV126" s="175"/>
      <c r="AW126" s="25"/>
      <c r="AZ126" s="176"/>
      <c r="BA126" s="28"/>
    </row>
    <row r="127" spans="1:63" x14ac:dyDescent="0.3">
      <c r="AR127" s="175"/>
      <c r="AS127" s="25"/>
      <c r="AV127" s="175"/>
      <c r="AW127" s="25"/>
      <c r="AZ127" s="176"/>
      <c r="BA127" s="28"/>
    </row>
    <row r="128" spans="1:63" x14ac:dyDescent="0.3">
      <c r="M128" s="567"/>
      <c r="AR128" s="175"/>
      <c r="AS128" s="25"/>
      <c r="AV128" s="175"/>
      <c r="AW128" s="25"/>
      <c r="AZ128" s="176"/>
      <c r="BA128" s="28"/>
    </row>
    <row r="129" spans="44:53" x14ac:dyDescent="0.3">
      <c r="AR129" s="175"/>
      <c r="AS129" s="25"/>
      <c r="AZ129" s="176"/>
      <c r="BA129" s="28"/>
    </row>
    <row r="130" spans="44:53" x14ac:dyDescent="0.3">
      <c r="AR130" s="175"/>
      <c r="AS130" s="25"/>
      <c r="AZ130" s="176"/>
      <c r="BA130" s="28"/>
    </row>
    <row r="131" spans="44:53" x14ac:dyDescent="0.3">
      <c r="AR131" s="175"/>
      <c r="AS131" s="25"/>
      <c r="AZ131" s="176"/>
      <c r="BA131" s="28"/>
    </row>
    <row r="132" spans="44:53" x14ac:dyDescent="0.3">
      <c r="AR132" s="175"/>
      <c r="AS132" s="25"/>
      <c r="AZ132" s="176"/>
      <c r="BA132" s="28"/>
    </row>
    <row r="133" spans="44:53" x14ac:dyDescent="0.3">
      <c r="AR133" s="175"/>
      <c r="AS133" s="25"/>
      <c r="AZ133" s="176"/>
      <c r="BA133" s="28"/>
    </row>
    <row r="134" spans="44:53" x14ac:dyDescent="0.3">
      <c r="AR134" s="175"/>
      <c r="AS134" s="25"/>
      <c r="AZ134" s="176"/>
      <c r="BA134" s="28"/>
    </row>
    <row r="135" spans="44:53" x14ac:dyDescent="0.3">
      <c r="AR135" s="175"/>
      <c r="AS135" s="25"/>
      <c r="AZ135" s="176"/>
      <c r="BA135" s="28"/>
    </row>
    <row r="136" spans="44:53" x14ac:dyDescent="0.3">
      <c r="AR136" s="175"/>
      <c r="AS136" s="25"/>
      <c r="AZ136" s="176"/>
      <c r="BA136" s="28"/>
    </row>
    <row r="137" spans="44:53" x14ac:dyDescent="0.3">
      <c r="AR137" s="175"/>
      <c r="AS137" s="25"/>
      <c r="AZ137" s="176"/>
      <c r="BA137" s="28"/>
    </row>
    <row r="138" spans="44:53" x14ac:dyDescent="0.3">
      <c r="AR138" s="175"/>
      <c r="AS138" s="25"/>
      <c r="AZ138" s="175"/>
      <c r="BA138" s="25"/>
    </row>
    <row r="139" spans="44:53" x14ac:dyDescent="0.3">
      <c r="AR139" s="175"/>
      <c r="AS139" s="25"/>
      <c r="AZ139" s="175"/>
      <c r="BA139" s="25"/>
    </row>
    <row r="140" spans="44:53" x14ac:dyDescent="0.3">
      <c r="AR140" s="175"/>
      <c r="AS140" s="25"/>
      <c r="AZ140" s="175"/>
      <c r="BA140" s="25"/>
    </row>
    <row r="141" spans="44:53" x14ac:dyDescent="0.3">
      <c r="AR141" s="175"/>
      <c r="AS141" s="25"/>
      <c r="AZ141" s="175"/>
      <c r="BA141" s="25"/>
    </row>
    <row r="142" spans="44:53" x14ac:dyDescent="0.3">
      <c r="AR142" s="175"/>
      <c r="AS142" s="25"/>
      <c r="AZ142" s="175"/>
      <c r="BA142" s="25"/>
    </row>
    <row r="143" spans="44:53" x14ac:dyDescent="0.3">
      <c r="AR143" s="175"/>
      <c r="AS143" s="25"/>
      <c r="AZ143" s="175"/>
      <c r="BA143" s="25"/>
    </row>
    <row r="144" spans="44:53" x14ac:dyDescent="0.3">
      <c r="AR144" s="175"/>
      <c r="AS144" s="25"/>
      <c r="AZ144" s="175"/>
      <c r="BA144" s="25"/>
    </row>
    <row r="145" spans="44:53" x14ac:dyDescent="0.3">
      <c r="AR145" s="175"/>
      <c r="AS145" s="25"/>
      <c r="AZ145" s="175"/>
      <c r="BA145" s="25"/>
    </row>
    <row r="146" spans="44:53" x14ac:dyDescent="0.3">
      <c r="AR146" s="175"/>
      <c r="AS146" s="25"/>
      <c r="AZ146" s="175"/>
      <c r="BA146" s="25"/>
    </row>
    <row r="147" spans="44:53" x14ac:dyDescent="0.3">
      <c r="AR147" s="175"/>
      <c r="AS147" s="25"/>
      <c r="AZ147" s="175"/>
      <c r="BA147" s="25"/>
    </row>
    <row r="148" spans="44:53" x14ac:dyDescent="0.3">
      <c r="AR148" s="175"/>
      <c r="AS148" s="25"/>
      <c r="AZ148" s="175"/>
      <c r="BA148" s="25"/>
    </row>
    <row r="149" spans="44:53" x14ac:dyDescent="0.3">
      <c r="AR149" s="175"/>
      <c r="AS149" s="25"/>
      <c r="AZ149" s="175"/>
      <c r="BA149" s="25"/>
    </row>
    <row r="150" spans="44:53" x14ac:dyDescent="0.3">
      <c r="AR150" s="175"/>
      <c r="AS150" s="25"/>
      <c r="AZ150" s="175"/>
      <c r="BA150" s="25"/>
    </row>
    <row r="151" spans="44:53" x14ac:dyDescent="0.3">
      <c r="AR151" s="175"/>
      <c r="AS151" s="25"/>
      <c r="AZ151" s="175"/>
      <c r="BA151" s="25"/>
    </row>
    <row r="152" spans="44:53" x14ac:dyDescent="0.3">
      <c r="AR152" s="175"/>
      <c r="AS152" s="25"/>
      <c r="AZ152" s="175"/>
      <c r="BA152" s="25"/>
    </row>
    <row r="153" spans="44:53" x14ac:dyDescent="0.3">
      <c r="AR153" s="175"/>
      <c r="AS153" s="25"/>
    </row>
  </sheetData>
  <autoFilter ref="A2:BK121" xr:uid="{00000000-0001-0000-0100-000000000000}">
    <filterColumn colId="12">
      <customFilters>
        <customFilter operator="notEqual" val=" "/>
      </customFilters>
    </filterColumn>
  </autoFilter>
  <mergeCells count="6">
    <mergeCell ref="AN1:AQ1"/>
    <mergeCell ref="BH1:BK1"/>
    <mergeCell ref="BD1:BG1"/>
    <mergeCell ref="AZ1:BC1"/>
    <mergeCell ref="AV1:AY1"/>
    <mergeCell ref="AR1:AU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9C2BB-0771-4D15-9B2A-9334927E587C}">
  <dimension ref="B2:T58"/>
  <sheetViews>
    <sheetView showGridLines="0" zoomScale="85" zoomScaleNormal="85" workbookViewId="0"/>
  </sheetViews>
  <sheetFormatPr baseColWidth="10" defaultColWidth="10.77734375" defaultRowHeight="14.4" x14ac:dyDescent="0.3"/>
  <cols>
    <col min="1" max="1" width="3.77734375" style="262" customWidth="1"/>
    <col min="2" max="2" width="38.77734375" style="262" bestFit="1" customWidth="1"/>
    <col min="3" max="3" width="32.5546875" style="262" bestFit="1" customWidth="1"/>
    <col min="4" max="4" width="30.44140625" style="262" bestFit="1" customWidth="1"/>
    <col min="5" max="5" width="25.5546875" style="262" bestFit="1" customWidth="1"/>
    <col min="6" max="6" width="93.5546875" style="262" bestFit="1" customWidth="1"/>
    <col min="7" max="7" width="35.5546875" style="262" bestFit="1" customWidth="1"/>
    <col min="8" max="8" width="28.77734375" style="262" bestFit="1" customWidth="1"/>
    <col min="9" max="9" width="28.21875" style="262" bestFit="1" customWidth="1"/>
    <col min="10" max="10" width="27.5546875" style="262" bestFit="1" customWidth="1"/>
    <col min="11" max="11" width="19.77734375" style="262" bestFit="1" customWidth="1"/>
    <col min="12" max="12" width="33.77734375" style="262" bestFit="1" customWidth="1"/>
    <col min="13" max="13" width="32.5546875" style="262" bestFit="1" customWidth="1"/>
    <col min="14" max="14" width="30.5546875" style="262" bestFit="1" customWidth="1"/>
    <col min="15" max="15" width="25.44140625" style="262" bestFit="1" customWidth="1"/>
    <col min="16" max="16" width="93.5546875" style="262" bestFit="1" customWidth="1"/>
    <col min="17" max="17" width="35.5546875" style="262" bestFit="1" customWidth="1"/>
    <col min="18" max="18" width="27.21875" style="262" bestFit="1" customWidth="1"/>
    <col min="19" max="20" width="28.5546875" style="262" bestFit="1" customWidth="1"/>
    <col min="21" max="16384" width="10.77734375" style="262"/>
  </cols>
  <sheetData>
    <row r="2" spans="2:17" ht="25.8" x14ac:dyDescent="0.5">
      <c r="B2" s="261" t="s">
        <v>559</v>
      </c>
      <c r="L2" s="261" t="s">
        <v>560</v>
      </c>
    </row>
    <row r="3" spans="2:17" ht="15" thickBot="1" x14ac:dyDescent="0.35">
      <c r="B3" s="263"/>
      <c r="L3" s="263"/>
    </row>
    <row r="4" spans="2:17" ht="70.5" customHeight="1" thickTop="1" x14ac:dyDescent="0.3">
      <c r="B4" s="558" t="s">
        <v>561</v>
      </c>
      <c r="C4" s="559"/>
      <c r="D4" s="559"/>
      <c r="E4" s="559"/>
      <c r="F4" s="560"/>
      <c r="G4" s="264"/>
      <c r="L4" s="558" t="s">
        <v>562</v>
      </c>
      <c r="M4" s="559"/>
      <c r="N4" s="559"/>
      <c r="O4" s="559"/>
      <c r="P4" s="560"/>
      <c r="Q4" s="264"/>
    </row>
    <row r="5" spans="2:17" x14ac:dyDescent="0.3">
      <c r="B5" s="265"/>
      <c r="C5" s="266"/>
      <c r="D5" s="266"/>
      <c r="E5" s="266"/>
      <c r="F5" s="267"/>
      <c r="G5" s="266"/>
      <c r="L5" s="265"/>
      <c r="M5" s="266"/>
      <c r="N5" s="266"/>
      <c r="O5" s="266"/>
      <c r="P5" s="267"/>
      <c r="Q5" s="266"/>
    </row>
    <row r="6" spans="2:17" ht="63" customHeight="1" x14ac:dyDescent="0.3">
      <c r="B6" s="561" t="s">
        <v>1136</v>
      </c>
      <c r="C6" s="562"/>
      <c r="D6" s="562"/>
      <c r="E6" s="562"/>
      <c r="F6" s="563"/>
      <c r="G6" s="266"/>
      <c r="L6" s="561" t="s">
        <v>1137</v>
      </c>
      <c r="M6" s="562"/>
      <c r="N6" s="562"/>
      <c r="O6" s="562"/>
      <c r="P6" s="563"/>
      <c r="Q6" s="266"/>
    </row>
    <row r="7" spans="2:17" x14ac:dyDescent="0.3">
      <c r="B7" s="268"/>
      <c r="F7" s="269"/>
      <c r="L7" s="268"/>
      <c r="P7" s="269"/>
    </row>
    <row r="8" spans="2:17" ht="79.05" customHeight="1" x14ac:dyDescent="0.3">
      <c r="B8" s="564" t="s">
        <v>1138</v>
      </c>
      <c r="C8" s="565"/>
      <c r="D8" s="565"/>
      <c r="E8" s="565"/>
      <c r="F8" s="566"/>
      <c r="L8" s="564" t="s">
        <v>1139</v>
      </c>
      <c r="M8" s="565"/>
      <c r="N8" s="565"/>
      <c r="O8" s="565"/>
      <c r="P8" s="566"/>
    </row>
    <row r="9" spans="2:17" x14ac:dyDescent="0.3">
      <c r="B9" s="270"/>
      <c r="F9" s="269"/>
      <c r="L9" s="270"/>
      <c r="P9" s="269"/>
    </row>
    <row r="10" spans="2:17" ht="15.6" x14ac:dyDescent="0.3">
      <c r="B10" s="271" t="s">
        <v>563</v>
      </c>
      <c r="F10" s="269"/>
      <c r="L10" s="271" t="s">
        <v>564</v>
      </c>
      <c r="P10" s="269"/>
    </row>
    <row r="11" spans="2:17" x14ac:dyDescent="0.3">
      <c r="B11" s="270" t="s">
        <v>565</v>
      </c>
      <c r="F11" s="269"/>
      <c r="L11" s="270" t="s">
        <v>566</v>
      </c>
      <c r="P11" s="269"/>
    </row>
    <row r="12" spans="2:17" x14ac:dyDescent="0.3">
      <c r="B12" s="272" t="s">
        <v>567</v>
      </c>
      <c r="F12" s="269"/>
      <c r="L12" s="272" t="s">
        <v>568</v>
      </c>
      <c r="P12" s="269"/>
    </row>
    <row r="13" spans="2:17" x14ac:dyDescent="0.3">
      <c r="B13" s="273" t="s">
        <v>569</v>
      </c>
      <c r="F13" s="269"/>
      <c r="L13" s="273" t="s">
        <v>570</v>
      </c>
      <c r="P13" s="269"/>
    </row>
    <row r="14" spans="2:17" ht="15" thickBot="1" x14ac:dyDescent="0.35">
      <c r="B14" s="274"/>
      <c r="C14" s="275"/>
      <c r="D14" s="275"/>
      <c r="E14" s="275"/>
      <c r="F14" s="276"/>
      <c r="L14" s="277"/>
      <c r="M14" s="275"/>
      <c r="N14" s="275"/>
      <c r="O14" s="275"/>
      <c r="P14" s="276"/>
    </row>
    <row r="15" spans="2:17" ht="15" thickTop="1" x14ac:dyDescent="0.3"/>
    <row r="17" spans="2:20" x14ac:dyDescent="0.3">
      <c r="B17" s="284"/>
      <c r="C17" s="284"/>
      <c r="D17" s="284"/>
      <c r="E17" s="283"/>
      <c r="F17" s="283"/>
      <c r="G17" s="280"/>
      <c r="H17" s="280"/>
      <c r="L17" s="285"/>
      <c r="M17" s="285"/>
      <c r="N17" s="286"/>
      <c r="O17" s="287"/>
    </row>
    <row r="18" spans="2:20" x14ac:dyDescent="0.3">
      <c r="B18" s="284"/>
      <c r="C18" s="284"/>
      <c r="D18" s="284"/>
      <c r="E18" s="283"/>
      <c r="F18" s="283"/>
      <c r="G18" s="280"/>
      <c r="H18" s="280"/>
      <c r="L18" s="285"/>
      <c r="M18" s="285"/>
      <c r="N18" s="286"/>
      <c r="O18" s="287"/>
    </row>
    <row r="19" spans="2:20" ht="15.6" x14ac:dyDescent="0.3">
      <c r="B19" s="557" t="s">
        <v>976</v>
      </c>
      <c r="C19" s="557"/>
      <c r="D19" s="557"/>
      <c r="E19" s="557"/>
      <c r="L19" s="557" t="s">
        <v>977</v>
      </c>
      <c r="M19" s="557"/>
      <c r="N19" s="557"/>
      <c r="O19" s="557"/>
    </row>
    <row r="20" spans="2:20" x14ac:dyDescent="0.3">
      <c r="B20" s="555" t="s">
        <v>546</v>
      </c>
      <c r="C20" s="555"/>
      <c r="D20" s="555" t="s">
        <v>547</v>
      </c>
      <c r="E20" s="555"/>
      <c r="L20" s="555" t="s">
        <v>571</v>
      </c>
      <c r="M20" s="555"/>
      <c r="N20" s="555" t="s">
        <v>572</v>
      </c>
      <c r="O20" s="555"/>
    </row>
    <row r="21" spans="2:20" x14ac:dyDescent="0.3">
      <c r="B21" s="556" t="s">
        <v>978</v>
      </c>
      <c r="C21" s="556"/>
      <c r="D21" s="556" t="s">
        <v>1140</v>
      </c>
      <c r="E21" s="556"/>
      <c r="L21" s="556" t="s">
        <v>979</v>
      </c>
      <c r="M21" s="556"/>
      <c r="N21" s="556" t="s">
        <v>1141</v>
      </c>
      <c r="O21" s="556"/>
      <c r="P21" s="278"/>
      <c r="Q21" s="278"/>
      <c r="R21" s="278"/>
      <c r="S21" s="278"/>
      <c r="T21" s="278"/>
    </row>
    <row r="23" spans="2:20" x14ac:dyDescent="0.3">
      <c r="B23" s="279"/>
      <c r="E23" s="279"/>
      <c r="G23" s="279"/>
      <c r="L23" s="279"/>
      <c r="O23" s="279"/>
      <c r="Q23" s="279"/>
    </row>
    <row r="24" spans="2:20" x14ac:dyDescent="0.3">
      <c r="B24" s="279" t="s">
        <v>196</v>
      </c>
      <c r="E24" s="279"/>
      <c r="G24" s="279"/>
      <c r="L24" s="279" t="s">
        <v>196</v>
      </c>
      <c r="O24" s="279"/>
      <c r="Q24" s="279"/>
    </row>
    <row r="25" spans="2:20" x14ac:dyDescent="0.3">
      <c r="B25" s="279"/>
      <c r="E25" s="279"/>
      <c r="G25" s="279"/>
      <c r="L25" s="279"/>
      <c r="O25" s="279"/>
      <c r="Q25" s="279"/>
    </row>
    <row r="26" spans="2:20" ht="27.6" x14ac:dyDescent="0.3">
      <c r="B26" s="289"/>
      <c r="C26" s="281" t="s">
        <v>1142</v>
      </c>
      <c r="D26" s="282" t="s">
        <v>980</v>
      </c>
      <c r="E26" s="279"/>
      <c r="G26" s="279"/>
      <c r="L26" s="289"/>
      <c r="M26" s="281" t="s">
        <v>1143</v>
      </c>
      <c r="N26" s="282" t="s">
        <v>574</v>
      </c>
      <c r="O26" s="279"/>
      <c r="Q26" s="279"/>
    </row>
    <row r="27" spans="2:20" ht="96.6" x14ac:dyDescent="0.3">
      <c r="B27" s="290" t="s">
        <v>25</v>
      </c>
      <c r="C27" s="291" t="s">
        <v>981</v>
      </c>
      <c r="D27" s="288" t="s">
        <v>196</v>
      </c>
      <c r="E27" s="279"/>
      <c r="G27" s="279"/>
      <c r="L27" s="290" t="s">
        <v>25</v>
      </c>
      <c r="M27" s="291" t="s">
        <v>981</v>
      </c>
      <c r="N27" s="288" t="s">
        <v>196</v>
      </c>
      <c r="O27" s="279"/>
      <c r="Q27" s="279"/>
    </row>
    <row r="28" spans="2:20" x14ac:dyDescent="0.3">
      <c r="B28" s="291" t="s">
        <v>37</v>
      </c>
      <c r="C28" s="291" t="s">
        <v>549</v>
      </c>
      <c r="D28" s="288" t="s">
        <v>196</v>
      </c>
      <c r="E28" s="279"/>
      <c r="G28" s="279"/>
      <c r="L28" s="291" t="s">
        <v>37</v>
      </c>
      <c r="M28" s="291" t="s">
        <v>549</v>
      </c>
      <c r="N28" s="288" t="s">
        <v>196</v>
      </c>
      <c r="O28" s="279"/>
      <c r="Q28" s="279"/>
    </row>
    <row r="31" spans="2:20" x14ac:dyDescent="0.3">
      <c r="B31" s="293"/>
      <c r="C31" s="292"/>
      <c r="D31" s="292"/>
      <c r="L31" s="293"/>
      <c r="M31" s="292"/>
      <c r="N31" s="292"/>
    </row>
    <row r="32" spans="2:20" x14ac:dyDescent="0.3">
      <c r="B32" s="293"/>
      <c r="C32" s="292"/>
      <c r="D32" s="292"/>
      <c r="L32" s="293"/>
      <c r="M32" s="292"/>
      <c r="N32" s="292"/>
    </row>
    <row r="33" spans="2:20" ht="15.6" x14ac:dyDescent="0.3">
      <c r="B33" s="557" t="s">
        <v>550</v>
      </c>
      <c r="C33" s="557"/>
      <c r="D33" s="557"/>
      <c r="E33" s="557"/>
      <c r="L33" s="557" t="s">
        <v>575</v>
      </c>
      <c r="M33" s="557"/>
      <c r="N33" s="557"/>
      <c r="O33" s="557"/>
    </row>
    <row r="34" spans="2:20" x14ac:dyDescent="0.3">
      <c r="B34" s="555" t="s">
        <v>546</v>
      </c>
      <c r="C34" s="555"/>
      <c r="D34" s="555" t="s">
        <v>547</v>
      </c>
      <c r="E34" s="555"/>
      <c r="L34" s="555" t="s">
        <v>571</v>
      </c>
      <c r="M34" s="555"/>
      <c r="N34" s="555" t="s">
        <v>572</v>
      </c>
      <c r="O34" s="555"/>
    </row>
    <row r="35" spans="2:20" x14ac:dyDescent="0.3">
      <c r="B35" s="556" t="s">
        <v>551</v>
      </c>
      <c r="C35" s="556"/>
      <c r="D35" s="556" t="s">
        <v>1144</v>
      </c>
      <c r="E35" s="556"/>
      <c r="L35" s="556" t="s">
        <v>576</v>
      </c>
      <c r="M35" s="556"/>
      <c r="N35" s="556" t="s">
        <v>1145</v>
      </c>
      <c r="O35" s="556"/>
      <c r="P35" s="278"/>
      <c r="Q35" s="278"/>
      <c r="R35" s="278"/>
      <c r="S35" s="278"/>
      <c r="T35" s="278"/>
    </row>
    <row r="37" spans="2:20" x14ac:dyDescent="0.3">
      <c r="B37" s="279" t="s">
        <v>196</v>
      </c>
      <c r="L37" s="279" t="s">
        <v>196</v>
      </c>
    </row>
    <row r="39" spans="2:20" ht="55.2" x14ac:dyDescent="0.3">
      <c r="B39" s="294" t="s">
        <v>1146</v>
      </c>
      <c r="C39" s="295" t="s">
        <v>1147</v>
      </c>
      <c r="D39" s="295" t="s">
        <v>1148</v>
      </c>
      <c r="E39" s="295" t="s">
        <v>1149</v>
      </c>
      <c r="F39" s="295" t="s">
        <v>1150</v>
      </c>
      <c r="G39" s="295" t="s">
        <v>1151</v>
      </c>
      <c r="H39" s="295" t="s">
        <v>1152</v>
      </c>
      <c r="I39" s="295" t="s">
        <v>1153</v>
      </c>
      <c r="L39" s="294" t="s">
        <v>1154</v>
      </c>
      <c r="M39" s="295" t="s">
        <v>1155</v>
      </c>
      <c r="N39" s="295" t="s">
        <v>1156</v>
      </c>
      <c r="O39" s="295" t="s">
        <v>1157</v>
      </c>
      <c r="P39" s="295" t="s">
        <v>1158</v>
      </c>
      <c r="Q39" s="295" t="s">
        <v>1159</v>
      </c>
      <c r="R39" s="295" t="s">
        <v>1160</v>
      </c>
      <c r="S39" s="295" t="s">
        <v>1161</v>
      </c>
    </row>
    <row r="40" spans="2:20" s="297" customFormat="1" x14ac:dyDescent="0.25">
      <c r="B40" s="296">
        <v>1</v>
      </c>
      <c r="C40" s="296">
        <v>1</v>
      </c>
      <c r="D40" s="296" t="s">
        <v>573</v>
      </c>
      <c r="E40" s="296" t="s">
        <v>1162</v>
      </c>
      <c r="F40" s="296" t="s">
        <v>573</v>
      </c>
      <c r="G40" s="296" t="s">
        <v>1162</v>
      </c>
      <c r="H40" s="296" t="s">
        <v>573</v>
      </c>
      <c r="I40" s="296" t="s">
        <v>1162</v>
      </c>
      <c r="L40" s="296">
        <v>1</v>
      </c>
      <c r="M40" s="296">
        <v>1</v>
      </c>
      <c r="N40" s="296" t="s">
        <v>573</v>
      </c>
      <c r="O40" s="296" t="s">
        <v>1162</v>
      </c>
      <c r="P40" s="296" t="s">
        <v>573</v>
      </c>
      <c r="Q40" s="296" t="s">
        <v>1162</v>
      </c>
      <c r="R40" s="296" t="s">
        <v>573</v>
      </c>
      <c r="S40" s="296" t="s">
        <v>1162</v>
      </c>
    </row>
    <row r="41" spans="2:20" s="297" customFormat="1" x14ac:dyDescent="0.25">
      <c r="B41" s="296">
        <v>2</v>
      </c>
      <c r="C41" s="296">
        <v>1</v>
      </c>
      <c r="D41" s="296" t="s">
        <v>548</v>
      </c>
      <c r="E41" s="296" t="s">
        <v>548</v>
      </c>
      <c r="F41" s="296" t="s">
        <v>573</v>
      </c>
      <c r="G41" s="296" t="s">
        <v>1162</v>
      </c>
      <c r="H41" s="296" t="s">
        <v>573</v>
      </c>
      <c r="I41" s="296" t="s">
        <v>1162</v>
      </c>
      <c r="L41" s="296">
        <v>2</v>
      </c>
      <c r="M41" s="296">
        <v>1</v>
      </c>
      <c r="N41" s="296" t="s">
        <v>548</v>
      </c>
      <c r="O41" s="296" t="s">
        <v>548</v>
      </c>
      <c r="P41" s="296" t="s">
        <v>573</v>
      </c>
      <c r="Q41" s="296" t="s">
        <v>1162</v>
      </c>
      <c r="R41" s="296" t="s">
        <v>573</v>
      </c>
      <c r="S41" s="296" t="s">
        <v>1162</v>
      </c>
    </row>
    <row r="42" spans="2:20" s="297" customFormat="1" x14ac:dyDescent="0.25">
      <c r="B42" s="296">
        <v>1</v>
      </c>
      <c r="C42" s="296">
        <v>2</v>
      </c>
      <c r="D42" s="296" t="s">
        <v>573</v>
      </c>
      <c r="E42" s="296" t="s">
        <v>1162</v>
      </c>
      <c r="F42" s="296" t="s">
        <v>548</v>
      </c>
      <c r="G42" s="296" t="s">
        <v>548</v>
      </c>
      <c r="H42" s="296" t="s">
        <v>573</v>
      </c>
      <c r="I42" s="296" t="s">
        <v>1162</v>
      </c>
      <c r="L42" s="296">
        <v>1</v>
      </c>
      <c r="M42" s="296">
        <v>2</v>
      </c>
      <c r="N42" s="296" t="s">
        <v>573</v>
      </c>
      <c r="O42" s="296" t="s">
        <v>1162</v>
      </c>
      <c r="P42" s="296" t="s">
        <v>548</v>
      </c>
      <c r="Q42" s="296" t="s">
        <v>548</v>
      </c>
      <c r="R42" s="296" t="s">
        <v>573</v>
      </c>
      <c r="S42" s="296" t="s">
        <v>1162</v>
      </c>
    </row>
    <row r="43" spans="2:20" s="297" customFormat="1" x14ac:dyDescent="0.25">
      <c r="B43" s="296">
        <v>2</v>
      </c>
      <c r="C43" s="296">
        <v>2</v>
      </c>
      <c r="D43" s="296" t="s">
        <v>548</v>
      </c>
      <c r="E43" s="296" t="s">
        <v>548</v>
      </c>
      <c r="F43" s="296" t="s">
        <v>548</v>
      </c>
      <c r="G43" s="296" t="s">
        <v>548</v>
      </c>
      <c r="H43" s="296" t="s">
        <v>573</v>
      </c>
      <c r="I43" s="296" t="s">
        <v>1162</v>
      </c>
      <c r="L43" s="296">
        <v>2</v>
      </c>
      <c r="M43" s="296">
        <v>2</v>
      </c>
      <c r="N43" s="296" t="s">
        <v>548</v>
      </c>
      <c r="O43" s="296" t="s">
        <v>548</v>
      </c>
      <c r="P43" s="296" t="s">
        <v>548</v>
      </c>
      <c r="Q43" s="296" t="s">
        <v>548</v>
      </c>
      <c r="R43" s="296" t="s">
        <v>573</v>
      </c>
      <c r="S43" s="296" t="s">
        <v>1162</v>
      </c>
    </row>
    <row r="44" spans="2:20" s="297" customFormat="1" x14ac:dyDescent="0.25">
      <c r="B44" s="298">
        <v>1</v>
      </c>
      <c r="C44" s="296" t="s">
        <v>577</v>
      </c>
      <c r="D44" s="296" t="s">
        <v>573</v>
      </c>
      <c r="E44" s="296" t="s">
        <v>1162</v>
      </c>
      <c r="F44" s="296" t="s">
        <v>548</v>
      </c>
      <c r="G44" s="296" t="s">
        <v>548</v>
      </c>
      <c r="H44" s="296" t="s">
        <v>548</v>
      </c>
      <c r="I44" s="296" t="s">
        <v>548</v>
      </c>
      <c r="L44" s="298">
        <v>1</v>
      </c>
      <c r="M44" s="296" t="s">
        <v>577</v>
      </c>
      <c r="N44" s="296" t="s">
        <v>573</v>
      </c>
      <c r="O44" s="296" t="s">
        <v>1162</v>
      </c>
      <c r="P44" s="296" t="s">
        <v>548</v>
      </c>
      <c r="Q44" s="296" t="s">
        <v>548</v>
      </c>
      <c r="R44" s="296" t="s">
        <v>548</v>
      </c>
      <c r="S44" s="296" t="s">
        <v>548</v>
      </c>
    </row>
    <row r="45" spans="2:20" s="297" customFormat="1" x14ac:dyDescent="0.25">
      <c r="B45" s="299"/>
      <c r="C45" s="300"/>
      <c r="D45" s="300"/>
      <c r="E45" s="300"/>
      <c r="F45" s="300"/>
      <c r="G45" s="300"/>
      <c r="H45" s="300"/>
      <c r="I45" s="300"/>
      <c r="J45" s="300"/>
      <c r="L45" s="299"/>
      <c r="M45" s="300"/>
      <c r="N45" s="300"/>
      <c r="O45" s="300"/>
      <c r="P45" s="300"/>
      <c r="Q45" s="300"/>
      <c r="R45" s="300"/>
      <c r="S45" s="300"/>
      <c r="T45" s="300"/>
    </row>
    <row r="50" spans="2:20" ht="15.6" x14ac:dyDescent="0.3">
      <c r="B50" s="557" t="s">
        <v>552</v>
      </c>
      <c r="C50" s="557"/>
      <c r="D50" s="557"/>
      <c r="E50" s="557"/>
      <c r="L50" s="557" t="s">
        <v>578</v>
      </c>
      <c r="M50" s="557"/>
      <c r="N50" s="557"/>
      <c r="O50" s="557"/>
    </row>
    <row r="51" spans="2:20" x14ac:dyDescent="0.3">
      <c r="B51" s="555" t="s">
        <v>546</v>
      </c>
      <c r="C51" s="555"/>
      <c r="D51" s="555" t="s">
        <v>547</v>
      </c>
      <c r="E51" s="555"/>
      <c r="L51" s="555" t="s">
        <v>571</v>
      </c>
      <c r="M51" s="555"/>
      <c r="N51" s="555" t="s">
        <v>572</v>
      </c>
      <c r="O51" s="555"/>
    </row>
    <row r="52" spans="2:20" x14ac:dyDescent="0.3">
      <c r="B52" s="556" t="s">
        <v>553</v>
      </c>
      <c r="C52" s="556"/>
      <c r="D52" s="556" t="s">
        <v>1163</v>
      </c>
      <c r="E52" s="556"/>
      <c r="L52" s="556" t="s">
        <v>579</v>
      </c>
      <c r="M52" s="556"/>
      <c r="N52" s="556" t="s">
        <v>1164</v>
      </c>
      <c r="O52" s="556"/>
      <c r="P52" s="278"/>
      <c r="Q52" s="278"/>
      <c r="R52" s="278"/>
      <c r="S52" s="278"/>
      <c r="T52" s="278"/>
    </row>
    <row r="54" spans="2:20" x14ac:dyDescent="0.3">
      <c r="B54" s="279" t="s">
        <v>196</v>
      </c>
      <c r="L54" s="279" t="s">
        <v>196</v>
      </c>
    </row>
    <row r="56" spans="2:20" ht="28.8" x14ac:dyDescent="0.3">
      <c r="B56" s="301" t="s">
        <v>1165</v>
      </c>
      <c r="C56" s="302" t="s">
        <v>1166</v>
      </c>
      <c r="L56" s="301" t="s">
        <v>1167</v>
      </c>
      <c r="M56" s="302" t="s">
        <v>1168</v>
      </c>
    </row>
    <row r="57" spans="2:20" x14ac:dyDescent="0.3">
      <c r="B57" s="303" t="s">
        <v>554</v>
      </c>
      <c r="C57" s="304" t="s">
        <v>341</v>
      </c>
      <c r="L57" s="303" t="s">
        <v>554</v>
      </c>
      <c r="M57" s="304" t="s">
        <v>341</v>
      </c>
    </row>
    <row r="58" spans="2:20" x14ac:dyDescent="0.3">
      <c r="B58" s="303" t="s">
        <v>555</v>
      </c>
      <c r="C58" s="304" t="s">
        <v>352</v>
      </c>
      <c r="L58" s="303" t="s">
        <v>555</v>
      </c>
      <c r="M58" s="304" t="s">
        <v>352</v>
      </c>
    </row>
  </sheetData>
  <mergeCells count="36">
    <mergeCell ref="B19:E19"/>
    <mergeCell ref="L19:O19"/>
    <mergeCell ref="B4:F4"/>
    <mergeCell ref="L4:P4"/>
    <mergeCell ref="B6:F6"/>
    <mergeCell ref="L6:P6"/>
    <mergeCell ref="B8:F8"/>
    <mergeCell ref="L8:P8"/>
    <mergeCell ref="B33:E33"/>
    <mergeCell ref="L33:O33"/>
    <mergeCell ref="B20:C20"/>
    <mergeCell ref="D20:E20"/>
    <mergeCell ref="L20:M20"/>
    <mergeCell ref="N20:O20"/>
    <mergeCell ref="B21:C21"/>
    <mergeCell ref="D21:E21"/>
    <mergeCell ref="L21:M21"/>
    <mergeCell ref="N21:O21"/>
    <mergeCell ref="B50:E50"/>
    <mergeCell ref="L50:O50"/>
    <mergeCell ref="B34:C34"/>
    <mergeCell ref="D34:E34"/>
    <mergeCell ref="L34:M34"/>
    <mergeCell ref="N34:O34"/>
    <mergeCell ref="B35:C35"/>
    <mergeCell ref="D35:E35"/>
    <mergeCell ref="L35:M35"/>
    <mergeCell ref="N35:O35"/>
    <mergeCell ref="B51:C51"/>
    <mergeCell ref="D51:E51"/>
    <mergeCell ref="L51:M51"/>
    <mergeCell ref="N51:O51"/>
    <mergeCell ref="B52:C52"/>
    <mergeCell ref="D52:E52"/>
    <mergeCell ref="L52:M52"/>
    <mergeCell ref="N52:O52"/>
  </mergeCells>
  <pageMargins left="0.7" right="0.7" top="0.75" bottom="0.75" header="0.3" footer="0.3"/>
  <pageSetup paperSize="9" orientation="portrait" r:id="rId1"/>
  <headerFooter>
    <oddFooter>&amp;C_x000D_&amp;1#&amp;"Calibri"&amp;10&amp;K000000 Usage Interne / Internal Use</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Modifications</vt:lpstr>
      <vt:lpstr>A1 Alimentation Adaptée</vt:lpstr>
      <vt:lpstr>Ctrl cohérence-consistency ctr </vt:lpstr>
    </vt:vector>
  </TitlesOfParts>
  <Company>SILCA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SILCA</dc:creator>
  <cp:lastModifiedBy>MESI Marsila</cp:lastModifiedBy>
  <cp:lastPrinted>2018-04-16T11:57:11Z</cp:lastPrinted>
  <dcterms:created xsi:type="dcterms:W3CDTF">2010-06-29T12:18:31Z</dcterms:created>
  <dcterms:modified xsi:type="dcterms:W3CDTF">2026-08-13T06:35:48Z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cad6431-53ea-4466-8111-3fefa470bcb9_Enabled">
    <vt:lpwstr>true</vt:lpwstr>
  </property>
  <property fmtid="{D5CDD505-2E9C-101B-9397-08002B2CF9AE}" pid="3" name="MSIP_Label_4cad6431-53ea-4466-8111-3fefa470bcb9_SetDate">
    <vt:lpwstr>2022-05-02T15:04:22Z</vt:lpwstr>
  </property>
  <property fmtid="{D5CDD505-2E9C-101B-9397-08002B2CF9AE}" pid="4" name="MSIP_Label_4cad6431-53ea-4466-8111-3fefa470bcb9_Method">
    <vt:lpwstr>Privileged</vt:lpwstr>
  </property>
  <property fmtid="{D5CDD505-2E9C-101B-9397-08002B2CF9AE}" pid="5" name="MSIP_Label_4cad6431-53ea-4466-8111-3fefa470bcb9_Name">
    <vt:lpwstr>Usage Interne</vt:lpwstr>
  </property>
  <property fmtid="{D5CDD505-2E9C-101B-9397-08002B2CF9AE}" pid="6" name="MSIP_Label_4cad6431-53ea-4466-8111-3fefa470bcb9_SiteId">
    <vt:lpwstr>fb3baf17-c313-474c-8d5d-577a3ec97a32</vt:lpwstr>
  </property>
  <property fmtid="{D5CDD505-2E9C-101B-9397-08002B2CF9AE}" pid="7" name="MSIP_Label_4cad6431-53ea-4466-8111-3fefa470bcb9_ActionId">
    <vt:lpwstr>2872058f-2a42-49e7-9c76-6100716acaf5</vt:lpwstr>
  </property>
  <property fmtid="{D5CDD505-2E9C-101B-9397-08002B2CF9AE}" pid="8" name="MSIP_Label_4cad6431-53ea-4466-8111-3fefa470bcb9_ContentBits">
    <vt:lpwstr>0</vt:lpwstr>
  </property>
</Properties>
</file>